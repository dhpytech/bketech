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1CF9DE29-BE08-4462-95B0-BA3F920DEF46}" xr6:coauthVersionLast="47" xr6:coauthVersionMax="47" xr10:uidLastSave="{00000000-0000-0000-0000-000000000000}"/>
  <bookViews>
    <workbookView xWindow="-8325" yWindow="-16320" windowWidth="29040" windowHeight="15720" xr2:uid="{EC7B9712-009B-484C-A58F-9F1BDC6AC84E}"/>
  </bookViews>
  <sheets>
    <sheet name="114+8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'114+840'!$A$1:$AB$547</definedName>
    <definedName name="_xlnm.Print_Titles" localSheetId="0">'114+840'!$12:$13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'114+840'!#REF!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9" i="2" l="1"/>
  <c r="B529" i="2"/>
  <c r="C529" i="2"/>
  <c r="D529" i="2"/>
  <c r="K529" i="2"/>
  <c r="L529" i="2"/>
  <c r="L530" i="2" s="1"/>
  <c r="M529" i="2"/>
  <c r="A530" i="2"/>
  <c r="B530" i="2"/>
  <c r="D530" i="2"/>
  <c r="K530" i="2"/>
  <c r="M530" i="2"/>
  <c r="C530" i="2" l="1"/>
  <c r="B522" i="2" l="1"/>
  <c r="B523" i="2" s="1"/>
  <c r="B524" i="2" s="1"/>
  <c r="B525" i="2" s="1"/>
  <c r="B526" i="2" s="1"/>
  <c r="B527" i="2" s="1"/>
  <c r="B528" i="2" s="1"/>
  <c r="B521" i="2"/>
  <c r="B517" i="2"/>
  <c r="B518" i="2" s="1"/>
  <c r="B519" i="2" s="1"/>
  <c r="B520" i="2" s="1"/>
  <c r="B515" i="2"/>
  <c r="B516" i="2" s="1"/>
  <c r="B514" i="2"/>
  <c r="B513" i="2"/>
  <c r="A517" i="2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C517" i="2"/>
  <c r="D517" i="2"/>
  <c r="K517" i="2"/>
  <c r="L517" i="2"/>
  <c r="L518" i="2" s="1"/>
  <c r="M517" i="2"/>
  <c r="M518" i="2" s="1"/>
  <c r="D518" i="2"/>
  <c r="K518" i="2"/>
  <c r="K519" i="2"/>
  <c r="K520" i="2" s="1"/>
  <c r="A501" i="2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B501" i="2"/>
  <c r="C501" i="2"/>
  <c r="D501" i="2"/>
  <c r="K501" i="2"/>
  <c r="H501" i="2" s="1"/>
  <c r="L501" i="2"/>
  <c r="L502" i="2" s="1"/>
  <c r="M501" i="2"/>
  <c r="M502" i="2" s="1"/>
  <c r="N501" i="2"/>
  <c r="P501" i="2"/>
  <c r="J501" i="2" s="1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C502" i="2"/>
  <c r="D502" i="2"/>
  <c r="E502" i="2" s="1"/>
  <c r="H502" i="2"/>
  <c r="K502" i="2"/>
  <c r="K503" i="2" s="1"/>
  <c r="N502" i="2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P502" i="2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C503" i="2"/>
  <c r="C504" i="2" s="1"/>
  <c r="A492" i="2"/>
  <c r="A493" i="2" s="1"/>
  <c r="A494" i="2" s="1"/>
  <c r="A495" i="2" s="1"/>
  <c r="A496" i="2" s="1"/>
  <c r="A497" i="2" s="1"/>
  <c r="A498" i="2" s="1"/>
  <c r="A499" i="2" s="1"/>
  <c r="A500" i="2" s="1"/>
  <c r="B492" i="2"/>
  <c r="C492" i="2"/>
  <c r="D492" i="2"/>
  <c r="K492" i="2"/>
  <c r="L492" i="2"/>
  <c r="L493" i="2" s="1"/>
  <c r="M492" i="2"/>
  <c r="M493" i="2" s="1"/>
  <c r="N492" i="2"/>
  <c r="N493" i="2" s="1"/>
  <c r="O492" i="2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P492" i="2"/>
  <c r="P493" i="2" s="1"/>
  <c r="P494" i="2" s="1"/>
  <c r="P495" i="2" s="1"/>
  <c r="P496" i="2" s="1"/>
  <c r="P497" i="2" s="1"/>
  <c r="P498" i="2" s="1"/>
  <c r="P499" i="2" s="1"/>
  <c r="P500" i="2" s="1"/>
  <c r="B493" i="2"/>
  <c r="C493" i="2"/>
  <c r="D493" i="2"/>
  <c r="K493" i="2"/>
  <c r="K494" i="2" s="1"/>
  <c r="B494" i="2"/>
  <c r="B495" i="2" s="1"/>
  <c r="B496" i="2" s="1"/>
  <c r="B497" i="2" s="1"/>
  <c r="B498" i="2" s="1"/>
  <c r="B499" i="2" s="1"/>
  <c r="B500" i="2" s="1"/>
  <c r="C494" i="2"/>
  <c r="C495" i="2" s="1"/>
  <c r="C1" i="2"/>
  <c r="D1" i="2"/>
  <c r="E1" i="2" s="1"/>
  <c r="F1" i="2" s="1"/>
  <c r="G1" i="2" s="1"/>
  <c r="H1" i="2" s="1"/>
  <c r="I1" i="2" s="1"/>
  <c r="J1" i="2"/>
  <c r="K1" i="2" s="1"/>
  <c r="L1" i="2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/>
  <c r="Z1" i="2" s="1"/>
  <c r="AA1" i="2" s="1"/>
  <c r="AB1" i="2" s="1"/>
  <c r="A4" i="2"/>
  <c r="I6" i="2"/>
  <c r="M9" i="2"/>
  <c r="M10" i="2"/>
  <c r="G14" i="2"/>
  <c r="H14" i="2"/>
  <c r="E14" i="2" s="1"/>
  <c r="I14" i="2"/>
  <c r="F14" i="2" s="1"/>
  <c r="J14" i="2"/>
  <c r="U14" i="2"/>
  <c r="V14" i="2"/>
  <c r="T14" i="2" s="1"/>
  <c r="W14" i="2"/>
  <c r="B15" i="2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C15" i="2"/>
  <c r="C16" i="2" s="1"/>
  <c r="D15" i="2"/>
  <c r="H15" i="2"/>
  <c r="E15" i="2" s="1"/>
  <c r="K15" i="2"/>
  <c r="L15" i="2"/>
  <c r="L16" i="2" s="1"/>
  <c r="M15" i="2"/>
  <c r="J15" i="2" s="1"/>
  <c r="G15" i="2" s="1"/>
  <c r="N15" i="2"/>
  <c r="N16" i="2" s="1"/>
  <c r="O15" i="2"/>
  <c r="O16" i="2" s="1"/>
  <c r="P15" i="2"/>
  <c r="T15" i="2"/>
  <c r="U15" i="2"/>
  <c r="V15" i="2"/>
  <c r="W15" i="2"/>
  <c r="D16" i="2"/>
  <c r="K16" i="2"/>
  <c r="M16" i="2"/>
  <c r="P16" i="2"/>
  <c r="W16" i="2" s="1"/>
  <c r="D17" i="2"/>
  <c r="P17" i="2"/>
  <c r="B107" i="2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A279" i="2"/>
  <c r="A280" i="2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P514" i="2" l="1"/>
  <c r="N514" i="2"/>
  <c r="O513" i="2"/>
  <c r="K521" i="2"/>
  <c r="M519" i="2"/>
  <c r="L519" i="2"/>
  <c r="C518" i="2"/>
  <c r="D519" i="2"/>
  <c r="M503" i="2"/>
  <c r="J502" i="2"/>
  <c r="H503" i="2"/>
  <c r="K504" i="2"/>
  <c r="L503" i="2"/>
  <c r="I502" i="2"/>
  <c r="F502" i="2" s="1"/>
  <c r="E501" i="2"/>
  <c r="C505" i="2"/>
  <c r="E503" i="2"/>
  <c r="I501" i="2"/>
  <c r="F501" i="2" s="1"/>
  <c r="D503" i="2"/>
  <c r="G501" i="2"/>
  <c r="G502" i="2"/>
  <c r="N494" i="2"/>
  <c r="N495" i="2" s="1"/>
  <c r="N496" i="2" s="1"/>
  <c r="N497" i="2" s="1"/>
  <c r="N498" i="2" s="1"/>
  <c r="N499" i="2" s="1"/>
  <c r="N500" i="2" s="1"/>
  <c r="H493" i="2"/>
  <c r="E493" i="2" s="1"/>
  <c r="H492" i="2"/>
  <c r="C496" i="2"/>
  <c r="M494" i="2"/>
  <c r="J493" i="2"/>
  <c r="G493" i="2" s="1"/>
  <c r="K495" i="2"/>
  <c r="L494" i="2"/>
  <c r="I493" i="2"/>
  <c r="F493" i="2" s="1"/>
  <c r="E492" i="2"/>
  <c r="J492" i="2"/>
  <c r="G492" i="2" s="1"/>
  <c r="I492" i="2"/>
  <c r="D494" i="2"/>
  <c r="F492" i="2"/>
  <c r="M17" i="2"/>
  <c r="J16" i="2"/>
  <c r="E16" i="2"/>
  <c r="T16" i="2"/>
  <c r="F16" i="2"/>
  <c r="G16" i="2"/>
  <c r="C17" i="2"/>
  <c r="W17" i="2"/>
  <c r="P18" i="2"/>
  <c r="V16" i="2"/>
  <c r="O17" i="2"/>
  <c r="U16" i="2"/>
  <c r="N17" i="2"/>
  <c r="D18" i="2"/>
  <c r="L17" i="2"/>
  <c r="I16" i="2"/>
  <c r="K17" i="2"/>
  <c r="H16" i="2"/>
  <c r="I15" i="2"/>
  <c r="F15" i="2" s="1"/>
  <c r="O514" i="2" l="1"/>
  <c r="P515" i="2"/>
  <c r="N515" i="2"/>
  <c r="M520" i="2"/>
  <c r="K522" i="2"/>
  <c r="C519" i="2"/>
  <c r="D520" i="2"/>
  <c r="L520" i="2"/>
  <c r="C506" i="2"/>
  <c r="I503" i="2"/>
  <c r="F503" i="2" s="1"/>
  <c r="L504" i="2"/>
  <c r="K505" i="2"/>
  <c r="H504" i="2"/>
  <c r="M504" i="2"/>
  <c r="J503" i="2"/>
  <c r="G503" i="2" s="1"/>
  <c r="D504" i="2"/>
  <c r="H494" i="2"/>
  <c r="E494" i="2" s="1"/>
  <c r="I494" i="2"/>
  <c r="F494" i="2" s="1"/>
  <c r="L495" i="2"/>
  <c r="D495" i="2"/>
  <c r="C497" i="2"/>
  <c r="K496" i="2"/>
  <c r="H495" i="2"/>
  <c r="M495" i="2"/>
  <c r="J494" i="2"/>
  <c r="G494" i="2" s="1"/>
  <c r="C18" i="2"/>
  <c r="D19" i="2"/>
  <c r="O18" i="2"/>
  <c r="V17" i="2"/>
  <c r="T17" i="2" s="1"/>
  <c r="N18" i="2"/>
  <c r="U17" i="2"/>
  <c r="W18" i="2"/>
  <c r="P19" i="2"/>
  <c r="M18" i="2"/>
  <c r="J17" i="2"/>
  <c r="G17" i="2" s="1"/>
  <c r="I17" i="2"/>
  <c r="F17" i="2" s="1"/>
  <c r="L18" i="2"/>
  <c r="H17" i="2"/>
  <c r="E17" i="2" s="1"/>
  <c r="K18" i="2"/>
  <c r="O515" i="2" l="1"/>
  <c r="P516" i="2"/>
  <c r="N516" i="2"/>
  <c r="K523" i="2"/>
  <c r="M521" i="2"/>
  <c r="D521" i="2"/>
  <c r="L521" i="2"/>
  <c r="C520" i="2"/>
  <c r="D505" i="2"/>
  <c r="E504" i="2"/>
  <c r="M505" i="2"/>
  <c r="J504" i="2"/>
  <c r="G504" i="2" s="1"/>
  <c r="L505" i="2"/>
  <c r="I504" i="2"/>
  <c r="F504" i="2" s="1"/>
  <c r="K506" i="2"/>
  <c r="H505" i="2"/>
  <c r="C507" i="2"/>
  <c r="K497" i="2"/>
  <c r="H496" i="2"/>
  <c r="D496" i="2"/>
  <c r="E495" i="2"/>
  <c r="L496" i="2"/>
  <c r="I495" i="2"/>
  <c r="F495" i="2" s="1"/>
  <c r="M496" i="2"/>
  <c r="J495" i="2"/>
  <c r="G495" i="2" s="1"/>
  <c r="C498" i="2"/>
  <c r="V18" i="2"/>
  <c r="T18" i="2" s="1"/>
  <c r="O19" i="2"/>
  <c r="D20" i="2"/>
  <c r="U18" i="2"/>
  <c r="N19" i="2"/>
  <c r="M19" i="2"/>
  <c r="J18" i="2"/>
  <c r="G18" i="2" s="1"/>
  <c r="L19" i="2"/>
  <c r="I18" i="2"/>
  <c r="K19" i="2"/>
  <c r="H18" i="2"/>
  <c r="W19" i="2"/>
  <c r="P20" i="2"/>
  <c r="E18" i="2"/>
  <c r="F18" i="2"/>
  <c r="C19" i="2"/>
  <c r="O516" i="2" l="1"/>
  <c r="P517" i="2"/>
  <c r="N517" i="2"/>
  <c r="C521" i="2"/>
  <c r="L522" i="2"/>
  <c r="D522" i="2"/>
  <c r="M522" i="2"/>
  <c r="K524" i="2"/>
  <c r="C508" i="2"/>
  <c r="H506" i="2"/>
  <c r="K507" i="2"/>
  <c r="M506" i="2"/>
  <c r="J505" i="2"/>
  <c r="L506" i="2"/>
  <c r="I505" i="2"/>
  <c r="F505" i="2" s="1"/>
  <c r="G505" i="2"/>
  <c r="D506" i="2"/>
  <c r="E505" i="2"/>
  <c r="C499" i="2"/>
  <c r="M497" i="2"/>
  <c r="J496" i="2"/>
  <c r="G496" i="2" s="1"/>
  <c r="D497" i="2"/>
  <c r="E496" i="2"/>
  <c r="L497" i="2"/>
  <c r="I496" i="2"/>
  <c r="F496" i="2" s="1"/>
  <c r="H497" i="2"/>
  <c r="K498" i="2"/>
  <c r="L20" i="2"/>
  <c r="I19" i="2"/>
  <c r="F19" i="2"/>
  <c r="C20" i="2"/>
  <c r="K20" i="2"/>
  <c r="H19" i="2"/>
  <c r="E19" i="2" s="1"/>
  <c r="M20" i="2"/>
  <c r="J19" i="2"/>
  <c r="P21" i="2"/>
  <c r="W20" i="2"/>
  <c r="U19" i="2"/>
  <c r="N20" i="2"/>
  <c r="D21" i="2"/>
  <c r="G19" i="2"/>
  <c r="V19" i="2"/>
  <c r="T19" i="2" s="1"/>
  <c r="O20" i="2"/>
  <c r="O517" i="2" l="1"/>
  <c r="P518" i="2"/>
  <c r="J517" i="2"/>
  <c r="G517" i="2" s="1"/>
  <c r="N518" i="2"/>
  <c r="H517" i="2"/>
  <c r="E517" i="2" s="1"/>
  <c r="M523" i="2"/>
  <c r="D523" i="2"/>
  <c r="L523" i="2"/>
  <c r="C522" i="2"/>
  <c r="K525" i="2"/>
  <c r="D507" i="2"/>
  <c r="E506" i="2"/>
  <c r="M507" i="2"/>
  <c r="J506" i="2"/>
  <c r="G506" i="2" s="1"/>
  <c r="I506" i="2"/>
  <c r="F506" i="2" s="1"/>
  <c r="L507" i="2"/>
  <c r="K508" i="2"/>
  <c r="H507" i="2"/>
  <c r="C509" i="2"/>
  <c r="I497" i="2"/>
  <c r="F497" i="2" s="1"/>
  <c r="L498" i="2"/>
  <c r="M498" i="2"/>
  <c r="J497" i="2"/>
  <c r="G497" i="2" s="1"/>
  <c r="D498" i="2"/>
  <c r="E497" i="2"/>
  <c r="C500" i="2"/>
  <c r="K499" i="2"/>
  <c r="H498" i="2"/>
  <c r="K21" i="2"/>
  <c r="H20" i="2"/>
  <c r="M21" i="2"/>
  <c r="J20" i="2"/>
  <c r="G20" i="2" s="1"/>
  <c r="O21" i="2"/>
  <c r="V20" i="2"/>
  <c r="T20" i="2" s="1"/>
  <c r="D22" i="2"/>
  <c r="E20" i="2"/>
  <c r="C21" i="2"/>
  <c r="U20" i="2"/>
  <c r="N21" i="2"/>
  <c r="I20" i="2"/>
  <c r="F20" i="2" s="1"/>
  <c r="L21" i="2"/>
  <c r="W21" i="2"/>
  <c r="P22" i="2"/>
  <c r="O518" i="2" l="1"/>
  <c r="I517" i="2"/>
  <c r="F517" i="2" s="1"/>
  <c r="P519" i="2"/>
  <c r="J518" i="2"/>
  <c r="G518" i="2" s="1"/>
  <c r="N519" i="2"/>
  <c r="H518" i="2"/>
  <c r="E518" i="2" s="1"/>
  <c r="C523" i="2"/>
  <c r="K526" i="2"/>
  <c r="L524" i="2"/>
  <c r="D524" i="2"/>
  <c r="M524" i="2"/>
  <c r="L508" i="2"/>
  <c r="I507" i="2"/>
  <c r="F507" i="2" s="1"/>
  <c r="K509" i="2"/>
  <c r="H508" i="2"/>
  <c r="M508" i="2"/>
  <c r="J507" i="2"/>
  <c r="C510" i="2"/>
  <c r="D508" i="2"/>
  <c r="G507" i="2"/>
  <c r="E507" i="2"/>
  <c r="D499" i="2"/>
  <c r="E498" i="2"/>
  <c r="M499" i="2"/>
  <c r="J498" i="2"/>
  <c r="G498" i="2" s="1"/>
  <c r="L499" i="2"/>
  <c r="I498" i="2"/>
  <c r="F498" i="2" s="1"/>
  <c r="K500" i="2"/>
  <c r="H500" i="2" s="1"/>
  <c r="H499" i="2"/>
  <c r="D23" i="2"/>
  <c r="P23" i="2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W22" i="2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U21" i="2"/>
  <c r="N22" i="2"/>
  <c r="L22" i="2"/>
  <c r="I21" i="2"/>
  <c r="F21" i="2" s="1"/>
  <c r="C22" i="2"/>
  <c r="V21" i="2"/>
  <c r="T21" i="2" s="1"/>
  <c r="O22" i="2"/>
  <c r="M22" i="2"/>
  <c r="J21" i="2"/>
  <c r="G21" i="2" s="1"/>
  <c r="K22" i="2"/>
  <c r="H21" i="2"/>
  <c r="E21" i="2" s="1"/>
  <c r="W493" i="2" l="1"/>
  <c r="O519" i="2"/>
  <c r="I518" i="2"/>
  <c r="F518" i="2" s="1"/>
  <c r="P520" i="2"/>
  <c r="J519" i="2"/>
  <c r="G519" i="2" s="1"/>
  <c r="N520" i="2"/>
  <c r="H519" i="2"/>
  <c r="E519" i="2" s="1"/>
  <c r="D525" i="2"/>
  <c r="L525" i="2"/>
  <c r="K527" i="2"/>
  <c r="M525" i="2"/>
  <c r="C524" i="2"/>
  <c r="C511" i="2"/>
  <c r="D509" i="2"/>
  <c r="E508" i="2"/>
  <c r="M509" i="2"/>
  <c r="J508" i="2"/>
  <c r="G508" i="2" s="1"/>
  <c r="H509" i="2"/>
  <c r="K510" i="2"/>
  <c r="L509" i="2"/>
  <c r="I508" i="2"/>
  <c r="F508" i="2" s="1"/>
  <c r="L500" i="2"/>
  <c r="I500" i="2" s="1"/>
  <c r="I499" i="2"/>
  <c r="F499" i="2" s="1"/>
  <c r="M500" i="2"/>
  <c r="J500" i="2" s="1"/>
  <c r="J499" i="2"/>
  <c r="G499" i="2"/>
  <c r="D500" i="2"/>
  <c r="E499" i="2"/>
  <c r="K23" i="2"/>
  <c r="H22" i="2"/>
  <c r="O23" i="2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V22" i="2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C23" i="2"/>
  <c r="E22" i="2"/>
  <c r="G22" i="2"/>
  <c r="J22" i="2"/>
  <c r="M23" i="2"/>
  <c r="T22" i="2"/>
  <c r="T23" i="2"/>
  <c r="D24" i="2"/>
  <c r="I22" i="2"/>
  <c r="F22" i="2" s="1"/>
  <c r="L23" i="2"/>
  <c r="N23" i="2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U22" i="2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l="1"/>
  <c r="V493" i="2"/>
  <c r="T492" i="2"/>
  <c r="W494" i="2"/>
  <c r="O520" i="2"/>
  <c r="I519" i="2"/>
  <c r="F519" i="2" s="1"/>
  <c r="P521" i="2"/>
  <c r="J520" i="2"/>
  <c r="G520" i="2" s="1"/>
  <c r="N521" i="2"/>
  <c r="H520" i="2"/>
  <c r="E520" i="2" s="1"/>
  <c r="C525" i="2"/>
  <c r="M526" i="2"/>
  <c r="L526" i="2"/>
  <c r="K528" i="2"/>
  <c r="D526" i="2"/>
  <c r="K511" i="2"/>
  <c r="H510" i="2"/>
  <c r="M510" i="2"/>
  <c r="J509" i="2"/>
  <c r="D510" i="2"/>
  <c r="G509" i="2"/>
  <c r="E509" i="2"/>
  <c r="C512" i="2"/>
  <c r="I509" i="2"/>
  <c r="F509" i="2" s="1"/>
  <c r="L510" i="2"/>
  <c r="G500" i="2"/>
  <c r="E500" i="2"/>
  <c r="F500" i="2"/>
  <c r="M24" i="2"/>
  <c r="J23" i="2"/>
  <c r="G23" i="2" s="1"/>
  <c r="K24" i="2"/>
  <c r="H23" i="2"/>
  <c r="E23" i="2" s="1"/>
  <c r="L24" i="2"/>
  <c r="I23" i="2"/>
  <c r="F23" i="2"/>
  <c r="C24" i="2"/>
  <c r="D25" i="2"/>
  <c r="T24" i="2"/>
  <c r="W495" i="2" l="1"/>
  <c r="V494" i="2"/>
  <c r="T493" i="2"/>
  <c r="U494" i="2"/>
  <c r="O521" i="2"/>
  <c r="I520" i="2"/>
  <c r="F520" i="2" s="1"/>
  <c r="P522" i="2"/>
  <c r="J521" i="2"/>
  <c r="G521" i="2" s="1"/>
  <c r="N522" i="2"/>
  <c r="H521" i="2"/>
  <c r="E521" i="2" s="1"/>
  <c r="C526" i="2"/>
  <c r="D527" i="2"/>
  <c r="L527" i="2"/>
  <c r="M527" i="2"/>
  <c r="C513" i="2"/>
  <c r="M511" i="2"/>
  <c r="J510" i="2"/>
  <c r="D511" i="2"/>
  <c r="G510" i="2"/>
  <c r="E510" i="2"/>
  <c r="L511" i="2"/>
  <c r="I510" i="2"/>
  <c r="F510" i="2" s="1"/>
  <c r="K512" i="2"/>
  <c r="H511" i="2"/>
  <c r="D26" i="2"/>
  <c r="L25" i="2"/>
  <c r="I24" i="2"/>
  <c r="F24" i="2" s="1"/>
  <c r="H24" i="2"/>
  <c r="K25" i="2"/>
  <c r="M25" i="2"/>
  <c r="J24" i="2"/>
  <c r="G24" i="2" s="1"/>
  <c r="C25" i="2"/>
  <c r="T25" i="2" s="1"/>
  <c r="E24" i="2"/>
  <c r="U495" i="2" l="1"/>
  <c r="V495" i="2"/>
  <c r="T494" i="2"/>
  <c r="W496" i="2"/>
  <c r="O522" i="2"/>
  <c r="I521" i="2"/>
  <c r="F521" i="2" s="1"/>
  <c r="P523" i="2"/>
  <c r="J522" i="2"/>
  <c r="G522" i="2" s="1"/>
  <c r="N523" i="2"/>
  <c r="H522" i="2"/>
  <c r="E522" i="2" s="1"/>
  <c r="M528" i="2"/>
  <c r="L528" i="2"/>
  <c r="D528" i="2"/>
  <c r="C527" i="2"/>
  <c r="L512" i="2"/>
  <c r="I511" i="2"/>
  <c r="F511" i="2" s="1"/>
  <c r="D512" i="2"/>
  <c r="E511" i="2"/>
  <c r="M512" i="2"/>
  <c r="J511" i="2"/>
  <c r="G511" i="2" s="1"/>
  <c r="H512" i="2"/>
  <c r="K513" i="2"/>
  <c r="C514" i="2"/>
  <c r="L26" i="2"/>
  <c r="I25" i="2"/>
  <c r="F25" i="2" s="1"/>
  <c r="D27" i="2"/>
  <c r="M26" i="2"/>
  <c r="J25" i="2"/>
  <c r="G25" i="2" s="1"/>
  <c r="E25" i="2"/>
  <c r="C26" i="2"/>
  <c r="K26" i="2"/>
  <c r="H25" i="2"/>
  <c r="W497" i="2" l="1"/>
  <c r="V496" i="2"/>
  <c r="T495" i="2"/>
  <c r="U496" i="2"/>
  <c r="O523" i="2"/>
  <c r="I522" i="2"/>
  <c r="F522" i="2" s="1"/>
  <c r="P524" i="2"/>
  <c r="J523" i="2"/>
  <c r="G523" i="2" s="1"/>
  <c r="N524" i="2"/>
  <c r="H523" i="2"/>
  <c r="E523" i="2" s="1"/>
  <c r="C528" i="2"/>
  <c r="K514" i="2"/>
  <c r="H513" i="2"/>
  <c r="M513" i="2"/>
  <c r="J512" i="2"/>
  <c r="D513" i="2"/>
  <c r="G512" i="2"/>
  <c r="E512" i="2"/>
  <c r="C515" i="2"/>
  <c r="I512" i="2"/>
  <c r="F512" i="2" s="1"/>
  <c r="L513" i="2"/>
  <c r="I26" i="2"/>
  <c r="F26" i="2" s="1"/>
  <c r="L27" i="2"/>
  <c r="K27" i="2"/>
  <c r="H26" i="2"/>
  <c r="E26" i="2" s="1"/>
  <c r="C27" i="2"/>
  <c r="M27" i="2"/>
  <c r="J26" i="2"/>
  <c r="D28" i="2"/>
  <c r="T27" i="2"/>
  <c r="G26" i="2"/>
  <c r="T26" i="2"/>
  <c r="U497" i="2" l="1"/>
  <c r="V497" i="2"/>
  <c r="T496" i="2"/>
  <c r="W498" i="2"/>
  <c r="O524" i="2"/>
  <c r="I523" i="2"/>
  <c r="F523" i="2" s="1"/>
  <c r="P525" i="2"/>
  <c r="J524" i="2"/>
  <c r="G524" i="2" s="1"/>
  <c r="N525" i="2"/>
  <c r="H524" i="2"/>
  <c r="E524" i="2" s="1"/>
  <c r="D514" i="2"/>
  <c r="E513" i="2"/>
  <c r="C516" i="2"/>
  <c r="M514" i="2"/>
  <c r="J513" i="2"/>
  <c r="G513" i="2" s="1"/>
  <c r="L514" i="2"/>
  <c r="I513" i="2"/>
  <c r="F513" i="2" s="1"/>
  <c r="K515" i="2"/>
  <c r="H514" i="2"/>
  <c r="H27" i="2"/>
  <c r="K28" i="2"/>
  <c r="L28" i="2"/>
  <c r="I27" i="2"/>
  <c r="J27" i="2"/>
  <c r="G27" i="2" s="1"/>
  <c r="M28" i="2"/>
  <c r="C28" i="2"/>
  <c r="E27" i="2"/>
  <c r="F27" i="2"/>
  <c r="D29" i="2"/>
  <c r="W499" i="2" l="1"/>
  <c r="V498" i="2"/>
  <c r="T497" i="2"/>
  <c r="U498" i="2"/>
  <c r="O525" i="2"/>
  <c r="I524" i="2"/>
  <c r="F524" i="2" s="1"/>
  <c r="P526" i="2"/>
  <c r="J525" i="2"/>
  <c r="G525" i="2" s="1"/>
  <c r="N526" i="2"/>
  <c r="H525" i="2"/>
  <c r="E525" i="2" s="1"/>
  <c r="M515" i="2"/>
  <c r="J514" i="2"/>
  <c r="G514" i="2" s="1"/>
  <c r="D515" i="2"/>
  <c r="E514" i="2"/>
  <c r="L515" i="2"/>
  <c r="I514" i="2"/>
  <c r="F514" i="2" s="1"/>
  <c r="H515" i="2"/>
  <c r="K516" i="2"/>
  <c r="H516" i="2" s="1"/>
  <c r="M29" i="2"/>
  <c r="J28" i="2"/>
  <c r="G28" i="2" s="1"/>
  <c r="C29" i="2"/>
  <c r="E28" i="2"/>
  <c r="L29" i="2"/>
  <c r="I28" i="2"/>
  <c r="F28" i="2" s="1"/>
  <c r="K29" i="2"/>
  <c r="H28" i="2"/>
  <c r="D30" i="2"/>
  <c r="T29" i="2"/>
  <c r="T28" i="2"/>
  <c r="U499" i="2" l="1"/>
  <c r="V499" i="2"/>
  <c r="T498" i="2"/>
  <c r="W500" i="2"/>
  <c r="O526" i="2"/>
  <c r="I525" i="2"/>
  <c r="F525" i="2" s="1"/>
  <c r="P527" i="2"/>
  <c r="J526" i="2"/>
  <c r="G526" i="2" s="1"/>
  <c r="N527" i="2"/>
  <c r="H526" i="2"/>
  <c r="E526" i="2" s="1"/>
  <c r="I515" i="2"/>
  <c r="F515" i="2" s="1"/>
  <c r="L516" i="2"/>
  <c r="I516" i="2" s="1"/>
  <c r="D516" i="2"/>
  <c r="E515" i="2"/>
  <c r="M516" i="2"/>
  <c r="J516" i="2" s="1"/>
  <c r="J515" i="2"/>
  <c r="G515" i="2" s="1"/>
  <c r="D31" i="2"/>
  <c r="I29" i="2"/>
  <c r="L30" i="2"/>
  <c r="E29" i="2"/>
  <c r="F29" i="2"/>
  <c r="C30" i="2"/>
  <c r="H29" i="2"/>
  <c r="K30" i="2"/>
  <c r="M30" i="2"/>
  <c r="J29" i="2"/>
  <c r="G29" i="2"/>
  <c r="W501" i="2" l="1"/>
  <c r="V500" i="2"/>
  <c r="T499" i="2"/>
  <c r="U500" i="2"/>
  <c r="O527" i="2"/>
  <c r="I526" i="2"/>
  <c r="F526" i="2" s="1"/>
  <c r="P528" i="2"/>
  <c r="J527" i="2"/>
  <c r="G527" i="2" s="1"/>
  <c r="N528" i="2"/>
  <c r="H527" i="2"/>
  <c r="E527" i="2" s="1"/>
  <c r="G516" i="2"/>
  <c r="E516" i="2"/>
  <c r="F516" i="2"/>
  <c r="C31" i="2"/>
  <c r="D32" i="2"/>
  <c r="T31" i="2"/>
  <c r="M31" i="2"/>
  <c r="J30" i="2"/>
  <c r="G30" i="2" s="1"/>
  <c r="T30" i="2"/>
  <c r="K31" i="2"/>
  <c r="H30" i="2"/>
  <c r="E30" i="2" s="1"/>
  <c r="L31" i="2"/>
  <c r="I30" i="2"/>
  <c r="F30" i="2" s="1"/>
  <c r="U501" i="2" l="1"/>
  <c r="V501" i="2"/>
  <c r="T500" i="2"/>
  <c r="W502" i="2"/>
  <c r="O528" i="2"/>
  <c r="I527" i="2"/>
  <c r="F527" i="2" s="1"/>
  <c r="P529" i="2"/>
  <c r="J528" i="2"/>
  <c r="G528" i="2" s="1"/>
  <c r="N529" i="2"/>
  <c r="H528" i="2"/>
  <c r="E528" i="2" s="1"/>
  <c r="J31" i="2"/>
  <c r="G31" i="2" s="1"/>
  <c r="M32" i="2"/>
  <c r="D33" i="2"/>
  <c r="L32" i="2"/>
  <c r="I31" i="2"/>
  <c r="F31" i="2" s="1"/>
  <c r="C32" i="2"/>
  <c r="E31" i="2"/>
  <c r="K32" i="2"/>
  <c r="H31" i="2"/>
  <c r="W503" i="2" l="1"/>
  <c r="V502" i="2"/>
  <c r="T501" i="2"/>
  <c r="U502" i="2"/>
  <c r="O529" i="2"/>
  <c r="I528" i="2"/>
  <c r="F528" i="2" s="1"/>
  <c r="P530" i="2"/>
  <c r="J529" i="2"/>
  <c r="G529" i="2" s="1"/>
  <c r="N530" i="2"/>
  <c r="H529" i="2"/>
  <c r="E529" i="2" s="1"/>
  <c r="E32" i="2"/>
  <c r="F32" i="2"/>
  <c r="C33" i="2"/>
  <c r="M33" i="2"/>
  <c r="J32" i="2"/>
  <c r="I32" i="2"/>
  <c r="L33" i="2"/>
  <c r="G32" i="2"/>
  <c r="T32" i="2"/>
  <c r="K33" i="2"/>
  <c r="H32" i="2"/>
  <c r="T33" i="2"/>
  <c r="D34" i="2"/>
  <c r="U503" i="2" l="1"/>
  <c r="V503" i="2"/>
  <c r="T502" i="2"/>
  <c r="W504" i="2"/>
  <c r="O530" i="2"/>
  <c r="I529" i="2"/>
  <c r="F529" i="2" s="1"/>
  <c r="S533" i="2"/>
  <c r="J530" i="2"/>
  <c r="G530" i="2" s="1"/>
  <c r="H530" i="2"/>
  <c r="E530" i="2" s="1"/>
  <c r="Q533" i="2"/>
  <c r="T34" i="2"/>
  <c r="D35" i="2"/>
  <c r="L34" i="2"/>
  <c r="I33" i="2"/>
  <c r="F33" i="2" s="1"/>
  <c r="H33" i="2"/>
  <c r="E33" i="2" s="1"/>
  <c r="K34" i="2"/>
  <c r="M34" i="2"/>
  <c r="J33" i="2"/>
  <c r="G33" i="2" s="1"/>
  <c r="C34" i="2"/>
  <c r="W505" i="2" l="1"/>
  <c r="V504" i="2"/>
  <c r="T503" i="2"/>
  <c r="U504" i="2"/>
  <c r="R533" i="2"/>
  <c r="I530" i="2"/>
  <c r="F530" i="2" s="1"/>
  <c r="J34" i="2"/>
  <c r="G34" i="2" s="1"/>
  <c r="M35" i="2"/>
  <c r="I34" i="2"/>
  <c r="L35" i="2"/>
  <c r="K35" i="2"/>
  <c r="H34" i="2"/>
  <c r="D36" i="2"/>
  <c r="C35" i="2"/>
  <c r="F34" i="2"/>
  <c r="E34" i="2"/>
  <c r="U505" i="2" l="1"/>
  <c r="V505" i="2"/>
  <c r="T504" i="2"/>
  <c r="W506" i="2"/>
  <c r="L36" i="2"/>
  <c r="I35" i="2"/>
  <c r="F35" i="2"/>
  <c r="C36" i="2"/>
  <c r="M36" i="2"/>
  <c r="J35" i="2"/>
  <c r="G35" i="2" s="1"/>
  <c r="D37" i="2"/>
  <c r="T35" i="2"/>
  <c r="K36" i="2"/>
  <c r="H35" i="2"/>
  <c r="E35" i="2" s="1"/>
  <c r="W507" i="2" l="1"/>
  <c r="V506" i="2"/>
  <c r="T505" i="2"/>
  <c r="U506" i="2"/>
  <c r="C37" i="2"/>
  <c r="M37" i="2"/>
  <c r="J36" i="2"/>
  <c r="G36" i="2" s="1"/>
  <c r="H36" i="2"/>
  <c r="E36" i="2" s="1"/>
  <c r="K37" i="2"/>
  <c r="L37" i="2"/>
  <c r="I36" i="2"/>
  <c r="F36" i="2" s="1"/>
  <c r="T36" i="2"/>
  <c r="T37" i="2"/>
  <c r="D38" i="2"/>
  <c r="U507" i="2" l="1"/>
  <c r="V507" i="2"/>
  <c r="T506" i="2"/>
  <c r="W508" i="2"/>
  <c r="J37" i="2"/>
  <c r="G37" i="2" s="1"/>
  <c r="M38" i="2"/>
  <c r="D39" i="2"/>
  <c r="L38" i="2"/>
  <c r="I37" i="2"/>
  <c r="K38" i="2"/>
  <c r="H37" i="2"/>
  <c r="E37" i="2" s="1"/>
  <c r="F37" i="2"/>
  <c r="C38" i="2"/>
  <c r="T38" i="2" s="1"/>
  <c r="W509" i="2" l="1"/>
  <c r="V508" i="2"/>
  <c r="T507" i="2"/>
  <c r="U508" i="2"/>
  <c r="K39" i="2"/>
  <c r="H38" i="2"/>
  <c r="D40" i="2"/>
  <c r="I38" i="2"/>
  <c r="L39" i="2"/>
  <c r="E38" i="2"/>
  <c r="F38" i="2"/>
  <c r="C39" i="2"/>
  <c r="M39" i="2"/>
  <c r="J38" i="2"/>
  <c r="G38" i="2"/>
  <c r="U509" i="2" l="1"/>
  <c r="V509" i="2"/>
  <c r="T508" i="2"/>
  <c r="W510" i="2"/>
  <c r="D41" i="2"/>
  <c r="T40" i="2"/>
  <c r="J39" i="2"/>
  <c r="G39" i="2" s="1"/>
  <c r="M40" i="2"/>
  <c r="C40" i="2"/>
  <c r="L40" i="2"/>
  <c r="I39" i="2"/>
  <c r="F39" i="2" s="1"/>
  <c r="H39" i="2"/>
  <c r="E39" i="2" s="1"/>
  <c r="K40" i="2"/>
  <c r="T39" i="2"/>
  <c r="W511" i="2" l="1"/>
  <c r="V510" i="2"/>
  <c r="T509" i="2"/>
  <c r="U510" i="2"/>
  <c r="H40" i="2"/>
  <c r="K41" i="2"/>
  <c r="L41" i="2"/>
  <c r="I40" i="2"/>
  <c r="D42" i="2"/>
  <c r="C41" i="2"/>
  <c r="E40" i="2"/>
  <c r="F40" i="2"/>
  <c r="M41" i="2"/>
  <c r="J40" i="2"/>
  <c r="G40" i="2" s="1"/>
  <c r="U511" i="2" l="1"/>
  <c r="V511" i="2"/>
  <c r="T510" i="2"/>
  <c r="W512" i="2"/>
  <c r="E41" i="2"/>
  <c r="F41" i="2"/>
  <c r="C42" i="2"/>
  <c r="T42" i="2" s="1"/>
  <c r="D43" i="2"/>
  <c r="T41" i="2"/>
  <c r="H41" i="2"/>
  <c r="K42" i="2"/>
  <c r="M42" i="2"/>
  <c r="J41" i="2"/>
  <c r="G41" i="2" s="1"/>
  <c r="I41" i="2"/>
  <c r="L42" i="2"/>
  <c r="V512" i="2" l="1"/>
  <c r="T511" i="2"/>
  <c r="W513" i="2"/>
  <c r="U512" i="2"/>
  <c r="E42" i="2"/>
  <c r="F42" i="2"/>
  <c r="C43" i="2"/>
  <c r="J42" i="2"/>
  <c r="M43" i="2"/>
  <c r="L43" i="2"/>
  <c r="I42" i="2"/>
  <c r="K43" i="2"/>
  <c r="H42" i="2"/>
  <c r="D44" i="2"/>
  <c r="T43" i="2"/>
  <c r="G42" i="2"/>
  <c r="U513" i="2" l="1"/>
  <c r="W514" i="2"/>
  <c r="V513" i="2"/>
  <c r="T512" i="2"/>
  <c r="L44" i="2"/>
  <c r="I43" i="2"/>
  <c r="J43" i="2"/>
  <c r="G43" i="2" s="1"/>
  <c r="M44" i="2"/>
  <c r="F43" i="2"/>
  <c r="C44" i="2"/>
  <c r="T44" i="2" s="1"/>
  <c r="E43" i="2"/>
  <c r="D45" i="2"/>
  <c r="K44" i="2"/>
  <c r="H43" i="2"/>
  <c r="V514" i="2" l="1"/>
  <c r="T513" i="2"/>
  <c r="W515" i="2"/>
  <c r="U514" i="2"/>
  <c r="D46" i="2"/>
  <c r="M45" i="2"/>
  <c r="J44" i="2"/>
  <c r="G44" i="2" s="1"/>
  <c r="C45" i="2"/>
  <c r="F44" i="2"/>
  <c r="H44" i="2"/>
  <c r="E44" i="2" s="1"/>
  <c r="K45" i="2"/>
  <c r="I44" i="2"/>
  <c r="L45" i="2"/>
  <c r="W516" i="2" l="1"/>
  <c r="U515" i="2"/>
  <c r="V515" i="2"/>
  <c r="T514" i="2"/>
  <c r="H45" i="2"/>
  <c r="E45" i="2" s="1"/>
  <c r="K46" i="2"/>
  <c r="C46" i="2"/>
  <c r="J45" i="2"/>
  <c r="G45" i="2" s="1"/>
  <c r="M46" i="2"/>
  <c r="T46" i="2"/>
  <c r="D47" i="2"/>
  <c r="I45" i="2"/>
  <c r="F45" i="2" s="1"/>
  <c r="L46" i="2"/>
  <c r="T45" i="2"/>
  <c r="V516" i="2" l="1"/>
  <c r="T515" i="2"/>
  <c r="U516" i="2"/>
  <c r="W517" i="2"/>
  <c r="D48" i="2"/>
  <c r="M47" i="2"/>
  <c r="J46" i="2"/>
  <c r="G46" i="2" s="1"/>
  <c r="I46" i="2"/>
  <c r="L47" i="2"/>
  <c r="F46" i="2"/>
  <c r="C47" i="2"/>
  <c r="E46" i="2"/>
  <c r="K47" i="2"/>
  <c r="H46" i="2"/>
  <c r="U517" i="2" l="1"/>
  <c r="V517" i="2"/>
  <c r="T516" i="2"/>
  <c r="W518" i="2"/>
  <c r="C48" i="2"/>
  <c r="L48" i="2"/>
  <c r="I47" i="2"/>
  <c r="F47" i="2" s="1"/>
  <c r="M48" i="2"/>
  <c r="J47" i="2"/>
  <c r="T48" i="2"/>
  <c r="D49" i="2"/>
  <c r="T47" i="2"/>
  <c r="H47" i="2"/>
  <c r="E47" i="2" s="1"/>
  <c r="K48" i="2"/>
  <c r="G47" i="2"/>
  <c r="W519" i="2" l="1"/>
  <c r="T517" i="2"/>
  <c r="V518" i="2"/>
  <c r="U518" i="2"/>
  <c r="L49" i="2"/>
  <c r="I48" i="2"/>
  <c r="J48" i="2"/>
  <c r="G48" i="2" s="1"/>
  <c r="M49" i="2"/>
  <c r="T49" i="2"/>
  <c r="D50" i="2"/>
  <c r="F48" i="2"/>
  <c r="E48" i="2"/>
  <c r="C49" i="2"/>
  <c r="K49" i="2"/>
  <c r="H48" i="2"/>
  <c r="U519" i="2" l="1"/>
  <c r="T518" i="2"/>
  <c r="V519" i="2"/>
  <c r="W520" i="2"/>
  <c r="D51" i="2"/>
  <c r="J49" i="2"/>
  <c r="G49" i="2" s="1"/>
  <c r="M50" i="2"/>
  <c r="K50" i="2"/>
  <c r="H49" i="2"/>
  <c r="E49" i="2" s="1"/>
  <c r="I49" i="2"/>
  <c r="F49" i="2" s="1"/>
  <c r="L50" i="2"/>
  <c r="C50" i="2"/>
  <c r="T50" i="2" s="1"/>
  <c r="W521" i="2" l="1"/>
  <c r="T519" i="2"/>
  <c r="V520" i="2"/>
  <c r="U520" i="2"/>
  <c r="H50" i="2"/>
  <c r="K51" i="2"/>
  <c r="D52" i="2"/>
  <c r="J50" i="2"/>
  <c r="G50" i="2" s="1"/>
  <c r="M51" i="2"/>
  <c r="E50" i="2"/>
  <c r="C51" i="2"/>
  <c r="F50" i="2"/>
  <c r="I50" i="2"/>
  <c r="L51" i="2"/>
  <c r="U521" i="2" l="1"/>
  <c r="T520" i="2"/>
  <c r="V521" i="2"/>
  <c r="W522" i="2"/>
  <c r="J51" i="2"/>
  <c r="M52" i="2"/>
  <c r="H51" i="2"/>
  <c r="K52" i="2"/>
  <c r="I51" i="2"/>
  <c r="L52" i="2"/>
  <c r="D53" i="2"/>
  <c r="C52" i="2"/>
  <c r="F51" i="2"/>
  <c r="E51" i="2"/>
  <c r="T51" i="2"/>
  <c r="G51" i="2"/>
  <c r="W523" i="2" l="1"/>
  <c r="T521" i="2"/>
  <c r="V522" i="2"/>
  <c r="U522" i="2"/>
  <c r="I52" i="2"/>
  <c r="L53" i="2"/>
  <c r="H52" i="2"/>
  <c r="K53" i="2"/>
  <c r="F52" i="2"/>
  <c r="E52" i="2"/>
  <c r="C53" i="2"/>
  <c r="M53" i="2"/>
  <c r="J52" i="2"/>
  <c r="G52" i="2" s="1"/>
  <c r="D54" i="2"/>
  <c r="T52" i="2"/>
  <c r="U523" i="2" l="1"/>
  <c r="V523" i="2"/>
  <c r="T522" i="2"/>
  <c r="W524" i="2"/>
  <c r="M54" i="2"/>
  <c r="J53" i="2"/>
  <c r="F53" i="2"/>
  <c r="C54" i="2"/>
  <c r="T53" i="2"/>
  <c r="L54" i="2"/>
  <c r="I53" i="2"/>
  <c r="D55" i="2"/>
  <c r="H53" i="2"/>
  <c r="E53" i="2" s="1"/>
  <c r="K54" i="2"/>
  <c r="G53" i="2"/>
  <c r="W525" i="2" l="1"/>
  <c r="V524" i="2"/>
  <c r="T523" i="2"/>
  <c r="U524" i="2"/>
  <c r="K55" i="2"/>
  <c r="H54" i="2"/>
  <c r="F54" i="2"/>
  <c r="E54" i="2"/>
  <c r="C55" i="2"/>
  <c r="L55" i="2"/>
  <c r="I54" i="2"/>
  <c r="D56" i="2"/>
  <c r="T55" i="2"/>
  <c r="G54" i="2"/>
  <c r="M55" i="2"/>
  <c r="J54" i="2"/>
  <c r="T54" i="2"/>
  <c r="U525" i="2" l="1"/>
  <c r="V525" i="2"/>
  <c r="T524" i="2"/>
  <c r="W526" i="2"/>
  <c r="C56" i="2"/>
  <c r="D57" i="2"/>
  <c r="T56" i="2"/>
  <c r="K56" i="2"/>
  <c r="H55" i="2"/>
  <c r="E55" i="2" s="1"/>
  <c r="J55" i="2"/>
  <c r="G55" i="2" s="1"/>
  <c r="M56" i="2"/>
  <c r="L56" i="2"/>
  <c r="I55" i="2"/>
  <c r="F55" i="2" s="1"/>
  <c r="T525" i="2" l="1"/>
  <c r="V526" i="2"/>
  <c r="U526" i="2"/>
  <c r="W527" i="2"/>
  <c r="D58" i="2"/>
  <c r="C57" i="2"/>
  <c r="E56" i="2"/>
  <c r="L57" i="2"/>
  <c r="I56" i="2"/>
  <c r="F56" i="2" s="1"/>
  <c r="J56" i="2"/>
  <c r="G56" i="2" s="1"/>
  <c r="M57" i="2"/>
  <c r="H56" i="2"/>
  <c r="K57" i="2"/>
  <c r="U527" i="2" l="1"/>
  <c r="T526" i="2"/>
  <c r="V527" i="2"/>
  <c r="W528" i="2"/>
  <c r="I57" i="2"/>
  <c r="L58" i="2"/>
  <c r="F57" i="2"/>
  <c r="C58" i="2"/>
  <c r="E57" i="2"/>
  <c r="K58" i="2"/>
  <c r="H57" i="2"/>
  <c r="D59" i="2"/>
  <c r="G57" i="2"/>
  <c r="M58" i="2"/>
  <c r="J57" i="2"/>
  <c r="T57" i="2"/>
  <c r="W529" i="2" l="1"/>
  <c r="T527" i="2"/>
  <c r="V528" i="2"/>
  <c r="U528" i="2"/>
  <c r="K59" i="2"/>
  <c r="H58" i="2"/>
  <c r="M59" i="2"/>
  <c r="J58" i="2"/>
  <c r="E58" i="2"/>
  <c r="C59" i="2"/>
  <c r="D60" i="2"/>
  <c r="T59" i="2"/>
  <c r="I58" i="2"/>
  <c r="F58" i="2" s="1"/>
  <c r="L59" i="2"/>
  <c r="G58" i="2"/>
  <c r="T58" i="2"/>
  <c r="T528" i="2" l="1"/>
  <c r="V529" i="2"/>
  <c r="W530" i="2"/>
  <c r="U529" i="2"/>
  <c r="M60" i="2"/>
  <c r="J59" i="2"/>
  <c r="G59" i="2" s="1"/>
  <c r="H59" i="2"/>
  <c r="E59" i="2" s="1"/>
  <c r="K60" i="2"/>
  <c r="L60" i="2"/>
  <c r="I59" i="2"/>
  <c r="F59" i="2" s="1"/>
  <c r="T60" i="2"/>
  <c r="D61" i="2"/>
  <c r="C60" i="2"/>
  <c r="U530" i="2" l="1"/>
  <c r="V530" i="2"/>
  <c r="T529" i="2"/>
  <c r="K61" i="2"/>
  <c r="H60" i="2"/>
  <c r="L61" i="2"/>
  <c r="I60" i="2"/>
  <c r="F60" i="2" s="1"/>
  <c r="M61" i="2"/>
  <c r="J60" i="2"/>
  <c r="G60" i="2" s="1"/>
  <c r="C61" i="2"/>
  <c r="E60" i="2"/>
  <c r="D62" i="2"/>
  <c r="T530" i="2" l="1"/>
  <c r="L62" i="2"/>
  <c r="I61" i="2"/>
  <c r="D63" i="2"/>
  <c r="F61" i="2"/>
  <c r="C62" i="2"/>
  <c r="H61" i="2"/>
  <c r="E61" i="2" s="1"/>
  <c r="K62" i="2"/>
  <c r="T61" i="2"/>
  <c r="M62" i="2"/>
  <c r="J61" i="2"/>
  <c r="G61" i="2" s="1"/>
  <c r="H62" i="2" l="1"/>
  <c r="E62" i="2" s="1"/>
  <c r="K63" i="2"/>
  <c r="C63" i="2"/>
  <c r="J62" i="2"/>
  <c r="G62" i="2" s="1"/>
  <c r="M63" i="2"/>
  <c r="T63" i="2"/>
  <c r="D64" i="2"/>
  <c r="I62" i="2"/>
  <c r="F62" i="2" s="1"/>
  <c r="L63" i="2"/>
  <c r="T62" i="2"/>
  <c r="H63" i="2" l="1"/>
  <c r="K64" i="2"/>
  <c r="J63" i="2"/>
  <c r="G63" i="2" s="1"/>
  <c r="M64" i="2"/>
  <c r="C64" i="2"/>
  <c r="E63" i="2"/>
  <c r="F63" i="2"/>
  <c r="L64" i="2"/>
  <c r="I63" i="2"/>
  <c r="D65" i="2"/>
  <c r="M65" i="2" l="1"/>
  <c r="J64" i="2"/>
  <c r="G64" i="2" s="1"/>
  <c r="E64" i="2"/>
  <c r="F64" i="2"/>
  <c r="C65" i="2"/>
  <c r="H64" i="2"/>
  <c r="K65" i="2"/>
  <c r="D66" i="2"/>
  <c r="T64" i="2"/>
  <c r="L65" i="2"/>
  <c r="I64" i="2"/>
  <c r="H65" i="2" l="1"/>
  <c r="K66" i="2"/>
  <c r="C66" i="2"/>
  <c r="F65" i="2"/>
  <c r="E65" i="2"/>
  <c r="T65" i="2"/>
  <c r="I65" i="2"/>
  <c r="L66" i="2"/>
  <c r="T66" i="2"/>
  <c r="D67" i="2"/>
  <c r="G65" i="2"/>
  <c r="M66" i="2"/>
  <c r="J65" i="2"/>
  <c r="D68" i="2" l="1"/>
  <c r="L67" i="2"/>
  <c r="I66" i="2"/>
  <c r="F66" i="2" s="1"/>
  <c r="C67" i="2"/>
  <c r="K67" i="2"/>
  <c r="H66" i="2"/>
  <c r="E66" i="2" s="1"/>
  <c r="M67" i="2"/>
  <c r="J66" i="2"/>
  <c r="G66" i="2" s="1"/>
  <c r="L68" i="2" l="1"/>
  <c r="I67" i="2"/>
  <c r="K68" i="2"/>
  <c r="H67" i="2"/>
  <c r="E67" i="2" s="1"/>
  <c r="D69" i="2"/>
  <c r="T68" i="2"/>
  <c r="F67" i="2"/>
  <c r="C68" i="2"/>
  <c r="T67" i="2"/>
  <c r="M68" i="2"/>
  <c r="J67" i="2"/>
  <c r="G67" i="2" s="1"/>
  <c r="D70" i="2" l="1"/>
  <c r="L69" i="2"/>
  <c r="I68" i="2"/>
  <c r="F68" i="2" s="1"/>
  <c r="M69" i="2"/>
  <c r="J68" i="2"/>
  <c r="G68" i="2" s="1"/>
  <c r="K69" i="2"/>
  <c r="H68" i="2"/>
  <c r="E68" i="2" s="1"/>
  <c r="C69" i="2"/>
  <c r="T69" i="2" s="1"/>
  <c r="K70" i="2" l="1"/>
  <c r="H69" i="2"/>
  <c r="E69" i="2" s="1"/>
  <c r="T70" i="2"/>
  <c r="D71" i="2"/>
  <c r="M70" i="2"/>
  <c r="J69" i="2"/>
  <c r="G69" i="2" s="1"/>
  <c r="L70" i="2"/>
  <c r="I69" i="2"/>
  <c r="F69" i="2" s="1"/>
  <c r="C70" i="2"/>
  <c r="H70" i="2" l="1"/>
  <c r="K71" i="2"/>
  <c r="M71" i="2"/>
  <c r="J70" i="2"/>
  <c r="I70" i="2"/>
  <c r="L71" i="2"/>
  <c r="F70" i="2"/>
  <c r="C71" i="2"/>
  <c r="E70" i="2"/>
  <c r="D72" i="2"/>
  <c r="G70" i="2"/>
  <c r="E71" i="2" l="1"/>
  <c r="C72" i="2"/>
  <c r="L72" i="2"/>
  <c r="I71" i="2"/>
  <c r="F71" i="2" s="1"/>
  <c r="M72" i="2"/>
  <c r="J71" i="2"/>
  <c r="G71" i="2" s="1"/>
  <c r="H71" i="2"/>
  <c r="K72" i="2"/>
  <c r="T71" i="2"/>
  <c r="D73" i="2"/>
  <c r="I72" i="2" l="1"/>
  <c r="L73" i="2"/>
  <c r="C73" i="2"/>
  <c r="F72" i="2"/>
  <c r="H72" i="2"/>
  <c r="E72" i="2" s="1"/>
  <c r="K73" i="2"/>
  <c r="T72" i="2"/>
  <c r="D74" i="2"/>
  <c r="T73" i="2"/>
  <c r="J72" i="2"/>
  <c r="G72" i="2" s="1"/>
  <c r="M73" i="2"/>
  <c r="K74" i="2" l="1"/>
  <c r="H73" i="2"/>
  <c r="E73" i="2" s="1"/>
  <c r="C74" i="2"/>
  <c r="L74" i="2"/>
  <c r="I73" i="2"/>
  <c r="F73" i="2" s="1"/>
  <c r="M74" i="2"/>
  <c r="J73" i="2"/>
  <c r="D75" i="2"/>
  <c r="G73" i="2"/>
  <c r="T75" i="2" l="1"/>
  <c r="D76" i="2"/>
  <c r="H74" i="2"/>
  <c r="K75" i="2"/>
  <c r="M75" i="2"/>
  <c r="J74" i="2"/>
  <c r="G74" i="2" s="1"/>
  <c r="L75" i="2"/>
  <c r="I74" i="2"/>
  <c r="F74" i="2" s="1"/>
  <c r="C75" i="2"/>
  <c r="E74" i="2"/>
  <c r="T74" i="2"/>
  <c r="L76" i="2" l="1"/>
  <c r="I75" i="2"/>
  <c r="J75" i="2"/>
  <c r="G75" i="2" s="1"/>
  <c r="M76" i="2"/>
  <c r="K76" i="2"/>
  <c r="H75" i="2"/>
  <c r="E75" i="2"/>
  <c r="F75" i="2"/>
  <c r="C76" i="2"/>
  <c r="D77" i="2"/>
  <c r="C77" i="2" l="1"/>
  <c r="K77" i="2"/>
  <c r="H76" i="2"/>
  <c r="E76" i="2" s="1"/>
  <c r="D78" i="2"/>
  <c r="T77" i="2"/>
  <c r="J76" i="2"/>
  <c r="M77" i="2"/>
  <c r="G76" i="2"/>
  <c r="T76" i="2"/>
  <c r="L77" i="2"/>
  <c r="I76" i="2"/>
  <c r="F76" i="2" s="1"/>
  <c r="J77" i="2" l="1"/>
  <c r="G77" i="2" s="1"/>
  <c r="M78" i="2"/>
  <c r="D79" i="2"/>
  <c r="L78" i="2"/>
  <c r="I77" i="2"/>
  <c r="C78" i="2"/>
  <c r="T78" i="2" s="1"/>
  <c r="F77" i="2"/>
  <c r="H77" i="2"/>
  <c r="E77" i="2" s="1"/>
  <c r="K78" i="2"/>
  <c r="D80" i="2" l="1"/>
  <c r="L79" i="2"/>
  <c r="I78" i="2"/>
  <c r="H78" i="2"/>
  <c r="E78" i="2" s="1"/>
  <c r="K79" i="2"/>
  <c r="M79" i="2"/>
  <c r="J78" i="2"/>
  <c r="G78" i="2" s="1"/>
  <c r="C79" i="2"/>
  <c r="F78" i="2"/>
  <c r="H79" i="2" l="1"/>
  <c r="K80" i="2"/>
  <c r="I79" i="2"/>
  <c r="L80" i="2"/>
  <c r="D81" i="2"/>
  <c r="C80" i="2"/>
  <c r="E79" i="2"/>
  <c r="F79" i="2"/>
  <c r="G79" i="2"/>
  <c r="T79" i="2"/>
  <c r="M80" i="2"/>
  <c r="J79" i="2"/>
  <c r="K81" i="2" l="1"/>
  <c r="H80" i="2"/>
  <c r="L81" i="2"/>
  <c r="I80" i="2"/>
  <c r="E80" i="2"/>
  <c r="F80" i="2"/>
  <c r="C81" i="2"/>
  <c r="D82" i="2"/>
  <c r="T81" i="2"/>
  <c r="T80" i="2"/>
  <c r="M81" i="2"/>
  <c r="J80" i="2"/>
  <c r="G80" i="2" s="1"/>
  <c r="D83" i="2" l="1"/>
  <c r="L82" i="2"/>
  <c r="I81" i="2"/>
  <c r="M82" i="2"/>
  <c r="J81" i="2"/>
  <c r="G81" i="2" s="1"/>
  <c r="K82" i="2"/>
  <c r="H81" i="2"/>
  <c r="E81" i="2" s="1"/>
  <c r="F81" i="2"/>
  <c r="C82" i="2"/>
  <c r="T82" i="2" s="1"/>
  <c r="M83" i="2" l="1"/>
  <c r="J82" i="2"/>
  <c r="I82" i="2"/>
  <c r="L83" i="2"/>
  <c r="G82" i="2"/>
  <c r="D84" i="2"/>
  <c r="K83" i="2"/>
  <c r="H82" i="2"/>
  <c r="E82" i="2"/>
  <c r="F82" i="2"/>
  <c r="C83" i="2"/>
  <c r="T83" i="2" s="1"/>
  <c r="K84" i="2" l="1"/>
  <c r="H83" i="2"/>
  <c r="D85" i="2"/>
  <c r="T84" i="2"/>
  <c r="I83" i="2"/>
  <c r="F83" i="2" s="1"/>
  <c r="L84" i="2"/>
  <c r="E83" i="2"/>
  <c r="C84" i="2"/>
  <c r="M84" i="2"/>
  <c r="J83" i="2"/>
  <c r="G83" i="2" s="1"/>
  <c r="I84" i="2" l="1"/>
  <c r="F84" i="2" s="1"/>
  <c r="L85" i="2"/>
  <c r="D86" i="2"/>
  <c r="T85" i="2"/>
  <c r="J84" i="2"/>
  <c r="G84" i="2" s="1"/>
  <c r="M85" i="2"/>
  <c r="K85" i="2"/>
  <c r="H84" i="2"/>
  <c r="C85" i="2"/>
  <c r="E84" i="2"/>
  <c r="M86" i="2" l="1"/>
  <c r="J85" i="2"/>
  <c r="G85" i="2" s="1"/>
  <c r="L86" i="2"/>
  <c r="I85" i="2"/>
  <c r="D87" i="2"/>
  <c r="T86" i="2"/>
  <c r="K86" i="2"/>
  <c r="H85" i="2"/>
  <c r="F85" i="2"/>
  <c r="E85" i="2"/>
  <c r="C86" i="2"/>
  <c r="D88" i="2" l="1"/>
  <c r="L87" i="2"/>
  <c r="I86" i="2"/>
  <c r="F86" i="2"/>
  <c r="C87" i="2"/>
  <c r="H86" i="2"/>
  <c r="E86" i="2" s="1"/>
  <c r="K87" i="2"/>
  <c r="M87" i="2"/>
  <c r="J86" i="2"/>
  <c r="G86" i="2" s="1"/>
  <c r="K88" i="2" l="1"/>
  <c r="H87" i="2"/>
  <c r="E87" i="2"/>
  <c r="F87" i="2"/>
  <c r="C88" i="2"/>
  <c r="T88" i="2"/>
  <c r="D89" i="2"/>
  <c r="J87" i="2"/>
  <c r="G87" i="2" s="1"/>
  <c r="M88" i="2"/>
  <c r="L88" i="2"/>
  <c r="I87" i="2"/>
  <c r="T87" i="2"/>
  <c r="C89" i="2" l="1"/>
  <c r="L89" i="2"/>
  <c r="I88" i="2"/>
  <c r="F88" i="2" s="1"/>
  <c r="J88" i="2"/>
  <c r="G88" i="2" s="1"/>
  <c r="M89" i="2"/>
  <c r="K89" i="2"/>
  <c r="H88" i="2"/>
  <c r="E88" i="2" s="1"/>
  <c r="D90" i="2"/>
  <c r="T89" i="2"/>
  <c r="J89" i="2" l="1"/>
  <c r="G89" i="2" s="1"/>
  <c r="M90" i="2"/>
  <c r="K90" i="2"/>
  <c r="H89" i="2"/>
  <c r="C90" i="2"/>
  <c r="E89" i="2"/>
  <c r="F89" i="2"/>
  <c r="T90" i="2"/>
  <c r="D91" i="2"/>
  <c r="L90" i="2"/>
  <c r="I89" i="2"/>
  <c r="C91" i="2" l="1"/>
  <c r="H90" i="2"/>
  <c r="E90" i="2" s="1"/>
  <c r="K91" i="2"/>
  <c r="M91" i="2"/>
  <c r="J90" i="2"/>
  <c r="G90" i="2" s="1"/>
  <c r="L91" i="2"/>
  <c r="I90" i="2"/>
  <c r="F90" i="2" s="1"/>
  <c r="T91" i="2"/>
  <c r="D92" i="2"/>
  <c r="H91" i="2" l="1"/>
  <c r="K92" i="2"/>
  <c r="I91" i="2"/>
  <c r="L92" i="2"/>
  <c r="M92" i="2"/>
  <c r="J91" i="2"/>
  <c r="G91" i="2" s="1"/>
  <c r="C92" i="2"/>
  <c r="T92" i="2" s="1"/>
  <c r="E91" i="2"/>
  <c r="F91" i="2"/>
  <c r="D93" i="2"/>
  <c r="D94" i="2" l="1"/>
  <c r="L93" i="2"/>
  <c r="I92" i="2"/>
  <c r="F92" i="2" s="1"/>
  <c r="C93" i="2"/>
  <c r="K93" i="2"/>
  <c r="H92" i="2"/>
  <c r="E92" i="2" s="1"/>
  <c r="M93" i="2"/>
  <c r="J92" i="2"/>
  <c r="G92" i="2" s="1"/>
  <c r="K94" i="2" l="1"/>
  <c r="H93" i="2"/>
  <c r="C94" i="2"/>
  <c r="E93" i="2"/>
  <c r="T93" i="2"/>
  <c r="M94" i="2"/>
  <c r="J93" i="2"/>
  <c r="G93" i="2" s="1"/>
  <c r="D95" i="2"/>
  <c r="L94" i="2"/>
  <c r="I93" i="2"/>
  <c r="F93" i="2" s="1"/>
  <c r="F94" i="2" l="1"/>
  <c r="C95" i="2"/>
  <c r="L95" i="2"/>
  <c r="I94" i="2"/>
  <c r="M95" i="2"/>
  <c r="J94" i="2"/>
  <c r="G94" i="2" s="1"/>
  <c r="K95" i="2"/>
  <c r="H94" i="2"/>
  <c r="E94" i="2" s="1"/>
  <c r="T94" i="2"/>
  <c r="D96" i="2"/>
  <c r="I95" i="2" l="1"/>
  <c r="F95" i="2" s="1"/>
  <c r="L96" i="2"/>
  <c r="K96" i="2"/>
  <c r="H95" i="2"/>
  <c r="E95" i="2"/>
  <c r="C96" i="2"/>
  <c r="M96" i="2"/>
  <c r="J95" i="2"/>
  <c r="G95" i="2" s="1"/>
  <c r="D97" i="2"/>
  <c r="T96" i="2"/>
  <c r="T95" i="2"/>
  <c r="K97" i="2" l="1"/>
  <c r="H96" i="2"/>
  <c r="D98" i="2"/>
  <c r="T97" i="2"/>
  <c r="I96" i="2"/>
  <c r="F96" i="2" s="1"/>
  <c r="L97" i="2"/>
  <c r="J96" i="2"/>
  <c r="G96" i="2" s="1"/>
  <c r="M97" i="2"/>
  <c r="C97" i="2"/>
  <c r="E96" i="2"/>
  <c r="K98" i="2" l="1"/>
  <c r="H97" i="2"/>
  <c r="M98" i="2"/>
  <c r="J97" i="2"/>
  <c r="G97" i="2" s="1"/>
  <c r="L98" i="2"/>
  <c r="I97" i="2"/>
  <c r="D99" i="2"/>
  <c r="T98" i="2"/>
  <c r="F97" i="2"/>
  <c r="C98" i="2"/>
  <c r="E97" i="2"/>
  <c r="L99" i="2" l="1"/>
  <c r="I98" i="2"/>
  <c r="M99" i="2"/>
  <c r="J98" i="2"/>
  <c r="G98" i="2" s="1"/>
  <c r="D100" i="2"/>
  <c r="H98" i="2"/>
  <c r="E98" i="2" s="1"/>
  <c r="K99" i="2"/>
  <c r="F98" i="2"/>
  <c r="C99" i="2"/>
  <c r="T100" i="2" l="1"/>
  <c r="D101" i="2"/>
  <c r="E99" i="2"/>
  <c r="F99" i="2"/>
  <c r="C100" i="2"/>
  <c r="G99" i="2"/>
  <c r="T99" i="2"/>
  <c r="L100" i="2"/>
  <c r="I99" i="2"/>
  <c r="M100" i="2"/>
  <c r="J99" i="2"/>
  <c r="K100" i="2"/>
  <c r="H99" i="2"/>
  <c r="D102" i="2" l="1"/>
  <c r="K101" i="2"/>
  <c r="H100" i="2"/>
  <c r="E100" i="2" s="1"/>
  <c r="L101" i="2"/>
  <c r="I100" i="2"/>
  <c r="F100" i="2" s="1"/>
  <c r="J100" i="2"/>
  <c r="G100" i="2" s="1"/>
  <c r="M101" i="2"/>
  <c r="C101" i="2"/>
  <c r="T101" i="2" s="1"/>
  <c r="T102" i="2" l="1"/>
  <c r="D103" i="2"/>
  <c r="L102" i="2"/>
  <c r="I101" i="2"/>
  <c r="F101" i="2" s="1"/>
  <c r="K102" i="2"/>
  <c r="H101" i="2"/>
  <c r="E101" i="2" s="1"/>
  <c r="C102" i="2"/>
  <c r="J101" i="2"/>
  <c r="G101" i="2" s="1"/>
  <c r="M102" i="2"/>
  <c r="H102" i="2" l="1"/>
  <c r="K103" i="2"/>
  <c r="L103" i="2"/>
  <c r="I102" i="2"/>
  <c r="D104" i="2"/>
  <c r="M103" i="2"/>
  <c r="J102" i="2"/>
  <c r="G102" i="2" s="1"/>
  <c r="E102" i="2"/>
  <c r="C103" i="2"/>
  <c r="T103" i="2" s="1"/>
  <c r="F102" i="2"/>
  <c r="T104" i="2" l="1"/>
  <c r="D105" i="2"/>
  <c r="I103" i="2"/>
  <c r="F103" i="2" s="1"/>
  <c r="L104" i="2"/>
  <c r="H103" i="2"/>
  <c r="E103" i="2" s="1"/>
  <c r="K104" i="2"/>
  <c r="M104" i="2"/>
  <c r="J103" i="2"/>
  <c r="G103" i="2" s="1"/>
  <c r="C104" i="2"/>
  <c r="M105" i="2" l="1"/>
  <c r="J104" i="2"/>
  <c r="K105" i="2"/>
  <c r="H104" i="2"/>
  <c r="E104" i="2" s="1"/>
  <c r="L105" i="2"/>
  <c r="I104" i="2"/>
  <c r="D106" i="2"/>
  <c r="T105" i="2"/>
  <c r="F104" i="2"/>
  <c r="C105" i="2"/>
  <c r="G104" i="2"/>
  <c r="L106" i="2" l="1"/>
  <c r="I105" i="2"/>
  <c r="F105" i="2"/>
  <c r="C106" i="2"/>
  <c r="M106" i="2"/>
  <c r="J105" i="2"/>
  <c r="G105" i="2" s="1"/>
  <c r="D107" i="2"/>
  <c r="T106" i="2"/>
  <c r="K106" i="2"/>
  <c r="H105" i="2"/>
  <c r="E105" i="2" s="1"/>
  <c r="M107" i="2" l="1"/>
  <c r="J106" i="2"/>
  <c r="G106" i="2" s="1"/>
  <c r="C107" i="2"/>
  <c r="L107" i="2"/>
  <c r="I106" i="2"/>
  <c r="F106" i="2" s="1"/>
  <c r="T107" i="2"/>
  <c r="D108" i="2"/>
  <c r="K107" i="2"/>
  <c r="H106" i="2"/>
  <c r="E106" i="2" s="1"/>
  <c r="I107" i="2" l="1"/>
  <c r="F107" i="2" s="1"/>
  <c r="L108" i="2"/>
  <c r="E107" i="2"/>
  <c r="C108" i="2"/>
  <c r="M108" i="2"/>
  <c r="J107" i="2"/>
  <c r="G107" i="2" s="1"/>
  <c r="K108" i="2"/>
  <c r="H107" i="2"/>
  <c r="D109" i="2"/>
  <c r="J108" i="2" l="1"/>
  <c r="G108" i="2" s="1"/>
  <c r="M109" i="2"/>
  <c r="C109" i="2"/>
  <c r="E108" i="2"/>
  <c r="I108" i="2"/>
  <c r="F108" i="2" s="1"/>
  <c r="L109" i="2"/>
  <c r="T108" i="2"/>
  <c r="K109" i="2"/>
  <c r="H108" i="2"/>
  <c r="D110" i="2"/>
  <c r="L110" i="2" l="1"/>
  <c r="I109" i="2"/>
  <c r="K110" i="2"/>
  <c r="H109" i="2"/>
  <c r="T109" i="2"/>
  <c r="M110" i="2"/>
  <c r="J109" i="2"/>
  <c r="G109" i="2" s="1"/>
  <c r="D111" i="2"/>
  <c r="T110" i="2"/>
  <c r="F109" i="2"/>
  <c r="C110" i="2"/>
  <c r="E109" i="2"/>
  <c r="D112" i="2" l="1"/>
  <c r="H110" i="2"/>
  <c r="E110" i="2" s="1"/>
  <c r="K111" i="2"/>
  <c r="L111" i="2"/>
  <c r="I110" i="2"/>
  <c r="F110" i="2"/>
  <c r="C111" i="2"/>
  <c r="M111" i="2"/>
  <c r="J110" i="2"/>
  <c r="G110" i="2" s="1"/>
  <c r="L112" i="2" l="1"/>
  <c r="I111" i="2"/>
  <c r="K112" i="2"/>
  <c r="H111" i="2"/>
  <c r="D113" i="2"/>
  <c r="M112" i="2"/>
  <c r="J111" i="2"/>
  <c r="G111" i="2" s="1"/>
  <c r="E111" i="2"/>
  <c r="F111" i="2"/>
  <c r="C112" i="2"/>
  <c r="T112" i="2" s="1"/>
  <c r="T111" i="2"/>
  <c r="J112" i="2" l="1"/>
  <c r="G112" i="2" s="1"/>
  <c r="M113" i="2"/>
  <c r="D114" i="2"/>
  <c r="K113" i="2"/>
  <c r="H112" i="2"/>
  <c r="E112" i="2" s="1"/>
  <c r="L113" i="2"/>
  <c r="I112" i="2"/>
  <c r="F112" i="2" s="1"/>
  <c r="C113" i="2"/>
  <c r="T113" i="2" s="1"/>
  <c r="L114" i="2" l="1"/>
  <c r="I113" i="2"/>
  <c r="H113" i="2"/>
  <c r="E113" i="2" s="1"/>
  <c r="K114" i="2"/>
  <c r="G113" i="2"/>
  <c r="T114" i="2"/>
  <c r="D115" i="2"/>
  <c r="J113" i="2"/>
  <c r="M114" i="2"/>
  <c r="C114" i="2"/>
  <c r="F113" i="2"/>
  <c r="H114" i="2" l="1"/>
  <c r="E114" i="2" s="1"/>
  <c r="K115" i="2"/>
  <c r="L115" i="2"/>
  <c r="I114" i="2"/>
  <c r="F114" i="2" s="1"/>
  <c r="M115" i="2"/>
  <c r="J114" i="2"/>
  <c r="T115" i="2"/>
  <c r="D116" i="2"/>
  <c r="C115" i="2"/>
  <c r="G114" i="2"/>
  <c r="H115" i="2" l="1"/>
  <c r="K116" i="2"/>
  <c r="M116" i="2"/>
  <c r="J115" i="2"/>
  <c r="G115" i="2" s="1"/>
  <c r="I115" i="2"/>
  <c r="L116" i="2"/>
  <c r="C116" i="2"/>
  <c r="E115" i="2"/>
  <c r="F115" i="2"/>
  <c r="T116" i="2"/>
  <c r="D117" i="2"/>
  <c r="L117" i="2" l="1"/>
  <c r="I116" i="2"/>
  <c r="F116" i="2" s="1"/>
  <c r="C117" i="2"/>
  <c r="T117" i="2" s="1"/>
  <c r="M117" i="2"/>
  <c r="J116" i="2"/>
  <c r="G116" i="2" s="1"/>
  <c r="K117" i="2"/>
  <c r="H116" i="2"/>
  <c r="E116" i="2" s="1"/>
  <c r="D118" i="2"/>
  <c r="K118" i="2" l="1"/>
  <c r="H117" i="2"/>
  <c r="M118" i="2"/>
  <c r="J117" i="2"/>
  <c r="G117" i="2" s="1"/>
  <c r="L118" i="2"/>
  <c r="I117" i="2"/>
  <c r="D119" i="2"/>
  <c r="F117" i="2"/>
  <c r="C118" i="2"/>
  <c r="E117" i="2"/>
  <c r="M119" i="2" l="1"/>
  <c r="J118" i="2"/>
  <c r="F118" i="2"/>
  <c r="C119" i="2"/>
  <c r="K119" i="2"/>
  <c r="H118" i="2"/>
  <c r="E118" i="2" s="1"/>
  <c r="G118" i="2"/>
  <c r="T118" i="2"/>
  <c r="I118" i="2"/>
  <c r="L119" i="2"/>
  <c r="T119" i="2"/>
  <c r="D120" i="2"/>
  <c r="K120" i="2" l="1"/>
  <c r="H119" i="2"/>
  <c r="E119" i="2"/>
  <c r="C120" i="2"/>
  <c r="I119" i="2"/>
  <c r="F119" i="2" s="1"/>
  <c r="L120" i="2"/>
  <c r="M120" i="2"/>
  <c r="J119" i="2"/>
  <c r="G119" i="2" s="1"/>
  <c r="D121" i="2"/>
  <c r="T120" i="2"/>
  <c r="C121" i="2" l="1"/>
  <c r="I120" i="2"/>
  <c r="F120" i="2" s="1"/>
  <c r="L121" i="2"/>
  <c r="K121" i="2"/>
  <c r="H120" i="2"/>
  <c r="E120" i="2" s="1"/>
  <c r="J120" i="2"/>
  <c r="M121" i="2"/>
  <c r="G120" i="2"/>
  <c r="D122" i="2"/>
  <c r="T121" i="2"/>
  <c r="K122" i="2" l="1"/>
  <c r="H121" i="2"/>
  <c r="L122" i="2"/>
  <c r="I121" i="2"/>
  <c r="M122" i="2"/>
  <c r="J121" i="2"/>
  <c r="G121" i="2" s="1"/>
  <c r="D123" i="2"/>
  <c r="T122" i="2"/>
  <c r="F121" i="2"/>
  <c r="E121" i="2"/>
  <c r="C122" i="2"/>
  <c r="D124" i="2" l="1"/>
  <c r="L123" i="2"/>
  <c r="I122" i="2"/>
  <c r="H122" i="2"/>
  <c r="E122" i="2" s="1"/>
  <c r="K123" i="2"/>
  <c r="F122" i="2"/>
  <c r="C123" i="2"/>
  <c r="T123" i="2" s="1"/>
  <c r="M123" i="2"/>
  <c r="J122" i="2"/>
  <c r="G122" i="2" s="1"/>
  <c r="K124" i="2" l="1"/>
  <c r="H123" i="2"/>
  <c r="L124" i="2"/>
  <c r="I123" i="2"/>
  <c r="F123" i="2" s="1"/>
  <c r="D125" i="2"/>
  <c r="J123" i="2"/>
  <c r="G123" i="2" s="1"/>
  <c r="M124" i="2"/>
  <c r="E123" i="2"/>
  <c r="C124" i="2"/>
  <c r="L125" i="2" l="1"/>
  <c r="I124" i="2"/>
  <c r="F124" i="2" s="1"/>
  <c r="J124" i="2"/>
  <c r="G124" i="2" s="1"/>
  <c r="M125" i="2"/>
  <c r="D126" i="2"/>
  <c r="T125" i="2"/>
  <c r="C125" i="2"/>
  <c r="K125" i="2"/>
  <c r="H124" i="2"/>
  <c r="E124" i="2" s="1"/>
  <c r="T124" i="2"/>
  <c r="T126" i="2" l="1"/>
  <c r="D127" i="2"/>
  <c r="J125" i="2"/>
  <c r="G125" i="2" s="1"/>
  <c r="M126" i="2"/>
  <c r="H125" i="2"/>
  <c r="K126" i="2"/>
  <c r="L126" i="2"/>
  <c r="I125" i="2"/>
  <c r="C126" i="2"/>
  <c r="E125" i="2"/>
  <c r="F125" i="2"/>
  <c r="D128" i="2" l="1"/>
  <c r="H126" i="2"/>
  <c r="K127" i="2"/>
  <c r="L127" i="2"/>
  <c r="I126" i="2"/>
  <c r="F126" i="2" s="1"/>
  <c r="E126" i="2"/>
  <c r="C127" i="2"/>
  <c r="T127" i="2" s="1"/>
  <c r="M127" i="2"/>
  <c r="J126" i="2"/>
  <c r="G126" i="2" s="1"/>
  <c r="H127" i="2" l="1"/>
  <c r="K128" i="2"/>
  <c r="D129" i="2"/>
  <c r="I127" i="2"/>
  <c r="L128" i="2"/>
  <c r="G127" i="2"/>
  <c r="M128" i="2"/>
  <c r="J127" i="2"/>
  <c r="C128" i="2"/>
  <c r="T128" i="2" s="1"/>
  <c r="E127" i="2"/>
  <c r="F127" i="2"/>
  <c r="J128" i="2" l="1"/>
  <c r="M129" i="2"/>
  <c r="L129" i="2"/>
  <c r="I128" i="2"/>
  <c r="D130" i="2"/>
  <c r="K129" i="2"/>
  <c r="H128" i="2"/>
  <c r="E128" i="2" s="1"/>
  <c r="G128" i="2"/>
  <c r="F128" i="2"/>
  <c r="C129" i="2"/>
  <c r="T129" i="2" s="1"/>
  <c r="K130" i="2" l="1"/>
  <c r="H129" i="2"/>
  <c r="C130" i="2"/>
  <c r="E129" i="2"/>
  <c r="D131" i="2"/>
  <c r="T130" i="2"/>
  <c r="L130" i="2"/>
  <c r="I129" i="2"/>
  <c r="F129" i="2" s="1"/>
  <c r="M130" i="2"/>
  <c r="J129" i="2"/>
  <c r="G129" i="2" s="1"/>
  <c r="D132" i="2" l="1"/>
  <c r="L131" i="2"/>
  <c r="I130" i="2"/>
  <c r="F130" i="2" s="1"/>
  <c r="E130" i="2"/>
  <c r="C131" i="2"/>
  <c r="T131" i="2" s="1"/>
  <c r="M131" i="2"/>
  <c r="J130" i="2"/>
  <c r="G130" i="2" s="1"/>
  <c r="H130" i="2"/>
  <c r="K131" i="2"/>
  <c r="M132" i="2" l="1"/>
  <c r="J131" i="2"/>
  <c r="G131" i="2" s="1"/>
  <c r="I131" i="2"/>
  <c r="L132" i="2"/>
  <c r="D133" i="2"/>
  <c r="T132" i="2"/>
  <c r="K132" i="2"/>
  <c r="H131" i="2"/>
  <c r="E131" i="2" s="1"/>
  <c r="F131" i="2"/>
  <c r="C132" i="2"/>
  <c r="K133" i="2" l="1"/>
  <c r="H132" i="2"/>
  <c r="I132" i="2"/>
  <c r="L133" i="2"/>
  <c r="D134" i="2"/>
  <c r="C133" i="2"/>
  <c r="F132" i="2"/>
  <c r="E132" i="2"/>
  <c r="J132" i="2"/>
  <c r="G132" i="2" s="1"/>
  <c r="M133" i="2"/>
  <c r="C134" i="2" l="1"/>
  <c r="E133" i="2"/>
  <c r="L134" i="2"/>
  <c r="I133" i="2"/>
  <c r="F133" i="2" s="1"/>
  <c r="K134" i="2"/>
  <c r="H133" i="2"/>
  <c r="T133" i="2"/>
  <c r="D135" i="2"/>
  <c r="M134" i="2"/>
  <c r="J133" i="2"/>
  <c r="G133" i="2"/>
  <c r="L135" i="2" l="1"/>
  <c r="I134" i="2"/>
  <c r="F134" i="2"/>
  <c r="E134" i="2"/>
  <c r="C135" i="2"/>
  <c r="M135" i="2"/>
  <c r="J134" i="2"/>
  <c r="G134" i="2" s="1"/>
  <c r="T134" i="2"/>
  <c r="T135" i="2"/>
  <c r="D136" i="2"/>
  <c r="H134" i="2"/>
  <c r="K135" i="2"/>
  <c r="J135" i="2" l="1"/>
  <c r="G135" i="2" s="1"/>
  <c r="M136" i="2"/>
  <c r="I135" i="2"/>
  <c r="L136" i="2"/>
  <c r="K136" i="2"/>
  <c r="H135" i="2"/>
  <c r="E135" i="2" s="1"/>
  <c r="T136" i="2"/>
  <c r="D137" i="2"/>
  <c r="F135" i="2"/>
  <c r="C136" i="2"/>
  <c r="K137" i="2" l="1"/>
  <c r="H136" i="2"/>
  <c r="J136" i="2"/>
  <c r="G136" i="2" s="1"/>
  <c r="M137" i="2"/>
  <c r="L137" i="2"/>
  <c r="I136" i="2"/>
  <c r="E136" i="2"/>
  <c r="F136" i="2"/>
  <c r="C137" i="2"/>
  <c r="D138" i="2"/>
  <c r="C138" i="2" l="1"/>
  <c r="F137" i="2"/>
  <c r="L138" i="2"/>
  <c r="I137" i="2"/>
  <c r="H137" i="2"/>
  <c r="E137" i="2" s="1"/>
  <c r="K138" i="2"/>
  <c r="J137" i="2"/>
  <c r="G137" i="2" s="1"/>
  <c r="M138" i="2"/>
  <c r="D139" i="2"/>
  <c r="T137" i="2"/>
  <c r="H138" i="2" l="1"/>
  <c r="E138" i="2" s="1"/>
  <c r="K139" i="2"/>
  <c r="C139" i="2"/>
  <c r="T138" i="2"/>
  <c r="T139" i="2"/>
  <c r="D140" i="2"/>
  <c r="M139" i="2"/>
  <c r="J138" i="2"/>
  <c r="G138" i="2" s="1"/>
  <c r="I138" i="2"/>
  <c r="F138" i="2" s="1"/>
  <c r="L139" i="2"/>
  <c r="M140" i="2" l="1"/>
  <c r="J139" i="2"/>
  <c r="G139" i="2" s="1"/>
  <c r="H139" i="2"/>
  <c r="K140" i="2"/>
  <c r="T140" i="2"/>
  <c r="D141" i="2"/>
  <c r="I139" i="2"/>
  <c r="F139" i="2" s="1"/>
  <c r="L140" i="2"/>
  <c r="C140" i="2"/>
  <c r="E139" i="2"/>
  <c r="D142" i="2" l="1"/>
  <c r="T141" i="2"/>
  <c r="K141" i="2"/>
  <c r="H140" i="2"/>
  <c r="E140" i="2" s="1"/>
  <c r="J140" i="2"/>
  <c r="G140" i="2" s="1"/>
  <c r="M141" i="2"/>
  <c r="F140" i="2"/>
  <c r="C141" i="2"/>
  <c r="L141" i="2"/>
  <c r="I140" i="2"/>
  <c r="M142" i="2" l="1"/>
  <c r="J141" i="2"/>
  <c r="G141" i="2" s="1"/>
  <c r="K142" i="2"/>
  <c r="H141" i="2"/>
  <c r="D143" i="2"/>
  <c r="T142" i="2"/>
  <c r="L142" i="2"/>
  <c r="I141" i="2"/>
  <c r="F141" i="2" s="1"/>
  <c r="E141" i="2"/>
  <c r="C142" i="2"/>
  <c r="H142" i="2" l="1"/>
  <c r="K143" i="2"/>
  <c r="E142" i="2"/>
  <c r="C143" i="2"/>
  <c r="T143" i="2" s="1"/>
  <c r="F142" i="2"/>
  <c r="D144" i="2"/>
  <c r="I142" i="2"/>
  <c r="L143" i="2"/>
  <c r="M143" i="2"/>
  <c r="J142" i="2"/>
  <c r="G142" i="2" s="1"/>
  <c r="J143" i="2" l="1"/>
  <c r="G143" i="2" s="1"/>
  <c r="M144" i="2"/>
  <c r="D145" i="2"/>
  <c r="C144" i="2"/>
  <c r="T144" i="2" s="1"/>
  <c r="I143" i="2"/>
  <c r="F143" i="2" s="1"/>
  <c r="L144" i="2"/>
  <c r="K144" i="2"/>
  <c r="H143" i="2"/>
  <c r="E143" i="2" s="1"/>
  <c r="K145" i="2" l="1"/>
  <c r="H144" i="2"/>
  <c r="I144" i="2"/>
  <c r="L145" i="2"/>
  <c r="D146" i="2"/>
  <c r="J144" i="2"/>
  <c r="G144" i="2" s="1"/>
  <c r="M145" i="2"/>
  <c r="C145" i="2"/>
  <c r="F144" i="2"/>
  <c r="E144" i="2"/>
  <c r="J145" i="2" l="1"/>
  <c r="M146" i="2"/>
  <c r="C146" i="2"/>
  <c r="E145" i="2"/>
  <c r="T145" i="2"/>
  <c r="G145" i="2"/>
  <c r="D147" i="2"/>
  <c r="L146" i="2"/>
  <c r="I145" i="2"/>
  <c r="F145" i="2" s="1"/>
  <c r="H145" i="2"/>
  <c r="K146" i="2"/>
  <c r="L147" i="2" l="1"/>
  <c r="I146" i="2"/>
  <c r="C147" i="2"/>
  <c r="E146" i="2"/>
  <c r="F146" i="2"/>
  <c r="J146" i="2"/>
  <c r="G146" i="2" s="1"/>
  <c r="M147" i="2"/>
  <c r="H146" i="2"/>
  <c r="K147" i="2"/>
  <c r="T146" i="2"/>
  <c r="D148" i="2"/>
  <c r="C148" i="2" l="1"/>
  <c r="I147" i="2"/>
  <c r="F147" i="2" s="1"/>
  <c r="L148" i="2"/>
  <c r="T148" i="2"/>
  <c r="D149" i="2"/>
  <c r="T147" i="2"/>
  <c r="H147" i="2"/>
  <c r="E147" i="2" s="1"/>
  <c r="K148" i="2"/>
  <c r="J147" i="2"/>
  <c r="G147" i="2" s="1"/>
  <c r="M148" i="2"/>
  <c r="L149" i="2" l="1"/>
  <c r="I148" i="2"/>
  <c r="J148" i="2"/>
  <c r="G148" i="2" s="1"/>
  <c r="M149" i="2"/>
  <c r="E148" i="2"/>
  <c r="C149" i="2"/>
  <c r="F148" i="2"/>
  <c r="T149" i="2"/>
  <c r="D150" i="2"/>
  <c r="H148" i="2"/>
  <c r="K149" i="2"/>
  <c r="K150" i="2" l="1"/>
  <c r="H149" i="2"/>
  <c r="J149" i="2"/>
  <c r="G149" i="2" s="1"/>
  <c r="M150" i="2"/>
  <c r="L150" i="2"/>
  <c r="I149" i="2"/>
  <c r="F149" i="2" s="1"/>
  <c r="C150" i="2"/>
  <c r="E149" i="2"/>
  <c r="D151" i="2"/>
  <c r="D152" i="2" l="1"/>
  <c r="H150" i="2"/>
  <c r="E150" i="2" s="1"/>
  <c r="K151" i="2"/>
  <c r="C151" i="2"/>
  <c r="T151" i="2" s="1"/>
  <c r="I150" i="2"/>
  <c r="F150" i="2" s="1"/>
  <c r="L151" i="2"/>
  <c r="M151" i="2"/>
  <c r="J150" i="2"/>
  <c r="G150" i="2"/>
  <c r="T150" i="2"/>
  <c r="H151" i="2" l="1"/>
  <c r="K152" i="2"/>
  <c r="D153" i="2"/>
  <c r="E151" i="2"/>
  <c r="C152" i="2"/>
  <c r="G151" i="2"/>
  <c r="I151" i="2"/>
  <c r="F151" i="2" s="1"/>
  <c r="L152" i="2"/>
  <c r="M152" i="2"/>
  <c r="J151" i="2"/>
  <c r="F152" i="2" l="1"/>
  <c r="E152" i="2"/>
  <c r="C153" i="2"/>
  <c r="D154" i="2"/>
  <c r="T153" i="2"/>
  <c r="G152" i="2"/>
  <c r="T152" i="2"/>
  <c r="K153" i="2"/>
  <c r="H152" i="2"/>
  <c r="L153" i="2"/>
  <c r="I152" i="2"/>
  <c r="M153" i="2"/>
  <c r="J152" i="2"/>
  <c r="C154" i="2" l="1"/>
  <c r="I153" i="2"/>
  <c r="F153" i="2" s="1"/>
  <c r="L154" i="2"/>
  <c r="D155" i="2"/>
  <c r="T154" i="2"/>
  <c r="J153" i="2"/>
  <c r="G153" i="2" s="1"/>
  <c r="M154" i="2"/>
  <c r="K154" i="2"/>
  <c r="H153" i="2"/>
  <c r="E153" i="2" s="1"/>
  <c r="D156" i="2" l="1"/>
  <c r="C155" i="2"/>
  <c r="I154" i="2"/>
  <c r="F154" i="2" s="1"/>
  <c r="L155" i="2"/>
  <c r="H154" i="2"/>
  <c r="E154" i="2" s="1"/>
  <c r="K155" i="2"/>
  <c r="J154" i="2"/>
  <c r="G154" i="2" s="1"/>
  <c r="M155" i="2"/>
  <c r="F155" i="2" l="1"/>
  <c r="C156" i="2"/>
  <c r="T156" i="2"/>
  <c r="D157" i="2"/>
  <c r="T155" i="2"/>
  <c r="M156" i="2"/>
  <c r="J155" i="2"/>
  <c r="G155" i="2" s="1"/>
  <c r="K156" i="2"/>
  <c r="H155" i="2"/>
  <c r="E155" i="2" s="1"/>
  <c r="I155" i="2"/>
  <c r="L156" i="2"/>
  <c r="J156" i="2" l="1"/>
  <c r="G156" i="2" s="1"/>
  <c r="M157" i="2"/>
  <c r="I156" i="2"/>
  <c r="L157" i="2"/>
  <c r="D158" i="2"/>
  <c r="T157" i="2"/>
  <c r="K157" i="2"/>
  <c r="H156" i="2"/>
  <c r="E156" i="2" s="1"/>
  <c r="F156" i="2"/>
  <c r="C157" i="2"/>
  <c r="T158" i="2" l="1"/>
  <c r="D159" i="2"/>
  <c r="C158" i="2"/>
  <c r="M158" i="2"/>
  <c r="J157" i="2"/>
  <c r="G157" i="2" s="1"/>
  <c r="L158" i="2"/>
  <c r="I157" i="2"/>
  <c r="F157" i="2" s="1"/>
  <c r="H157" i="2"/>
  <c r="E157" i="2" s="1"/>
  <c r="K158" i="2"/>
  <c r="D160" i="2" l="1"/>
  <c r="M159" i="2"/>
  <c r="J158" i="2"/>
  <c r="G158" i="2" s="1"/>
  <c r="E158" i="2"/>
  <c r="F158" i="2"/>
  <c r="C159" i="2"/>
  <c r="K159" i="2"/>
  <c r="H158" i="2"/>
  <c r="L159" i="2"/>
  <c r="I158" i="2"/>
  <c r="M160" i="2" l="1"/>
  <c r="J159" i="2"/>
  <c r="G159" i="2" s="1"/>
  <c r="L160" i="2"/>
  <c r="I159" i="2"/>
  <c r="F159" i="2" s="1"/>
  <c r="D161" i="2"/>
  <c r="E159" i="2"/>
  <c r="C160" i="2"/>
  <c r="T160" i="2" s="1"/>
  <c r="K160" i="2"/>
  <c r="H159" i="2"/>
  <c r="T159" i="2"/>
  <c r="L161" i="2" l="1"/>
  <c r="I160" i="2"/>
  <c r="J160" i="2"/>
  <c r="G160" i="2" s="1"/>
  <c r="M161" i="2"/>
  <c r="K161" i="2"/>
  <c r="H160" i="2"/>
  <c r="E160" i="2" s="1"/>
  <c r="C161" i="2"/>
  <c r="F160" i="2"/>
  <c r="D162" i="2"/>
  <c r="M162" i="2" l="1"/>
  <c r="J161" i="2"/>
  <c r="E161" i="2"/>
  <c r="F161" i="2"/>
  <c r="C162" i="2"/>
  <c r="K162" i="2"/>
  <c r="H161" i="2"/>
  <c r="L162" i="2"/>
  <c r="I161" i="2"/>
  <c r="D163" i="2"/>
  <c r="G161" i="2"/>
  <c r="T161" i="2"/>
  <c r="C163" i="2" l="1"/>
  <c r="M163" i="2"/>
  <c r="J162" i="2"/>
  <c r="G162" i="2" s="1"/>
  <c r="I162" i="2"/>
  <c r="F162" i="2" s="1"/>
  <c r="L163" i="2"/>
  <c r="T163" i="2"/>
  <c r="D164" i="2"/>
  <c r="H162" i="2"/>
  <c r="E162" i="2" s="1"/>
  <c r="K163" i="2"/>
  <c r="T162" i="2"/>
  <c r="M164" i="2" l="1"/>
  <c r="J163" i="2"/>
  <c r="G163" i="2" s="1"/>
  <c r="K164" i="2"/>
  <c r="H163" i="2"/>
  <c r="E163" i="2" s="1"/>
  <c r="L164" i="2"/>
  <c r="I163" i="2"/>
  <c r="F163" i="2"/>
  <c r="C164" i="2"/>
  <c r="D165" i="2"/>
  <c r="T164" i="2"/>
  <c r="M165" i="2" l="1"/>
  <c r="J164" i="2"/>
  <c r="G164" i="2" s="1"/>
  <c r="L165" i="2"/>
  <c r="I164" i="2"/>
  <c r="K165" i="2"/>
  <c r="H164" i="2"/>
  <c r="E164" i="2" s="1"/>
  <c r="D166" i="2"/>
  <c r="T165" i="2"/>
  <c r="F164" i="2"/>
  <c r="C165" i="2"/>
  <c r="D167" i="2" l="1"/>
  <c r="L166" i="2"/>
  <c r="I165" i="2"/>
  <c r="M166" i="2"/>
  <c r="J165" i="2"/>
  <c r="G165" i="2" s="1"/>
  <c r="K166" i="2"/>
  <c r="H165" i="2"/>
  <c r="E165" i="2" s="1"/>
  <c r="F165" i="2"/>
  <c r="C166" i="2"/>
  <c r="D168" i="2" l="1"/>
  <c r="E166" i="2"/>
  <c r="C167" i="2"/>
  <c r="T166" i="2"/>
  <c r="K167" i="2"/>
  <c r="H166" i="2"/>
  <c r="M167" i="2"/>
  <c r="J166" i="2"/>
  <c r="G166" i="2" s="1"/>
  <c r="L167" i="2"/>
  <c r="I166" i="2"/>
  <c r="F166" i="2" s="1"/>
  <c r="C168" i="2" l="1"/>
  <c r="K168" i="2"/>
  <c r="H167" i="2"/>
  <c r="E167" i="2" s="1"/>
  <c r="T167" i="2"/>
  <c r="T168" i="2"/>
  <c r="D169" i="2"/>
  <c r="I167" i="2"/>
  <c r="F167" i="2" s="1"/>
  <c r="L168" i="2"/>
  <c r="J167" i="2"/>
  <c r="G167" i="2" s="1"/>
  <c r="M168" i="2"/>
  <c r="D170" i="2" l="1"/>
  <c r="M169" i="2"/>
  <c r="J168" i="2"/>
  <c r="G168" i="2" s="1"/>
  <c r="K169" i="2"/>
  <c r="H168" i="2"/>
  <c r="E168" i="2" s="1"/>
  <c r="L169" i="2"/>
  <c r="I168" i="2"/>
  <c r="F168" i="2"/>
  <c r="C169" i="2"/>
  <c r="C170" i="2" l="1"/>
  <c r="H169" i="2"/>
  <c r="E169" i="2" s="1"/>
  <c r="K170" i="2"/>
  <c r="M170" i="2"/>
  <c r="J169" i="2"/>
  <c r="T169" i="2"/>
  <c r="T170" i="2"/>
  <c r="D171" i="2"/>
  <c r="G169" i="2"/>
  <c r="L170" i="2"/>
  <c r="I169" i="2"/>
  <c r="F169" i="2" s="1"/>
  <c r="D172" i="2" l="1"/>
  <c r="C171" i="2"/>
  <c r="K171" i="2"/>
  <c r="H170" i="2"/>
  <c r="E170" i="2" s="1"/>
  <c r="L171" i="2"/>
  <c r="I170" i="2"/>
  <c r="F170" i="2" s="1"/>
  <c r="M171" i="2"/>
  <c r="J170" i="2"/>
  <c r="G170" i="2" s="1"/>
  <c r="L172" i="2" l="1"/>
  <c r="I171" i="2"/>
  <c r="F171" i="2" s="1"/>
  <c r="K172" i="2"/>
  <c r="H171" i="2"/>
  <c r="E171" i="2" s="1"/>
  <c r="C172" i="2"/>
  <c r="D173" i="2"/>
  <c r="T172" i="2"/>
  <c r="T171" i="2"/>
  <c r="M172" i="2"/>
  <c r="J171" i="2"/>
  <c r="G171" i="2" s="1"/>
  <c r="K173" i="2" l="1"/>
  <c r="H172" i="2"/>
  <c r="E172" i="2" s="1"/>
  <c r="L173" i="2"/>
  <c r="I172" i="2"/>
  <c r="F172" i="2" s="1"/>
  <c r="J172" i="2"/>
  <c r="G172" i="2" s="1"/>
  <c r="M173" i="2"/>
  <c r="D174" i="2"/>
  <c r="C173" i="2"/>
  <c r="T173" i="2" s="1"/>
  <c r="L174" i="2" l="1"/>
  <c r="I173" i="2"/>
  <c r="M174" i="2"/>
  <c r="J173" i="2"/>
  <c r="G173" i="2" s="1"/>
  <c r="K174" i="2"/>
  <c r="H173" i="2"/>
  <c r="E173" i="2"/>
  <c r="F173" i="2"/>
  <c r="C174" i="2"/>
  <c r="D175" i="2"/>
  <c r="T174" i="2"/>
  <c r="D176" i="2" l="1"/>
  <c r="H174" i="2"/>
  <c r="E174" i="2" s="1"/>
  <c r="K175" i="2"/>
  <c r="C175" i="2"/>
  <c r="M175" i="2"/>
  <c r="J174" i="2"/>
  <c r="I174" i="2"/>
  <c r="F174" i="2" s="1"/>
  <c r="L175" i="2"/>
  <c r="G174" i="2"/>
  <c r="K176" i="2" l="1"/>
  <c r="H175" i="2"/>
  <c r="E175" i="2"/>
  <c r="C176" i="2"/>
  <c r="L176" i="2"/>
  <c r="I175" i="2"/>
  <c r="F175" i="2" s="1"/>
  <c r="D177" i="2"/>
  <c r="T176" i="2"/>
  <c r="G175" i="2"/>
  <c r="M176" i="2"/>
  <c r="J175" i="2"/>
  <c r="T175" i="2"/>
  <c r="D178" i="2" l="1"/>
  <c r="C177" i="2"/>
  <c r="E176" i="2"/>
  <c r="L177" i="2"/>
  <c r="I176" i="2"/>
  <c r="F176" i="2" s="1"/>
  <c r="K177" i="2"/>
  <c r="H176" i="2"/>
  <c r="M177" i="2"/>
  <c r="J176" i="2"/>
  <c r="G176" i="2" s="1"/>
  <c r="L178" i="2" l="1"/>
  <c r="I177" i="2"/>
  <c r="F177" i="2"/>
  <c r="C178" i="2"/>
  <c r="T177" i="2"/>
  <c r="M178" i="2"/>
  <c r="J177" i="2"/>
  <c r="G177" i="2" s="1"/>
  <c r="T178" i="2"/>
  <c r="D179" i="2"/>
  <c r="K178" i="2"/>
  <c r="H177" i="2"/>
  <c r="E177" i="2" s="1"/>
  <c r="C179" i="2" l="1"/>
  <c r="M179" i="2"/>
  <c r="J178" i="2"/>
  <c r="G178" i="2" s="1"/>
  <c r="L179" i="2"/>
  <c r="I178" i="2"/>
  <c r="F178" i="2" s="1"/>
  <c r="D180" i="2"/>
  <c r="T179" i="2"/>
  <c r="K179" i="2"/>
  <c r="H178" i="2"/>
  <c r="E178" i="2" s="1"/>
  <c r="D181" i="2" l="1"/>
  <c r="I179" i="2"/>
  <c r="L180" i="2"/>
  <c r="J179" i="2"/>
  <c r="M180" i="2"/>
  <c r="C180" i="2"/>
  <c r="E179" i="2"/>
  <c r="F179" i="2"/>
  <c r="K180" i="2"/>
  <c r="H179" i="2"/>
  <c r="G179" i="2"/>
  <c r="K181" i="2" l="1"/>
  <c r="H180" i="2"/>
  <c r="E180" i="2"/>
  <c r="F180" i="2"/>
  <c r="C181" i="2"/>
  <c r="L181" i="2"/>
  <c r="I180" i="2"/>
  <c r="M181" i="2"/>
  <c r="J180" i="2"/>
  <c r="G180" i="2" s="1"/>
  <c r="D182" i="2"/>
  <c r="T180" i="2"/>
  <c r="C182" i="2" l="1"/>
  <c r="L182" i="2"/>
  <c r="I181" i="2"/>
  <c r="F181" i="2" s="1"/>
  <c r="M182" i="2"/>
  <c r="J181" i="2"/>
  <c r="G181" i="2" s="1"/>
  <c r="H181" i="2"/>
  <c r="E181" i="2" s="1"/>
  <c r="K182" i="2"/>
  <c r="T181" i="2"/>
  <c r="T182" i="2"/>
  <c r="D183" i="2"/>
  <c r="M183" i="2" l="1"/>
  <c r="J182" i="2"/>
  <c r="G182" i="2" s="1"/>
  <c r="K183" i="2"/>
  <c r="H182" i="2"/>
  <c r="E182" i="2" s="1"/>
  <c r="L183" i="2"/>
  <c r="I182" i="2"/>
  <c r="F182" i="2" s="1"/>
  <c r="T183" i="2"/>
  <c r="D184" i="2"/>
  <c r="C183" i="2"/>
  <c r="K184" i="2" l="1"/>
  <c r="H183" i="2"/>
  <c r="M184" i="2"/>
  <c r="J183" i="2"/>
  <c r="G183" i="2" s="1"/>
  <c r="E183" i="2"/>
  <c r="C184" i="2"/>
  <c r="L184" i="2"/>
  <c r="I183" i="2"/>
  <c r="F183" i="2" s="1"/>
  <c r="D185" i="2"/>
  <c r="T184" i="2"/>
  <c r="J184" i="2" l="1"/>
  <c r="M185" i="2"/>
  <c r="L185" i="2"/>
  <c r="I184" i="2"/>
  <c r="F184" i="2" s="1"/>
  <c r="C185" i="2"/>
  <c r="E184" i="2"/>
  <c r="G184" i="2"/>
  <c r="K185" i="2"/>
  <c r="H184" i="2"/>
  <c r="T185" i="2"/>
  <c r="D186" i="2"/>
  <c r="C186" i="2" l="1"/>
  <c r="L186" i="2"/>
  <c r="I185" i="2"/>
  <c r="F185" i="2" s="1"/>
  <c r="M186" i="2"/>
  <c r="J185" i="2"/>
  <c r="G185" i="2" s="1"/>
  <c r="D187" i="2"/>
  <c r="K186" i="2"/>
  <c r="H185" i="2"/>
  <c r="E185" i="2" s="1"/>
  <c r="M187" i="2" l="1"/>
  <c r="J186" i="2"/>
  <c r="D188" i="2"/>
  <c r="I186" i="2"/>
  <c r="L187" i="2"/>
  <c r="C187" i="2"/>
  <c r="T187" i="2" s="1"/>
  <c r="F186" i="2"/>
  <c r="H186" i="2"/>
  <c r="E186" i="2" s="1"/>
  <c r="K187" i="2"/>
  <c r="G186" i="2"/>
  <c r="T186" i="2"/>
  <c r="K188" i="2" l="1"/>
  <c r="H187" i="2"/>
  <c r="D189" i="2"/>
  <c r="E187" i="2"/>
  <c r="C188" i="2"/>
  <c r="L188" i="2"/>
  <c r="I187" i="2"/>
  <c r="F187" i="2" s="1"/>
  <c r="M188" i="2"/>
  <c r="J187" i="2"/>
  <c r="G187" i="2" s="1"/>
  <c r="F188" i="2" l="1"/>
  <c r="C189" i="2"/>
  <c r="L189" i="2"/>
  <c r="I188" i="2"/>
  <c r="T188" i="2"/>
  <c r="K189" i="2"/>
  <c r="H188" i="2"/>
  <c r="E188" i="2" s="1"/>
  <c r="D190" i="2"/>
  <c r="T189" i="2"/>
  <c r="M189" i="2"/>
  <c r="J188" i="2"/>
  <c r="G188" i="2"/>
  <c r="K190" i="2" l="1"/>
  <c r="H189" i="2"/>
  <c r="L190" i="2"/>
  <c r="I189" i="2"/>
  <c r="M190" i="2"/>
  <c r="J189" i="2"/>
  <c r="G189" i="2" s="1"/>
  <c r="T190" i="2"/>
  <c r="D191" i="2"/>
  <c r="E189" i="2"/>
  <c r="F189" i="2"/>
  <c r="C190" i="2"/>
  <c r="K191" i="2" l="1"/>
  <c r="H190" i="2"/>
  <c r="E190" i="2" s="1"/>
  <c r="C191" i="2"/>
  <c r="M191" i="2"/>
  <c r="J190" i="2"/>
  <c r="G190" i="2" s="1"/>
  <c r="L191" i="2"/>
  <c r="I190" i="2"/>
  <c r="F190" i="2" s="1"/>
  <c r="D192" i="2"/>
  <c r="T191" i="2"/>
  <c r="K192" i="2" l="1"/>
  <c r="H191" i="2"/>
  <c r="I191" i="2"/>
  <c r="F191" i="2" s="1"/>
  <c r="L192" i="2"/>
  <c r="J191" i="2"/>
  <c r="G191" i="2" s="1"/>
  <c r="M192" i="2"/>
  <c r="C192" i="2"/>
  <c r="E191" i="2"/>
  <c r="D193" i="2"/>
  <c r="C193" i="2" l="1"/>
  <c r="L193" i="2"/>
  <c r="I192" i="2"/>
  <c r="F192" i="2" s="1"/>
  <c r="K193" i="2"/>
  <c r="H192" i="2"/>
  <c r="E192" i="2" s="1"/>
  <c r="D194" i="2"/>
  <c r="T193" i="2"/>
  <c r="T192" i="2"/>
  <c r="M193" i="2"/>
  <c r="J192" i="2"/>
  <c r="G192" i="2" s="1"/>
  <c r="H193" i="2" l="1"/>
  <c r="K194" i="2"/>
  <c r="L194" i="2"/>
  <c r="I193" i="2"/>
  <c r="C194" i="2"/>
  <c r="F193" i="2"/>
  <c r="E193" i="2"/>
  <c r="M194" i="2"/>
  <c r="J193" i="2"/>
  <c r="G193" i="2" s="1"/>
  <c r="T194" i="2"/>
  <c r="D195" i="2"/>
  <c r="E194" i="2" l="1"/>
  <c r="F194" i="2"/>
  <c r="C195" i="2"/>
  <c r="L195" i="2"/>
  <c r="I194" i="2"/>
  <c r="M195" i="2"/>
  <c r="J194" i="2"/>
  <c r="G194" i="2" s="1"/>
  <c r="K195" i="2"/>
  <c r="H194" i="2"/>
  <c r="D196" i="2"/>
  <c r="L196" i="2" l="1"/>
  <c r="I195" i="2"/>
  <c r="D197" i="2"/>
  <c r="K196" i="2"/>
  <c r="H195" i="2"/>
  <c r="E195" i="2"/>
  <c r="F195" i="2"/>
  <c r="C196" i="2"/>
  <c r="G195" i="2"/>
  <c r="T195" i="2"/>
  <c r="M196" i="2"/>
  <c r="J195" i="2"/>
  <c r="C197" i="2" l="1"/>
  <c r="K197" i="2"/>
  <c r="H196" i="2"/>
  <c r="E196" i="2" s="1"/>
  <c r="T196" i="2"/>
  <c r="J196" i="2"/>
  <c r="G196" i="2" s="1"/>
  <c r="M197" i="2"/>
  <c r="T197" i="2"/>
  <c r="D198" i="2"/>
  <c r="L197" i="2"/>
  <c r="I196" i="2"/>
  <c r="F196" i="2" s="1"/>
  <c r="K198" i="2" l="1"/>
  <c r="H197" i="2"/>
  <c r="E197" i="2"/>
  <c r="F197" i="2"/>
  <c r="C198" i="2"/>
  <c r="L198" i="2"/>
  <c r="I197" i="2"/>
  <c r="D199" i="2"/>
  <c r="M198" i="2"/>
  <c r="J197" i="2"/>
  <c r="G197" i="2" s="1"/>
  <c r="D200" i="2" l="1"/>
  <c r="H198" i="2"/>
  <c r="E198" i="2" s="1"/>
  <c r="K199" i="2"/>
  <c r="I198" i="2"/>
  <c r="F198" i="2" s="1"/>
  <c r="L199" i="2"/>
  <c r="C199" i="2"/>
  <c r="T199" i="2" s="1"/>
  <c r="M199" i="2"/>
  <c r="J198" i="2"/>
  <c r="G198" i="2" s="1"/>
  <c r="T198" i="2"/>
  <c r="I199" i="2" l="1"/>
  <c r="L200" i="2"/>
  <c r="K200" i="2"/>
  <c r="H199" i="2"/>
  <c r="D201" i="2"/>
  <c r="T200" i="2"/>
  <c r="M200" i="2"/>
  <c r="J199" i="2"/>
  <c r="G199" i="2" s="1"/>
  <c r="E199" i="2"/>
  <c r="F199" i="2"/>
  <c r="C200" i="2"/>
  <c r="K201" i="2" l="1"/>
  <c r="H200" i="2"/>
  <c r="M201" i="2"/>
  <c r="J200" i="2"/>
  <c r="G200" i="2" s="1"/>
  <c r="D202" i="2"/>
  <c r="T201" i="2"/>
  <c r="L201" i="2"/>
  <c r="I200" i="2"/>
  <c r="F200" i="2"/>
  <c r="C201" i="2"/>
  <c r="E200" i="2"/>
  <c r="L202" i="2" l="1"/>
  <c r="I201" i="2"/>
  <c r="T202" i="2"/>
  <c r="D203" i="2"/>
  <c r="M202" i="2"/>
  <c r="J201" i="2"/>
  <c r="G201" i="2" s="1"/>
  <c r="K202" i="2"/>
  <c r="H201" i="2"/>
  <c r="F201" i="2"/>
  <c r="C202" i="2"/>
  <c r="E201" i="2"/>
  <c r="E202" i="2" l="1"/>
  <c r="C203" i="2"/>
  <c r="K203" i="2"/>
  <c r="H202" i="2"/>
  <c r="M203" i="2"/>
  <c r="J202" i="2"/>
  <c r="G202" i="2" s="1"/>
  <c r="L203" i="2"/>
  <c r="I202" i="2"/>
  <c r="F202" i="2" s="1"/>
  <c r="D204" i="2"/>
  <c r="K204" i="2" l="1"/>
  <c r="H203" i="2"/>
  <c r="C204" i="2"/>
  <c r="E203" i="2"/>
  <c r="I203" i="2"/>
  <c r="F203" i="2" s="1"/>
  <c r="L204" i="2"/>
  <c r="T203" i="2"/>
  <c r="D205" i="2"/>
  <c r="J203" i="2"/>
  <c r="G203" i="2" s="1"/>
  <c r="M204" i="2"/>
  <c r="F204" i="2" l="1"/>
  <c r="C205" i="2"/>
  <c r="K205" i="2"/>
  <c r="H204" i="2"/>
  <c r="E204" i="2" s="1"/>
  <c r="J204" i="2"/>
  <c r="G204" i="2" s="1"/>
  <c r="M205" i="2"/>
  <c r="L205" i="2"/>
  <c r="I204" i="2"/>
  <c r="D206" i="2"/>
  <c r="T204" i="2"/>
  <c r="L206" i="2" l="1"/>
  <c r="I205" i="2"/>
  <c r="M206" i="2"/>
  <c r="J205" i="2"/>
  <c r="H205" i="2"/>
  <c r="K206" i="2"/>
  <c r="C206" i="2"/>
  <c r="F205" i="2"/>
  <c r="E205" i="2"/>
  <c r="T205" i="2"/>
  <c r="T206" i="2"/>
  <c r="D207" i="2"/>
  <c r="G205" i="2"/>
  <c r="H206" i="2" l="1"/>
  <c r="K207" i="2"/>
  <c r="M207" i="2"/>
  <c r="J206" i="2"/>
  <c r="L207" i="2"/>
  <c r="I206" i="2"/>
  <c r="F206" i="2" s="1"/>
  <c r="D208" i="2"/>
  <c r="E206" i="2"/>
  <c r="C207" i="2"/>
  <c r="T207" i="2" s="1"/>
  <c r="G206" i="2"/>
  <c r="D209" i="2" l="1"/>
  <c r="M208" i="2"/>
  <c r="J207" i="2"/>
  <c r="G207" i="2" s="1"/>
  <c r="L208" i="2"/>
  <c r="I207" i="2"/>
  <c r="K208" i="2"/>
  <c r="H207" i="2"/>
  <c r="E207" i="2" s="1"/>
  <c r="F207" i="2"/>
  <c r="C208" i="2"/>
  <c r="J208" i="2" l="1"/>
  <c r="G208" i="2" s="1"/>
  <c r="M209" i="2"/>
  <c r="T209" i="2"/>
  <c r="D210" i="2"/>
  <c r="C209" i="2"/>
  <c r="T208" i="2"/>
  <c r="L209" i="2"/>
  <c r="I208" i="2"/>
  <c r="F208" i="2" s="1"/>
  <c r="K209" i="2"/>
  <c r="H208" i="2"/>
  <c r="E208" i="2" s="1"/>
  <c r="D211" i="2" l="1"/>
  <c r="L210" i="2"/>
  <c r="I209" i="2"/>
  <c r="M210" i="2"/>
  <c r="J209" i="2"/>
  <c r="G209" i="2" s="1"/>
  <c r="K210" i="2"/>
  <c r="H209" i="2"/>
  <c r="E209" i="2" s="1"/>
  <c r="F209" i="2"/>
  <c r="C210" i="2"/>
  <c r="H210" i="2" l="1"/>
  <c r="K211" i="2"/>
  <c r="C211" i="2"/>
  <c r="E210" i="2"/>
  <c r="T210" i="2"/>
  <c r="M211" i="2"/>
  <c r="J210" i="2"/>
  <c r="G210" i="2" s="1"/>
  <c r="D212" i="2"/>
  <c r="L211" i="2"/>
  <c r="I210" i="2"/>
  <c r="F210" i="2" s="1"/>
  <c r="M212" i="2" l="1"/>
  <c r="J211" i="2"/>
  <c r="K212" i="2"/>
  <c r="H211" i="2"/>
  <c r="E211" i="2" s="1"/>
  <c r="C212" i="2"/>
  <c r="T212" i="2" s="1"/>
  <c r="I211" i="2"/>
  <c r="F211" i="2" s="1"/>
  <c r="L212" i="2"/>
  <c r="G211" i="2"/>
  <c r="D213" i="2"/>
  <c r="T211" i="2"/>
  <c r="K213" i="2" l="1"/>
  <c r="H212" i="2"/>
  <c r="I212" i="2"/>
  <c r="L213" i="2"/>
  <c r="D214" i="2"/>
  <c r="T213" i="2"/>
  <c r="F212" i="2"/>
  <c r="C213" i="2"/>
  <c r="E212" i="2"/>
  <c r="M213" i="2"/>
  <c r="J212" i="2"/>
  <c r="G212" i="2" s="1"/>
  <c r="L214" i="2" l="1"/>
  <c r="I213" i="2"/>
  <c r="D215" i="2"/>
  <c r="M214" i="2"/>
  <c r="J213" i="2"/>
  <c r="G213" i="2" s="1"/>
  <c r="H213" i="2"/>
  <c r="K214" i="2"/>
  <c r="F213" i="2"/>
  <c r="C214" i="2"/>
  <c r="E213" i="2"/>
  <c r="K215" i="2" l="1"/>
  <c r="H214" i="2"/>
  <c r="I214" i="2"/>
  <c r="L215" i="2"/>
  <c r="M215" i="2"/>
  <c r="J214" i="2"/>
  <c r="G214" i="2" s="1"/>
  <c r="D216" i="2"/>
  <c r="F214" i="2"/>
  <c r="E214" i="2"/>
  <c r="C215" i="2"/>
  <c r="T215" i="2" s="1"/>
  <c r="T214" i="2"/>
  <c r="M216" i="2" l="1"/>
  <c r="J215" i="2"/>
  <c r="G215" i="2" s="1"/>
  <c r="D217" i="2"/>
  <c r="I215" i="2"/>
  <c r="L216" i="2"/>
  <c r="K216" i="2"/>
  <c r="H215" i="2"/>
  <c r="E215" i="2" s="1"/>
  <c r="F215" i="2"/>
  <c r="C216" i="2"/>
  <c r="L217" i="2" l="1"/>
  <c r="I216" i="2"/>
  <c r="K217" i="2"/>
  <c r="H216" i="2"/>
  <c r="T216" i="2"/>
  <c r="D218" i="2"/>
  <c r="F216" i="2"/>
  <c r="C217" i="2"/>
  <c r="E216" i="2"/>
  <c r="J216" i="2"/>
  <c r="G216" i="2" s="1"/>
  <c r="M217" i="2"/>
  <c r="C218" i="2" l="1"/>
  <c r="T217" i="2"/>
  <c r="T218" i="2"/>
  <c r="D219" i="2"/>
  <c r="K218" i="2"/>
  <c r="H217" i="2"/>
  <c r="E217" i="2" s="1"/>
  <c r="L218" i="2"/>
  <c r="I217" i="2"/>
  <c r="F217" i="2" s="1"/>
  <c r="M218" i="2"/>
  <c r="J217" i="2"/>
  <c r="G217" i="2" s="1"/>
  <c r="I218" i="2" l="1"/>
  <c r="L219" i="2"/>
  <c r="D220" i="2"/>
  <c r="H218" i="2"/>
  <c r="K219" i="2"/>
  <c r="E218" i="2"/>
  <c r="C219" i="2"/>
  <c r="F218" i="2"/>
  <c r="M219" i="2"/>
  <c r="J218" i="2"/>
  <c r="G218" i="2" s="1"/>
  <c r="D221" i="2" l="1"/>
  <c r="E219" i="2"/>
  <c r="C220" i="2"/>
  <c r="F219" i="2"/>
  <c r="K220" i="2"/>
  <c r="H219" i="2"/>
  <c r="T219" i="2"/>
  <c r="L220" i="2"/>
  <c r="I219" i="2"/>
  <c r="J219" i="2"/>
  <c r="G219" i="2" s="1"/>
  <c r="M220" i="2"/>
  <c r="L221" i="2" l="1"/>
  <c r="I220" i="2"/>
  <c r="K221" i="2"/>
  <c r="H220" i="2"/>
  <c r="C221" i="2"/>
  <c r="F220" i="2"/>
  <c r="E220" i="2"/>
  <c r="D222" i="2"/>
  <c r="T220" i="2"/>
  <c r="J220" i="2"/>
  <c r="G220" i="2" s="1"/>
  <c r="M221" i="2"/>
  <c r="C222" i="2" l="1"/>
  <c r="H221" i="2"/>
  <c r="E221" i="2" s="1"/>
  <c r="K222" i="2"/>
  <c r="M222" i="2"/>
  <c r="J221" i="2"/>
  <c r="G221" i="2" s="1"/>
  <c r="T221" i="2"/>
  <c r="L222" i="2"/>
  <c r="I221" i="2"/>
  <c r="F221" i="2" s="1"/>
  <c r="T222" i="2"/>
  <c r="D223" i="2"/>
  <c r="C223" i="2" l="1"/>
  <c r="E222" i="2"/>
  <c r="M223" i="2"/>
  <c r="J222" i="2"/>
  <c r="G222" i="2" s="1"/>
  <c r="H222" i="2"/>
  <c r="K223" i="2"/>
  <c r="L223" i="2"/>
  <c r="I222" i="2"/>
  <c r="F222" i="2" s="1"/>
  <c r="T223" i="2"/>
  <c r="D224" i="2"/>
  <c r="D225" i="2" l="1"/>
  <c r="T224" i="2"/>
  <c r="J223" i="2"/>
  <c r="G223" i="2" s="1"/>
  <c r="M224" i="2"/>
  <c r="I223" i="2"/>
  <c r="L224" i="2"/>
  <c r="F223" i="2"/>
  <c r="C224" i="2"/>
  <c r="K224" i="2"/>
  <c r="H223" i="2"/>
  <c r="E223" i="2" s="1"/>
  <c r="D226" i="2" l="1"/>
  <c r="K225" i="2"/>
  <c r="H224" i="2"/>
  <c r="C225" i="2"/>
  <c r="T225" i="2" s="1"/>
  <c r="E224" i="2"/>
  <c r="M225" i="2"/>
  <c r="J224" i="2"/>
  <c r="G224" i="2" s="1"/>
  <c r="I224" i="2"/>
  <c r="F224" i="2" s="1"/>
  <c r="L225" i="2"/>
  <c r="D227" i="2" l="1"/>
  <c r="M226" i="2"/>
  <c r="J225" i="2"/>
  <c r="G225" i="2" s="1"/>
  <c r="L226" i="2"/>
  <c r="I225" i="2"/>
  <c r="F225" i="2" s="1"/>
  <c r="E225" i="2"/>
  <c r="C226" i="2"/>
  <c r="T226" i="2" s="1"/>
  <c r="H225" i="2"/>
  <c r="K226" i="2"/>
  <c r="L227" i="2" l="1"/>
  <c r="I226" i="2"/>
  <c r="M227" i="2"/>
  <c r="J226" i="2"/>
  <c r="H226" i="2"/>
  <c r="K227" i="2"/>
  <c r="G226" i="2"/>
  <c r="T227" i="2"/>
  <c r="D228" i="2"/>
  <c r="F226" i="2"/>
  <c r="C227" i="2"/>
  <c r="E226" i="2"/>
  <c r="K228" i="2" l="1"/>
  <c r="H227" i="2"/>
  <c r="F227" i="2"/>
  <c r="E227" i="2"/>
  <c r="C228" i="2"/>
  <c r="J227" i="2"/>
  <c r="G227" i="2" s="1"/>
  <c r="M228" i="2"/>
  <c r="I227" i="2"/>
  <c r="L228" i="2"/>
  <c r="D229" i="2"/>
  <c r="K229" i="2" l="1"/>
  <c r="H228" i="2"/>
  <c r="E228" i="2" s="1"/>
  <c r="T228" i="2"/>
  <c r="I228" i="2"/>
  <c r="F228" i="2" s="1"/>
  <c r="L229" i="2"/>
  <c r="C229" i="2"/>
  <c r="D230" i="2"/>
  <c r="T229" i="2"/>
  <c r="J228" i="2"/>
  <c r="G228" i="2" s="1"/>
  <c r="M229" i="2"/>
  <c r="L230" i="2" l="1"/>
  <c r="I229" i="2"/>
  <c r="J229" i="2"/>
  <c r="G229" i="2" s="1"/>
  <c r="M230" i="2"/>
  <c r="D231" i="2"/>
  <c r="H229" i="2"/>
  <c r="K230" i="2"/>
  <c r="E229" i="2"/>
  <c r="F229" i="2"/>
  <c r="C230" i="2"/>
  <c r="M231" i="2" l="1"/>
  <c r="J230" i="2"/>
  <c r="H230" i="2"/>
  <c r="K231" i="2"/>
  <c r="D232" i="2"/>
  <c r="E230" i="2"/>
  <c r="F230" i="2"/>
  <c r="C231" i="2"/>
  <c r="G230" i="2"/>
  <c r="T230" i="2"/>
  <c r="I230" i="2"/>
  <c r="L231" i="2"/>
  <c r="C232" i="2" l="1"/>
  <c r="T232" i="2"/>
  <c r="D233" i="2"/>
  <c r="I231" i="2"/>
  <c r="F231" i="2" s="1"/>
  <c r="L232" i="2"/>
  <c r="K232" i="2"/>
  <c r="H231" i="2"/>
  <c r="E231" i="2" s="1"/>
  <c r="M232" i="2"/>
  <c r="J231" i="2"/>
  <c r="G231" i="2" s="1"/>
  <c r="T231" i="2"/>
  <c r="D234" i="2" l="1"/>
  <c r="T233" i="2"/>
  <c r="K233" i="2"/>
  <c r="H232" i="2"/>
  <c r="E232" i="2" s="1"/>
  <c r="L233" i="2"/>
  <c r="I232" i="2"/>
  <c r="C233" i="2"/>
  <c r="F232" i="2"/>
  <c r="J232" i="2"/>
  <c r="G232" i="2" s="1"/>
  <c r="M233" i="2"/>
  <c r="I233" i="2" l="1"/>
  <c r="L234" i="2"/>
  <c r="C234" i="2"/>
  <c r="F233" i="2"/>
  <c r="H233" i="2"/>
  <c r="E233" i="2" s="1"/>
  <c r="K234" i="2"/>
  <c r="T234" i="2"/>
  <c r="D235" i="2"/>
  <c r="G233" i="2"/>
  <c r="J233" i="2"/>
  <c r="M234" i="2"/>
  <c r="D236" i="2" l="1"/>
  <c r="T235" i="2"/>
  <c r="C235" i="2"/>
  <c r="H234" i="2"/>
  <c r="E234" i="2" s="1"/>
  <c r="K235" i="2"/>
  <c r="M235" i="2"/>
  <c r="J234" i="2"/>
  <c r="G234" i="2" s="1"/>
  <c r="L235" i="2"/>
  <c r="I234" i="2"/>
  <c r="F234" i="2" s="1"/>
  <c r="I235" i="2" l="1"/>
  <c r="L236" i="2"/>
  <c r="D237" i="2"/>
  <c r="M236" i="2"/>
  <c r="J235" i="2"/>
  <c r="C236" i="2"/>
  <c r="E235" i="2"/>
  <c r="F235" i="2"/>
  <c r="H235" i="2"/>
  <c r="K236" i="2"/>
  <c r="G235" i="2"/>
  <c r="C237" i="2" l="1"/>
  <c r="M237" i="2"/>
  <c r="J236" i="2"/>
  <c r="K237" i="2"/>
  <c r="H236" i="2"/>
  <c r="E236" i="2" s="1"/>
  <c r="D238" i="2"/>
  <c r="T237" i="2"/>
  <c r="G236" i="2"/>
  <c r="T236" i="2"/>
  <c r="L237" i="2"/>
  <c r="I236" i="2"/>
  <c r="F236" i="2" s="1"/>
  <c r="D239" i="2" l="1"/>
  <c r="F237" i="2"/>
  <c r="C238" i="2"/>
  <c r="K238" i="2"/>
  <c r="H237" i="2"/>
  <c r="E237" i="2" s="1"/>
  <c r="L238" i="2"/>
  <c r="I237" i="2"/>
  <c r="M238" i="2"/>
  <c r="J237" i="2"/>
  <c r="G237" i="2" s="1"/>
  <c r="E238" i="2" l="1"/>
  <c r="C239" i="2"/>
  <c r="M239" i="2"/>
  <c r="J238" i="2"/>
  <c r="G238" i="2" s="1"/>
  <c r="T238" i="2"/>
  <c r="L239" i="2"/>
  <c r="I238" i="2"/>
  <c r="F238" i="2" s="1"/>
  <c r="T239" i="2"/>
  <c r="D240" i="2"/>
  <c r="K239" i="2"/>
  <c r="H238" i="2"/>
  <c r="L240" i="2" l="1"/>
  <c r="I239" i="2"/>
  <c r="K240" i="2"/>
  <c r="H239" i="2"/>
  <c r="M240" i="2"/>
  <c r="J239" i="2"/>
  <c r="G239" i="2" s="1"/>
  <c r="D241" i="2"/>
  <c r="T240" i="2"/>
  <c r="E239" i="2"/>
  <c r="F239" i="2"/>
  <c r="C240" i="2"/>
  <c r="J240" i="2" l="1"/>
  <c r="M241" i="2"/>
  <c r="T241" i="2"/>
  <c r="D242" i="2"/>
  <c r="K241" i="2"/>
  <c r="H240" i="2"/>
  <c r="C241" i="2"/>
  <c r="E240" i="2"/>
  <c r="F240" i="2"/>
  <c r="I240" i="2"/>
  <c r="L241" i="2"/>
  <c r="G240" i="2"/>
  <c r="L242" i="2" l="1"/>
  <c r="I241" i="2"/>
  <c r="F241" i="2" s="1"/>
  <c r="C242" i="2"/>
  <c r="M242" i="2"/>
  <c r="J241" i="2"/>
  <c r="G241" i="2" s="1"/>
  <c r="K242" i="2"/>
  <c r="H241" i="2"/>
  <c r="E241" i="2" s="1"/>
  <c r="D243" i="2"/>
  <c r="T242" i="2"/>
  <c r="H242" i="2" l="1"/>
  <c r="K243" i="2"/>
  <c r="L243" i="2"/>
  <c r="I242" i="2"/>
  <c r="M243" i="2"/>
  <c r="J242" i="2"/>
  <c r="G242" i="2" s="1"/>
  <c r="C243" i="2"/>
  <c r="E242" i="2"/>
  <c r="F242" i="2"/>
  <c r="T243" i="2"/>
  <c r="D244" i="2"/>
  <c r="E243" i="2" l="1"/>
  <c r="C244" i="2"/>
  <c r="M244" i="2"/>
  <c r="J243" i="2"/>
  <c r="G243" i="2" s="1"/>
  <c r="K244" i="2"/>
  <c r="H243" i="2"/>
  <c r="T244" i="2"/>
  <c r="D245" i="2"/>
  <c r="L244" i="2"/>
  <c r="I243" i="2"/>
  <c r="F243" i="2" s="1"/>
  <c r="K245" i="2" l="1"/>
  <c r="H244" i="2"/>
  <c r="M245" i="2"/>
  <c r="J244" i="2"/>
  <c r="E244" i="2"/>
  <c r="C245" i="2"/>
  <c r="L245" i="2"/>
  <c r="I244" i="2"/>
  <c r="F244" i="2" s="1"/>
  <c r="D246" i="2"/>
  <c r="T245" i="2"/>
  <c r="G244" i="2"/>
  <c r="C246" i="2" l="1"/>
  <c r="E245" i="2"/>
  <c r="T246" i="2"/>
  <c r="D247" i="2"/>
  <c r="J245" i="2"/>
  <c r="G245" i="2" s="1"/>
  <c r="M246" i="2"/>
  <c r="K246" i="2"/>
  <c r="H245" i="2"/>
  <c r="L246" i="2"/>
  <c r="I245" i="2"/>
  <c r="F245" i="2" s="1"/>
  <c r="M247" i="2" l="1"/>
  <c r="J246" i="2"/>
  <c r="G246" i="2" s="1"/>
  <c r="C247" i="2"/>
  <c r="D248" i="2"/>
  <c r="T247" i="2"/>
  <c r="L247" i="2"/>
  <c r="I246" i="2"/>
  <c r="F246" i="2" s="1"/>
  <c r="K247" i="2"/>
  <c r="H246" i="2"/>
  <c r="E246" i="2" s="1"/>
  <c r="I247" i="2" l="1"/>
  <c r="L248" i="2"/>
  <c r="H247" i="2"/>
  <c r="K248" i="2"/>
  <c r="M248" i="2"/>
  <c r="J247" i="2"/>
  <c r="G247" i="2" s="1"/>
  <c r="D249" i="2"/>
  <c r="C248" i="2"/>
  <c r="T248" i="2" s="1"/>
  <c r="E247" i="2"/>
  <c r="F247" i="2"/>
  <c r="D250" i="2" l="1"/>
  <c r="T249" i="2"/>
  <c r="G248" i="2"/>
  <c r="K249" i="2"/>
  <c r="H248" i="2"/>
  <c r="L249" i="2"/>
  <c r="I248" i="2"/>
  <c r="E248" i="2"/>
  <c r="F248" i="2"/>
  <c r="C249" i="2"/>
  <c r="M249" i="2"/>
  <c r="J248" i="2"/>
  <c r="M250" i="2" l="1"/>
  <c r="J249" i="2"/>
  <c r="G249" i="2" s="1"/>
  <c r="C250" i="2"/>
  <c r="D251" i="2"/>
  <c r="T250" i="2"/>
  <c r="L250" i="2"/>
  <c r="I249" i="2"/>
  <c r="F249" i="2" s="1"/>
  <c r="K250" i="2"/>
  <c r="H249" i="2"/>
  <c r="E249" i="2" s="1"/>
  <c r="D252" i="2" l="1"/>
  <c r="L251" i="2"/>
  <c r="I250" i="2"/>
  <c r="F250" i="2"/>
  <c r="C251" i="2"/>
  <c r="T251" i="2" s="1"/>
  <c r="M251" i="2"/>
  <c r="J250" i="2"/>
  <c r="G250" i="2" s="1"/>
  <c r="K251" i="2"/>
  <c r="H250" i="2"/>
  <c r="E250" i="2" s="1"/>
  <c r="D253" i="2" l="1"/>
  <c r="M252" i="2"/>
  <c r="J251" i="2"/>
  <c r="G251" i="2"/>
  <c r="F251" i="2"/>
  <c r="C252" i="2"/>
  <c r="T252" i="2" s="1"/>
  <c r="L252" i="2"/>
  <c r="I251" i="2"/>
  <c r="K252" i="2"/>
  <c r="H251" i="2"/>
  <c r="E251" i="2" s="1"/>
  <c r="J252" i="2" l="1"/>
  <c r="G252" i="2" s="1"/>
  <c r="M253" i="2"/>
  <c r="D254" i="2"/>
  <c r="C253" i="2"/>
  <c r="T253" i="2" s="1"/>
  <c r="E252" i="2"/>
  <c r="K253" i="2"/>
  <c r="H252" i="2"/>
  <c r="I252" i="2"/>
  <c r="F252" i="2" s="1"/>
  <c r="L253" i="2"/>
  <c r="L254" i="2" l="1"/>
  <c r="I253" i="2"/>
  <c r="M254" i="2"/>
  <c r="J253" i="2"/>
  <c r="K254" i="2"/>
  <c r="H253" i="2"/>
  <c r="E253" i="2" s="1"/>
  <c r="G253" i="2"/>
  <c r="D255" i="2"/>
  <c r="F253" i="2"/>
  <c r="C254" i="2"/>
  <c r="H254" i="2" l="1"/>
  <c r="K255" i="2"/>
  <c r="D256" i="2"/>
  <c r="T254" i="2"/>
  <c r="M255" i="2"/>
  <c r="J254" i="2"/>
  <c r="G254" i="2" s="1"/>
  <c r="C255" i="2"/>
  <c r="E254" i="2"/>
  <c r="F254" i="2"/>
  <c r="L255" i="2"/>
  <c r="I254" i="2"/>
  <c r="M256" i="2" l="1"/>
  <c r="J255" i="2"/>
  <c r="C256" i="2"/>
  <c r="D257" i="2"/>
  <c r="G255" i="2"/>
  <c r="T255" i="2"/>
  <c r="K256" i="2"/>
  <c r="H255" i="2"/>
  <c r="E255" i="2" s="1"/>
  <c r="L256" i="2"/>
  <c r="I255" i="2"/>
  <c r="F255" i="2" s="1"/>
  <c r="L257" i="2" l="1"/>
  <c r="I256" i="2"/>
  <c r="K257" i="2"/>
  <c r="H256" i="2"/>
  <c r="E256" i="2"/>
  <c r="F256" i="2"/>
  <c r="C257" i="2"/>
  <c r="T257" i="2" s="1"/>
  <c r="D258" i="2"/>
  <c r="G256" i="2"/>
  <c r="T256" i="2"/>
  <c r="M257" i="2"/>
  <c r="J256" i="2"/>
  <c r="K258" i="2" l="1"/>
  <c r="H257" i="2"/>
  <c r="J257" i="2"/>
  <c r="G257" i="2" s="1"/>
  <c r="M258" i="2"/>
  <c r="L258" i="2"/>
  <c r="I257" i="2"/>
  <c r="F257" i="2" s="1"/>
  <c r="D259" i="2"/>
  <c r="C258" i="2"/>
  <c r="E257" i="2"/>
  <c r="D260" i="2" l="1"/>
  <c r="T258" i="2"/>
  <c r="K259" i="2"/>
  <c r="H258" i="2"/>
  <c r="L259" i="2"/>
  <c r="I258" i="2"/>
  <c r="F258" i="2" s="1"/>
  <c r="M259" i="2"/>
  <c r="J258" i="2"/>
  <c r="G258" i="2" s="1"/>
  <c r="E258" i="2"/>
  <c r="C259" i="2"/>
  <c r="T259" i="2" s="1"/>
  <c r="I259" i="2" l="1"/>
  <c r="L260" i="2"/>
  <c r="H259" i="2"/>
  <c r="K260" i="2"/>
  <c r="M260" i="2"/>
  <c r="J259" i="2"/>
  <c r="G259" i="2"/>
  <c r="C260" i="2"/>
  <c r="E259" i="2"/>
  <c r="F259" i="2"/>
  <c r="D261" i="2"/>
  <c r="E260" i="2" l="1"/>
  <c r="F260" i="2"/>
  <c r="C261" i="2"/>
  <c r="K261" i="2"/>
  <c r="H260" i="2"/>
  <c r="M261" i="2"/>
  <c r="J260" i="2"/>
  <c r="D262" i="2"/>
  <c r="L261" i="2"/>
  <c r="I260" i="2"/>
  <c r="G260" i="2"/>
  <c r="T260" i="2"/>
  <c r="C262" i="2" l="1"/>
  <c r="E261" i="2"/>
  <c r="M262" i="2"/>
  <c r="J261" i="2"/>
  <c r="G261" i="2" s="1"/>
  <c r="K262" i="2"/>
  <c r="H261" i="2"/>
  <c r="L262" i="2"/>
  <c r="I261" i="2"/>
  <c r="F261" i="2" s="1"/>
  <c r="T261" i="2"/>
  <c r="D263" i="2"/>
  <c r="T262" i="2"/>
  <c r="M263" i="2" l="1"/>
  <c r="J262" i="2"/>
  <c r="G262" i="2" s="1"/>
  <c r="L263" i="2"/>
  <c r="I262" i="2"/>
  <c r="F262" i="2"/>
  <c r="C263" i="2"/>
  <c r="T263" i="2"/>
  <c r="D264" i="2"/>
  <c r="K263" i="2"/>
  <c r="H262" i="2"/>
  <c r="E262" i="2" s="1"/>
  <c r="C264" i="2" l="1"/>
  <c r="L264" i="2"/>
  <c r="I263" i="2"/>
  <c r="F263" i="2" s="1"/>
  <c r="K264" i="2"/>
  <c r="H263" i="2"/>
  <c r="E263" i="2" s="1"/>
  <c r="M264" i="2"/>
  <c r="J263" i="2"/>
  <c r="G263" i="2" s="1"/>
  <c r="D265" i="2"/>
  <c r="T264" i="2"/>
  <c r="D266" i="2" l="1"/>
  <c r="K265" i="2"/>
  <c r="H264" i="2"/>
  <c r="I264" i="2"/>
  <c r="L265" i="2"/>
  <c r="C265" i="2"/>
  <c r="E264" i="2"/>
  <c r="F264" i="2"/>
  <c r="J264" i="2"/>
  <c r="G264" i="2" s="1"/>
  <c r="M265" i="2"/>
  <c r="E265" i="2" l="1"/>
  <c r="C266" i="2"/>
  <c r="L266" i="2"/>
  <c r="I265" i="2"/>
  <c r="F265" i="2" s="1"/>
  <c r="D267" i="2"/>
  <c r="T266" i="2"/>
  <c r="K266" i="2"/>
  <c r="H265" i="2"/>
  <c r="T265" i="2"/>
  <c r="M266" i="2"/>
  <c r="J265" i="2"/>
  <c r="G265" i="2" s="1"/>
  <c r="L267" i="2" l="1"/>
  <c r="I266" i="2"/>
  <c r="D268" i="2"/>
  <c r="C267" i="2"/>
  <c r="F266" i="2"/>
  <c r="M267" i="2"/>
  <c r="J266" i="2"/>
  <c r="G266" i="2" s="1"/>
  <c r="H266" i="2"/>
  <c r="E266" i="2" s="1"/>
  <c r="K267" i="2"/>
  <c r="C268" i="2" l="1"/>
  <c r="T268" i="2"/>
  <c r="D269" i="2"/>
  <c r="G267" i="2"/>
  <c r="T267" i="2"/>
  <c r="L268" i="2"/>
  <c r="I267" i="2"/>
  <c r="F267" i="2" s="1"/>
  <c r="K268" i="2"/>
  <c r="H267" i="2"/>
  <c r="E267" i="2" s="1"/>
  <c r="M268" i="2"/>
  <c r="J267" i="2"/>
  <c r="D270" i="2" l="1"/>
  <c r="F268" i="2"/>
  <c r="C269" i="2"/>
  <c r="M269" i="2"/>
  <c r="J268" i="2"/>
  <c r="G268" i="2" s="1"/>
  <c r="K269" i="2"/>
  <c r="H268" i="2"/>
  <c r="E268" i="2" s="1"/>
  <c r="L269" i="2"/>
  <c r="I268" i="2"/>
  <c r="L270" i="2" l="1"/>
  <c r="I269" i="2"/>
  <c r="D271" i="2"/>
  <c r="K270" i="2"/>
  <c r="H269" i="2"/>
  <c r="E269" i="2" s="1"/>
  <c r="J269" i="2"/>
  <c r="G269" i="2" s="1"/>
  <c r="M270" i="2"/>
  <c r="C270" i="2"/>
  <c r="F269" i="2"/>
  <c r="T269" i="2"/>
  <c r="K271" i="2" l="1"/>
  <c r="H270" i="2"/>
  <c r="D272" i="2"/>
  <c r="E270" i="2"/>
  <c r="C271" i="2"/>
  <c r="T271" i="2" s="1"/>
  <c r="T270" i="2"/>
  <c r="M271" i="2"/>
  <c r="J270" i="2"/>
  <c r="G270" i="2" s="1"/>
  <c r="L271" i="2"/>
  <c r="I270" i="2"/>
  <c r="F270" i="2" s="1"/>
  <c r="D273" i="2" l="1"/>
  <c r="H271" i="2"/>
  <c r="E271" i="2" s="1"/>
  <c r="K272" i="2"/>
  <c r="I271" i="2"/>
  <c r="F271" i="2" s="1"/>
  <c r="L272" i="2"/>
  <c r="C272" i="2"/>
  <c r="T272" i="2" s="1"/>
  <c r="M272" i="2"/>
  <c r="J271" i="2"/>
  <c r="G271" i="2" s="1"/>
  <c r="L273" i="2" l="1"/>
  <c r="I272" i="2"/>
  <c r="F272" i="2" s="1"/>
  <c r="D274" i="2"/>
  <c r="T273" i="2"/>
  <c r="M273" i="2"/>
  <c r="J272" i="2"/>
  <c r="G272" i="2" s="1"/>
  <c r="C273" i="2"/>
  <c r="K273" i="2"/>
  <c r="H272" i="2"/>
  <c r="E272" i="2" s="1"/>
  <c r="L274" i="2" l="1"/>
  <c r="I273" i="2"/>
  <c r="M274" i="2"/>
  <c r="J273" i="2"/>
  <c r="K274" i="2"/>
  <c r="H273" i="2"/>
  <c r="D275" i="2"/>
  <c r="F273" i="2"/>
  <c r="C274" i="2"/>
  <c r="E273" i="2"/>
  <c r="G273" i="2"/>
  <c r="F274" i="2" l="1"/>
  <c r="C275" i="2"/>
  <c r="T274" i="2"/>
  <c r="D276" i="2"/>
  <c r="L275" i="2"/>
  <c r="I274" i="2"/>
  <c r="K275" i="2"/>
  <c r="H274" i="2"/>
  <c r="E274" i="2" s="1"/>
  <c r="M275" i="2"/>
  <c r="J274" i="2"/>
  <c r="G274" i="2" s="1"/>
  <c r="D277" i="2" l="1"/>
  <c r="C276" i="2"/>
  <c r="L276" i="2"/>
  <c r="I275" i="2"/>
  <c r="F275" i="2" s="1"/>
  <c r="T275" i="2"/>
  <c r="K276" i="2"/>
  <c r="H275" i="2"/>
  <c r="E275" i="2" s="1"/>
  <c r="M276" i="2"/>
  <c r="J275" i="2"/>
  <c r="G275" i="2" s="1"/>
  <c r="I276" i="2" l="1"/>
  <c r="L277" i="2"/>
  <c r="C277" i="2"/>
  <c r="F276" i="2"/>
  <c r="G276" i="2"/>
  <c r="J276" i="2"/>
  <c r="M277" i="2"/>
  <c r="T276" i="2"/>
  <c r="T277" i="2"/>
  <c r="D278" i="2"/>
  <c r="K277" i="2"/>
  <c r="H276" i="2"/>
  <c r="E276" i="2" s="1"/>
  <c r="K278" i="2" l="1"/>
  <c r="H277" i="2"/>
  <c r="D279" i="2"/>
  <c r="E277" i="2"/>
  <c r="C278" i="2"/>
  <c r="T278" i="2" s="1"/>
  <c r="L278" i="2"/>
  <c r="I277" i="2"/>
  <c r="F277" i="2" s="1"/>
  <c r="M278" i="2"/>
  <c r="J277" i="2"/>
  <c r="G277" i="2" s="1"/>
  <c r="L279" i="2" l="1"/>
  <c r="I278" i="2"/>
  <c r="F278" i="2" s="1"/>
  <c r="M279" i="2"/>
  <c r="J278" i="2"/>
  <c r="C279" i="2"/>
  <c r="E278" i="2"/>
  <c r="D280" i="2"/>
  <c r="T279" i="2"/>
  <c r="G278" i="2"/>
  <c r="K279" i="2"/>
  <c r="H278" i="2"/>
  <c r="L280" i="2" l="1"/>
  <c r="I279" i="2"/>
  <c r="F279" i="2" s="1"/>
  <c r="T280" i="2"/>
  <c r="D281" i="2"/>
  <c r="C280" i="2"/>
  <c r="E279" i="2"/>
  <c r="J279" i="2"/>
  <c r="G279" i="2" s="1"/>
  <c r="M280" i="2"/>
  <c r="K280" i="2"/>
  <c r="H279" i="2"/>
  <c r="C281" i="2" l="1"/>
  <c r="D282" i="2"/>
  <c r="T281" i="2"/>
  <c r="L281" i="2"/>
  <c r="I280" i="2"/>
  <c r="F280" i="2" s="1"/>
  <c r="M281" i="2"/>
  <c r="J280" i="2"/>
  <c r="G280" i="2" s="1"/>
  <c r="K281" i="2"/>
  <c r="H280" i="2"/>
  <c r="E280" i="2" s="1"/>
  <c r="L282" i="2" l="1"/>
  <c r="I281" i="2"/>
  <c r="K282" i="2"/>
  <c r="H281" i="2"/>
  <c r="D283" i="2"/>
  <c r="M282" i="2"/>
  <c r="J281" i="2"/>
  <c r="G281" i="2" s="1"/>
  <c r="C282" i="2"/>
  <c r="E281" i="2"/>
  <c r="F281" i="2"/>
  <c r="C283" i="2" l="1"/>
  <c r="J282" i="2"/>
  <c r="M283" i="2"/>
  <c r="G282" i="2"/>
  <c r="K283" i="2"/>
  <c r="H282" i="2"/>
  <c r="E282" i="2" s="1"/>
  <c r="T282" i="2"/>
  <c r="T283" i="2"/>
  <c r="D284" i="2"/>
  <c r="L283" i="2"/>
  <c r="I282" i="2"/>
  <c r="F282" i="2" s="1"/>
  <c r="K284" i="2" l="1"/>
  <c r="H283" i="2"/>
  <c r="M284" i="2"/>
  <c r="J283" i="2"/>
  <c r="L284" i="2"/>
  <c r="I283" i="2"/>
  <c r="D285" i="2"/>
  <c r="E283" i="2"/>
  <c r="F283" i="2"/>
  <c r="C284" i="2"/>
  <c r="G283" i="2"/>
  <c r="L285" i="2" l="1"/>
  <c r="I284" i="2"/>
  <c r="C285" i="2"/>
  <c r="E284" i="2"/>
  <c r="F284" i="2"/>
  <c r="M285" i="2"/>
  <c r="J284" i="2"/>
  <c r="T284" i="2"/>
  <c r="K285" i="2"/>
  <c r="H284" i="2"/>
  <c r="D286" i="2"/>
  <c r="G284" i="2"/>
  <c r="C286" i="2" l="1"/>
  <c r="F285" i="2"/>
  <c r="T285" i="2"/>
  <c r="L286" i="2"/>
  <c r="I285" i="2"/>
  <c r="T286" i="2"/>
  <c r="D287" i="2"/>
  <c r="M286" i="2"/>
  <c r="J285" i="2"/>
  <c r="G285" i="2" s="1"/>
  <c r="K286" i="2"/>
  <c r="H285" i="2"/>
  <c r="E285" i="2" s="1"/>
  <c r="D288" i="2" l="1"/>
  <c r="T287" i="2"/>
  <c r="K287" i="2"/>
  <c r="H286" i="2"/>
  <c r="L287" i="2"/>
  <c r="I286" i="2"/>
  <c r="F286" i="2" s="1"/>
  <c r="E286" i="2"/>
  <c r="C287" i="2"/>
  <c r="M287" i="2"/>
  <c r="J286" i="2"/>
  <c r="G286" i="2" s="1"/>
  <c r="D289" i="2" l="1"/>
  <c r="L288" i="2"/>
  <c r="I287" i="2"/>
  <c r="F287" i="2" s="1"/>
  <c r="M288" i="2"/>
  <c r="J287" i="2"/>
  <c r="G287" i="2" s="1"/>
  <c r="C288" i="2"/>
  <c r="T288" i="2" s="1"/>
  <c r="E287" i="2"/>
  <c r="K288" i="2"/>
  <c r="H287" i="2"/>
  <c r="L289" i="2" l="1"/>
  <c r="I288" i="2"/>
  <c r="G288" i="2"/>
  <c r="J288" i="2"/>
  <c r="M289" i="2"/>
  <c r="T289" i="2"/>
  <c r="D290" i="2"/>
  <c r="K289" i="2"/>
  <c r="H288" i="2"/>
  <c r="E288" i="2" s="1"/>
  <c r="C289" i="2"/>
  <c r="F288" i="2"/>
  <c r="M290" i="2" l="1"/>
  <c r="J289" i="2"/>
  <c r="K290" i="2"/>
  <c r="H289" i="2"/>
  <c r="E289" i="2" s="1"/>
  <c r="L290" i="2"/>
  <c r="I289" i="2"/>
  <c r="F289" i="2" s="1"/>
  <c r="D291" i="2"/>
  <c r="T290" i="2"/>
  <c r="C290" i="2"/>
  <c r="G289" i="2"/>
  <c r="D292" i="2" l="1"/>
  <c r="L291" i="2"/>
  <c r="I290" i="2"/>
  <c r="K291" i="2"/>
  <c r="H290" i="2"/>
  <c r="E290" i="2" s="1"/>
  <c r="C291" i="2"/>
  <c r="F290" i="2"/>
  <c r="M291" i="2"/>
  <c r="J290" i="2"/>
  <c r="G290" i="2" s="1"/>
  <c r="C292" i="2" l="1"/>
  <c r="E291" i="2"/>
  <c r="G291" i="2"/>
  <c r="K292" i="2"/>
  <c r="H291" i="2"/>
  <c r="T291" i="2"/>
  <c r="J291" i="2"/>
  <c r="M292" i="2"/>
  <c r="T292" i="2"/>
  <c r="D293" i="2"/>
  <c r="L292" i="2"/>
  <c r="I291" i="2"/>
  <c r="F291" i="2" s="1"/>
  <c r="K293" i="2" l="1"/>
  <c r="H292" i="2"/>
  <c r="E292" i="2"/>
  <c r="F292" i="2"/>
  <c r="C293" i="2"/>
  <c r="D294" i="2"/>
  <c r="T293" i="2"/>
  <c r="L293" i="2"/>
  <c r="I292" i="2"/>
  <c r="M293" i="2"/>
  <c r="J292" i="2"/>
  <c r="G292" i="2" s="1"/>
  <c r="D295" i="2" l="1"/>
  <c r="C294" i="2"/>
  <c r="J293" i="2"/>
  <c r="G293" i="2" s="1"/>
  <c r="M294" i="2"/>
  <c r="K294" i="2"/>
  <c r="H293" i="2"/>
  <c r="E293" i="2" s="1"/>
  <c r="L294" i="2"/>
  <c r="I293" i="2"/>
  <c r="F293" i="2" s="1"/>
  <c r="J294" i="2" l="1"/>
  <c r="M295" i="2"/>
  <c r="C295" i="2"/>
  <c r="G294" i="2"/>
  <c r="T294" i="2"/>
  <c r="D296" i="2"/>
  <c r="T295" i="2"/>
  <c r="L295" i="2"/>
  <c r="I294" i="2"/>
  <c r="F294" i="2" s="1"/>
  <c r="K295" i="2"/>
  <c r="H294" i="2"/>
  <c r="E294" i="2" s="1"/>
  <c r="F295" i="2" l="1"/>
  <c r="C296" i="2"/>
  <c r="M296" i="2"/>
  <c r="J295" i="2"/>
  <c r="G295" i="2" s="1"/>
  <c r="K296" i="2"/>
  <c r="H295" i="2"/>
  <c r="E295" i="2" s="1"/>
  <c r="L296" i="2"/>
  <c r="I295" i="2"/>
  <c r="D297" i="2"/>
  <c r="T296" i="2"/>
  <c r="D298" i="2" l="1"/>
  <c r="C297" i="2"/>
  <c r="L297" i="2"/>
  <c r="I296" i="2"/>
  <c r="F296" i="2" s="1"/>
  <c r="J296" i="2"/>
  <c r="G296" i="2" s="1"/>
  <c r="M297" i="2"/>
  <c r="K297" i="2"/>
  <c r="H296" i="2"/>
  <c r="E296" i="2" s="1"/>
  <c r="M298" i="2" l="1"/>
  <c r="J297" i="2"/>
  <c r="L298" i="2"/>
  <c r="I297" i="2"/>
  <c r="C298" i="2"/>
  <c r="F297" i="2"/>
  <c r="G297" i="2"/>
  <c r="T297" i="2"/>
  <c r="D299" i="2"/>
  <c r="T298" i="2"/>
  <c r="K298" i="2"/>
  <c r="H297" i="2"/>
  <c r="E297" i="2" s="1"/>
  <c r="K299" i="2" l="1"/>
  <c r="H298" i="2"/>
  <c r="D300" i="2"/>
  <c r="L299" i="2"/>
  <c r="I298" i="2"/>
  <c r="F298" i="2" s="1"/>
  <c r="E298" i="2"/>
  <c r="C299" i="2"/>
  <c r="M299" i="2"/>
  <c r="J298" i="2"/>
  <c r="G298" i="2" s="1"/>
  <c r="L300" i="2" l="1"/>
  <c r="I299" i="2"/>
  <c r="C300" i="2"/>
  <c r="E299" i="2"/>
  <c r="F299" i="2"/>
  <c r="T299" i="2"/>
  <c r="D301" i="2"/>
  <c r="G299" i="2"/>
  <c r="K300" i="2"/>
  <c r="H299" i="2"/>
  <c r="J299" i="2"/>
  <c r="M300" i="2"/>
  <c r="L301" i="2" l="1"/>
  <c r="I300" i="2"/>
  <c r="J300" i="2"/>
  <c r="G300" i="2" s="1"/>
  <c r="M301" i="2"/>
  <c r="H300" i="2"/>
  <c r="E300" i="2" s="1"/>
  <c r="K301" i="2"/>
  <c r="C301" i="2"/>
  <c r="T301" i="2" s="1"/>
  <c r="F300" i="2"/>
  <c r="T300" i="2"/>
  <c r="D302" i="2"/>
  <c r="M302" i="2" l="1"/>
  <c r="J301" i="2"/>
  <c r="G301" i="2" s="1"/>
  <c r="D303" i="2"/>
  <c r="L302" i="2"/>
  <c r="I301" i="2"/>
  <c r="F301" i="2"/>
  <c r="C302" i="2"/>
  <c r="E301" i="2"/>
  <c r="K302" i="2"/>
  <c r="H301" i="2"/>
  <c r="C303" i="2" l="1"/>
  <c r="L303" i="2"/>
  <c r="I302" i="2"/>
  <c r="F302" i="2" s="1"/>
  <c r="T302" i="2"/>
  <c r="J302" i="2"/>
  <c r="M303" i="2"/>
  <c r="D304" i="2"/>
  <c r="T303" i="2"/>
  <c r="K303" i="2"/>
  <c r="H302" i="2"/>
  <c r="E302" i="2" s="1"/>
  <c r="G302" i="2"/>
  <c r="L304" i="2" l="1"/>
  <c r="I303" i="2"/>
  <c r="D305" i="2"/>
  <c r="M304" i="2"/>
  <c r="J303" i="2"/>
  <c r="G303" i="2" s="1"/>
  <c r="C304" i="2"/>
  <c r="T304" i="2" s="1"/>
  <c r="F303" i="2"/>
  <c r="H303" i="2"/>
  <c r="E303" i="2" s="1"/>
  <c r="K304" i="2"/>
  <c r="D306" i="2" l="1"/>
  <c r="F304" i="2"/>
  <c r="C305" i="2"/>
  <c r="L305" i="2"/>
  <c r="I304" i="2"/>
  <c r="K305" i="2"/>
  <c r="H304" i="2"/>
  <c r="E304" i="2" s="1"/>
  <c r="M305" i="2"/>
  <c r="J304" i="2"/>
  <c r="G304" i="2" s="1"/>
  <c r="C306" i="2" l="1"/>
  <c r="T305" i="2"/>
  <c r="D307" i="2"/>
  <c r="T306" i="2"/>
  <c r="M306" i="2"/>
  <c r="J305" i="2"/>
  <c r="G305" i="2" s="1"/>
  <c r="K306" i="2"/>
  <c r="H305" i="2"/>
  <c r="E305" i="2" s="1"/>
  <c r="L306" i="2"/>
  <c r="I305" i="2"/>
  <c r="F305" i="2" s="1"/>
  <c r="D308" i="2" l="1"/>
  <c r="M307" i="2"/>
  <c r="J306" i="2"/>
  <c r="L307" i="2"/>
  <c r="I306" i="2"/>
  <c r="C307" i="2"/>
  <c r="E306" i="2"/>
  <c r="F306" i="2"/>
  <c r="H306" i="2"/>
  <c r="K307" i="2"/>
  <c r="G306" i="2"/>
  <c r="C308" i="2" l="1"/>
  <c r="M308" i="2"/>
  <c r="J307" i="2"/>
  <c r="T307" i="2"/>
  <c r="K308" i="2"/>
  <c r="H307" i="2"/>
  <c r="E307" i="2" s="1"/>
  <c r="L308" i="2"/>
  <c r="I307" i="2"/>
  <c r="F307" i="2" s="1"/>
  <c r="D309" i="2"/>
  <c r="T308" i="2"/>
  <c r="G307" i="2"/>
  <c r="K309" i="2" l="1"/>
  <c r="H308" i="2"/>
  <c r="J308" i="2"/>
  <c r="G308" i="2" s="1"/>
  <c r="M309" i="2"/>
  <c r="L309" i="2"/>
  <c r="I308" i="2"/>
  <c r="F308" i="2" s="1"/>
  <c r="C309" i="2"/>
  <c r="E308" i="2"/>
  <c r="D310" i="2"/>
  <c r="I309" i="2" l="1"/>
  <c r="L310" i="2"/>
  <c r="J309" i="2"/>
  <c r="G309" i="2" s="1"/>
  <c r="M310" i="2"/>
  <c r="C310" i="2"/>
  <c r="E309" i="2"/>
  <c r="F309" i="2"/>
  <c r="H309" i="2"/>
  <c r="K310" i="2"/>
  <c r="T309" i="2"/>
  <c r="D311" i="2"/>
  <c r="I310" i="2" l="1"/>
  <c r="L311" i="2"/>
  <c r="M311" i="2"/>
  <c r="J310" i="2"/>
  <c r="G310" i="2" s="1"/>
  <c r="T310" i="2"/>
  <c r="K311" i="2"/>
  <c r="H310" i="2"/>
  <c r="E310" i="2" s="1"/>
  <c r="F310" i="2"/>
  <c r="C311" i="2"/>
  <c r="D312" i="2"/>
  <c r="C312" i="2" l="1"/>
  <c r="J311" i="2"/>
  <c r="M312" i="2"/>
  <c r="L312" i="2"/>
  <c r="I311" i="2"/>
  <c r="F311" i="2" s="1"/>
  <c r="K312" i="2"/>
  <c r="H311" i="2"/>
  <c r="E311" i="2" s="1"/>
  <c r="D313" i="2"/>
  <c r="T312" i="2"/>
  <c r="T311" i="2"/>
  <c r="G311" i="2"/>
  <c r="H312" i="2" l="1"/>
  <c r="K313" i="2"/>
  <c r="I312" i="2"/>
  <c r="F312" i="2" s="1"/>
  <c r="L313" i="2"/>
  <c r="T313" i="2"/>
  <c r="D314" i="2"/>
  <c r="J312" i="2"/>
  <c r="G312" i="2" s="1"/>
  <c r="M313" i="2"/>
  <c r="C313" i="2"/>
  <c r="E312" i="2"/>
  <c r="T314" i="2" l="1"/>
  <c r="D315" i="2"/>
  <c r="I313" i="2"/>
  <c r="L314" i="2"/>
  <c r="F313" i="2"/>
  <c r="C314" i="2"/>
  <c r="K314" i="2"/>
  <c r="H313" i="2"/>
  <c r="E313" i="2" s="1"/>
  <c r="M314" i="2"/>
  <c r="J313" i="2"/>
  <c r="G313" i="2" s="1"/>
  <c r="D316" i="2" l="1"/>
  <c r="C315" i="2"/>
  <c r="L315" i="2"/>
  <c r="I314" i="2"/>
  <c r="F314" i="2" s="1"/>
  <c r="K315" i="2"/>
  <c r="H314" i="2"/>
  <c r="E314" i="2" s="1"/>
  <c r="J314" i="2"/>
  <c r="G314" i="2" s="1"/>
  <c r="M315" i="2"/>
  <c r="H315" i="2" l="1"/>
  <c r="K316" i="2"/>
  <c r="C316" i="2"/>
  <c r="E315" i="2"/>
  <c r="I315" i="2"/>
  <c r="F315" i="2" s="1"/>
  <c r="L316" i="2"/>
  <c r="T315" i="2"/>
  <c r="D317" i="2"/>
  <c r="T316" i="2"/>
  <c r="J315" i="2"/>
  <c r="G315" i="2" s="1"/>
  <c r="M316" i="2"/>
  <c r="I316" i="2" l="1"/>
  <c r="L317" i="2"/>
  <c r="M317" i="2"/>
  <c r="J316" i="2"/>
  <c r="G316" i="2" s="1"/>
  <c r="E316" i="2"/>
  <c r="C317" i="2"/>
  <c r="F316" i="2"/>
  <c r="D318" i="2"/>
  <c r="H316" i="2"/>
  <c r="K317" i="2"/>
  <c r="C318" i="2" l="1"/>
  <c r="L318" i="2"/>
  <c r="I317" i="2"/>
  <c r="F317" i="2" s="1"/>
  <c r="K318" i="2"/>
  <c r="H317" i="2"/>
  <c r="E317" i="2" s="1"/>
  <c r="T317" i="2"/>
  <c r="J317" i="2"/>
  <c r="G317" i="2" s="1"/>
  <c r="M318" i="2"/>
  <c r="T318" i="2"/>
  <c r="D319" i="2"/>
  <c r="C319" i="2" l="1"/>
  <c r="H318" i="2"/>
  <c r="E318" i="2" s="1"/>
  <c r="K319" i="2"/>
  <c r="M319" i="2"/>
  <c r="J318" i="2"/>
  <c r="G318" i="2" s="1"/>
  <c r="L319" i="2"/>
  <c r="I318" i="2"/>
  <c r="F318" i="2" s="1"/>
  <c r="T319" i="2"/>
  <c r="D320" i="2"/>
  <c r="K320" i="2" l="1"/>
  <c r="H319" i="2"/>
  <c r="E319" i="2" s="1"/>
  <c r="D321" i="2"/>
  <c r="F319" i="2"/>
  <c r="C320" i="2"/>
  <c r="I319" i="2"/>
  <c r="L320" i="2"/>
  <c r="M320" i="2"/>
  <c r="J319" i="2"/>
  <c r="G319" i="2" s="1"/>
  <c r="I320" i="2" l="1"/>
  <c r="F320" i="2" s="1"/>
  <c r="L321" i="2"/>
  <c r="K321" i="2"/>
  <c r="H320" i="2"/>
  <c r="E320" i="2" s="1"/>
  <c r="C321" i="2"/>
  <c r="J320" i="2"/>
  <c r="G320" i="2" s="1"/>
  <c r="M321" i="2"/>
  <c r="T320" i="2"/>
  <c r="T321" i="2"/>
  <c r="D322" i="2"/>
  <c r="K322" i="2" l="1"/>
  <c r="H321" i="2"/>
  <c r="L322" i="2"/>
  <c r="I321" i="2"/>
  <c r="D323" i="2"/>
  <c r="T322" i="2"/>
  <c r="M322" i="2"/>
  <c r="J321" i="2"/>
  <c r="G321" i="2" s="1"/>
  <c r="C322" i="2"/>
  <c r="E321" i="2"/>
  <c r="F321" i="2"/>
  <c r="C323" i="2" l="1"/>
  <c r="D324" i="2"/>
  <c r="T323" i="2"/>
  <c r="I322" i="2"/>
  <c r="F322" i="2" s="1"/>
  <c r="L323" i="2"/>
  <c r="K323" i="2"/>
  <c r="H322" i="2"/>
  <c r="E322" i="2" s="1"/>
  <c r="M323" i="2"/>
  <c r="J322" i="2"/>
  <c r="G322" i="2" s="1"/>
  <c r="T324" i="2" l="1"/>
  <c r="D325" i="2"/>
  <c r="I323" i="2"/>
  <c r="L324" i="2"/>
  <c r="K324" i="2"/>
  <c r="H323" i="2"/>
  <c r="E323" i="2"/>
  <c r="F323" i="2"/>
  <c r="C324" i="2"/>
  <c r="M324" i="2"/>
  <c r="J323" i="2"/>
  <c r="G323" i="2" s="1"/>
  <c r="C325" i="2" l="1"/>
  <c r="K325" i="2"/>
  <c r="H324" i="2"/>
  <c r="E324" i="2" s="1"/>
  <c r="L325" i="2"/>
  <c r="I324" i="2"/>
  <c r="F324" i="2" s="1"/>
  <c r="M325" i="2"/>
  <c r="J324" i="2"/>
  <c r="G324" i="2" s="1"/>
  <c r="D326" i="2"/>
  <c r="T325" i="2"/>
  <c r="I325" i="2" l="1"/>
  <c r="L326" i="2"/>
  <c r="H325" i="2"/>
  <c r="K326" i="2"/>
  <c r="D327" i="2"/>
  <c r="C326" i="2"/>
  <c r="F325" i="2"/>
  <c r="E325" i="2"/>
  <c r="J325" i="2"/>
  <c r="G325" i="2" s="1"/>
  <c r="M326" i="2"/>
  <c r="D328" i="2" l="1"/>
  <c r="K327" i="2"/>
  <c r="H326" i="2"/>
  <c r="E326" i="2" s="1"/>
  <c r="F326" i="2"/>
  <c r="C327" i="2"/>
  <c r="T326" i="2"/>
  <c r="G326" i="2"/>
  <c r="M327" i="2"/>
  <c r="J326" i="2"/>
  <c r="L327" i="2"/>
  <c r="I326" i="2"/>
  <c r="D329" i="2" l="1"/>
  <c r="M328" i="2"/>
  <c r="J327" i="2"/>
  <c r="G327" i="2" s="1"/>
  <c r="C328" i="2"/>
  <c r="T328" i="2" s="1"/>
  <c r="K328" i="2"/>
  <c r="H327" i="2"/>
  <c r="E327" i="2" s="1"/>
  <c r="L328" i="2"/>
  <c r="I327" i="2"/>
  <c r="F327" i="2" s="1"/>
  <c r="T327" i="2"/>
  <c r="J328" i="2" l="1"/>
  <c r="G328" i="2" s="1"/>
  <c r="M329" i="2"/>
  <c r="L329" i="2"/>
  <c r="I328" i="2"/>
  <c r="D330" i="2"/>
  <c r="C329" i="2"/>
  <c r="T329" i="2" s="1"/>
  <c r="E328" i="2"/>
  <c r="F328" i="2"/>
  <c r="K329" i="2"/>
  <c r="H328" i="2"/>
  <c r="L330" i="2" l="1"/>
  <c r="I329" i="2"/>
  <c r="D331" i="2"/>
  <c r="T330" i="2"/>
  <c r="M330" i="2"/>
  <c r="J329" i="2"/>
  <c r="G329" i="2" s="1"/>
  <c r="E329" i="2"/>
  <c r="F329" i="2"/>
  <c r="C330" i="2"/>
  <c r="K330" i="2"/>
  <c r="H329" i="2"/>
  <c r="D332" i="2" l="1"/>
  <c r="L331" i="2"/>
  <c r="I330" i="2"/>
  <c r="F330" i="2" s="1"/>
  <c r="K331" i="2"/>
  <c r="H330" i="2"/>
  <c r="E330" i="2" s="1"/>
  <c r="M331" i="2"/>
  <c r="J330" i="2"/>
  <c r="G330" i="2" s="1"/>
  <c r="C331" i="2"/>
  <c r="C332" i="2" l="1"/>
  <c r="F331" i="2"/>
  <c r="J331" i="2"/>
  <c r="M332" i="2"/>
  <c r="K332" i="2"/>
  <c r="H331" i="2"/>
  <c r="E331" i="2" s="1"/>
  <c r="L332" i="2"/>
  <c r="I331" i="2"/>
  <c r="G331" i="2"/>
  <c r="T331" i="2"/>
  <c r="T332" i="2"/>
  <c r="D333" i="2"/>
  <c r="D334" i="2" l="1"/>
  <c r="L333" i="2"/>
  <c r="I332" i="2"/>
  <c r="F332" i="2" s="1"/>
  <c r="K333" i="2"/>
  <c r="H332" i="2"/>
  <c r="M333" i="2"/>
  <c r="J332" i="2"/>
  <c r="G332" i="2" s="1"/>
  <c r="E332" i="2"/>
  <c r="C333" i="2"/>
  <c r="K334" i="2" l="1"/>
  <c r="H333" i="2"/>
  <c r="L334" i="2"/>
  <c r="I333" i="2"/>
  <c r="F333" i="2" s="1"/>
  <c r="T333" i="2"/>
  <c r="M334" i="2"/>
  <c r="J333" i="2"/>
  <c r="G333" i="2" s="1"/>
  <c r="D335" i="2"/>
  <c r="C334" i="2"/>
  <c r="E333" i="2"/>
  <c r="J334" i="2" l="1"/>
  <c r="M335" i="2"/>
  <c r="L335" i="2"/>
  <c r="I334" i="2"/>
  <c r="C335" i="2"/>
  <c r="F334" i="2"/>
  <c r="K335" i="2"/>
  <c r="H334" i="2"/>
  <c r="E334" i="2" s="1"/>
  <c r="G334" i="2"/>
  <c r="T334" i="2"/>
  <c r="T335" i="2"/>
  <c r="D336" i="2"/>
  <c r="M336" i="2" l="1"/>
  <c r="J335" i="2"/>
  <c r="G335" i="2" s="1"/>
  <c r="K336" i="2"/>
  <c r="H335" i="2"/>
  <c r="D337" i="2"/>
  <c r="E335" i="2"/>
  <c r="F335" i="2"/>
  <c r="C336" i="2"/>
  <c r="T336" i="2" s="1"/>
  <c r="L336" i="2"/>
  <c r="I335" i="2"/>
  <c r="D338" i="2" l="1"/>
  <c r="C337" i="2"/>
  <c r="G336" i="2"/>
  <c r="M337" i="2"/>
  <c r="J336" i="2"/>
  <c r="L337" i="2"/>
  <c r="I336" i="2"/>
  <c r="F336" i="2" s="1"/>
  <c r="K337" i="2"/>
  <c r="H336" i="2"/>
  <c r="E336" i="2" s="1"/>
  <c r="J337" i="2" l="1"/>
  <c r="M338" i="2"/>
  <c r="C338" i="2"/>
  <c r="G337" i="2"/>
  <c r="T337" i="2"/>
  <c r="T338" i="2"/>
  <c r="D339" i="2"/>
  <c r="K338" i="2"/>
  <c r="H337" i="2"/>
  <c r="E337" i="2" s="1"/>
  <c r="L338" i="2"/>
  <c r="I337" i="2"/>
  <c r="F337" i="2" s="1"/>
  <c r="D340" i="2" l="1"/>
  <c r="L339" i="2"/>
  <c r="I338" i="2"/>
  <c r="F338" i="2"/>
  <c r="C339" i="2"/>
  <c r="M339" i="2"/>
  <c r="J338" i="2"/>
  <c r="G338" i="2" s="1"/>
  <c r="K339" i="2"/>
  <c r="H338" i="2"/>
  <c r="E338" i="2" s="1"/>
  <c r="C340" i="2" l="1"/>
  <c r="T339" i="2"/>
  <c r="M340" i="2"/>
  <c r="J339" i="2"/>
  <c r="D341" i="2"/>
  <c r="T340" i="2"/>
  <c r="G339" i="2"/>
  <c r="L340" i="2"/>
  <c r="I339" i="2"/>
  <c r="F339" i="2" s="1"/>
  <c r="K340" i="2"/>
  <c r="H339" i="2"/>
  <c r="E339" i="2" s="1"/>
  <c r="D342" i="2" l="1"/>
  <c r="L341" i="2"/>
  <c r="I340" i="2"/>
  <c r="J340" i="2"/>
  <c r="G340" i="2" s="1"/>
  <c r="M341" i="2"/>
  <c r="C341" i="2"/>
  <c r="T341" i="2" s="1"/>
  <c r="F340" i="2"/>
  <c r="K341" i="2"/>
  <c r="H340" i="2"/>
  <c r="E340" i="2" s="1"/>
  <c r="K342" i="2" l="1"/>
  <c r="H341" i="2"/>
  <c r="D343" i="2"/>
  <c r="L342" i="2"/>
  <c r="I341" i="2"/>
  <c r="F341" i="2" s="1"/>
  <c r="M342" i="2"/>
  <c r="J341" i="2"/>
  <c r="G341" i="2" s="1"/>
  <c r="E341" i="2"/>
  <c r="C342" i="2"/>
  <c r="L343" i="2" l="1"/>
  <c r="I342" i="2"/>
  <c r="T342" i="2"/>
  <c r="D344" i="2"/>
  <c r="T343" i="2"/>
  <c r="K343" i="2"/>
  <c r="H342" i="2"/>
  <c r="C343" i="2"/>
  <c r="F342" i="2"/>
  <c r="E342" i="2"/>
  <c r="M343" i="2"/>
  <c r="J342" i="2"/>
  <c r="G342" i="2" s="1"/>
  <c r="T344" i="2" l="1"/>
  <c r="D345" i="2"/>
  <c r="K344" i="2"/>
  <c r="H343" i="2"/>
  <c r="J343" i="2"/>
  <c r="G343" i="2" s="1"/>
  <c r="M344" i="2"/>
  <c r="C344" i="2"/>
  <c r="E343" i="2"/>
  <c r="F343" i="2"/>
  <c r="L344" i="2"/>
  <c r="I343" i="2"/>
  <c r="L345" i="2" l="1"/>
  <c r="I344" i="2"/>
  <c r="F344" i="2" s="1"/>
  <c r="E344" i="2"/>
  <c r="C345" i="2"/>
  <c r="M345" i="2"/>
  <c r="J344" i="2"/>
  <c r="G344" i="2" s="1"/>
  <c r="K345" i="2"/>
  <c r="H344" i="2"/>
  <c r="D346" i="2"/>
  <c r="T345" i="2"/>
  <c r="K346" i="2" l="1"/>
  <c r="H345" i="2"/>
  <c r="D347" i="2"/>
  <c r="L346" i="2"/>
  <c r="I345" i="2"/>
  <c r="M346" i="2"/>
  <c r="J345" i="2"/>
  <c r="G345" i="2" s="1"/>
  <c r="C346" i="2"/>
  <c r="F345" i="2"/>
  <c r="E345" i="2"/>
  <c r="L347" i="2" l="1"/>
  <c r="I346" i="2"/>
  <c r="J346" i="2"/>
  <c r="G346" i="2" s="1"/>
  <c r="M347" i="2"/>
  <c r="C347" i="2"/>
  <c r="F346" i="2"/>
  <c r="T346" i="2"/>
  <c r="T347" i="2"/>
  <c r="D348" i="2"/>
  <c r="K347" i="2"/>
  <c r="H346" i="2"/>
  <c r="E346" i="2" s="1"/>
  <c r="C348" i="2" l="1"/>
  <c r="M348" i="2"/>
  <c r="J347" i="2"/>
  <c r="G347" i="2" s="1"/>
  <c r="K348" i="2"/>
  <c r="H347" i="2"/>
  <c r="E347" i="2" s="1"/>
  <c r="D349" i="2"/>
  <c r="T348" i="2"/>
  <c r="L348" i="2"/>
  <c r="I347" i="2"/>
  <c r="F347" i="2" s="1"/>
  <c r="K349" i="2" l="1"/>
  <c r="H348" i="2"/>
  <c r="E348" i="2" s="1"/>
  <c r="M349" i="2"/>
  <c r="J348" i="2"/>
  <c r="G348" i="2" s="1"/>
  <c r="C349" i="2"/>
  <c r="L349" i="2"/>
  <c r="I348" i="2"/>
  <c r="F348" i="2" s="1"/>
  <c r="D350" i="2"/>
  <c r="T349" i="2"/>
  <c r="D351" i="2" l="1"/>
  <c r="J349" i="2"/>
  <c r="G349" i="2" s="1"/>
  <c r="M350" i="2"/>
  <c r="L350" i="2"/>
  <c r="I349" i="2"/>
  <c r="F349" i="2" s="1"/>
  <c r="K350" i="2"/>
  <c r="H349" i="2"/>
  <c r="E349" i="2" s="1"/>
  <c r="C350" i="2"/>
  <c r="K351" i="2" l="1"/>
  <c r="H350" i="2"/>
  <c r="E350" i="2" s="1"/>
  <c r="F350" i="2"/>
  <c r="C351" i="2"/>
  <c r="L351" i="2"/>
  <c r="I350" i="2"/>
  <c r="M351" i="2"/>
  <c r="J350" i="2"/>
  <c r="G350" i="2" s="1"/>
  <c r="D352" i="2"/>
  <c r="T351" i="2"/>
  <c r="T350" i="2"/>
  <c r="D353" i="2" l="1"/>
  <c r="L352" i="2"/>
  <c r="I351" i="2"/>
  <c r="C352" i="2"/>
  <c r="F351" i="2"/>
  <c r="E351" i="2"/>
  <c r="K352" i="2"/>
  <c r="H351" i="2"/>
  <c r="M352" i="2"/>
  <c r="J351" i="2"/>
  <c r="G351" i="2" s="1"/>
  <c r="C353" i="2" l="1"/>
  <c r="F352" i="2"/>
  <c r="L353" i="2"/>
  <c r="I352" i="2"/>
  <c r="T352" i="2"/>
  <c r="K353" i="2"/>
  <c r="H352" i="2"/>
  <c r="E352" i="2" s="1"/>
  <c r="T353" i="2"/>
  <c r="D354" i="2"/>
  <c r="J352" i="2"/>
  <c r="G352" i="2" s="1"/>
  <c r="M353" i="2"/>
  <c r="L354" i="2" l="1"/>
  <c r="I353" i="2"/>
  <c r="K354" i="2"/>
  <c r="H353" i="2"/>
  <c r="M354" i="2"/>
  <c r="J353" i="2"/>
  <c r="G353" i="2" s="1"/>
  <c r="E353" i="2"/>
  <c r="F353" i="2"/>
  <c r="C354" i="2"/>
  <c r="D355" i="2"/>
  <c r="T354" i="2"/>
  <c r="D356" i="2" l="1"/>
  <c r="C355" i="2"/>
  <c r="E354" i="2"/>
  <c r="M355" i="2"/>
  <c r="J354" i="2"/>
  <c r="G354" i="2" s="1"/>
  <c r="K355" i="2"/>
  <c r="H354" i="2"/>
  <c r="L355" i="2"/>
  <c r="I354" i="2"/>
  <c r="F354" i="2" s="1"/>
  <c r="C356" i="2" l="1"/>
  <c r="E355" i="2"/>
  <c r="T355" i="2"/>
  <c r="L356" i="2"/>
  <c r="I355" i="2"/>
  <c r="F355" i="2" s="1"/>
  <c r="T356" i="2"/>
  <c r="D357" i="2"/>
  <c r="K356" i="2"/>
  <c r="H355" i="2"/>
  <c r="J355" i="2"/>
  <c r="G355" i="2" s="1"/>
  <c r="M356" i="2"/>
  <c r="D358" i="2" l="1"/>
  <c r="F356" i="2"/>
  <c r="C357" i="2"/>
  <c r="L357" i="2"/>
  <c r="I356" i="2"/>
  <c r="M357" i="2"/>
  <c r="J356" i="2"/>
  <c r="G356" i="2" s="1"/>
  <c r="K357" i="2"/>
  <c r="H356" i="2"/>
  <c r="E356" i="2" s="1"/>
  <c r="K358" i="2" l="1"/>
  <c r="H357" i="2"/>
  <c r="C358" i="2"/>
  <c r="T358" i="2" s="1"/>
  <c r="F357" i="2"/>
  <c r="E357" i="2"/>
  <c r="M358" i="2"/>
  <c r="J357" i="2"/>
  <c r="G357" i="2" s="1"/>
  <c r="T357" i="2"/>
  <c r="D359" i="2"/>
  <c r="L358" i="2"/>
  <c r="I357" i="2"/>
  <c r="J358" i="2" l="1"/>
  <c r="M359" i="2"/>
  <c r="K359" i="2"/>
  <c r="H358" i="2"/>
  <c r="L359" i="2"/>
  <c r="I358" i="2"/>
  <c r="G358" i="2"/>
  <c r="C359" i="2"/>
  <c r="E358" i="2"/>
  <c r="F358" i="2"/>
  <c r="D360" i="2"/>
  <c r="C360" i="2" l="1"/>
  <c r="K360" i="2"/>
  <c r="H359" i="2"/>
  <c r="E359" i="2" s="1"/>
  <c r="M360" i="2"/>
  <c r="J359" i="2"/>
  <c r="G359" i="2" s="1"/>
  <c r="D361" i="2"/>
  <c r="T360" i="2"/>
  <c r="T359" i="2"/>
  <c r="L360" i="2"/>
  <c r="I359" i="2"/>
  <c r="F359" i="2" s="1"/>
  <c r="D362" i="2" l="1"/>
  <c r="T361" i="2"/>
  <c r="M361" i="2"/>
  <c r="J360" i="2"/>
  <c r="G360" i="2" s="1"/>
  <c r="K361" i="2"/>
  <c r="H360" i="2"/>
  <c r="E360" i="2" s="1"/>
  <c r="C361" i="2"/>
  <c r="L361" i="2"/>
  <c r="I360" i="2"/>
  <c r="F360" i="2" s="1"/>
  <c r="K362" i="2" l="1"/>
  <c r="H361" i="2"/>
  <c r="J361" i="2"/>
  <c r="G361" i="2" s="1"/>
  <c r="M362" i="2"/>
  <c r="L362" i="2"/>
  <c r="I361" i="2"/>
  <c r="T362" i="2"/>
  <c r="D363" i="2"/>
  <c r="C362" i="2"/>
  <c r="E361" i="2"/>
  <c r="F361" i="2"/>
  <c r="L363" i="2" l="1"/>
  <c r="I362" i="2"/>
  <c r="F362" i="2" s="1"/>
  <c r="D364" i="2"/>
  <c r="T363" i="2"/>
  <c r="M363" i="2"/>
  <c r="J362" i="2"/>
  <c r="G362" i="2" s="1"/>
  <c r="C363" i="2"/>
  <c r="K363" i="2"/>
  <c r="H362" i="2"/>
  <c r="E362" i="2" s="1"/>
  <c r="K364" i="2" l="1"/>
  <c r="H363" i="2"/>
  <c r="L364" i="2"/>
  <c r="I363" i="2"/>
  <c r="C364" i="2"/>
  <c r="F363" i="2"/>
  <c r="E363" i="2"/>
  <c r="M364" i="2"/>
  <c r="J363" i="2"/>
  <c r="D365" i="2"/>
  <c r="T364" i="2"/>
  <c r="G363" i="2"/>
  <c r="C365" i="2" l="1"/>
  <c r="T365" i="2"/>
  <c r="D366" i="2"/>
  <c r="L365" i="2"/>
  <c r="I364" i="2"/>
  <c r="F364" i="2" s="1"/>
  <c r="J364" i="2"/>
  <c r="G364" i="2" s="1"/>
  <c r="M365" i="2"/>
  <c r="K365" i="2"/>
  <c r="H364" i="2"/>
  <c r="E364" i="2" s="1"/>
  <c r="M366" i="2" l="1"/>
  <c r="J365" i="2"/>
  <c r="G365" i="2" s="1"/>
  <c r="L366" i="2"/>
  <c r="I365" i="2"/>
  <c r="F365" i="2"/>
  <c r="C366" i="2"/>
  <c r="K366" i="2"/>
  <c r="H365" i="2"/>
  <c r="E365" i="2" s="1"/>
  <c r="D367" i="2"/>
  <c r="T366" i="2"/>
  <c r="D368" i="2" l="1"/>
  <c r="T367" i="2"/>
  <c r="K367" i="2"/>
  <c r="H366" i="2"/>
  <c r="C367" i="2"/>
  <c r="E366" i="2"/>
  <c r="M367" i="2"/>
  <c r="J366" i="2"/>
  <c r="G366" i="2" s="1"/>
  <c r="L367" i="2"/>
  <c r="I366" i="2"/>
  <c r="F366" i="2" s="1"/>
  <c r="J367" i="2" l="1"/>
  <c r="G367" i="2" s="1"/>
  <c r="M368" i="2"/>
  <c r="K368" i="2"/>
  <c r="H367" i="2"/>
  <c r="D369" i="2"/>
  <c r="L368" i="2"/>
  <c r="I367" i="2"/>
  <c r="F367" i="2" s="1"/>
  <c r="C368" i="2"/>
  <c r="E367" i="2"/>
  <c r="D370" i="2" l="1"/>
  <c r="F368" i="2"/>
  <c r="C369" i="2"/>
  <c r="T368" i="2"/>
  <c r="L369" i="2"/>
  <c r="I368" i="2"/>
  <c r="K369" i="2"/>
  <c r="H368" i="2"/>
  <c r="E368" i="2" s="1"/>
  <c r="M369" i="2"/>
  <c r="J368" i="2"/>
  <c r="G368" i="2" s="1"/>
  <c r="L370" i="2" l="1"/>
  <c r="I369" i="2"/>
  <c r="D371" i="2"/>
  <c r="T370" i="2"/>
  <c r="K370" i="2"/>
  <c r="H369" i="2"/>
  <c r="T369" i="2"/>
  <c r="M370" i="2"/>
  <c r="J369" i="2"/>
  <c r="G369" i="2" s="1"/>
  <c r="C370" i="2"/>
  <c r="F369" i="2"/>
  <c r="E369" i="2"/>
  <c r="D372" i="2" l="1"/>
  <c r="L371" i="2"/>
  <c r="I370" i="2"/>
  <c r="J370" i="2"/>
  <c r="G370" i="2" s="1"/>
  <c r="M371" i="2"/>
  <c r="C371" i="2"/>
  <c r="T371" i="2" s="1"/>
  <c r="F370" i="2"/>
  <c r="K371" i="2"/>
  <c r="H370" i="2"/>
  <c r="E370" i="2" s="1"/>
  <c r="C372" i="2" l="1"/>
  <c r="M372" i="2"/>
  <c r="J371" i="2"/>
  <c r="G371" i="2" s="1"/>
  <c r="L372" i="2"/>
  <c r="I371" i="2"/>
  <c r="F371" i="2" s="1"/>
  <c r="K372" i="2"/>
  <c r="H371" i="2"/>
  <c r="E371" i="2" s="1"/>
  <c r="D373" i="2"/>
  <c r="T372" i="2"/>
  <c r="C373" i="2" l="1"/>
  <c r="L373" i="2"/>
  <c r="I372" i="2"/>
  <c r="F372" i="2" s="1"/>
  <c r="K373" i="2"/>
  <c r="H372" i="2"/>
  <c r="E372" i="2" s="1"/>
  <c r="M373" i="2"/>
  <c r="J372" i="2"/>
  <c r="G372" i="2" s="1"/>
  <c r="D374" i="2"/>
  <c r="T373" i="2"/>
  <c r="J373" i="2" l="1"/>
  <c r="G373" i="2" s="1"/>
  <c r="M374" i="2"/>
  <c r="K374" i="2"/>
  <c r="H373" i="2"/>
  <c r="D375" i="2"/>
  <c r="L374" i="2"/>
  <c r="I373" i="2"/>
  <c r="C374" i="2"/>
  <c r="E373" i="2"/>
  <c r="F373" i="2"/>
  <c r="L375" i="2" l="1"/>
  <c r="I374" i="2"/>
  <c r="F374" i="2"/>
  <c r="C375" i="2"/>
  <c r="D376" i="2"/>
  <c r="T374" i="2"/>
  <c r="K375" i="2"/>
  <c r="H374" i="2"/>
  <c r="E374" i="2" s="1"/>
  <c r="M375" i="2"/>
  <c r="J374" i="2"/>
  <c r="G374" i="2" s="1"/>
  <c r="D377" i="2" l="1"/>
  <c r="C376" i="2"/>
  <c r="F375" i="2"/>
  <c r="E375" i="2"/>
  <c r="K376" i="2"/>
  <c r="H375" i="2"/>
  <c r="M376" i="2"/>
  <c r="J375" i="2"/>
  <c r="G375" i="2" s="1"/>
  <c r="L376" i="2"/>
  <c r="I375" i="2"/>
  <c r="T375" i="2"/>
  <c r="J376" i="2" l="1"/>
  <c r="M377" i="2"/>
  <c r="C377" i="2"/>
  <c r="T377" i="2" s="1"/>
  <c r="G376" i="2"/>
  <c r="T376" i="2"/>
  <c r="D378" i="2"/>
  <c r="L377" i="2"/>
  <c r="I376" i="2"/>
  <c r="F376" i="2" s="1"/>
  <c r="K377" i="2"/>
  <c r="H376" i="2"/>
  <c r="E376" i="2" s="1"/>
  <c r="C378" i="2" l="1"/>
  <c r="M378" i="2"/>
  <c r="J377" i="2"/>
  <c r="G377" i="2" s="1"/>
  <c r="K378" i="2"/>
  <c r="H377" i="2"/>
  <c r="E377" i="2" s="1"/>
  <c r="L378" i="2"/>
  <c r="I377" i="2"/>
  <c r="F377" i="2" s="1"/>
  <c r="D379" i="2"/>
  <c r="T378" i="2"/>
  <c r="L379" i="2" l="1"/>
  <c r="I378" i="2"/>
  <c r="M379" i="2"/>
  <c r="J378" i="2"/>
  <c r="G378" i="2" s="1"/>
  <c r="K379" i="2"/>
  <c r="H378" i="2"/>
  <c r="C379" i="2"/>
  <c r="F378" i="2"/>
  <c r="E378" i="2"/>
  <c r="D380" i="2"/>
  <c r="T379" i="2"/>
  <c r="C380" i="2" l="1"/>
  <c r="F379" i="2"/>
  <c r="K380" i="2"/>
  <c r="H379" i="2"/>
  <c r="E379" i="2" s="1"/>
  <c r="J379" i="2"/>
  <c r="G379" i="2" s="1"/>
  <c r="M380" i="2"/>
  <c r="L380" i="2"/>
  <c r="I379" i="2"/>
  <c r="T380" i="2"/>
  <c r="D381" i="2"/>
  <c r="K381" i="2" l="1"/>
  <c r="H380" i="2"/>
  <c r="E380" i="2" s="1"/>
  <c r="M381" i="2"/>
  <c r="J380" i="2"/>
  <c r="G380" i="2" s="1"/>
  <c r="D382" i="2"/>
  <c r="C381" i="2"/>
  <c r="L381" i="2"/>
  <c r="I380" i="2"/>
  <c r="F380" i="2" s="1"/>
  <c r="M382" i="2" l="1"/>
  <c r="J381" i="2"/>
  <c r="K382" i="2"/>
  <c r="H381" i="2"/>
  <c r="C382" i="2"/>
  <c r="F381" i="2"/>
  <c r="E381" i="2"/>
  <c r="T381" i="2"/>
  <c r="L382" i="2"/>
  <c r="I381" i="2"/>
  <c r="D383" i="2"/>
  <c r="T382" i="2"/>
  <c r="G381" i="2"/>
  <c r="C383" i="2" l="1"/>
  <c r="K383" i="2"/>
  <c r="H382" i="2"/>
  <c r="E382" i="2" s="1"/>
  <c r="J382" i="2"/>
  <c r="G382" i="2" s="1"/>
  <c r="M383" i="2"/>
  <c r="T383" i="2"/>
  <c r="D384" i="2"/>
  <c r="L383" i="2"/>
  <c r="I382" i="2"/>
  <c r="F382" i="2" s="1"/>
  <c r="K384" i="2" l="1"/>
  <c r="H383" i="2"/>
  <c r="E383" i="2" s="1"/>
  <c r="M384" i="2"/>
  <c r="J383" i="2"/>
  <c r="G383" i="2" s="1"/>
  <c r="L384" i="2"/>
  <c r="I383" i="2"/>
  <c r="D385" i="2"/>
  <c r="F383" i="2"/>
  <c r="C384" i="2"/>
  <c r="D386" i="2" l="1"/>
  <c r="T385" i="2"/>
  <c r="L385" i="2"/>
  <c r="I384" i="2"/>
  <c r="F384" i="2" s="1"/>
  <c r="K385" i="2"/>
  <c r="H384" i="2"/>
  <c r="C385" i="2"/>
  <c r="E384" i="2"/>
  <c r="T384" i="2"/>
  <c r="M385" i="2"/>
  <c r="J384" i="2"/>
  <c r="G384" i="2" s="1"/>
  <c r="L386" i="2" l="1"/>
  <c r="I385" i="2"/>
  <c r="D387" i="2"/>
  <c r="J385" i="2"/>
  <c r="G385" i="2" s="1"/>
  <c r="M386" i="2"/>
  <c r="C386" i="2"/>
  <c r="F385" i="2"/>
  <c r="K386" i="2"/>
  <c r="H385" i="2"/>
  <c r="E385" i="2" s="1"/>
  <c r="C387" i="2" l="1"/>
  <c r="M387" i="2"/>
  <c r="J386" i="2"/>
  <c r="D388" i="2"/>
  <c r="T387" i="2"/>
  <c r="G386" i="2"/>
  <c r="T386" i="2"/>
  <c r="L387" i="2"/>
  <c r="I386" i="2"/>
  <c r="F386" i="2" s="1"/>
  <c r="K387" i="2"/>
  <c r="H386" i="2"/>
  <c r="E386" i="2" s="1"/>
  <c r="M388" i="2" l="1"/>
  <c r="J387" i="2"/>
  <c r="G387" i="2" s="1"/>
  <c r="L388" i="2"/>
  <c r="I387" i="2"/>
  <c r="F387" i="2" s="1"/>
  <c r="D389" i="2"/>
  <c r="C388" i="2"/>
  <c r="K388" i="2"/>
  <c r="H387" i="2"/>
  <c r="E387" i="2" s="1"/>
  <c r="L389" i="2" l="1"/>
  <c r="I388" i="2"/>
  <c r="C389" i="2"/>
  <c r="F388" i="2"/>
  <c r="T388" i="2"/>
  <c r="T389" i="2"/>
  <c r="D390" i="2"/>
  <c r="J388" i="2"/>
  <c r="G388" i="2" s="1"/>
  <c r="M389" i="2"/>
  <c r="K389" i="2"/>
  <c r="H388" i="2"/>
  <c r="E388" i="2" s="1"/>
  <c r="M390" i="2" l="1"/>
  <c r="J389" i="2"/>
  <c r="G389" i="2" s="1"/>
  <c r="D391" i="2"/>
  <c r="F389" i="2"/>
  <c r="C390" i="2"/>
  <c r="L390" i="2"/>
  <c r="I389" i="2"/>
  <c r="K390" i="2"/>
  <c r="H389" i="2"/>
  <c r="E389" i="2" s="1"/>
  <c r="M391" i="2" l="1"/>
  <c r="J390" i="2"/>
  <c r="G390" i="2" s="1"/>
  <c r="C391" i="2"/>
  <c r="E390" i="2"/>
  <c r="L391" i="2"/>
  <c r="I390" i="2"/>
  <c r="F390" i="2" s="1"/>
  <c r="K391" i="2"/>
  <c r="H390" i="2"/>
  <c r="T390" i="2"/>
  <c r="D392" i="2"/>
  <c r="T391" i="2"/>
  <c r="K392" i="2" l="1"/>
  <c r="H391" i="2"/>
  <c r="C392" i="2"/>
  <c r="E391" i="2"/>
  <c r="L392" i="2"/>
  <c r="I391" i="2"/>
  <c r="F391" i="2" s="1"/>
  <c r="T392" i="2"/>
  <c r="D393" i="2"/>
  <c r="J391" i="2"/>
  <c r="G391" i="2" s="1"/>
  <c r="M392" i="2"/>
  <c r="L393" i="2" l="1"/>
  <c r="I392" i="2"/>
  <c r="M393" i="2"/>
  <c r="J392" i="2"/>
  <c r="G392" i="2" s="1"/>
  <c r="D394" i="2"/>
  <c r="E392" i="2"/>
  <c r="F392" i="2"/>
  <c r="C393" i="2"/>
  <c r="K393" i="2"/>
  <c r="H392" i="2"/>
  <c r="L394" i="2" l="1"/>
  <c r="I393" i="2"/>
  <c r="D395" i="2"/>
  <c r="C394" i="2"/>
  <c r="F393" i="2"/>
  <c r="T393" i="2"/>
  <c r="K394" i="2"/>
  <c r="H393" i="2"/>
  <c r="E393" i="2" s="1"/>
  <c r="G393" i="2"/>
  <c r="M394" i="2"/>
  <c r="J393" i="2"/>
  <c r="K395" i="2" l="1"/>
  <c r="H394" i="2"/>
  <c r="C395" i="2"/>
  <c r="E394" i="2"/>
  <c r="T394" i="2"/>
  <c r="J394" i="2"/>
  <c r="G394" i="2" s="1"/>
  <c r="M395" i="2"/>
  <c r="T395" i="2"/>
  <c r="D396" i="2"/>
  <c r="L395" i="2"/>
  <c r="I394" i="2"/>
  <c r="F394" i="2" s="1"/>
  <c r="D397" i="2" l="1"/>
  <c r="M396" i="2"/>
  <c r="J395" i="2"/>
  <c r="G395" i="2" s="1"/>
  <c r="C396" i="2"/>
  <c r="L396" i="2"/>
  <c r="I395" i="2"/>
  <c r="F395" i="2" s="1"/>
  <c r="K396" i="2"/>
  <c r="H395" i="2"/>
  <c r="E395" i="2" s="1"/>
  <c r="T396" i="2" l="1"/>
  <c r="M397" i="2"/>
  <c r="J396" i="2"/>
  <c r="G396" i="2" s="1"/>
  <c r="K397" i="2"/>
  <c r="H396" i="2"/>
  <c r="D398" i="2"/>
  <c r="T397" i="2"/>
  <c r="L397" i="2"/>
  <c r="I396" i="2"/>
  <c r="C397" i="2"/>
  <c r="F396" i="2"/>
  <c r="E396" i="2"/>
  <c r="T398" i="2" l="1"/>
  <c r="D399" i="2"/>
  <c r="C398" i="2"/>
  <c r="F397" i="2"/>
  <c r="K398" i="2"/>
  <c r="H397" i="2"/>
  <c r="E397" i="2" s="1"/>
  <c r="L398" i="2"/>
  <c r="I397" i="2"/>
  <c r="J397" i="2"/>
  <c r="G397" i="2" s="1"/>
  <c r="M398" i="2"/>
  <c r="L399" i="2" l="1"/>
  <c r="I398" i="2"/>
  <c r="K399" i="2"/>
  <c r="H398" i="2"/>
  <c r="E398" i="2" s="1"/>
  <c r="F398" i="2"/>
  <c r="C399" i="2"/>
  <c r="M399" i="2"/>
  <c r="J398" i="2"/>
  <c r="G398" i="2" s="1"/>
  <c r="D400" i="2"/>
  <c r="T399" i="2"/>
  <c r="M400" i="2" l="1"/>
  <c r="J399" i="2"/>
  <c r="G399" i="2" s="1"/>
  <c r="C400" i="2"/>
  <c r="E399" i="2"/>
  <c r="K400" i="2"/>
  <c r="H399" i="2"/>
  <c r="L400" i="2"/>
  <c r="I399" i="2"/>
  <c r="F399" i="2" s="1"/>
  <c r="D401" i="2"/>
  <c r="C401" i="2" l="1"/>
  <c r="J400" i="2"/>
  <c r="G400" i="2" s="1"/>
  <c r="M401" i="2"/>
  <c r="L401" i="2"/>
  <c r="I400" i="2"/>
  <c r="F400" i="2" s="1"/>
  <c r="T400" i="2"/>
  <c r="T401" i="2"/>
  <c r="D402" i="2"/>
  <c r="H400" i="2"/>
  <c r="E400" i="2" s="1"/>
  <c r="K401" i="2"/>
  <c r="C402" i="2" l="1"/>
  <c r="F401" i="2"/>
  <c r="K402" i="2"/>
  <c r="H401" i="2"/>
  <c r="E401" i="2" s="1"/>
  <c r="D403" i="2"/>
  <c r="T402" i="2"/>
  <c r="L402" i="2"/>
  <c r="I401" i="2"/>
  <c r="M402" i="2"/>
  <c r="J401" i="2"/>
  <c r="G401" i="2" s="1"/>
  <c r="C403" i="2" l="1"/>
  <c r="E402" i="2"/>
  <c r="F402" i="2"/>
  <c r="D404" i="2"/>
  <c r="T403" i="2"/>
  <c r="M403" i="2"/>
  <c r="J402" i="2"/>
  <c r="G402" i="2" s="1"/>
  <c r="K403" i="2"/>
  <c r="H402" i="2"/>
  <c r="L403" i="2"/>
  <c r="I402" i="2"/>
  <c r="D405" i="2" l="1"/>
  <c r="L404" i="2"/>
  <c r="I403" i="2"/>
  <c r="F403" i="2" s="1"/>
  <c r="H403" i="2"/>
  <c r="E403" i="2" s="1"/>
  <c r="K404" i="2"/>
  <c r="C404" i="2"/>
  <c r="T404" i="2" s="1"/>
  <c r="M404" i="2"/>
  <c r="J403" i="2"/>
  <c r="G403" i="2" s="1"/>
  <c r="D406" i="2" l="1"/>
  <c r="M405" i="2"/>
  <c r="J404" i="2"/>
  <c r="G404" i="2" s="1"/>
  <c r="K405" i="2"/>
  <c r="H404" i="2"/>
  <c r="E404" i="2" s="1"/>
  <c r="L405" i="2"/>
  <c r="I404" i="2"/>
  <c r="F404" i="2" s="1"/>
  <c r="C405" i="2"/>
  <c r="L406" i="2" l="1"/>
  <c r="I405" i="2"/>
  <c r="K406" i="2"/>
  <c r="H405" i="2"/>
  <c r="M406" i="2"/>
  <c r="J405" i="2"/>
  <c r="G405" i="2" s="1"/>
  <c r="C406" i="2"/>
  <c r="E405" i="2"/>
  <c r="F405" i="2"/>
  <c r="T405" i="2"/>
  <c r="D407" i="2"/>
  <c r="C407" i="2" l="1"/>
  <c r="E406" i="2"/>
  <c r="L407" i="2"/>
  <c r="I406" i="2"/>
  <c r="F406" i="2" s="1"/>
  <c r="H406" i="2"/>
  <c r="K407" i="2"/>
  <c r="T406" i="2"/>
  <c r="M407" i="2"/>
  <c r="J406" i="2"/>
  <c r="G406" i="2" s="1"/>
  <c r="T407" i="2"/>
  <c r="D408" i="2"/>
  <c r="L408" i="2" l="1"/>
  <c r="I407" i="2"/>
  <c r="M408" i="2"/>
  <c r="J407" i="2"/>
  <c r="G407" i="2" s="1"/>
  <c r="K408" i="2"/>
  <c r="H407" i="2"/>
  <c r="E407" i="2" s="1"/>
  <c r="D409" i="2"/>
  <c r="C408" i="2"/>
  <c r="F407" i="2"/>
  <c r="K409" i="2" l="1"/>
  <c r="H408" i="2"/>
  <c r="E408" i="2"/>
  <c r="C409" i="2"/>
  <c r="M409" i="2"/>
  <c r="J408" i="2"/>
  <c r="T408" i="2"/>
  <c r="D410" i="2"/>
  <c r="T409" i="2"/>
  <c r="L409" i="2"/>
  <c r="I408" i="2"/>
  <c r="F408" i="2" s="1"/>
  <c r="G408" i="2"/>
  <c r="H409" i="2" l="1"/>
  <c r="K410" i="2"/>
  <c r="I409" i="2"/>
  <c r="L410" i="2"/>
  <c r="J409" i="2"/>
  <c r="G409" i="2" s="1"/>
  <c r="M410" i="2"/>
  <c r="C410" i="2"/>
  <c r="E409" i="2"/>
  <c r="F409" i="2"/>
  <c r="T410" i="2"/>
  <c r="D411" i="2"/>
  <c r="M411" i="2" l="1"/>
  <c r="J410" i="2"/>
  <c r="C411" i="2"/>
  <c r="D412" i="2"/>
  <c r="T411" i="2"/>
  <c r="L411" i="2"/>
  <c r="I410" i="2"/>
  <c r="F410" i="2" s="1"/>
  <c r="H410" i="2"/>
  <c r="E410" i="2" s="1"/>
  <c r="K411" i="2"/>
  <c r="G410" i="2"/>
  <c r="E411" i="2" l="1"/>
  <c r="F411" i="2"/>
  <c r="C412" i="2"/>
  <c r="L412" i="2"/>
  <c r="I411" i="2"/>
  <c r="D413" i="2"/>
  <c r="M412" i="2"/>
  <c r="J411" i="2"/>
  <c r="G411" i="2" s="1"/>
  <c r="K412" i="2"/>
  <c r="H411" i="2"/>
  <c r="I412" i="2" l="1"/>
  <c r="F412" i="2" s="1"/>
  <c r="L413" i="2"/>
  <c r="H412" i="2"/>
  <c r="K413" i="2"/>
  <c r="C413" i="2"/>
  <c r="E412" i="2"/>
  <c r="D414" i="2"/>
  <c r="J412" i="2"/>
  <c r="G412" i="2" s="1"/>
  <c r="M413" i="2"/>
  <c r="T412" i="2"/>
  <c r="C414" i="2" l="1"/>
  <c r="H413" i="2"/>
  <c r="E413" i="2" s="1"/>
  <c r="K414" i="2"/>
  <c r="M414" i="2"/>
  <c r="J413" i="2"/>
  <c r="D415" i="2"/>
  <c r="G413" i="2"/>
  <c r="L414" i="2"/>
  <c r="I413" i="2"/>
  <c r="F413" i="2" s="1"/>
  <c r="T413" i="2"/>
  <c r="K415" i="2" l="1"/>
  <c r="H414" i="2"/>
  <c r="M415" i="2"/>
  <c r="J414" i="2"/>
  <c r="L415" i="2"/>
  <c r="I414" i="2"/>
  <c r="F414" i="2"/>
  <c r="C415" i="2"/>
  <c r="E414" i="2"/>
  <c r="D416" i="2"/>
  <c r="T414" i="2"/>
  <c r="G414" i="2"/>
  <c r="C416" i="2" l="1"/>
  <c r="J415" i="2"/>
  <c r="G415" i="2" s="1"/>
  <c r="M416" i="2"/>
  <c r="H415" i="2"/>
  <c r="E415" i="2" s="1"/>
  <c r="K416" i="2"/>
  <c r="I415" i="2"/>
  <c r="F415" i="2" s="1"/>
  <c r="L416" i="2"/>
  <c r="T415" i="2"/>
  <c r="T416" i="2"/>
  <c r="D417" i="2"/>
  <c r="I416" i="2" l="1"/>
  <c r="L417" i="2"/>
  <c r="H416" i="2"/>
  <c r="K417" i="2"/>
  <c r="M417" i="2"/>
  <c r="J416" i="2"/>
  <c r="G416" i="2" s="1"/>
  <c r="D418" i="2"/>
  <c r="E416" i="2"/>
  <c r="F416" i="2"/>
  <c r="C417" i="2"/>
  <c r="C418" i="2" l="1"/>
  <c r="J417" i="2"/>
  <c r="M418" i="2"/>
  <c r="K418" i="2"/>
  <c r="H417" i="2"/>
  <c r="E417" i="2" s="1"/>
  <c r="T417" i="2"/>
  <c r="D419" i="2"/>
  <c r="T418" i="2"/>
  <c r="G417" i="2"/>
  <c r="L418" i="2"/>
  <c r="I417" i="2"/>
  <c r="F417" i="2" s="1"/>
  <c r="H418" i="2" l="1"/>
  <c r="K419" i="2"/>
  <c r="I418" i="2"/>
  <c r="L419" i="2"/>
  <c r="M419" i="2"/>
  <c r="J418" i="2"/>
  <c r="G418" i="2" s="1"/>
  <c r="C419" i="2"/>
  <c r="T419" i="2" s="1"/>
  <c r="E418" i="2"/>
  <c r="F418" i="2"/>
  <c r="D420" i="2"/>
  <c r="K420" i="2" l="1"/>
  <c r="H419" i="2"/>
  <c r="E419" i="2"/>
  <c r="F419" i="2"/>
  <c r="C420" i="2"/>
  <c r="M420" i="2"/>
  <c r="J419" i="2"/>
  <c r="G419" i="2" s="1"/>
  <c r="D421" i="2"/>
  <c r="I419" i="2"/>
  <c r="L420" i="2"/>
  <c r="L421" i="2" l="1"/>
  <c r="I420" i="2"/>
  <c r="C421" i="2"/>
  <c r="F420" i="2"/>
  <c r="T420" i="2"/>
  <c r="D422" i="2"/>
  <c r="G420" i="2"/>
  <c r="K421" i="2"/>
  <c r="H420" i="2"/>
  <c r="E420" i="2" s="1"/>
  <c r="J420" i="2"/>
  <c r="M421" i="2"/>
  <c r="C422" i="2" l="1"/>
  <c r="K422" i="2"/>
  <c r="H421" i="2"/>
  <c r="E421" i="2" s="1"/>
  <c r="T421" i="2"/>
  <c r="L422" i="2"/>
  <c r="I421" i="2"/>
  <c r="F421" i="2" s="1"/>
  <c r="M422" i="2"/>
  <c r="J421" i="2"/>
  <c r="D423" i="2"/>
  <c r="T422" i="2"/>
  <c r="G421" i="2"/>
  <c r="J422" i="2" l="1"/>
  <c r="G422" i="2" s="1"/>
  <c r="M423" i="2"/>
  <c r="K423" i="2"/>
  <c r="H422" i="2"/>
  <c r="L423" i="2"/>
  <c r="I422" i="2"/>
  <c r="F422" i="2" s="1"/>
  <c r="E422" i="2"/>
  <c r="C423" i="2"/>
  <c r="D424" i="2"/>
  <c r="C424" i="2" l="1"/>
  <c r="K424" i="2"/>
  <c r="H423" i="2"/>
  <c r="E423" i="2" s="1"/>
  <c r="M424" i="2"/>
  <c r="J423" i="2"/>
  <c r="G423" i="2"/>
  <c r="D425" i="2"/>
  <c r="T424" i="2"/>
  <c r="T423" i="2"/>
  <c r="L424" i="2"/>
  <c r="I423" i="2"/>
  <c r="F423" i="2" s="1"/>
  <c r="D426" i="2" l="1"/>
  <c r="K425" i="2"/>
  <c r="H424" i="2"/>
  <c r="E424" i="2" s="1"/>
  <c r="J424" i="2"/>
  <c r="G424" i="2" s="1"/>
  <c r="M425" i="2"/>
  <c r="C425" i="2"/>
  <c r="L425" i="2"/>
  <c r="I424" i="2"/>
  <c r="F424" i="2" s="1"/>
  <c r="L426" i="2" l="1"/>
  <c r="I425" i="2"/>
  <c r="K426" i="2"/>
  <c r="H425" i="2"/>
  <c r="E425" i="2"/>
  <c r="F425" i="2"/>
  <c r="C426" i="2"/>
  <c r="T426" i="2"/>
  <c r="D427" i="2"/>
  <c r="T425" i="2"/>
  <c r="M426" i="2"/>
  <c r="J425" i="2"/>
  <c r="G425" i="2" s="1"/>
  <c r="K427" i="2" l="1"/>
  <c r="H426" i="2"/>
  <c r="M427" i="2"/>
  <c r="J426" i="2"/>
  <c r="G426" i="2" s="1"/>
  <c r="D428" i="2"/>
  <c r="T427" i="2"/>
  <c r="L427" i="2"/>
  <c r="I426" i="2"/>
  <c r="F426" i="2"/>
  <c r="C427" i="2"/>
  <c r="E426" i="2"/>
  <c r="D429" i="2" l="1"/>
  <c r="J427" i="2"/>
  <c r="G427" i="2" s="1"/>
  <c r="M428" i="2"/>
  <c r="K428" i="2"/>
  <c r="H427" i="2"/>
  <c r="I427" i="2"/>
  <c r="L428" i="2"/>
  <c r="C428" i="2"/>
  <c r="T428" i="2" s="1"/>
  <c r="E427" i="2"/>
  <c r="F427" i="2"/>
  <c r="L429" i="2" l="1"/>
  <c r="I428" i="2"/>
  <c r="K429" i="2"/>
  <c r="H428" i="2"/>
  <c r="E428" i="2" s="1"/>
  <c r="M429" i="2"/>
  <c r="J428" i="2"/>
  <c r="G428" i="2" s="1"/>
  <c r="D430" i="2"/>
  <c r="F428" i="2"/>
  <c r="C429" i="2"/>
  <c r="T429" i="2" s="1"/>
  <c r="L430" i="2" l="1"/>
  <c r="I429" i="2"/>
  <c r="D431" i="2"/>
  <c r="F429" i="2"/>
  <c r="C430" i="2"/>
  <c r="T430" i="2" s="1"/>
  <c r="E429" i="2"/>
  <c r="G429" i="2"/>
  <c r="M430" i="2"/>
  <c r="J429" i="2"/>
  <c r="K430" i="2"/>
  <c r="H429" i="2"/>
  <c r="K431" i="2" l="1"/>
  <c r="H430" i="2"/>
  <c r="C431" i="2"/>
  <c r="E430" i="2"/>
  <c r="T431" i="2"/>
  <c r="D432" i="2"/>
  <c r="J430" i="2"/>
  <c r="G430" i="2" s="1"/>
  <c r="M431" i="2"/>
  <c r="I430" i="2"/>
  <c r="F430" i="2" s="1"/>
  <c r="L431" i="2"/>
  <c r="M432" i="2" l="1"/>
  <c r="J431" i="2"/>
  <c r="G431" i="2" s="1"/>
  <c r="D433" i="2"/>
  <c r="E431" i="2"/>
  <c r="C432" i="2"/>
  <c r="K432" i="2"/>
  <c r="H431" i="2"/>
  <c r="L432" i="2"/>
  <c r="I431" i="2"/>
  <c r="F431" i="2" s="1"/>
  <c r="C433" i="2" l="1"/>
  <c r="D434" i="2"/>
  <c r="T433" i="2"/>
  <c r="T432" i="2"/>
  <c r="K433" i="2"/>
  <c r="H432" i="2"/>
  <c r="E432" i="2" s="1"/>
  <c r="L433" i="2"/>
  <c r="I432" i="2"/>
  <c r="F432" i="2" s="1"/>
  <c r="M433" i="2"/>
  <c r="J432" i="2"/>
  <c r="G432" i="2" s="1"/>
  <c r="J433" i="2" l="1"/>
  <c r="G433" i="2" s="1"/>
  <c r="M434" i="2"/>
  <c r="I433" i="2"/>
  <c r="L434" i="2"/>
  <c r="D435" i="2"/>
  <c r="C434" i="2"/>
  <c r="F433" i="2"/>
  <c r="K434" i="2"/>
  <c r="H433" i="2"/>
  <c r="E433" i="2" s="1"/>
  <c r="C435" i="2" l="1"/>
  <c r="T435" i="2"/>
  <c r="D436" i="2"/>
  <c r="K435" i="2"/>
  <c r="H434" i="2"/>
  <c r="E434" i="2" s="1"/>
  <c r="G434" i="2"/>
  <c r="T434" i="2"/>
  <c r="L435" i="2"/>
  <c r="I434" i="2"/>
  <c r="F434" i="2" s="1"/>
  <c r="M435" i="2"/>
  <c r="J434" i="2"/>
  <c r="L436" i="2" l="1"/>
  <c r="I435" i="2"/>
  <c r="K436" i="2"/>
  <c r="H435" i="2"/>
  <c r="E435" i="2" s="1"/>
  <c r="D437" i="2"/>
  <c r="M436" i="2"/>
  <c r="J435" i="2"/>
  <c r="G435" i="2" s="1"/>
  <c r="F435" i="2"/>
  <c r="C436" i="2"/>
  <c r="K437" i="2" l="1"/>
  <c r="H436" i="2"/>
  <c r="I436" i="2"/>
  <c r="L437" i="2"/>
  <c r="J436" i="2"/>
  <c r="M437" i="2"/>
  <c r="C437" i="2"/>
  <c r="E436" i="2"/>
  <c r="F436" i="2"/>
  <c r="G436" i="2"/>
  <c r="T436" i="2"/>
  <c r="T437" i="2"/>
  <c r="D438" i="2"/>
  <c r="E437" i="2" l="1"/>
  <c r="C438" i="2"/>
  <c r="M438" i="2"/>
  <c r="J437" i="2"/>
  <c r="G437" i="2" s="1"/>
  <c r="L438" i="2"/>
  <c r="I437" i="2"/>
  <c r="F437" i="2" s="1"/>
  <c r="D439" i="2"/>
  <c r="T438" i="2"/>
  <c r="K438" i="2"/>
  <c r="H437" i="2"/>
  <c r="D440" i="2" l="1"/>
  <c r="T439" i="2"/>
  <c r="L439" i="2"/>
  <c r="I438" i="2"/>
  <c r="M439" i="2"/>
  <c r="J438" i="2"/>
  <c r="G438" i="2" s="1"/>
  <c r="F438" i="2"/>
  <c r="E438" i="2"/>
  <c r="C439" i="2"/>
  <c r="K439" i="2"/>
  <c r="H438" i="2"/>
  <c r="D441" i="2" l="1"/>
  <c r="C440" i="2"/>
  <c r="T440" i="2" s="1"/>
  <c r="E439" i="2"/>
  <c r="F439" i="2"/>
  <c r="J439" i="2"/>
  <c r="G439" i="2" s="1"/>
  <c r="M440" i="2"/>
  <c r="I439" i="2"/>
  <c r="L440" i="2"/>
  <c r="K440" i="2"/>
  <c r="H439" i="2"/>
  <c r="M441" i="2" l="1"/>
  <c r="J440" i="2"/>
  <c r="D442" i="2"/>
  <c r="G440" i="2"/>
  <c r="C441" i="2"/>
  <c r="K441" i="2"/>
  <c r="H440" i="2"/>
  <c r="E440" i="2" s="1"/>
  <c r="L441" i="2"/>
  <c r="I440" i="2"/>
  <c r="F440" i="2" s="1"/>
  <c r="L442" i="2" l="1"/>
  <c r="I441" i="2"/>
  <c r="K442" i="2"/>
  <c r="H441" i="2"/>
  <c r="F441" i="2"/>
  <c r="C442" i="2"/>
  <c r="E441" i="2"/>
  <c r="T441" i="2"/>
  <c r="D443" i="2"/>
  <c r="T442" i="2"/>
  <c r="M442" i="2"/>
  <c r="J441" i="2"/>
  <c r="G441" i="2" s="1"/>
  <c r="I442" i="2" l="1"/>
  <c r="L443" i="2"/>
  <c r="C443" i="2"/>
  <c r="F442" i="2"/>
  <c r="J442" i="2"/>
  <c r="G442" i="2" s="1"/>
  <c r="M443" i="2"/>
  <c r="T443" i="2"/>
  <c r="D444" i="2"/>
  <c r="K443" i="2"/>
  <c r="H442" i="2"/>
  <c r="E442" i="2" s="1"/>
  <c r="M444" i="2" l="1"/>
  <c r="J443" i="2"/>
  <c r="G443" i="2" s="1"/>
  <c r="E443" i="2"/>
  <c r="C444" i="2"/>
  <c r="K444" i="2"/>
  <c r="H443" i="2"/>
  <c r="T444" i="2"/>
  <c r="D445" i="2"/>
  <c r="L444" i="2"/>
  <c r="I443" i="2"/>
  <c r="F443" i="2" s="1"/>
  <c r="L445" i="2" l="1"/>
  <c r="I444" i="2"/>
  <c r="M445" i="2"/>
  <c r="J444" i="2"/>
  <c r="G444" i="2" s="1"/>
  <c r="D446" i="2"/>
  <c r="K445" i="2"/>
  <c r="H444" i="2"/>
  <c r="E444" i="2" s="1"/>
  <c r="F444" i="2"/>
  <c r="C445" i="2"/>
  <c r="T445" i="2" s="1"/>
  <c r="J445" i="2" l="1"/>
  <c r="M446" i="2"/>
  <c r="G445" i="2"/>
  <c r="K446" i="2"/>
  <c r="H445" i="2"/>
  <c r="D447" i="2"/>
  <c r="I445" i="2"/>
  <c r="F445" i="2" s="1"/>
  <c r="L446" i="2"/>
  <c r="C446" i="2"/>
  <c r="T446" i="2" s="1"/>
  <c r="E445" i="2"/>
  <c r="D448" i="2" l="1"/>
  <c r="K447" i="2"/>
  <c r="H446" i="2"/>
  <c r="M447" i="2"/>
  <c r="J446" i="2"/>
  <c r="G446" i="2" s="1"/>
  <c r="E446" i="2"/>
  <c r="C447" i="2"/>
  <c r="I446" i="2"/>
  <c r="F446" i="2" s="1"/>
  <c r="L447" i="2"/>
  <c r="T447" i="2" l="1"/>
  <c r="D449" i="2"/>
  <c r="T448" i="2"/>
  <c r="M448" i="2"/>
  <c r="J447" i="2"/>
  <c r="G447" i="2" s="1"/>
  <c r="E447" i="2"/>
  <c r="C448" i="2"/>
  <c r="L448" i="2"/>
  <c r="I447" i="2"/>
  <c r="F447" i="2" s="1"/>
  <c r="K448" i="2"/>
  <c r="H447" i="2"/>
  <c r="K449" i="2" l="1"/>
  <c r="H448" i="2"/>
  <c r="E448" i="2" s="1"/>
  <c r="T449" i="2"/>
  <c r="D450" i="2"/>
  <c r="I448" i="2"/>
  <c r="L449" i="2"/>
  <c r="C449" i="2"/>
  <c r="F448" i="2"/>
  <c r="J448" i="2"/>
  <c r="G448" i="2" s="1"/>
  <c r="M449" i="2"/>
  <c r="K450" i="2" l="1"/>
  <c r="H449" i="2"/>
  <c r="M450" i="2"/>
  <c r="J449" i="2"/>
  <c r="G449" i="2" s="1"/>
  <c r="E449" i="2"/>
  <c r="C450" i="2"/>
  <c r="L450" i="2"/>
  <c r="I449" i="2"/>
  <c r="F449" i="2" s="1"/>
  <c r="D451" i="2"/>
  <c r="T450" i="2"/>
  <c r="L451" i="2" l="1"/>
  <c r="I450" i="2"/>
  <c r="F450" i="2" s="1"/>
  <c r="C451" i="2"/>
  <c r="T451" i="2" s="1"/>
  <c r="D452" i="2"/>
  <c r="M451" i="2"/>
  <c r="J450" i="2"/>
  <c r="G450" i="2" s="1"/>
  <c r="K451" i="2"/>
  <c r="H450" i="2"/>
  <c r="E450" i="2" s="1"/>
  <c r="J451" i="2" l="1"/>
  <c r="G451" i="2" s="1"/>
  <c r="M452" i="2"/>
  <c r="T452" i="2"/>
  <c r="D453" i="2"/>
  <c r="I451" i="2"/>
  <c r="L452" i="2"/>
  <c r="E451" i="2"/>
  <c r="C452" i="2"/>
  <c r="F451" i="2"/>
  <c r="K452" i="2"/>
  <c r="H451" i="2"/>
  <c r="M453" i="2" l="1"/>
  <c r="J452" i="2"/>
  <c r="G452" i="2" s="1"/>
  <c r="K453" i="2"/>
  <c r="H452" i="2"/>
  <c r="E452" i="2" s="1"/>
  <c r="I452" i="2"/>
  <c r="F452" i="2" s="1"/>
  <c r="L453" i="2"/>
  <c r="C453" i="2"/>
  <c r="D454" i="2"/>
  <c r="C454" i="2" l="1"/>
  <c r="L454" i="2"/>
  <c r="I453" i="2"/>
  <c r="F453" i="2" s="1"/>
  <c r="T453" i="2"/>
  <c r="K454" i="2"/>
  <c r="H453" i="2"/>
  <c r="E453" i="2" s="1"/>
  <c r="M454" i="2"/>
  <c r="J453" i="2"/>
  <c r="G453" i="2" s="1"/>
  <c r="D455" i="2"/>
  <c r="T454" i="2"/>
  <c r="K455" i="2" l="1"/>
  <c r="H454" i="2"/>
  <c r="J454" i="2"/>
  <c r="G454" i="2" s="1"/>
  <c r="M455" i="2"/>
  <c r="C455" i="2"/>
  <c r="E454" i="2"/>
  <c r="T455" i="2"/>
  <c r="D456" i="2"/>
  <c r="I454" i="2"/>
  <c r="F454" i="2" s="1"/>
  <c r="L455" i="2"/>
  <c r="D457" i="2" l="1"/>
  <c r="M456" i="2"/>
  <c r="J455" i="2"/>
  <c r="G455" i="2" s="1"/>
  <c r="L456" i="2"/>
  <c r="I455" i="2"/>
  <c r="K456" i="2"/>
  <c r="H455" i="2"/>
  <c r="E455" i="2"/>
  <c r="F455" i="2"/>
  <c r="C456" i="2"/>
  <c r="C457" i="2" l="1"/>
  <c r="K457" i="2"/>
  <c r="H456" i="2"/>
  <c r="E456" i="2" s="1"/>
  <c r="L457" i="2"/>
  <c r="I456" i="2"/>
  <c r="F456" i="2" s="1"/>
  <c r="M457" i="2"/>
  <c r="J456" i="2"/>
  <c r="D458" i="2"/>
  <c r="T457" i="2"/>
  <c r="T456" i="2"/>
  <c r="G456" i="2"/>
  <c r="I457" i="2" l="1"/>
  <c r="L458" i="2"/>
  <c r="K458" i="2"/>
  <c r="H457" i="2"/>
  <c r="T458" i="2"/>
  <c r="D459" i="2"/>
  <c r="J457" i="2"/>
  <c r="G457" i="2" s="1"/>
  <c r="M458" i="2"/>
  <c r="C458" i="2"/>
  <c r="E457" i="2"/>
  <c r="F457" i="2"/>
  <c r="D460" i="2" l="1"/>
  <c r="L459" i="2"/>
  <c r="I458" i="2"/>
  <c r="F458" i="2"/>
  <c r="C459" i="2"/>
  <c r="T459" i="2" s="1"/>
  <c r="K459" i="2"/>
  <c r="H458" i="2"/>
  <c r="E458" i="2" s="1"/>
  <c r="M459" i="2"/>
  <c r="J458" i="2"/>
  <c r="G458" i="2" s="1"/>
  <c r="D461" i="2" l="1"/>
  <c r="T460" i="2"/>
  <c r="M460" i="2"/>
  <c r="J459" i="2"/>
  <c r="G459" i="2"/>
  <c r="K460" i="2"/>
  <c r="H459" i="2"/>
  <c r="C460" i="2"/>
  <c r="E459" i="2"/>
  <c r="L460" i="2"/>
  <c r="I459" i="2"/>
  <c r="F459" i="2" s="1"/>
  <c r="K461" i="2" l="1"/>
  <c r="H460" i="2"/>
  <c r="J460" i="2"/>
  <c r="G460" i="2" s="1"/>
  <c r="M461" i="2"/>
  <c r="D462" i="2"/>
  <c r="I460" i="2"/>
  <c r="F460" i="2" s="1"/>
  <c r="L461" i="2"/>
  <c r="C461" i="2"/>
  <c r="T461" i="2" s="1"/>
  <c r="E460" i="2"/>
  <c r="I461" i="2" l="1"/>
  <c r="L462" i="2"/>
  <c r="D463" i="2"/>
  <c r="M462" i="2"/>
  <c r="J461" i="2"/>
  <c r="G461" i="2" s="1"/>
  <c r="K462" i="2"/>
  <c r="H461" i="2"/>
  <c r="E461" i="2" s="1"/>
  <c r="F461" i="2"/>
  <c r="C462" i="2"/>
  <c r="M463" i="2" l="1"/>
  <c r="J462" i="2"/>
  <c r="G462" i="2" s="1"/>
  <c r="K463" i="2"/>
  <c r="H462" i="2"/>
  <c r="D464" i="2"/>
  <c r="T463" i="2"/>
  <c r="T462" i="2"/>
  <c r="L463" i="2"/>
  <c r="I462" i="2"/>
  <c r="F462" i="2"/>
  <c r="C463" i="2"/>
  <c r="E462" i="2"/>
  <c r="C464" i="2" l="1"/>
  <c r="E463" i="2"/>
  <c r="I463" i="2"/>
  <c r="F463" i="2" s="1"/>
  <c r="L464" i="2"/>
  <c r="K464" i="2"/>
  <c r="H463" i="2"/>
  <c r="J463" i="2"/>
  <c r="G463" i="2" s="1"/>
  <c r="M464" i="2"/>
  <c r="D465" i="2"/>
  <c r="D466" i="2" l="1"/>
  <c r="C465" i="2"/>
  <c r="G464" i="2"/>
  <c r="T464" i="2"/>
  <c r="K465" i="2"/>
  <c r="H464" i="2"/>
  <c r="E464" i="2" s="1"/>
  <c r="M465" i="2"/>
  <c r="J464" i="2"/>
  <c r="L465" i="2"/>
  <c r="I464" i="2"/>
  <c r="F464" i="2" s="1"/>
  <c r="K466" i="2" l="1"/>
  <c r="H465" i="2"/>
  <c r="F465" i="2"/>
  <c r="E465" i="2"/>
  <c r="C466" i="2"/>
  <c r="L466" i="2"/>
  <c r="I465" i="2"/>
  <c r="T465" i="2"/>
  <c r="M466" i="2"/>
  <c r="J465" i="2"/>
  <c r="G465" i="2" s="1"/>
  <c r="D467" i="2"/>
  <c r="T466" i="2"/>
  <c r="I466" i="2" l="1"/>
  <c r="L467" i="2"/>
  <c r="D468" i="2"/>
  <c r="K467" i="2"/>
  <c r="H466" i="2"/>
  <c r="E466" i="2" s="1"/>
  <c r="C467" i="2"/>
  <c r="F466" i="2"/>
  <c r="J466" i="2"/>
  <c r="G466" i="2" s="1"/>
  <c r="M467" i="2"/>
  <c r="C468" i="2" l="1"/>
  <c r="T468" i="2"/>
  <c r="D469" i="2"/>
  <c r="G467" i="2"/>
  <c r="T467" i="2"/>
  <c r="M468" i="2"/>
  <c r="J467" i="2"/>
  <c r="K468" i="2"/>
  <c r="H467" i="2"/>
  <c r="E467" i="2" s="1"/>
  <c r="I467" i="2"/>
  <c r="F467" i="2" s="1"/>
  <c r="L468" i="2"/>
  <c r="D470" i="2" l="1"/>
  <c r="L469" i="2"/>
  <c r="I468" i="2"/>
  <c r="M469" i="2"/>
  <c r="J468" i="2"/>
  <c r="G468" i="2" s="1"/>
  <c r="F468" i="2"/>
  <c r="E468" i="2"/>
  <c r="C469" i="2"/>
  <c r="T469" i="2" s="1"/>
  <c r="K469" i="2"/>
  <c r="H468" i="2"/>
  <c r="I469" i="2" l="1"/>
  <c r="L470" i="2"/>
  <c r="C470" i="2"/>
  <c r="F469" i="2"/>
  <c r="T470" i="2"/>
  <c r="D471" i="2"/>
  <c r="J469" i="2"/>
  <c r="G469" i="2" s="1"/>
  <c r="M470" i="2"/>
  <c r="K470" i="2"/>
  <c r="H469" i="2"/>
  <c r="E469" i="2" s="1"/>
  <c r="K471" i="2" l="1"/>
  <c r="H470" i="2"/>
  <c r="E470" i="2"/>
  <c r="C471" i="2"/>
  <c r="M471" i="2"/>
  <c r="J470" i="2"/>
  <c r="G470" i="2" s="1"/>
  <c r="L471" i="2"/>
  <c r="I470" i="2"/>
  <c r="F470" i="2" s="1"/>
  <c r="T471" i="2"/>
  <c r="D472" i="2"/>
  <c r="M472" i="2" l="1"/>
  <c r="J471" i="2"/>
  <c r="G471" i="2" s="1"/>
  <c r="C472" i="2"/>
  <c r="K472" i="2"/>
  <c r="H471" i="2"/>
  <c r="E471" i="2" s="1"/>
  <c r="D473" i="2"/>
  <c r="L472" i="2"/>
  <c r="I471" i="2"/>
  <c r="F471" i="2" s="1"/>
  <c r="D474" i="2" l="1"/>
  <c r="C473" i="2"/>
  <c r="F472" i="2"/>
  <c r="K473" i="2"/>
  <c r="H472" i="2"/>
  <c r="E472" i="2" s="1"/>
  <c r="L473" i="2"/>
  <c r="I472" i="2"/>
  <c r="J472" i="2"/>
  <c r="G472" i="2" s="1"/>
  <c r="M473" i="2"/>
  <c r="T472" i="2"/>
  <c r="I473" i="2" l="1"/>
  <c r="L474" i="2"/>
  <c r="K474" i="2"/>
  <c r="H473" i="2"/>
  <c r="E473" i="2" s="1"/>
  <c r="M474" i="2"/>
  <c r="J473" i="2"/>
  <c r="F473" i="2"/>
  <c r="C474" i="2"/>
  <c r="D475" i="2"/>
  <c r="T474" i="2"/>
  <c r="G473" i="2"/>
  <c r="T473" i="2"/>
  <c r="K475" i="2" l="1"/>
  <c r="H474" i="2"/>
  <c r="D476" i="2"/>
  <c r="F474" i="2"/>
  <c r="E474" i="2"/>
  <c r="C475" i="2"/>
  <c r="L475" i="2"/>
  <c r="I474" i="2"/>
  <c r="M475" i="2"/>
  <c r="J474" i="2"/>
  <c r="G474" i="2" s="1"/>
  <c r="I475" i="2" l="1"/>
  <c r="L476" i="2"/>
  <c r="C476" i="2"/>
  <c r="E475" i="2"/>
  <c r="F475" i="2"/>
  <c r="J475" i="2"/>
  <c r="G475" i="2" s="1"/>
  <c r="M476" i="2"/>
  <c r="K476" i="2"/>
  <c r="H475" i="2"/>
  <c r="T475" i="2"/>
  <c r="T476" i="2"/>
  <c r="D477" i="2"/>
  <c r="E476" i="2" l="1"/>
  <c r="F476" i="2"/>
  <c r="C477" i="2"/>
  <c r="T477" i="2" s="1"/>
  <c r="D478" i="2"/>
  <c r="L477" i="2"/>
  <c r="I476" i="2"/>
  <c r="K477" i="2"/>
  <c r="H476" i="2"/>
  <c r="M477" i="2"/>
  <c r="J476" i="2"/>
  <c r="G476" i="2" s="1"/>
  <c r="D479" i="2" l="1"/>
  <c r="L478" i="2"/>
  <c r="I477" i="2"/>
  <c r="F477" i="2" s="1"/>
  <c r="G477" i="2"/>
  <c r="K478" i="2"/>
  <c r="H477" i="2"/>
  <c r="C478" i="2"/>
  <c r="T478" i="2" s="1"/>
  <c r="E477" i="2"/>
  <c r="M478" i="2"/>
  <c r="J477" i="2"/>
  <c r="I478" i="2" l="1"/>
  <c r="L479" i="2"/>
  <c r="D480" i="2"/>
  <c r="J478" i="2"/>
  <c r="G478" i="2" s="1"/>
  <c r="M479" i="2"/>
  <c r="C479" i="2"/>
  <c r="E478" i="2"/>
  <c r="F478" i="2"/>
  <c r="K479" i="2"/>
  <c r="H478" i="2"/>
  <c r="E479" i="2" l="1"/>
  <c r="C480" i="2"/>
  <c r="T480" i="2"/>
  <c r="D481" i="2"/>
  <c r="I479" i="2"/>
  <c r="F479" i="2" s="1"/>
  <c r="L480" i="2"/>
  <c r="M480" i="2"/>
  <c r="J479" i="2"/>
  <c r="G479" i="2" s="1"/>
  <c r="T479" i="2"/>
  <c r="K480" i="2"/>
  <c r="H479" i="2"/>
  <c r="L481" i="2" l="1"/>
  <c r="I480" i="2"/>
  <c r="F480" i="2" s="1"/>
  <c r="D482" i="2"/>
  <c r="T481" i="2"/>
  <c r="M481" i="2"/>
  <c r="J480" i="2"/>
  <c r="G480" i="2" s="1"/>
  <c r="K481" i="2"/>
  <c r="H480" i="2"/>
  <c r="C481" i="2"/>
  <c r="E480" i="2"/>
  <c r="D483" i="2" l="1"/>
  <c r="J481" i="2"/>
  <c r="G481" i="2" s="1"/>
  <c r="M482" i="2"/>
  <c r="I481" i="2"/>
  <c r="L482" i="2"/>
  <c r="C482" i="2"/>
  <c r="F481" i="2"/>
  <c r="K482" i="2"/>
  <c r="H481" i="2"/>
  <c r="E481" i="2" s="1"/>
  <c r="I482" i="2" l="1"/>
  <c r="L483" i="2"/>
  <c r="F482" i="2"/>
  <c r="C483" i="2"/>
  <c r="M483" i="2"/>
  <c r="J482" i="2"/>
  <c r="G482" i="2" s="1"/>
  <c r="D484" i="2"/>
  <c r="K483" i="2"/>
  <c r="H482" i="2"/>
  <c r="E482" i="2" s="1"/>
  <c r="T482" i="2"/>
  <c r="M484" i="2" l="1"/>
  <c r="J483" i="2"/>
  <c r="C484" i="2"/>
  <c r="T483" i="2"/>
  <c r="G483" i="2"/>
  <c r="I483" i="2"/>
  <c r="F483" i="2" s="1"/>
  <c r="L484" i="2"/>
  <c r="D485" i="2"/>
  <c r="T484" i="2"/>
  <c r="H483" i="2"/>
  <c r="E483" i="2" s="1"/>
  <c r="K484" i="2"/>
  <c r="D486" i="2" l="1"/>
  <c r="I484" i="2"/>
  <c r="L485" i="2"/>
  <c r="K485" i="2"/>
  <c r="H484" i="2"/>
  <c r="J484" i="2"/>
  <c r="G484" i="2" s="1"/>
  <c r="M485" i="2"/>
  <c r="C485" i="2"/>
  <c r="T485" i="2" s="1"/>
  <c r="E484" i="2"/>
  <c r="F484" i="2"/>
  <c r="M486" i="2" l="1"/>
  <c r="J485" i="2"/>
  <c r="I485" i="2"/>
  <c r="F485" i="2" s="1"/>
  <c r="L486" i="2"/>
  <c r="K486" i="2"/>
  <c r="H485" i="2"/>
  <c r="E485" i="2" s="1"/>
  <c r="T486" i="2"/>
  <c r="D487" i="2"/>
  <c r="G485" i="2"/>
  <c r="C486" i="2"/>
  <c r="D488" i="2" l="1"/>
  <c r="C487" i="2"/>
  <c r="H486" i="2"/>
  <c r="E486" i="2" s="1"/>
  <c r="K487" i="2"/>
  <c r="M487" i="2"/>
  <c r="J486" i="2"/>
  <c r="G486" i="2" s="1"/>
  <c r="L487" i="2"/>
  <c r="I486" i="2"/>
  <c r="F486" i="2" s="1"/>
  <c r="I487" i="2" l="1"/>
  <c r="L488" i="2"/>
  <c r="C488" i="2"/>
  <c r="F487" i="2"/>
  <c r="J487" i="2"/>
  <c r="G487" i="2" s="1"/>
  <c r="M488" i="2"/>
  <c r="K488" i="2"/>
  <c r="H487" i="2"/>
  <c r="E487" i="2" s="1"/>
  <c r="T487" i="2"/>
  <c r="T488" i="2"/>
  <c r="D489" i="2"/>
  <c r="D490" i="2" l="1"/>
  <c r="T489" i="2"/>
  <c r="E488" i="2"/>
  <c r="F488" i="2"/>
  <c r="C489" i="2"/>
  <c r="I488" i="2"/>
  <c r="L489" i="2"/>
  <c r="K489" i="2"/>
  <c r="H488" i="2"/>
  <c r="M489" i="2"/>
  <c r="J488" i="2"/>
  <c r="G488" i="2" s="1"/>
  <c r="H489" i="2" l="1"/>
  <c r="K490" i="2"/>
  <c r="I489" i="2"/>
  <c r="L490" i="2"/>
  <c r="D491" i="2"/>
  <c r="T490" i="2"/>
  <c r="M490" i="2"/>
  <c r="J489" i="2"/>
  <c r="G489" i="2" s="1"/>
  <c r="F489" i="2"/>
  <c r="C490" i="2"/>
  <c r="E489" i="2"/>
  <c r="I490" i="2" l="1"/>
  <c r="L491" i="2"/>
  <c r="I491" i="2" s="1"/>
  <c r="K491" i="2"/>
  <c r="H491" i="2" s="1"/>
  <c r="H490" i="2"/>
  <c r="J490" i="2"/>
  <c r="G490" i="2" s="1"/>
  <c r="M491" i="2"/>
  <c r="J491" i="2" s="1"/>
  <c r="C491" i="2"/>
  <c r="E490" i="2"/>
  <c r="F490" i="2"/>
  <c r="E491" i="2" l="1"/>
  <c r="F491" i="2"/>
  <c r="G491" i="2"/>
  <c r="T49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<sst xmlns="http://schemas.openxmlformats.org/spreadsheetml/2006/main" count="61" uniqueCount="46">
  <si>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GT LỚP 1</t>
  </si>
  <si>
    <t>GT LỚP 2</t>
  </si>
  <si>
    <t>GT LỚP 3</t>
  </si>
  <si>
    <t>GT LỚP 4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</si>
  <si>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</si>
  <si>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</si>
  <si>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</si>
  <si>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</si>
  <si>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</si>
  <si>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</si>
  <si>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</si>
  <si>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</si>
  <si>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</si>
  <si>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</si>
  <si>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</si>
  <si>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</si>
  <si>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</si>
  <si>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</si>
  <si>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</si>
  <si>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</si>
  <si>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</si>
  <si>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</si>
  <si>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</si>
  <si>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</si>
  <si>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</si>
  <si>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</si>
  <si>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</si>
  <si>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Km114+840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</si>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</sst>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name val="Times New Roman"/>
      <family val="1"/>
    </font>
    <font>
      <sz val="11"/>
      <color rgb="FFED0000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/>
    <xf numFmtId="0" fontId="5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7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4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64" fontId="6" fillId="0" borderId="1" xfId="1" applyNumberFormat="1" applyFont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0" fontId="8" fillId="0" borderId="1" xfId="1" applyFont="1" applyBorder="1" applyAlignment="1">
      <alignment horizontal="center"/>
    </xf>
    <xf numFmtId="165" fontId="2" fillId="0" borderId="0" xfId="1" applyNumberFormat="1" applyFont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8" fillId="0" borderId="0" xfId="1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3" fontId="10" fillId="0" borderId="2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vertical="center" shrinkToFit="1"/>
    </xf>
    <xf numFmtId="3" fontId="8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4" fillId="0" borderId="14" xfId="3" applyFont="1" applyBorder="1"/>
    <xf numFmtId="0" fontId="4" fillId="0" borderId="14" xfId="3" applyFont="1" applyBorder="1" applyAlignment="1">
      <alignment vertical="center"/>
    </xf>
    <xf numFmtId="0" fontId="4" fillId="0" borderId="15" xfId="3" applyFont="1" applyBorder="1" applyAlignment="1">
      <alignment vertical="center"/>
    </xf>
    <xf numFmtId="3" fontId="4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4" fillId="0" borderId="17" xfId="3" applyFont="1" applyBorder="1"/>
    <xf numFmtId="0" fontId="4" fillId="0" borderId="17" xfId="3" applyFont="1" applyBorder="1" applyAlignment="1">
      <alignment vertical="center"/>
    </xf>
    <xf numFmtId="0" fontId="4" fillId="0" borderId="18" xfId="3" applyFont="1" applyBorder="1" applyAlignment="1">
      <alignment vertical="center"/>
    </xf>
    <xf numFmtId="3" fontId="6" fillId="2" borderId="1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14" fontId="6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 vertical="center"/>
    </xf>
    <xf numFmtId="3" fontId="6" fillId="0" borderId="1" xfId="1" applyNumberFormat="1" applyFont="1" applyBorder="1" applyAlignment="1">
      <alignment horizontal="center" vertical="center" wrapText="1"/>
    </xf>
    <xf numFmtId="3" fontId="6" fillId="0" borderId="1" xfId="1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0" fillId="0" borderId="0" xfId="0" applyNumberFormat="1"/>
    <xf numFmtId="3" fontId="3" fillId="0" borderId="22" xfId="1" applyNumberFormat="1" applyFont="1" applyBorder="1" applyAlignment="1">
      <alignment horizontal="center"/>
    </xf>
    <xf numFmtId="3" fontId="0" fillId="0" borderId="0" xfId="0" applyNumberFormat="1" applyAlignment="1">
      <alignment horizontal="center" vertical="center"/>
    </xf>
    <xf numFmtId="3" fontId="19" fillId="0" borderId="1" xfId="1" applyNumberFormat="1" applyFont="1" applyBorder="1" applyAlignment="1">
      <alignment horizontal="center" vertical="center"/>
    </xf>
    <xf numFmtId="4" fontId="4" fillId="2" borderId="1" xfId="1" applyNumberFormat="1" applyFont="1" applyFill="1" applyBorder="1" applyAlignment="1">
      <alignment horizont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4" fillId="0" borderId="14" xfId="3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</cellXfs>
  <cellStyles count="7">
    <cellStyle name="Bình thường 2" xfId="1" xr:uid="{F458BAFE-9EEC-460C-B4E6-3CCF0D0437B7}"/>
    <cellStyle name="Comma 2" xfId="4" xr:uid="{C11C5B42-AD5E-4256-A9F1-AEC080FDF25B}"/>
    <cellStyle name="Normal" xfId="0" builtinId="0"/>
    <cellStyle name="Normal 2" xfId="3" xr:uid="{2AF792B4-6580-452B-BD81-4AFA668C30B9}"/>
    <cellStyle name="Normal 3" xfId="5" xr:uid="{6D232629-3694-48AB-9F33-C418ED0FEB89}"/>
    <cellStyle name="표준_계측(양식)" xfId="2" xr:uid="{8CB92832-0C68-4314-AFAD-051ED7D94076}"/>
    <cellStyle name="常规_路堤稳定和沉降观测 - 沉降板" xfId="6" xr:uid="{7F2C756E-42DF-42DF-BBA4-E7340451CA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51488-B898-43DE-887C-F4648B5DB41C}">
  <sheetPr codeName="Sheet16">
    <tabColor rgb="FF00B050"/>
    <pageSetUpPr fitToPage="1"/>
  </sheetPr>
  <dimension ref="A1:AF535"/>
  <sheetViews>
    <sheetView tabSelected="1" zoomScale="83" zoomScaleNormal="83" zoomScaleSheetLayoutView="100" workbookViewId="0">
      <pane ySplit="14" topLeftCell="A494" activePane="bottomLeft" state="frozen"/>
      <selection activeCell="Q37" sqref="Q37:S78"/>
      <selection pane="bottomLeft" activeCell="X504" sqref="X504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hidden="1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hidden="1" customHeight="1">
      <c r="A2" s="66" t="s">
        <v>41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</row>
    <row r="3" spans="1:32" ht="19.5" hidden="1" customHeight="1">
      <c r="A3" s="66" t="s">
        <v>40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 spans="1:32" ht="19.5" hidden="1" customHeight="1">
      <c r="A4" s="66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</row>
    <row r="5" spans="1:32" ht="18.75" hidden="1" customHeight="1">
      <c r="A5" s="67" t="s">
        <v>39</v>
      </c>
      <c r="B5" s="68"/>
      <c r="C5" s="68"/>
      <c r="D5" s="68"/>
      <c r="E5" s="68"/>
      <c r="F5" s="68"/>
      <c r="G5" s="68"/>
      <c r="H5" s="69"/>
      <c r="I5" s="70" t="s">
        <v>38</v>
      </c>
      <c r="J5" s="71"/>
      <c r="K5" s="71"/>
      <c r="L5" s="71"/>
      <c r="M5" s="71"/>
      <c r="N5" s="71"/>
      <c r="O5" s="71"/>
      <c r="P5" s="71"/>
      <c r="Q5" s="71"/>
      <c r="R5" s="72"/>
      <c r="S5" s="70" t="s">
        <v>37</v>
      </c>
      <c r="T5" s="71"/>
      <c r="U5" s="71"/>
      <c r="V5" s="71"/>
      <c r="W5" s="71"/>
      <c r="X5" s="71"/>
      <c r="Y5" s="71"/>
      <c r="Z5" s="71"/>
      <c r="AA5" s="71"/>
      <c r="AB5" s="72"/>
    </row>
    <row r="6" spans="1:32" ht="17.25" hidden="1" customHeight="1">
      <c r="A6" s="73" t="s">
        <v>36</v>
      </c>
      <c r="B6" s="74"/>
      <c r="C6" s="74"/>
      <c r="D6" s="74"/>
      <c r="E6" s="74"/>
      <c r="F6" s="74"/>
      <c r="G6" s="74"/>
      <c r="H6" s="75"/>
      <c r="I6" s="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2"/>
      <c r="K6" s="92"/>
      <c r="L6" s="92"/>
      <c r="M6" s="92"/>
      <c r="N6" s="92"/>
      <c r="O6" s="92"/>
      <c r="P6" s="92"/>
      <c r="Q6" s="92"/>
      <c r="R6" s="93"/>
      <c r="S6" s="94" t="s">
        <v>35</v>
      </c>
      <c r="T6" s="95"/>
      <c r="U6" s="95"/>
      <c r="V6" s="95"/>
      <c r="W6" s="95"/>
      <c r="X6" s="95"/>
      <c r="Y6" s="95"/>
      <c r="Z6" s="95"/>
      <c r="AA6" s="95"/>
      <c r="AB6" s="96"/>
    </row>
    <row r="7" spans="1:32" ht="21" hidden="1" customHeight="1">
      <c r="A7" s="76" t="s">
        <v>34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8"/>
    </row>
    <row r="8" spans="1:32" ht="15" hidden="1">
      <c r="A8" s="49" t="s">
        <v>33</v>
      </c>
      <c r="B8" s="47"/>
      <c r="C8" s="47"/>
      <c r="D8" s="47"/>
      <c r="E8" s="47"/>
      <c r="F8" s="47"/>
      <c r="G8" s="47"/>
      <c r="H8" s="47"/>
      <c r="I8" s="47"/>
      <c r="J8" s="48"/>
      <c r="K8" s="48" t="s">
        <v>32</v>
      </c>
      <c r="L8" s="48"/>
      <c r="M8" s="48"/>
      <c r="N8" s="48"/>
      <c r="O8" s="47"/>
      <c r="P8" s="47"/>
      <c r="Q8" s="47"/>
      <c r="R8" s="47"/>
      <c r="S8" s="47"/>
      <c r="T8" s="47"/>
      <c r="U8" s="47"/>
      <c r="V8" s="47"/>
      <c r="W8" s="46"/>
      <c r="X8" s="46"/>
      <c r="Y8" s="46"/>
      <c r="Z8" s="46"/>
      <c r="AA8" s="46"/>
      <c r="AB8" s="45"/>
    </row>
    <row r="9" spans="1:32" ht="15" hidden="1">
      <c r="A9" s="43" t="s">
        <v>31</v>
      </c>
      <c r="B9" s="41"/>
      <c r="C9" s="41" t="s">
        <v>30</v>
      </c>
      <c r="D9" s="41"/>
      <c r="E9" s="41"/>
      <c r="F9" s="41"/>
      <c r="G9" s="41"/>
      <c r="H9" s="41"/>
      <c r="I9" s="41"/>
      <c r="J9" s="42"/>
      <c r="K9" s="42" t="s">
        <v>29</v>
      </c>
      <c r="L9" s="42"/>
      <c r="M9" s="44">
        <f>C14</f>
        <v>842</v>
      </c>
      <c r="N9" s="42"/>
      <c r="O9" s="41"/>
      <c r="P9" s="41"/>
      <c r="Q9" s="41"/>
      <c r="R9" s="41"/>
      <c r="S9" s="41"/>
      <c r="T9" s="41"/>
      <c r="U9" s="41"/>
      <c r="V9" s="41"/>
      <c r="W9" s="40"/>
      <c r="X9" s="40"/>
      <c r="Y9" s="40"/>
      <c r="Z9" s="40"/>
      <c r="AA9" s="40"/>
      <c r="AB9" s="39"/>
    </row>
    <row r="10" spans="1:32" ht="15" hidden="1">
      <c r="A10" s="43" t="s">
        <v>28</v>
      </c>
      <c r="B10" s="41"/>
      <c r="C10" s="41" t="s">
        <v>27</v>
      </c>
      <c r="D10" s="41"/>
      <c r="E10" s="41"/>
      <c r="F10" s="41"/>
      <c r="G10" s="41"/>
      <c r="H10" s="41"/>
      <c r="I10" s="41"/>
      <c r="J10" s="42"/>
      <c r="K10" s="42" t="s">
        <v>26</v>
      </c>
      <c r="L10" s="42"/>
      <c r="M10" s="79">
        <f>B14</f>
        <v>45270</v>
      </c>
      <c r="N10" s="79"/>
      <c r="O10" s="41"/>
      <c r="P10" s="41"/>
      <c r="Q10" s="41"/>
      <c r="R10" s="41"/>
      <c r="S10" s="41"/>
      <c r="T10" s="41"/>
      <c r="U10" s="41"/>
      <c r="V10" s="41"/>
      <c r="W10" s="40"/>
      <c r="X10" s="40"/>
      <c r="Y10" s="40"/>
      <c r="Z10" s="40"/>
      <c r="AA10" s="40"/>
      <c r="AB10" s="39"/>
    </row>
    <row r="11" spans="1:32" ht="11.25" hidden="1" customHeight="1">
      <c r="A11" s="38"/>
      <c r="B11" s="35"/>
      <c r="C11" s="37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6"/>
      <c r="R11" s="36"/>
      <c r="S11" s="36"/>
      <c r="T11" s="35"/>
      <c r="U11" s="35"/>
      <c r="V11" s="35"/>
      <c r="W11" s="35"/>
      <c r="X11" s="35"/>
      <c r="Y11" s="35"/>
      <c r="Z11" s="35"/>
      <c r="AA11" s="35"/>
      <c r="AB11" s="34"/>
    </row>
    <row r="12" spans="1:32" ht="47.25" hidden="1" customHeight="1">
      <c r="A12" s="80" t="s">
        <v>25</v>
      </c>
      <c r="B12" s="80" t="s">
        <v>24</v>
      </c>
      <c r="C12" s="80" t="s">
        <v>23</v>
      </c>
      <c r="D12" s="80" t="s">
        <v>22</v>
      </c>
      <c r="E12" s="82" t="s">
        <v>21</v>
      </c>
      <c r="F12" s="83"/>
      <c r="G12" s="84"/>
      <c r="H12" s="82" t="s">
        <v>20</v>
      </c>
      <c r="I12" s="83"/>
      <c r="J12" s="84"/>
      <c r="K12" s="82" t="s">
        <v>19</v>
      </c>
      <c r="L12" s="83"/>
      <c r="M12" s="84"/>
      <c r="N12" s="82" t="s">
        <v>18</v>
      </c>
      <c r="O12" s="83"/>
      <c r="P12" s="84"/>
      <c r="Q12" s="85" t="s">
        <v>17</v>
      </c>
      <c r="R12" s="86"/>
      <c r="S12" s="87"/>
      <c r="T12" s="80" t="s">
        <v>16</v>
      </c>
      <c r="U12" s="88" t="s">
        <v>15</v>
      </c>
      <c r="V12" s="89"/>
      <c r="W12" s="90"/>
      <c r="X12" s="80" t="s">
        <v>14</v>
      </c>
      <c r="Y12" s="80" t="s">
        <v>13</v>
      </c>
      <c r="Z12" s="80" t="s">
        <v>12</v>
      </c>
      <c r="AA12" s="80" t="s">
        <v>11</v>
      </c>
      <c r="AB12" s="80" t="s">
        <v>10</v>
      </c>
    </row>
    <row r="13" spans="1:32" ht="33" hidden="1" customHeight="1">
      <c r="A13" s="81"/>
      <c r="B13" s="81"/>
      <c r="C13" s="81"/>
      <c r="D13" s="81"/>
      <c r="E13" s="33" t="s">
        <v>9</v>
      </c>
      <c r="F13" s="33" t="s">
        <v>8</v>
      </c>
      <c r="G13" s="33" t="s">
        <v>7</v>
      </c>
      <c r="H13" s="33" t="s">
        <v>9</v>
      </c>
      <c r="I13" s="33" t="s">
        <v>8</v>
      </c>
      <c r="J13" s="33" t="s">
        <v>7</v>
      </c>
      <c r="K13" s="33" t="s">
        <v>9</v>
      </c>
      <c r="L13" s="33" t="s">
        <v>8</v>
      </c>
      <c r="M13" s="33" t="s">
        <v>7</v>
      </c>
      <c r="N13" s="33" t="s">
        <v>9</v>
      </c>
      <c r="O13" s="33" t="s">
        <v>8</v>
      </c>
      <c r="P13" s="33" t="s">
        <v>7</v>
      </c>
      <c r="Q13" s="33" t="s">
        <v>9</v>
      </c>
      <c r="R13" s="33" t="s">
        <v>8</v>
      </c>
      <c r="S13" s="33" t="s">
        <v>7</v>
      </c>
      <c r="T13" s="81"/>
      <c r="U13" s="33" t="s">
        <v>9</v>
      </c>
      <c r="V13" s="33" t="s">
        <v>8</v>
      </c>
      <c r="W13" s="33" t="s">
        <v>7</v>
      </c>
      <c r="X13" s="81"/>
      <c r="Y13" s="81"/>
      <c r="Z13" s="81"/>
      <c r="AA13" s="81"/>
      <c r="AB13" s="81"/>
    </row>
    <row r="14" spans="1:32" s="24" customFormat="1" ht="15">
      <c r="A14" s="32">
        <v>0</v>
      </c>
      <c r="B14" s="31">
        <v>45270</v>
      </c>
      <c r="C14" s="30">
        <v>842</v>
      </c>
      <c r="D14" s="29">
        <v>1623</v>
      </c>
      <c r="E14" s="27">
        <f t="shared" ref="E14:E77" si="1">C14+D14-H14</f>
        <v>545</v>
      </c>
      <c r="F14" s="27">
        <f t="shared" ref="F14:F77" si="2">C14+D14-I14</f>
        <v>365</v>
      </c>
      <c r="G14" s="27">
        <f t="shared" ref="G14:G77" si="3">D14+C14-J14</f>
        <v>855</v>
      </c>
      <c r="H14" s="27">
        <f t="shared" ref="H14:H77" si="4">K14+N14</f>
        <v>1920</v>
      </c>
      <c r="I14" s="27">
        <f t="shared" ref="I14:I77" si="5">L14+O14</f>
        <v>2100</v>
      </c>
      <c r="J14" s="27">
        <f t="shared" ref="J14:J77" si="6">M14+P14</f>
        <v>1610</v>
      </c>
      <c r="K14" s="27">
        <v>2000</v>
      </c>
      <c r="L14" s="27">
        <v>2000</v>
      </c>
      <c r="M14" s="27">
        <v>2000</v>
      </c>
      <c r="N14" s="27">
        <v>-80</v>
      </c>
      <c r="O14" s="27">
        <v>100</v>
      </c>
      <c r="P14" s="27">
        <v>-390</v>
      </c>
      <c r="Q14" s="27">
        <v>0</v>
      </c>
      <c r="R14" s="27">
        <v>0</v>
      </c>
      <c r="S14" s="27">
        <v>0</v>
      </c>
      <c r="T14" s="27">
        <f t="shared" ref="T14:T77" si="7">D14+C14-V14</f>
        <v>2365</v>
      </c>
      <c r="U14" s="27">
        <f t="shared" ref="U14:U22" si="8">N14</f>
        <v>-80</v>
      </c>
      <c r="V14" s="27">
        <f t="shared" ref="V14:V22" si="9">O14</f>
        <v>100</v>
      </c>
      <c r="W14" s="27">
        <f t="shared" ref="W14:W22" si="10">P14</f>
        <v>-390</v>
      </c>
      <c r="X14" s="27"/>
      <c r="Y14" s="28"/>
      <c r="Z14" s="27"/>
      <c r="AA14" s="27"/>
      <c r="AB14" s="26" t="s">
        <v>6</v>
      </c>
      <c r="AF14" s="25"/>
    </row>
    <row r="15" spans="1:32" ht="15">
      <c r="A15" s="12">
        <v>1</v>
      </c>
      <c r="B15" s="11">
        <f t="shared" ref="B15:B78" si="11">B14+1</f>
        <v>45271</v>
      </c>
      <c r="C15" s="9">
        <f t="shared" ref="C15:C78" si="12">C14</f>
        <v>842</v>
      </c>
      <c r="D15" s="8">
        <f t="shared" ref="D15:D46" si="13">D14-2</f>
        <v>1621</v>
      </c>
      <c r="E15" s="4">
        <f t="shared" si="1"/>
        <v>543</v>
      </c>
      <c r="F15" s="4">
        <f t="shared" si="2"/>
        <v>363</v>
      </c>
      <c r="G15" s="4">
        <f t="shared" si="3"/>
        <v>853</v>
      </c>
      <c r="H15" s="5">
        <f t="shared" si="4"/>
        <v>1920</v>
      </c>
      <c r="I15" s="5">
        <f t="shared" si="5"/>
        <v>2100</v>
      </c>
      <c r="J15" s="5">
        <f t="shared" si="6"/>
        <v>1610</v>
      </c>
      <c r="K15" s="5">
        <f t="shared" ref="K15:K46" si="14">K14</f>
        <v>2000</v>
      </c>
      <c r="L15" s="5">
        <f t="shared" ref="L15:L46" si="15">L14</f>
        <v>2000</v>
      </c>
      <c r="M15" s="5">
        <f t="shared" ref="M15:M46" si="16">M14</f>
        <v>2000</v>
      </c>
      <c r="N15" s="5">
        <f t="shared" ref="N15:N78" si="17">N14-Q15</f>
        <v>-80</v>
      </c>
      <c r="O15" s="5">
        <f t="shared" ref="O15:O78" si="18">O14-R15</f>
        <v>100</v>
      </c>
      <c r="P15" s="5">
        <f t="shared" ref="P15:P78" si="19">P14-S15</f>
        <v>-390</v>
      </c>
      <c r="Q15" s="4">
        <v>0</v>
      </c>
      <c r="R15" s="4">
        <v>0</v>
      </c>
      <c r="S15" s="4">
        <v>0</v>
      </c>
      <c r="T15" s="6">
        <f t="shared" si="7"/>
        <v>2363</v>
      </c>
      <c r="U15" s="6">
        <f t="shared" si="8"/>
        <v>-80</v>
      </c>
      <c r="V15" s="6">
        <f t="shared" si="9"/>
        <v>100</v>
      </c>
      <c r="W15" s="6">
        <f t="shared" si="10"/>
        <v>-390</v>
      </c>
      <c r="X15" s="6"/>
      <c r="Y15" s="23"/>
      <c r="Z15" s="5"/>
      <c r="AA15" s="5"/>
      <c r="AB15" s="21"/>
    </row>
    <row r="16" spans="1:32" ht="15">
      <c r="A16" s="12">
        <v>2</v>
      </c>
      <c r="B16" s="11">
        <f t="shared" si="11"/>
        <v>45272</v>
      </c>
      <c r="C16" s="9">
        <f t="shared" si="12"/>
        <v>842</v>
      </c>
      <c r="D16" s="8">
        <f t="shared" si="13"/>
        <v>1619</v>
      </c>
      <c r="E16" s="4">
        <f t="shared" si="1"/>
        <v>541</v>
      </c>
      <c r="F16" s="4">
        <f t="shared" si="2"/>
        <v>361</v>
      </c>
      <c r="G16" s="4">
        <f t="shared" si="3"/>
        <v>851</v>
      </c>
      <c r="H16" s="5">
        <f t="shared" si="4"/>
        <v>1920</v>
      </c>
      <c r="I16" s="5">
        <f t="shared" si="5"/>
        <v>2100</v>
      </c>
      <c r="J16" s="5">
        <f t="shared" si="6"/>
        <v>1610</v>
      </c>
      <c r="K16" s="5">
        <f t="shared" si="14"/>
        <v>2000</v>
      </c>
      <c r="L16" s="5">
        <f t="shared" si="15"/>
        <v>2000</v>
      </c>
      <c r="M16" s="5">
        <f t="shared" si="16"/>
        <v>2000</v>
      </c>
      <c r="N16" s="5">
        <f t="shared" si="17"/>
        <v>-80</v>
      </c>
      <c r="O16" s="5">
        <f t="shared" si="18"/>
        <v>100</v>
      </c>
      <c r="P16" s="5">
        <f t="shared" si="19"/>
        <v>-390</v>
      </c>
      <c r="Q16" s="4">
        <v>0</v>
      </c>
      <c r="R16" s="4">
        <v>0</v>
      </c>
      <c r="S16" s="4">
        <v>0</v>
      </c>
      <c r="T16" s="6">
        <f t="shared" si="7"/>
        <v>2361</v>
      </c>
      <c r="U16" s="6">
        <f t="shared" si="8"/>
        <v>-80</v>
      </c>
      <c r="V16" s="6">
        <f t="shared" si="9"/>
        <v>100</v>
      </c>
      <c r="W16" s="6">
        <f t="shared" si="10"/>
        <v>-390</v>
      </c>
      <c r="X16" s="6"/>
      <c r="Y16" s="23"/>
      <c r="Z16" s="5"/>
      <c r="AA16" s="5"/>
      <c r="AB16" s="22"/>
      <c r="AD16" s="20"/>
    </row>
    <row r="17" spans="1:30" ht="15">
      <c r="A17" s="12">
        <v>3</v>
      </c>
      <c r="B17" s="11">
        <f t="shared" si="11"/>
        <v>45273</v>
      </c>
      <c r="C17" s="9">
        <f t="shared" si="12"/>
        <v>842</v>
      </c>
      <c r="D17" s="8">
        <f t="shared" si="13"/>
        <v>1617</v>
      </c>
      <c r="E17" s="4">
        <f t="shared" si="1"/>
        <v>539</v>
      </c>
      <c r="F17" s="4">
        <f t="shared" si="2"/>
        <v>359</v>
      </c>
      <c r="G17" s="4">
        <f t="shared" si="3"/>
        <v>849</v>
      </c>
      <c r="H17" s="5">
        <f t="shared" si="4"/>
        <v>1920</v>
      </c>
      <c r="I17" s="5">
        <f t="shared" si="5"/>
        <v>2100</v>
      </c>
      <c r="J17" s="5">
        <f t="shared" si="6"/>
        <v>1610</v>
      </c>
      <c r="K17" s="5">
        <f t="shared" si="14"/>
        <v>2000</v>
      </c>
      <c r="L17" s="5">
        <f t="shared" si="15"/>
        <v>2000</v>
      </c>
      <c r="M17" s="5">
        <f t="shared" si="16"/>
        <v>2000</v>
      </c>
      <c r="N17" s="5">
        <f t="shared" si="17"/>
        <v>-80</v>
      </c>
      <c r="O17" s="5">
        <f t="shared" si="18"/>
        <v>100</v>
      </c>
      <c r="P17" s="5">
        <f t="shared" si="19"/>
        <v>-390</v>
      </c>
      <c r="Q17" s="4">
        <v>0</v>
      </c>
      <c r="R17" s="4">
        <v>0</v>
      </c>
      <c r="S17" s="4">
        <v>0</v>
      </c>
      <c r="T17" s="6">
        <f t="shared" si="7"/>
        <v>2359</v>
      </c>
      <c r="U17" s="6">
        <f t="shared" si="8"/>
        <v>-80</v>
      </c>
      <c r="V17" s="6">
        <f t="shared" si="9"/>
        <v>100</v>
      </c>
      <c r="W17" s="6">
        <f t="shared" si="10"/>
        <v>-390</v>
      </c>
      <c r="X17" s="6"/>
      <c r="Y17" s="5"/>
      <c r="Z17" s="5"/>
      <c r="AA17" s="5"/>
      <c r="AB17" s="16"/>
      <c r="AD17" s="20">
        <v>45273</v>
      </c>
    </row>
    <row r="18" spans="1:30" ht="16.5" customHeight="1">
      <c r="A18" s="12">
        <v>4</v>
      </c>
      <c r="B18" s="11">
        <f t="shared" si="11"/>
        <v>45274</v>
      </c>
      <c r="C18" s="9">
        <f t="shared" si="12"/>
        <v>842</v>
      </c>
      <c r="D18" s="8">
        <f t="shared" si="13"/>
        <v>1615</v>
      </c>
      <c r="E18" s="4">
        <f t="shared" si="1"/>
        <v>537</v>
      </c>
      <c r="F18" s="4">
        <f t="shared" si="2"/>
        <v>357</v>
      </c>
      <c r="G18" s="4">
        <f t="shared" si="3"/>
        <v>847</v>
      </c>
      <c r="H18" s="5">
        <f t="shared" si="4"/>
        <v>1920</v>
      </c>
      <c r="I18" s="5">
        <f t="shared" si="5"/>
        <v>2100</v>
      </c>
      <c r="J18" s="5">
        <f t="shared" si="6"/>
        <v>1610</v>
      </c>
      <c r="K18" s="5">
        <f t="shared" si="14"/>
        <v>2000</v>
      </c>
      <c r="L18" s="5">
        <f t="shared" si="15"/>
        <v>2000</v>
      </c>
      <c r="M18" s="5">
        <f t="shared" si="16"/>
        <v>2000</v>
      </c>
      <c r="N18" s="5">
        <f t="shared" si="17"/>
        <v>-80</v>
      </c>
      <c r="O18" s="5">
        <f t="shared" si="18"/>
        <v>100</v>
      </c>
      <c r="P18" s="5">
        <f t="shared" si="19"/>
        <v>-390</v>
      </c>
      <c r="Q18" s="4">
        <v>0</v>
      </c>
      <c r="R18" s="4">
        <v>0</v>
      </c>
      <c r="S18" s="4">
        <v>0</v>
      </c>
      <c r="T18" s="6">
        <f t="shared" si="7"/>
        <v>2357</v>
      </c>
      <c r="U18" s="6">
        <f t="shared" si="8"/>
        <v>-80</v>
      </c>
      <c r="V18" s="6">
        <f t="shared" si="9"/>
        <v>100</v>
      </c>
      <c r="W18" s="6">
        <f t="shared" si="10"/>
        <v>-390</v>
      </c>
      <c r="X18" s="6"/>
      <c r="Y18" s="5"/>
      <c r="Z18" s="5"/>
      <c r="AA18" s="5"/>
      <c r="AB18" s="21"/>
      <c r="AD18" s="20">
        <v>45277</v>
      </c>
    </row>
    <row r="19" spans="1:30" ht="16.5" customHeight="1">
      <c r="A19" s="12">
        <v>5</v>
      </c>
      <c r="B19" s="11">
        <f t="shared" si="11"/>
        <v>45275</v>
      </c>
      <c r="C19" s="9">
        <f t="shared" si="12"/>
        <v>842</v>
      </c>
      <c r="D19" s="8">
        <f t="shared" si="13"/>
        <v>1613</v>
      </c>
      <c r="E19" s="4">
        <f t="shared" si="1"/>
        <v>535</v>
      </c>
      <c r="F19" s="4">
        <f t="shared" si="2"/>
        <v>355</v>
      </c>
      <c r="G19" s="4">
        <f t="shared" si="3"/>
        <v>845</v>
      </c>
      <c r="H19" s="5">
        <f t="shared" si="4"/>
        <v>1920</v>
      </c>
      <c r="I19" s="5">
        <f t="shared" si="5"/>
        <v>2100</v>
      </c>
      <c r="J19" s="5">
        <f t="shared" si="6"/>
        <v>1610</v>
      </c>
      <c r="K19" s="5">
        <f t="shared" si="14"/>
        <v>2000</v>
      </c>
      <c r="L19" s="5">
        <f t="shared" si="15"/>
        <v>2000</v>
      </c>
      <c r="M19" s="5">
        <f t="shared" si="16"/>
        <v>2000</v>
      </c>
      <c r="N19" s="5">
        <f t="shared" si="17"/>
        <v>-80</v>
      </c>
      <c r="O19" s="5">
        <f t="shared" si="18"/>
        <v>100</v>
      </c>
      <c r="P19" s="5">
        <f t="shared" si="19"/>
        <v>-390</v>
      </c>
      <c r="Q19" s="4">
        <v>0</v>
      </c>
      <c r="R19" s="4">
        <v>0</v>
      </c>
      <c r="S19" s="4">
        <v>0</v>
      </c>
      <c r="T19" s="6">
        <f t="shared" si="7"/>
        <v>2355</v>
      </c>
      <c r="U19" s="6">
        <f t="shared" si="8"/>
        <v>-80</v>
      </c>
      <c r="V19" s="6">
        <f t="shared" si="9"/>
        <v>100</v>
      </c>
      <c r="W19" s="6">
        <f t="shared" si="10"/>
        <v>-390</v>
      </c>
      <c r="X19" s="6"/>
      <c r="Y19" s="5"/>
      <c r="Z19" s="5"/>
      <c r="AA19" s="5"/>
      <c r="AB19" s="5"/>
      <c r="AD19" s="20">
        <v>45281</v>
      </c>
    </row>
    <row r="20" spans="1:30" ht="16.5" customHeight="1">
      <c r="A20" s="12">
        <v>6</v>
      </c>
      <c r="B20" s="11">
        <f t="shared" si="11"/>
        <v>45276</v>
      </c>
      <c r="C20" s="9">
        <f t="shared" si="12"/>
        <v>842</v>
      </c>
      <c r="D20" s="8">
        <f t="shared" si="13"/>
        <v>1611</v>
      </c>
      <c r="E20" s="4">
        <f t="shared" si="1"/>
        <v>533</v>
      </c>
      <c r="F20" s="4">
        <f t="shared" si="2"/>
        <v>353</v>
      </c>
      <c r="G20" s="4">
        <f t="shared" si="3"/>
        <v>843</v>
      </c>
      <c r="H20" s="5">
        <f t="shared" si="4"/>
        <v>1920</v>
      </c>
      <c r="I20" s="5">
        <f t="shared" si="5"/>
        <v>2100</v>
      </c>
      <c r="J20" s="5">
        <f t="shared" si="6"/>
        <v>1610</v>
      </c>
      <c r="K20" s="5">
        <f t="shared" si="14"/>
        <v>2000</v>
      </c>
      <c r="L20" s="5">
        <f t="shared" si="15"/>
        <v>2000</v>
      </c>
      <c r="M20" s="5">
        <f t="shared" si="16"/>
        <v>2000</v>
      </c>
      <c r="N20" s="5">
        <f t="shared" si="17"/>
        <v>-80</v>
      </c>
      <c r="O20" s="5">
        <f t="shared" si="18"/>
        <v>100</v>
      </c>
      <c r="P20" s="5">
        <f t="shared" si="19"/>
        <v>-390</v>
      </c>
      <c r="Q20" s="4">
        <v>0</v>
      </c>
      <c r="R20" s="4">
        <v>0</v>
      </c>
      <c r="S20" s="4">
        <v>0</v>
      </c>
      <c r="T20" s="6">
        <f t="shared" si="7"/>
        <v>2353</v>
      </c>
      <c r="U20" s="6">
        <f t="shared" si="8"/>
        <v>-80</v>
      </c>
      <c r="V20" s="6">
        <f t="shared" si="9"/>
        <v>100</v>
      </c>
      <c r="W20" s="6">
        <f t="shared" si="10"/>
        <v>-390</v>
      </c>
      <c r="X20" s="6"/>
      <c r="Y20" s="5"/>
      <c r="Z20" s="5"/>
      <c r="AA20" s="5"/>
      <c r="AB20" s="16"/>
      <c r="AD20" s="20">
        <v>45287</v>
      </c>
    </row>
    <row r="21" spans="1:30" ht="16.5" customHeight="1">
      <c r="A21" s="12">
        <v>7</v>
      </c>
      <c r="B21" s="11">
        <f t="shared" si="11"/>
        <v>45277</v>
      </c>
      <c r="C21" s="9">
        <f t="shared" si="12"/>
        <v>842</v>
      </c>
      <c r="D21" s="8">
        <f t="shared" si="13"/>
        <v>1609</v>
      </c>
      <c r="E21" s="4">
        <f t="shared" si="1"/>
        <v>531</v>
      </c>
      <c r="F21" s="4">
        <f t="shared" si="2"/>
        <v>351</v>
      </c>
      <c r="G21" s="4">
        <f t="shared" si="3"/>
        <v>841</v>
      </c>
      <c r="H21" s="5">
        <f t="shared" si="4"/>
        <v>1920</v>
      </c>
      <c r="I21" s="5">
        <f t="shared" si="5"/>
        <v>2100</v>
      </c>
      <c r="J21" s="5">
        <f t="shared" si="6"/>
        <v>1610</v>
      </c>
      <c r="K21" s="5">
        <f t="shared" si="14"/>
        <v>2000</v>
      </c>
      <c r="L21" s="5">
        <f t="shared" si="15"/>
        <v>2000</v>
      </c>
      <c r="M21" s="5">
        <f t="shared" si="16"/>
        <v>2000</v>
      </c>
      <c r="N21" s="5">
        <f t="shared" si="17"/>
        <v>-80</v>
      </c>
      <c r="O21" s="5">
        <f t="shared" si="18"/>
        <v>100</v>
      </c>
      <c r="P21" s="5">
        <f t="shared" si="19"/>
        <v>-390</v>
      </c>
      <c r="Q21" s="4">
        <v>0</v>
      </c>
      <c r="R21" s="4">
        <v>0</v>
      </c>
      <c r="S21" s="4">
        <v>0</v>
      </c>
      <c r="T21" s="6">
        <f t="shared" si="7"/>
        <v>2351</v>
      </c>
      <c r="U21" s="6">
        <f t="shared" si="8"/>
        <v>-80</v>
      </c>
      <c r="V21" s="6">
        <f t="shared" si="9"/>
        <v>100</v>
      </c>
      <c r="W21" s="6">
        <f t="shared" si="10"/>
        <v>-390</v>
      </c>
      <c r="X21" s="6"/>
      <c r="Y21" s="5"/>
      <c r="Z21" s="5"/>
      <c r="AA21" s="5"/>
      <c r="AB21" s="16"/>
      <c r="AD21" s="20">
        <v>45293</v>
      </c>
    </row>
    <row r="22" spans="1:30" ht="16.5" customHeight="1">
      <c r="A22" s="12">
        <v>8</v>
      </c>
      <c r="B22" s="11">
        <f t="shared" si="11"/>
        <v>45278</v>
      </c>
      <c r="C22" s="9">
        <f t="shared" si="12"/>
        <v>842</v>
      </c>
      <c r="D22" s="8">
        <f t="shared" si="13"/>
        <v>1607</v>
      </c>
      <c r="E22" s="4">
        <f t="shared" si="1"/>
        <v>529</v>
      </c>
      <c r="F22" s="4">
        <f t="shared" si="2"/>
        <v>349</v>
      </c>
      <c r="G22" s="4">
        <f t="shared" si="3"/>
        <v>839</v>
      </c>
      <c r="H22" s="5">
        <f t="shared" si="4"/>
        <v>1920</v>
      </c>
      <c r="I22" s="5">
        <f t="shared" si="5"/>
        <v>2100</v>
      </c>
      <c r="J22" s="5">
        <f t="shared" si="6"/>
        <v>1610</v>
      </c>
      <c r="K22" s="5">
        <f t="shared" si="14"/>
        <v>2000</v>
      </c>
      <c r="L22" s="5">
        <f t="shared" si="15"/>
        <v>2000</v>
      </c>
      <c r="M22" s="5">
        <f t="shared" si="16"/>
        <v>2000</v>
      </c>
      <c r="N22" s="5">
        <f t="shared" si="17"/>
        <v>-80</v>
      </c>
      <c r="O22" s="5">
        <f t="shared" si="18"/>
        <v>100</v>
      </c>
      <c r="P22" s="5">
        <f t="shared" si="19"/>
        <v>-390</v>
      </c>
      <c r="Q22" s="4">
        <v>0</v>
      </c>
      <c r="R22" s="4">
        <v>0</v>
      </c>
      <c r="S22" s="4">
        <v>0</v>
      </c>
      <c r="T22" s="6">
        <f t="shared" si="7"/>
        <v>2349</v>
      </c>
      <c r="U22" s="6">
        <f t="shared" si="8"/>
        <v>-80</v>
      </c>
      <c r="V22" s="6">
        <f t="shared" si="9"/>
        <v>100</v>
      </c>
      <c r="W22" s="6">
        <f t="shared" si="10"/>
        <v>-390</v>
      </c>
      <c r="X22" s="6"/>
      <c r="Y22" s="5"/>
      <c r="Z22" s="5"/>
      <c r="AA22" s="5"/>
      <c r="AB22" s="16"/>
      <c r="AD22" s="20">
        <v>45299</v>
      </c>
    </row>
    <row r="23" spans="1:30" ht="16.5" customHeight="1">
      <c r="A23" s="12">
        <v>9</v>
      </c>
      <c r="B23" s="11">
        <f t="shared" si="11"/>
        <v>45279</v>
      </c>
      <c r="C23" s="9">
        <f t="shared" si="12"/>
        <v>842</v>
      </c>
      <c r="D23" s="8">
        <f t="shared" si="13"/>
        <v>1605</v>
      </c>
      <c r="E23" s="4">
        <f t="shared" si="1"/>
        <v>527</v>
      </c>
      <c r="F23" s="4">
        <f t="shared" si="2"/>
        <v>347</v>
      </c>
      <c r="G23" s="4">
        <f t="shared" si="3"/>
        <v>837</v>
      </c>
      <c r="H23" s="5">
        <f t="shared" si="4"/>
        <v>1920</v>
      </c>
      <c r="I23" s="5">
        <f t="shared" si="5"/>
        <v>2100</v>
      </c>
      <c r="J23" s="5">
        <f t="shared" si="6"/>
        <v>1610</v>
      </c>
      <c r="K23" s="5">
        <f t="shared" si="14"/>
        <v>2000</v>
      </c>
      <c r="L23" s="5">
        <f t="shared" si="15"/>
        <v>2000</v>
      </c>
      <c r="M23" s="5">
        <f t="shared" si="16"/>
        <v>2000</v>
      </c>
      <c r="N23" s="5">
        <f t="shared" si="17"/>
        <v>-80</v>
      </c>
      <c r="O23" s="5">
        <f t="shared" si="18"/>
        <v>100</v>
      </c>
      <c r="P23" s="5">
        <f t="shared" si="19"/>
        <v>-390</v>
      </c>
      <c r="Q23" s="4">
        <v>0</v>
      </c>
      <c r="R23" s="4">
        <v>0</v>
      </c>
      <c r="S23" s="4">
        <v>0</v>
      </c>
      <c r="T23" s="6">
        <f t="shared" si="7"/>
        <v>2347</v>
      </c>
      <c r="U23" s="7">
        <f t="shared" ref="U23:W30" si="20">U22+$X23*1000-Q23</f>
        <v>-80</v>
      </c>
      <c r="V23" s="7">
        <f t="shared" si="20"/>
        <v>100</v>
      </c>
      <c r="W23" s="7">
        <f t="shared" si="20"/>
        <v>-390</v>
      </c>
      <c r="X23" s="6"/>
      <c r="Y23" s="5"/>
      <c r="Z23" s="5"/>
      <c r="AA23" s="5"/>
      <c r="AB23" s="16"/>
      <c r="AD23" s="20">
        <v>45305</v>
      </c>
    </row>
    <row r="24" spans="1:30" ht="16.5" customHeight="1">
      <c r="A24" s="12">
        <v>10</v>
      </c>
      <c r="B24" s="11">
        <f t="shared" si="11"/>
        <v>45280</v>
      </c>
      <c r="C24" s="9">
        <f t="shared" si="12"/>
        <v>842</v>
      </c>
      <c r="D24" s="8">
        <f t="shared" si="13"/>
        <v>1603</v>
      </c>
      <c r="E24" s="4">
        <f t="shared" si="1"/>
        <v>525</v>
      </c>
      <c r="F24" s="4">
        <f t="shared" si="2"/>
        <v>345</v>
      </c>
      <c r="G24" s="4">
        <f t="shared" si="3"/>
        <v>835</v>
      </c>
      <c r="H24" s="5">
        <f t="shared" si="4"/>
        <v>1920</v>
      </c>
      <c r="I24" s="5">
        <f t="shared" si="5"/>
        <v>2100</v>
      </c>
      <c r="J24" s="5">
        <f t="shared" si="6"/>
        <v>1610</v>
      </c>
      <c r="K24" s="5">
        <f t="shared" si="14"/>
        <v>2000</v>
      </c>
      <c r="L24" s="5">
        <f t="shared" si="15"/>
        <v>2000</v>
      </c>
      <c r="M24" s="5">
        <f t="shared" si="16"/>
        <v>2000</v>
      </c>
      <c r="N24" s="5">
        <f t="shared" si="17"/>
        <v>-80</v>
      </c>
      <c r="O24" s="5">
        <f t="shared" si="18"/>
        <v>100</v>
      </c>
      <c r="P24" s="5">
        <f t="shared" si="19"/>
        <v>-390</v>
      </c>
      <c r="Q24" s="4">
        <v>0</v>
      </c>
      <c r="R24" s="4">
        <v>0</v>
      </c>
      <c r="S24" s="4">
        <v>0</v>
      </c>
      <c r="T24" s="6">
        <f t="shared" si="7"/>
        <v>2345</v>
      </c>
      <c r="U24" s="7">
        <f t="shared" si="20"/>
        <v>-80</v>
      </c>
      <c r="V24" s="7">
        <f t="shared" si="20"/>
        <v>100</v>
      </c>
      <c r="W24" s="7">
        <f t="shared" si="20"/>
        <v>-390</v>
      </c>
      <c r="X24" s="6"/>
      <c r="Y24" s="5"/>
      <c r="Z24" s="5"/>
      <c r="AA24" s="5"/>
      <c r="AB24" s="16"/>
      <c r="AD24" s="20">
        <v>45311</v>
      </c>
    </row>
    <row r="25" spans="1:30" ht="16.5" customHeight="1">
      <c r="A25" s="12">
        <v>11</v>
      </c>
      <c r="B25" s="11">
        <f t="shared" si="11"/>
        <v>45281</v>
      </c>
      <c r="C25" s="9">
        <f t="shared" si="12"/>
        <v>842</v>
      </c>
      <c r="D25" s="8">
        <f t="shared" si="13"/>
        <v>1601</v>
      </c>
      <c r="E25" s="4">
        <f t="shared" si="1"/>
        <v>523</v>
      </c>
      <c r="F25" s="4">
        <f t="shared" si="2"/>
        <v>343</v>
      </c>
      <c r="G25" s="4">
        <f t="shared" si="3"/>
        <v>833</v>
      </c>
      <c r="H25" s="5">
        <f t="shared" si="4"/>
        <v>1920</v>
      </c>
      <c r="I25" s="5">
        <f t="shared" si="5"/>
        <v>2100</v>
      </c>
      <c r="J25" s="5">
        <f t="shared" si="6"/>
        <v>1610</v>
      </c>
      <c r="K25" s="5">
        <f t="shared" si="14"/>
        <v>2000</v>
      </c>
      <c r="L25" s="5">
        <f t="shared" si="15"/>
        <v>2000</v>
      </c>
      <c r="M25" s="5">
        <f t="shared" si="16"/>
        <v>2000</v>
      </c>
      <c r="N25" s="5">
        <f t="shared" si="17"/>
        <v>-80</v>
      </c>
      <c r="O25" s="5">
        <f t="shared" si="18"/>
        <v>100</v>
      </c>
      <c r="P25" s="5">
        <f t="shared" si="19"/>
        <v>-390</v>
      </c>
      <c r="Q25" s="4">
        <v>0</v>
      </c>
      <c r="R25" s="4">
        <v>0</v>
      </c>
      <c r="S25" s="4">
        <v>0</v>
      </c>
      <c r="T25" s="6">
        <f t="shared" si="7"/>
        <v>2343</v>
      </c>
      <c r="U25" s="7">
        <f t="shared" si="20"/>
        <v>-80</v>
      </c>
      <c r="V25" s="7">
        <f t="shared" si="20"/>
        <v>100</v>
      </c>
      <c r="W25" s="7">
        <f t="shared" si="20"/>
        <v>-390</v>
      </c>
      <c r="X25" s="6"/>
      <c r="Y25" s="5"/>
      <c r="Z25" s="5"/>
      <c r="AA25" s="5"/>
      <c r="AB25" s="16"/>
      <c r="AD25" s="20">
        <v>45396</v>
      </c>
    </row>
    <row r="26" spans="1:30" ht="16.5" customHeight="1">
      <c r="A26" s="12">
        <v>12</v>
      </c>
      <c r="B26" s="11">
        <f t="shared" si="11"/>
        <v>45282</v>
      </c>
      <c r="C26" s="9">
        <f t="shared" si="12"/>
        <v>842</v>
      </c>
      <c r="D26" s="8">
        <f t="shared" si="13"/>
        <v>1599</v>
      </c>
      <c r="E26" s="4">
        <f t="shared" si="1"/>
        <v>521</v>
      </c>
      <c r="F26" s="4">
        <f t="shared" si="2"/>
        <v>341</v>
      </c>
      <c r="G26" s="4">
        <f t="shared" si="3"/>
        <v>831</v>
      </c>
      <c r="H26" s="5">
        <f t="shared" si="4"/>
        <v>1920</v>
      </c>
      <c r="I26" s="5">
        <f t="shared" si="5"/>
        <v>2100</v>
      </c>
      <c r="J26" s="5">
        <f t="shared" si="6"/>
        <v>1610</v>
      </c>
      <c r="K26" s="5">
        <f t="shared" si="14"/>
        <v>2000</v>
      </c>
      <c r="L26" s="5">
        <f t="shared" si="15"/>
        <v>2000</v>
      </c>
      <c r="M26" s="5">
        <f t="shared" si="16"/>
        <v>2000</v>
      </c>
      <c r="N26" s="5">
        <f t="shared" si="17"/>
        <v>-80</v>
      </c>
      <c r="O26" s="5">
        <f t="shared" si="18"/>
        <v>100</v>
      </c>
      <c r="P26" s="5">
        <f t="shared" si="19"/>
        <v>-390</v>
      </c>
      <c r="Q26" s="4">
        <v>0</v>
      </c>
      <c r="R26" s="4">
        <v>0</v>
      </c>
      <c r="S26" s="4">
        <v>0</v>
      </c>
      <c r="T26" s="6">
        <f t="shared" si="7"/>
        <v>2341</v>
      </c>
      <c r="U26" s="7">
        <f t="shared" si="20"/>
        <v>-80</v>
      </c>
      <c r="V26" s="7">
        <f t="shared" si="20"/>
        <v>100</v>
      </c>
      <c r="W26" s="7">
        <f t="shared" si="20"/>
        <v>-390</v>
      </c>
      <c r="X26" s="6"/>
      <c r="Y26" s="5"/>
      <c r="Z26" s="5"/>
      <c r="AA26" s="5"/>
      <c r="AB26" s="16"/>
      <c r="AD26" s="20">
        <v>45400</v>
      </c>
    </row>
    <row r="27" spans="1:30" ht="16.5" customHeight="1">
      <c r="A27" s="12">
        <v>13</v>
      </c>
      <c r="B27" s="11">
        <f t="shared" si="11"/>
        <v>45283</v>
      </c>
      <c r="C27" s="9">
        <f t="shared" si="12"/>
        <v>842</v>
      </c>
      <c r="D27" s="8">
        <f t="shared" si="13"/>
        <v>1597</v>
      </c>
      <c r="E27" s="4">
        <f t="shared" si="1"/>
        <v>519</v>
      </c>
      <c r="F27" s="4">
        <f t="shared" si="2"/>
        <v>339</v>
      </c>
      <c r="G27" s="4">
        <f t="shared" si="3"/>
        <v>829</v>
      </c>
      <c r="H27" s="5">
        <f t="shared" si="4"/>
        <v>1920</v>
      </c>
      <c r="I27" s="5">
        <f t="shared" si="5"/>
        <v>2100</v>
      </c>
      <c r="J27" s="5">
        <f t="shared" si="6"/>
        <v>1610</v>
      </c>
      <c r="K27" s="5">
        <f t="shared" si="14"/>
        <v>2000</v>
      </c>
      <c r="L27" s="5">
        <f t="shared" si="15"/>
        <v>2000</v>
      </c>
      <c r="M27" s="5">
        <f t="shared" si="16"/>
        <v>2000</v>
      </c>
      <c r="N27" s="5">
        <f t="shared" si="17"/>
        <v>-80</v>
      </c>
      <c r="O27" s="5">
        <f t="shared" si="18"/>
        <v>100</v>
      </c>
      <c r="P27" s="5">
        <f t="shared" si="19"/>
        <v>-390</v>
      </c>
      <c r="Q27" s="4">
        <v>0</v>
      </c>
      <c r="R27" s="4">
        <v>0</v>
      </c>
      <c r="S27" s="4">
        <v>0</v>
      </c>
      <c r="T27" s="6">
        <f t="shared" si="7"/>
        <v>2339</v>
      </c>
      <c r="U27" s="7">
        <f t="shared" si="20"/>
        <v>-80</v>
      </c>
      <c r="V27" s="7">
        <f t="shared" si="20"/>
        <v>100</v>
      </c>
      <c r="W27" s="7">
        <f t="shared" si="20"/>
        <v>-390</v>
      </c>
      <c r="X27" s="6"/>
      <c r="Y27" s="5"/>
      <c r="Z27" s="5"/>
      <c r="AA27" s="5"/>
      <c r="AB27" s="16"/>
      <c r="AD27" s="20">
        <v>45405</v>
      </c>
    </row>
    <row r="28" spans="1:30" ht="16.5" customHeight="1">
      <c r="A28" s="12">
        <v>14</v>
      </c>
      <c r="B28" s="11">
        <f t="shared" si="11"/>
        <v>45284</v>
      </c>
      <c r="C28" s="9">
        <f t="shared" si="12"/>
        <v>842</v>
      </c>
      <c r="D28" s="8">
        <f t="shared" si="13"/>
        <v>1595</v>
      </c>
      <c r="E28" s="4">
        <f t="shared" si="1"/>
        <v>517</v>
      </c>
      <c r="F28" s="4">
        <f t="shared" si="2"/>
        <v>337</v>
      </c>
      <c r="G28" s="4">
        <f t="shared" si="3"/>
        <v>827</v>
      </c>
      <c r="H28" s="5">
        <f t="shared" si="4"/>
        <v>1920</v>
      </c>
      <c r="I28" s="5">
        <f t="shared" si="5"/>
        <v>2100</v>
      </c>
      <c r="J28" s="5">
        <f t="shared" si="6"/>
        <v>1610</v>
      </c>
      <c r="K28" s="5">
        <f t="shared" si="14"/>
        <v>2000</v>
      </c>
      <c r="L28" s="5">
        <f t="shared" si="15"/>
        <v>2000</v>
      </c>
      <c r="M28" s="5">
        <f t="shared" si="16"/>
        <v>2000</v>
      </c>
      <c r="N28" s="5">
        <f t="shared" si="17"/>
        <v>-80</v>
      </c>
      <c r="O28" s="5">
        <f t="shared" si="18"/>
        <v>100</v>
      </c>
      <c r="P28" s="5">
        <f t="shared" si="19"/>
        <v>-390</v>
      </c>
      <c r="Q28" s="4">
        <v>0</v>
      </c>
      <c r="R28" s="4">
        <v>0</v>
      </c>
      <c r="S28" s="4">
        <v>0</v>
      </c>
      <c r="T28" s="6">
        <f t="shared" si="7"/>
        <v>2337</v>
      </c>
      <c r="U28" s="7">
        <f t="shared" si="20"/>
        <v>-80</v>
      </c>
      <c r="V28" s="7">
        <f t="shared" si="20"/>
        <v>100</v>
      </c>
      <c r="W28" s="7">
        <f t="shared" si="20"/>
        <v>-390</v>
      </c>
      <c r="X28" s="6"/>
      <c r="Y28" s="5"/>
      <c r="Z28" s="5"/>
      <c r="AA28" s="5"/>
      <c r="AB28" s="16"/>
      <c r="AD28" s="20"/>
    </row>
    <row r="29" spans="1:30" ht="16.5" customHeight="1">
      <c r="A29" s="12">
        <v>15</v>
      </c>
      <c r="B29" s="11">
        <f t="shared" si="11"/>
        <v>45285</v>
      </c>
      <c r="C29" s="9">
        <f t="shared" si="12"/>
        <v>842</v>
      </c>
      <c r="D29" s="8">
        <f t="shared" si="13"/>
        <v>1593</v>
      </c>
      <c r="E29" s="4">
        <f t="shared" si="1"/>
        <v>515</v>
      </c>
      <c r="F29" s="4">
        <f t="shared" si="2"/>
        <v>335</v>
      </c>
      <c r="G29" s="4">
        <f t="shared" si="3"/>
        <v>825</v>
      </c>
      <c r="H29" s="5">
        <f t="shared" si="4"/>
        <v>1920</v>
      </c>
      <c r="I29" s="5">
        <f t="shared" si="5"/>
        <v>2100</v>
      </c>
      <c r="J29" s="5">
        <f t="shared" si="6"/>
        <v>1610</v>
      </c>
      <c r="K29" s="5">
        <f t="shared" si="14"/>
        <v>2000</v>
      </c>
      <c r="L29" s="5">
        <f t="shared" si="15"/>
        <v>2000</v>
      </c>
      <c r="M29" s="5">
        <f t="shared" si="16"/>
        <v>2000</v>
      </c>
      <c r="N29" s="5">
        <f t="shared" si="17"/>
        <v>-80</v>
      </c>
      <c r="O29" s="5">
        <f t="shared" si="18"/>
        <v>100</v>
      </c>
      <c r="P29" s="5">
        <f t="shared" si="19"/>
        <v>-390</v>
      </c>
      <c r="Q29" s="4">
        <v>0</v>
      </c>
      <c r="R29" s="4">
        <v>0</v>
      </c>
      <c r="S29" s="4">
        <v>0</v>
      </c>
      <c r="T29" s="6">
        <f t="shared" si="7"/>
        <v>2335</v>
      </c>
      <c r="U29" s="7">
        <f t="shared" si="20"/>
        <v>-80</v>
      </c>
      <c r="V29" s="7">
        <f t="shared" si="20"/>
        <v>100</v>
      </c>
      <c r="W29" s="7">
        <f t="shared" si="20"/>
        <v>-390</v>
      </c>
      <c r="X29" s="6"/>
      <c r="Y29" s="5"/>
      <c r="Z29" s="5"/>
      <c r="AA29" s="5"/>
      <c r="AB29" s="16"/>
    </row>
    <row r="30" spans="1:30" ht="16.5" customHeight="1">
      <c r="A30" s="12">
        <v>16</v>
      </c>
      <c r="B30" s="11">
        <f t="shared" si="11"/>
        <v>45286</v>
      </c>
      <c r="C30" s="9">
        <f t="shared" si="12"/>
        <v>842</v>
      </c>
      <c r="D30" s="8">
        <f t="shared" si="13"/>
        <v>1591</v>
      </c>
      <c r="E30" s="4">
        <f t="shared" si="1"/>
        <v>513</v>
      </c>
      <c r="F30" s="4">
        <f t="shared" si="2"/>
        <v>333</v>
      </c>
      <c r="G30" s="4">
        <f t="shared" si="3"/>
        <v>823</v>
      </c>
      <c r="H30" s="5">
        <f t="shared" si="4"/>
        <v>1920</v>
      </c>
      <c r="I30" s="5">
        <f t="shared" si="5"/>
        <v>2100</v>
      </c>
      <c r="J30" s="5">
        <f t="shared" si="6"/>
        <v>1610</v>
      </c>
      <c r="K30" s="5">
        <f t="shared" si="14"/>
        <v>2000</v>
      </c>
      <c r="L30" s="5">
        <f t="shared" si="15"/>
        <v>2000</v>
      </c>
      <c r="M30" s="5">
        <f t="shared" si="16"/>
        <v>2000</v>
      </c>
      <c r="N30" s="5">
        <f t="shared" si="17"/>
        <v>-80</v>
      </c>
      <c r="O30" s="5">
        <f t="shared" si="18"/>
        <v>100</v>
      </c>
      <c r="P30" s="5">
        <f t="shared" si="19"/>
        <v>-390</v>
      </c>
      <c r="Q30" s="4">
        <v>0</v>
      </c>
      <c r="R30" s="4">
        <v>0</v>
      </c>
      <c r="S30" s="18">
        <v>0</v>
      </c>
      <c r="T30" s="6">
        <f t="shared" si="7"/>
        <v>2333</v>
      </c>
      <c r="U30" s="7">
        <f t="shared" si="20"/>
        <v>-80</v>
      </c>
      <c r="V30" s="7">
        <f t="shared" si="20"/>
        <v>100</v>
      </c>
      <c r="W30" s="7">
        <f t="shared" si="20"/>
        <v>-390</v>
      </c>
      <c r="X30" s="6"/>
      <c r="Y30" s="5"/>
      <c r="Z30" s="5"/>
      <c r="AA30" s="5"/>
      <c r="AB30" s="16"/>
    </row>
    <row r="31" spans="1:30" ht="16.5" customHeight="1">
      <c r="A31" s="12">
        <v>17</v>
      </c>
      <c r="B31" s="11">
        <f t="shared" si="11"/>
        <v>45287</v>
      </c>
      <c r="C31" s="9">
        <f t="shared" si="12"/>
        <v>842</v>
      </c>
      <c r="D31" s="8">
        <f t="shared" si="13"/>
        <v>1589</v>
      </c>
      <c r="E31" s="4">
        <f t="shared" si="1"/>
        <v>511</v>
      </c>
      <c r="F31" s="4">
        <f t="shared" si="2"/>
        <v>331</v>
      </c>
      <c r="G31" s="4">
        <f t="shared" si="3"/>
        <v>829</v>
      </c>
      <c r="H31" s="5">
        <f t="shared" si="4"/>
        <v>1920</v>
      </c>
      <c r="I31" s="5">
        <f t="shared" si="5"/>
        <v>2100</v>
      </c>
      <c r="J31" s="5">
        <f t="shared" si="6"/>
        <v>1602</v>
      </c>
      <c r="K31" s="5">
        <f t="shared" si="14"/>
        <v>2000</v>
      </c>
      <c r="L31" s="5">
        <f t="shared" si="15"/>
        <v>2000</v>
      </c>
      <c r="M31" s="5">
        <f t="shared" si="16"/>
        <v>2000</v>
      </c>
      <c r="N31" s="5">
        <f t="shared" si="17"/>
        <v>-80</v>
      </c>
      <c r="O31" s="5">
        <f t="shared" si="18"/>
        <v>100</v>
      </c>
      <c r="P31" s="5">
        <f t="shared" si="19"/>
        <v>-398</v>
      </c>
      <c r="Q31" s="4">
        <v>0</v>
      </c>
      <c r="R31" s="4">
        <v>0</v>
      </c>
      <c r="S31" s="4">
        <v>8</v>
      </c>
      <c r="T31" s="6">
        <f t="shared" si="7"/>
        <v>2331</v>
      </c>
      <c r="U31" s="7">
        <f t="shared" ref="U31:V36" si="21">U30+$X31*1000-Q31</f>
        <v>-80</v>
      </c>
      <c r="V31" s="7">
        <f t="shared" si="21"/>
        <v>100</v>
      </c>
      <c r="W31" s="19">
        <f>W30+0.29*1000-S31</f>
        <v>-108</v>
      </c>
      <c r="X31" s="6"/>
      <c r="Y31" s="6">
        <v>-100</v>
      </c>
      <c r="Z31" s="6">
        <v>-100</v>
      </c>
      <c r="AA31" s="6">
        <v>-100</v>
      </c>
      <c r="AB31" s="16">
        <v>8</v>
      </c>
    </row>
    <row r="32" spans="1:30" ht="16.5" customHeight="1">
      <c r="A32" s="12">
        <v>18</v>
      </c>
      <c r="B32" s="11">
        <f t="shared" si="11"/>
        <v>45288</v>
      </c>
      <c r="C32" s="9">
        <f t="shared" si="12"/>
        <v>842</v>
      </c>
      <c r="D32" s="8">
        <f t="shared" si="13"/>
        <v>1587</v>
      </c>
      <c r="E32" s="4">
        <f t="shared" si="1"/>
        <v>509</v>
      </c>
      <c r="F32" s="4">
        <f t="shared" si="2"/>
        <v>329</v>
      </c>
      <c r="G32" s="4">
        <f t="shared" si="3"/>
        <v>833</v>
      </c>
      <c r="H32" s="5">
        <f t="shared" si="4"/>
        <v>1920</v>
      </c>
      <c r="I32" s="5">
        <f t="shared" si="5"/>
        <v>2100</v>
      </c>
      <c r="J32" s="5">
        <f t="shared" si="6"/>
        <v>1596</v>
      </c>
      <c r="K32" s="5">
        <f t="shared" si="14"/>
        <v>2000</v>
      </c>
      <c r="L32" s="5">
        <f t="shared" si="15"/>
        <v>2000</v>
      </c>
      <c r="M32" s="5">
        <f t="shared" si="16"/>
        <v>2000</v>
      </c>
      <c r="N32" s="5">
        <f t="shared" si="17"/>
        <v>-80</v>
      </c>
      <c r="O32" s="5">
        <f t="shared" si="18"/>
        <v>100</v>
      </c>
      <c r="P32" s="5">
        <f t="shared" si="19"/>
        <v>-404</v>
      </c>
      <c r="Q32" s="4">
        <v>0</v>
      </c>
      <c r="R32" s="4">
        <v>0</v>
      </c>
      <c r="S32" s="4">
        <v>6</v>
      </c>
      <c r="T32" s="6">
        <f t="shared" si="7"/>
        <v>2329</v>
      </c>
      <c r="U32" s="7">
        <f t="shared" si="21"/>
        <v>-80</v>
      </c>
      <c r="V32" s="7">
        <f t="shared" si="21"/>
        <v>100</v>
      </c>
      <c r="W32" s="7">
        <f t="shared" ref="W32:W95" si="22">W31+$X32*1000-S32</f>
        <v>-114</v>
      </c>
      <c r="X32" s="6"/>
      <c r="Y32" s="5"/>
      <c r="Z32" s="5"/>
      <c r="AA32" s="5"/>
      <c r="AB32" s="16"/>
    </row>
    <row r="33" spans="1:28" ht="16.5" customHeight="1">
      <c r="A33" s="12">
        <v>19</v>
      </c>
      <c r="B33" s="11">
        <f t="shared" si="11"/>
        <v>45289</v>
      </c>
      <c r="C33" s="9">
        <f t="shared" si="12"/>
        <v>842</v>
      </c>
      <c r="D33" s="8">
        <f t="shared" si="13"/>
        <v>1585</v>
      </c>
      <c r="E33" s="4">
        <f t="shared" si="1"/>
        <v>507</v>
      </c>
      <c r="F33" s="4">
        <f t="shared" si="2"/>
        <v>327</v>
      </c>
      <c r="G33" s="4">
        <f t="shared" si="3"/>
        <v>837</v>
      </c>
      <c r="H33" s="5">
        <f t="shared" si="4"/>
        <v>1920</v>
      </c>
      <c r="I33" s="5">
        <f t="shared" si="5"/>
        <v>2100</v>
      </c>
      <c r="J33" s="5">
        <f t="shared" si="6"/>
        <v>1590</v>
      </c>
      <c r="K33" s="5">
        <f t="shared" si="14"/>
        <v>2000</v>
      </c>
      <c r="L33" s="5">
        <f t="shared" si="15"/>
        <v>2000</v>
      </c>
      <c r="M33" s="5">
        <f t="shared" si="16"/>
        <v>2000</v>
      </c>
      <c r="N33" s="5">
        <f t="shared" si="17"/>
        <v>-80</v>
      </c>
      <c r="O33" s="5">
        <f t="shared" si="18"/>
        <v>100</v>
      </c>
      <c r="P33" s="5">
        <f t="shared" si="19"/>
        <v>-410</v>
      </c>
      <c r="Q33" s="4">
        <v>0</v>
      </c>
      <c r="R33" s="4">
        <v>0</v>
      </c>
      <c r="S33" s="4">
        <v>6</v>
      </c>
      <c r="T33" s="6">
        <f t="shared" si="7"/>
        <v>2327</v>
      </c>
      <c r="U33" s="7">
        <f t="shared" si="21"/>
        <v>-80</v>
      </c>
      <c r="V33" s="7">
        <f t="shared" si="21"/>
        <v>100</v>
      </c>
      <c r="W33" s="7">
        <f t="shared" si="22"/>
        <v>-120</v>
      </c>
      <c r="X33" s="6"/>
      <c r="Y33" s="5"/>
      <c r="Z33" s="5"/>
      <c r="AA33" s="5"/>
      <c r="AB33" s="16"/>
    </row>
    <row r="34" spans="1:28" ht="16.5" customHeight="1">
      <c r="A34" s="12">
        <v>20</v>
      </c>
      <c r="B34" s="11">
        <f t="shared" si="11"/>
        <v>45290</v>
      </c>
      <c r="C34" s="9">
        <f t="shared" si="12"/>
        <v>842</v>
      </c>
      <c r="D34" s="8">
        <f t="shared" si="13"/>
        <v>1583</v>
      </c>
      <c r="E34" s="4">
        <f t="shared" si="1"/>
        <v>505</v>
      </c>
      <c r="F34" s="4">
        <f t="shared" si="2"/>
        <v>325</v>
      </c>
      <c r="G34" s="4">
        <f t="shared" si="3"/>
        <v>841</v>
      </c>
      <c r="H34" s="5">
        <f t="shared" si="4"/>
        <v>1920</v>
      </c>
      <c r="I34" s="5">
        <f t="shared" si="5"/>
        <v>2100</v>
      </c>
      <c r="J34" s="5">
        <f t="shared" si="6"/>
        <v>1584</v>
      </c>
      <c r="K34" s="5">
        <f t="shared" si="14"/>
        <v>2000</v>
      </c>
      <c r="L34" s="5">
        <f t="shared" si="15"/>
        <v>2000</v>
      </c>
      <c r="M34" s="5">
        <f t="shared" si="16"/>
        <v>2000</v>
      </c>
      <c r="N34" s="5">
        <f t="shared" si="17"/>
        <v>-80</v>
      </c>
      <c r="O34" s="5">
        <f t="shared" si="18"/>
        <v>100</v>
      </c>
      <c r="P34" s="5">
        <f t="shared" si="19"/>
        <v>-416</v>
      </c>
      <c r="Q34" s="4">
        <v>0</v>
      </c>
      <c r="R34" s="4">
        <v>0</v>
      </c>
      <c r="S34" s="4">
        <v>6</v>
      </c>
      <c r="T34" s="6">
        <f t="shared" si="7"/>
        <v>2325</v>
      </c>
      <c r="U34" s="7">
        <f t="shared" si="21"/>
        <v>-80</v>
      </c>
      <c r="V34" s="7">
        <f t="shared" si="21"/>
        <v>100</v>
      </c>
      <c r="W34" s="7">
        <f t="shared" si="22"/>
        <v>-126</v>
      </c>
      <c r="X34" s="6"/>
      <c r="Y34" s="5"/>
      <c r="Z34" s="5"/>
      <c r="AA34" s="5"/>
      <c r="AB34" s="16"/>
    </row>
    <row r="35" spans="1:28" ht="16.5" customHeight="1">
      <c r="A35" s="12">
        <v>21</v>
      </c>
      <c r="B35" s="11">
        <f t="shared" si="11"/>
        <v>45291</v>
      </c>
      <c r="C35" s="9">
        <f t="shared" si="12"/>
        <v>842</v>
      </c>
      <c r="D35" s="8">
        <f t="shared" si="13"/>
        <v>1581</v>
      </c>
      <c r="E35" s="4">
        <f t="shared" si="1"/>
        <v>503</v>
      </c>
      <c r="F35" s="4">
        <f t="shared" si="2"/>
        <v>323</v>
      </c>
      <c r="G35" s="4">
        <f t="shared" si="3"/>
        <v>848</v>
      </c>
      <c r="H35" s="5">
        <f t="shared" si="4"/>
        <v>1920</v>
      </c>
      <c r="I35" s="5">
        <f t="shared" si="5"/>
        <v>2100</v>
      </c>
      <c r="J35" s="5">
        <f t="shared" si="6"/>
        <v>1575</v>
      </c>
      <c r="K35" s="5">
        <f t="shared" si="14"/>
        <v>2000</v>
      </c>
      <c r="L35" s="5">
        <f t="shared" si="15"/>
        <v>2000</v>
      </c>
      <c r="M35" s="5">
        <f t="shared" si="16"/>
        <v>2000</v>
      </c>
      <c r="N35" s="5">
        <f t="shared" si="17"/>
        <v>-80</v>
      </c>
      <c r="O35" s="5">
        <f t="shared" si="18"/>
        <v>100</v>
      </c>
      <c r="P35" s="5">
        <f t="shared" si="19"/>
        <v>-425</v>
      </c>
      <c r="Q35" s="4">
        <v>0</v>
      </c>
      <c r="R35" s="4">
        <v>0</v>
      </c>
      <c r="S35" s="4">
        <v>9</v>
      </c>
      <c r="T35" s="6">
        <f t="shared" si="7"/>
        <v>2323</v>
      </c>
      <c r="U35" s="7">
        <f t="shared" si="21"/>
        <v>-80</v>
      </c>
      <c r="V35" s="7">
        <f t="shared" si="21"/>
        <v>100</v>
      </c>
      <c r="W35" s="7">
        <f t="shared" si="22"/>
        <v>-135</v>
      </c>
      <c r="X35" s="6"/>
      <c r="Y35" s="5"/>
      <c r="Z35" s="5"/>
      <c r="AA35" s="5"/>
      <c r="AB35" s="16"/>
    </row>
    <row r="36" spans="1:28" ht="16.5" customHeight="1">
      <c r="A36" s="12">
        <v>22</v>
      </c>
      <c r="B36" s="11">
        <f t="shared" si="11"/>
        <v>45292</v>
      </c>
      <c r="C36" s="9">
        <f t="shared" si="12"/>
        <v>842</v>
      </c>
      <c r="D36" s="8">
        <f t="shared" si="13"/>
        <v>1579</v>
      </c>
      <c r="E36" s="4">
        <f t="shared" si="1"/>
        <v>501</v>
      </c>
      <c r="F36" s="4">
        <f t="shared" si="2"/>
        <v>321</v>
      </c>
      <c r="G36" s="4">
        <f t="shared" si="3"/>
        <v>849</v>
      </c>
      <c r="H36" s="5">
        <f t="shared" si="4"/>
        <v>1920</v>
      </c>
      <c r="I36" s="5">
        <f t="shared" si="5"/>
        <v>2100</v>
      </c>
      <c r="J36" s="5">
        <f t="shared" si="6"/>
        <v>1572</v>
      </c>
      <c r="K36" s="5">
        <f t="shared" si="14"/>
        <v>2000</v>
      </c>
      <c r="L36" s="5">
        <f t="shared" si="15"/>
        <v>2000</v>
      </c>
      <c r="M36" s="5">
        <f t="shared" si="16"/>
        <v>2000</v>
      </c>
      <c r="N36" s="5">
        <f t="shared" si="17"/>
        <v>-80</v>
      </c>
      <c r="O36" s="5">
        <f t="shared" si="18"/>
        <v>100</v>
      </c>
      <c r="P36" s="5">
        <f t="shared" si="19"/>
        <v>-428</v>
      </c>
      <c r="Q36" s="18">
        <v>0</v>
      </c>
      <c r="R36" s="18">
        <v>0</v>
      </c>
      <c r="S36" s="4">
        <v>3</v>
      </c>
      <c r="T36" s="6">
        <f t="shared" si="7"/>
        <v>2321</v>
      </c>
      <c r="U36" s="7">
        <f t="shared" si="21"/>
        <v>-80</v>
      </c>
      <c r="V36" s="7">
        <f t="shared" si="21"/>
        <v>100</v>
      </c>
      <c r="W36" s="7">
        <f t="shared" si="22"/>
        <v>-138</v>
      </c>
      <c r="X36" s="6"/>
      <c r="Y36" s="5"/>
      <c r="Z36" s="5"/>
      <c r="AA36" s="5"/>
      <c r="AB36" s="16"/>
    </row>
    <row r="37" spans="1:28" ht="16.5" customHeight="1">
      <c r="A37" s="12">
        <v>23</v>
      </c>
      <c r="B37" s="11">
        <f t="shared" si="11"/>
        <v>45293</v>
      </c>
      <c r="C37" s="9">
        <f t="shared" si="12"/>
        <v>842</v>
      </c>
      <c r="D37" s="8">
        <f t="shared" si="13"/>
        <v>1577</v>
      </c>
      <c r="E37" s="4">
        <f t="shared" si="1"/>
        <v>507</v>
      </c>
      <c r="F37" s="4">
        <f t="shared" si="2"/>
        <v>327</v>
      </c>
      <c r="G37" s="4">
        <f t="shared" si="3"/>
        <v>854</v>
      </c>
      <c r="H37" s="5">
        <f t="shared" si="4"/>
        <v>1912</v>
      </c>
      <c r="I37" s="5">
        <f t="shared" si="5"/>
        <v>2092</v>
      </c>
      <c r="J37" s="5">
        <f t="shared" si="6"/>
        <v>1565</v>
      </c>
      <c r="K37" s="5">
        <f t="shared" si="14"/>
        <v>2000</v>
      </c>
      <c r="L37" s="5">
        <f t="shared" si="15"/>
        <v>2000</v>
      </c>
      <c r="M37" s="5">
        <f t="shared" si="16"/>
        <v>2000</v>
      </c>
      <c r="N37" s="5">
        <f t="shared" si="17"/>
        <v>-88</v>
      </c>
      <c r="O37" s="5">
        <f t="shared" si="18"/>
        <v>92</v>
      </c>
      <c r="P37" s="5">
        <f t="shared" si="19"/>
        <v>-435</v>
      </c>
      <c r="Q37" s="4">
        <v>8</v>
      </c>
      <c r="R37" s="4">
        <v>8</v>
      </c>
      <c r="S37" s="4">
        <v>7</v>
      </c>
      <c r="T37" s="6">
        <f t="shared" si="7"/>
        <v>2227</v>
      </c>
      <c r="U37" s="17">
        <f>U36+0.28*1000-Q37</f>
        <v>192</v>
      </c>
      <c r="V37" s="17">
        <f>V36+0.1*1000-R37</f>
        <v>192</v>
      </c>
      <c r="W37" s="7">
        <f t="shared" si="22"/>
        <v>155</v>
      </c>
      <c r="X37" s="13">
        <v>0.3</v>
      </c>
      <c r="Y37" s="5"/>
      <c r="Z37" s="5"/>
      <c r="AA37" s="5"/>
      <c r="AB37" s="16">
        <v>7</v>
      </c>
    </row>
    <row r="38" spans="1:28" ht="16.5" customHeight="1">
      <c r="A38" s="12">
        <v>24</v>
      </c>
      <c r="B38" s="11">
        <f t="shared" si="11"/>
        <v>45294</v>
      </c>
      <c r="C38" s="9">
        <f t="shared" si="12"/>
        <v>842</v>
      </c>
      <c r="D38" s="8">
        <f t="shared" si="13"/>
        <v>1575</v>
      </c>
      <c r="E38" s="4">
        <f t="shared" si="1"/>
        <v>508</v>
      </c>
      <c r="F38" s="4">
        <f t="shared" si="2"/>
        <v>331</v>
      </c>
      <c r="G38" s="4">
        <f t="shared" si="3"/>
        <v>855</v>
      </c>
      <c r="H38" s="5">
        <f t="shared" si="4"/>
        <v>1909</v>
      </c>
      <c r="I38" s="5">
        <f t="shared" si="5"/>
        <v>2086</v>
      </c>
      <c r="J38" s="5">
        <f t="shared" si="6"/>
        <v>1562</v>
      </c>
      <c r="K38" s="5">
        <f t="shared" si="14"/>
        <v>2000</v>
      </c>
      <c r="L38" s="5">
        <f t="shared" si="15"/>
        <v>2000</v>
      </c>
      <c r="M38" s="5">
        <f t="shared" si="16"/>
        <v>2000</v>
      </c>
      <c r="N38" s="5">
        <f t="shared" si="17"/>
        <v>-91</v>
      </c>
      <c r="O38" s="5">
        <f t="shared" si="18"/>
        <v>86</v>
      </c>
      <c r="P38" s="5">
        <f t="shared" si="19"/>
        <v>-438</v>
      </c>
      <c r="Q38" s="4">
        <v>3</v>
      </c>
      <c r="R38" s="4">
        <v>6</v>
      </c>
      <c r="S38" s="4">
        <v>3</v>
      </c>
      <c r="T38" s="6">
        <f t="shared" si="7"/>
        <v>2231</v>
      </c>
      <c r="U38" s="7">
        <f t="shared" ref="U38:U101" si="23">U37+$X38*1000-Q38</f>
        <v>189</v>
      </c>
      <c r="V38" s="7">
        <f t="shared" ref="V38:V101" si="24">V37+$X38*1000-R38</f>
        <v>186</v>
      </c>
      <c r="W38" s="7">
        <f t="shared" si="22"/>
        <v>152</v>
      </c>
      <c r="X38" s="6"/>
      <c r="Y38" s="5"/>
      <c r="Z38" s="5"/>
      <c r="AA38" s="5"/>
      <c r="AB38" s="16"/>
    </row>
    <row r="39" spans="1:28" ht="16.5" customHeight="1">
      <c r="A39" s="12">
        <v>25</v>
      </c>
      <c r="B39" s="11">
        <f t="shared" si="11"/>
        <v>45295</v>
      </c>
      <c r="C39" s="9">
        <f t="shared" si="12"/>
        <v>842</v>
      </c>
      <c r="D39" s="8">
        <f t="shared" si="13"/>
        <v>1573</v>
      </c>
      <c r="E39" s="4">
        <f t="shared" si="1"/>
        <v>510</v>
      </c>
      <c r="F39" s="4">
        <f t="shared" si="2"/>
        <v>335</v>
      </c>
      <c r="G39" s="4">
        <f t="shared" si="3"/>
        <v>857</v>
      </c>
      <c r="H39" s="5">
        <f t="shared" si="4"/>
        <v>1905</v>
      </c>
      <c r="I39" s="5">
        <f t="shared" si="5"/>
        <v>2080</v>
      </c>
      <c r="J39" s="5">
        <f t="shared" si="6"/>
        <v>1558</v>
      </c>
      <c r="K39" s="5">
        <f t="shared" si="14"/>
        <v>2000</v>
      </c>
      <c r="L39" s="5">
        <f t="shared" si="15"/>
        <v>2000</v>
      </c>
      <c r="M39" s="5">
        <f t="shared" si="16"/>
        <v>2000</v>
      </c>
      <c r="N39" s="5">
        <f t="shared" si="17"/>
        <v>-95</v>
      </c>
      <c r="O39" s="5">
        <f t="shared" si="18"/>
        <v>80</v>
      </c>
      <c r="P39" s="5">
        <f t="shared" si="19"/>
        <v>-442</v>
      </c>
      <c r="Q39" s="4">
        <v>4</v>
      </c>
      <c r="R39" s="4">
        <v>6</v>
      </c>
      <c r="S39" s="4">
        <v>4</v>
      </c>
      <c r="T39" s="6">
        <f t="shared" si="7"/>
        <v>2235</v>
      </c>
      <c r="U39" s="7">
        <f t="shared" si="23"/>
        <v>185</v>
      </c>
      <c r="V39" s="7">
        <f t="shared" si="24"/>
        <v>180</v>
      </c>
      <c r="W39" s="7">
        <f t="shared" si="22"/>
        <v>148</v>
      </c>
      <c r="X39" s="6"/>
      <c r="Y39" s="5"/>
      <c r="Z39" s="5"/>
      <c r="AA39" s="5"/>
      <c r="AB39" s="16"/>
    </row>
    <row r="40" spans="1:28" ht="16.5" customHeight="1">
      <c r="A40" s="12">
        <v>26</v>
      </c>
      <c r="B40" s="11">
        <f t="shared" si="11"/>
        <v>45296</v>
      </c>
      <c r="C40" s="9">
        <f t="shared" si="12"/>
        <v>842</v>
      </c>
      <c r="D40" s="8">
        <f t="shared" si="13"/>
        <v>1571</v>
      </c>
      <c r="E40" s="4">
        <f t="shared" si="1"/>
        <v>510</v>
      </c>
      <c r="F40" s="4">
        <f t="shared" si="2"/>
        <v>339</v>
      </c>
      <c r="G40" s="4">
        <f t="shared" si="3"/>
        <v>860</v>
      </c>
      <c r="H40" s="5">
        <f t="shared" si="4"/>
        <v>1903</v>
      </c>
      <c r="I40" s="5">
        <f t="shared" si="5"/>
        <v>2074</v>
      </c>
      <c r="J40" s="5">
        <f t="shared" si="6"/>
        <v>1553</v>
      </c>
      <c r="K40" s="5">
        <f t="shared" si="14"/>
        <v>2000</v>
      </c>
      <c r="L40" s="5">
        <f t="shared" si="15"/>
        <v>2000</v>
      </c>
      <c r="M40" s="5">
        <f t="shared" si="16"/>
        <v>2000</v>
      </c>
      <c r="N40" s="5">
        <f t="shared" si="17"/>
        <v>-97</v>
      </c>
      <c r="O40" s="5">
        <f t="shared" si="18"/>
        <v>74</v>
      </c>
      <c r="P40" s="5">
        <f t="shared" si="19"/>
        <v>-447</v>
      </c>
      <c r="Q40" s="4">
        <v>2</v>
      </c>
      <c r="R40" s="4">
        <v>6</v>
      </c>
      <c r="S40" s="4">
        <v>5</v>
      </c>
      <c r="T40" s="6">
        <f t="shared" si="7"/>
        <v>2239</v>
      </c>
      <c r="U40" s="7">
        <f t="shared" si="23"/>
        <v>183</v>
      </c>
      <c r="V40" s="7">
        <f t="shared" si="24"/>
        <v>174</v>
      </c>
      <c r="W40" s="7">
        <f t="shared" si="22"/>
        <v>143</v>
      </c>
      <c r="X40" s="6"/>
      <c r="Y40" s="5"/>
      <c r="Z40" s="5"/>
      <c r="AA40" s="5"/>
      <c r="AB40" s="16"/>
    </row>
    <row r="41" spans="1:28" ht="16.5" customHeight="1">
      <c r="A41" s="12">
        <v>27</v>
      </c>
      <c r="B41" s="11">
        <f t="shared" si="11"/>
        <v>45297</v>
      </c>
      <c r="C41" s="9">
        <f t="shared" si="12"/>
        <v>842</v>
      </c>
      <c r="D41" s="8">
        <f t="shared" si="13"/>
        <v>1569</v>
      </c>
      <c r="E41" s="4">
        <f t="shared" si="1"/>
        <v>516</v>
      </c>
      <c r="F41" s="4">
        <f t="shared" si="2"/>
        <v>346</v>
      </c>
      <c r="G41" s="4">
        <f t="shared" si="3"/>
        <v>867</v>
      </c>
      <c r="H41" s="5">
        <f t="shared" si="4"/>
        <v>1895</v>
      </c>
      <c r="I41" s="5">
        <f t="shared" si="5"/>
        <v>2065</v>
      </c>
      <c r="J41" s="5">
        <f t="shared" si="6"/>
        <v>1544</v>
      </c>
      <c r="K41" s="5">
        <f t="shared" si="14"/>
        <v>2000</v>
      </c>
      <c r="L41" s="5">
        <f t="shared" si="15"/>
        <v>2000</v>
      </c>
      <c r="M41" s="5">
        <f t="shared" si="16"/>
        <v>2000</v>
      </c>
      <c r="N41" s="5">
        <f t="shared" si="17"/>
        <v>-105</v>
      </c>
      <c r="O41" s="5">
        <f t="shared" si="18"/>
        <v>65</v>
      </c>
      <c r="P41" s="5">
        <f t="shared" si="19"/>
        <v>-456</v>
      </c>
      <c r="Q41" s="4">
        <v>8</v>
      </c>
      <c r="R41" s="4">
        <v>9</v>
      </c>
      <c r="S41" s="4">
        <v>9</v>
      </c>
      <c r="T41" s="6">
        <f t="shared" si="7"/>
        <v>2246</v>
      </c>
      <c r="U41" s="7">
        <f t="shared" si="23"/>
        <v>175</v>
      </c>
      <c r="V41" s="7">
        <f t="shared" si="24"/>
        <v>165</v>
      </c>
      <c r="W41" s="7">
        <f t="shared" si="22"/>
        <v>134</v>
      </c>
      <c r="X41" s="6"/>
      <c r="Y41" s="5"/>
      <c r="Z41" s="5"/>
      <c r="AA41" s="5"/>
      <c r="AB41" s="16"/>
    </row>
    <row r="42" spans="1:28" ht="16.5" customHeight="1">
      <c r="A42" s="12">
        <v>28</v>
      </c>
      <c r="B42" s="11">
        <f t="shared" si="11"/>
        <v>45298</v>
      </c>
      <c r="C42" s="9">
        <f t="shared" si="12"/>
        <v>842</v>
      </c>
      <c r="D42" s="8">
        <f t="shared" si="13"/>
        <v>1567</v>
      </c>
      <c r="E42" s="4">
        <f t="shared" si="1"/>
        <v>517</v>
      </c>
      <c r="F42" s="4">
        <f t="shared" si="2"/>
        <v>347</v>
      </c>
      <c r="G42" s="4">
        <f t="shared" si="3"/>
        <v>869</v>
      </c>
      <c r="H42" s="5">
        <f t="shared" si="4"/>
        <v>1892</v>
      </c>
      <c r="I42" s="5">
        <f t="shared" si="5"/>
        <v>2062</v>
      </c>
      <c r="J42" s="5">
        <f t="shared" si="6"/>
        <v>1540</v>
      </c>
      <c r="K42" s="5">
        <f t="shared" si="14"/>
        <v>2000</v>
      </c>
      <c r="L42" s="5">
        <f t="shared" si="15"/>
        <v>2000</v>
      </c>
      <c r="M42" s="5">
        <f t="shared" si="16"/>
        <v>2000</v>
      </c>
      <c r="N42" s="5">
        <f t="shared" si="17"/>
        <v>-108</v>
      </c>
      <c r="O42" s="5">
        <f t="shared" si="18"/>
        <v>62</v>
      </c>
      <c r="P42" s="5">
        <f t="shared" si="19"/>
        <v>-460</v>
      </c>
      <c r="Q42" s="4">
        <v>3</v>
      </c>
      <c r="R42" s="4">
        <v>3</v>
      </c>
      <c r="S42" s="4">
        <v>4</v>
      </c>
      <c r="T42" s="6">
        <f t="shared" si="7"/>
        <v>2247</v>
      </c>
      <c r="U42" s="7">
        <f t="shared" si="23"/>
        <v>172</v>
      </c>
      <c r="V42" s="7">
        <f t="shared" si="24"/>
        <v>162</v>
      </c>
      <c r="W42" s="7">
        <f t="shared" si="22"/>
        <v>130</v>
      </c>
      <c r="X42" s="6"/>
      <c r="Y42" s="5"/>
      <c r="Z42" s="5"/>
      <c r="AA42" s="5"/>
      <c r="AB42" s="16"/>
    </row>
    <row r="43" spans="1:28" ht="16.5" customHeight="1">
      <c r="A43" s="12">
        <v>29</v>
      </c>
      <c r="B43" s="11">
        <f t="shared" si="11"/>
        <v>45299</v>
      </c>
      <c r="C43" s="9">
        <f t="shared" si="12"/>
        <v>842</v>
      </c>
      <c r="D43" s="8">
        <f t="shared" si="13"/>
        <v>1565</v>
      </c>
      <c r="E43" s="4">
        <f t="shared" si="1"/>
        <v>523</v>
      </c>
      <c r="F43" s="4">
        <f t="shared" si="2"/>
        <v>354</v>
      </c>
      <c r="G43" s="4">
        <f t="shared" si="3"/>
        <v>876</v>
      </c>
      <c r="H43" s="5">
        <f t="shared" si="4"/>
        <v>1884</v>
      </c>
      <c r="I43" s="5">
        <f t="shared" si="5"/>
        <v>2053</v>
      </c>
      <c r="J43" s="5">
        <f t="shared" si="6"/>
        <v>1531</v>
      </c>
      <c r="K43" s="5">
        <f t="shared" si="14"/>
        <v>2000</v>
      </c>
      <c r="L43" s="5">
        <f t="shared" si="15"/>
        <v>2000</v>
      </c>
      <c r="M43" s="5">
        <f t="shared" si="16"/>
        <v>2000</v>
      </c>
      <c r="N43" s="5">
        <f t="shared" si="17"/>
        <v>-116</v>
      </c>
      <c r="O43" s="5">
        <f t="shared" si="18"/>
        <v>53</v>
      </c>
      <c r="P43" s="5">
        <f t="shared" si="19"/>
        <v>-469</v>
      </c>
      <c r="Q43" s="4">
        <v>8</v>
      </c>
      <c r="R43" s="4">
        <v>9</v>
      </c>
      <c r="S43" s="4">
        <v>9</v>
      </c>
      <c r="T43" s="6">
        <f t="shared" si="7"/>
        <v>1954</v>
      </c>
      <c r="U43" s="7">
        <f t="shared" si="23"/>
        <v>464</v>
      </c>
      <c r="V43" s="7">
        <f t="shared" si="24"/>
        <v>453</v>
      </c>
      <c r="W43" s="7">
        <f t="shared" si="22"/>
        <v>421</v>
      </c>
      <c r="X43" s="13">
        <v>0.3</v>
      </c>
      <c r="Y43" s="5"/>
      <c r="Z43" s="5"/>
      <c r="AA43" s="5"/>
      <c r="AB43" s="16">
        <v>6</v>
      </c>
    </row>
    <row r="44" spans="1:28" ht="16.5" customHeight="1">
      <c r="A44" s="12">
        <v>30</v>
      </c>
      <c r="B44" s="11">
        <f t="shared" si="11"/>
        <v>45300</v>
      </c>
      <c r="C44" s="9">
        <f t="shared" si="12"/>
        <v>842</v>
      </c>
      <c r="D44" s="8">
        <f t="shared" si="13"/>
        <v>1563</v>
      </c>
      <c r="E44" s="4">
        <f t="shared" si="1"/>
        <v>524</v>
      </c>
      <c r="F44" s="4">
        <f t="shared" si="2"/>
        <v>355</v>
      </c>
      <c r="G44" s="4">
        <f t="shared" si="3"/>
        <v>878</v>
      </c>
      <c r="H44" s="5">
        <f t="shared" si="4"/>
        <v>1881</v>
      </c>
      <c r="I44" s="5">
        <f t="shared" si="5"/>
        <v>2050</v>
      </c>
      <c r="J44" s="5">
        <f t="shared" si="6"/>
        <v>1527</v>
      </c>
      <c r="K44" s="5">
        <f t="shared" si="14"/>
        <v>2000</v>
      </c>
      <c r="L44" s="5">
        <f t="shared" si="15"/>
        <v>2000</v>
      </c>
      <c r="M44" s="5">
        <f t="shared" si="16"/>
        <v>2000</v>
      </c>
      <c r="N44" s="5">
        <f t="shared" si="17"/>
        <v>-119</v>
      </c>
      <c r="O44" s="5">
        <f t="shared" si="18"/>
        <v>50</v>
      </c>
      <c r="P44" s="5">
        <f t="shared" si="19"/>
        <v>-473</v>
      </c>
      <c r="Q44" s="4">
        <v>3</v>
      </c>
      <c r="R44" s="4">
        <v>3</v>
      </c>
      <c r="S44" s="4">
        <v>4</v>
      </c>
      <c r="T44" s="6">
        <f t="shared" si="7"/>
        <v>1955</v>
      </c>
      <c r="U44" s="7">
        <f t="shared" si="23"/>
        <v>461</v>
      </c>
      <c r="V44" s="7">
        <f t="shared" si="24"/>
        <v>450</v>
      </c>
      <c r="W44" s="7">
        <f t="shared" si="22"/>
        <v>417</v>
      </c>
      <c r="X44" s="6"/>
      <c r="Y44" s="5"/>
      <c r="Z44" s="5"/>
      <c r="AA44" s="5"/>
      <c r="AB44" s="16"/>
    </row>
    <row r="45" spans="1:28" ht="15">
      <c r="A45" s="12">
        <v>31</v>
      </c>
      <c r="B45" s="11">
        <f t="shared" si="11"/>
        <v>45301</v>
      </c>
      <c r="C45" s="9">
        <f t="shared" si="12"/>
        <v>842</v>
      </c>
      <c r="D45" s="8">
        <f t="shared" si="13"/>
        <v>1561</v>
      </c>
      <c r="E45" s="4">
        <f t="shared" si="1"/>
        <v>530</v>
      </c>
      <c r="F45" s="4">
        <f t="shared" si="2"/>
        <v>361</v>
      </c>
      <c r="G45" s="4">
        <f t="shared" si="3"/>
        <v>883</v>
      </c>
      <c r="H45" s="5">
        <f t="shared" si="4"/>
        <v>1873</v>
      </c>
      <c r="I45" s="5">
        <f t="shared" si="5"/>
        <v>2042</v>
      </c>
      <c r="J45" s="5">
        <f t="shared" si="6"/>
        <v>1520</v>
      </c>
      <c r="K45" s="5">
        <f t="shared" si="14"/>
        <v>2000</v>
      </c>
      <c r="L45" s="5">
        <f t="shared" si="15"/>
        <v>2000</v>
      </c>
      <c r="M45" s="5">
        <f t="shared" si="16"/>
        <v>2000</v>
      </c>
      <c r="N45" s="5">
        <f t="shared" si="17"/>
        <v>-127</v>
      </c>
      <c r="O45" s="5">
        <f t="shared" si="18"/>
        <v>42</v>
      </c>
      <c r="P45" s="5">
        <f t="shared" si="19"/>
        <v>-480</v>
      </c>
      <c r="Q45" s="4">
        <v>8</v>
      </c>
      <c r="R45" s="4">
        <v>8</v>
      </c>
      <c r="S45" s="4">
        <v>7</v>
      </c>
      <c r="T45" s="6">
        <f t="shared" si="7"/>
        <v>1961</v>
      </c>
      <c r="U45" s="7">
        <f t="shared" si="23"/>
        <v>453</v>
      </c>
      <c r="V45" s="7">
        <f t="shared" si="24"/>
        <v>442</v>
      </c>
      <c r="W45" s="7">
        <f t="shared" si="22"/>
        <v>410</v>
      </c>
      <c r="X45" s="6"/>
      <c r="Y45" s="5"/>
      <c r="Z45" s="5"/>
      <c r="AA45" s="5"/>
      <c r="AB45" s="16"/>
    </row>
    <row r="46" spans="1:28" ht="15" customHeight="1">
      <c r="A46" s="12">
        <v>32</v>
      </c>
      <c r="B46" s="11">
        <f t="shared" si="11"/>
        <v>45302</v>
      </c>
      <c r="C46" s="9">
        <f t="shared" si="12"/>
        <v>842</v>
      </c>
      <c r="D46" s="8">
        <f t="shared" si="13"/>
        <v>1559</v>
      </c>
      <c r="E46" s="4">
        <f t="shared" si="1"/>
        <v>531</v>
      </c>
      <c r="F46" s="4">
        <f t="shared" si="2"/>
        <v>365</v>
      </c>
      <c r="G46" s="4">
        <f t="shared" si="3"/>
        <v>884</v>
      </c>
      <c r="H46" s="5">
        <f t="shared" si="4"/>
        <v>1870</v>
      </c>
      <c r="I46" s="5">
        <f t="shared" si="5"/>
        <v>2036</v>
      </c>
      <c r="J46" s="5">
        <f t="shared" si="6"/>
        <v>1517</v>
      </c>
      <c r="K46" s="5">
        <f t="shared" si="14"/>
        <v>2000</v>
      </c>
      <c r="L46" s="5">
        <f t="shared" si="15"/>
        <v>2000</v>
      </c>
      <c r="M46" s="5">
        <f t="shared" si="16"/>
        <v>2000</v>
      </c>
      <c r="N46" s="5">
        <f t="shared" si="17"/>
        <v>-130</v>
      </c>
      <c r="O46" s="5">
        <f t="shared" si="18"/>
        <v>36</v>
      </c>
      <c r="P46" s="5">
        <f t="shared" si="19"/>
        <v>-483</v>
      </c>
      <c r="Q46" s="4">
        <v>3</v>
      </c>
      <c r="R46" s="4">
        <v>6</v>
      </c>
      <c r="S46" s="4">
        <v>3</v>
      </c>
      <c r="T46" s="6">
        <f t="shared" si="7"/>
        <v>1965</v>
      </c>
      <c r="U46" s="7">
        <f t="shared" si="23"/>
        <v>450</v>
      </c>
      <c r="V46" s="7">
        <f t="shared" si="24"/>
        <v>436</v>
      </c>
      <c r="W46" s="7">
        <f t="shared" si="22"/>
        <v>407</v>
      </c>
      <c r="X46" s="6"/>
      <c r="Y46" s="5"/>
      <c r="Z46" s="5"/>
      <c r="AA46" s="5"/>
      <c r="AB46" s="16"/>
    </row>
    <row r="47" spans="1:28" ht="15" customHeight="1">
      <c r="A47" s="12">
        <v>33</v>
      </c>
      <c r="B47" s="11">
        <f t="shared" si="11"/>
        <v>45303</v>
      </c>
      <c r="C47" s="9">
        <f t="shared" si="12"/>
        <v>842</v>
      </c>
      <c r="D47" s="8">
        <f t="shared" ref="D47:D78" si="25">D46-2</f>
        <v>1557</v>
      </c>
      <c r="E47" s="4">
        <f t="shared" si="1"/>
        <v>533</v>
      </c>
      <c r="F47" s="4">
        <f t="shared" si="2"/>
        <v>370</v>
      </c>
      <c r="G47" s="4">
        <f t="shared" si="3"/>
        <v>886</v>
      </c>
      <c r="H47" s="5">
        <f t="shared" si="4"/>
        <v>1866</v>
      </c>
      <c r="I47" s="5">
        <f t="shared" si="5"/>
        <v>2029</v>
      </c>
      <c r="J47" s="5">
        <f t="shared" si="6"/>
        <v>1513</v>
      </c>
      <c r="K47" s="5">
        <f t="shared" ref="K47:K78" si="26">K46</f>
        <v>2000</v>
      </c>
      <c r="L47" s="5">
        <f t="shared" ref="L47:L78" si="27">L46</f>
        <v>2000</v>
      </c>
      <c r="M47" s="5">
        <f t="shared" ref="M47:M78" si="28">M46</f>
        <v>2000</v>
      </c>
      <c r="N47" s="5">
        <f t="shared" si="17"/>
        <v>-134</v>
      </c>
      <c r="O47" s="5">
        <f t="shared" si="18"/>
        <v>29</v>
      </c>
      <c r="P47" s="5">
        <f t="shared" si="19"/>
        <v>-487</v>
      </c>
      <c r="Q47" s="4">
        <v>4</v>
      </c>
      <c r="R47" s="4">
        <v>7</v>
      </c>
      <c r="S47" s="4">
        <v>4</v>
      </c>
      <c r="T47" s="6">
        <f t="shared" si="7"/>
        <v>1970</v>
      </c>
      <c r="U47" s="7">
        <f t="shared" si="23"/>
        <v>446</v>
      </c>
      <c r="V47" s="7">
        <f t="shared" si="24"/>
        <v>429</v>
      </c>
      <c r="W47" s="7">
        <f t="shared" si="22"/>
        <v>403</v>
      </c>
      <c r="X47" s="6"/>
      <c r="Y47" s="5"/>
      <c r="Z47" s="5"/>
      <c r="AA47" s="5"/>
      <c r="AB47" s="16"/>
    </row>
    <row r="48" spans="1:28" ht="15" customHeight="1">
      <c r="A48" s="12">
        <v>34</v>
      </c>
      <c r="B48" s="11">
        <f t="shared" si="11"/>
        <v>45304</v>
      </c>
      <c r="C48" s="9">
        <f t="shared" si="12"/>
        <v>842</v>
      </c>
      <c r="D48" s="8">
        <f t="shared" si="25"/>
        <v>1555</v>
      </c>
      <c r="E48" s="4">
        <f t="shared" si="1"/>
        <v>533</v>
      </c>
      <c r="F48" s="4">
        <f t="shared" si="2"/>
        <v>374</v>
      </c>
      <c r="G48" s="4">
        <f t="shared" si="3"/>
        <v>889</v>
      </c>
      <c r="H48" s="5">
        <f t="shared" si="4"/>
        <v>1864</v>
      </c>
      <c r="I48" s="5">
        <f t="shared" si="5"/>
        <v>2023</v>
      </c>
      <c r="J48" s="5">
        <f t="shared" si="6"/>
        <v>1508</v>
      </c>
      <c r="K48" s="5">
        <f t="shared" si="26"/>
        <v>2000</v>
      </c>
      <c r="L48" s="5">
        <f t="shared" si="27"/>
        <v>2000</v>
      </c>
      <c r="M48" s="5">
        <f t="shared" si="28"/>
        <v>2000</v>
      </c>
      <c r="N48" s="5">
        <f t="shared" si="17"/>
        <v>-136</v>
      </c>
      <c r="O48" s="5">
        <f t="shared" si="18"/>
        <v>23</v>
      </c>
      <c r="P48" s="5">
        <f t="shared" si="19"/>
        <v>-492</v>
      </c>
      <c r="Q48" s="4">
        <v>2</v>
      </c>
      <c r="R48" s="4">
        <v>6</v>
      </c>
      <c r="S48" s="4">
        <v>5</v>
      </c>
      <c r="T48" s="6">
        <f t="shared" si="7"/>
        <v>1974</v>
      </c>
      <c r="U48" s="7">
        <f t="shared" si="23"/>
        <v>444</v>
      </c>
      <c r="V48" s="7">
        <f t="shared" si="24"/>
        <v>423</v>
      </c>
      <c r="W48" s="7">
        <f t="shared" si="22"/>
        <v>398</v>
      </c>
      <c r="X48" s="6"/>
      <c r="Y48" s="5"/>
      <c r="Z48" s="5"/>
      <c r="AA48" s="5"/>
      <c r="AB48" s="16"/>
    </row>
    <row r="49" spans="1:28" ht="15" customHeight="1">
      <c r="A49" s="12">
        <v>35</v>
      </c>
      <c r="B49" s="11">
        <f t="shared" si="11"/>
        <v>45305</v>
      </c>
      <c r="C49" s="9">
        <f t="shared" si="12"/>
        <v>842</v>
      </c>
      <c r="D49" s="8">
        <f t="shared" si="25"/>
        <v>1553</v>
      </c>
      <c r="E49" s="4">
        <f t="shared" si="1"/>
        <v>539</v>
      </c>
      <c r="F49" s="4">
        <f t="shared" si="2"/>
        <v>381</v>
      </c>
      <c r="G49" s="4">
        <f t="shared" si="3"/>
        <v>896</v>
      </c>
      <c r="H49" s="5">
        <f t="shared" si="4"/>
        <v>1856</v>
      </c>
      <c r="I49" s="5">
        <f t="shared" si="5"/>
        <v>2014</v>
      </c>
      <c r="J49" s="5">
        <f t="shared" si="6"/>
        <v>1499</v>
      </c>
      <c r="K49" s="5">
        <f t="shared" si="26"/>
        <v>2000</v>
      </c>
      <c r="L49" s="5">
        <f t="shared" si="27"/>
        <v>2000</v>
      </c>
      <c r="M49" s="5">
        <f t="shared" si="28"/>
        <v>2000</v>
      </c>
      <c r="N49" s="5">
        <f t="shared" si="17"/>
        <v>-144</v>
      </c>
      <c r="O49" s="5">
        <f t="shared" si="18"/>
        <v>14</v>
      </c>
      <c r="P49" s="5">
        <f t="shared" si="19"/>
        <v>-501</v>
      </c>
      <c r="Q49" s="4">
        <v>8</v>
      </c>
      <c r="R49" s="4">
        <v>9</v>
      </c>
      <c r="S49" s="4">
        <v>9</v>
      </c>
      <c r="T49" s="6">
        <f t="shared" si="7"/>
        <v>1681</v>
      </c>
      <c r="U49" s="7">
        <f t="shared" si="23"/>
        <v>736</v>
      </c>
      <c r="V49" s="7">
        <f t="shared" si="24"/>
        <v>714</v>
      </c>
      <c r="W49" s="7">
        <f t="shared" si="22"/>
        <v>689</v>
      </c>
      <c r="X49" s="13">
        <v>0.3</v>
      </c>
      <c r="Y49" s="5"/>
      <c r="Z49" s="5"/>
      <c r="AA49" s="5"/>
      <c r="AB49" s="16">
        <v>5</v>
      </c>
    </row>
    <row r="50" spans="1:28" ht="15" customHeight="1">
      <c r="A50" s="12">
        <v>36</v>
      </c>
      <c r="B50" s="11">
        <f t="shared" si="11"/>
        <v>45306</v>
      </c>
      <c r="C50" s="9">
        <f t="shared" si="12"/>
        <v>842</v>
      </c>
      <c r="D50" s="8">
        <f t="shared" si="25"/>
        <v>1551</v>
      </c>
      <c r="E50" s="4">
        <f t="shared" si="1"/>
        <v>540</v>
      </c>
      <c r="F50" s="4">
        <f t="shared" si="2"/>
        <v>382</v>
      </c>
      <c r="G50" s="4">
        <f t="shared" si="3"/>
        <v>898</v>
      </c>
      <c r="H50" s="5">
        <f t="shared" si="4"/>
        <v>1853</v>
      </c>
      <c r="I50" s="5">
        <f t="shared" si="5"/>
        <v>2011</v>
      </c>
      <c r="J50" s="5">
        <f t="shared" si="6"/>
        <v>1495</v>
      </c>
      <c r="K50" s="5">
        <f t="shared" si="26"/>
        <v>2000</v>
      </c>
      <c r="L50" s="5">
        <f t="shared" si="27"/>
        <v>2000</v>
      </c>
      <c r="M50" s="5">
        <f t="shared" si="28"/>
        <v>2000</v>
      </c>
      <c r="N50" s="5">
        <f t="shared" si="17"/>
        <v>-147</v>
      </c>
      <c r="O50" s="5">
        <f t="shared" si="18"/>
        <v>11</v>
      </c>
      <c r="P50" s="5">
        <f t="shared" si="19"/>
        <v>-505</v>
      </c>
      <c r="Q50" s="4">
        <v>3</v>
      </c>
      <c r="R50" s="4">
        <v>3</v>
      </c>
      <c r="S50" s="4">
        <v>4</v>
      </c>
      <c r="T50" s="6">
        <f t="shared" si="7"/>
        <v>1682</v>
      </c>
      <c r="U50" s="7">
        <f t="shared" si="23"/>
        <v>733</v>
      </c>
      <c r="V50" s="7">
        <f t="shared" si="24"/>
        <v>711</v>
      </c>
      <c r="W50" s="7">
        <f t="shared" si="22"/>
        <v>685</v>
      </c>
      <c r="X50" s="6"/>
      <c r="Y50" s="5"/>
      <c r="Z50" s="5"/>
      <c r="AA50" s="5"/>
      <c r="AB50" s="16"/>
    </row>
    <row r="51" spans="1:28" ht="15" customHeight="1">
      <c r="A51" s="12">
        <v>37</v>
      </c>
      <c r="B51" s="11">
        <f t="shared" si="11"/>
        <v>45307</v>
      </c>
      <c r="C51" s="9">
        <f t="shared" si="12"/>
        <v>842</v>
      </c>
      <c r="D51" s="8">
        <f t="shared" si="25"/>
        <v>1549</v>
      </c>
      <c r="E51" s="4">
        <f t="shared" si="1"/>
        <v>542</v>
      </c>
      <c r="F51" s="4">
        <f t="shared" si="2"/>
        <v>384</v>
      </c>
      <c r="G51" s="4">
        <f t="shared" si="3"/>
        <v>899</v>
      </c>
      <c r="H51" s="5">
        <f t="shared" si="4"/>
        <v>1849</v>
      </c>
      <c r="I51" s="5">
        <f t="shared" si="5"/>
        <v>2007</v>
      </c>
      <c r="J51" s="5">
        <f t="shared" si="6"/>
        <v>1492</v>
      </c>
      <c r="K51" s="5">
        <f t="shared" si="26"/>
        <v>2000</v>
      </c>
      <c r="L51" s="5">
        <f t="shared" si="27"/>
        <v>2000</v>
      </c>
      <c r="M51" s="5">
        <f t="shared" si="28"/>
        <v>2000</v>
      </c>
      <c r="N51" s="5">
        <f t="shared" si="17"/>
        <v>-151</v>
      </c>
      <c r="O51" s="5">
        <f t="shared" si="18"/>
        <v>7</v>
      </c>
      <c r="P51" s="5">
        <f t="shared" si="19"/>
        <v>-508</v>
      </c>
      <c r="Q51" s="4">
        <v>4</v>
      </c>
      <c r="R51" s="4">
        <v>4</v>
      </c>
      <c r="S51" s="4">
        <v>3</v>
      </c>
      <c r="T51" s="6">
        <f t="shared" si="7"/>
        <v>1684</v>
      </c>
      <c r="U51" s="7">
        <f t="shared" si="23"/>
        <v>729</v>
      </c>
      <c r="V51" s="7">
        <f t="shared" si="24"/>
        <v>707</v>
      </c>
      <c r="W51" s="7">
        <f t="shared" si="22"/>
        <v>682</v>
      </c>
      <c r="X51" s="6"/>
      <c r="Y51" s="5"/>
      <c r="Z51" s="5"/>
      <c r="AA51" s="5"/>
      <c r="AB51" s="16"/>
    </row>
    <row r="52" spans="1:28" ht="15" customHeight="1">
      <c r="A52" s="12">
        <v>38</v>
      </c>
      <c r="B52" s="11">
        <f t="shared" si="11"/>
        <v>45308</v>
      </c>
      <c r="C52" s="9">
        <f t="shared" si="12"/>
        <v>842</v>
      </c>
      <c r="D52" s="8">
        <f t="shared" si="25"/>
        <v>1547</v>
      </c>
      <c r="E52" s="4">
        <f t="shared" si="1"/>
        <v>545</v>
      </c>
      <c r="F52" s="4">
        <f t="shared" si="2"/>
        <v>384</v>
      </c>
      <c r="G52" s="4">
        <f t="shared" si="3"/>
        <v>899</v>
      </c>
      <c r="H52" s="5">
        <f t="shared" si="4"/>
        <v>1844</v>
      </c>
      <c r="I52" s="5">
        <f t="shared" si="5"/>
        <v>2005</v>
      </c>
      <c r="J52" s="5">
        <f t="shared" si="6"/>
        <v>1490</v>
      </c>
      <c r="K52" s="5">
        <f t="shared" si="26"/>
        <v>2000</v>
      </c>
      <c r="L52" s="5">
        <f t="shared" si="27"/>
        <v>2000</v>
      </c>
      <c r="M52" s="5">
        <f t="shared" si="28"/>
        <v>2000</v>
      </c>
      <c r="N52" s="5">
        <f t="shared" si="17"/>
        <v>-156</v>
      </c>
      <c r="O52" s="5">
        <f t="shared" si="18"/>
        <v>5</v>
      </c>
      <c r="P52" s="5">
        <f t="shared" si="19"/>
        <v>-510</v>
      </c>
      <c r="Q52" s="4">
        <v>5</v>
      </c>
      <c r="R52" s="4">
        <v>2</v>
      </c>
      <c r="S52" s="4">
        <v>2</v>
      </c>
      <c r="T52" s="6">
        <f t="shared" si="7"/>
        <v>1684</v>
      </c>
      <c r="U52" s="7">
        <f t="shared" si="23"/>
        <v>724</v>
      </c>
      <c r="V52" s="7">
        <f t="shared" si="24"/>
        <v>705</v>
      </c>
      <c r="W52" s="7">
        <f t="shared" si="22"/>
        <v>680</v>
      </c>
      <c r="X52" s="6"/>
      <c r="Y52" s="5"/>
      <c r="Z52" s="5"/>
      <c r="AA52" s="5"/>
      <c r="AB52" s="5"/>
    </row>
    <row r="53" spans="1:28" ht="15" customHeight="1">
      <c r="A53" s="12">
        <v>39</v>
      </c>
      <c r="B53" s="11">
        <f t="shared" si="11"/>
        <v>45309</v>
      </c>
      <c r="C53" s="9">
        <f t="shared" si="12"/>
        <v>842</v>
      </c>
      <c r="D53" s="8">
        <f t="shared" si="25"/>
        <v>1545</v>
      </c>
      <c r="E53" s="4">
        <f t="shared" si="1"/>
        <v>548</v>
      </c>
      <c r="F53" s="4">
        <f t="shared" si="2"/>
        <v>387</v>
      </c>
      <c r="G53" s="4">
        <f t="shared" si="3"/>
        <v>901</v>
      </c>
      <c r="H53" s="5">
        <f t="shared" si="4"/>
        <v>1839</v>
      </c>
      <c r="I53" s="5">
        <f t="shared" si="5"/>
        <v>2000</v>
      </c>
      <c r="J53" s="5">
        <f t="shared" si="6"/>
        <v>1486</v>
      </c>
      <c r="K53" s="5">
        <f t="shared" si="26"/>
        <v>2000</v>
      </c>
      <c r="L53" s="5">
        <f t="shared" si="27"/>
        <v>2000</v>
      </c>
      <c r="M53" s="5">
        <f t="shared" si="28"/>
        <v>2000</v>
      </c>
      <c r="N53" s="5">
        <f t="shared" si="17"/>
        <v>-161</v>
      </c>
      <c r="O53" s="5">
        <f t="shared" si="18"/>
        <v>0</v>
      </c>
      <c r="P53" s="5">
        <f t="shared" si="19"/>
        <v>-514</v>
      </c>
      <c r="Q53" s="4">
        <v>5</v>
      </c>
      <c r="R53" s="4">
        <v>5</v>
      </c>
      <c r="S53" s="4">
        <v>4</v>
      </c>
      <c r="T53" s="6">
        <f t="shared" si="7"/>
        <v>1687</v>
      </c>
      <c r="U53" s="7">
        <f t="shared" si="23"/>
        <v>719</v>
      </c>
      <c r="V53" s="7">
        <f t="shared" si="24"/>
        <v>700</v>
      </c>
      <c r="W53" s="7">
        <f t="shared" si="22"/>
        <v>676</v>
      </c>
      <c r="X53" s="6"/>
      <c r="Y53" s="5"/>
      <c r="Z53" s="5"/>
      <c r="AA53" s="5"/>
      <c r="AB53" s="5"/>
    </row>
    <row r="54" spans="1:28" ht="15" customHeight="1">
      <c r="A54" s="12">
        <v>40</v>
      </c>
      <c r="B54" s="11">
        <f t="shared" si="11"/>
        <v>45310</v>
      </c>
      <c r="C54" s="9">
        <f t="shared" si="12"/>
        <v>842</v>
      </c>
      <c r="D54" s="8">
        <f t="shared" si="25"/>
        <v>1543</v>
      </c>
      <c r="E54" s="4">
        <f t="shared" si="1"/>
        <v>551</v>
      </c>
      <c r="F54" s="4">
        <f t="shared" si="2"/>
        <v>390</v>
      </c>
      <c r="G54" s="4">
        <f t="shared" si="3"/>
        <v>903</v>
      </c>
      <c r="H54" s="5">
        <f t="shared" si="4"/>
        <v>1834</v>
      </c>
      <c r="I54" s="5">
        <f t="shared" si="5"/>
        <v>1995</v>
      </c>
      <c r="J54" s="5">
        <f t="shared" si="6"/>
        <v>1482</v>
      </c>
      <c r="K54" s="5">
        <f t="shared" si="26"/>
        <v>2000</v>
      </c>
      <c r="L54" s="5">
        <f t="shared" si="27"/>
        <v>2000</v>
      </c>
      <c r="M54" s="5">
        <f t="shared" si="28"/>
        <v>2000</v>
      </c>
      <c r="N54" s="5">
        <f t="shared" si="17"/>
        <v>-166</v>
      </c>
      <c r="O54" s="5">
        <f t="shared" si="18"/>
        <v>-5</v>
      </c>
      <c r="P54" s="5">
        <f t="shared" si="19"/>
        <v>-518</v>
      </c>
      <c r="Q54" s="4">
        <v>5</v>
      </c>
      <c r="R54" s="4">
        <v>5</v>
      </c>
      <c r="S54" s="4">
        <v>4</v>
      </c>
      <c r="T54" s="6">
        <f t="shared" si="7"/>
        <v>1690</v>
      </c>
      <c r="U54" s="7">
        <f t="shared" si="23"/>
        <v>714</v>
      </c>
      <c r="V54" s="7">
        <f t="shared" si="24"/>
        <v>695</v>
      </c>
      <c r="W54" s="7">
        <f t="shared" si="22"/>
        <v>672</v>
      </c>
      <c r="X54" s="6"/>
      <c r="Y54" s="5"/>
      <c r="Z54" s="5"/>
      <c r="AA54" s="5"/>
      <c r="AB54" s="5"/>
    </row>
    <row r="55" spans="1:28" ht="15" customHeight="1">
      <c r="A55" s="12">
        <v>41</v>
      </c>
      <c r="B55" s="11">
        <f t="shared" si="11"/>
        <v>45311</v>
      </c>
      <c r="C55" s="9">
        <f t="shared" si="12"/>
        <v>842</v>
      </c>
      <c r="D55" s="8">
        <f t="shared" si="25"/>
        <v>1541</v>
      </c>
      <c r="E55" s="4">
        <f t="shared" si="1"/>
        <v>557</v>
      </c>
      <c r="F55" s="4">
        <f t="shared" si="2"/>
        <v>396</v>
      </c>
      <c r="G55" s="4">
        <f t="shared" si="3"/>
        <v>909</v>
      </c>
      <c r="H55" s="5">
        <f t="shared" si="4"/>
        <v>1826</v>
      </c>
      <c r="I55" s="5">
        <f t="shared" si="5"/>
        <v>1987</v>
      </c>
      <c r="J55" s="5">
        <f t="shared" si="6"/>
        <v>1474</v>
      </c>
      <c r="K55" s="5">
        <f t="shared" si="26"/>
        <v>2000</v>
      </c>
      <c r="L55" s="5">
        <f t="shared" si="27"/>
        <v>2000</v>
      </c>
      <c r="M55" s="5">
        <f t="shared" si="28"/>
        <v>2000</v>
      </c>
      <c r="N55" s="5">
        <f t="shared" si="17"/>
        <v>-174</v>
      </c>
      <c r="O55" s="5">
        <f t="shared" si="18"/>
        <v>-13</v>
      </c>
      <c r="P55" s="5">
        <f t="shared" si="19"/>
        <v>-526</v>
      </c>
      <c r="Q55" s="4">
        <v>8</v>
      </c>
      <c r="R55" s="4">
        <v>8</v>
      </c>
      <c r="S55" s="4">
        <v>8</v>
      </c>
      <c r="T55" s="6">
        <f t="shared" si="7"/>
        <v>1396</v>
      </c>
      <c r="U55" s="7">
        <f t="shared" si="23"/>
        <v>1006</v>
      </c>
      <c r="V55" s="7">
        <f t="shared" si="24"/>
        <v>987</v>
      </c>
      <c r="W55" s="7">
        <f t="shared" si="22"/>
        <v>964</v>
      </c>
      <c r="X55" s="13">
        <v>0.3</v>
      </c>
      <c r="Y55" s="5"/>
      <c r="Z55" s="5"/>
      <c r="AA55" s="5"/>
      <c r="AB55" s="16">
        <v>4</v>
      </c>
    </row>
    <row r="56" spans="1:28" ht="15" customHeight="1">
      <c r="A56" s="12">
        <v>42</v>
      </c>
      <c r="B56" s="11">
        <f t="shared" si="11"/>
        <v>45312</v>
      </c>
      <c r="C56" s="9">
        <f t="shared" si="12"/>
        <v>842</v>
      </c>
      <c r="D56" s="8">
        <f t="shared" si="25"/>
        <v>1539</v>
      </c>
      <c r="E56" s="4">
        <f t="shared" si="1"/>
        <v>557</v>
      </c>
      <c r="F56" s="4">
        <f t="shared" si="2"/>
        <v>398</v>
      </c>
      <c r="G56" s="4">
        <f t="shared" si="3"/>
        <v>912</v>
      </c>
      <c r="H56" s="5">
        <f t="shared" si="4"/>
        <v>1824</v>
      </c>
      <c r="I56" s="5">
        <f t="shared" si="5"/>
        <v>1983</v>
      </c>
      <c r="J56" s="5">
        <f t="shared" si="6"/>
        <v>1469</v>
      </c>
      <c r="K56" s="5">
        <f t="shared" si="26"/>
        <v>2000</v>
      </c>
      <c r="L56" s="5">
        <f t="shared" si="27"/>
        <v>2000</v>
      </c>
      <c r="M56" s="5">
        <f t="shared" si="28"/>
        <v>2000</v>
      </c>
      <c r="N56" s="5">
        <f t="shared" si="17"/>
        <v>-176</v>
      </c>
      <c r="O56" s="5">
        <f t="shared" si="18"/>
        <v>-17</v>
      </c>
      <c r="P56" s="5">
        <f t="shared" si="19"/>
        <v>-531</v>
      </c>
      <c r="Q56" s="4">
        <v>2</v>
      </c>
      <c r="R56" s="4">
        <v>4</v>
      </c>
      <c r="S56" s="4">
        <v>5</v>
      </c>
      <c r="T56" s="6">
        <f t="shared" si="7"/>
        <v>1398</v>
      </c>
      <c r="U56" s="7">
        <f t="shared" si="23"/>
        <v>1004</v>
      </c>
      <c r="V56" s="7">
        <f t="shared" si="24"/>
        <v>983</v>
      </c>
      <c r="W56" s="7">
        <f t="shared" si="22"/>
        <v>959</v>
      </c>
      <c r="X56" s="6"/>
      <c r="Y56" s="5"/>
      <c r="Z56" s="5"/>
      <c r="AA56" s="5"/>
      <c r="AB56" s="5"/>
    </row>
    <row r="57" spans="1:28" ht="15" customHeight="1">
      <c r="A57" s="12">
        <v>43</v>
      </c>
      <c r="B57" s="11">
        <f t="shared" si="11"/>
        <v>45313</v>
      </c>
      <c r="C57" s="9">
        <f t="shared" si="12"/>
        <v>842</v>
      </c>
      <c r="D57" s="8">
        <f t="shared" si="25"/>
        <v>1537</v>
      </c>
      <c r="E57" s="4">
        <f t="shared" si="1"/>
        <v>559</v>
      </c>
      <c r="F57" s="4">
        <f t="shared" si="2"/>
        <v>403</v>
      </c>
      <c r="G57" s="4">
        <f t="shared" si="3"/>
        <v>914</v>
      </c>
      <c r="H57" s="5">
        <f t="shared" si="4"/>
        <v>1820</v>
      </c>
      <c r="I57" s="5">
        <f t="shared" si="5"/>
        <v>1976</v>
      </c>
      <c r="J57" s="5">
        <f t="shared" si="6"/>
        <v>1465</v>
      </c>
      <c r="K57" s="5">
        <f t="shared" si="26"/>
        <v>2000</v>
      </c>
      <c r="L57" s="5">
        <f t="shared" si="27"/>
        <v>2000</v>
      </c>
      <c r="M57" s="5">
        <f t="shared" si="28"/>
        <v>2000</v>
      </c>
      <c r="N57" s="5">
        <f t="shared" si="17"/>
        <v>-180</v>
      </c>
      <c r="O57" s="5">
        <f t="shared" si="18"/>
        <v>-24</v>
      </c>
      <c r="P57" s="5">
        <f t="shared" si="19"/>
        <v>-535</v>
      </c>
      <c r="Q57" s="4">
        <v>4</v>
      </c>
      <c r="R57" s="4">
        <v>7</v>
      </c>
      <c r="S57" s="4">
        <v>4</v>
      </c>
      <c r="T57" s="6">
        <f t="shared" si="7"/>
        <v>1403</v>
      </c>
      <c r="U57" s="7">
        <f t="shared" si="23"/>
        <v>1000</v>
      </c>
      <c r="V57" s="7">
        <f t="shared" si="24"/>
        <v>976</v>
      </c>
      <c r="W57" s="7">
        <f t="shared" si="22"/>
        <v>955</v>
      </c>
      <c r="X57" s="6"/>
      <c r="Y57" s="5"/>
      <c r="Z57" s="5"/>
      <c r="AA57" s="5"/>
      <c r="AB57" s="5"/>
    </row>
    <row r="58" spans="1:28" ht="15" customHeight="1">
      <c r="A58" s="12">
        <v>44</v>
      </c>
      <c r="B58" s="11">
        <f t="shared" si="11"/>
        <v>45314</v>
      </c>
      <c r="C58" s="9">
        <f t="shared" si="12"/>
        <v>842</v>
      </c>
      <c r="D58" s="8">
        <f t="shared" si="25"/>
        <v>1535</v>
      </c>
      <c r="E58" s="4">
        <f t="shared" si="1"/>
        <v>564</v>
      </c>
      <c r="F58" s="4">
        <f t="shared" si="2"/>
        <v>406</v>
      </c>
      <c r="G58" s="4">
        <f t="shared" si="3"/>
        <v>915</v>
      </c>
      <c r="H58" s="5">
        <f t="shared" si="4"/>
        <v>1813</v>
      </c>
      <c r="I58" s="5">
        <f t="shared" si="5"/>
        <v>1971</v>
      </c>
      <c r="J58" s="5">
        <f t="shared" si="6"/>
        <v>1462</v>
      </c>
      <c r="K58" s="5">
        <f t="shared" si="26"/>
        <v>2000</v>
      </c>
      <c r="L58" s="5">
        <f t="shared" si="27"/>
        <v>2000</v>
      </c>
      <c r="M58" s="5">
        <f t="shared" si="28"/>
        <v>2000</v>
      </c>
      <c r="N58" s="5">
        <f t="shared" si="17"/>
        <v>-187</v>
      </c>
      <c r="O58" s="5">
        <f t="shared" si="18"/>
        <v>-29</v>
      </c>
      <c r="P58" s="5">
        <f t="shared" si="19"/>
        <v>-538</v>
      </c>
      <c r="Q58" s="4">
        <v>7</v>
      </c>
      <c r="R58" s="4">
        <v>5</v>
      </c>
      <c r="S58" s="4">
        <v>3</v>
      </c>
      <c r="T58" s="6">
        <f t="shared" si="7"/>
        <v>1406</v>
      </c>
      <c r="U58" s="7">
        <f t="shared" si="23"/>
        <v>993</v>
      </c>
      <c r="V58" s="7">
        <f t="shared" si="24"/>
        <v>971</v>
      </c>
      <c r="W58" s="7">
        <f t="shared" si="22"/>
        <v>952</v>
      </c>
      <c r="X58" s="6"/>
      <c r="Y58" s="5"/>
      <c r="Z58" s="5"/>
      <c r="AA58" s="5"/>
      <c r="AB58" s="5"/>
    </row>
    <row r="59" spans="1:28" ht="15" customHeight="1">
      <c r="A59" s="12">
        <v>45</v>
      </c>
      <c r="B59" s="11">
        <f t="shared" si="11"/>
        <v>45315</v>
      </c>
      <c r="C59" s="9">
        <f t="shared" si="12"/>
        <v>842</v>
      </c>
      <c r="D59" s="8">
        <f t="shared" si="25"/>
        <v>1533</v>
      </c>
      <c r="E59" s="4">
        <f t="shared" si="1"/>
        <v>567</v>
      </c>
      <c r="F59" s="4">
        <f t="shared" si="2"/>
        <v>408</v>
      </c>
      <c r="G59" s="4">
        <f t="shared" si="3"/>
        <v>915</v>
      </c>
      <c r="H59" s="5">
        <f t="shared" si="4"/>
        <v>1808</v>
      </c>
      <c r="I59" s="5">
        <f t="shared" si="5"/>
        <v>1967</v>
      </c>
      <c r="J59" s="5">
        <f t="shared" si="6"/>
        <v>1460</v>
      </c>
      <c r="K59" s="5">
        <f t="shared" si="26"/>
        <v>2000</v>
      </c>
      <c r="L59" s="5">
        <f t="shared" si="27"/>
        <v>2000</v>
      </c>
      <c r="M59" s="5">
        <f t="shared" si="28"/>
        <v>2000</v>
      </c>
      <c r="N59" s="5">
        <f t="shared" si="17"/>
        <v>-192</v>
      </c>
      <c r="O59" s="5">
        <f t="shared" si="18"/>
        <v>-33</v>
      </c>
      <c r="P59" s="5">
        <f t="shared" si="19"/>
        <v>-540</v>
      </c>
      <c r="Q59" s="4">
        <v>5</v>
      </c>
      <c r="R59" s="4">
        <v>4</v>
      </c>
      <c r="S59" s="4">
        <v>2</v>
      </c>
      <c r="T59" s="6">
        <f t="shared" si="7"/>
        <v>1408</v>
      </c>
      <c r="U59" s="7">
        <f t="shared" si="23"/>
        <v>988</v>
      </c>
      <c r="V59" s="7">
        <f t="shared" si="24"/>
        <v>967</v>
      </c>
      <c r="W59" s="7">
        <f t="shared" si="22"/>
        <v>950</v>
      </c>
      <c r="X59" s="6"/>
      <c r="Y59" s="5"/>
      <c r="Z59" s="5"/>
      <c r="AA59" s="5"/>
      <c r="AB59" s="5"/>
    </row>
    <row r="60" spans="1:28" ht="15" customHeight="1">
      <c r="A60" s="12">
        <v>46</v>
      </c>
      <c r="B60" s="11">
        <f t="shared" si="11"/>
        <v>45316</v>
      </c>
      <c r="C60" s="9">
        <f t="shared" si="12"/>
        <v>842</v>
      </c>
      <c r="D60" s="8">
        <f t="shared" si="25"/>
        <v>1531</v>
      </c>
      <c r="E60" s="4">
        <f t="shared" si="1"/>
        <v>569</v>
      </c>
      <c r="F60" s="4">
        <f t="shared" si="2"/>
        <v>410</v>
      </c>
      <c r="G60" s="4">
        <f t="shared" si="3"/>
        <v>916</v>
      </c>
      <c r="H60" s="5">
        <f t="shared" si="4"/>
        <v>1804</v>
      </c>
      <c r="I60" s="5">
        <f t="shared" si="5"/>
        <v>1963</v>
      </c>
      <c r="J60" s="5">
        <f t="shared" si="6"/>
        <v>1457</v>
      </c>
      <c r="K60" s="5">
        <f t="shared" si="26"/>
        <v>2000</v>
      </c>
      <c r="L60" s="5">
        <f t="shared" si="27"/>
        <v>2000</v>
      </c>
      <c r="M60" s="5">
        <f t="shared" si="28"/>
        <v>2000</v>
      </c>
      <c r="N60" s="5">
        <f t="shared" si="17"/>
        <v>-196</v>
      </c>
      <c r="O60" s="5">
        <f t="shared" si="18"/>
        <v>-37</v>
      </c>
      <c r="P60" s="5">
        <f t="shared" si="19"/>
        <v>-543</v>
      </c>
      <c r="Q60" s="4">
        <v>4</v>
      </c>
      <c r="R60" s="4">
        <v>4</v>
      </c>
      <c r="S60" s="4">
        <v>3</v>
      </c>
      <c r="T60" s="6">
        <f t="shared" si="7"/>
        <v>1410</v>
      </c>
      <c r="U60" s="7">
        <f t="shared" si="23"/>
        <v>984</v>
      </c>
      <c r="V60" s="7">
        <f t="shared" si="24"/>
        <v>963</v>
      </c>
      <c r="W60" s="7">
        <f t="shared" si="22"/>
        <v>947</v>
      </c>
      <c r="X60" s="6"/>
      <c r="Y60" s="5"/>
      <c r="Z60" s="5"/>
      <c r="AA60" s="5"/>
      <c r="AB60" s="5"/>
    </row>
    <row r="61" spans="1:28" ht="15" customHeight="1">
      <c r="A61" s="12">
        <v>47</v>
      </c>
      <c r="B61" s="11">
        <f t="shared" si="11"/>
        <v>45317</v>
      </c>
      <c r="C61" s="9">
        <f t="shared" si="12"/>
        <v>842</v>
      </c>
      <c r="D61" s="8">
        <f t="shared" si="25"/>
        <v>1529</v>
      </c>
      <c r="E61" s="4">
        <f t="shared" si="1"/>
        <v>575</v>
      </c>
      <c r="F61" s="4">
        <f t="shared" si="2"/>
        <v>416</v>
      </c>
      <c r="G61" s="4">
        <f t="shared" si="3"/>
        <v>922</v>
      </c>
      <c r="H61" s="5">
        <f t="shared" si="4"/>
        <v>1796</v>
      </c>
      <c r="I61" s="5">
        <f t="shared" si="5"/>
        <v>1955</v>
      </c>
      <c r="J61" s="5">
        <f t="shared" si="6"/>
        <v>1449</v>
      </c>
      <c r="K61" s="5">
        <f t="shared" si="26"/>
        <v>2000</v>
      </c>
      <c r="L61" s="5">
        <f t="shared" si="27"/>
        <v>2000</v>
      </c>
      <c r="M61" s="5">
        <f t="shared" si="28"/>
        <v>2000</v>
      </c>
      <c r="N61" s="5">
        <f t="shared" si="17"/>
        <v>-204</v>
      </c>
      <c r="O61" s="5">
        <f t="shared" si="18"/>
        <v>-45</v>
      </c>
      <c r="P61" s="5">
        <f t="shared" si="19"/>
        <v>-551</v>
      </c>
      <c r="Q61" s="4">
        <v>8</v>
      </c>
      <c r="R61" s="4">
        <v>8</v>
      </c>
      <c r="S61" s="4">
        <v>8</v>
      </c>
      <c r="T61" s="6">
        <f t="shared" si="7"/>
        <v>1416</v>
      </c>
      <c r="U61" s="7">
        <f t="shared" si="23"/>
        <v>976</v>
      </c>
      <c r="V61" s="7">
        <f t="shared" si="24"/>
        <v>955</v>
      </c>
      <c r="W61" s="7">
        <f t="shared" si="22"/>
        <v>939</v>
      </c>
      <c r="X61" s="6"/>
      <c r="Y61" s="5"/>
      <c r="Z61" s="5"/>
      <c r="AA61" s="5"/>
      <c r="AB61" s="5"/>
    </row>
    <row r="62" spans="1:28" ht="15" customHeight="1">
      <c r="A62" s="12">
        <v>48</v>
      </c>
      <c r="B62" s="11">
        <f t="shared" si="11"/>
        <v>45318</v>
      </c>
      <c r="C62" s="9">
        <f t="shared" si="12"/>
        <v>842</v>
      </c>
      <c r="D62" s="8">
        <f t="shared" si="25"/>
        <v>1527</v>
      </c>
      <c r="E62" s="4">
        <f t="shared" si="1"/>
        <v>575</v>
      </c>
      <c r="F62" s="4">
        <f t="shared" si="2"/>
        <v>418</v>
      </c>
      <c r="G62" s="4">
        <f t="shared" si="3"/>
        <v>925</v>
      </c>
      <c r="H62" s="5">
        <f t="shared" si="4"/>
        <v>1794</v>
      </c>
      <c r="I62" s="5">
        <f t="shared" si="5"/>
        <v>1951</v>
      </c>
      <c r="J62" s="5">
        <f t="shared" si="6"/>
        <v>1444</v>
      </c>
      <c r="K62" s="5">
        <f t="shared" si="26"/>
        <v>2000</v>
      </c>
      <c r="L62" s="5">
        <f t="shared" si="27"/>
        <v>2000</v>
      </c>
      <c r="M62" s="5">
        <f t="shared" si="28"/>
        <v>2000</v>
      </c>
      <c r="N62" s="5">
        <f t="shared" si="17"/>
        <v>-206</v>
      </c>
      <c r="O62" s="5">
        <f t="shared" si="18"/>
        <v>-49</v>
      </c>
      <c r="P62" s="5">
        <f t="shared" si="19"/>
        <v>-556</v>
      </c>
      <c r="Q62" s="4">
        <v>2</v>
      </c>
      <c r="R62" s="4">
        <v>4</v>
      </c>
      <c r="S62" s="4">
        <v>5</v>
      </c>
      <c r="T62" s="6">
        <f t="shared" si="7"/>
        <v>1418</v>
      </c>
      <c r="U62" s="7">
        <f t="shared" si="23"/>
        <v>974</v>
      </c>
      <c r="V62" s="7">
        <f t="shared" si="24"/>
        <v>951</v>
      </c>
      <c r="W62" s="7">
        <f t="shared" si="22"/>
        <v>934</v>
      </c>
      <c r="X62" s="6"/>
      <c r="Y62" s="5"/>
      <c r="Z62" s="5"/>
      <c r="AA62" s="5"/>
      <c r="AB62" s="5"/>
    </row>
    <row r="63" spans="1:28" ht="15" customHeight="1">
      <c r="A63" s="12">
        <v>49</v>
      </c>
      <c r="B63" s="11">
        <f t="shared" si="11"/>
        <v>45319</v>
      </c>
      <c r="C63" s="9">
        <f t="shared" si="12"/>
        <v>842</v>
      </c>
      <c r="D63" s="8">
        <f t="shared" si="25"/>
        <v>1525</v>
      </c>
      <c r="E63" s="4">
        <f t="shared" si="1"/>
        <v>577</v>
      </c>
      <c r="F63" s="4">
        <f t="shared" si="2"/>
        <v>423</v>
      </c>
      <c r="G63" s="4">
        <f t="shared" si="3"/>
        <v>927</v>
      </c>
      <c r="H63" s="5">
        <f t="shared" si="4"/>
        <v>1790</v>
      </c>
      <c r="I63" s="5">
        <f t="shared" si="5"/>
        <v>1944</v>
      </c>
      <c r="J63" s="5">
        <f t="shared" si="6"/>
        <v>1440</v>
      </c>
      <c r="K63" s="5">
        <f t="shared" si="26"/>
        <v>2000</v>
      </c>
      <c r="L63" s="5">
        <f t="shared" si="27"/>
        <v>2000</v>
      </c>
      <c r="M63" s="5">
        <f t="shared" si="28"/>
        <v>2000</v>
      </c>
      <c r="N63" s="5">
        <f t="shared" si="17"/>
        <v>-210</v>
      </c>
      <c r="O63" s="5">
        <f t="shared" si="18"/>
        <v>-56</v>
      </c>
      <c r="P63" s="5">
        <f t="shared" si="19"/>
        <v>-560</v>
      </c>
      <c r="Q63" s="4">
        <v>4</v>
      </c>
      <c r="R63" s="4">
        <v>7</v>
      </c>
      <c r="S63" s="4">
        <v>4</v>
      </c>
      <c r="T63" s="6">
        <f t="shared" si="7"/>
        <v>1423</v>
      </c>
      <c r="U63" s="7">
        <f t="shared" si="23"/>
        <v>970</v>
      </c>
      <c r="V63" s="7">
        <f t="shared" si="24"/>
        <v>944</v>
      </c>
      <c r="W63" s="7">
        <f t="shared" si="22"/>
        <v>930</v>
      </c>
      <c r="X63" s="6"/>
      <c r="Y63" s="5"/>
      <c r="Z63" s="5"/>
      <c r="AA63" s="5"/>
      <c r="AB63" s="5"/>
    </row>
    <row r="64" spans="1:28" ht="15" customHeight="1">
      <c r="A64" s="12">
        <v>50</v>
      </c>
      <c r="B64" s="11">
        <f t="shared" si="11"/>
        <v>45320</v>
      </c>
      <c r="C64" s="9">
        <f t="shared" si="12"/>
        <v>842</v>
      </c>
      <c r="D64" s="8">
        <f t="shared" si="25"/>
        <v>1523</v>
      </c>
      <c r="E64" s="4">
        <f t="shared" si="1"/>
        <v>582</v>
      </c>
      <c r="F64" s="4">
        <f t="shared" si="2"/>
        <v>426</v>
      </c>
      <c r="G64" s="4">
        <f t="shared" si="3"/>
        <v>928</v>
      </c>
      <c r="H64" s="5">
        <f t="shared" si="4"/>
        <v>1783</v>
      </c>
      <c r="I64" s="5">
        <f t="shared" si="5"/>
        <v>1939</v>
      </c>
      <c r="J64" s="5">
        <f t="shared" si="6"/>
        <v>1437</v>
      </c>
      <c r="K64" s="5">
        <f t="shared" si="26"/>
        <v>2000</v>
      </c>
      <c r="L64" s="5">
        <f t="shared" si="27"/>
        <v>2000</v>
      </c>
      <c r="M64" s="5">
        <f t="shared" si="28"/>
        <v>2000</v>
      </c>
      <c r="N64" s="5">
        <f t="shared" si="17"/>
        <v>-217</v>
      </c>
      <c r="O64" s="5">
        <f t="shared" si="18"/>
        <v>-61</v>
      </c>
      <c r="P64" s="5">
        <f t="shared" si="19"/>
        <v>-563</v>
      </c>
      <c r="Q64" s="4">
        <v>7</v>
      </c>
      <c r="R64" s="4">
        <v>5</v>
      </c>
      <c r="S64" s="4">
        <v>3</v>
      </c>
      <c r="T64" s="6">
        <f t="shared" si="7"/>
        <v>1426</v>
      </c>
      <c r="U64" s="7">
        <f t="shared" si="23"/>
        <v>963</v>
      </c>
      <c r="V64" s="7">
        <f t="shared" si="24"/>
        <v>939</v>
      </c>
      <c r="W64" s="7">
        <f t="shared" si="22"/>
        <v>927</v>
      </c>
      <c r="X64" s="6"/>
      <c r="Y64" s="5"/>
      <c r="Z64" s="5"/>
      <c r="AA64" s="5"/>
      <c r="AB64" s="5"/>
    </row>
    <row r="65" spans="1:28" ht="15" customHeight="1">
      <c r="A65" s="12">
        <v>51</v>
      </c>
      <c r="B65" s="11">
        <f t="shared" si="11"/>
        <v>45321</v>
      </c>
      <c r="C65" s="9">
        <f t="shared" si="12"/>
        <v>842</v>
      </c>
      <c r="D65" s="8">
        <f t="shared" si="25"/>
        <v>1521</v>
      </c>
      <c r="E65" s="4">
        <f t="shared" si="1"/>
        <v>585</v>
      </c>
      <c r="F65" s="4">
        <f t="shared" si="2"/>
        <v>426</v>
      </c>
      <c r="G65" s="4">
        <f t="shared" si="3"/>
        <v>928</v>
      </c>
      <c r="H65" s="5">
        <f t="shared" si="4"/>
        <v>1778</v>
      </c>
      <c r="I65" s="5">
        <f t="shared" si="5"/>
        <v>1937</v>
      </c>
      <c r="J65" s="5">
        <f t="shared" si="6"/>
        <v>1435</v>
      </c>
      <c r="K65" s="5">
        <f t="shared" si="26"/>
        <v>2000</v>
      </c>
      <c r="L65" s="5">
        <f t="shared" si="27"/>
        <v>2000</v>
      </c>
      <c r="M65" s="5">
        <f t="shared" si="28"/>
        <v>2000</v>
      </c>
      <c r="N65" s="5">
        <f t="shared" si="17"/>
        <v>-222</v>
      </c>
      <c r="O65" s="5">
        <f t="shared" si="18"/>
        <v>-63</v>
      </c>
      <c r="P65" s="5">
        <f t="shared" si="19"/>
        <v>-565</v>
      </c>
      <c r="Q65" s="4">
        <v>5</v>
      </c>
      <c r="R65" s="4">
        <v>2</v>
      </c>
      <c r="S65" s="4">
        <v>2</v>
      </c>
      <c r="T65" s="6">
        <f t="shared" si="7"/>
        <v>1426</v>
      </c>
      <c r="U65" s="7">
        <f t="shared" si="23"/>
        <v>958</v>
      </c>
      <c r="V65" s="7">
        <f t="shared" si="24"/>
        <v>937</v>
      </c>
      <c r="W65" s="7">
        <f t="shared" si="22"/>
        <v>925</v>
      </c>
      <c r="X65" s="6"/>
      <c r="Y65" s="5"/>
      <c r="Z65" s="5"/>
      <c r="AA65" s="5"/>
      <c r="AB65" s="5"/>
    </row>
    <row r="66" spans="1:28" ht="15" customHeight="1">
      <c r="A66" s="12">
        <v>52</v>
      </c>
      <c r="B66" s="11">
        <f t="shared" si="11"/>
        <v>45322</v>
      </c>
      <c r="C66" s="9">
        <f t="shared" si="12"/>
        <v>842</v>
      </c>
      <c r="D66" s="8">
        <f t="shared" si="25"/>
        <v>1519</v>
      </c>
      <c r="E66" s="4">
        <f t="shared" si="1"/>
        <v>585</v>
      </c>
      <c r="F66" s="4">
        <f t="shared" si="2"/>
        <v>428</v>
      </c>
      <c r="G66" s="4">
        <f t="shared" si="3"/>
        <v>927</v>
      </c>
      <c r="H66" s="5">
        <f t="shared" si="4"/>
        <v>1776</v>
      </c>
      <c r="I66" s="5">
        <f t="shared" si="5"/>
        <v>1933</v>
      </c>
      <c r="J66" s="5">
        <f t="shared" si="6"/>
        <v>1434</v>
      </c>
      <c r="K66" s="5">
        <f t="shared" si="26"/>
        <v>2000</v>
      </c>
      <c r="L66" s="5">
        <f t="shared" si="27"/>
        <v>2000</v>
      </c>
      <c r="M66" s="5">
        <f t="shared" si="28"/>
        <v>2000</v>
      </c>
      <c r="N66" s="5">
        <f t="shared" si="17"/>
        <v>-224</v>
      </c>
      <c r="O66" s="5">
        <f t="shared" si="18"/>
        <v>-67</v>
      </c>
      <c r="P66" s="5">
        <f t="shared" si="19"/>
        <v>-566</v>
      </c>
      <c r="Q66" s="4">
        <v>2</v>
      </c>
      <c r="R66" s="4">
        <v>4</v>
      </c>
      <c r="S66" s="4">
        <v>1</v>
      </c>
      <c r="T66" s="6">
        <f t="shared" si="7"/>
        <v>1428</v>
      </c>
      <c r="U66" s="7">
        <f t="shared" si="23"/>
        <v>956</v>
      </c>
      <c r="V66" s="7">
        <f t="shared" si="24"/>
        <v>933</v>
      </c>
      <c r="W66" s="7">
        <f t="shared" si="22"/>
        <v>924</v>
      </c>
      <c r="X66" s="6"/>
      <c r="Y66" s="5"/>
      <c r="Z66" s="5"/>
      <c r="AA66" s="5"/>
      <c r="AB66" s="5"/>
    </row>
    <row r="67" spans="1:28" ht="15" customHeight="1">
      <c r="A67" s="12">
        <v>53</v>
      </c>
      <c r="B67" s="11">
        <f t="shared" si="11"/>
        <v>45323</v>
      </c>
      <c r="C67" s="9">
        <f t="shared" si="12"/>
        <v>842</v>
      </c>
      <c r="D67" s="8">
        <f t="shared" si="25"/>
        <v>1517</v>
      </c>
      <c r="E67" s="4">
        <f t="shared" si="1"/>
        <v>587</v>
      </c>
      <c r="F67" s="4">
        <f t="shared" si="2"/>
        <v>433</v>
      </c>
      <c r="G67" s="4">
        <f t="shared" si="3"/>
        <v>925</v>
      </c>
      <c r="H67" s="5">
        <f t="shared" si="4"/>
        <v>1772</v>
      </c>
      <c r="I67" s="5">
        <f t="shared" si="5"/>
        <v>1926</v>
      </c>
      <c r="J67" s="5">
        <f t="shared" si="6"/>
        <v>1434</v>
      </c>
      <c r="K67" s="5">
        <f t="shared" si="26"/>
        <v>2000</v>
      </c>
      <c r="L67" s="5">
        <f t="shared" si="27"/>
        <v>2000</v>
      </c>
      <c r="M67" s="5">
        <f t="shared" si="28"/>
        <v>2000</v>
      </c>
      <c r="N67" s="5">
        <f t="shared" si="17"/>
        <v>-228</v>
      </c>
      <c r="O67" s="5">
        <f t="shared" si="18"/>
        <v>-74</v>
      </c>
      <c r="P67" s="5">
        <f t="shared" si="19"/>
        <v>-566</v>
      </c>
      <c r="Q67" s="4">
        <v>4</v>
      </c>
      <c r="R67" s="4">
        <v>7</v>
      </c>
      <c r="S67" s="4">
        <v>0</v>
      </c>
      <c r="T67" s="6">
        <f t="shared" si="7"/>
        <v>1433</v>
      </c>
      <c r="U67" s="7">
        <f t="shared" si="23"/>
        <v>952</v>
      </c>
      <c r="V67" s="7">
        <f t="shared" si="24"/>
        <v>926</v>
      </c>
      <c r="W67" s="7">
        <f t="shared" si="22"/>
        <v>924</v>
      </c>
      <c r="X67" s="6"/>
      <c r="Y67" s="5"/>
      <c r="Z67" s="5"/>
      <c r="AA67" s="5"/>
      <c r="AB67" s="5"/>
    </row>
    <row r="68" spans="1:28" ht="15" customHeight="1">
      <c r="A68" s="12">
        <v>54</v>
      </c>
      <c r="B68" s="11">
        <f t="shared" si="11"/>
        <v>45324</v>
      </c>
      <c r="C68" s="9">
        <f t="shared" si="12"/>
        <v>842</v>
      </c>
      <c r="D68" s="8">
        <f t="shared" si="25"/>
        <v>1515</v>
      </c>
      <c r="E68" s="4">
        <f t="shared" si="1"/>
        <v>587</v>
      </c>
      <c r="F68" s="4">
        <f t="shared" si="2"/>
        <v>436</v>
      </c>
      <c r="G68" s="4">
        <f t="shared" si="3"/>
        <v>924</v>
      </c>
      <c r="H68" s="5">
        <f t="shared" si="4"/>
        <v>1770</v>
      </c>
      <c r="I68" s="5">
        <f t="shared" si="5"/>
        <v>1921</v>
      </c>
      <c r="J68" s="5">
        <f t="shared" si="6"/>
        <v>1433</v>
      </c>
      <c r="K68" s="5">
        <f t="shared" si="26"/>
        <v>2000</v>
      </c>
      <c r="L68" s="5">
        <f t="shared" si="27"/>
        <v>2000</v>
      </c>
      <c r="M68" s="5">
        <f t="shared" si="28"/>
        <v>2000</v>
      </c>
      <c r="N68" s="5">
        <f t="shared" si="17"/>
        <v>-230</v>
      </c>
      <c r="O68" s="5">
        <f t="shared" si="18"/>
        <v>-79</v>
      </c>
      <c r="P68" s="5">
        <f t="shared" si="19"/>
        <v>-567</v>
      </c>
      <c r="Q68" s="4">
        <v>2</v>
      </c>
      <c r="R68" s="4">
        <v>5</v>
      </c>
      <c r="S68" s="4">
        <v>1</v>
      </c>
      <c r="T68" s="6">
        <f t="shared" si="7"/>
        <v>1436</v>
      </c>
      <c r="U68" s="7">
        <f t="shared" si="23"/>
        <v>950</v>
      </c>
      <c r="V68" s="7">
        <f t="shared" si="24"/>
        <v>921</v>
      </c>
      <c r="W68" s="7">
        <f t="shared" si="22"/>
        <v>923</v>
      </c>
      <c r="X68" s="6"/>
      <c r="Y68" s="5"/>
      <c r="Z68" s="5"/>
      <c r="AA68" s="5"/>
      <c r="AB68" s="5"/>
    </row>
    <row r="69" spans="1:28" ht="15" customHeight="1">
      <c r="A69" s="12">
        <v>55</v>
      </c>
      <c r="B69" s="11">
        <f t="shared" si="11"/>
        <v>45325</v>
      </c>
      <c r="C69" s="9">
        <f t="shared" si="12"/>
        <v>842</v>
      </c>
      <c r="D69" s="8">
        <f t="shared" si="25"/>
        <v>1513</v>
      </c>
      <c r="E69" s="4">
        <f t="shared" si="1"/>
        <v>589</v>
      </c>
      <c r="F69" s="4">
        <f t="shared" si="2"/>
        <v>438</v>
      </c>
      <c r="G69" s="4">
        <f t="shared" si="3"/>
        <v>922</v>
      </c>
      <c r="H69" s="5">
        <f t="shared" si="4"/>
        <v>1766</v>
      </c>
      <c r="I69" s="5">
        <f t="shared" si="5"/>
        <v>1917</v>
      </c>
      <c r="J69" s="5">
        <f t="shared" si="6"/>
        <v>1433</v>
      </c>
      <c r="K69" s="5">
        <f t="shared" si="26"/>
        <v>2000</v>
      </c>
      <c r="L69" s="5">
        <f t="shared" si="27"/>
        <v>2000</v>
      </c>
      <c r="M69" s="5">
        <f t="shared" si="28"/>
        <v>2000</v>
      </c>
      <c r="N69" s="5">
        <f t="shared" si="17"/>
        <v>-234</v>
      </c>
      <c r="O69" s="5">
        <f t="shared" si="18"/>
        <v>-83</v>
      </c>
      <c r="P69" s="5">
        <f t="shared" si="19"/>
        <v>-567</v>
      </c>
      <c r="Q69" s="4">
        <v>4</v>
      </c>
      <c r="R69" s="4">
        <v>4</v>
      </c>
      <c r="S69" s="4">
        <v>0</v>
      </c>
      <c r="T69" s="6">
        <f t="shared" si="7"/>
        <v>1438</v>
      </c>
      <c r="U69" s="7">
        <f t="shared" si="23"/>
        <v>946</v>
      </c>
      <c r="V69" s="7">
        <f t="shared" si="24"/>
        <v>917</v>
      </c>
      <c r="W69" s="7">
        <f t="shared" si="22"/>
        <v>923</v>
      </c>
      <c r="X69" s="6"/>
      <c r="Y69" s="5"/>
      <c r="Z69" s="5"/>
      <c r="AA69" s="5"/>
      <c r="AB69" s="5"/>
    </row>
    <row r="70" spans="1:28" ht="15" customHeight="1">
      <c r="A70" s="12">
        <v>56</v>
      </c>
      <c r="B70" s="11">
        <f t="shared" si="11"/>
        <v>45326</v>
      </c>
      <c r="C70" s="9">
        <f t="shared" si="12"/>
        <v>842</v>
      </c>
      <c r="D70" s="8">
        <f t="shared" si="25"/>
        <v>1511</v>
      </c>
      <c r="E70" s="4">
        <f t="shared" si="1"/>
        <v>589</v>
      </c>
      <c r="F70" s="4">
        <f t="shared" si="2"/>
        <v>444</v>
      </c>
      <c r="G70" s="4">
        <f t="shared" si="3"/>
        <v>921</v>
      </c>
      <c r="H70" s="5">
        <f t="shared" si="4"/>
        <v>1764</v>
      </c>
      <c r="I70" s="5">
        <f t="shared" si="5"/>
        <v>1909</v>
      </c>
      <c r="J70" s="5">
        <f t="shared" si="6"/>
        <v>1432</v>
      </c>
      <c r="K70" s="5">
        <f t="shared" si="26"/>
        <v>2000</v>
      </c>
      <c r="L70" s="5">
        <f t="shared" si="27"/>
        <v>2000</v>
      </c>
      <c r="M70" s="5">
        <f t="shared" si="28"/>
        <v>2000</v>
      </c>
      <c r="N70" s="5">
        <f t="shared" si="17"/>
        <v>-236</v>
      </c>
      <c r="O70" s="5">
        <f t="shared" si="18"/>
        <v>-91</v>
      </c>
      <c r="P70" s="5">
        <f t="shared" si="19"/>
        <v>-568</v>
      </c>
      <c r="Q70" s="4">
        <v>2</v>
      </c>
      <c r="R70" s="4">
        <v>8</v>
      </c>
      <c r="S70" s="4">
        <v>1</v>
      </c>
      <c r="T70" s="6">
        <f t="shared" si="7"/>
        <v>1444</v>
      </c>
      <c r="U70" s="7">
        <f t="shared" si="23"/>
        <v>944</v>
      </c>
      <c r="V70" s="7">
        <f t="shared" si="24"/>
        <v>909</v>
      </c>
      <c r="W70" s="7">
        <f t="shared" si="22"/>
        <v>922</v>
      </c>
      <c r="X70" s="6"/>
      <c r="Y70" s="5"/>
      <c r="Z70" s="5"/>
      <c r="AA70" s="5"/>
      <c r="AB70" s="5"/>
    </row>
    <row r="71" spans="1:28" ht="15" customHeight="1">
      <c r="A71" s="12">
        <v>57</v>
      </c>
      <c r="B71" s="11">
        <f t="shared" si="11"/>
        <v>45327</v>
      </c>
      <c r="C71" s="9">
        <f t="shared" si="12"/>
        <v>842</v>
      </c>
      <c r="D71" s="8">
        <f t="shared" si="25"/>
        <v>1509</v>
      </c>
      <c r="E71" s="4">
        <f t="shared" si="1"/>
        <v>591</v>
      </c>
      <c r="F71" s="4">
        <f t="shared" si="2"/>
        <v>444</v>
      </c>
      <c r="G71" s="4">
        <f t="shared" si="3"/>
        <v>919</v>
      </c>
      <c r="H71" s="5">
        <f t="shared" si="4"/>
        <v>1760</v>
      </c>
      <c r="I71" s="5">
        <f t="shared" si="5"/>
        <v>1907</v>
      </c>
      <c r="J71" s="5">
        <f t="shared" si="6"/>
        <v>1432</v>
      </c>
      <c r="K71" s="5">
        <f t="shared" si="26"/>
        <v>2000</v>
      </c>
      <c r="L71" s="5">
        <f t="shared" si="27"/>
        <v>2000</v>
      </c>
      <c r="M71" s="5">
        <f t="shared" si="28"/>
        <v>2000</v>
      </c>
      <c r="N71" s="5">
        <f t="shared" si="17"/>
        <v>-240</v>
      </c>
      <c r="O71" s="5">
        <f t="shared" si="18"/>
        <v>-93</v>
      </c>
      <c r="P71" s="5">
        <f t="shared" si="19"/>
        <v>-568</v>
      </c>
      <c r="Q71" s="4">
        <v>4</v>
      </c>
      <c r="R71" s="4">
        <v>2</v>
      </c>
      <c r="S71" s="4">
        <v>0</v>
      </c>
      <c r="T71" s="6">
        <f t="shared" si="7"/>
        <v>1444</v>
      </c>
      <c r="U71" s="7">
        <f t="shared" si="23"/>
        <v>940</v>
      </c>
      <c r="V71" s="7">
        <f t="shared" si="24"/>
        <v>907</v>
      </c>
      <c r="W71" s="7">
        <f t="shared" si="22"/>
        <v>922</v>
      </c>
      <c r="X71" s="6"/>
      <c r="Y71" s="5"/>
      <c r="Z71" s="5"/>
      <c r="AA71" s="5"/>
      <c r="AB71" s="5"/>
    </row>
    <row r="72" spans="1:28" ht="15" customHeight="1">
      <c r="A72" s="12">
        <v>58</v>
      </c>
      <c r="B72" s="11">
        <f t="shared" si="11"/>
        <v>45328</v>
      </c>
      <c r="C72" s="9">
        <f t="shared" si="12"/>
        <v>842</v>
      </c>
      <c r="D72" s="8">
        <f t="shared" si="25"/>
        <v>1507</v>
      </c>
      <c r="E72" s="4">
        <f t="shared" si="1"/>
        <v>591</v>
      </c>
      <c r="F72" s="4">
        <f t="shared" si="2"/>
        <v>446</v>
      </c>
      <c r="G72" s="4">
        <f t="shared" si="3"/>
        <v>918</v>
      </c>
      <c r="H72" s="5">
        <f t="shared" si="4"/>
        <v>1758</v>
      </c>
      <c r="I72" s="5">
        <f t="shared" si="5"/>
        <v>1903</v>
      </c>
      <c r="J72" s="5">
        <f t="shared" si="6"/>
        <v>1431</v>
      </c>
      <c r="K72" s="5">
        <f t="shared" si="26"/>
        <v>2000</v>
      </c>
      <c r="L72" s="5">
        <f t="shared" si="27"/>
        <v>2000</v>
      </c>
      <c r="M72" s="5">
        <f t="shared" si="28"/>
        <v>2000</v>
      </c>
      <c r="N72" s="5">
        <f t="shared" si="17"/>
        <v>-242</v>
      </c>
      <c r="O72" s="5">
        <f t="shared" si="18"/>
        <v>-97</v>
      </c>
      <c r="P72" s="5">
        <f t="shared" si="19"/>
        <v>-569</v>
      </c>
      <c r="Q72" s="4">
        <v>2</v>
      </c>
      <c r="R72" s="4">
        <v>4</v>
      </c>
      <c r="S72" s="4">
        <v>1</v>
      </c>
      <c r="T72" s="6">
        <f t="shared" si="7"/>
        <v>1446</v>
      </c>
      <c r="U72" s="7">
        <f t="shared" si="23"/>
        <v>938</v>
      </c>
      <c r="V72" s="7">
        <f t="shared" si="24"/>
        <v>903</v>
      </c>
      <c r="W72" s="7">
        <f t="shared" si="22"/>
        <v>921</v>
      </c>
      <c r="X72" s="6"/>
      <c r="Y72" s="5"/>
      <c r="Z72" s="5"/>
      <c r="AA72" s="5"/>
      <c r="AB72" s="5"/>
    </row>
    <row r="73" spans="1:28" ht="15" customHeight="1">
      <c r="A73" s="12">
        <v>59</v>
      </c>
      <c r="B73" s="11">
        <f t="shared" si="11"/>
        <v>45329</v>
      </c>
      <c r="C73" s="9">
        <f t="shared" si="12"/>
        <v>842</v>
      </c>
      <c r="D73" s="8">
        <f t="shared" si="25"/>
        <v>1505</v>
      </c>
      <c r="E73" s="4">
        <f t="shared" si="1"/>
        <v>593</v>
      </c>
      <c r="F73" s="4">
        <f t="shared" si="2"/>
        <v>451</v>
      </c>
      <c r="G73" s="4">
        <f t="shared" si="3"/>
        <v>917</v>
      </c>
      <c r="H73" s="5">
        <f t="shared" si="4"/>
        <v>1754</v>
      </c>
      <c r="I73" s="5">
        <f t="shared" si="5"/>
        <v>1896</v>
      </c>
      <c r="J73" s="5">
        <f t="shared" si="6"/>
        <v>1430</v>
      </c>
      <c r="K73" s="5">
        <f t="shared" si="26"/>
        <v>2000</v>
      </c>
      <c r="L73" s="5">
        <f t="shared" si="27"/>
        <v>2000</v>
      </c>
      <c r="M73" s="5">
        <f t="shared" si="28"/>
        <v>2000</v>
      </c>
      <c r="N73" s="5">
        <f t="shared" si="17"/>
        <v>-246</v>
      </c>
      <c r="O73" s="5">
        <f t="shared" si="18"/>
        <v>-104</v>
      </c>
      <c r="P73" s="5">
        <f t="shared" si="19"/>
        <v>-570</v>
      </c>
      <c r="Q73" s="4">
        <v>4</v>
      </c>
      <c r="R73" s="4">
        <v>7</v>
      </c>
      <c r="S73" s="4">
        <v>1</v>
      </c>
      <c r="T73" s="6">
        <f t="shared" si="7"/>
        <v>1451</v>
      </c>
      <c r="U73" s="7">
        <f t="shared" si="23"/>
        <v>934</v>
      </c>
      <c r="V73" s="7">
        <f t="shared" si="24"/>
        <v>896</v>
      </c>
      <c r="W73" s="7">
        <f t="shared" si="22"/>
        <v>920</v>
      </c>
      <c r="X73" s="6"/>
      <c r="Y73" s="5"/>
      <c r="Z73" s="5"/>
      <c r="AA73" s="5"/>
      <c r="AB73" s="5"/>
    </row>
    <row r="74" spans="1:28" ht="15" customHeight="1">
      <c r="A74" s="12">
        <v>60</v>
      </c>
      <c r="B74" s="11">
        <f t="shared" si="11"/>
        <v>45330</v>
      </c>
      <c r="C74" s="9">
        <f t="shared" si="12"/>
        <v>842</v>
      </c>
      <c r="D74" s="8">
        <f t="shared" si="25"/>
        <v>1503</v>
      </c>
      <c r="E74" s="4">
        <f t="shared" si="1"/>
        <v>598</v>
      </c>
      <c r="F74" s="4">
        <f t="shared" si="2"/>
        <v>454</v>
      </c>
      <c r="G74" s="4">
        <f t="shared" si="3"/>
        <v>915</v>
      </c>
      <c r="H74" s="5">
        <f t="shared" si="4"/>
        <v>1747</v>
      </c>
      <c r="I74" s="5">
        <f t="shared" si="5"/>
        <v>1891</v>
      </c>
      <c r="J74" s="5">
        <f t="shared" si="6"/>
        <v>1430</v>
      </c>
      <c r="K74" s="5">
        <f t="shared" si="26"/>
        <v>2000</v>
      </c>
      <c r="L74" s="5">
        <f t="shared" si="27"/>
        <v>2000</v>
      </c>
      <c r="M74" s="5">
        <f t="shared" si="28"/>
        <v>2000</v>
      </c>
      <c r="N74" s="5">
        <f t="shared" si="17"/>
        <v>-253</v>
      </c>
      <c r="O74" s="5">
        <f t="shared" si="18"/>
        <v>-109</v>
      </c>
      <c r="P74" s="5">
        <f t="shared" si="19"/>
        <v>-570</v>
      </c>
      <c r="Q74" s="4">
        <v>7</v>
      </c>
      <c r="R74" s="4">
        <v>5</v>
      </c>
      <c r="S74" s="4">
        <v>0</v>
      </c>
      <c r="T74" s="6">
        <f t="shared" si="7"/>
        <v>1454</v>
      </c>
      <c r="U74" s="7">
        <f t="shared" si="23"/>
        <v>927</v>
      </c>
      <c r="V74" s="7">
        <f t="shared" si="24"/>
        <v>891</v>
      </c>
      <c r="W74" s="7">
        <f t="shared" si="22"/>
        <v>920</v>
      </c>
      <c r="X74" s="6"/>
      <c r="Y74" s="5"/>
      <c r="Z74" s="5"/>
      <c r="AA74" s="5"/>
      <c r="AB74" s="5"/>
    </row>
    <row r="75" spans="1:28" ht="15" customHeight="1">
      <c r="A75" s="12">
        <v>61</v>
      </c>
      <c r="B75" s="11">
        <f t="shared" si="11"/>
        <v>45331</v>
      </c>
      <c r="C75" s="9">
        <f t="shared" si="12"/>
        <v>842</v>
      </c>
      <c r="D75" s="8">
        <f t="shared" si="25"/>
        <v>1501</v>
      </c>
      <c r="E75" s="4">
        <f t="shared" si="1"/>
        <v>601</v>
      </c>
      <c r="F75" s="4">
        <f t="shared" si="2"/>
        <v>454</v>
      </c>
      <c r="G75" s="4">
        <f t="shared" si="3"/>
        <v>914</v>
      </c>
      <c r="H75" s="5">
        <f t="shared" si="4"/>
        <v>1742</v>
      </c>
      <c r="I75" s="5">
        <f t="shared" si="5"/>
        <v>1889</v>
      </c>
      <c r="J75" s="5">
        <f t="shared" si="6"/>
        <v>1429</v>
      </c>
      <c r="K75" s="5">
        <f t="shared" si="26"/>
        <v>2000</v>
      </c>
      <c r="L75" s="5">
        <f t="shared" si="27"/>
        <v>2000</v>
      </c>
      <c r="M75" s="5">
        <f t="shared" si="28"/>
        <v>2000</v>
      </c>
      <c r="N75" s="5">
        <f t="shared" si="17"/>
        <v>-258</v>
      </c>
      <c r="O75" s="5">
        <f t="shared" si="18"/>
        <v>-111</v>
      </c>
      <c r="P75" s="5">
        <f t="shared" si="19"/>
        <v>-571</v>
      </c>
      <c r="Q75" s="4">
        <v>5</v>
      </c>
      <c r="R75" s="4">
        <v>2</v>
      </c>
      <c r="S75" s="4">
        <v>1</v>
      </c>
      <c r="T75" s="6">
        <f t="shared" si="7"/>
        <v>1454</v>
      </c>
      <c r="U75" s="7">
        <f t="shared" si="23"/>
        <v>922</v>
      </c>
      <c r="V75" s="7">
        <f t="shared" si="24"/>
        <v>889</v>
      </c>
      <c r="W75" s="7">
        <f t="shared" si="22"/>
        <v>919</v>
      </c>
      <c r="X75" s="6"/>
      <c r="Y75" s="5"/>
      <c r="Z75" s="5"/>
      <c r="AA75" s="5"/>
      <c r="AB75" s="5"/>
    </row>
    <row r="76" spans="1:28" ht="15">
      <c r="A76" s="12">
        <v>62</v>
      </c>
      <c r="B76" s="11">
        <f t="shared" si="11"/>
        <v>45332</v>
      </c>
      <c r="C76" s="9">
        <f t="shared" si="12"/>
        <v>842</v>
      </c>
      <c r="D76" s="8">
        <f t="shared" si="25"/>
        <v>1499</v>
      </c>
      <c r="E76" s="4">
        <f t="shared" si="1"/>
        <v>601</v>
      </c>
      <c r="F76" s="4">
        <f t="shared" si="2"/>
        <v>454</v>
      </c>
      <c r="G76" s="4">
        <f t="shared" si="3"/>
        <v>913</v>
      </c>
      <c r="H76" s="5">
        <f t="shared" si="4"/>
        <v>1740</v>
      </c>
      <c r="I76" s="5">
        <f t="shared" si="5"/>
        <v>1887</v>
      </c>
      <c r="J76" s="5">
        <f t="shared" si="6"/>
        <v>1428</v>
      </c>
      <c r="K76" s="5">
        <f t="shared" si="26"/>
        <v>2000</v>
      </c>
      <c r="L76" s="5">
        <f t="shared" si="27"/>
        <v>2000</v>
      </c>
      <c r="M76" s="5">
        <f t="shared" si="28"/>
        <v>2000</v>
      </c>
      <c r="N76" s="5">
        <f t="shared" si="17"/>
        <v>-260</v>
      </c>
      <c r="O76" s="5">
        <f t="shared" si="18"/>
        <v>-113</v>
      </c>
      <c r="P76" s="5">
        <f t="shared" si="19"/>
        <v>-572</v>
      </c>
      <c r="Q76" s="4">
        <v>2</v>
      </c>
      <c r="R76" s="4">
        <v>2</v>
      </c>
      <c r="S76" s="4">
        <v>1</v>
      </c>
      <c r="T76" s="6">
        <f t="shared" si="7"/>
        <v>1454</v>
      </c>
      <c r="U76" s="7">
        <f t="shared" si="23"/>
        <v>920</v>
      </c>
      <c r="V76" s="7">
        <f t="shared" si="24"/>
        <v>887</v>
      </c>
      <c r="W76" s="7">
        <f t="shared" si="22"/>
        <v>918</v>
      </c>
      <c r="X76" s="6"/>
      <c r="Y76" s="5"/>
      <c r="Z76" s="5"/>
      <c r="AA76" s="5"/>
      <c r="AB76" s="5"/>
    </row>
    <row r="77" spans="1:28" ht="15" customHeight="1">
      <c r="A77" s="12">
        <v>63</v>
      </c>
      <c r="B77" s="11">
        <f t="shared" si="11"/>
        <v>45333</v>
      </c>
      <c r="C77" s="9">
        <f t="shared" si="12"/>
        <v>842</v>
      </c>
      <c r="D77" s="8">
        <f t="shared" si="25"/>
        <v>1497</v>
      </c>
      <c r="E77" s="4">
        <f t="shared" si="1"/>
        <v>603</v>
      </c>
      <c r="F77" s="4">
        <f t="shared" si="2"/>
        <v>456</v>
      </c>
      <c r="G77" s="4">
        <f t="shared" si="3"/>
        <v>911</v>
      </c>
      <c r="H77" s="5">
        <f t="shared" si="4"/>
        <v>1736</v>
      </c>
      <c r="I77" s="5">
        <f t="shared" si="5"/>
        <v>1883</v>
      </c>
      <c r="J77" s="5">
        <f t="shared" si="6"/>
        <v>1428</v>
      </c>
      <c r="K77" s="5">
        <f t="shared" si="26"/>
        <v>2000</v>
      </c>
      <c r="L77" s="5">
        <f t="shared" si="27"/>
        <v>2000</v>
      </c>
      <c r="M77" s="5">
        <f t="shared" si="28"/>
        <v>2000</v>
      </c>
      <c r="N77" s="5">
        <f t="shared" si="17"/>
        <v>-264</v>
      </c>
      <c r="O77" s="5">
        <f t="shared" si="18"/>
        <v>-117</v>
      </c>
      <c r="P77" s="5">
        <f t="shared" si="19"/>
        <v>-572</v>
      </c>
      <c r="Q77" s="4">
        <v>4</v>
      </c>
      <c r="R77" s="4">
        <v>4</v>
      </c>
      <c r="S77" s="4">
        <v>0</v>
      </c>
      <c r="T77" s="6">
        <f t="shared" si="7"/>
        <v>1456</v>
      </c>
      <c r="U77" s="7">
        <f t="shared" si="23"/>
        <v>916</v>
      </c>
      <c r="V77" s="7">
        <f t="shared" si="24"/>
        <v>883</v>
      </c>
      <c r="W77" s="7">
        <f t="shared" si="22"/>
        <v>918</v>
      </c>
      <c r="X77" s="6"/>
      <c r="Y77" s="5"/>
      <c r="Z77" s="5"/>
      <c r="AA77" s="5"/>
      <c r="AB77" s="5"/>
    </row>
    <row r="78" spans="1:28" ht="15" customHeight="1">
      <c r="A78" s="12">
        <v>64</v>
      </c>
      <c r="B78" s="11">
        <f t="shared" si="11"/>
        <v>45334</v>
      </c>
      <c r="C78" s="9">
        <f t="shared" si="12"/>
        <v>842</v>
      </c>
      <c r="D78" s="8">
        <f t="shared" si="25"/>
        <v>1495</v>
      </c>
      <c r="E78" s="4">
        <f t="shared" ref="E78:E141" si="29">C78+D78-H78</f>
        <v>603</v>
      </c>
      <c r="F78" s="4">
        <f t="shared" ref="F78:F141" si="30">C78+D78-I78</f>
        <v>461</v>
      </c>
      <c r="G78" s="4">
        <f t="shared" ref="G78:G141" si="31">D78+C78-J78</f>
        <v>909</v>
      </c>
      <c r="H78" s="5">
        <f t="shared" ref="H78:H141" si="32">K78+N78</f>
        <v>1734</v>
      </c>
      <c r="I78" s="5">
        <f t="shared" ref="I78:I141" si="33">L78+O78</f>
        <v>1876</v>
      </c>
      <c r="J78" s="5">
        <f t="shared" ref="J78:J141" si="34">M78+P78</f>
        <v>1428</v>
      </c>
      <c r="K78" s="5">
        <f t="shared" si="26"/>
        <v>2000</v>
      </c>
      <c r="L78" s="5">
        <f t="shared" si="27"/>
        <v>2000</v>
      </c>
      <c r="M78" s="5">
        <f t="shared" si="28"/>
        <v>2000</v>
      </c>
      <c r="N78" s="5">
        <f t="shared" si="17"/>
        <v>-266</v>
      </c>
      <c r="O78" s="5">
        <f t="shared" si="18"/>
        <v>-124</v>
      </c>
      <c r="P78" s="5">
        <f t="shared" si="19"/>
        <v>-572</v>
      </c>
      <c r="Q78" s="4">
        <v>2</v>
      </c>
      <c r="R78" s="4">
        <v>7</v>
      </c>
      <c r="S78" s="4">
        <v>0</v>
      </c>
      <c r="T78" s="6">
        <f t="shared" ref="T78:T141" si="35">D78+C78-V78</f>
        <v>1461</v>
      </c>
      <c r="U78" s="7">
        <f t="shared" si="23"/>
        <v>914</v>
      </c>
      <c r="V78" s="7">
        <f t="shared" si="24"/>
        <v>876</v>
      </c>
      <c r="W78" s="7">
        <f t="shared" si="22"/>
        <v>918</v>
      </c>
      <c r="X78" s="6"/>
      <c r="Y78" s="5"/>
      <c r="Z78" s="5"/>
      <c r="AA78" s="5"/>
      <c r="AB78" s="5"/>
    </row>
    <row r="79" spans="1:28" ht="15" customHeight="1">
      <c r="A79" s="12">
        <v>65</v>
      </c>
      <c r="B79" s="11">
        <f t="shared" ref="B79:B142" si="36">B78+1</f>
        <v>45335</v>
      </c>
      <c r="C79" s="9">
        <f t="shared" ref="C79:C142" si="37">C78</f>
        <v>842</v>
      </c>
      <c r="D79" s="8">
        <f t="shared" ref="D79:D110" si="38">D78-2</f>
        <v>1493</v>
      </c>
      <c r="E79" s="4">
        <f t="shared" si="29"/>
        <v>605</v>
      </c>
      <c r="F79" s="4">
        <f t="shared" si="30"/>
        <v>464</v>
      </c>
      <c r="G79" s="4">
        <f t="shared" si="31"/>
        <v>908</v>
      </c>
      <c r="H79" s="5">
        <f t="shared" si="32"/>
        <v>1730</v>
      </c>
      <c r="I79" s="5">
        <f t="shared" si="33"/>
        <v>1871</v>
      </c>
      <c r="J79" s="5">
        <f t="shared" si="34"/>
        <v>1427</v>
      </c>
      <c r="K79" s="5">
        <f t="shared" ref="K79:K110" si="39">K78</f>
        <v>2000</v>
      </c>
      <c r="L79" s="5">
        <f t="shared" ref="L79:L110" si="40">L78</f>
        <v>2000</v>
      </c>
      <c r="M79" s="5">
        <f t="shared" ref="M79:M110" si="41">M78</f>
        <v>2000</v>
      </c>
      <c r="N79" s="5">
        <f t="shared" ref="N79:N142" si="42">N78-Q79</f>
        <v>-270</v>
      </c>
      <c r="O79" s="5">
        <f t="shared" ref="O79:O142" si="43">O78-R79</f>
        <v>-129</v>
      </c>
      <c r="P79" s="5">
        <f t="shared" ref="P79:P142" si="44">P78-S79</f>
        <v>-573</v>
      </c>
      <c r="Q79" s="4">
        <v>4</v>
      </c>
      <c r="R79" s="4">
        <v>5</v>
      </c>
      <c r="S79" s="4">
        <v>1</v>
      </c>
      <c r="T79" s="6">
        <f t="shared" si="35"/>
        <v>1464</v>
      </c>
      <c r="U79" s="7">
        <f t="shared" si="23"/>
        <v>910</v>
      </c>
      <c r="V79" s="7">
        <f t="shared" si="24"/>
        <v>871</v>
      </c>
      <c r="W79" s="7">
        <f t="shared" si="22"/>
        <v>917</v>
      </c>
      <c r="X79" s="6"/>
      <c r="Y79" s="5"/>
      <c r="Z79" s="5"/>
      <c r="AA79" s="5"/>
      <c r="AB79" s="5"/>
    </row>
    <row r="80" spans="1:28" ht="15" customHeight="1">
      <c r="A80" s="12">
        <v>66</v>
      </c>
      <c r="B80" s="11">
        <f t="shared" si="36"/>
        <v>45336</v>
      </c>
      <c r="C80" s="9">
        <f t="shared" si="37"/>
        <v>842</v>
      </c>
      <c r="D80" s="8">
        <f t="shared" si="38"/>
        <v>1491</v>
      </c>
      <c r="E80" s="4">
        <f t="shared" si="29"/>
        <v>605</v>
      </c>
      <c r="F80" s="4">
        <f t="shared" si="30"/>
        <v>466</v>
      </c>
      <c r="G80" s="4">
        <f t="shared" si="31"/>
        <v>906</v>
      </c>
      <c r="H80" s="5">
        <f t="shared" si="32"/>
        <v>1728</v>
      </c>
      <c r="I80" s="5">
        <f t="shared" si="33"/>
        <v>1867</v>
      </c>
      <c r="J80" s="5">
        <f t="shared" si="34"/>
        <v>1427</v>
      </c>
      <c r="K80" s="5">
        <f t="shared" si="39"/>
        <v>2000</v>
      </c>
      <c r="L80" s="5">
        <f t="shared" si="40"/>
        <v>2000</v>
      </c>
      <c r="M80" s="5">
        <f t="shared" si="41"/>
        <v>2000</v>
      </c>
      <c r="N80" s="5">
        <f t="shared" si="42"/>
        <v>-272</v>
      </c>
      <c r="O80" s="5">
        <f t="shared" si="43"/>
        <v>-133</v>
      </c>
      <c r="P80" s="5">
        <f t="shared" si="44"/>
        <v>-573</v>
      </c>
      <c r="Q80" s="4">
        <v>2</v>
      </c>
      <c r="R80" s="4">
        <v>4</v>
      </c>
      <c r="S80" s="4">
        <v>0</v>
      </c>
      <c r="T80" s="6">
        <f t="shared" si="35"/>
        <v>1466</v>
      </c>
      <c r="U80" s="7">
        <f t="shared" si="23"/>
        <v>908</v>
      </c>
      <c r="V80" s="7">
        <f t="shared" si="24"/>
        <v>867</v>
      </c>
      <c r="W80" s="7">
        <f t="shared" si="22"/>
        <v>917</v>
      </c>
      <c r="X80" s="6"/>
      <c r="Y80" s="5"/>
      <c r="Z80" s="5"/>
      <c r="AA80" s="5"/>
      <c r="AB80" s="5"/>
    </row>
    <row r="81" spans="1:28" ht="15" customHeight="1">
      <c r="A81" s="12">
        <v>67</v>
      </c>
      <c r="B81" s="11">
        <f t="shared" si="36"/>
        <v>45337</v>
      </c>
      <c r="C81" s="9">
        <f t="shared" si="37"/>
        <v>842</v>
      </c>
      <c r="D81" s="8">
        <f t="shared" si="38"/>
        <v>1489</v>
      </c>
      <c r="E81" s="4">
        <f t="shared" si="29"/>
        <v>607</v>
      </c>
      <c r="F81" s="4">
        <f t="shared" si="30"/>
        <v>472</v>
      </c>
      <c r="G81" s="4">
        <f t="shared" si="31"/>
        <v>904</v>
      </c>
      <c r="H81" s="5">
        <f t="shared" si="32"/>
        <v>1724</v>
      </c>
      <c r="I81" s="5">
        <f t="shared" si="33"/>
        <v>1859</v>
      </c>
      <c r="J81" s="5">
        <f t="shared" si="34"/>
        <v>1427</v>
      </c>
      <c r="K81" s="5">
        <f t="shared" si="39"/>
        <v>2000</v>
      </c>
      <c r="L81" s="5">
        <f t="shared" si="40"/>
        <v>2000</v>
      </c>
      <c r="M81" s="5">
        <f t="shared" si="41"/>
        <v>2000</v>
      </c>
      <c r="N81" s="5">
        <f t="shared" si="42"/>
        <v>-276</v>
      </c>
      <c r="O81" s="5">
        <f t="shared" si="43"/>
        <v>-141</v>
      </c>
      <c r="P81" s="5">
        <f t="shared" si="44"/>
        <v>-573</v>
      </c>
      <c r="Q81" s="4">
        <v>4</v>
      </c>
      <c r="R81" s="4">
        <v>8</v>
      </c>
      <c r="S81" s="4">
        <v>0</v>
      </c>
      <c r="T81" s="6">
        <f t="shared" si="35"/>
        <v>1472</v>
      </c>
      <c r="U81" s="7">
        <f t="shared" si="23"/>
        <v>904</v>
      </c>
      <c r="V81" s="7">
        <f t="shared" si="24"/>
        <v>859</v>
      </c>
      <c r="W81" s="7">
        <f t="shared" si="22"/>
        <v>917</v>
      </c>
      <c r="X81" s="6"/>
      <c r="Y81" s="5"/>
      <c r="Z81" s="5"/>
      <c r="AA81" s="5"/>
      <c r="AB81" s="5"/>
    </row>
    <row r="82" spans="1:28" ht="15" customHeight="1">
      <c r="A82" s="12">
        <v>68</v>
      </c>
      <c r="B82" s="11">
        <f t="shared" si="36"/>
        <v>45338</v>
      </c>
      <c r="C82" s="9">
        <f t="shared" si="37"/>
        <v>842</v>
      </c>
      <c r="D82" s="8">
        <f t="shared" si="38"/>
        <v>1487</v>
      </c>
      <c r="E82" s="4">
        <f t="shared" si="29"/>
        <v>605</v>
      </c>
      <c r="F82" s="4">
        <f t="shared" si="30"/>
        <v>472</v>
      </c>
      <c r="G82" s="4">
        <f t="shared" si="31"/>
        <v>902</v>
      </c>
      <c r="H82" s="5">
        <f t="shared" si="32"/>
        <v>1724</v>
      </c>
      <c r="I82" s="5">
        <f t="shared" si="33"/>
        <v>1857</v>
      </c>
      <c r="J82" s="5">
        <f t="shared" si="34"/>
        <v>1427</v>
      </c>
      <c r="K82" s="5">
        <f t="shared" si="39"/>
        <v>2000</v>
      </c>
      <c r="L82" s="5">
        <f t="shared" si="40"/>
        <v>2000</v>
      </c>
      <c r="M82" s="5">
        <f t="shared" si="41"/>
        <v>2000</v>
      </c>
      <c r="N82" s="5">
        <f t="shared" si="42"/>
        <v>-276</v>
      </c>
      <c r="O82" s="5">
        <f t="shared" si="43"/>
        <v>-143</v>
      </c>
      <c r="P82" s="5">
        <f t="shared" si="44"/>
        <v>-573</v>
      </c>
      <c r="Q82" s="4">
        <v>0</v>
      </c>
      <c r="R82" s="4">
        <v>2</v>
      </c>
      <c r="S82" s="4">
        <v>0</v>
      </c>
      <c r="T82" s="6">
        <f t="shared" si="35"/>
        <v>1472</v>
      </c>
      <c r="U82" s="7">
        <f t="shared" si="23"/>
        <v>904</v>
      </c>
      <c r="V82" s="7">
        <f t="shared" si="24"/>
        <v>857</v>
      </c>
      <c r="W82" s="7">
        <f t="shared" si="22"/>
        <v>917</v>
      </c>
      <c r="X82" s="6"/>
      <c r="Y82" s="5"/>
      <c r="Z82" s="5"/>
      <c r="AA82" s="5"/>
      <c r="AB82" s="5"/>
    </row>
    <row r="83" spans="1:28" ht="15" customHeight="1">
      <c r="A83" s="12">
        <v>69</v>
      </c>
      <c r="B83" s="11">
        <f t="shared" si="36"/>
        <v>45339</v>
      </c>
      <c r="C83" s="9">
        <f t="shared" si="37"/>
        <v>842</v>
      </c>
      <c r="D83" s="8">
        <f t="shared" si="38"/>
        <v>1485</v>
      </c>
      <c r="E83" s="4">
        <f t="shared" si="29"/>
        <v>603</v>
      </c>
      <c r="F83" s="4">
        <f t="shared" si="30"/>
        <v>474</v>
      </c>
      <c r="G83" s="4">
        <f t="shared" si="31"/>
        <v>900</v>
      </c>
      <c r="H83" s="5">
        <f t="shared" si="32"/>
        <v>1724</v>
      </c>
      <c r="I83" s="5">
        <f t="shared" si="33"/>
        <v>1853</v>
      </c>
      <c r="J83" s="5">
        <f t="shared" si="34"/>
        <v>1427</v>
      </c>
      <c r="K83" s="5">
        <f t="shared" si="39"/>
        <v>2000</v>
      </c>
      <c r="L83" s="5">
        <f t="shared" si="40"/>
        <v>2000</v>
      </c>
      <c r="M83" s="5">
        <f t="shared" si="41"/>
        <v>2000</v>
      </c>
      <c r="N83" s="5">
        <f t="shared" si="42"/>
        <v>-276</v>
      </c>
      <c r="O83" s="5">
        <f t="shared" si="43"/>
        <v>-147</v>
      </c>
      <c r="P83" s="5">
        <f t="shared" si="44"/>
        <v>-573</v>
      </c>
      <c r="Q83" s="4">
        <v>0</v>
      </c>
      <c r="R83" s="4">
        <v>4</v>
      </c>
      <c r="S83" s="4">
        <v>0</v>
      </c>
      <c r="T83" s="6">
        <f t="shared" si="35"/>
        <v>1474</v>
      </c>
      <c r="U83" s="7">
        <f t="shared" si="23"/>
        <v>904</v>
      </c>
      <c r="V83" s="7">
        <f t="shared" si="24"/>
        <v>853</v>
      </c>
      <c r="W83" s="7">
        <f t="shared" si="22"/>
        <v>917</v>
      </c>
      <c r="X83" s="6"/>
      <c r="Y83" s="5"/>
      <c r="Z83" s="5"/>
      <c r="AA83" s="5"/>
      <c r="AB83" s="5"/>
    </row>
    <row r="84" spans="1:28" ht="15" customHeight="1">
      <c r="A84" s="12">
        <v>70</v>
      </c>
      <c r="B84" s="11">
        <f t="shared" si="36"/>
        <v>45340</v>
      </c>
      <c r="C84" s="9">
        <f t="shared" si="37"/>
        <v>842</v>
      </c>
      <c r="D84" s="8">
        <f t="shared" si="38"/>
        <v>1483</v>
      </c>
      <c r="E84" s="4">
        <f t="shared" si="29"/>
        <v>601</v>
      </c>
      <c r="F84" s="4">
        <f t="shared" si="30"/>
        <v>479</v>
      </c>
      <c r="G84" s="4">
        <f t="shared" si="31"/>
        <v>898</v>
      </c>
      <c r="H84" s="5">
        <f t="shared" si="32"/>
        <v>1724</v>
      </c>
      <c r="I84" s="5">
        <f t="shared" si="33"/>
        <v>1846</v>
      </c>
      <c r="J84" s="5">
        <f t="shared" si="34"/>
        <v>1427</v>
      </c>
      <c r="K84" s="5">
        <f t="shared" si="39"/>
        <v>2000</v>
      </c>
      <c r="L84" s="5">
        <f t="shared" si="40"/>
        <v>2000</v>
      </c>
      <c r="M84" s="5">
        <f t="shared" si="41"/>
        <v>2000</v>
      </c>
      <c r="N84" s="5">
        <f t="shared" si="42"/>
        <v>-276</v>
      </c>
      <c r="O84" s="5">
        <f t="shared" si="43"/>
        <v>-154</v>
      </c>
      <c r="P84" s="5">
        <f t="shared" si="44"/>
        <v>-573</v>
      </c>
      <c r="Q84" s="4">
        <v>0</v>
      </c>
      <c r="R84" s="4">
        <v>7</v>
      </c>
      <c r="S84" s="4">
        <v>0</v>
      </c>
      <c r="T84" s="6">
        <f t="shared" si="35"/>
        <v>1479</v>
      </c>
      <c r="U84" s="7">
        <f t="shared" si="23"/>
        <v>904</v>
      </c>
      <c r="V84" s="7">
        <f t="shared" si="24"/>
        <v>846</v>
      </c>
      <c r="W84" s="7">
        <f t="shared" si="22"/>
        <v>917</v>
      </c>
      <c r="X84" s="6"/>
      <c r="Y84" s="5"/>
      <c r="Z84" s="5"/>
      <c r="AA84" s="5"/>
      <c r="AB84" s="5"/>
    </row>
    <row r="85" spans="1:28" ht="15" customHeight="1">
      <c r="A85" s="12">
        <v>71</v>
      </c>
      <c r="B85" s="11">
        <f t="shared" si="36"/>
        <v>45341</v>
      </c>
      <c r="C85" s="9">
        <f t="shared" si="37"/>
        <v>842</v>
      </c>
      <c r="D85" s="8">
        <f t="shared" si="38"/>
        <v>1481</v>
      </c>
      <c r="E85" s="4">
        <f t="shared" si="29"/>
        <v>599</v>
      </c>
      <c r="F85" s="4">
        <f t="shared" si="30"/>
        <v>482</v>
      </c>
      <c r="G85" s="4">
        <f t="shared" si="31"/>
        <v>896</v>
      </c>
      <c r="H85" s="5">
        <f t="shared" si="32"/>
        <v>1724</v>
      </c>
      <c r="I85" s="5">
        <f t="shared" si="33"/>
        <v>1841</v>
      </c>
      <c r="J85" s="5">
        <f t="shared" si="34"/>
        <v>1427</v>
      </c>
      <c r="K85" s="5">
        <f t="shared" si="39"/>
        <v>2000</v>
      </c>
      <c r="L85" s="5">
        <f t="shared" si="40"/>
        <v>2000</v>
      </c>
      <c r="M85" s="5">
        <f t="shared" si="41"/>
        <v>2000</v>
      </c>
      <c r="N85" s="5">
        <f t="shared" si="42"/>
        <v>-276</v>
      </c>
      <c r="O85" s="5">
        <f t="shared" si="43"/>
        <v>-159</v>
      </c>
      <c r="P85" s="5">
        <f t="shared" si="44"/>
        <v>-573</v>
      </c>
      <c r="Q85" s="4">
        <v>0</v>
      </c>
      <c r="R85" s="4">
        <v>5</v>
      </c>
      <c r="S85" s="4">
        <v>0</v>
      </c>
      <c r="T85" s="6">
        <f t="shared" si="35"/>
        <v>1482</v>
      </c>
      <c r="U85" s="7">
        <f t="shared" si="23"/>
        <v>904</v>
      </c>
      <c r="V85" s="7">
        <f t="shared" si="24"/>
        <v>841</v>
      </c>
      <c r="W85" s="7">
        <f t="shared" si="22"/>
        <v>917</v>
      </c>
      <c r="X85" s="6"/>
      <c r="Y85" s="5"/>
      <c r="Z85" s="5"/>
      <c r="AA85" s="5"/>
      <c r="AB85" s="5"/>
    </row>
    <row r="86" spans="1:28" ht="15" customHeight="1">
      <c r="A86" s="12">
        <v>72</v>
      </c>
      <c r="B86" s="11">
        <f t="shared" si="36"/>
        <v>45342</v>
      </c>
      <c r="C86" s="9">
        <f t="shared" si="37"/>
        <v>842</v>
      </c>
      <c r="D86" s="8">
        <f t="shared" si="38"/>
        <v>1479</v>
      </c>
      <c r="E86" s="4">
        <f t="shared" si="29"/>
        <v>597</v>
      </c>
      <c r="F86" s="4">
        <f t="shared" si="30"/>
        <v>484</v>
      </c>
      <c r="G86" s="4">
        <f t="shared" si="31"/>
        <v>894</v>
      </c>
      <c r="H86" s="5">
        <f t="shared" si="32"/>
        <v>1724</v>
      </c>
      <c r="I86" s="5">
        <f t="shared" si="33"/>
        <v>1837</v>
      </c>
      <c r="J86" s="5">
        <f t="shared" si="34"/>
        <v>1427</v>
      </c>
      <c r="K86" s="5">
        <f t="shared" si="39"/>
        <v>2000</v>
      </c>
      <c r="L86" s="5">
        <f t="shared" si="40"/>
        <v>2000</v>
      </c>
      <c r="M86" s="5">
        <f t="shared" si="41"/>
        <v>2000</v>
      </c>
      <c r="N86" s="5">
        <f t="shared" si="42"/>
        <v>-276</v>
      </c>
      <c r="O86" s="5">
        <f t="shared" si="43"/>
        <v>-163</v>
      </c>
      <c r="P86" s="5">
        <f t="shared" si="44"/>
        <v>-573</v>
      </c>
      <c r="Q86" s="4">
        <v>0</v>
      </c>
      <c r="R86" s="4">
        <v>4</v>
      </c>
      <c r="S86" s="4">
        <v>0</v>
      </c>
      <c r="T86" s="6">
        <f t="shared" si="35"/>
        <v>1484</v>
      </c>
      <c r="U86" s="7">
        <f t="shared" si="23"/>
        <v>904</v>
      </c>
      <c r="V86" s="7">
        <f t="shared" si="24"/>
        <v>837</v>
      </c>
      <c r="W86" s="7">
        <f t="shared" si="22"/>
        <v>917</v>
      </c>
      <c r="X86" s="6"/>
      <c r="Y86" s="5"/>
      <c r="Z86" s="5"/>
      <c r="AA86" s="5"/>
      <c r="AB86" s="5"/>
    </row>
    <row r="87" spans="1:28" ht="15" customHeight="1">
      <c r="A87" s="12">
        <v>73</v>
      </c>
      <c r="B87" s="11">
        <f t="shared" si="36"/>
        <v>45343</v>
      </c>
      <c r="C87" s="9">
        <f t="shared" si="37"/>
        <v>842</v>
      </c>
      <c r="D87" s="8">
        <f t="shared" si="38"/>
        <v>1477</v>
      </c>
      <c r="E87" s="4">
        <f t="shared" si="29"/>
        <v>595</v>
      </c>
      <c r="F87" s="4">
        <f t="shared" si="30"/>
        <v>490</v>
      </c>
      <c r="G87" s="4">
        <f t="shared" si="31"/>
        <v>892</v>
      </c>
      <c r="H87" s="5">
        <f t="shared" si="32"/>
        <v>1724</v>
      </c>
      <c r="I87" s="5">
        <f t="shared" si="33"/>
        <v>1829</v>
      </c>
      <c r="J87" s="5">
        <f t="shared" si="34"/>
        <v>1427</v>
      </c>
      <c r="K87" s="5">
        <f t="shared" si="39"/>
        <v>2000</v>
      </c>
      <c r="L87" s="5">
        <f t="shared" si="40"/>
        <v>2000</v>
      </c>
      <c r="M87" s="5">
        <f t="shared" si="41"/>
        <v>2000</v>
      </c>
      <c r="N87" s="5">
        <f t="shared" si="42"/>
        <v>-276</v>
      </c>
      <c r="O87" s="5">
        <f t="shared" si="43"/>
        <v>-171</v>
      </c>
      <c r="P87" s="5">
        <f t="shared" si="44"/>
        <v>-573</v>
      </c>
      <c r="Q87" s="4">
        <v>0</v>
      </c>
      <c r="R87" s="4">
        <v>8</v>
      </c>
      <c r="S87" s="4">
        <v>0</v>
      </c>
      <c r="T87" s="6">
        <f t="shared" si="35"/>
        <v>1490</v>
      </c>
      <c r="U87" s="7">
        <f t="shared" si="23"/>
        <v>904</v>
      </c>
      <c r="V87" s="7">
        <f t="shared" si="24"/>
        <v>829</v>
      </c>
      <c r="W87" s="7">
        <f t="shared" si="22"/>
        <v>917</v>
      </c>
      <c r="X87" s="6"/>
      <c r="Y87" s="5"/>
      <c r="Z87" s="5"/>
      <c r="AA87" s="5"/>
      <c r="AB87" s="5"/>
    </row>
    <row r="88" spans="1:28" ht="15" customHeight="1">
      <c r="A88" s="12">
        <v>74</v>
      </c>
      <c r="B88" s="11">
        <f t="shared" si="36"/>
        <v>45344</v>
      </c>
      <c r="C88" s="9">
        <f t="shared" si="37"/>
        <v>842</v>
      </c>
      <c r="D88" s="8">
        <f t="shared" si="38"/>
        <v>1475</v>
      </c>
      <c r="E88" s="4">
        <f t="shared" si="29"/>
        <v>593</v>
      </c>
      <c r="F88" s="4">
        <f t="shared" si="30"/>
        <v>490</v>
      </c>
      <c r="G88" s="4">
        <f t="shared" si="31"/>
        <v>890</v>
      </c>
      <c r="H88" s="5">
        <f t="shared" si="32"/>
        <v>1724</v>
      </c>
      <c r="I88" s="5">
        <f t="shared" si="33"/>
        <v>1827</v>
      </c>
      <c r="J88" s="5">
        <f t="shared" si="34"/>
        <v>1427</v>
      </c>
      <c r="K88" s="5">
        <f t="shared" si="39"/>
        <v>2000</v>
      </c>
      <c r="L88" s="5">
        <f t="shared" si="40"/>
        <v>2000</v>
      </c>
      <c r="M88" s="5">
        <f t="shared" si="41"/>
        <v>2000</v>
      </c>
      <c r="N88" s="5">
        <f t="shared" si="42"/>
        <v>-276</v>
      </c>
      <c r="O88" s="5">
        <f t="shared" si="43"/>
        <v>-173</v>
      </c>
      <c r="P88" s="5">
        <f t="shared" si="44"/>
        <v>-573</v>
      </c>
      <c r="Q88" s="4">
        <v>0</v>
      </c>
      <c r="R88" s="4">
        <v>2</v>
      </c>
      <c r="S88" s="4">
        <v>0</v>
      </c>
      <c r="T88" s="6">
        <f t="shared" si="35"/>
        <v>1490</v>
      </c>
      <c r="U88" s="7">
        <f t="shared" si="23"/>
        <v>904</v>
      </c>
      <c r="V88" s="7">
        <f t="shared" si="24"/>
        <v>827</v>
      </c>
      <c r="W88" s="7">
        <f t="shared" si="22"/>
        <v>917</v>
      </c>
      <c r="X88" s="6"/>
      <c r="Y88" s="5"/>
      <c r="Z88" s="5"/>
      <c r="AA88" s="5"/>
      <c r="AB88" s="5"/>
    </row>
    <row r="89" spans="1:28" ht="15" customHeight="1">
      <c r="A89" s="12">
        <v>75</v>
      </c>
      <c r="B89" s="11">
        <f t="shared" si="36"/>
        <v>45345</v>
      </c>
      <c r="C89" s="9">
        <f t="shared" si="37"/>
        <v>842</v>
      </c>
      <c r="D89" s="8">
        <f t="shared" si="38"/>
        <v>1473</v>
      </c>
      <c r="E89" s="4">
        <f t="shared" si="29"/>
        <v>591</v>
      </c>
      <c r="F89" s="4">
        <f t="shared" si="30"/>
        <v>492</v>
      </c>
      <c r="G89" s="4">
        <f t="shared" si="31"/>
        <v>888</v>
      </c>
      <c r="H89" s="5">
        <f t="shared" si="32"/>
        <v>1724</v>
      </c>
      <c r="I89" s="5">
        <f t="shared" si="33"/>
        <v>1823</v>
      </c>
      <c r="J89" s="5">
        <f t="shared" si="34"/>
        <v>1427</v>
      </c>
      <c r="K89" s="5">
        <f t="shared" si="39"/>
        <v>2000</v>
      </c>
      <c r="L89" s="5">
        <f t="shared" si="40"/>
        <v>2000</v>
      </c>
      <c r="M89" s="5">
        <f t="shared" si="41"/>
        <v>2000</v>
      </c>
      <c r="N89" s="5">
        <f t="shared" si="42"/>
        <v>-276</v>
      </c>
      <c r="O89" s="5">
        <f t="shared" si="43"/>
        <v>-177</v>
      </c>
      <c r="P89" s="5">
        <f t="shared" si="44"/>
        <v>-573</v>
      </c>
      <c r="Q89" s="4">
        <v>0</v>
      </c>
      <c r="R89" s="4">
        <v>4</v>
      </c>
      <c r="S89" s="4">
        <v>0</v>
      </c>
      <c r="T89" s="6">
        <f t="shared" si="35"/>
        <v>1492</v>
      </c>
      <c r="U89" s="7">
        <f t="shared" si="23"/>
        <v>904</v>
      </c>
      <c r="V89" s="7">
        <f t="shared" si="24"/>
        <v>823</v>
      </c>
      <c r="W89" s="7">
        <f t="shared" si="22"/>
        <v>917</v>
      </c>
      <c r="X89" s="6"/>
      <c r="Y89" s="5"/>
      <c r="Z89" s="5"/>
      <c r="AA89" s="5"/>
      <c r="AB89" s="5"/>
    </row>
    <row r="90" spans="1:28" ht="15" customHeight="1">
      <c r="A90" s="12">
        <v>76</v>
      </c>
      <c r="B90" s="11">
        <f t="shared" si="36"/>
        <v>45346</v>
      </c>
      <c r="C90" s="9">
        <f t="shared" si="37"/>
        <v>842</v>
      </c>
      <c r="D90" s="8">
        <f t="shared" si="38"/>
        <v>1471</v>
      </c>
      <c r="E90" s="4">
        <f t="shared" si="29"/>
        <v>589</v>
      </c>
      <c r="F90" s="4">
        <f t="shared" si="30"/>
        <v>497</v>
      </c>
      <c r="G90" s="4">
        <f t="shared" si="31"/>
        <v>886</v>
      </c>
      <c r="H90" s="5">
        <f t="shared" si="32"/>
        <v>1724</v>
      </c>
      <c r="I90" s="5">
        <f t="shared" si="33"/>
        <v>1816</v>
      </c>
      <c r="J90" s="5">
        <f t="shared" si="34"/>
        <v>1427</v>
      </c>
      <c r="K90" s="5">
        <f t="shared" si="39"/>
        <v>2000</v>
      </c>
      <c r="L90" s="5">
        <f t="shared" si="40"/>
        <v>2000</v>
      </c>
      <c r="M90" s="5">
        <f t="shared" si="41"/>
        <v>2000</v>
      </c>
      <c r="N90" s="5">
        <f t="shared" si="42"/>
        <v>-276</v>
      </c>
      <c r="O90" s="5">
        <f t="shared" si="43"/>
        <v>-184</v>
      </c>
      <c r="P90" s="5">
        <f t="shared" si="44"/>
        <v>-573</v>
      </c>
      <c r="Q90" s="4">
        <v>0</v>
      </c>
      <c r="R90" s="4">
        <v>7</v>
      </c>
      <c r="S90" s="4">
        <v>0</v>
      </c>
      <c r="T90" s="6">
        <f t="shared" si="35"/>
        <v>1497</v>
      </c>
      <c r="U90" s="7">
        <f t="shared" si="23"/>
        <v>904</v>
      </c>
      <c r="V90" s="7">
        <f t="shared" si="24"/>
        <v>816</v>
      </c>
      <c r="W90" s="7">
        <f t="shared" si="22"/>
        <v>917</v>
      </c>
      <c r="X90" s="6"/>
      <c r="Y90" s="5"/>
      <c r="Z90" s="5"/>
      <c r="AA90" s="5"/>
      <c r="AB90" s="5"/>
    </row>
    <row r="91" spans="1:28" ht="15" customHeight="1">
      <c r="A91" s="12">
        <v>77</v>
      </c>
      <c r="B91" s="11">
        <f t="shared" si="36"/>
        <v>45347</v>
      </c>
      <c r="C91" s="9">
        <f t="shared" si="37"/>
        <v>842</v>
      </c>
      <c r="D91" s="8">
        <f t="shared" si="38"/>
        <v>1469</v>
      </c>
      <c r="E91" s="4">
        <f t="shared" si="29"/>
        <v>587</v>
      </c>
      <c r="F91" s="4">
        <f t="shared" si="30"/>
        <v>500</v>
      </c>
      <c r="G91" s="4">
        <f t="shared" si="31"/>
        <v>884</v>
      </c>
      <c r="H91" s="5">
        <f t="shared" si="32"/>
        <v>1724</v>
      </c>
      <c r="I91" s="5">
        <f t="shared" si="33"/>
        <v>1811</v>
      </c>
      <c r="J91" s="5">
        <f t="shared" si="34"/>
        <v>1427</v>
      </c>
      <c r="K91" s="5">
        <f t="shared" si="39"/>
        <v>2000</v>
      </c>
      <c r="L91" s="5">
        <f t="shared" si="40"/>
        <v>2000</v>
      </c>
      <c r="M91" s="5">
        <f t="shared" si="41"/>
        <v>2000</v>
      </c>
      <c r="N91" s="5">
        <f t="shared" si="42"/>
        <v>-276</v>
      </c>
      <c r="O91" s="5">
        <f t="shared" si="43"/>
        <v>-189</v>
      </c>
      <c r="P91" s="5">
        <f t="shared" si="44"/>
        <v>-573</v>
      </c>
      <c r="Q91" s="4">
        <v>0</v>
      </c>
      <c r="R91" s="4">
        <v>5</v>
      </c>
      <c r="S91" s="4">
        <v>0</v>
      </c>
      <c r="T91" s="6">
        <f t="shared" si="35"/>
        <v>1500</v>
      </c>
      <c r="U91" s="7">
        <f t="shared" si="23"/>
        <v>904</v>
      </c>
      <c r="V91" s="7">
        <f t="shared" si="24"/>
        <v>811</v>
      </c>
      <c r="W91" s="7">
        <f t="shared" si="22"/>
        <v>917</v>
      </c>
      <c r="X91" s="6"/>
      <c r="Y91" s="5"/>
      <c r="Z91" s="5"/>
      <c r="AA91" s="5"/>
      <c r="AB91" s="5"/>
    </row>
    <row r="92" spans="1:28" ht="15" customHeight="1">
      <c r="A92" s="12">
        <v>78</v>
      </c>
      <c r="B92" s="11">
        <f t="shared" si="36"/>
        <v>45348</v>
      </c>
      <c r="C92" s="9">
        <f t="shared" si="37"/>
        <v>842</v>
      </c>
      <c r="D92" s="8">
        <f t="shared" si="38"/>
        <v>1467</v>
      </c>
      <c r="E92" s="4">
        <f t="shared" si="29"/>
        <v>585</v>
      </c>
      <c r="F92" s="4">
        <f t="shared" si="30"/>
        <v>500</v>
      </c>
      <c r="G92" s="4">
        <f t="shared" si="31"/>
        <v>882</v>
      </c>
      <c r="H92" s="5">
        <f t="shared" si="32"/>
        <v>1724</v>
      </c>
      <c r="I92" s="5">
        <f t="shared" si="33"/>
        <v>1809</v>
      </c>
      <c r="J92" s="5">
        <f t="shared" si="34"/>
        <v>1427</v>
      </c>
      <c r="K92" s="5">
        <f t="shared" si="39"/>
        <v>2000</v>
      </c>
      <c r="L92" s="5">
        <f t="shared" si="40"/>
        <v>2000</v>
      </c>
      <c r="M92" s="5">
        <f t="shared" si="41"/>
        <v>2000</v>
      </c>
      <c r="N92" s="5">
        <f t="shared" si="42"/>
        <v>-276</v>
      </c>
      <c r="O92" s="5">
        <f t="shared" si="43"/>
        <v>-191</v>
      </c>
      <c r="P92" s="5">
        <f t="shared" si="44"/>
        <v>-573</v>
      </c>
      <c r="Q92" s="4">
        <v>0</v>
      </c>
      <c r="R92" s="4">
        <v>2</v>
      </c>
      <c r="S92" s="4">
        <v>0</v>
      </c>
      <c r="T92" s="6">
        <f t="shared" si="35"/>
        <v>1500</v>
      </c>
      <c r="U92" s="7">
        <f t="shared" si="23"/>
        <v>904</v>
      </c>
      <c r="V92" s="7">
        <f t="shared" si="24"/>
        <v>809</v>
      </c>
      <c r="W92" s="7">
        <f t="shared" si="22"/>
        <v>917</v>
      </c>
      <c r="X92" s="6"/>
      <c r="Y92" s="5"/>
      <c r="Z92" s="5"/>
      <c r="AA92" s="5"/>
      <c r="AB92" s="5"/>
    </row>
    <row r="93" spans="1:28" ht="15" customHeight="1">
      <c r="A93" s="12">
        <v>79</v>
      </c>
      <c r="B93" s="11">
        <f t="shared" si="36"/>
        <v>45349</v>
      </c>
      <c r="C93" s="9">
        <f t="shared" si="37"/>
        <v>842</v>
      </c>
      <c r="D93" s="8">
        <f t="shared" si="38"/>
        <v>1465</v>
      </c>
      <c r="E93" s="4">
        <f t="shared" si="29"/>
        <v>583</v>
      </c>
      <c r="F93" s="4">
        <f t="shared" si="30"/>
        <v>498</v>
      </c>
      <c r="G93" s="4">
        <f t="shared" si="31"/>
        <v>880</v>
      </c>
      <c r="H93" s="5">
        <f t="shared" si="32"/>
        <v>1724</v>
      </c>
      <c r="I93" s="5">
        <f t="shared" si="33"/>
        <v>1809</v>
      </c>
      <c r="J93" s="5">
        <f t="shared" si="34"/>
        <v>1427</v>
      </c>
      <c r="K93" s="5">
        <f t="shared" si="39"/>
        <v>2000</v>
      </c>
      <c r="L93" s="5">
        <f t="shared" si="40"/>
        <v>2000</v>
      </c>
      <c r="M93" s="5">
        <f t="shared" si="41"/>
        <v>2000</v>
      </c>
      <c r="N93" s="5">
        <f t="shared" si="42"/>
        <v>-276</v>
      </c>
      <c r="O93" s="5">
        <f t="shared" si="43"/>
        <v>-191</v>
      </c>
      <c r="P93" s="5">
        <f t="shared" si="44"/>
        <v>-573</v>
      </c>
      <c r="Q93" s="4">
        <v>0</v>
      </c>
      <c r="R93" s="4">
        <v>0</v>
      </c>
      <c r="S93" s="4">
        <v>0</v>
      </c>
      <c r="T93" s="6">
        <f t="shared" si="35"/>
        <v>1498</v>
      </c>
      <c r="U93" s="7">
        <f t="shared" si="23"/>
        <v>904</v>
      </c>
      <c r="V93" s="7">
        <f t="shared" si="24"/>
        <v>809</v>
      </c>
      <c r="W93" s="7">
        <f t="shared" si="22"/>
        <v>917</v>
      </c>
      <c r="X93" s="6"/>
      <c r="Y93" s="5"/>
      <c r="Z93" s="5"/>
      <c r="AA93" s="5"/>
      <c r="AB93" s="5"/>
    </row>
    <row r="94" spans="1:28" ht="15" customHeight="1">
      <c r="A94" s="12">
        <v>80</v>
      </c>
      <c r="B94" s="11">
        <f t="shared" si="36"/>
        <v>45350</v>
      </c>
      <c r="C94" s="9">
        <f t="shared" si="37"/>
        <v>842</v>
      </c>
      <c r="D94" s="8">
        <f t="shared" si="38"/>
        <v>1463</v>
      </c>
      <c r="E94" s="4">
        <f t="shared" si="29"/>
        <v>581</v>
      </c>
      <c r="F94" s="4">
        <f t="shared" si="30"/>
        <v>496</v>
      </c>
      <c r="G94" s="4">
        <f t="shared" si="31"/>
        <v>878</v>
      </c>
      <c r="H94" s="5">
        <f t="shared" si="32"/>
        <v>1724</v>
      </c>
      <c r="I94" s="5">
        <f t="shared" si="33"/>
        <v>1809</v>
      </c>
      <c r="J94" s="5">
        <f t="shared" si="34"/>
        <v>1427</v>
      </c>
      <c r="K94" s="5">
        <f t="shared" si="39"/>
        <v>2000</v>
      </c>
      <c r="L94" s="5">
        <f t="shared" si="40"/>
        <v>2000</v>
      </c>
      <c r="M94" s="5">
        <f t="shared" si="41"/>
        <v>2000</v>
      </c>
      <c r="N94" s="5">
        <f t="shared" si="42"/>
        <v>-276</v>
      </c>
      <c r="O94" s="5">
        <f t="shared" si="43"/>
        <v>-191</v>
      </c>
      <c r="P94" s="5">
        <f t="shared" si="44"/>
        <v>-573</v>
      </c>
      <c r="Q94" s="4">
        <v>0</v>
      </c>
      <c r="R94" s="4">
        <v>0</v>
      </c>
      <c r="S94" s="4">
        <v>0</v>
      </c>
      <c r="T94" s="6">
        <f t="shared" si="35"/>
        <v>1496</v>
      </c>
      <c r="U94" s="7">
        <f t="shared" si="23"/>
        <v>904</v>
      </c>
      <c r="V94" s="7">
        <f t="shared" si="24"/>
        <v>809</v>
      </c>
      <c r="W94" s="7">
        <f t="shared" si="22"/>
        <v>917</v>
      </c>
      <c r="X94" s="6"/>
      <c r="Y94" s="5"/>
      <c r="Z94" s="5"/>
      <c r="AA94" s="5"/>
      <c r="AB94" s="5"/>
    </row>
    <row r="95" spans="1:28" ht="15" customHeight="1">
      <c r="A95" s="12">
        <v>81</v>
      </c>
      <c r="B95" s="11">
        <f t="shared" si="36"/>
        <v>45351</v>
      </c>
      <c r="C95" s="9">
        <f t="shared" si="37"/>
        <v>842</v>
      </c>
      <c r="D95" s="8">
        <f t="shared" si="38"/>
        <v>1461</v>
      </c>
      <c r="E95" s="4">
        <f t="shared" si="29"/>
        <v>579</v>
      </c>
      <c r="F95" s="4">
        <f t="shared" si="30"/>
        <v>494</v>
      </c>
      <c r="G95" s="4">
        <f t="shared" si="31"/>
        <v>876</v>
      </c>
      <c r="H95" s="5">
        <f t="shared" si="32"/>
        <v>1724</v>
      </c>
      <c r="I95" s="5">
        <f t="shared" si="33"/>
        <v>1809</v>
      </c>
      <c r="J95" s="5">
        <f t="shared" si="34"/>
        <v>1427</v>
      </c>
      <c r="K95" s="5">
        <f t="shared" si="39"/>
        <v>2000</v>
      </c>
      <c r="L95" s="5">
        <f t="shared" si="40"/>
        <v>2000</v>
      </c>
      <c r="M95" s="5">
        <f t="shared" si="41"/>
        <v>2000</v>
      </c>
      <c r="N95" s="5">
        <f t="shared" si="42"/>
        <v>-276</v>
      </c>
      <c r="O95" s="5">
        <f t="shared" si="43"/>
        <v>-191</v>
      </c>
      <c r="P95" s="5">
        <f t="shared" si="44"/>
        <v>-573</v>
      </c>
      <c r="Q95" s="4">
        <v>0</v>
      </c>
      <c r="R95" s="4">
        <v>0</v>
      </c>
      <c r="S95" s="4">
        <v>0</v>
      </c>
      <c r="T95" s="6">
        <f t="shared" si="35"/>
        <v>1494</v>
      </c>
      <c r="U95" s="7">
        <f t="shared" si="23"/>
        <v>904</v>
      </c>
      <c r="V95" s="7">
        <f t="shared" si="24"/>
        <v>809</v>
      </c>
      <c r="W95" s="7">
        <f t="shared" si="22"/>
        <v>917</v>
      </c>
      <c r="X95" s="6"/>
      <c r="Y95" s="5"/>
      <c r="Z95" s="5"/>
      <c r="AA95" s="5"/>
      <c r="AB95" s="5"/>
    </row>
    <row r="96" spans="1:28" ht="15" customHeight="1">
      <c r="A96" s="12">
        <v>82</v>
      </c>
      <c r="B96" s="11">
        <f t="shared" si="36"/>
        <v>45352</v>
      </c>
      <c r="C96" s="9">
        <f t="shared" si="37"/>
        <v>842</v>
      </c>
      <c r="D96" s="8">
        <f t="shared" si="38"/>
        <v>1459</v>
      </c>
      <c r="E96" s="4">
        <f t="shared" si="29"/>
        <v>577</v>
      </c>
      <c r="F96" s="4">
        <f t="shared" si="30"/>
        <v>492</v>
      </c>
      <c r="G96" s="4">
        <f t="shared" si="31"/>
        <v>874</v>
      </c>
      <c r="H96" s="5">
        <f t="shared" si="32"/>
        <v>1724</v>
      </c>
      <c r="I96" s="5">
        <f t="shared" si="33"/>
        <v>1809</v>
      </c>
      <c r="J96" s="5">
        <f t="shared" si="34"/>
        <v>1427</v>
      </c>
      <c r="K96" s="5">
        <f t="shared" si="39"/>
        <v>2000</v>
      </c>
      <c r="L96" s="5">
        <f t="shared" si="40"/>
        <v>2000</v>
      </c>
      <c r="M96" s="5">
        <f t="shared" si="41"/>
        <v>2000</v>
      </c>
      <c r="N96" s="5">
        <f t="shared" si="42"/>
        <v>-276</v>
      </c>
      <c r="O96" s="5">
        <f t="shared" si="43"/>
        <v>-191</v>
      </c>
      <c r="P96" s="5">
        <f t="shared" si="44"/>
        <v>-573</v>
      </c>
      <c r="Q96" s="4">
        <v>0</v>
      </c>
      <c r="R96" s="4">
        <v>0</v>
      </c>
      <c r="S96" s="4">
        <v>0</v>
      </c>
      <c r="T96" s="6">
        <f t="shared" si="35"/>
        <v>1492</v>
      </c>
      <c r="U96" s="7">
        <f t="shared" si="23"/>
        <v>904</v>
      </c>
      <c r="V96" s="7">
        <f t="shared" si="24"/>
        <v>809</v>
      </c>
      <c r="W96" s="7">
        <f t="shared" ref="W96:W159" si="45">W95+$X96*1000-S96</f>
        <v>917</v>
      </c>
      <c r="X96" s="6"/>
      <c r="Y96" s="5"/>
      <c r="Z96" s="5"/>
      <c r="AA96" s="5"/>
      <c r="AB96" s="5"/>
    </row>
    <row r="97" spans="1:28" ht="15" customHeight="1">
      <c r="A97" s="12">
        <v>83</v>
      </c>
      <c r="B97" s="11">
        <f t="shared" si="36"/>
        <v>45353</v>
      </c>
      <c r="C97" s="9">
        <f t="shared" si="37"/>
        <v>842</v>
      </c>
      <c r="D97" s="8">
        <f t="shared" si="38"/>
        <v>1457</v>
      </c>
      <c r="E97" s="4">
        <f t="shared" si="29"/>
        <v>575</v>
      </c>
      <c r="F97" s="4">
        <f t="shared" si="30"/>
        <v>490</v>
      </c>
      <c r="G97" s="4">
        <f t="shared" si="31"/>
        <v>872</v>
      </c>
      <c r="H97" s="5">
        <f t="shared" si="32"/>
        <v>1724</v>
      </c>
      <c r="I97" s="5">
        <f t="shared" si="33"/>
        <v>1809</v>
      </c>
      <c r="J97" s="5">
        <f t="shared" si="34"/>
        <v>1427</v>
      </c>
      <c r="K97" s="5">
        <f t="shared" si="39"/>
        <v>2000</v>
      </c>
      <c r="L97" s="5">
        <f t="shared" si="40"/>
        <v>2000</v>
      </c>
      <c r="M97" s="5">
        <f t="shared" si="41"/>
        <v>2000</v>
      </c>
      <c r="N97" s="5">
        <f t="shared" si="42"/>
        <v>-276</v>
      </c>
      <c r="O97" s="5">
        <f t="shared" si="43"/>
        <v>-191</v>
      </c>
      <c r="P97" s="5">
        <f t="shared" si="44"/>
        <v>-573</v>
      </c>
      <c r="Q97" s="4">
        <v>0</v>
      </c>
      <c r="R97" s="4">
        <v>0</v>
      </c>
      <c r="S97" s="4">
        <v>0</v>
      </c>
      <c r="T97" s="6">
        <f t="shared" si="35"/>
        <v>1490</v>
      </c>
      <c r="U97" s="7">
        <f t="shared" si="23"/>
        <v>904</v>
      </c>
      <c r="V97" s="7">
        <f t="shared" si="24"/>
        <v>809</v>
      </c>
      <c r="W97" s="7">
        <f t="shared" si="45"/>
        <v>917</v>
      </c>
      <c r="X97" s="6"/>
      <c r="Y97" s="5"/>
      <c r="Z97" s="5"/>
      <c r="AA97" s="5"/>
      <c r="AB97" s="5"/>
    </row>
    <row r="98" spans="1:28" ht="15" customHeight="1">
      <c r="A98" s="12">
        <v>84</v>
      </c>
      <c r="B98" s="11">
        <f t="shared" si="36"/>
        <v>45354</v>
      </c>
      <c r="C98" s="9">
        <f t="shared" si="37"/>
        <v>842</v>
      </c>
      <c r="D98" s="8">
        <f t="shared" si="38"/>
        <v>1455</v>
      </c>
      <c r="E98" s="4">
        <f t="shared" si="29"/>
        <v>573</v>
      </c>
      <c r="F98" s="4">
        <f t="shared" si="30"/>
        <v>488</v>
      </c>
      <c r="G98" s="4">
        <f t="shared" si="31"/>
        <v>870</v>
      </c>
      <c r="H98" s="5">
        <f t="shared" si="32"/>
        <v>1724</v>
      </c>
      <c r="I98" s="5">
        <f t="shared" si="33"/>
        <v>1809</v>
      </c>
      <c r="J98" s="5">
        <f t="shared" si="34"/>
        <v>1427</v>
      </c>
      <c r="K98" s="5">
        <f t="shared" si="39"/>
        <v>2000</v>
      </c>
      <c r="L98" s="5">
        <f t="shared" si="40"/>
        <v>2000</v>
      </c>
      <c r="M98" s="5">
        <f t="shared" si="41"/>
        <v>2000</v>
      </c>
      <c r="N98" s="5">
        <f t="shared" si="42"/>
        <v>-276</v>
      </c>
      <c r="O98" s="5">
        <f t="shared" si="43"/>
        <v>-191</v>
      </c>
      <c r="P98" s="5">
        <f t="shared" si="44"/>
        <v>-573</v>
      </c>
      <c r="Q98" s="4">
        <v>0</v>
      </c>
      <c r="R98" s="4">
        <v>0</v>
      </c>
      <c r="S98" s="4">
        <v>0</v>
      </c>
      <c r="T98" s="6">
        <f t="shared" si="35"/>
        <v>1488</v>
      </c>
      <c r="U98" s="7">
        <f t="shared" si="23"/>
        <v>904</v>
      </c>
      <c r="V98" s="7">
        <f t="shared" si="24"/>
        <v>809</v>
      </c>
      <c r="W98" s="7">
        <f t="shared" si="45"/>
        <v>917</v>
      </c>
      <c r="X98" s="6"/>
      <c r="Y98" s="5"/>
      <c r="Z98" s="5"/>
      <c r="AA98" s="5"/>
      <c r="AB98" s="5"/>
    </row>
    <row r="99" spans="1:28" ht="15" customHeight="1">
      <c r="A99" s="12">
        <v>85</v>
      </c>
      <c r="B99" s="11">
        <f t="shared" si="36"/>
        <v>45355</v>
      </c>
      <c r="C99" s="9">
        <f t="shared" si="37"/>
        <v>842</v>
      </c>
      <c r="D99" s="8">
        <f t="shared" si="38"/>
        <v>1453</v>
      </c>
      <c r="E99" s="4">
        <f t="shared" si="29"/>
        <v>571</v>
      </c>
      <c r="F99" s="4">
        <f t="shared" si="30"/>
        <v>486</v>
      </c>
      <c r="G99" s="4">
        <f t="shared" si="31"/>
        <v>868</v>
      </c>
      <c r="H99" s="5">
        <f t="shared" si="32"/>
        <v>1724</v>
      </c>
      <c r="I99" s="5">
        <f t="shared" si="33"/>
        <v>1809</v>
      </c>
      <c r="J99" s="5">
        <f t="shared" si="34"/>
        <v>1427</v>
      </c>
      <c r="K99" s="5">
        <f t="shared" si="39"/>
        <v>2000</v>
      </c>
      <c r="L99" s="5">
        <f t="shared" si="40"/>
        <v>2000</v>
      </c>
      <c r="M99" s="5">
        <f t="shared" si="41"/>
        <v>2000</v>
      </c>
      <c r="N99" s="5">
        <f t="shared" si="42"/>
        <v>-276</v>
      </c>
      <c r="O99" s="5">
        <f t="shared" si="43"/>
        <v>-191</v>
      </c>
      <c r="P99" s="5">
        <f t="shared" si="44"/>
        <v>-573</v>
      </c>
      <c r="Q99" s="4">
        <v>0</v>
      </c>
      <c r="R99" s="4">
        <v>0</v>
      </c>
      <c r="S99" s="4">
        <v>0</v>
      </c>
      <c r="T99" s="6">
        <f t="shared" si="35"/>
        <v>1486</v>
      </c>
      <c r="U99" s="7">
        <f t="shared" si="23"/>
        <v>904</v>
      </c>
      <c r="V99" s="7">
        <f t="shared" si="24"/>
        <v>809</v>
      </c>
      <c r="W99" s="7">
        <f t="shared" si="45"/>
        <v>917</v>
      </c>
      <c r="X99" s="6"/>
      <c r="Y99" s="5"/>
      <c r="Z99" s="5"/>
      <c r="AA99" s="5"/>
      <c r="AB99" s="5"/>
    </row>
    <row r="100" spans="1:28" ht="15" customHeight="1">
      <c r="A100" s="12">
        <v>86</v>
      </c>
      <c r="B100" s="11">
        <f t="shared" si="36"/>
        <v>45356</v>
      </c>
      <c r="C100" s="9">
        <f t="shared" si="37"/>
        <v>842</v>
      </c>
      <c r="D100" s="8">
        <f t="shared" si="38"/>
        <v>1451</v>
      </c>
      <c r="E100" s="4">
        <f t="shared" si="29"/>
        <v>569</v>
      </c>
      <c r="F100" s="4">
        <f t="shared" si="30"/>
        <v>484</v>
      </c>
      <c r="G100" s="4">
        <f t="shared" si="31"/>
        <v>866</v>
      </c>
      <c r="H100" s="5">
        <f t="shared" si="32"/>
        <v>1724</v>
      </c>
      <c r="I100" s="5">
        <f t="shared" si="33"/>
        <v>1809</v>
      </c>
      <c r="J100" s="5">
        <f t="shared" si="34"/>
        <v>1427</v>
      </c>
      <c r="K100" s="5">
        <f t="shared" si="39"/>
        <v>2000</v>
      </c>
      <c r="L100" s="5">
        <f t="shared" si="40"/>
        <v>2000</v>
      </c>
      <c r="M100" s="5">
        <f t="shared" si="41"/>
        <v>2000</v>
      </c>
      <c r="N100" s="5">
        <f t="shared" si="42"/>
        <v>-276</v>
      </c>
      <c r="O100" s="5">
        <f t="shared" si="43"/>
        <v>-191</v>
      </c>
      <c r="P100" s="5">
        <f t="shared" si="44"/>
        <v>-573</v>
      </c>
      <c r="Q100" s="4">
        <v>0</v>
      </c>
      <c r="R100" s="4">
        <v>0</v>
      </c>
      <c r="S100" s="4">
        <v>0</v>
      </c>
      <c r="T100" s="6">
        <f t="shared" si="35"/>
        <v>1484</v>
      </c>
      <c r="U100" s="7">
        <f t="shared" si="23"/>
        <v>904</v>
      </c>
      <c r="V100" s="7">
        <f t="shared" si="24"/>
        <v>809</v>
      </c>
      <c r="W100" s="7">
        <f t="shared" si="45"/>
        <v>917</v>
      </c>
      <c r="X100" s="6"/>
      <c r="Y100" s="5"/>
      <c r="Z100" s="5"/>
      <c r="AA100" s="5"/>
      <c r="AB100" s="5"/>
    </row>
    <row r="101" spans="1:28" ht="15" customHeight="1">
      <c r="A101" s="12">
        <v>87</v>
      </c>
      <c r="B101" s="11">
        <f t="shared" si="36"/>
        <v>45357</v>
      </c>
      <c r="C101" s="9">
        <f t="shared" si="37"/>
        <v>842</v>
      </c>
      <c r="D101" s="8">
        <f t="shared" si="38"/>
        <v>1449</v>
      </c>
      <c r="E101" s="4">
        <f t="shared" si="29"/>
        <v>567</v>
      </c>
      <c r="F101" s="4">
        <f t="shared" si="30"/>
        <v>482</v>
      </c>
      <c r="G101" s="4">
        <f t="shared" si="31"/>
        <v>864</v>
      </c>
      <c r="H101" s="5">
        <f t="shared" si="32"/>
        <v>1724</v>
      </c>
      <c r="I101" s="5">
        <f t="shared" si="33"/>
        <v>1809</v>
      </c>
      <c r="J101" s="5">
        <f t="shared" si="34"/>
        <v>1427</v>
      </c>
      <c r="K101" s="5">
        <f t="shared" si="39"/>
        <v>2000</v>
      </c>
      <c r="L101" s="5">
        <f t="shared" si="40"/>
        <v>2000</v>
      </c>
      <c r="M101" s="5">
        <f t="shared" si="41"/>
        <v>2000</v>
      </c>
      <c r="N101" s="5">
        <f t="shared" si="42"/>
        <v>-276</v>
      </c>
      <c r="O101" s="5">
        <f t="shared" si="43"/>
        <v>-191</v>
      </c>
      <c r="P101" s="5">
        <f t="shared" si="44"/>
        <v>-573</v>
      </c>
      <c r="Q101" s="4">
        <v>0</v>
      </c>
      <c r="R101" s="4">
        <v>0</v>
      </c>
      <c r="S101" s="4">
        <v>0</v>
      </c>
      <c r="T101" s="6">
        <f t="shared" si="35"/>
        <v>1482</v>
      </c>
      <c r="U101" s="7">
        <f t="shared" si="23"/>
        <v>904</v>
      </c>
      <c r="V101" s="7">
        <f t="shared" si="24"/>
        <v>809</v>
      </c>
      <c r="W101" s="7">
        <f t="shared" si="45"/>
        <v>917</v>
      </c>
      <c r="X101" s="6"/>
      <c r="Y101" s="5"/>
      <c r="Z101" s="5"/>
      <c r="AA101" s="5"/>
      <c r="AB101" s="5"/>
    </row>
    <row r="102" spans="1:28" ht="15" customHeight="1">
      <c r="A102" s="12">
        <v>88</v>
      </c>
      <c r="B102" s="11">
        <f t="shared" si="36"/>
        <v>45358</v>
      </c>
      <c r="C102" s="9">
        <f t="shared" si="37"/>
        <v>842</v>
      </c>
      <c r="D102" s="8">
        <f t="shared" si="38"/>
        <v>1447</v>
      </c>
      <c r="E102" s="4">
        <f t="shared" si="29"/>
        <v>565</v>
      </c>
      <c r="F102" s="4">
        <f t="shared" si="30"/>
        <v>480</v>
      </c>
      <c r="G102" s="4">
        <f t="shared" si="31"/>
        <v>862</v>
      </c>
      <c r="H102" s="5">
        <f t="shared" si="32"/>
        <v>1724</v>
      </c>
      <c r="I102" s="5">
        <f t="shared" si="33"/>
        <v>1809</v>
      </c>
      <c r="J102" s="5">
        <f t="shared" si="34"/>
        <v>1427</v>
      </c>
      <c r="K102" s="5">
        <f t="shared" si="39"/>
        <v>2000</v>
      </c>
      <c r="L102" s="5">
        <f t="shared" si="40"/>
        <v>2000</v>
      </c>
      <c r="M102" s="5">
        <f t="shared" si="41"/>
        <v>2000</v>
      </c>
      <c r="N102" s="5">
        <f t="shared" si="42"/>
        <v>-276</v>
      </c>
      <c r="O102" s="5">
        <f t="shared" si="43"/>
        <v>-191</v>
      </c>
      <c r="P102" s="5">
        <f t="shared" si="44"/>
        <v>-573</v>
      </c>
      <c r="Q102" s="4">
        <v>0</v>
      </c>
      <c r="R102" s="4">
        <v>0</v>
      </c>
      <c r="S102" s="4">
        <v>0</v>
      </c>
      <c r="T102" s="6">
        <f t="shared" si="35"/>
        <v>1480</v>
      </c>
      <c r="U102" s="7">
        <f t="shared" ref="U102:U165" si="46">U101+$X102*1000-Q102</f>
        <v>904</v>
      </c>
      <c r="V102" s="7">
        <f t="shared" ref="V102:V165" si="47">V101+$X102*1000-R102</f>
        <v>809</v>
      </c>
      <c r="W102" s="7">
        <f t="shared" si="45"/>
        <v>917</v>
      </c>
      <c r="X102" s="6"/>
      <c r="Y102" s="5"/>
      <c r="Z102" s="5"/>
      <c r="AA102" s="5"/>
      <c r="AB102" s="5"/>
    </row>
    <row r="103" spans="1:28" ht="15" customHeight="1">
      <c r="A103" s="12">
        <v>89</v>
      </c>
      <c r="B103" s="11">
        <f t="shared" si="36"/>
        <v>45359</v>
      </c>
      <c r="C103" s="9">
        <f t="shared" si="37"/>
        <v>842</v>
      </c>
      <c r="D103" s="8">
        <f t="shared" si="38"/>
        <v>1445</v>
      </c>
      <c r="E103" s="4">
        <f t="shared" si="29"/>
        <v>563</v>
      </c>
      <c r="F103" s="4">
        <f t="shared" si="30"/>
        <v>478</v>
      </c>
      <c r="G103" s="4">
        <f t="shared" si="31"/>
        <v>860</v>
      </c>
      <c r="H103" s="5">
        <f t="shared" si="32"/>
        <v>1724</v>
      </c>
      <c r="I103" s="5">
        <f t="shared" si="33"/>
        <v>1809</v>
      </c>
      <c r="J103" s="5">
        <f t="shared" si="34"/>
        <v>1427</v>
      </c>
      <c r="K103" s="5">
        <f t="shared" si="39"/>
        <v>2000</v>
      </c>
      <c r="L103" s="5">
        <f t="shared" si="40"/>
        <v>2000</v>
      </c>
      <c r="M103" s="5">
        <f t="shared" si="41"/>
        <v>2000</v>
      </c>
      <c r="N103" s="5">
        <f t="shared" si="42"/>
        <v>-276</v>
      </c>
      <c r="O103" s="5">
        <f t="shared" si="43"/>
        <v>-191</v>
      </c>
      <c r="P103" s="5">
        <f t="shared" si="44"/>
        <v>-573</v>
      </c>
      <c r="Q103" s="4">
        <v>0</v>
      </c>
      <c r="R103" s="4">
        <v>0</v>
      </c>
      <c r="S103" s="4">
        <v>0</v>
      </c>
      <c r="T103" s="6">
        <f t="shared" si="35"/>
        <v>1478</v>
      </c>
      <c r="U103" s="7">
        <f t="shared" si="46"/>
        <v>904</v>
      </c>
      <c r="V103" s="7">
        <f t="shared" si="47"/>
        <v>809</v>
      </c>
      <c r="W103" s="7">
        <f t="shared" si="45"/>
        <v>917</v>
      </c>
      <c r="X103" s="6"/>
      <c r="Y103" s="5"/>
      <c r="Z103" s="5"/>
      <c r="AA103" s="5"/>
      <c r="AB103" s="5"/>
    </row>
    <row r="104" spans="1:28" ht="15" customHeight="1">
      <c r="A104" s="12">
        <v>90</v>
      </c>
      <c r="B104" s="11">
        <f t="shared" si="36"/>
        <v>45360</v>
      </c>
      <c r="C104" s="9">
        <f t="shared" si="37"/>
        <v>842</v>
      </c>
      <c r="D104" s="8">
        <f t="shared" si="38"/>
        <v>1443</v>
      </c>
      <c r="E104" s="4">
        <f t="shared" si="29"/>
        <v>561</v>
      </c>
      <c r="F104" s="4">
        <f t="shared" si="30"/>
        <v>476</v>
      </c>
      <c r="G104" s="4">
        <f t="shared" si="31"/>
        <v>858</v>
      </c>
      <c r="H104" s="5">
        <f t="shared" si="32"/>
        <v>1724</v>
      </c>
      <c r="I104" s="5">
        <f t="shared" si="33"/>
        <v>1809</v>
      </c>
      <c r="J104" s="5">
        <f t="shared" si="34"/>
        <v>1427</v>
      </c>
      <c r="K104" s="5">
        <f t="shared" si="39"/>
        <v>2000</v>
      </c>
      <c r="L104" s="5">
        <f t="shared" si="40"/>
        <v>2000</v>
      </c>
      <c r="M104" s="5">
        <f t="shared" si="41"/>
        <v>2000</v>
      </c>
      <c r="N104" s="5">
        <f t="shared" si="42"/>
        <v>-276</v>
      </c>
      <c r="O104" s="5">
        <f t="shared" si="43"/>
        <v>-191</v>
      </c>
      <c r="P104" s="5">
        <f t="shared" si="44"/>
        <v>-573</v>
      </c>
      <c r="Q104" s="4">
        <v>0</v>
      </c>
      <c r="R104" s="4">
        <v>0</v>
      </c>
      <c r="S104" s="4">
        <v>0</v>
      </c>
      <c r="T104" s="6">
        <f t="shared" si="35"/>
        <v>1476</v>
      </c>
      <c r="U104" s="7">
        <f t="shared" si="46"/>
        <v>904</v>
      </c>
      <c r="V104" s="7">
        <f t="shared" si="47"/>
        <v>809</v>
      </c>
      <c r="W104" s="7">
        <f t="shared" si="45"/>
        <v>917</v>
      </c>
      <c r="X104" s="6"/>
      <c r="Y104" s="5"/>
      <c r="Z104" s="5"/>
      <c r="AA104" s="5"/>
      <c r="AB104" s="5"/>
    </row>
    <row r="105" spans="1:28" ht="15" customHeight="1">
      <c r="A105" s="12">
        <v>91</v>
      </c>
      <c r="B105" s="11">
        <f t="shared" si="36"/>
        <v>45361</v>
      </c>
      <c r="C105" s="9">
        <f t="shared" si="37"/>
        <v>842</v>
      </c>
      <c r="D105" s="8">
        <f t="shared" si="38"/>
        <v>1441</v>
      </c>
      <c r="E105" s="4">
        <f t="shared" si="29"/>
        <v>559</v>
      </c>
      <c r="F105" s="4">
        <f t="shared" si="30"/>
        <v>474</v>
      </c>
      <c r="G105" s="4">
        <f t="shared" si="31"/>
        <v>856</v>
      </c>
      <c r="H105" s="5">
        <f t="shared" si="32"/>
        <v>1724</v>
      </c>
      <c r="I105" s="5">
        <f t="shared" si="33"/>
        <v>1809</v>
      </c>
      <c r="J105" s="5">
        <f t="shared" si="34"/>
        <v>1427</v>
      </c>
      <c r="K105" s="5">
        <f t="shared" si="39"/>
        <v>2000</v>
      </c>
      <c r="L105" s="5">
        <f t="shared" si="40"/>
        <v>2000</v>
      </c>
      <c r="M105" s="5">
        <f t="shared" si="41"/>
        <v>2000</v>
      </c>
      <c r="N105" s="5">
        <f t="shared" si="42"/>
        <v>-276</v>
      </c>
      <c r="O105" s="5">
        <f t="shared" si="43"/>
        <v>-191</v>
      </c>
      <c r="P105" s="5">
        <f t="shared" si="44"/>
        <v>-573</v>
      </c>
      <c r="Q105" s="4">
        <v>0</v>
      </c>
      <c r="R105" s="4">
        <v>0</v>
      </c>
      <c r="S105" s="4">
        <v>0</v>
      </c>
      <c r="T105" s="6">
        <f t="shared" si="35"/>
        <v>1474</v>
      </c>
      <c r="U105" s="7">
        <f t="shared" si="46"/>
        <v>904</v>
      </c>
      <c r="V105" s="7">
        <f t="shared" si="47"/>
        <v>809</v>
      </c>
      <c r="W105" s="7">
        <f t="shared" si="45"/>
        <v>917</v>
      </c>
      <c r="X105" s="6"/>
      <c r="Y105" s="5"/>
      <c r="Z105" s="5"/>
      <c r="AA105" s="5"/>
      <c r="AB105" s="5"/>
    </row>
    <row r="106" spans="1:28" ht="15" customHeight="1">
      <c r="A106" s="12">
        <v>92</v>
      </c>
      <c r="B106" s="11">
        <f t="shared" si="36"/>
        <v>45362</v>
      </c>
      <c r="C106" s="9">
        <f t="shared" si="37"/>
        <v>842</v>
      </c>
      <c r="D106" s="8">
        <f t="shared" si="38"/>
        <v>1439</v>
      </c>
      <c r="E106" s="4">
        <f t="shared" si="29"/>
        <v>557</v>
      </c>
      <c r="F106" s="4">
        <f t="shared" si="30"/>
        <v>472</v>
      </c>
      <c r="G106" s="4">
        <f t="shared" si="31"/>
        <v>854</v>
      </c>
      <c r="H106" s="5">
        <f t="shared" si="32"/>
        <v>1724</v>
      </c>
      <c r="I106" s="5">
        <f t="shared" si="33"/>
        <v>1809</v>
      </c>
      <c r="J106" s="5">
        <f t="shared" si="34"/>
        <v>1427</v>
      </c>
      <c r="K106" s="5">
        <f t="shared" si="39"/>
        <v>2000</v>
      </c>
      <c r="L106" s="5">
        <f t="shared" si="40"/>
        <v>2000</v>
      </c>
      <c r="M106" s="5">
        <f t="shared" si="41"/>
        <v>2000</v>
      </c>
      <c r="N106" s="5">
        <f t="shared" si="42"/>
        <v>-276</v>
      </c>
      <c r="O106" s="5">
        <f t="shared" si="43"/>
        <v>-191</v>
      </c>
      <c r="P106" s="5">
        <f t="shared" si="44"/>
        <v>-573</v>
      </c>
      <c r="Q106" s="4">
        <v>0</v>
      </c>
      <c r="R106" s="4">
        <v>0</v>
      </c>
      <c r="S106" s="4">
        <v>0</v>
      </c>
      <c r="T106" s="6">
        <f t="shared" si="35"/>
        <v>1472</v>
      </c>
      <c r="U106" s="7">
        <f t="shared" si="46"/>
        <v>904</v>
      </c>
      <c r="V106" s="7">
        <f t="shared" si="47"/>
        <v>809</v>
      </c>
      <c r="W106" s="7">
        <f t="shared" si="45"/>
        <v>917</v>
      </c>
      <c r="X106" s="6"/>
      <c r="Y106" s="5"/>
      <c r="Z106" s="5"/>
      <c r="AA106" s="5"/>
      <c r="AB106" s="5"/>
    </row>
    <row r="107" spans="1:28" ht="15" customHeight="1">
      <c r="A107" s="12">
        <v>93</v>
      </c>
      <c r="B107" s="11">
        <f t="shared" si="36"/>
        <v>45363</v>
      </c>
      <c r="C107" s="9">
        <f t="shared" si="37"/>
        <v>842</v>
      </c>
      <c r="D107" s="8">
        <f t="shared" si="38"/>
        <v>1437</v>
      </c>
      <c r="E107" s="4">
        <f t="shared" si="29"/>
        <v>555</v>
      </c>
      <c r="F107" s="4">
        <f t="shared" si="30"/>
        <v>470</v>
      </c>
      <c r="G107" s="4">
        <f t="shared" si="31"/>
        <v>852</v>
      </c>
      <c r="H107" s="5">
        <f t="shared" si="32"/>
        <v>1724</v>
      </c>
      <c r="I107" s="5">
        <f t="shared" si="33"/>
        <v>1809</v>
      </c>
      <c r="J107" s="5">
        <f t="shared" si="34"/>
        <v>1427</v>
      </c>
      <c r="K107" s="5">
        <f t="shared" si="39"/>
        <v>2000</v>
      </c>
      <c r="L107" s="5">
        <f t="shared" si="40"/>
        <v>2000</v>
      </c>
      <c r="M107" s="5">
        <f t="shared" si="41"/>
        <v>2000</v>
      </c>
      <c r="N107" s="5">
        <f t="shared" si="42"/>
        <v>-276</v>
      </c>
      <c r="O107" s="5">
        <f t="shared" si="43"/>
        <v>-191</v>
      </c>
      <c r="P107" s="5">
        <f t="shared" si="44"/>
        <v>-573</v>
      </c>
      <c r="Q107" s="4">
        <v>0</v>
      </c>
      <c r="R107" s="4">
        <v>0</v>
      </c>
      <c r="S107" s="4">
        <v>0</v>
      </c>
      <c r="T107" s="6">
        <f t="shared" si="35"/>
        <v>1470</v>
      </c>
      <c r="U107" s="7">
        <f t="shared" si="46"/>
        <v>904</v>
      </c>
      <c r="V107" s="7">
        <f t="shared" si="47"/>
        <v>809</v>
      </c>
      <c r="W107" s="7">
        <f t="shared" si="45"/>
        <v>917</v>
      </c>
      <c r="X107" s="6"/>
      <c r="Y107" s="5"/>
      <c r="Z107" s="5"/>
      <c r="AA107" s="5"/>
      <c r="AB107" s="5"/>
    </row>
    <row r="108" spans="1:28" ht="15" customHeight="1">
      <c r="A108" s="12">
        <v>94</v>
      </c>
      <c r="B108" s="11">
        <f t="shared" si="36"/>
        <v>45364</v>
      </c>
      <c r="C108" s="9">
        <f t="shared" si="37"/>
        <v>842</v>
      </c>
      <c r="D108" s="8">
        <f t="shared" si="38"/>
        <v>1435</v>
      </c>
      <c r="E108" s="4">
        <f t="shared" si="29"/>
        <v>553</v>
      </c>
      <c r="F108" s="4">
        <f t="shared" si="30"/>
        <v>468</v>
      </c>
      <c r="G108" s="4">
        <f t="shared" si="31"/>
        <v>850</v>
      </c>
      <c r="H108" s="5">
        <f t="shared" si="32"/>
        <v>1724</v>
      </c>
      <c r="I108" s="5">
        <f t="shared" si="33"/>
        <v>1809</v>
      </c>
      <c r="J108" s="5">
        <f t="shared" si="34"/>
        <v>1427</v>
      </c>
      <c r="K108" s="5">
        <f t="shared" si="39"/>
        <v>2000</v>
      </c>
      <c r="L108" s="5">
        <f t="shared" si="40"/>
        <v>2000</v>
      </c>
      <c r="M108" s="5">
        <f t="shared" si="41"/>
        <v>2000</v>
      </c>
      <c r="N108" s="5">
        <f t="shared" si="42"/>
        <v>-276</v>
      </c>
      <c r="O108" s="5">
        <f t="shared" si="43"/>
        <v>-191</v>
      </c>
      <c r="P108" s="5">
        <f t="shared" si="44"/>
        <v>-573</v>
      </c>
      <c r="Q108" s="4">
        <v>0</v>
      </c>
      <c r="R108" s="4">
        <v>0</v>
      </c>
      <c r="S108" s="4">
        <v>0</v>
      </c>
      <c r="T108" s="6">
        <f t="shared" si="35"/>
        <v>1468</v>
      </c>
      <c r="U108" s="7">
        <f t="shared" si="46"/>
        <v>904</v>
      </c>
      <c r="V108" s="7">
        <f t="shared" si="47"/>
        <v>809</v>
      </c>
      <c r="W108" s="7">
        <f t="shared" si="45"/>
        <v>917</v>
      </c>
      <c r="X108" s="6"/>
      <c r="Y108" s="5"/>
      <c r="Z108" s="5"/>
      <c r="AA108" s="5"/>
      <c r="AB108" s="5"/>
    </row>
    <row r="109" spans="1:28" ht="15" customHeight="1">
      <c r="A109" s="12">
        <v>95</v>
      </c>
      <c r="B109" s="11">
        <f t="shared" si="36"/>
        <v>45365</v>
      </c>
      <c r="C109" s="9">
        <f t="shared" si="37"/>
        <v>842</v>
      </c>
      <c r="D109" s="8">
        <f t="shared" si="38"/>
        <v>1433</v>
      </c>
      <c r="E109" s="4">
        <f t="shared" si="29"/>
        <v>551</v>
      </c>
      <c r="F109" s="4">
        <f t="shared" si="30"/>
        <v>466</v>
      </c>
      <c r="G109" s="4">
        <f t="shared" si="31"/>
        <v>848</v>
      </c>
      <c r="H109" s="5">
        <f t="shared" si="32"/>
        <v>1724</v>
      </c>
      <c r="I109" s="5">
        <f t="shared" si="33"/>
        <v>1809</v>
      </c>
      <c r="J109" s="5">
        <f t="shared" si="34"/>
        <v>1427</v>
      </c>
      <c r="K109" s="5">
        <f t="shared" si="39"/>
        <v>2000</v>
      </c>
      <c r="L109" s="5">
        <f t="shared" si="40"/>
        <v>2000</v>
      </c>
      <c r="M109" s="5">
        <f t="shared" si="41"/>
        <v>2000</v>
      </c>
      <c r="N109" s="5">
        <f t="shared" si="42"/>
        <v>-276</v>
      </c>
      <c r="O109" s="5">
        <f t="shared" si="43"/>
        <v>-191</v>
      </c>
      <c r="P109" s="5">
        <f t="shared" si="44"/>
        <v>-573</v>
      </c>
      <c r="Q109" s="4">
        <v>0</v>
      </c>
      <c r="R109" s="4">
        <v>0</v>
      </c>
      <c r="S109" s="4">
        <v>0</v>
      </c>
      <c r="T109" s="6">
        <f t="shared" si="35"/>
        <v>1466</v>
      </c>
      <c r="U109" s="7">
        <f t="shared" si="46"/>
        <v>904</v>
      </c>
      <c r="V109" s="7">
        <f t="shared" si="47"/>
        <v>809</v>
      </c>
      <c r="W109" s="7">
        <f t="shared" si="45"/>
        <v>917</v>
      </c>
      <c r="X109" s="6"/>
      <c r="Y109" s="5"/>
      <c r="Z109" s="5"/>
      <c r="AA109" s="5"/>
      <c r="AB109" s="5"/>
    </row>
    <row r="110" spans="1:28" ht="15" customHeight="1">
      <c r="A110" s="12">
        <v>96</v>
      </c>
      <c r="B110" s="11">
        <f t="shared" si="36"/>
        <v>45366</v>
      </c>
      <c r="C110" s="9">
        <f t="shared" si="37"/>
        <v>842</v>
      </c>
      <c r="D110" s="8">
        <f t="shared" si="38"/>
        <v>1431</v>
      </c>
      <c r="E110" s="4">
        <f t="shared" si="29"/>
        <v>549</v>
      </c>
      <c r="F110" s="4">
        <f t="shared" si="30"/>
        <v>464</v>
      </c>
      <c r="G110" s="4">
        <f t="shared" si="31"/>
        <v>846</v>
      </c>
      <c r="H110" s="5">
        <f t="shared" si="32"/>
        <v>1724</v>
      </c>
      <c r="I110" s="5">
        <f t="shared" si="33"/>
        <v>1809</v>
      </c>
      <c r="J110" s="5">
        <f t="shared" si="34"/>
        <v>1427</v>
      </c>
      <c r="K110" s="5">
        <f t="shared" si="39"/>
        <v>2000</v>
      </c>
      <c r="L110" s="5">
        <f t="shared" si="40"/>
        <v>2000</v>
      </c>
      <c r="M110" s="5">
        <f t="shared" si="41"/>
        <v>2000</v>
      </c>
      <c r="N110" s="5">
        <f t="shared" si="42"/>
        <v>-276</v>
      </c>
      <c r="O110" s="5">
        <f t="shared" si="43"/>
        <v>-191</v>
      </c>
      <c r="P110" s="5">
        <f t="shared" si="44"/>
        <v>-573</v>
      </c>
      <c r="Q110" s="4">
        <v>0</v>
      </c>
      <c r="R110" s="4">
        <v>0</v>
      </c>
      <c r="S110" s="4">
        <v>0</v>
      </c>
      <c r="T110" s="6">
        <f t="shared" si="35"/>
        <v>1464</v>
      </c>
      <c r="U110" s="7">
        <f t="shared" si="46"/>
        <v>904</v>
      </c>
      <c r="V110" s="7">
        <f t="shared" si="47"/>
        <v>809</v>
      </c>
      <c r="W110" s="7">
        <f t="shared" si="45"/>
        <v>917</v>
      </c>
      <c r="X110" s="6"/>
      <c r="Y110" s="5"/>
      <c r="Z110" s="5"/>
      <c r="AA110" s="5"/>
      <c r="AB110" s="5"/>
    </row>
    <row r="111" spans="1:28" ht="15" customHeight="1">
      <c r="A111" s="12">
        <v>97</v>
      </c>
      <c r="B111" s="11">
        <f t="shared" si="36"/>
        <v>45367</v>
      </c>
      <c r="C111" s="9">
        <f t="shared" si="37"/>
        <v>842</v>
      </c>
      <c r="D111" s="8">
        <f t="shared" ref="D111:D126" si="48">D110-2</f>
        <v>1429</v>
      </c>
      <c r="E111" s="4">
        <f t="shared" si="29"/>
        <v>547</v>
      </c>
      <c r="F111" s="4">
        <f t="shared" si="30"/>
        <v>462</v>
      </c>
      <c r="G111" s="4">
        <f t="shared" si="31"/>
        <v>844</v>
      </c>
      <c r="H111" s="5">
        <f t="shared" si="32"/>
        <v>1724</v>
      </c>
      <c r="I111" s="5">
        <f t="shared" si="33"/>
        <v>1809</v>
      </c>
      <c r="J111" s="5">
        <f t="shared" si="34"/>
        <v>1427</v>
      </c>
      <c r="K111" s="5">
        <f t="shared" ref="K111:K147" si="49">K110</f>
        <v>2000</v>
      </c>
      <c r="L111" s="5">
        <f t="shared" ref="L111:L147" si="50">L110</f>
        <v>2000</v>
      </c>
      <c r="M111" s="5">
        <f t="shared" ref="M111:M147" si="51">M110</f>
        <v>2000</v>
      </c>
      <c r="N111" s="5">
        <f t="shared" si="42"/>
        <v>-276</v>
      </c>
      <c r="O111" s="5">
        <f t="shared" si="43"/>
        <v>-191</v>
      </c>
      <c r="P111" s="5">
        <f t="shared" si="44"/>
        <v>-573</v>
      </c>
      <c r="Q111" s="4">
        <v>0</v>
      </c>
      <c r="R111" s="4">
        <v>0</v>
      </c>
      <c r="S111" s="4">
        <v>0</v>
      </c>
      <c r="T111" s="6">
        <f t="shared" si="35"/>
        <v>1462</v>
      </c>
      <c r="U111" s="7">
        <f t="shared" si="46"/>
        <v>904</v>
      </c>
      <c r="V111" s="7">
        <f t="shared" si="47"/>
        <v>809</v>
      </c>
      <c r="W111" s="7">
        <f t="shared" si="45"/>
        <v>917</v>
      </c>
      <c r="X111" s="6"/>
      <c r="Y111" s="5"/>
      <c r="Z111" s="5"/>
      <c r="AA111" s="5"/>
      <c r="AB111" s="5"/>
    </row>
    <row r="112" spans="1:28" ht="15" customHeight="1">
      <c r="A112" s="12">
        <v>98</v>
      </c>
      <c r="B112" s="11">
        <f t="shared" si="36"/>
        <v>45368</v>
      </c>
      <c r="C112" s="9">
        <f t="shared" si="37"/>
        <v>842</v>
      </c>
      <c r="D112" s="8">
        <f t="shared" si="48"/>
        <v>1427</v>
      </c>
      <c r="E112" s="4">
        <f t="shared" si="29"/>
        <v>545</v>
      </c>
      <c r="F112" s="4">
        <f t="shared" si="30"/>
        <v>460</v>
      </c>
      <c r="G112" s="4">
        <f t="shared" si="31"/>
        <v>842</v>
      </c>
      <c r="H112" s="5">
        <f t="shared" si="32"/>
        <v>1724</v>
      </c>
      <c r="I112" s="5">
        <f t="shared" si="33"/>
        <v>1809</v>
      </c>
      <c r="J112" s="5">
        <f t="shared" si="34"/>
        <v>1427</v>
      </c>
      <c r="K112" s="5">
        <f t="shared" si="49"/>
        <v>2000</v>
      </c>
      <c r="L112" s="5">
        <f t="shared" si="50"/>
        <v>2000</v>
      </c>
      <c r="M112" s="5">
        <f t="shared" si="51"/>
        <v>2000</v>
      </c>
      <c r="N112" s="5">
        <f t="shared" si="42"/>
        <v>-276</v>
      </c>
      <c r="O112" s="5">
        <f t="shared" si="43"/>
        <v>-191</v>
      </c>
      <c r="P112" s="5">
        <f t="shared" si="44"/>
        <v>-573</v>
      </c>
      <c r="Q112" s="4">
        <v>0</v>
      </c>
      <c r="R112" s="4">
        <v>0</v>
      </c>
      <c r="S112" s="4">
        <v>0</v>
      </c>
      <c r="T112" s="6">
        <f t="shared" si="35"/>
        <v>1460</v>
      </c>
      <c r="U112" s="7">
        <f t="shared" si="46"/>
        <v>904</v>
      </c>
      <c r="V112" s="7">
        <f t="shared" si="47"/>
        <v>809</v>
      </c>
      <c r="W112" s="7">
        <f t="shared" si="45"/>
        <v>917</v>
      </c>
      <c r="X112" s="6"/>
      <c r="Y112" s="5"/>
      <c r="Z112" s="5"/>
      <c r="AA112" s="5"/>
      <c r="AB112" s="5"/>
    </row>
    <row r="113" spans="1:28" ht="15" customHeight="1">
      <c r="A113" s="12">
        <v>99</v>
      </c>
      <c r="B113" s="11">
        <f t="shared" si="36"/>
        <v>45369</v>
      </c>
      <c r="C113" s="9">
        <f t="shared" si="37"/>
        <v>842</v>
      </c>
      <c r="D113" s="8">
        <f t="shared" si="48"/>
        <v>1425</v>
      </c>
      <c r="E113" s="4">
        <f t="shared" si="29"/>
        <v>543</v>
      </c>
      <c r="F113" s="4">
        <f t="shared" si="30"/>
        <v>458</v>
      </c>
      <c r="G113" s="4">
        <f t="shared" si="31"/>
        <v>840</v>
      </c>
      <c r="H113" s="5">
        <f t="shared" si="32"/>
        <v>1724</v>
      </c>
      <c r="I113" s="5">
        <f t="shared" si="33"/>
        <v>1809</v>
      </c>
      <c r="J113" s="5">
        <f t="shared" si="34"/>
        <v>1427</v>
      </c>
      <c r="K113" s="5">
        <f t="shared" si="49"/>
        <v>2000</v>
      </c>
      <c r="L113" s="5">
        <f t="shared" si="50"/>
        <v>2000</v>
      </c>
      <c r="M113" s="5">
        <f t="shared" si="51"/>
        <v>2000</v>
      </c>
      <c r="N113" s="5">
        <f t="shared" si="42"/>
        <v>-276</v>
      </c>
      <c r="O113" s="5">
        <f t="shared" si="43"/>
        <v>-191</v>
      </c>
      <c r="P113" s="5">
        <f t="shared" si="44"/>
        <v>-573</v>
      </c>
      <c r="Q113" s="4">
        <v>0</v>
      </c>
      <c r="R113" s="4">
        <v>0</v>
      </c>
      <c r="S113" s="4">
        <v>0</v>
      </c>
      <c r="T113" s="6">
        <f t="shared" si="35"/>
        <v>1458</v>
      </c>
      <c r="U113" s="7">
        <f t="shared" si="46"/>
        <v>904</v>
      </c>
      <c r="V113" s="7">
        <f t="shared" si="47"/>
        <v>809</v>
      </c>
      <c r="W113" s="7">
        <f t="shared" si="45"/>
        <v>917</v>
      </c>
      <c r="X113" s="6"/>
      <c r="Y113" s="5"/>
      <c r="Z113" s="5"/>
      <c r="AA113" s="5"/>
      <c r="AB113" s="5"/>
    </row>
    <row r="114" spans="1:28" ht="15" customHeight="1">
      <c r="A114" s="12">
        <v>100</v>
      </c>
      <c r="B114" s="11">
        <f t="shared" si="36"/>
        <v>45370</v>
      </c>
      <c r="C114" s="9">
        <f t="shared" si="37"/>
        <v>842</v>
      </c>
      <c r="D114" s="8">
        <f t="shared" si="48"/>
        <v>1423</v>
      </c>
      <c r="E114" s="4">
        <f t="shared" si="29"/>
        <v>541</v>
      </c>
      <c r="F114" s="4">
        <f t="shared" si="30"/>
        <v>456</v>
      </c>
      <c r="G114" s="4">
        <f t="shared" si="31"/>
        <v>838</v>
      </c>
      <c r="H114" s="5">
        <f t="shared" si="32"/>
        <v>1724</v>
      </c>
      <c r="I114" s="5">
        <f t="shared" si="33"/>
        <v>1809</v>
      </c>
      <c r="J114" s="5">
        <f t="shared" si="34"/>
        <v>1427</v>
      </c>
      <c r="K114" s="5">
        <f t="shared" si="49"/>
        <v>2000</v>
      </c>
      <c r="L114" s="5">
        <f t="shared" si="50"/>
        <v>2000</v>
      </c>
      <c r="M114" s="5">
        <f t="shared" si="51"/>
        <v>2000</v>
      </c>
      <c r="N114" s="5">
        <f t="shared" si="42"/>
        <v>-276</v>
      </c>
      <c r="O114" s="5">
        <f t="shared" si="43"/>
        <v>-191</v>
      </c>
      <c r="P114" s="5">
        <f t="shared" si="44"/>
        <v>-573</v>
      </c>
      <c r="Q114" s="4">
        <v>0</v>
      </c>
      <c r="R114" s="4">
        <v>0</v>
      </c>
      <c r="S114" s="4">
        <v>0</v>
      </c>
      <c r="T114" s="6">
        <f t="shared" si="35"/>
        <v>1456</v>
      </c>
      <c r="U114" s="7">
        <f t="shared" si="46"/>
        <v>904</v>
      </c>
      <c r="V114" s="7">
        <f t="shared" si="47"/>
        <v>809</v>
      </c>
      <c r="W114" s="7">
        <f t="shared" si="45"/>
        <v>917</v>
      </c>
      <c r="X114" s="6"/>
      <c r="Y114" s="5"/>
      <c r="Z114" s="5"/>
      <c r="AA114" s="5"/>
      <c r="AB114" s="5"/>
    </row>
    <row r="115" spans="1:28" ht="15" customHeight="1">
      <c r="A115" s="12">
        <v>101</v>
      </c>
      <c r="B115" s="11">
        <f t="shared" si="36"/>
        <v>45371</v>
      </c>
      <c r="C115" s="9">
        <f t="shared" si="37"/>
        <v>842</v>
      </c>
      <c r="D115" s="8">
        <f t="shared" si="48"/>
        <v>1421</v>
      </c>
      <c r="E115" s="4">
        <f t="shared" si="29"/>
        <v>539</v>
      </c>
      <c r="F115" s="4">
        <f t="shared" si="30"/>
        <v>454</v>
      </c>
      <c r="G115" s="4">
        <f t="shared" si="31"/>
        <v>836</v>
      </c>
      <c r="H115" s="5">
        <f t="shared" si="32"/>
        <v>1724</v>
      </c>
      <c r="I115" s="5">
        <f t="shared" si="33"/>
        <v>1809</v>
      </c>
      <c r="J115" s="5">
        <f t="shared" si="34"/>
        <v>1427</v>
      </c>
      <c r="K115" s="5">
        <f t="shared" si="49"/>
        <v>2000</v>
      </c>
      <c r="L115" s="5">
        <f t="shared" si="50"/>
        <v>2000</v>
      </c>
      <c r="M115" s="5">
        <f t="shared" si="51"/>
        <v>2000</v>
      </c>
      <c r="N115" s="5">
        <f t="shared" si="42"/>
        <v>-276</v>
      </c>
      <c r="O115" s="5">
        <f t="shared" si="43"/>
        <v>-191</v>
      </c>
      <c r="P115" s="5">
        <f t="shared" si="44"/>
        <v>-573</v>
      </c>
      <c r="Q115" s="4">
        <v>0</v>
      </c>
      <c r="R115" s="4">
        <v>0</v>
      </c>
      <c r="S115" s="4">
        <v>0</v>
      </c>
      <c r="T115" s="6">
        <f t="shared" si="35"/>
        <v>1454</v>
      </c>
      <c r="U115" s="7">
        <f t="shared" si="46"/>
        <v>904</v>
      </c>
      <c r="V115" s="7">
        <f t="shared" si="47"/>
        <v>809</v>
      </c>
      <c r="W115" s="7">
        <f t="shared" si="45"/>
        <v>917</v>
      </c>
      <c r="X115" s="6"/>
      <c r="Y115" s="5"/>
      <c r="Z115" s="5"/>
      <c r="AA115" s="5"/>
      <c r="AB115" s="5"/>
    </row>
    <row r="116" spans="1:28" ht="13.15" customHeight="1">
      <c r="A116" s="12">
        <v>102</v>
      </c>
      <c r="B116" s="11">
        <f t="shared" si="36"/>
        <v>45372</v>
      </c>
      <c r="C116" s="9">
        <f t="shared" si="37"/>
        <v>842</v>
      </c>
      <c r="D116" s="8">
        <f t="shared" si="48"/>
        <v>1419</v>
      </c>
      <c r="E116" s="4">
        <f t="shared" si="29"/>
        <v>537</v>
      </c>
      <c r="F116" s="4">
        <f t="shared" si="30"/>
        <v>452</v>
      </c>
      <c r="G116" s="4">
        <f t="shared" si="31"/>
        <v>834</v>
      </c>
      <c r="H116" s="5">
        <f t="shared" si="32"/>
        <v>1724</v>
      </c>
      <c r="I116" s="5">
        <f t="shared" si="33"/>
        <v>1809</v>
      </c>
      <c r="J116" s="5">
        <f t="shared" si="34"/>
        <v>1427</v>
      </c>
      <c r="K116" s="5">
        <f t="shared" si="49"/>
        <v>2000</v>
      </c>
      <c r="L116" s="5">
        <f t="shared" si="50"/>
        <v>2000</v>
      </c>
      <c r="M116" s="5">
        <f t="shared" si="51"/>
        <v>2000</v>
      </c>
      <c r="N116" s="5">
        <f t="shared" si="42"/>
        <v>-276</v>
      </c>
      <c r="O116" s="5">
        <f t="shared" si="43"/>
        <v>-191</v>
      </c>
      <c r="P116" s="5">
        <f t="shared" si="44"/>
        <v>-573</v>
      </c>
      <c r="Q116" s="4">
        <v>0</v>
      </c>
      <c r="R116" s="4">
        <v>0</v>
      </c>
      <c r="S116" s="4">
        <v>0</v>
      </c>
      <c r="T116" s="6">
        <f t="shared" si="35"/>
        <v>1452</v>
      </c>
      <c r="U116" s="7">
        <f t="shared" si="46"/>
        <v>904</v>
      </c>
      <c r="V116" s="7">
        <f t="shared" si="47"/>
        <v>809</v>
      </c>
      <c r="W116" s="7">
        <f t="shared" si="45"/>
        <v>917</v>
      </c>
      <c r="X116" s="6"/>
      <c r="Y116" s="5"/>
      <c r="Z116" s="5"/>
      <c r="AA116" s="5"/>
      <c r="AB116" s="5"/>
    </row>
    <row r="117" spans="1:28" ht="13.15" customHeight="1">
      <c r="A117" s="12">
        <v>103</v>
      </c>
      <c r="B117" s="11">
        <f t="shared" si="36"/>
        <v>45373</v>
      </c>
      <c r="C117" s="9">
        <f t="shared" si="37"/>
        <v>842</v>
      </c>
      <c r="D117" s="8">
        <f t="shared" si="48"/>
        <v>1417</v>
      </c>
      <c r="E117" s="4">
        <f t="shared" si="29"/>
        <v>535</v>
      </c>
      <c r="F117" s="4">
        <f t="shared" si="30"/>
        <v>450</v>
      </c>
      <c r="G117" s="4">
        <f t="shared" si="31"/>
        <v>832</v>
      </c>
      <c r="H117" s="5">
        <f t="shared" si="32"/>
        <v>1724</v>
      </c>
      <c r="I117" s="5">
        <f t="shared" si="33"/>
        <v>1809</v>
      </c>
      <c r="J117" s="5">
        <f t="shared" si="34"/>
        <v>1427</v>
      </c>
      <c r="K117" s="5">
        <f t="shared" si="49"/>
        <v>2000</v>
      </c>
      <c r="L117" s="5">
        <f t="shared" si="50"/>
        <v>2000</v>
      </c>
      <c r="M117" s="5">
        <f t="shared" si="51"/>
        <v>2000</v>
      </c>
      <c r="N117" s="5">
        <f t="shared" si="42"/>
        <v>-276</v>
      </c>
      <c r="O117" s="5">
        <f t="shared" si="43"/>
        <v>-191</v>
      </c>
      <c r="P117" s="5">
        <f t="shared" si="44"/>
        <v>-573</v>
      </c>
      <c r="Q117" s="4">
        <v>0</v>
      </c>
      <c r="R117" s="4">
        <v>0</v>
      </c>
      <c r="S117" s="4">
        <v>0</v>
      </c>
      <c r="T117" s="6">
        <f t="shared" si="35"/>
        <v>1450</v>
      </c>
      <c r="U117" s="7">
        <f t="shared" si="46"/>
        <v>904</v>
      </c>
      <c r="V117" s="7">
        <f t="shared" si="47"/>
        <v>809</v>
      </c>
      <c r="W117" s="7">
        <f t="shared" si="45"/>
        <v>917</v>
      </c>
      <c r="X117" s="6"/>
      <c r="Y117" s="5"/>
      <c r="Z117" s="5"/>
      <c r="AA117" s="5"/>
      <c r="AB117" s="5"/>
    </row>
    <row r="118" spans="1:28" ht="13.15" customHeight="1">
      <c r="A118" s="12">
        <v>104</v>
      </c>
      <c r="B118" s="11">
        <f t="shared" si="36"/>
        <v>45374</v>
      </c>
      <c r="C118" s="9">
        <f t="shared" si="37"/>
        <v>842</v>
      </c>
      <c r="D118" s="8">
        <f t="shared" si="48"/>
        <v>1415</v>
      </c>
      <c r="E118" s="4">
        <f t="shared" si="29"/>
        <v>533</v>
      </c>
      <c r="F118" s="4">
        <f t="shared" si="30"/>
        <v>448</v>
      </c>
      <c r="G118" s="4">
        <f t="shared" si="31"/>
        <v>830</v>
      </c>
      <c r="H118" s="5">
        <f t="shared" si="32"/>
        <v>1724</v>
      </c>
      <c r="I118" s="5">
        <f t="shared" si="33"/>
        <v>1809</v>
      </c>
      <c r="J118" s="5">
        <f t="shared" si="34"/>
        <v>1427</v>
      </c>
      <c r="K118" s="5">
        <f t="shared" si="49"/>
        <v>2000</v>
      </c>
      <c r="L118" s="5">
        <f t="shared" si="50"/>
        <v>2000</v>
      </c>
      <c r="M118" s="5">
        <f t="shared" si="51"/>
        <v>2000</v>
      </c>
      <c r="N118" s="5">
        <f t="shared" si="42"/>
        <v>-276</v>
      </c>
      <c r="O118" s="5">
        <f t="shared" si="43"/>
        <v>-191</v>
      </c>
      <c r="P118" s="5">
        <f t="shared" si="44"/>
        <v>-573</v>
      </c>
      <c r="Q118" s="4">
        <v>0</v>
      </c>
      <c r="R118" s="4">
        <v>0</v>
      </c>
      <c r="S118" s="4">
        <v>0</v>
      </c>
      <c r="T118" s="6">
        <f t="shared" si="35"/>
        <v>1448</v>
      </c>
      <c r="U118" s="7">
        <f t="shared" si="46"/>
        <v>904</v>
      </c>
      <c r="V118" s="7">
        <f t="shared" si="47"/>
        <v>809</v>
      </c>
      <c r="W118" s="7">
        <f t="shared" si="45"/>
        <v>917</v>
      </c>
      <c r="X118" s="6"/>
      <c r="Y118" s="5"/>
      <c r="Z118" s="5"/>
      <c r="AA118" s="5"/>
      <c r="AB118" s="5"/>
    </row>
    <row r="119" spans="1:28" ht="13.15" customHeight="1">
      <c r="A119" s="12">
        <v>105</v>
      </c>
      <c r="B119" s="11">
        <f t="shared" si="36"/>
        <v>45375</v>
      </c>
      <c r="C119" s="9">
        <f t="shared" si="37"/>
        <v>842</v>
      </c>
      <c r="D119" s="8">
        <f t="shared" si="48"/>
        <v>1413</v>
      </c>
      <c r="E119" s="4">
        <f t="shared" si="29"/>
        <v>531</v>
      </c>
      <c r="F119" s="4">
        <f t="shared" si="30"/>
        <v>446</v>
      </c>
      <c r="G119" s="4">
        <f t="shared" si="31"/>
        <v>828</v>
      </c>
      <c r="H119" s="5">
        <f t="shared" si="32"/>
        <v>1724</v>
      </c>
      <c r="I119" s="5">
        <f t="shared" si="33"/>
        <v>1809</v>
      </c>
      <c r="J119" s="5">
        <f t="shared" si="34"/>
        <v>1427</v>
      </c>
      <c r="K119" s="5">
        <f t="shared" si="49"/>
        <v>2000</v>
      </c>
      <c r="L119" s="5">
        <f t="shared" si="50"/>
        <v>2000</v>
      </c>
      <c r="M119" s="5">
        <f t="shared" si="51"/>
        <v>2000</v>
      </c>
      <c r="N119" s="5">
        <f t="shared" si="42"/>
        <v>-276</v>
      </c>
      <c r="O119" s="5">
        <f t="shared" si="43"/>
        <v>-191</v>
      </c>
      <c r="P119" s="5">
        <f t="shared" si="44"/>
        <v>-573</v>
      </c>
      <c r="Q119" s="4">
        <v>0</v>
      </c>
      <c r="R119" s="4">
        <v>0</v>
      </c>
      <c r="S119" s="4">
        <v>0</v>
      </c>
      <c r="T119" s="6">
        <f t="shared" si="35"/>
        <v>1446</v>
      </c>
      <c r="U119" s="7">
        <f t="shared" si="46"/>
        <v>904</v>
      </c>
      <c r="V119" s="7">
        <f t="shared" si="47"/>
        <v>809</v>
      </c>
      <c r="W119" s="7">
        <f t="shared" si="45"/>
        <v>917</v>
      </c>
      <c r="X119" s="6"/>
      <c r="Y119" s="5"/>
      <c r="Z119" s="5"/>
      <c r="AA119" s="5"/>
      <c r="AB119" s="5"/>
    </row>
    <row r="120" spans="1:28" ht="13.15" customHeight="1">
      <c r="A120" s="12">
        <v>106</v>
      </c>
      <c r="B120" s="11">
        <f t="shared" si="36"/>
        <v>45376</v>
      </c>
      <c r="C120" s="9">
        <f t="shared" si="37"/>
        <v>842</v>
      </c>
      <c r="D120" s="8">
        <f t="shared" si="48"/>
        <v>1411</v>
      </c>
      <c r="E120" s="4">
        <f t="shared" si="29"/>
        <v>529</v>
      </c>
      <c r="F120" s="4">
        <f t="shared" si="30"/>
        <v>444</v>
      </c>
      <c r="G120" s="4">
        <f t="shared" si="31"/>
        <v>826</v>
      </c>
      <c r="H120" s="5">
        <f t="shared" si="32"/>
        <v>1724</v>
      </c>
      <c r="I120" s="5">
        <f t="shared" si="33"/>
        <v>1809</v>
      </c>
      <c r="J120" s="5">
        <f t="shared" si="34"/>
        <v>1427</v>
      </c>
      <c r="K120" s="5">
        <f t="shared" si="49"/>
        <v>2000</v>
      </c>
      <c r="L120" s="5">
        <f t="shared" si="50"/>
        <v>2000</v>
      </c>
      <c r="M120" s="5">
        <f t="shared" si="51"/>
        <v>2000</v>
      </c>
      <c r="N120" s="5">
        <f t="shared" si="42"/>
        <v>-276</v>
      </c>
      <c r="O120" s="5">
        <f t="shared" si="43"/>
        <v>-191</v>
      </c>
      <c r="P120" s="5">
        <f t="shared" si="44"/>
        <v>-573</v>
      </c>
      <c r="Q120" s="4">
        <v>0</v>
      </c>
      <c r="R120" s="4">
        <v>0</v>
      </c>
      <c r="S120" s="4">
        <v>0</v>
      </c>
      <c r="T120" s="6">
        <f t="shared" si="35"/>
        <v>1444</v>
      </c>
      <c r="U120" s="7">
        <f t="shared" si="46"/>
        <v>904</v>
      </c>
      <c r="V120" s="7">
        <f t="shared" si="47"/>
        <v>809</v>
      </c>
      <c r="W120" s="7">
        <f t="shared" si="45"/>
        <v>917</v>
      </c>
      <c r="X120" s="6"/>
      <c r="Y120" s="5"/>
      <c r="Z120" s="5"/>
      <c r="AA120" s="5"/>
      <c r="AB120" s="5"/>
    </row>
    <row r="121" spans="1:28" ht="13.15" customHeight="1">
      <c r="A121" s="12">
        <v>107</v>
      </c>
      <c r="B121" s="11">
        <f t="shared" si="36"/>
        <v>45377</v>
      </c>
      <c r="C121" s="9">
        <f t="shared" si="37"/>
        <v>842</v>
      </c>
      <c r="D121" s="8">
        <f t="shared" si="48"/>
        <v>1409</v>
      </c>
      <c r="E121" s="4">
        <f t="shared" si="29"/>
        <v>527</v>
      </c>
      <c r="F121" s="4">
        <f t="shared" si="30"/>
        <v>442</v>
      </c>
      <c r="G121" s="4">
        <f t="shared" si="31"/>
        <v>824</v>
      </c>
      <c r="H121" s="5">
        <f t="shared" si="32"/>
        <v>1724</v>
      </c>
      <c r="I121" s="5">
        <f t="shared" si="33"/>
        <v>1809</v>
      </c>
      <c r="J121" s="5">
        <f t="shared" si="34"/>
        <v>1427</v>
      </c>
      <c r="K121" s="5">
        <f t="shared" si="49"/>
        <v>2000</v>
      </c>
      <c r="L121" s="5">
        <f t="shared" si="50"/>
        <v>2000</v>
      </c>
      <c r="M121" s="5">
        <f t="shared" si="51"/>
        <v>2000</v>
      </c>
      <c r="N121" s="5">
        <f t="shared" si="42"/>
        <v>-276</v>
      </c>
      <c r="O121" s="5">
        <f t="shared" si="43"/>
        <v>-191</v>
      </c>
      <c r="P121" s="5">
        <f t="shared" si="44"/>
        <v>-573</v>
      </c>
      <c r="Q121" s="4">
        <v>0</v>
      </c>
      <c r="R121" s="4">
        <v>0</v>
      </c>
      <c r="S121" s="4">
        <v>0</v>
      </c>
      <c r="T121" s="6">
        <f t="shared" si="35"/>
        <v>1442</v>
      </c>
      <c r="U121" s="7">
        <f t="shared" si="46"/>
        <v>904</v>
      </c>
      <c r="V121" s="7">
        <f t="shared" si="47"/>
        <v>809</v>
      </c>
      <c r="W121" s="7">
        <f t="shared" si="45"/>
        <v>917</v>
      </c>
      <c r="X121" s="6"/>
      <c r="Y121" s="5"/>
      <c r="Z121" s="5"/>
      <c r="AA121" s="5"/>
      <c r="AB121" s="5"/>
    </row>
    <row r="122" spans="1:28" ht="13.15" customHeight="1">
      <c r="A122" s="12">
        <v>108</v>
      </c>
      <c r="B122" s="11">
        <f t="shared" si="36"/>
        <v>45378</v>
      </c>
      <c r="C122" s="9">
        <f t="shared" si="37"/>
        <v>842</v>
      </c>
      <c r="D122" s="8">
        <f t="shared" si="48"/>
        <v>1407</v>
      </c>
      <c r="E122" s="4">
        <f t="shared" si="29"/>
        <v>525</v>
      </c>
      <c r="F122" s="4">
        <f t="shared" si="30"/>
        <v>440</v>
      </c>
      <c r="G122" s="4">
        <f t="shared" si="31"/>
        <v>822</v>
      </c>
      <c r="H122" s="5">
        <f t="shared" si="32"/>
        <v>1724</v>
      </c>
      <c r="I122" s="5">
        <f t="shared" si="33"/>
        <v>1809</v>
      </c>
      <c r="J122" s="5">
        <f t="shared" si="34"/>
        <v>1427</v>
      </c>
      <c r="K122" s="5">
        <f t="shared" si="49"/>
        <v>2000</v>
      </c>
      <c r="L122" s="5">
        <f t="shared" si="50"/>
        <v>2000</v>
      </c>
      <c r="M122" s="5">
        <f t="shared" si="51"/>
        <v>2000</v>
      </c>
      <c r="N122" s="5">
        <f t="shared" si="42"/>
        <v>-276</v>
      </c>
      <c r="O122" s="5">
        <f t="shared" si="43"/>
        <v>-191</v>
      </c>
      <c r="P122" s="5">
        <f t="shared" si="44"/>
        <v>-573</v>
      </c>
      <c r="Q122" s="4">
        <v>0</v>
      </c>
      <c r="R122" s="4">
        <v>0</v>
      </c>
      <c r="S122" s="4">
        <v>0</v>
      </c>
      <c r="T122" s="6">
        <f t="shared" si="35"/>
        <v>1440</v>
      </c>
      <c r="U122" s="7">
        <f t="shared" si="46"/>
        <v>904</v>
      </c>
      <c r="V122" s="7">
        <f t="shared" si="47"/>
        <v>809</v>
      </c>
      <c r="W122" s="7">
        <f t="shared" si="45"/>
        <v>917</v>
      </c>
      <c r="X122" s="6"/>
      <c r="Y122" s="5"/>
      <c r="Z122" s="5"/>
      <c r="AA122" s="5"/>
      <c r="AB122" s="5"/>
    </row>
    <row r="123" spans="1:28" ht="13.15" customHeight="1">
      <c r="A123" s="12">
        <v>109</v>
      </c>
      <c r="B123" s="11">
        <f t="shared" si="36"/>
        <v>45379</v>
      </c>
      <c r="C123" s="9">
        <f t="shared" si="37"/>
        <v>842</v>
      </c>
      <c r="D123" s="8">
        <f t="shared" si="48"/>
        <v>1405</v>
      </c>
      <c r="E123" s="4">
        <f t="shared" si="29"/>
        <v>523</v>
      </c>
      <c r="F123" s="4">
        <f t="shared" si="30"/>
        <v>438</v>
      </c>
      <c r="G123" s="4">
        <f t="shared" si="31"/>
        <v>820</v>
      </c>
      <c r="H123" s="5">
        <f t="shared" si="32"/>
        <v>1724</v>
      </c>
      <c r="I123" s="5">
        <f t="shared" si="33"/>
        <v>1809</v>
      </c>
      <c r="J123" s="5">
        <f t="shared" si="34"/>
        <v>1427</v>
      </c>
      <c r="K123" s="5">
        <f t="shared" si="49"/>
        <v>2000</v>
      </c>
      <c r="L123" s="5">
        <f t="shared" si="50"/>
        <v>2000</v>
      </c>
      <c r="M123" s="5">
        <f t="shared" si="51"/>
        <v>2000</v>
      </c>
      <c r="N123" s="5">
        <f t="shared" si="42"/>
        <v>-276</v>
      </c>
      <c r="O123" s="5">
        <f t="shared" si="43"/>
        <v>-191</v>
      </c>
      <c r="P123" s="5">
        <f t="shared" si="44"/>
        <v>-573</v>
      </c>
      <c r="Q123" s="4">
        <v>0</v>
      </c>
      <c r="R123" s="4">
        <v>0</v>
      </c>
      <c r="S123" s="4">
        <v>0</v>
      </c>
      <c r="T123" s="6">
        <f t="shared" si="35"/>
        <v>1438</v>
      </c>
      <c r="U123" s="7">
        <f t="shared" si="46"/>
        <v>904</v>
      </c>
      <c r="V123" s="7">
        <f t="shared" si="47"/>
        <v>809</v>
      </c>
      <c r="W123" s="7">
        <f t="shared" si="45"/>
        <v>917</v>
      </c>
      <c r="X123" s="6"/>
      <c r="Y123" s="5"/>
      <c r="Z123" s="5"/>
      <c r="AA123" s="5"/>
      <c r="AB123" s="5"/>
    </row>
    <row r="124" spans="1:28" ht="13.15" customHeight="1">
      <c r="A124" s="12">
        <v>110</v>
      </c>
      <c r="B124" s="11">
        <f t="shared" si="36"/>
        <v>45380</v>
      </c>
      <c r="C124" s="9">
        <f t="shared" si="37"/>
        <v>842</v>
      </c>
      <c r="D124" s="8">
        <f t="shared" si="48"/>
        <v>1403</v>
      </c>
      <c r="E124" s="4">
        <f t="shared" si="29"/>
        <v>521</v>
      </c>
      <c r="F124" s="4">
        <f t="shared" si="30"/>
        <v>436</v>
      </c>
      <c r="G124" s="4">
        <f t="shared" si="31"/>
        <v>818</v>
      </c>
      <c r="H124" s="5">
        <f t="shared" si="32"/>
        <v>1724</v>
      </c>
      <c r="I124" s="5">
        <f t="shared" si="33"/>
        <v>1809</v>
      </c>
      <c r="J124" s="5">
        <f t="shared" si="34"/>
        <v>1427</v>
      </c>
      <c r="K124" s="5">
        <f t="shared" si="49"/>
        <v>2000</v>
      </c>
      <c r="L124" s="5">
        <f t="shared" si="50"/>
        <v>2000</v>
      </c>
      <c r="M124" s="5">
        <f t="shared" si="51"/>
        <v>2000</v>
      </c>
      <c r="N124" s="5">
        <f t="shared" si="42"/>
        <v>-276</v>
      </c>
      <c r="O124" s="5">
        <f t="shared" si="43"/>
        <v>-191</v>
      </c>
      <c r="P124" s="5">
        <f t="shared" si="44"/>
        <v>-573</v>
      </c>
      <c r="Q124" s="4">
        <v>0</v>
      </c>
      <c r="R124" s="4">
        <v>0</v>
      </c>
      <c r="S124" s="4">
        <v>0</v>
      </c>
      <c r="T124" s="6">
        <f t="shared" si="35"/>
        <v>1436</v>
      </c>
      <c r="U124" s="7">
        <f t="shared" si="46"/>
        <v>904</v>
      </c>
      <c r="V124" s="7">
        <f t="shared" si="47"/>
        <v>809</v>
      </c>
      <c r="W124" s="7">
        <f t="shared" si="45"/>
        <v>917</v>
      </c>
      <c r="X124" s="6"/>
      <c r="Y124" s="5"/>
      <c r="Z124" s="5"/>
      <c r="AA124" s="5"/>
      <c r="AB124" s="5"/>
    </row>
    <row r="125" spans="1:28" ht="13.15" customHeight="1">
      <c r="A125" s="12">
        <v>111</v>
      </c>
      <c r="B125" s="11">
        <f t="shared" si="36"/>
        <v>45381</v>
      </c>
      <c r="C125" s="9">
        <f t="shared" si="37"/>
        <v>842</v>
      </c>
      <c r="D125" s="8">
        <f t="shared" si="48"/>
        <v>1401</v>
      </c>
      <c r="E125" s="4">
        <f t="shared" si="29"/>
        <v>519</v>
      </c>
      <c r="F125" s="4">
        <f t="shared" si="30"/>
        <v>434</v>
      </c>
      <c r="G125" s="4">
        <f t="shared" si="31"/>
        <v>816</v>
      </c>
      <c r="H125" s="5">
        <f t="shared" si="32"/>
        <v>1724</v>
      </c>
      <c r="I125" s="5">
        <f t="shared" si="33"/>
        <v>1809</v>
      </c>
      <c r="J125" s="5">
        <f t="shared" si="34"/>
        <v>1427</v>
      </c>
      <c r="K125" s="5">
        <f t="shared" si="49"/>
        <v>2000</v>
      </c>
      <c r="L125" s="5">
        <f t="shared" si="50"/>
        <v>2000</v>
      </c>
      <c r="M125" s="5">
        <f t="shared" si="51"/>
        <v>2000</v>
      </c>
      <c r="N125" s="5">
        <f t="shared" si="42"/>
        <v>-276</v>
      </c>
      <c r="O125" s="5">
        <f t="shared" si="43"/>
        <v>-191</v>
      </c>
      <c r="P125" s="5">
        <f t="shared" si="44"/>
        <v>-573</v>
      </c>
      <c r="Q125" s="4">
        <v>0</v>
      </c>
      <c r="R125" s="4">
        <v>0</v>
      </c>
      <c r="S125" s="4">
        <v>0</v>
      </c>
      <c r="T125" s="6">
        <f t="shared" si="35"/>
        <v>1434</v>
      </c>
      <c r="U125" s="7">
        <f t="shared" si="46"/>
        <v>904</v>
      </c>
      <c r="V125" s="7">
        <f t="shared" si="47"/>
        <v>809</v>
      </c>
      <c r="W125" s="7">
        <f t="shared" si="45"/>
        <v>917</v>
      </c>
      <c r="X125" s="6"/>
      <c r="Y125" s="5"/>
      <c r="Z125" s="5"/>
      <c r="AA125" s="5"/>
      <c r="AB125" s="5"/>
    </row>
    <row r="126" spans="1:28" ht="13.15" customHeight="1">
      <c r="A126" s="12">
        <v>112</v>
      </c>
      <c r="B126" s="11">
        <f t="shared" si="36"/>
        <v>45382</v>
      </c>
      <c r="C126" s="9">
        <f t="shared" si="37"/>
        <v>842</v>
      </c>
      <c r="D126" s="8">
        <f t="shared" si="48"/>
        <v>1399</v>
      </c>
      <c r="E126" s="4">
        <f t="shared" si="29"/>
        <v>517</v>
      </c>
      <c r="F126" s="4">
        <f t="shared" si="30"/>
        <v>432</v>
      </c>
      <c r="G126" s="4">
        <f t="shared" si="31"/>
        <v>814</v>
      </c>
      <c r="H126" s="5">
        <f t="shared" si="32"/>
        <v>1724</v>
      </c>
      <c r="I126" s="5">
        <f t="shared" si="33"/>
        <v>1809</v>
      </c>
      <c r="J126" s="5">
        <f t="shared" si="34"/>
        <v>1427</v>
      </c>
      <c r="K126" s="5">
        <f t="shared" si="49"/>
        <v>2000</v>
      </c>
      <c r="L126" s="5">
        <f t="shared" si="50"/>
        <v>2000</v>
      </c>
      <c r="M126" s="5">
        <f t="shared" si="51"/>
        <v>2000</v>
      </c>
      <c r="N126" s="5">
        <f t="shared" si="42"/>
        <v>-276</v>
      </c>
      <c r="O126" s="5">
        <f t="shared" si="43"/>
        <v>-191</v>
      </c>
      <c r="P126" s="5">
        <f t="shared" si="44"/>
        <v>-573</v>
      </c>
      <c r="Q126" s="4">
        <v>0</v>
      </c>
      <c r="R126" s="4">
        <v>0</v>
      </c>
      <c r="S126" s="4">
        <v>0</v>
      </c>
      <c r="T126" s="6">
        <f t="shared" si="35"/>
        <v>1432</v>
      </c>
      <c r="U126" s="7">
        <f t="shared" si="46"/>
        <v>904</v>
      </c>
      <c r="V126" s="7">
        <f t="shared" si="47"/>
        <v>809</v>
      </c>
      <c r="W126" s="7">
        <f t="shared" si="45"/>
        <v>917</v>
      </c>
      <c r="X126" s="6"/>
      <c r="Y126" s="5"/>
      <c r="Z126" s="5"/>
      <c r="AA126" s="5"/>
      <c r="AB126" s="5"/>
    </row>
    <row r="127" spans="1:28" ht="13.15" customHeight="1">
      <c r="A127" s="12">
        <v>113</v>
      </c>
      <c r="B127" s="11">
        <f t="shared" si="36"/>
        <v>45383</v>
      </c>
      <c r="C127" s="9">
        <f t="shared" si="37"/>
        <v>842</v>
      </c>
      <c r="D127" s="8">
        <f t="shared" ref="D127:D190" si="52">D126+2</f>
        <v>1401</v>
      </c>
      <c r="E127" s="4">
        <f t="shared" si="29"/>
        <v>519</v>
      </c>
      <c r="F127" s="4">
        <f t="shared" si="30"/>
        <v>434</v>
      </c>
      <c r="G127" s="4">
        <f t="shared" si="31"/>
        <v>816</v>
      </c>
      <c r="H127" s="5">
        <f t="shared" si="32"/>
        <v>1724</v>
      </c>
      <c r="I127" s="5">
        <f t="shared" si="33"/>
        <v>1809</v>
      </c>
      <c r="J127" s="5">
        <f t="shared" si="34"/>
        <v>1427</v>
      </c>
      <c r="K127" s="5">
        <f t="shared" si="49"/>
        <v>2000</v>
      </c>
      <c r="L127" s="5">
        <f t="shared" si="50"/>
        <v>2000</v>
      </c>
      <c r="M127" s="5">
        <f t="shared" si="51"/>
        <v>2000</v>
      </c>
      <c r="N127" s="5">
        <f t="shared" si="42"/>
        <v>-276</v>
      </c>
      <c r="O127" s="5">
        <f t="shared" si="43"/>
        <v>-191</v>
      </c>
      <c r="P127" s="5">
        <f t="shared" si="44"/>
        <v>-573</v>
      </c>
      <c r="Q127" s="4">
        <v>0</v>
      </c>
      <c r="R127" s="4">
        <v>0</v>
      </c>
      <c r="S127" s="4">
        <v>0</v>
      </c>
      <c r="T127" s="6">
        <f t="shared" si="35"/>
        <v>1434</v>
      </c>
      <c r="U127" s="7">
        <f t="shared" si="46"/>
        <v>904</v>
      </c>
      <c r="V127" s="7">
        <f t="shared" si="47"/>
        <v>809</v>
      </c>
      <c r="W127" s="7">
        <f t="shared" si="45"/>
        <v>917</v>
      </c>
      <c r="X127" s="6"/>
      <c r="Y127" s="5"/>
      <c r="Z127" s="5"/>
      <c r="AA127" s="5"/>
      <c r="AB127" s="5"/>
    </row>
    <row r="128" spans="1:28" ht="13.15" customHeight="1">
      <c r="A128" s="12">
        <v>114</v>
      </c>
      <c r="B128" s="11">
        <f t="shared" si="36"/>
        <v>45384</v>
      </c>
      <c r="C128" s="9">
        <f t="shared" si="37"/>
        <v>842</v>
      </c>
      <c r="D128" s="8">
        <f t="shared" si="52"/>
        <v>1403</v>
      </c>
      <c r="E128" s="4">
        <f t="shared" si="29"/>
        <v>521</v>
      </c>
      <c r="F128" s="4">
        <f t="shared" si="30"/>
        <v>436</v>
      </c>
      <c r="G128" s="4">
        <f t="shared" si="31"/>
        <v>818</v>
      </c>
      <c r="H128" s="5">
        <f t="shared" si="32"/>
        <v>1724</v>
      </c>
      <c r="I128" s="5">
        <f t="shared" si="33"/>
        <v>1809</v>
      </c>
      <c r="J128" s="5">
        <f t="shared" si="34"/>
        <v>1427</v>
      </c>
      <c r="K128" s="5">
        <f t="shared" si="49"/>
        <v>2000</v>
      </c>
      <c r="L128" s="5">
        <f t="shared" si="50"/>
        <v>2000</v>
      </c>
      <c r="M128" s="5">
        <f t="shared" si="51"/>
        <v>2000</v>
      </c>
      <c r="N128" s="5">
        <f t="shared" si="42"/>
        <v>-276</v>
      </c>
      <c r="O128" s="5">
        <f t="shared" si="43"/>
        <v>-191</v>
      </c>
      <c r="P128" s="5">
        <f t="shared" si="44"/>
        <v>-573</v>
      </c>
      <c r="Q128" s="4">
        <v>0</v>
      </c>
      <c r="R128" s="4">
        <v>0</v>
      </c>
      <c r="S128" s="4">
        <v>0</v>
      </c>
      <c r="T128" s="6">
        <f t="shared" si="35"/>
        <v>1436</v>
      </c>
      <c r="U128" s="7">
        <f t="shared" si="46"/>
        <v>904</v>
      </c>
      <c r="V128" s="7">
        <f t="shared" si="47"/>
        <v>809</v>
      </c>
      <c r="W128" s="7">
        <f t="shared" si="45"/>
        <v>917</v>
      </c>
      <c r="X128" s="6"/>
      <c r="Y128" s="5"/>
      <c r="Z128" s="5"/>
      <c r="AA128" s="5"/>
      <c r="AB128" s="5"/>
    </row>
    <row r="129" spans="1:28" ht="13.15" customHeight="1">
      <c r="A129" s="12">
        <v>115</v>
      </c>
      <c r="B129" s="11">
        <f t="shared" si="36"/>
        <v>45385</v>
      </c>
      <c r="C129" s="9">
        <f t="shared" si="37"/>
        <v>842</v>
      </c>
      <c r="D129" s="8">
        <f t="shared" si="52"/>
        <v>1405</v>
      </c>
      <c r="E129" s="4">
        <f t="shared" si="29"/>
        <v>523</v>
      </c>
      <c r="F129" s="4">
        <f t="shared" si="30"/>
        <v>438</v>
      </c>
      <c r="G129" s="4">
        <f t="shared" si="31"/>
        <v>820</v>
      </c>
      <c r="H129" s="5">
        <f t="shared" si="32"/>
        <v>1724</v>
      </c>
      <c r="I129" s="5">
        <f t="shared" si="33"/>
        <v>1809</v>
      </c>
      <c r="J129" s="5">
        <f t="shared" si="34"/>
        <v>1427</v>
      </c>
      <c r="K129" s="5">
        <f t="shared" si="49"/>
        <v>2000</v>
      </c>
      <c r="L129" s="5">
        <f t="shared" si="50"/>
        <v>2000</v>
      </c>
      <c r="M129" s="5">
        <f t="shared" si="51"/>
        <v>2000</v>
      </c>
      <c r="N129" s="5">
        <f t="shared" si="42"/>
        <v>-276</v>
      </c>
      <c r="O129" s="5">
        <f t="shared" si="43"/>
        <v>-191</v>
      </c>
      <c r="P129" s="5">
        <f t="shared" si="44"/>
        <v>-573</v>
      </c>
      <c r="Q129" s="4">
        <v>0</v>
      </c>
      <c r="R129" s="4">
        <v>0</v>
      </c>
      <c r="S129" s="4">
        <v>0</v>
      </c>
      <c r="T129" s="6">
        <f t="shared" si="35"/>
        <v>1438</v>
      </c>
      <c r="U129" s="7">
        <f t="shared" si="46"/>
        <v>904</v>
      </c>
      <c r="V129" s="7">
        <f t="shared" si="47"/>
        <v>809</v>
      </c>
      <c r="W129" s="7">
        <f t="shared" si="45"/>
        <v>917</v>
      </c>
      <c r="X129" s="6"/>
      <c r="Y129" s="5"/>
      <c r="Z129" s="5"/>
      <c r="AA129" s="5"/>
      <c r="AB129" s="5"/>
    </row>
    <row r="130" spans="1:28" ht="13.15" customHeight="1">
      <c r="A130" s="12">
        <v>116</v>
      </c>
      <c r="B130" s="11">
        <f t="shared" si="36"/>
        <v>45386</v>
      </c>
      <c r="C130" s="9">
        <f t="shared" si="37"/>
        <v>842</v>
      </c>
      <c r="D130" s="8">
        <f t="shared" si="52"/>
        <v>1407</v>
      </c>
      <c r="E130" s="4">
        <f t="shared" si="29"/>
        <v>525</v>
      </c>
      <c r="F130" s="4">
        <f t="shared" si="30"/>
        <v>440</v>
      </c>
      <c r="G130" s="4">
        <f t="shared" si="31"/>
        <v>822</v>
      </c>
      <c r="H130" s="5">
        <f t="shared" si="32"/>
        <v>1724</v>
      </c>
      <c r="I130" s="5">
        <f t="shared" si="33"/>
        <v>1809</v>
      </c>
      <c r="J130" s="5">
        <f t="shared" si="34"/>
        <v>1427</v>
      </c>
      <c r="K130" s="5">
        <f t="shared" si="49"/>
        <v>2000</v>
      </c>
      <c r="L130" s="5">
        <f t="shared" si="50"/>
        <v>2000</v>
      </c>
      <c r="M130" s="5">
        <f t="shared" si="51"/>
        <v>2000</v>
      </c>
      <c r="N130" s="5">
        <f t="shared" si="42"/>
        <v>-276</v>
      </c>
      <c r="O130" s="5">
        <f t="shared" si="43"/>
        <v>-191</v>
      </c>
      <c r="P130" s="5">
        <f t="shared" si="44"/>
        <v>-573</v>
      </c>
      <c r="Q130" s="4">
        <v>0</v>
      </c>
      <c r="R130" s="4">
        <v>0</v>
      </c>
      <c r="S130" s="4">
        <v>0</v>
      </c>
      <c r="T130" s="6">
        <f t="shared" si="35"/>
        <v>1440</v>
      </c>
      <c r="U130" s="7">
        <f t="shared" si="46"/>
        <v>904</v>
      </c>
      <c r="V130" s="7">
        <f t="shared" si="47"/>
        <v>809</v>
      </c>
      <c r="W130" s="7">
        <f t="shared" si="45"/>
        <v>917</v>
      </c>
      <c r="X130" s="6"/>
      <c r="Y130" s="5"/>
      <c r="Z130" s="5"/>
      <c r="AA130" s="5"/>
      <c r="AB130" s="5"/>
    </row>
    <row r="131" spans="1:28" ht="13.15" customHeight="1">
      <c r="A131" s="12">
        <v>117</v>
      </c>
      <c r="B131" s="11">
        <f t="shared" si="36"/>
        <v>45387</v>
      </c>
      <c r="C131" s="9">
        <f t="shared" si="37"/>
        <v>842</v>
      </c>
      <c r="D131" s="8">
        <f t="shared" si="52"/>
        <v>1409</v>
      </c>
      <c r="E131" s="4">
        <f t="shared" si="29"/>
        <v>527</v>
      </c>
      <c r="F131" s="4">
        <f t="shared" si="30"/>
        <v>442</v>
      </c>
      <c r="G131" s="4">
        <f t="shared" si="31"/>
        <v>824</v>
      </c>
      <c r="H131" s="5">
        <f t="shared" si="32"/>
        <v>1724</v>
      </c>
      <c r="I131" s="5">
        <f t="shared" si="33"/>
        <v>1809</v>
      </c>
      <c r="J131" s="5">
        <f t="shared" si="34"/>
        <v>1427</v>
      </c>
      <c r="K131" s="5">
        <f t="shared" si="49"/>
        <v>2000</v>
      </c>
      <c r="L131" s="5">
        <f t="shared" si="50"/>
        <v>2000</v>
      </c>
      <c r="M131" s="5">
        <f t="shared" si="51"/>
        <v>2000</v>
      </c>
      <c r="N131" s="5">
        <f t="shared" si="42"/>
        <v>-276</v>
      </c>
      <c r="O131" s="5">
        <f t="shared" si="43"/>
        <v>-191</v>
      </c>
      <c r="P131" s="5">
        <f t="shared" si="44"/>
        <v>-573</v>
      </c>
      <c r="Q131" s="4">
        <v>0</v>
      </c>
      <c r="R131" s="4">
        <v>0</v>
      </c>
      <c r="S131" s="4">
        <v>0</v>
      </c>
      <c r="T131" s="6">
        <f t="shared" si="35"/>
        <v>1442</v>
      </c>
      <c r="U131" s="7">
        <f t="shared" si="46"/>
        <v>904</v>
      </c>
      <c r="V131" s="7">
        <f t="shared" si="47"/>
        <v>809</v>
      </c>
      <c r="W131" s="7">
        <f t="shared" si="45"/>
        <v>917</v>
      </c>
      <c r="X131" s="6"/>
      <c r="Y131" s="5"/>
      <c r="Z131" s="5"/>
      <c r="AA131" s="5"/>
      <c r="AB131" s="5"/>
    </row>
    <row r="132" spans="1:28" ht="13.15" customHeight="1">
      <c r="A132" s="12">
        <v>118</v>
      </c>
      <c r="B132" s="11">
        <f t="shared" si="36"/>
        <v>45388</v>
      </c>
      <c r="C132" s="9">
        <f t="shared" si="37"/>
        <v>842</v>
      </c>
      <c r="D132" s="8">
        <f t="shared" si="52"/>
        <v>1411</v>
      </c>
      <c r="E132" s="4">
        <f t="shared" si="29"/>
        <v>529</v>
      </c>
      <c r="F132" s="4">
        <f t="shared" si="30"/>
        <v>444</v>
      </c>
      <c r="G132" s="4">
        <f t="shared" si="31"/>
        <v>826</v>
      </c>
      <c r="H132" s="5">
        <f t="shared" si="32"/>
        <v>1724</v>
      </c>
      <c r="I132" s="5">
        <f t="shared" si="33"/>
        <v>1809</v>
      </c>
      <c r="J132" s="5">
        <f t="shared" si="34"/>
        <v>1427</v>
      </c>
      <c r="K132" s="5">
        <f t="shared" si="49"/>
        <v>2000</v>
      </c>
      <c r="L132" s="5">
        <f t="shared" si="50"/>
        <v>2000</v>
      </c>
      <c r="M132" s="5">
        <f t="shared" si="51"/>
        <v>2000</v>
      </c>
      <c r="N132" s="5">
        <f t="shared" si="42"/>
        <v>-276</v>
      </c>
      <c r="O132" s="5">
        <f t="shared" si="43"/>
        <v>-191</v>
      </c>
      <c r="P132" s="5">
        <f t="shared" si="44"/>
        <v>-573</v>
      </c>
      <c r="Q132" s="4">
        <v>0</v>
      </c>
      <c r="R132" s="4">
        <v>0</v>
      </c>
      <c r="S132" s="4">
        <v>0</v>
      </c>
      <c r="T132" s="6">
        <f t="shared" si="35"/>
        <v>1444</v>
      </c>
      <c r="U132" s="7">
        <f t="shared" si="46"/>
        <v>904</v>
      </c>
      <c r="V132" s="7">
        <f t="shared" si="47"/>
        <v>809</v>
      </c>
      <c r="W132" s="7">
        <f t="shared" si="45"/>
        <v>917</v>
      </c>
      <c r="X132" s="6"/>
      <c r="Y132" s="5"/>
      <c r="Z132" s="5"/>
      <c r="AA132" s="5"/>
      <c r="AB132" s="5"/>
    </row>
    <row r="133" spans="1:28" ht="13.15" customHeight="1">
      <c r="A133" s="12">
        <v>119</v>
      </c>
      <c r="B133" s="11">
        <f t="shared" si="36"/>
        <v>45389</v>
      </c>
      <c r="C133" s="9">
        <f t="shared" si="37"/>
        <v>842</v>
      </c>
      <c r="D133" s="8">
        <f t="shared" si="52"/>
        <v>1413</v>
      </c>
      <c r="E133" s="4">
        <f t="shared" si="29"/>
        <v>531</v>
      </c>
      <c r="F133" s="4">
        <f t="shared" si="30"/>
        <v>446</v>
      </c>
      <c r="G133" s="4">
        <f t="shared" si="31"/>
        <v>828</v>
      </c>
      <c r="H133" s="5">
        <f t="shared" si="32"/>
        <v>1724</v>
      </c>
      <c r="I133" s="5">
        <f t="shared" si="33"/>
        <v>1809</v>
      </c>
      <c r="J133" s="5">
        <f t="shared" si="34"/>
        <v>1427</v>
      </c>
      <c r="K133" s="5">
        <f t="shared" si="49"/>
        <v>2000</v>
      </c>
      <c r="L133" s="5">
        <f t="shared" si="50"/>
        <v>2000</v>
      </c>
      <c r="M133" s="5">
        <f t="shared" si="51"/>
        <v>2000</v>
      </c>
      <c r="N133" s="5">
        <f t="shared" si="42"/>
        <v>-276</v>
      </c>
      <c r="O133" s="5">
        <f t="shared" si="43"/>
        <v>-191</v>
      </c>
      <c r="P133" s="5">
        <f t="shared" si="44"/>
        <v>-573</v>
      </c>
      <c r="Q133" s="4">
        <v>0</v>
      </c>
      <c r="R133" s="4">
        <v>0</v>
      </c>
      <c r="S133" s="4">
        <v>0</v>
      </c>
      <c r="T133" s="6">
        <f t="shared" si="35"/>
        <v>1446</v>
      </c>
      <c r="U133" s="7">
        <f t="shared" si="46"/>
        <v>904</v>
      </c>
      <c r="V133" s="7">
        <f t="shared" si="47"/>
        <v>809</v>
      </c>
      <c r="W133" s="7">
        <f t="shared" si="45"/>
        <v>917</v>
      </c>
      <c r="X133" s="6"/>
      <c r="Y133" s="5"/>
      <c r="Z133" s="5"/>
      <c r="AA133" s="5"/>
      <c r="AB133" s="5"/>
    </row>
    <row r="134" spans="1:28" ht="13.15" customHeight="1">
      <c r="A134" s="12">
        <v>120</v>
      </c>
      <c r="B134" s="11">
        <f t="shared" si="36"/>
        <v>45390</v>
      </c>
      <c r="C134" s="9">
        <f t="shared" si="37"/>
        <v>842</v>
      </c>
      <c r="D134" s="8">
        <f t="shared" si="52"/>
        <v>1415</v>
      </c>
      <c r="E134" s="4">
        <f t="shared" si="29"/>
        <v>533</v>
      </c>
      <c r="F134" s="4">
        <f t="shared" si="30"/>
        <v>448</v>
      </c>
      <c r="G134" s="4">
        <f t="shared" si="31"/>
        <v>830</v>
      </c>
      <c r="H134" s="5">
        <f t="shared" si="32"/>
        <v>1724</v>
      </c>
      <c r="I134" s="5">
        <f t="shared" si="33"/>
        <v>1809</v>
      </c>
      <c r="J134" s="5">
        <f t="shared" si="34"/>
        <v>1427</v>
      </c>
      <c r="K134" s="5">
        <f t="shared" si="49"/>
        <v>2000</v>
      </c>
      <c r="L134" s="5">
        <f t="shared" si="50"/>
        <v>2000</v>
      </c>
      <c r="M134" s="5">
        <f t="shared" si="51"/>
        <v>2000</v>
      </c>
      <c r="N134" s="5">
        <f t="shared" si="42"/>
        <v>-276</v>
      </c>
      <c r="O134" s="5">
        <f t="shared" si="43"/>
        <v>-191</v>
      </c>
      <c r="P134" s="5">
        <f t="shared" si="44"/>
        <v>-573</v>
      </c>
      <c r="Q134" s="4">
        <v>0</v>
      </c>
      <c r="R134" s="4">
        <v>0</v>
      </c>
      <c r="S134" s="4">
        <v>0</v>
      </c>
      <c r="T134" s="6">
        <f t="shared" si="35"/>
        <v>1448</v>
      </c>
      <c r="U134" s="7">
        <f t="shared" si="46"/>
        <v>904</v>
      </c>
      <c r="V134" s="7">
        <f t="shared" si="47"/>
        <v>809</v>
      </c>
      <c r="W134" s="7">
        <f t="shared" si="45"/>
        <v>917</v>
      </c>
      <c r="X134" s="6"/>
      <c r="Y134" s="5"/>
      <c r="Z134" s="5"/>
      <c r="AA134" s="5"/>
      <c r="AB134" s="5"/>
    </row>
    <row r="135" spans="1:28" ht="13.15" customHeight="1">
      <c r="A135" s="12">
        <v>121</v>
      </c>
      <c r="B135" s="11">
        <f t="shared" si="36"/>
        <v>45391</v>
      </c>
      <c r="C135" s="9">
        <f t="shared" si="37"/>
        <v>842</v>
      </c>
      <c r="D135" s="8">
        <f t="shared" si="52"/>
        <v>1417</v>
      </c>
      <c r="E135" s="4">
        <f t="shared" si="29"/>
        <v>535</v>
      </c>
      <c r="F135" s="4">
        <f t="shared" si="30"/>
        <v>450</v>
      </c>
      <c r="G135" s="4">
        <f t="shared" si="31"/>
        <v>832</v>
      </c>
      <c r="H135" s="5">
        <f t="shared" si="32"/>
        <v>1724</v>
      </c>
      <c r="I135" s="5">
        <f t="shared" si="33"/>
        <v>1809</v>
      </c>
      <c r="J135" s="5">
        <f t="shared" si="34"/>
        <v>1427</v>
      </c>
      <c r="K135" s="5">
        <f t="shared" si="49"/>
        <v>2000</v>
      </c>
      <c r="L135" s="5">
        <f t="shared" si="50"/>
        <v>2000</v>
      </c>
      <c r="M135" s="5">
        <f t="shared" si="51"/>
        <v>2000</v>
      </c>
      <c r="N135" s="5">
        <f t="shared" si="42"/>
        <v>-276</v>
      </c>
      <c r="O135" s="5">
        <f t="shared" si="43"/>
        <v>-191</v>
      </c>
      <c r="P135" s="5">
        <f t="shared" si="44"/>
        <v>-573</v>
      </c>
      <c r="Q135" s="4">
        <v>0</v>
      </c>
      <c r="R135" s="4">
        <v>0</v>
      </c>
      <c r="S135" s="4">
        <v>0</v>
      </c>
      <c r="T135" s="6">
        <f t="shared" si="35"/>
        <v>1450</v>
      </c>
      <c r="U135" s="7">
        <f t="shared" si="46"/>
        <v>904</v>
      </c>
      <c r="V135" s="7">
        <f t="shared" si="47"/>
        <v>809</v>
      </c>
      <c r="W135" s="7">
        <f t="shared" si="45"/>
        <v>917</v>
      </c>
      <c r="X135" s="6"/>
      <c r="Y135" s="5"/>
      <c r="Z135" s="5"/>
      <c r="AA135" s="5"/>
      <c r="AB135" s="5"/>
    </row>
    <row r="136" spans="1:28" ht="13.15" customHeight="1">
      <c r="A136" s="12">
        <v>122</v>
      </c>
      <c r="B136" s="11">
        <f t="shared" si="36"/>
        <v>45392</v>
      </c>
      <c r="C136" s="9">
        <f t="shared" si="37"/>
        <v>842</v>
      </c>
      <c r="D136" s="8">
        <f t="shared" si="52"/>
        <v>1419</v>
      </c>
      <c r="E136" s="4">
        <f t="shared" si="29"/>
        <v>537</v>
      </c>
      <c r="F136" s="4">
        <f t="shared" si="30"/>
        <v>452</v>
      </c>
      <c r="G136" s="4">
        <f t="shared" si="31"/>
        <v>834</v>
      </c>
      <c r="H136" s="5">
        <f t="shared" si="32"/>
        <v>1724</v>
      </c>
      <c r="I136" s="5">
        <f t="shared" si="33"/>
        <v>1809</v>
      </c>
      <c r="J136" s="5">
        <f t="shared" si="34"/>
        <v>1427</v>
      </c>
      <c r="K136" s="5">
        <f t="shared" si="49"/>
        <v>2000</v>
      </c>
      <c r="L136" s="5">
        <f t="shared" si="50"/>
        <v>2000</v>
      </c>
      <c r="M136" s="5">
        <f t="shared" si="51"/>
        <v>2000</v>
      </c>
      <c r="N136" s="5">
        <f t="shared" si="42"/>
        <v>-276</v>
      </c>
      <c r="O136" s="5">
        <f t="shared" si="43"/>
        <v>-191</v>
      </c>
      <c r="P136" s="5">
        <f t="shared" si="44"/>
        <v>-573</v>
      </c>
      <c r="Q136" s="4">
        <v>0</v>
      </c>
      <c r="R136" s="4">
        <v>0</v>
      </c>
      <c r="S136" s="4">
        <v>0</v>
      </c>
      <c r="T136" s="6">
        <f t="shared" si="35"/>
        <v>1452</v>
      </c>
      <c r="U136" s="7">
        <f t="shared" si="46"/>
        <v>904</v>
      </c>
      <c r="V136" s="7">
        <f t="shared" si="47"/>
        <v>809</v>
      </c>
      <c r="W136" s="7">
        <f t="shared" si="45"/>
        <v>917</v>
      </c>
      <c r="X136" s="6"/>
      <c r="Y136" s="5"/>
      <c r="Z136" s="5"/>
      <c r="AA136" s="5"/>
      <c r="AB136" s="5"/>
    </row>
    <row r="137" spans="1:28" ht="13.15" customHeight="1">
      <c r="A137" s="12">
        <v>123</v>
      </c>
      <c r="B137" s="11">
        <f t="shared" si="36"/>
        <v>45393</v>
      </c>
      <c r="C137" s="9">
        <f t="shared" si="37"/>
        <v>842</v>
      </c>
      <c r="D137" s="8">
        <f t="shared" si="52"/>
        <v>1421</v>
      </c>
      <c r="E137" s="4">
        <f t="shared" si="29"/>
        <v>539</v>
      </c>
      <c r="F137" s="4">
        <f t="shared" si="30"/>
        <v>454</v>
      </c>
      <c r="G137" s="4">
        <f t="shared" si="31"/>
        <v>836</v>
      </c>
      <c r="H137" s="5">
        <f t="shared" si="32"/>
        <v>1724</v>
      </c>
      <c r="I137" s="5">
        <f t="shared" si="33"/>
        <v>1809</v>
      </c>
      <c r="J137" s="5">
        <f t="shared" si="34"/>
        <v>1427</v>
      </c>
      <c r="K137" s="5">
        <f t="shared" si="49"/>
        <v>2000</v>
      </c>
      <c r="L137" s="5">
        <f t="shared" si="50"/>
        <v>2000</v>
      </c>
      <c r="M137" s="5">
        <f t="shared" si="51"/>
        <v>2000</v>
      </c>
      <c r="N137" s="5">
        <f t="shared" si="42"/>
        <v>-276</v>
      </c>
      <c r="O137" s="5">
        <f t="shared" si="43"/>
        <v>-191</v>
      </c>
      <c r="P137" s="5">
        <f t="shared" si="44"/>
        <v>-573</v>
      </c>
      <c r="Q137" s="4">
        <v>0</v>
      </c>
      <c r="R137" s="4">
        <v>0</v>
      </c>
      <c r="S137" s="4">
        <v>0</v>
      </c>
      <c r="T137" s="6">
        <f t="shared" si="35"/>
        <v>1454</v>
      </c>
      <c r="U137" s="7">
        <f t="shared" si="46"/>
        <v>904</v>
      </c>
      <c r="V137" s="7">
        <f t="shared" si="47"/>
        <v>809</v>
      </c>
      <c r="W137" s="7">
        <f t="shared" si="45"/>
        <v>917</v>
      </c>
      <c r="X137" s="6"/>
      <c r="Y137" s="5"/>
      <c r="Z137" s="5"/>
      <c r="AA137" s="5"/>
      <c r="AB137" s="5"/>
    </row>
    <row r="138" spans="1:28" ht="13.15" customHeight="1">
      <c r="A138" s="12">
        <v>124</v>
      </c>
      <c r="B138" s="11">
        <f t="shared" si="36"/>
        <v>45394</v>
      </c>
      <c r="C138" s="9">
        <f t="shared" si="37"/>
        <v>842</v>
      </c>
      <c r="D138" s="8">
        <f t="shared" si="52"/>
        <v>1423</v>
      </c>
      <c r="E138" s="4">
        <f t="shared" si="29"/>
        <v>541</v>
      </c>
      <c r="F138" s="4">
        <f t="shared" si="30"/>
        <v>456</v>
      </c>
      <c r="G138" s="4">
        <f t="shared" si="31"/>
        <v>838</v>
      </c>
      <c r="H138" s="5">
        <f t="shared" si="32"/>
        <v>1724</v>
      </c>
      <c r="I138" s="5">
        <f t="shared" si="33"/>
        <v>1809</v>
      </c>
      <c r="J138" s="5">
        <f t="shared" si="34"/>
        <v>1427</v>
      </c>
      <c r="K138" s="5">
        <f t="shared" si="49"/>
        <v>2000</v>
      </c>
      <c r="L138" s="5">
        <f t="shared" si="50"/>
        <v>2000</v>
      </c>
      <c r="M138" s="5">
        <f t="shared" si="51"/>
        <v>2000</v>
      </c>
      <c r="N138" s="5">
        <f t="shared" si="42"/>
        <v>-276</v>
      </c>
      <c r="O138" s="5">
        <f t="shared" si="43"/>
        <v>-191</v>
      </c>
      <c r="P138" s="5">
        <f t="shared" si="44"/>
        <v>-573</v>
      </c>
      <c r="Q138" s="4">
        <v>0</v>
      </c>
      <c r="R138" s="4">
        <v>0</v>
      </c>
      <c r="S138" s="4">
        <v>0</v>
      </c>
      <c r="T138" s="6">
        <f t="shared" si="35"/>
        <v>1456</v>
      </c>
      <c r="U138" s="7">
        <f t="shared" si="46"/>
        <v>904</v>
      </c>
      <c r="V138" s="7">
        <f t="shared" si="47"/>
        <v>809</v>
      </c>
      <c r="W138" s="7">
        <f t="shared" si="45"/>
        <v>917</v>
      </c>
      <c r="X138" s="6"/>
      <c r="Y138" s="5"/>
      <c r="Z138" s="5"/>
      <c r="AA138" s="5"/>
      <c r="AB138" s="5"/>
    </row>
    <row r="139" spans="1:28" ht="13.15" customHeight="1">
      <c r="A139" s="12">
        <v>125</v>
      </c>
      <c r="B139" s="11">
        <f t="shared" si="36"/>
        <v>45395</v>
      </c>
      <c r="C139" s="9">
        <f t="shared" si="37"/>
        <v>842</v>
      </c>
      <c r="D139" s="8">
        <f t="shared" si="52"/>
        <v>1425</v>
      </c>
      <c r="E139" s="4">
        <f t="shared" si="29"/>
        <v>543</v>
      </c>
      <c r="F139" s="4">
        <f t="shared" si="30"/>
        <v>458</v>
      </c>
      <c r="G139" s="4">
        <f t="shared" si="31"/>
        <v>840</v>
      </c>
      <c r="H139" s="5">
        <f t="shared" si="32"/>
        <v>1724</v>
      </c>
      <c r="I139" s="5">
        <f t="shared" si="33"/>
        <v>1809</v>
      </c>
      <c r="J139" s="5">
        <f t="shared" si="34"/>
        <v>1427</v>
      </c>
      <c r="K139" s="5">
        <f t="shared" si="49"/>
        <v>2000</v>
      </c>
      <c r="L139" s="5">
        <f t="shared" si="50"/>
        <v>2000</v>
      </c>
      <c r="M139" s="5">
        <f t="shared" si="51"/>
        <v>2000</v>
      </c>
      <c r="N139" s="5">
        <f t="shared" si="42"/>
        <v>-276</v>
      </c>
      <c r="O139" s="5">
        <f t="shared" si="43"/>
        <v>-191</v>
      </c>
      <c r="P139" s="5">
        <f t="shared" si="44"/>
        <v>-573</v>
      </c>
      <c r="Q139" s="4">
        <v>0</v>
      </c>
      <c r="R139" s="4">
        <v>0</v>
      </c>
      <c r="S139" s="4">
        <v>0</v>
      </c>
      <c r="T139" s="6">
        <f t="shared" si="35"/>
        <v>1458</v>
      </c>
      <c r="U139" s="7">
        <f t="shared" si="46"/>
        <v>904</v>
      </c>
      <c r="V139" s="7">
        <f t="shared" si="47"/>
        <v>809</v>
      </c>
      <c r="W139" s="7">
        <f t="shared" si="45"/>
        <v>917</v>
      </c>
      <c r="X139" s="6"/>
      <c r="Y139" s="5"/>
      <c r="Z139" s="5"/>
      <c r="AA139" s="5"/>
      <c r="AB139" s="5"/>
    </row>
    <row r="140" spans="1:28" ht="13.15" customHeight="1">
      <c r="A140" s="12">
        <v>126</v>
      </c>
      <c r="B140" s="11">
        <f t="shared" si="36"/>
        <v>45396</v>
      </c>
      <c r="C140" s="9">
        <f t="shared" si="37"/>
        <v>842</v>
      </c>
      <c r="D140" s="8">
        <f t="shared" si="52"/>
        <v>1427</v>
      </c>
      <c r="E140" s="4">
        <f t="shared" si="29"/>
        <v>552</v>
      </c>
      <c r="F140" s="4">
        <f t="shared" si="30"/>
        <v>469</v>
      </c>
      <c r="G140" s="4">
        <f t="shared" si="31"/>
        <v>850</v>
      </c>
      <c r="H140" s="5">
        <f t="shared" si="32"/>
        <v>1717</v>
      </c>
      <c r="I140" s="5">
        <f t="shared" si="33"/>
        <v>1800</v>
      </c>
      <c r="J140" s="5">
        <f t="shared" si="34"/>
        <v>1419</v>
      </c>
      <c r="K140" s="5">
        <f t="shared" si="49"/>
        <v>2000</v>
      </c>
      <c r="L140" s="5">
        <f t="shared" si="50"/>
        <v>2000</v>
      </c>
      <c r="M140" s="5">
        <f t="shared" si="51"/>
        <v>2000</v>
      </c>
      <c r="N140" s="5">
        <f t="shared" si="42"/>
        <v>-283</v>
      </c>
      <c r="O140" s="5">
        <f t="shared" si="43"/>
        <v>-200</v>
      </c>
      <c r="P140" s="5">
        <f t="shared" si="44"/>
        <v>-581</v>
      </c>
      <c r="Q140" s="4">
        <v>7</v>
      </c>
      <c r="R140" s="4">
        <v>9</v>
      </c>
      <c r="S140" s="4">
        <v>8</v>
      </c>
      <c r="T140" s="6">
        <f t="shared" si="35"/>
        <v>1169</v>
      </c>
      <c r="U140" s="7">
        <f t="shared" si="46"/>
        <v>1197</v>
      </c>
      <c r="V140" s="7">
        <f t="shared" si="47"/>
        <v>1100</v>
      </c>
      <c r="W140" s="7">
        <f t="shared" si="45"/>
        <v>1209</v>
      </c>
      <c r="X140" s="13">
        <v>0.3</v>
      </c>
      <c r="Y140" s="5"/>
      <c r="Z140" s="5"/>
      <c r="AA140" s="5"/>
      <c r="AB140" s="14">
        <v>3</v>
      </c>
    </row>
    <row r="141" spans="1:28" ht="13.15" customHeight="1">
      <c r="A141" s="12">
        <v>127</v>
      </c>
      <c r="B141" s="11">
        <f t="shared" si="36"/>
        <v>45397</v>
      </c>
      <c r="C141" s="9">
        <f t="shared" si="37"/>
        <v>842</v>
      </c>
      <c r="D141" s="8">
        <f t="shared" si="52"/>
        <v>1429</v>
      </c>
      <c r="E141" s="4">
        <f t="shared" si="29"/>
        <v>557</v>
      </c>
      <c r="F141" s="4">
        <f t="shared" si="30"/>
        <v>474</v>
      </c>
      <c r="G141" s="4">
        <f t="shared" si="31"/>
        <v>855</v>
      </c>
      <c r="H141" s="5">
        <f t="shared" si="32"/>
        <v>1714</v>
      </c>
      <c r="I141" s="5">
        <f t="shared" si="33"/>
        <v>1797</v>
      </c>
      <c r="J141" s="5">
        <f t="shared" si="34"/>
        <v>1416</v>
      </c>
      <c r="K141" s="5">
        <f t="shared" si="49"/>
        <v>2000</v>
      </c>
      <c r="L141" s="5">
        <f t="shared" si="50"/>
        <v>2000</v>
      </c>
      <c r="M141" s="5">
        <f t="shared" si="51"/>
        <v>2000</v>
      </c>
      <c r="N141" s="5">
        <f t="shared" si="42"/>
        <v>-286</v>
      </c>
      <c r="O141" s="5">
        <f t="shared" si="43"/>
        <v>-203</v>
      </c>
      <c r="P141" s="5">
        <f t="shared" si="44"/>
        <v>-584</v>
      </c>
      <c r="Q141" s="4">
        <v>3</v>
      </c>
      <c r="R141" s="4">
        <v>3</v>
      </c>
      <c r="S141" s="4">
        <v>3</v>
      </c>
      <c r="T141" s="6">
        <f t="shared" si="35"/>
        <v>1174</v>
      </c>
      <c r="U141" s="7">
        <f t="shared" si="46"/>
        <v>1194</v>
      </c>
      <c r="V141" s="7">
        <f t="shared" si="47"/>
        <v>1097</v>
      </c>
      <c r="W141" s="7">
        <f t="shared" si="45"/>
        <v>1206</v>
      </c>
      <c r="X141" s="6"/>
      <c r="Y141" s="5"/>
      <c r="Z141" s="5"/>
      <c r="AA141" s="5"/>
      <c r="AB141" s="14"/>
    </row>
    <row r="142" spans="1:28" ht="13.15" customHeight="1">
      <c r="A142" s="12">
        <v>128</v>
      </c>
      <c r="B142" s="11">
        <f t="shared" si="36"/>
        <v>45398</v>
      </c>
      <c r="C142" s="9">
        <f t="shared" si="37"/>
        <v>842</v>
      </c>
      <c r="D142" s="8">
        <f t="shared" si="52"/>
        <v>1431</v>
      </c>
      <c r="E142" s="4">
        <f t="shared" ref="E142:E205" si="53">C142+D142-H142</f>
        <v>563</v>
      </c>
      <c r="F142" s="4">
        <f t="shared" ref="F142:F205" si="54">C142+D142-I142</f>
        <v>480</v>
      </c>
      <c r="G142" s="4">
        <f t="shared" ref="G142:G205" si="55">D142+C142-J142</f>
        <v>861</v>
      </c>
      <c r="H142" s="5">
        <f t="shared" ref="H142:H205" si="56">K142+N142</f>
        <v>1710</v>
      </c>
      <c r="I142" s="5">
        <f t="shared" ref="I142:I205" si="57">L142+O142</f>
        <v>1793</v>
      </c>
      <c r="J142" s="5">
        <f t="shared" ref="J142:J205" si="58">M142+P142</f>
        <v>1412</v>
      </c>
      <c r="K142" s="5">
        <f t="shared" si="49"/>
        <v>2000</v>
      </c>
      <c r="L142" s="5">
        <f t="shared" si="50"/>
        <v>2000</v>
      </c>
      <c r="M142" s="5">
        <f t="shared" si="51"/>
        <v>2000</v>
      </c>
      <c r="N142" s="5">
        <f t="shared" si="42"/>
        <v>-290</v>
      </c>
      <c r="O142" s="5">
        <f t="shared" si="43"/>
        <v>-207</v>
      </c>
      <c r="P142" s="5">
        <f t="shared" si="44"/>
        <v>-588</v>
      </c>
      <c r="Q142" s="4">
        <v>4</v>
      </c>
      <c r="R142" s="4">
        <v>4</v>
      </c>
      <c r="S142" s="4">
        <v>4</v>
      </c>
      <c r="T142" s="6">
        <f t="shared" ref="T142:T205" si="59">D142+C142-V142</f>
        <v>1180</v>
      </c>
      <c r="U142" s="7">
        <f t="shared" si="46"/>
        <v>1190</v>
      </c>
      <c r="V142" s="7">
        <f t="shared" si="47"/>
        <v>1093</v>
      </c>
      <c r="W142" s="7">
        <f t="shared" si="45"/>
        <v>1202</v>
      </c>
      <c r="X142" s="6"/>
      <c r="Y142" s="5"/>
      <c r="Z142" s="5"/>
      <c r="AA142" s="5"/>
      <c r="AB142" s="14"/>
    </row>
    <row r="143" spans="1:28" ht="13.15" customHeight="1">
      <c r="A143" s="12">
        <v>129</v>
      </c>
      <c r="B143" s="11">
        <f t="shared" ref="B143:B206" si="60">B142+1</f>
        <v>45399</v>
      </c>
      <c r="C143" s="9">
        <f t="shared" ref="C143:C206" si="61">C142</f>
        <v>842</v>
      </c>
      <c r="D143" s="8">
        <f t="shared" si="52"/>
        <v>1433</v>
      </c>
      <c r="E143" s="4">
        <f t="shared" si="53"/>
        <v>570</v>
      </c>
      <c r="F143" s="4">
        <f t="shared" si="54"/>
        <v>484</v>
      </c>
      <c r="G143" s="4">
        <f t="shared" si="55"/>
        <v>867</v>
      </c>
      <c r="H143" s="5">
        <f t="shared" si="56"/>
        <v>1705</v>
      </c>
      <c r="I143" s="5">
        <f t="shared" si="57"/>
        <v>1791</v>
      </c>
      <c r="J143" s="5">
        <f t="shared" si="58"/>
        <v>1408</v>
      </c>
      <c r="K143" s="5">
        <f t="shared" si="49"/>
        <v>2000</v>
      </c>
      <c r="L143" s="5">
        <f t="shared" si="50"/>
        <v>2000</v>
      </c>
      <c r="M143" s="5">
        <f t="shared" si="51"/>
        <v>2000</v>
      </c>
      <c r="N143" s="5">
        <f t="shared" ref="N143:N206" si="62">N142-Q143</f>
        <v>-295</v>
      </c>
      <c r="O143" s="5">
        <f t="shared" ref="O143:O206" si="63">O142-R143</f>
        <v>-209</v>
      </c>
      <c r="P143" s="5">
        <f t="shared" ref="P143:P206" si="64">P142-S143</f>
        <v>-592</v>
      </c>
      <c r="Q143" s="4">
        <v>5</v>
      </c>
      <c r="R143" s="4">
        <v>2</v>
      </c>
      <c r="S143" s="4">
        <v>4</v>
      </c>
      <c r="T143" s="6">
        <f t="shared" si="59"/>
        <v>1184</v>
      </c>
      <c r="U143" s="7">
        <f t="shared" si="46"/>
        <v>1185</v>
      </c>
      <c r="V143" s="7">
        <f t="shared" si="47"/>
        <v>1091</v>
      </c>
      <c r="W143" s="7">
        <f t="shared" si="45"/>
        <v>1198</v>
      </c>
      <c r="X143" s="6"/>
      <c r="Y143" s="5"/>
      <c r="Z143" s="5"/>
      <c r="AA143" s="5"/>
      <c r="AB143" s="14"/>
    </row>
    <row r="144" spans="1:28" ht="13.15" customHeight="1">
      <c r="A144" s="12">
        <v>130</v>
      </c>
      <c r="B144" s="11">
        <f t="shared" si="60"/>
        <v>45400</v>
      </c>
      <c r="C144" s="9">
        <f t="shared" si="61"/>
        <v>842</v>
      </c>
      <c r="D144" s="8">
        <f t="shared" si="52"/>
        <v>1435</v>
      </c>
      <c r="E144" s="4">
        <f t="shared" si="53"/>
        <v>581</v>
      </c>
      <c r="F144" s="4">
        <f t="shared" si="54"/>
        <v>495</v>
      </c>
      <c r="G144" s="4">
        <f t="shared" si="55"/>
        <v>878</v>
      </c>
      <c r="H144" s="5">
        <f t="shared" si="56"/>
        <v>1696</v>
      </c>
      <c r="I144" s="5">
        <f t="shared" si="57"/>
        <v>1782</v>
      </c>
      <c r="J144" s="5">
        <f t="shared" si="58"/>
        <v>1399</v>
      </c>
      <c r="K144" s="5">
        <f t="shared" si="49"/>
        <v>2000</v>
      </c>
      <c r="L144" s="5">
        <f t="shared" si="50"/>
        <v>2000</v>
      </c>
      <c r="M144" s="5">
        <f t="shared" si="51"/>
        <v>2000</v>
      </c>
      <c r="N144" s="5">
        <f t="shared" si="62"/>
        <v>-304</v>
      </c>
      <c r="O144" s="5">
        <f t="shared" si="63"/>
        <v>-218</v>
      </c>
      <c r="P144" s="5">
        <f t="shared" si="64"/>
        <v>-601</v>
      </c>
      <c r="Q144" s="4">
        <v>9</v>
      </c>
      <c r="R144" s="4">
        <v>9</v>
      </c>
      <c r="S144" s="4">
        <v>9</v>
      </c>
      <c r="T144" s="6">
        <f t="shared" si="59"/>
        <v>895</v>
      </c>
      <c r="U144" s="7">
        <f t="shared" si="46"/>
        <v>1476</v>
      </c>
      <c r="V144" s="7">
        <f t="shared" si="47"/>
        <v>1382</v>
      </c>
      <c r="W144" s="7">
        <f t="shared" si="45"/>
        <v>1489</v>
      </c>
      <c r="X144" s="13">
        <v>0.3</v>
      </c>
      <c r="Y144" s="5"/>
      <c r="Z144" s="5"/>
      <c r="AA144" s="5"/>
      <c r="AB144" s="14">
        <v>2</v>
      </c>
    </row>
    <row r="145" spans="1:28" ht="13.15" customHeight="1">
      <c r="A145" s="12">
        <v>131</v>
      </c>
      <c r="B145" s="11">
        <f t="shared" si="60"/>
        <v>45401</v>
      </c>
      <c r="C145" s="9">
        <f t="shared" si="61"/>
        <v>842</v>
      </c>
      <c r="D145" s="8">
        <f t="shared" si="52"/>
        <v>1437</v>
      </c>
      <c r="E145" s="4">
        <f t="shared" si="53"/>
        <v>587</v>
      </c>
      <c r="F145" s="4">
        <f t="shared" si="54"/>
        <v>500</v>
      </c>
      <c r="G145" s="4">
        <f t="shared" si="55"/>
        <v>883</v>
      </c>
      <c r="H145" s="5">
        <f t="shared" si="56"/>
        <v>1692</v>
      </c>
      <c r="I145" s="5">
        <f t="shared" si="57"/>
        <v>1779</v>
      </c>
      <c r="J145" s="5">
        <f t="shared" si="58"/>
        <v>1396</v>
      </c>
      <c r="K145" s="5">
        <f t="shared" si="49"/>
        <v>2000</v>
      </c>
      <c r="L145" s="5">
        <f t="shared" si="50"/>
        <v>2000</v>
      </c>
      <c r="M145" s="5">
        <f t="shared" si="51"/>
        <v>2000</v>
      </c>
      <c r="N145" s="5">
        <f t="shared" si="62"/>
        <v>-308</v>
      </c>
      <c r="O145" s="5">
        <f t="shared" si="63"/>
        <v>-221</v>
      </c>
      <c r="P145" s="5">
        <f t="shared" si="64"/>
        <v>-604</v>
      </c>
      <c r="Q145" s="4">
        <v>4</v>
      </c>
      <c r="R145" s="4">
        <v>3</v>
      </c>
      <c r="S145" s="4">
        <v>3</v>
      </c>
      <c r="T145" s="6">
        <f t="shared" si="59"/>
        <v>900</v>
      </c>
      <c r="U145" s="7">
        <f t="shared" si="46"/>
        <v>1472</v>
      </c>
      <c r="V145" s="7">
        <f t="shared" si="47"/>
        <v>1379</v>
      </c>
      <c r="W145" s="7">
        <f t="shared" si="45"/>
        <v>1486</v>
      </c>
      <c r="X145" s="6"/>
      <c r="Y145" s="5"/>
      <c r="Z145" s="5"/>
      <c r="AA145" s="5"/>
      <c r="AB145" s="14"/>
    </row>
    <row r="146" spans="1:28" ht="13.15" customHeight="1">
      <c r="A146" s="12">
        <v>132</v>
      </c>
      <c r="B146" s="11">
        <f t="shared" si="60"/>
        <v>45402</v>
      </c>
      <c r="C146" s="9">
        <f t="shared" si="61"/>
        <v>842</v>
      </c>
      <c r="D146" s="8">
        <f t="shared" si="52"/>
        <v>1439</v>
      </c>
      <c r="E146" s="4">
        <f t="shared" si="53"/>
        <v>592</v>
      </c>
      <c r="F146" s="4">
        <f t="shared" si="54"/>
        <v>506</v>
      </c>
      <c r="G146" s="4">
        <f t="shared" si="55"/>
        <v>889</v>
      </c>
      <c r="H146" s="5">
        <f t="shared" si="56"/>
        <v>1689</v>
      </c>
      <c r="I146" s="5">
        <f t="shared" si="57"/>
        <v>1775</v>
      </c>
      <c r="J146" s="5">
        <f t="shared" si="58"/>
        <v>1392</v>
      </c>
      <c r="K146" s="5">
        <f t="shared" si="49"/>
        <v>2000</v>
      </c>
      <c r="L146" s="5">
        <f t="shared" si="50"/>
        <v>2000</v>
      </c>
      <c r="M146" s="5">
        <f t="shared" si="51"/>
        <v>2000</v>
      </c>
      <c r="N146" s="5">
        <f t="shared" si="62"/>
        <v>-311</v>
      </c>
      <c r="O146" s="5">
        <f t="shared" si="63"/>
        <v>-225</v>
      </c>
      <c r="P146" s="5">
        <f t="shared" si="64"/>
        <v>-608</v>
      </c>
      <c r="Q146" s="4">
        <v>3</v>
      </c>
      <c r="R146" s="4">
        <v>4</v>
      </c>
      <c r="S146" s="4">
        <v>4</v>
      </c>
      <c r="T146" s="6">
        <f t="shared" si="59"/>
        <v>906</v>
      </c>
      <c r="U146" s="7">
        <f t="shared" si="46"/>
        <v>1469</v>
      </c>
      <c r="V146" s="7">
        <f t="shared" si="47"/>
        <v>1375</v>
      </c>
      <c r="W146" s="7">
        <f t="shared" si="45"/>
        <v>1482</v>
      </c>
      <c r="X146" s="6"/>
      <c r="Y146" s="5"/>
      <c r="Z146" s="5"/>
      <c r="AA146" s="5"/>
      <c r="AB146" s="14"/>
    </row>
    <row r="147" spans="1:28" ht="13.15" customHeight="1">
      <c r="A147" s="12">
        <v>133</v>
      </c>
      <c r="B147" s="11">
        <f t="shared" si="60"/>
        <v>45403</v>
      </c>
      <c r="C147" s="9">
        <f t="shared" si="61"/>
        <v>842</v>
      </c>
      <c r="D147" s="8">
        <f t="shared" si="52"/>
        <v>1441</v>
      </c>
      <c r="E147" s="4">
        <f t="shared" si="53"/>
        <v>596</v>
      </c>
      <c r="F147" s="4">
        <f t="shared" si="54"/>
        <v>513</v>
      </c>
      <c r="G147" s="4">
        <f t="shared" si="55"/>
        <v>893</v>
      </c>
      <c r="H147" s="5">
        <f t="shared" si="56"/>
        <v>1687</v>
      </c>
      <c r="I147" s="5">
        <f t="shared" si="57"/>
        <v>1770</v>
      </c>
      <c r="J147" s="5">
        <f t="shared" si="58"/>
        <v>1390</v>
      </c>
      <c r="K147" s="5">
        <f t="shared" si="49"/>
        <v>2000</v>
      </c>
      <c r="L147" s="5">
        <f t="shared" si="50"/>
        <v>2000</v>
      </c>
      <c r="M147" s="5">
        <f t="shared" si="51"/>
        <v>2000</v>
      </c>
      <c r="N147" s="5">
        <f t="shared" si="62"/>
        <v>-313</v>
      </c>
      <c r="O147" s="5">
        <f t="shared" si="63"/>
        <v>-230</v>
      </c>
      <c r="P147" s="5">
        <f t="shared" si="64"/>
        <v>-610</v>
      </c>
      <c r="Q147" s="4">
        <v>2</v>
      </c>
      <c r="R147" s="4">
        <v>5</v>
      </c>
      <c r="S147" s="4">
        <v>2</v>
      </c>
      <c r="T147" s="6">
        <f t="shared" si="59"/>
        <v>913</v>
      </c>
      <c r="U147" s="7">
        <f t="shared" si="46"/>
        <v>1467</v>
      </c>
      <c r="V147" s="7">
        <f t="shared" si="47"/>
        <v>1370</v>
      </c>
      <c r="W147" s="7">
        <f t="shared" si="45"/>
        <v>1480</v>
      </c>
      <c r="X147" s="6"/>
      <c r="Y147" s="5"/>
      <c r="Z147" s="5"/>
      <c r="AA147" s="5"/>
      <c r="AB147" s="15" t="s">
        <v>5</v>
      </c>
    </row>
    <row r="148" spans="1:28" ht="13.15" customHeight="1">
      <c r="A148" s="12">
        <v>134</v>
      </c>
      <c r="B148" s="11">
        <f t="shared" si="60"/>
        <v>45404</v>
      </c>
      <c r="C148" s="9">
        <f t="shared" si="61"/>
        <v>842</v>
      </c>
      <c r="D148" s="8">
        <f t="shared" si="52"/>
        <v>1443</v>
      </c>
      <c r="E148" s="4">
        <f t="shared" si="53"/>
        <v>-398</v>
      </c>
      <c r="F148" s="4">
        <f t="shared" si="54"/>
        <v>-480</v>
      </c>
      <c r="G148" s="4">
        <f t="shared" si="55"/>
        <v>-100</v>
      </c>
      <c r="H148" s="5">
        <f t="shared" si="56"/>
        <v>2683</v>
      </c>
      <c r="I148" s="5">
        <f t="shared" si="57"/>
        <v>2765</v>
      </c>
      <c r="J148" s="5">
        <f t="shared" si="58"/>
        <v>2385</v>
      </c>
      <c r="K148" s="5">
        <f>K147+1000</f>
        <v>3000</v>
      </c>
      <c r="L148" s="5">
        <f>L147+1000</f>
        <v>3000</v>
      </c>
      <c r="M148" s="5">
        <f>M147+1000</f>
        <v>3000</v>
      </c>
      <c r="N148" s="5">
        <f t="shared" si="62"/>
        <v>-317</v>
      </c>
      <c r="O148" s="5">
        <f t="shared" si="63"/>
        <v>-235</v>
      </c>
      <c r="P148" s="5">
        <f t="shared" si="64"/>
        <v>-615</v>
      </c>
      <c r="Q148" s="4">
        <v>4</v>
      </c>
      <c r="R148" s="4">
        <v>5</v>
      </c>
      <c r="S148" s="4">
        <v>5</v>
      </c>
      <c r="T148" s="6">
        <f t="shared" si="59"/>
        <v>920</v>
      </c>
      <c r="U148" s="7">
        <f t="shared" si="46"/>
        <v>1463</v>
      </c>
      <c r="V148" s="7">
        <f t="shared" si="47"/>
        <v>1365</v>
      </c>
      <c r="W148" s="7">
        <f t="shared" si="45"/>
        <v>1475</v>
      </c>
      <c r="X148" s="6"/>
      <c r="Y148" s="5"/>
      <c r="Z148" s="5"/>
      <c r="AA148" s="5"/>
      <c r="AB148" s="15" t="s">
        <v>4</v>
      </c>
    </row>
    <row r="149" spans="1:28" ht="13.15" customHeight="1">
      <c r="A149" s="12">
        <v>135</v>
      </c>
      <c r="B149" s="11">
        <f t="shared" si="60"/>
        <v>45405</v>
      </c>
      <c r="C149" s="9">
        <f t="shared" si="61"/>
        <v>842</v>
      </c>
      <c r="D149" s="8">
        <f t="shared" si="52"/>
        <v>1445</v>
      </c>
      <c r="E149" s="4">
        <f t="shared" si="53"/>
        <v>-388</v>
      </c>
      <c r="F149" s="4">
        <f t="shared" si="54"/>
        <v>-469</v>
      </c>
      <c r="G149" s="4">
        <f t="shared" si="55"/>
        <v>-90</v>
      </c>
      <c r="H149" s="5">
        <f t="shared" si="56"/>
        <v>2675</v>
      </c>
      <c r="I149" s="5">
        <f t="shared" si="57"/>
        <v>2756</v>
      </c>
      <c r="J149" s="5">
        <f t="shared" si="58"/>
        <v>2377</v>
      </c>
      <c r="K149" s="5">
        <f t="shared" ref="K149:K212" si="65">K148</f>
        <v>3000</v>
      </c>
      <c r="L149" s="5">
        <f t="shared" ref="L149:L212" si="66">L148</f>
        <v>3000</v>
      </c>
      <c r="M149" s="5">
        <f t="shared" ref="M149:M212" si="67">M148</f>
        <v>3000</v>
      </c>
      <c r="N149" s="5">
        <f t="shared" si="62"/>
        <v>-325</v>
      </c>
      <c r="O149" s="5">
        <f t="shared" si="63"/>
        <v>-244</v>
      </c>
      <c r="P149" s="5">
        <f t="shared" si="64"/>
        <v>-623</v>
      </c>
      <c r="Q149" s="4">
        <v>8</v>
      </c>
      <c r="R149" s="4">
        <v>9</v>
      </c>
      <c r="S149" s="4">
        <v>8</v>
      </c>
      <c r="T149" s="6">
        <f t="shared" si="59"/>
        <v>631</v>
      </c>
      <c r="U149" s="7">
        <f t="shared" si="46"/>
        <v>1755</v>
      </c>
      <c r="V149" s="7">
        <f t="shared" si="47"/>
        <v>1656</v>
      </c>
      <c r="W149" s="7">
        <f t="shared" si="45"/>
        <v>1767</v>
      </c>
      <c r="X149" s="13">
        <v>0.3</v>
      </c>
      <c r="Y149" s="5"/>
      <c r="Z149" s="5"/>
      <c r="AA149" s="5"/>
      <c r="AB149" s="14">
        <v>1</v>
      </c>
    </row>
    <row r="150" spans="1:28" ht="13.15" customHeight="1">
      <c r="A150" s="12">
        <v>136</v>
      </c>
      <c r="B150" s="11">
        <f t="shared" si="60"/>
        <v>45406</v>
      </c>
      <c r="C150" s="9">
        <f t="shared" si="61"/>
        <v>842</v>
      </c>
      <c r="D150" s="8">
        <f t="shared" si="52"/>
        <v>1447</v>
      </c>
      <c r="E150" s="4">
        <f t="shared" si="53"/>
        <v>-381</v>
      </c>
      <c r="F150" s="4">
        <f t="shared" si="54"/>
        <v>-462</v>
      </c>
      <c r="G150" s="4">
        <f t="shared" si="55"/>
        <v>-84</v>
      </c>
      <c r="H150" s="5">
        <f t="shared" si="56"/>
        <v>2670</v>
      </c>
      <c r="I150" s="5">
        <f t="shared" si="57"/>
        <v>2751</v>
      </c>
      <c r="J150" s="5">
        <f t="shared" si="58"/>
        <v>2373</v>
      </c>
      <c r="K150" s="5">
        <f t="shared" si="65"/>
        <v>3000</v>
      </c>
      <c r="L150" s="5">
        <f t="shared" si="66"/>
        <v>3000</v>
      </c>
      <c r="M150" s="5">
        <f t="shared" si="67"/>
        <v>3000</v>
      </c>
      <c r="N150" s="5">
        <f t="shared" si="62"/>
        <v>-330</v>
      </c>
      <c r="O150" s="5">
        <f t="shared" si="63"/>
        <v>-249</v>
      </c>
      <c r="P150" s="5">
        <f t="shared" si="64"/>
        <v>-627</v>
      </c>
      <c r="Q150" s="4">
        <v>5</v>
      </c>
      <c r="R150" s="4">
        <v>5</v>
      </c>
      <c r="S150" s="4">
        <v>4</v>
      </c>
      <c r="T150" s="6">
        <f t="shared" si="59"/>
        <v>638</v>
      </c>
      <c r="U150" s="7">
        <f t="shared" si="46"/>
        <v>1750</v>
      </c>
      <c r="V150" s="7">
        <f t="shared" si="47"/>
        <v>1651</v>
      </c>
      <c r="W150" s="7">
        <f t="shared" si="45"/>
        <v>1763</v>
      </c>
      <c r="X150" s="6"/>
      <c r="Y150" s="5"/>
      <c r="Z150" s="5"/>
      <c r="AA150" s="5"/>
      <c r="AB150" s="5"/>
    </row>
    <row r="151" spans="1:28" ht="13.15" customHeight="1">
      <c r="A151" s="12">
        <v>137</v>
      </c>
      <c r="B151" s="11">
        <f t="shared" si="60"/>
        <v>45407</v>
      </c>
      <c r="C151" s="9">
        <f t="shared" si="61"/>
        <v>842</v>
      </c>
      <c r="D151" s="8">
        <f t="shared" si="52"/>
        <v>1449</v>
      </c>
      <c r="E151" s="4">
        <f t="shared" si="53"/>
        <v>-374</v>
      </c>
      <c r="F151" s="4">
        <f t="shared" si="54"/>
        <v>-456</v>
      </c>
      <c r="G151" s="4">
        <f t="shared" si="55"/>
        <v>-79</v>
      </c>
      <c r="H151" s="5">
        <f t="shared" si="56"/>
        <v>2665</v>
      </c>
      <c r="I151" s="5">
        <f t="shared" si="57"/>
        <v>2747</v>
      </c>
      <c r="J151" s="5">
        <f t="shared" si="58"/>
        <v>2370</v>
      </c>
      <c r="K151" s="5">
        <f t="shared" si="65"/>
        <v>3000</v>
      </c>
      <c r="L151" s="5">
        <f t="shared" si="66"/>
        <v>3000</v>
      </c>
      <c r="M151" s="5">
        <f t="shared" si="67"/>
        <v>3000</v>
      </c>
      <c r="N151" s="5">
        <f t="shared" si="62"/>
        <v>-335</v>
      </c>
      <c r="O151" s="5">
        <f t="shared" si="63"/>
        <v>-253</v>
      </c>
      <c r="P151" s="5">
        <f t="shared" si="64"/>
        <v>-630</v>
      </c>
      <c r="Q151" s="4">
        <v>5</v>
      </c>
      <c r="R151" s="4">
        <v>4</v>
      </c>
      <c r="S151" s="4">
        <v>3</v>
      </c>
      <c r="T151" s="6">
        <f t="shared" si="59"/>
        <v>644</v>
      </c>
      <c r="U151" s="7">
        <f t="shared" si="46"/>
        <v>1745</v>
      </c>
      <c r="V151" s="7">
        <f t="shared" si="47"/>
        <v>1647</v>
      </c>
      <c r="W151" s="7">
        <f t="shared" si="45"/>
        <v>1760</v>
      </c>
      <c r="X151" s="6"/>
      <c r="Y151" s="5"/>
      <c r="Z151" s="5"/>
      <c r="AA151" s="5"/>
      <c r="AB151" s="5"/>
    </row>
    <row r="152" spans="1:28" ht="13.15" customHeight="1">
      <c r="A152" s="12">
        <v>138</v>
      </c>
      <c r="B152" s="11">
        <f t="shared" si="60"/>
        <v>45408</v>
      </c>
      <c r="C152" s="9">
        <f t="shared" si="61"/>
        <v>842</v>
      </c>
      <c r="D152" s="8">
        <f t="shared" si="52"/>
        <v>1451</v>
      </c>
      <c r="E152" s="4">
        <f t="shared" si="53"/>
        <v>-368</v>
      </c>
      <c r="F152" s="4">
        <f t="shared" si="54"/>
        <v>-450</v>
      </c>
      <c r="G152" s="4">
        <f t="shared" si="55"/>
        <v>-76</v>
      </c>
      <c r="H152" s="5">
        <f t="shared" si="56"/>
        <v>2661</v>
      </c>
      <c r="I152" s="5">
        <f t="shared" si="57"/>
        <v>2743</v>
      </c>
      <c r="J152" s="5">
        <f t="shared" si="58"/>
        <v>2369</v>
      </c>
      <c r="K152" s="5">
        <f t="shared" si="65"/>
        <v>3000</v>
      </c>
      <c r="L152" s="5">
        <f t="shared" si="66"/>
        <v>3000</v>
      </c>
      <c r="M152" s="5">
        <f t="shared" si="67"/>
        <v>3000</v>
      </c>
      <c r="N152" s="5">
        <f t="shared" si="62"/>
        <v>-339</v>
      </c>
      <c r="O152" s="5">
        <f t="shared" si="63"/>
        <v>-257</v>
      </c>
      <c r="P152" s="5">
        <f t="shared" si="64"/>
        <v>-631</v>
      </c>
      <c r="Q152" s="4">
        <v>4</v>
      </c>
      <c r="R152" s="4">
        <v>4</v>
      </c>
      <c r="S152" s="4">
        <v>1</v>
      </c>
      <c r="T152" s="6">
        <f t="shared" si="59"/>
        <v>650</v>
      </c>
      <c r="U152" s="7">
        <f t="shared" si="46"/>
        <v>1741</v>
      </c>
      <c r="V152" s="7">
        <f t="shared" si="47"/>
        <v>1643</v>
      </c>
      <c r="W152" s="7">
        <f t="shared" si="45"/>
        <v>1759</v>
      </c>
      <c r="X152" s="6"/>
      <c r="Y152" s="5"/>
      <c r="Z152" s="5"/>
      <c r="AA152" s="5"/>
      <c r="AB152" s="5"/>
    </row>
    <row r="153" spans="1:28" ht="13.15" customHeight="1">
      <c r="A153" s="12">
        <v>139</v>
      </c>
      <c r="B153" s="11">
        <f t="shared" si="60"/>
        <v>45409</v>
      </c>
      <c r="C153" s="9">
        <f t="shared" si="61"/>
        <v>842</v>
      </c>
      <c r="D153" s="8">
        <f t="shared" si="52"/>
        <v>1453</v>
      </c>
      <c r="E153" s="4">
        <f t="shared" si="53"/>
        <v>-363</v>
      </c>
      <c r="F153" s="4">
        <f t="shared" si="54"/>
        <v>-441</v>
      </c>
      <c r="G153" s="4">
        <f t="shared" si="55"/>
        <v>-73</v>
      </c>
      <c r="H153" s="5">
        <f t="shared" si="56"/>
        <v>2658</v>
      </c>
      <c r="I153" s="5">
        <f t="shared" si="57"/>
        <v>2736</v>
      </c>
      <c r="J153" s="5">
        <f t="shared" si="58"/>
        <v>2368</v>
      </c>
      <c r="K153" s="5">
        <f t="shared" si="65"/>
        <v>3000</v>
      </c>
      <c r="L153" s="5">
        <f t="shared" si="66"/>
        <v>3000</v>
      </c>
      <c r="M153" s="5">
        <f t="shared" si="67"/>
        <v>3000</v>
      </c>
      <c r="N153" s="5">
        <f t="shared" si="62"/>
        <v>-342</v>
      </c>
      <c r="O153" s="5">
        <f t="shared" si="63"/>
        <v>-264</v>
      </c>
      <c r="P153" s="5">
        <f t="shared" si="64"/>
        <v>-632</v>
      </c>
      <c r="Q153" s="4">
        <v>3</v>
      </c>
      <c r="R153" s="4">
        <v>7</v>
      </c>
      <c r="S153" s="4">
        <v>1</v>
      </c>
      <c r="T153" s="6">
        <f t="shared" si="59"/>
        <v>659</v>
      </c>
      <c r="U153" s="7">
        <f t="shared" si="46"/>
        <v>1738</v>
      </c>
      <c r="V153" s="7">
        <f t="shared" si="47"/>
        <v>1636</v>
      </c>
      <c r="W153" s="7">
        <f t="shared" si="45"/>
        <v>1758</v>
      </c>
      <c r="X153" s="6"/>
      <c r="Y153" s="5"/>
      <c r="Z153" s="5"/>
      <c r="AA153" s="5"/>
      <c r="AB153" s="5"/>
    </row>
    <row r="154" spans="1:28" ht="13.15" customHeight="1">
      <c r="A154" s="12">
        <v>140</v>
      </c>
      <c r="B154" s="11">
        <f t="shared" si="60"/>
        <v>45410</v>
      </c>
      <c r="C154" s="9">
        <f t="shared" si="61"/>
        <v>842</v>
      </c>
      <c r="D154" s="8">
        <f t="shared" si="52"/>
        <v>1455</v>
      </c>
      <c r="E154" s="4">
        <f t="shared" si="53"/>
        <v>-359</v>
      </c>
      <c r="F154" s="4">
        <f t="shared" si="54"/>
        <v>-434</v>
      </c>
      <c r="G154" s="4">
        <f t="shared" si="55"/>
        <v>-70</v>
      </c>
      <c r="H154" s="5">
        <f t="shared" si="56"/>
        <v>2656</v>
      </c>
      <c r="I154" s="5">
        <f t="shared" si="57"/>
        <v>2731</v>
      </c>
      <c r="J154" s="5">
        <f t="shared" si="58"/>
        <v>2367</v>
      </c>
      <c r="K154" s="5">
        <f t="shared" si="65"/>
        <v>3000</v>
      </c>
      <c r="L154" s="5">
        <f t="shared" si="66"/>
        <v>3000</v>
      </c>
      <c r="M154" s="5">
        <f t="shared" si="67"/>
        <v>3000</v>
      </c>
      <c r="N154" s="5">
        <f t="shared" si="62"/>
        <v>-344</v>
      </c>
      <c r="O154" s="5">
        <f t="shared" si="63"/>
        <v>-269</v>
      </c>
      <c r="P154" s="5">
        <f t="shared" si="64"/>
        <v>-633</v>
      </c>
      <c r="Q154" s="4">
        <v>2</v>
      </c>
      <c r="R154" s="4">
        <v>5</v>
      </c>
      <c r="S154" s="4">
        <v>1</v>
      </c>
      <c r="T154" s="6">
        <f t="shared" si="59"/>
        <v>666</v>
      </c>
      <c r="U154" s="7">
        <f t="shared" si="46"/>
        <v>1736</v>
      </c>
      <c r="V154" s="7">
        <f t="shared" si="47"/>
        <v>1631</v>
      </c>
      <c r="W154" s="7">
        <f t="shared" si="45"/>
        <v>1757</v>
      </c>
      <c r="X154" s="6"/>
      <c r="Y154" s="5"/>
      <c r="Z154" s="5"/>
      <c r="AA154" s="5"/>
      <c r="AB154" s="5"/>
    </row>
    <row r="155" spans="1:28" ht="13.15" customHeight="1">
      <c r="A155" s="12">
        <v>141</v>
      </c>
      <c r="B155" s="11">
        <f t="shared" si="60"/>
        <v>45411</v>
      </c>
      <c r="C155" s="9">
        <f t="shared" si="61"/>
        <v>842</v>
      </c>
      <c r="D155" s="8">
        <f t="shared" si="52"/>
        <v>1457</v>
      </c>
      <c r="E155" s="4">
        <f t="shared" si="53"/>
        <v>-353</v>
      </c>
      <c r="F155" s="4">
        <f t="shared" si="54"/>
        <v>-427</v>
      </c>
      <c r="G155" s="4">
        <f t="shared" si="55"/>
        <v>-65</v>
      </c>
      <c r="H155" s="5">
        <f t="shared" si="56"/>
        <v>2652</v>
      </c>
      <c r="I155" s="5">
        <f t="shared" si="57"/>
        <v>2726</v>
      </c>
      <c r="J155" s="5">
        <f t="shared" si="58"/>
        <v>2364</v>
      </c>
      <c r="K155" s="5">
        <f t="shared" si="65"/>
        <v>3000</v>
      </c>
      <c r="L155" s="5">
        <f t="shared" si="66"/>
        <v>3000</v>
      </c>
      <c r="M155" s="5">
        <f t="shared" si="67"/>
        <v>3000</v>
      </c>
      <c r="N155" s="5">
        <f t="shared" si="62"/>
        <v>-348</v>
      </c>
      <c r="O155" s="5">
        <f t="shared" si="63"/>
        <v>-274</v>
      </c>
      <c r="P155" s="5">
        <f t="shared" si="64"/>
        <v>-636</v>
      </c>
      <c r="Q155" s="4">
        <v>4</v>
      </c>
      <c r="R155" s="4">
        <v>5</v>
      </c>
      <c r="S155" s="4">
        <v>3</v>
      </c>
      <c r="T155" s="6">
        <f t="shared" si="59"/>
        <v>673</v>
      </c>
      <c r="U155" s="7">
        <f t="shared" si="46"/>
        <v>1732</v>
      </c>
      <c r="V155" s="7">
        <f t="shared" si="47"/>
        <v>1626</v>
      </c>
      <c r="W155" s="7">
        <f t="shared" si="45"/>
        <v>1754</v>
      </c>
      <c r="X155" s="6"/>
      <c r="Y155" s="5"/>
      <c r="Z155" s="5"/>
      <c r="AA155" s="5"/>
      <c r="AB155" s="5"/>
    </row>
    <row r="156" spans="1:28" ht="13.15" customHeight="1">
      <c r="A156" s="12">
        <v>142</v>
      </c>
      <c r="B156" s="11">
        <f t="shared" si="60"/>
        <v>45412</v>
      </c>
      <c r="C156" s="9">
        <f t="shared" si="61"/>
        <v>842</v>
      </c>
      <c r="D156" s="8">
        <f t="shared" si="52"/>
        <v>1459</v>
      </c>
      <c r="E156" s="4">
        <f t="shared" si="53"/>
        <v>-349</v>
      </c>
      <c r="F156" s="4">
        <f t="shared" si="54"/>
        <v>-421</v>
      </c>
      <c r="G156" s="4">
        <f t="shared" si="55"/>
        <v>-62</v>
      </c>
      <c r="H156" s="5">
        <f t="shared" si="56"/>
        <v>2650</v>
      </c>
      <c r="I156" s="5">
        <f t="shared" si="57"/>
        <v>2722</v>
      </c>
      <c r="J156" s="5">
        <f t="shared" si="58"/>
        <v>2363</v>
      </c>
      <c r="K156" s="5">
        <f t="shared" si="65"/>
        <v>3000</v>
      </c>
      <c r="L156" s="5">
        <f t="shared" si="66"/>
        <v>3000</v>
      </c>
      <c r="M156" s="5">
        <f t="shared" si="67"/>
        <v>3000</v>
      </c>
      <c r="N156" s="5">
        <f t="shared" si="62"/>
        <v>-350</v>
      </c>
      <c r="O156" s="5">
        <f t="shared" si="63"/>
        <v>-278</v>
      </c>
      <c r="P156" s="5">
        <f t="shared" si="64"/>
        <v>-637</v>
      </c>
      <c r="Q156" s="4">
        <v>2</v>
      </c>
      <c r="R156" s="4">
        <v>4</v>
      </c>
      <c r="S156" s="4">
        <v>1</v>
      </c>
      <c r="T156" s="6">
        <f t="shared" si="59"/>
        <v>679</v>
      </c>
      <c r="U156" s="7">
        <f t="shared" si="46"/>
        <v>1730</v>
      </c>
      <c r="V156" s="7">
        <f t="shared" si="47"/>
        <v>1622</v>
      </c>
      <c r="W156" s="7">
        <f t="shared" si="45"/>
        <v>1753</v>
      </c>
      <c r="X156" s="6"/>
      <c r="Y156" s="5"/>
      <c r="Z156" s="5"/>
      <c r="AA156" s="5"/>
      <c r="AB156" s="5"/>
    </row>
    <row r="157" spans="1:28" ht="13.15" customHeight="1">
      <c r="A157" s="12">
        <v>143</v>
      </c>
      <c r="B157" s="11">
        <f t="shared" si="60"/>
        <v>45413</v>
      </c>
      <c r="C157" s="9">
        <f t="shared" si="61"/>
        <v>842</v>
      </c>
      <c r="D157" s="8">
        <f t="shared" si="52"/>
        <v>1461</v>
      </c>
      <c r="E157" s="4">
        <f t="shared" si="53"/>
        <v>-343</v>
      </c>
      <c r="F157" s="4">
        <f t="shared" si="54"/>
        <v>-416</v>
      </c>
      <c r="G157" s="4">
        <f t="shared" si="55"/>
        <v>-58</v>
      </c>
      <c r="H157" s="5">
        <f t="shared" si="56"/>
        <v>2646</v>
      </c>
      <c r="I157" s="5">
        <f t="shared" si="57"/>
        <v>2719</v>
      </c>
      <c r="J157" s="5">
        <f t="shared" si="58"/>
        <v>2361</v>
      </c>
      <c r="K157" s="5">
        <f t="shared" si="65"/>
        <v>3000</v>
      </c>
      <c r="L157" s="5">
        <f t="shared" si="66"/>
        <v>3000</v>
      </c>
      <c r="M157" s="5">
        <f t="shared" si="67"/>
        <v>3000</v>
      </c>
      <c r="N157" s="5">
        <f t="shared" si="62"/>
        <v>-354</v>
      </c>
      <c r="O157" s="5">
        <f t="shared" si="63"/>
        <v>-281</v>
      </c>
      <c r="P157" s="5">
        <f t="shared" si="64"/>
        <v>-639</v>
      </c>
      <c r="Q157" s="4">
        <v>4</v>
      </c>
      <c r="R157" s="4">
        <v>3</v>
      </c>
      <c r="S157" s="4">
        <v>2</v>
      </c>
      <c r="T157" s="6">
        <f t="shared" si="59"/>
        <v>684</v>
      </c>
      <c r="U157" s="7">
        <f t="shared" si="46"/>
        <v>1726</v>
      </c>
      <c r="V157" s="7">
        <f t="shared" si="47"/>
        <v>1619</v>
      </c>
      <c r="W157" s="7">
        <f t="shared" si="45"/>
        <v>1751</v>
      </c>
      <c r="X157" s="6"/>
      <c r="Y157" s="5"/>
      <c r="Z157" s="5"/>
      <c r="AA157" s="5"/>
      <c r="AB157" s="5"/>
    </row>
    <row r="158" spans="1:28" ht="13.15" customHeight="1">
      <c r="A158" s="12">
        <v>144</v>
      </c>
      <c r="B158" s="11">
        <f t="shared" si="60"/>
        <v>45414</v>
      </c>
      <c r="C158" s="9">
        <f t="shared" si="61"/>
        <v>842</v>
      </c>
      <c r="D158" s="8">
        <f t="shared" si="52"/>
        <v>1463</v>
      </c>
      <c r="E158" s="4">
        <f t="shared" si="53"/>
        <v>-340</v>
      </c>
      <c r="F158" s="4">
        <f t="shared" si="54"/>
        <v>-412</v>
      </c>
      <c r="G158" s="4">
        <f t="shared" si="55"/>
        <v>-55</v>
      </c>
      <c r="H158" s="5">
        <f t="shared" si="56"/>
        <v>2645</v>
      </c>
      <c r="I158" s="5">
        <f t="shared" si="57"/>
        <v>2717</v>
      </c>
      <c r="J158" s="5">
        <f t="shared" si="58"/>
        <v>2360</v>
      </c>
      <c r="K158" s="5">
        <f t="shared" si="65"/>
        <v>3000</v>
      </c>
      <c r="L158" s="5">
        <f t="shared" si="66"/>
        <v>3000</v>
      </c>
      <c r="M158" s="5">
        <f t="shared" si="67"/>
        <v>3000</v>
      </c>
      <c r="N158" s="5">
        <f t="shared" si="62"/>
        <v>-355</v>
      </c>
      <c r="O158" s="5">
        <f t="shared" si="63"/>
        <v>-283</v>
      </c>
      <c r="P158" s="5">
        <f t="shared" si="64"/>
        <v>-640</v>
      </c>
      <c r="Q158" s="4">
        <v>1</v>
      </c>
      <c r="R158" s="4">
        <v>2</v>
      </c>
      <c r="S158" s="4">
        <v>1</v>
      </c>
      <c r="T158" s="6">
        <f t="shared" si="59"/>
        <v>688</v>
      </c>
      <c r="U158" s="7">
        <f t="shared" si="46"/>
        <v>1725</v>
      </c>
      <c r="V158" s="7">
        <f t="shared" si="47"/>
        <v>1617</v>
      </c>
      <c r="W158" s="7">
        <f t="shared" si="45"/>
        <v>1750</v>
      </c>
      <c r="X158" s="6"/>
      <c r="Y158" s="5"/>
      <c r="Z158" s="5"/>
      <c r="AA158" s="5"/>
      <c r="AB158" s="5"/>
    </row>
    <row r="159" spans="1:28" ht="13.15" customHeight="1">
      <c r="A159" s="12">
        <v>145</v>
      </c>
      <c r="B159" s="11">
        <f t="shared" si="60"/>
        <v>45415</v>
      </c>
      <c r="C159" s="9">
        <f t="shared" si="61"/>
        <v>842</v>
      </c>
      <c r="D159" s="8">
        <f t="shared" si="52"/>
        <v>1465</v>
      </c>
      <c r="E159" s="4">
        <f t="shared" si="53"/>
        <v>-337</v>
      </c>
      <c r="F159" s="4">
        <f t="shared" si="54"/>
        <v>-403</v>
      </c>
      <c r="G159" s="4">
        <f t="shared" si="55"/>
        <v>-51</v>
      </c>
      <c r="H159" s="5">
        <f t="shared" si="56"/>
        <v>2644</v>
      </c>
      <c r="I159" s="5">
        <f t="shared" si="57"/>
        <v>2710</v>
      </c>
      <c r="J159" s="5">
        <f t="shared" si="58"/>
        <v>2358</v>
      </c>
      <c r="K159" s="5">
        <f t="shared" si="65"/>
        <v>3000</v>
      </c>
      <c r="L159" s="5">
        <f t="shared" si="66"/>
        <v>3000</v>
      </c>
      <c r="M159" s="5">
        <f t="shared" si="67"/>
        <v>3000</v>
      </c>
      <c r="N159" s="5">
        <f t="shared" si="62"/>
        <v>-356</v>
      </c>
      <c r="O159" s="5">
        <f t="shared" si="63"/>
        <v>-290</v>
      </c>
      <c r="P159" s="5">
        <f t="shared" si="64"/>
        <v>-642</v>
      </c>
      <c r="Q159" s="4">
        <v>1</v>
      </c>
      <c r="R159" s="4">
        <v>7</v>
      </c>
      <c r="S159" s="4">
        <v>2</v>
      </c>
      <c r="T159" s="6">
        <f t="shared" si="59"/>
        <v>697</v>
      </c>
      <c r="U159" s="7">
        <f t="shared" si="46"/>
        <v>1724</v>
      </c>
      <c r="V159" s="7">
        <f t="shared" si="47"/>
        <v>1610</v>
      </c>
      <c r="W159" s="7">
        <f t="shared" si="45"/>
        <v>1748</v>
      </c>
      <c r="X159" s="6"/>
      <c r="Y159" s="5"/>
      <c r="Z159" s="5"/>
      <c r="AA159" s="5"/>
      <c r="AB159" s="5"/>
    </row>
    <row r="160" spans="1:28" ht="13.15" customHeight="1">
      <c r="A160" s="12">
        <v>146</v>
      </c>
      <c r="B160" s="11">
        <f t="shared" si="60"/>
        <v>45416</v>
      </c>
      <c r="C160" s="9">
        <f t="shared" si="61"/>
        <v>842</v>
      </c>
      <c r="D160" s="8">
        <f t="shared" si="52"/>
        <v>1467</v>
      </c>
      <c r="E160" s="4">
        <f t="shared" si="53"/>
        <v>-334</v>
      </c>
      <c r="F160" s="4">
        <f t="shared" si="54"/>
        <v>-396</v>
      </c>
      <c r="G160" s="4">
        <f t="shared" si="55"/>
        <v>-47</v>
      </c>
      <c r="H160" s="5">
        <f t="shared" si="56"/>
        <v>2643</v>
      </c>
      <c r="I160" s="5">
        <f t="shared" si="57"/>
        <v>2705</v>
      </c>
      <c r="J160" s="5">
        <f t="shared" si="58"/>
        <v>2356</v>
      </c>
      <c r="K160" s="5">
        <f t="shared" si="65"/>
        <v>3000</v>
      </c>
      <c r="L160" s="5">
        <f t="shared" si="66"/>
        <v>3000</v>
      </c>
      <c r="M160" s="5">
        <f t="shared" si="67"/>
        <v>3000</v>
      </c>
      <c r="N160" s="5">
        <f t="shared" si="62"/>
        <v>-357</v>
      </c>
      <c r="O160" s="5">
        <f t="shared" si="63"/>
        <v>-295</v>
      </c>
      <c r="P160" s="5">
        <f t="shared" si="64"/>
        <v>-644</v>
      </c>
      <c r="Q160" s="4">
        <v>1</v>
      </c>
      <c r="R160" s="4">
        <v>5</v>
      </c>
      <c r="S160" s="4">
        <v>2</v>
      </c>
      <c r="T160" s="6">
        <f t="shared" si="59"/>
        <v>704</v>
      </c>
      <c r="U160" s="7">
        <f t="shared" si="46"/>
        <v>1723</v>
      </c>
      <c r="V160" s="7">
        <f t="shared" si="47"/>
        <v>1605</v>
      </c>
      <c r="W160" s="7">
        <f t="shared" ref="W160:W223" si="68">W159+$X160*1000-S160</f>
        <v>1746</v>
      </c>
      <c r="X160" s="6"/>
      <c r="Y160" s="5"/>
      <c r="Z160" s="5"/>
      <c r="AA160" s="5"/>
      <c r="AB160" s="5"/>
    </row>
    <row r="161" spans="1:28" ht="13.15" customHeight="1">
      <c r="A161" s="12">
        <v>147</v>
      </c>
      <c r="B161" s="11">
        <f t="shared" si="60"/>
        <v>45417</v>
      </c>
      <c r="C161" s="9">
        <f t="shared" si="61"/>
        <v>842</v>
      </c>
      <c r="D161" s="8">
        <f t="shared" si="52"/>
        <v>1469</v>
      </c>
      <c r="E161" s="4">
        <f t="shared" si="53"/>
        <v>-332</v>
      </c>
      <c r="F161" s="4">
        <f t="shared" si="54"/>
        <v>-389</v>
      </c>
      <c r="G161" s="4">
        <f t="shared" si="55"/>
        <v>-45</v>
      </c>
      <c r="H161" s="5">
        <f t="shared" si="56"/>
        <v>2643</v>
      </c>
      <c r="I161" s="5">
        <f t="shared" si="57"/>
        <v>2700</v>
      </c>
      <c r="J161" s="5">
        <f t="shared" si="58"/>
        <v>2356</v>
      </c>
      <c r="K161" s="5">
        <f t="shared" si="65"/>
        <v>3000</v>
      </c>
      <c r="L161" s="5">
        <f t="shared" si="66"/>
        <v>3000</v>
      </c>
      <c r="M161" s="5">
        <f t="shared" si="67"/>
        <v>3000</v>
      </c>
      <c r="N161" s="5">
        <f t="shared" si="62"/>
        <v>-357</v>
      </c>
      <c r="O161" s="5">
        <f t="shared" si="63"/>
        <v>-300</v>
      </c>
      <c r="P161" s="5">
        <f t="shared" si="64"/>
        <v>-644</v>
      </c>
      <c r="Q161" s="4">
        <v>0</v>
      </c>
      <c r="R161" s="4">
        <v>5</v>
      </c>
      <c r="S161" s="4">
        <v>0</v>
      </c>
      <c r="T161" s="6">
        <f t="shared" si="59"/>
        <v>711</v>
      </c>
      <c r="U161" s="7">
        <f t="shared" si="46"/>
        <v>1723</v>
      </c>
      <c r="V161" s="7">
        <f t="shared" si="47"/>
        <v>1600</v>
      </c>
      <c r="W161" s="7">
        <f t="shared" si="68"/>
        <v>1746</v>
      </c>
      <c r="X161" s="6"/>
      <c r="Y161" s="5"/>
      <c r="Z161" s="5"/>
      <c r="AA161" s="5"/>
      <c r="AB161" s="5"/>
    </row>
    <row r="162" spans="1:28" ht="13.15" customHeight="1">
      <c r="A162" s="12">
        <v>148</v>
      </c>
      <c r="B162" s="11">
        <f t="shared" si="60"/>
        <v>45418</v>
      </c>
      <c r="C162" s="9">
        <f t="shared" si="61"/>
        <v>842</v>
      </c>
      <c r="D162" s="8">
        <f t="shared" si="52"/>
        <v>1471</v>
      </c>
      <c r="E162" s="4">
        <f t="shared" si="53"/>
        <v>-329</v>
      </c>
      <c r="F162" s="4">
        <f t="shared" si="54"/>
        <v>-380</v>
      </c>
      <c r="G162" s="4">
        <f t="shared" si="55"/>
        <v>-42</v>
      </c>
      <c r="H162" s="5">
        <f t="shared" si="56"/>
        <v>2642</v>
      </c>
      <c r="I162" s="5">
        <f t="shared" si="57"/>
        <v>2693</v>
      </c>
      <c r="J162" s="5">
        <f t="shared" si="58"/>
        <v>2355</v>
      </c>
      <c r="K162" s="5">
        <f t="shared" si="65"/>
        <v>3000</v>
      </c>
      <c r="L162" s="5">
        <f t="shared" si="66"/>
        <v>3000</v>
      </c>
      <c r="M162" s="5">
        <f t="shared" si="67"/>
        <v>3000</v>
      </c>
      <c r="N162" s="5">
        <f t="shared" si="62"/>
        <v>-358</v>
      </c>
      <c r="O162" s="5">
        <f t="shared" si="63"/>
        <v>-307</v>
      </c>
      <c r="P162" s="5">
        <f t="shared" si="64"/>
        <v>-645</v>
      </c>
      <c r="Q162" s="4">
        <v>1</v>
      </c>
      <c r="R162" s="4">
        <v>7</v>
      </c>
      <c r="S162" s="4">
        <v>1</v>
      </c>
      <c r="T162" s="6">
        <f t="shared" si="59"/>
        <v>720</v>
      </c>
      <c r="U162" s="7">
        <f t="shared" si="46"/>
        <v>1722</v>
      </c>
      <c r="V162" s="7">
        <f t="shared" si="47"/>
        <v>1593</v>
      </c>
      <c r="W162" s="7">
        <f t="shared" si="68"/>
        <v>1745</v>
      </c>
      <c r="X162" s="6"/>
      <c r="Y162" s="5"/>
      <c r="Z162" s="5"/>
      <c r="AA162" s="5"/>
      <c r="AB162" s="5"/>
    </row>
    <row r="163" spans="1:28" ht="13.15" customHeight="1">
      <c r="A163" s="12">
        <v>149</v>
      </c>
      <c r="B163" s="11">
        <f t="shared" si="60"/>
        <v>45419</v>
      </c>
      <c r="C163" s="9">
        <f t="shared" si="61"/>
        <v>842</v>
      </c>
      <c r="D163" s="8">
        <f t="shared" si="52"/>
        <v>1473</v>
      </c>
      <c r="E163" s="4">
        <f t="shared" si="53"/>
        <v>-327</v>
      </c>
      <c r="F163" s="4">
        <f t="shared" si="54"/>
        <v>-373</v>
      </c>
      <c r="G163" s="4">
        <f t="shared" si="55"/>
        <v>-40</v>
      </c>
      <c r="H163" s="5">
        <f t="shared" si="56"/>
        <v>2642</v>
      </c>
      <c r="I163" s="5">
        <f t="shared" si="57"/>
        <v>2688</v>
      </c>
      <c r="J163" s="5">
        <f t="shared" si="58"/>
        <v>2355</v>
      </c>
      <c r="K163" s="5">
        <f t="shared" si="65"/>
        <v>3000</v>
      </c>
      <c r="L163" s="5">
        <f t="shared" si="66"/>
        <v>3000</v>
      </c>
      <c r="M163" s="5">
        <f t="shared" si="67"/>
        <v>3000</v>
      </c>
      <c r="N163" s="5">
        <f t="shared" si="62"/>
        <v>-358</v>
      </c>
      <c r="O163" s="5">
        <f t="shared" si="63"/>
        <v>-312</v>
      </c>
      <c r="P163" s="5">
        <f t="shared" si="64"/>
        <v>-645</v>
      </c>
      <c r="Q163" s="4">
        <v>0</v>
      </c>
      <c r="R163" s="4">
        <v>5</v>
      </c>
      <c r="S163" s="4">
        <v>0</v>
      </c>
      <c r="T163" s="6">
        <f t="shared" si="59"/>
        <v>727</v>
      </c>
      <c r="U163" s="7">
        <f t="shared" si="46"/>
        <v>1722</v>
      </c>
      <c r="V163" s="7">
        <f t="shared" si="47"/>
        <v>1588</v>
      </c>
      <c r="W163" s="7">
        <f t="shared" si="68"/>
        <v>1745</v>
      </c>
      <c r="X163" s="6"/>
      <c r="Y163" s="5"/>
      <c r="Z163" s="5"/>
      <c r="AA163" s="5"/>
      <c r="AB163" s="5"/>
    </row>
    <row r="164" spans="1:28" ht="13.15" customHeight="1">
      <c r="A164" s="12">
        <v>150</v>
      </c>
      <c r="B164" s="11">
        <f t="shared" si="60"/>
        <v>45420</v>
      </c>
      <c r="C164" s="9">
        <f t="shared" si="61"/>
        <v>842</v>
      </c>
      <c r="D164" s="8">
        <f t="shared" si="52"/>
        <v>1475</v>
      </c>
      <c r="E164" s="4">
        <f t="shared" si="53"/>
        <v>-324</v>
      </c>
      <c r="F164" s="4">
        <f t="shared" si="54"/>
        <v>-366</v>
      </c>
      <c r="G164" s="4">
        <f t="shared" si="55"/>
        <v>-38</v>
      </c>
      <c r="H164" s="5">
        <f t="shared" si="56"/>
        <v>2641</v>
      </c>
      <c r="I164" s="5">
        <f t="shared" si="57"/>
        <v>2683</v>
      </c>
      <c r="J164" s="5">
        <f t="shared" si="58"/>
        <v>2355</v>
      </c>
      <c r="K164" s="5">
        <f t="shared" si="65"/>
        <v>3000</v>
      </c>
      <c r="L164" s="5">
        <f t="shared" si="66"/>
        <v>3000</v>
      </c>
      <c r="M164" s="5">
        <f t="shared" si="67"/>
        <v>3000</v>
      </c>
      <c r="N164" s="5">
        <f t="shared" si="62"/>
        <v>-359</v>
      </c>
      <c r="O164" s="5">
        <f t="shared" si="63"/>
        <v>-317</v>
      </c>
      <c r="P164" s="5">
        <f t="shared" si="64"/>
        <v>-645</v>
      </c>
      <c r="Q164" s="4">
        <v>1</v>
      </c>
      <c r="R164" s="4">
        <v>5</v>
      </c>
      <c r="S164" s="4">
        <v>0</v>
      </c>
      <c r="T164" s="6">
        <f t="shared" si="59"/>
        <v>734</v>
      </c>
      <c r="U164" s="7">
        <f t="shared" si="46"/>
        <v>1721</v>
      </c>
      <c r="V164" s="7">
        <f t="shared" si="47"/>
        <v>1583</v>
      </c>
      <c r="W164" s="7">
        <f t="shared" si="68"/>
        <v>1745</v>
      </c>
      <c r="X164" s="6"/>
      <c r="Y164" s="5"/>
      <c r="Z164" s="5"/>
      <c r="AA164" s="5"/>
      <c r="AB164" s="5"/>
    </row>
    <row r="165" spans="1:28" ht="13.15" customHeight="1">
      <c r="A165" s="12">
        <v>151</v>
      </c>
      <c r="B165" s="11">
        <f t="shared" si="60"/>
        <v>45421</v>
      </c>
      <c r="C165" s="9">
        <f t="shared" si="61"/>
        <v>842</v>
      </c>
      <c r="D165" s="8">
        <f t="shared" si="52"/>
        <v>1477</v>
      </c>
      <c r="E165" s="4">
        <f t="shared" si="53"/>
        <v>-322</v>
      </c>
      <c r="F165" s="4">
        <f t="shared" si="54"/>
        <v>-360</v>
      </c>
      <c r="G165" s="4">
        <f t="shared" si="55"/>
        <v>-35</v>
      </c>
      <c r="H165" s="5">
        <f t="shared" si="56"/>
        <v>2641</v>
      </c>
      <c r="I165" s="5">
        <f t="shared" si="57"/>
        <v>2679</v>
      </c>
      <c r="J165" s="5">
        <f t="shared" si="58"/>
        <v>2354</v>
      </c>
      <c r="K165" s="5">
        <f t="shared" si="65"/>
        <v>3000</v>
      </c>
      <c r="L165" s="5">
        <f t="shared" si="66"/>
        <v>3000</v>
      </c>
      <c r="M165" s="5">
        <f t="shared" si="67"/>
        <v>3000</v>
      </c>
      <c r="N165" s="5">
        <f t="shared" si="62"/>
        <v>-359</v>
      </c>
      <c r="O165" s="5">
        <f t="shared" si="63"/>
        <v>-321</v>
      </c>
      <c r="P165" s="5">
        <f t="shared" si="64"/>
        <v>-646</v>
      </c>
      <c r="Q165" s="4">
        <v>0</v>
      </c>
      <c r="R165" s="4">
        <v>4</v>
      </c>
      <c r="S165" s="4">
        <v>1</v>
      </c>
      <c r="T165" s="6">
        <f t="shared" si="59"/>
        <v>740</v>
      </c>
      <c r="U165" s="7">
        <f t="shared" si="46"/>
        <v>1721</v>
      </c>
      <c r="V165" s="7">
        <f t="shared" si="47"/>
        <v>1579</v>
      </c>
      <c r="W165" s="7">
        <f t="shared" si="68"/>
        <v>1744</v>
      </c>
      <c r="X165" s="6"/>
      <c r="Y165" s="5"/>
      <c r="Z165" s="5"/>
      <c r="AA165" s="5"/>
      <c r="AB165" s="5"/>
    </row>
    <row r="166" spans="1:28" ht="13.15" customHeight="1">
      <c r="A166" s="12">
        <v>152</v>
      </c>
      <c r="B166" s="11">
        <f t="shared" si="60"/>
        <v>45422</v>
      </c>
      <c r="C166" s="9">
        <f t="shared" si="61"/>
        <v>842</v>
      </c>
      <c r="D166" s="8">
        <f t="shared" si="52"/>
        <v>1479</v>
      </c>
      <c r="E166" s="4">
        <f t="shared" si="53"/>
        <v>-319</v>
      </c>
      <c r="F166" s="4">
        <f t="shared" si="54"/>
        <v>-355</v>
      </c>
      <c r="G166" s="4">
        <f t="shared" si="55"/>
        <v>-33</v>
      </c>
      <c r="H166" s="5">
        <f t="shared" si="56"/>
        <v>2640</v>
      </c>
      <c r="I166" s="5">
        <f t="shared" si="57"/>
        <v>2676</v>
      </c>
      <c r="J166" s="5">
        <f t="shared" si="58"/>
        <v>2354</v>
      </c>
      <c r="K166" s="5">
        <f t="shared" si="65"/>
        <v>3000</v>
      </c>
      <c r="L166" s="5">
        <f t="shared" si="66"/>
        <v>3000</v>
      </c>
      <c r="M166" s="5">
        <f t="shared" si="67"/>
        <v>3000</v>
      </c>
      <c r="N166" s="5">
        <f t="shared" si="62"/>
        <v>-360</v>
      </c>
      <c r="O166" s="5">
        <f t="shared" si="63"/>
        <v>-324</v>
      </c>
      <c r="P166" s="5">
        <f t="shared" si="64"/>
        <v>-646</v>
      </c>
      <c r="Q166" s="4">
        <v>1</v>
      </c>
      <c r="R166" s="4">
        <v>3</v>
      </c>
      <c r="S166" s="4">
        <v>0</v>
      </c>
      <c r="T166" s="6">
        <f t="shared" si="59"/>
        <v>745</v>
      </c>
      <c r="U166" s="7">
        <f t="shared" ref="U166:U229" si="69">U165+$X166*1000-Q166</f>
        <v>1720</v>
      </c>
      <c r="V166" s="7">
        <f t="shared" ref="V166:V229" si="70">V165+$X166*1000-R166</f>
        <v>1576</v>
      </c>
      <c r="W166" s="7">
        <f t="shared" si="68"/>
        <v>1744</v>
      </c>
      <c r="X166" s="6"/>
      <c r="Y166" s="5"/>
      <c r="Z166" s="5"/>
      <c r="AA166" s="5"/>
      <c r="AB166" s="5"/>
    </row>
    <row r="167" spans="1:28" ht="13.15" customHeight="1">
      <c r="A167" s="12">
        <v>153</v>
      </c>
      <c r="B167" s="11">
        <f t="shared" si="60"/>
        <v>45423</v>
      </c>
      <c r="C167" s="9">
        <f t="shared" si="61"/>
        <v>842</v>
      </c>
      <c r="D167" s="8">
        <f t="shared" si="52"/>
        <v>1481</v>
      </c>
      <c r="E167" s="4">
        <f t="shared" si="53"/>
        <v>-317</v>
      </c>
      <c r="F167" s="4">
        <f t="shared" si="54"/>
        <v>-351</v>
      </c>
      <c r="G167" s="4">
        <f t="shared" si="55"/>
        <v>-31</v>
      </c>
      <c r="H167" s="5">
        <f t="shared" si="56"/>
        <v>2640</v>
      </c>
      <c r="I167" s="5">
        <f t="shared" si="57"/>
        <v>2674</v>
      </c>
      <c r="J167" s="5">
        <f t="shared" si="58"/>
        <v>2354</v>
      </c>
      <c r="K167" s="5">
        <f t="shared" si="65"/>
        <v>3000</v>
      </c>
      <c r="L167" s="5">
        <f t="shared" si="66"/>
        <v>3000</v>
      </c>
      <c r="M167" s="5">
        <f t="shared" si="67"/>
        <v>3000</v>
      </c>
      <c r="N167" s="5">
        <f t="shared" si="62"/>
        <v>-360</v>
      </c>
      <c r="O167" s="5">
        <f t="shared" si="63"/>
        <v>-326</v>
      </c>
      <c r="P167" s="5">
        <f t="shared" si="64"/>
        <v>-646</v>
      </c>
      <c r="Q167" s="4">
        <v>0</v>
      </c>
      <c r="R167" s="4">
        <v>2</v>
      </c>
      <c r="S167" s="4">
        <v>0</v>
      </c>
      <c r="T167" s="6">
        <f t="shared" si="59"/>
        <v>749</v>
      </c>
      <c r="U167" s="7">
        <f t="shared" si="69"/>
        <v>1720</v>
      </c>
      <c r="V167" s="7">
        <f t="shared" si="70"/>
        <v>1574</v>
      </c>
      <c r="W167" s="7">
        <f t="shared" si="68"/>
        <v>1744</v>
      </c>
      <c r="X167" s="6"/>
      <c r="Y167" s="5"/>
      <c r="Z167" s="5"/>
      <c r="AA167" s="5"/>
      <c r="AB167" s="5"/>
    </row>
    <row r="168" spans="1:28" ht="13.15" customHeight="1">
      <c r="A168" s="12">
        <v>154</v>
      </c>
      <c r="B168" s="11">
        <f t="shared" si="60"/>
        <v>45424</v>
      </c>
      <c r="C168" s="9">
        <f t="shared" si="61"/>
        <v>842</v>
      </c>
      <c r="D168" s="8">
        <f t="shared" si="52"/>
        <v>1483</v>
      </c>
      <c r="E168" s="4">
        <f t="shared" si="53"/>
        <v>-314</v>
      </c>
      <c r="F168" s="4">
        <f t="shared" si="54"/>
        <v>-342</v>
      </c>
      <c r="G168" s="4">
        <f t="shared" si="55"/>
        <v>-28</v>
      </c>
      <c r="H168" s="5">
        <f t="shared" si="56"/>
        <v>2639</v>
      </c>
      <c r="I168" s="5">
        <f t="shared" si="57"/>
        <v>2667</v>
      </c>
      <c r="J168" s="5">
        <f t="shared" si="58"/>
        <v>2353</v>
      </c>
      <c r="K168" s="5">
        <f t="shared" si="65"/>
        <v>3000</v>
      </c>
      <c r="L168" s="5">
        <f t="shared" si="66"/>
        <v>3000</v>
      </c>
      <c r="M168" s="5">
        <f t="shared" si="67"/>
        <v>3000</v>
      </c>
      <c r="N168" s="5">
        <f t="shared" si="62"/>
        <v>-361</v>
      </c>
      <c r="O168" s="5">
        <f t="shared" si="63"/>
        <v>-333</v>
      </c>
      <c r="P168" s="5">
        <f t="shared" si="64"/>
        <v>-647</v>
      </c>
      <c r="Q168" s="4">
        <v>1</v>
      </c>
      <c r="R168" s="4">
        <v>7</v>
      </c>
      <c r="S168" s="4">
        <v>1</v>
      </c>
      <c r="T168" s="6">
        <f t="shared" si="59"/>
        <v>758</v>
      </c>
      <c r="U168" s="7">
        <f t="shared" si="69"/>
        <v>1719</v>
      </c>
      <c r="V168" s="7">
        <f t="shared" si="70"/>
        <v>1567</v>
      </c>
      <c r="W168" s="7">
        <f t="shared" si="68"/>
        <v>1743</v>
      </c>
      <c r="X168" s="6"/>
      <c r="Y168" s="5"/>
      <c r="Z168" s="5"/>
      <c r="AA168" s="5"/>
      <c r="AB168" s="5"/>
    </row>
    <row r="169" spans="1:28" ht="13.15" customHeight="1">
      <c r="A169" s="12">
        <v>155</v>
      </c>
      <c r="B169" s="11">
        <f t="shared" si="60"/>
        <v>45425</v>
      </c>
      <c r="C169" s="9">
        <f t="shared" si="61"/>
        <v>842</v>
      </c>
      <c r="D169" s="8">
        <f t="shared" si="52"/>
        <v>1485</v>
      </c>
      <c r="E169" s="4">
        <f t="shared" si="53"/>
        <v>-312</v>
      </c>
      <c r="F169" s="4">
        <f t="shared" si="54"/>
        <v>-335</v>
      </c>
      <c r="G169" s="4">
        <f t="shared" si="55"/>
        <v>-26</v>
      </c>
      <c r="H169" s="5">
        <f t="shared" si="56"/>
        <v>2639</v>
      </c>
      <c r="I169" s="5">
        <f t="shared" si="57"/>
        <v>2662</v>
      </c>
      <c r="J169" s="5">
        <f t="shared" si="58"/>
        <v>2353</v>
      </c>
      <c r="K169" s="5">
        <f t="shared" si="65"/>
        <v>3000</v>
      </c>
      <c r="L169" s="5">
        <f t="shared" si="66"/>
        <v>3000</v>
      </c>
      <c r="M169" s="5">
        <f t="shared" si="67"/>
        <v>3000</v>
      </c>
      <c r="N169" s="5">
        <f t="shared" si="62"/>
        <v>-361</v>
      </c>
      <c r="O169" s="5">
        <f t="shared" si="63"/>
        <v>-338</v>
      </c>
      <c r="P169" s="5">
        <f t="shared" si="64"/>
        <v>-647</v>
      </c>
      <c r="Q169" s="4">
        <v>0</v>
      </c>
      <c r="R169" s="4">
        <v>5</v>
      </c>
      <c r="S169" s="4">
        <v>0</v>
      </c>
      <c r="T169" s="6">
        <f t="shared" si="59"/>
        <v>765</v>
      </c>
      <c r="U169" s="7">
        <f t="shared" si="69"/>
        <v>1719</v>
      </c>
      <c r="V169" s="7">
        <f t="shared" si="70"/>
        <v>1562</v>
      </c>
      <c r="W169" s="7">
        <f t="shared" si="68"/>
        <v>1743</v>
      </c>
      <c r="X169" s="6"/>
      <c r="Y169" s="5"/>
      <c r="Z169" s="5"/>
      <c r="AA169" s="5"/>
      <c r="AB169" s="5"/>
    </row>
    <row r="170" spans="1:28" ht="13.15" customHeight="1">
      <c r="A170" s="12">
        <v>156</v>
      </c>
      <c r="B170" s="11">
        <f t="shared" si="60"/>
        <v>45426</v>
      </c>
      <c r="C170" s="9">
        <f t="shared" si="61"/>
        <v>842</v>
      </c>
      <c r="D170" s="8">
        <f t="shared" si="52"/>
        <v>1487</v>
      </c>
      <c r="E170" s="4">
        <f t="shared" si="53"/>
        <v>-310</v>
      </c>
      <c r="F170" s="4">
        <f t="shared" si="54"/>
        <v>-328</v>
      </c>
      <c r="G170" s="4">
        <f t="shared" si="55"/>
        <v>-24</v>
      </c>
      <c r="H170" s="5">
        <f t="shared" si="56"/>
        <v>2639</v>
      </c>
      <c r="I170" s="5">
        <f t="shared" si="57"/>
        <v>2657</v>
      </c>
      <c r="J170" s="5">
        <f t="shared" si="58"/>
        <v>2353</v>
      </c>
      <c r="K170" s="5">
        <f t="shared" si="65"/>
        <v>3000</v>
      </c>
      <c r="L170" s="5">
        <f t="shared" si="66"/>
        <v>3000</v>
      </c>
      <c r="M170" s="5">
        <f t="shared" si="67"/>
        <v>3000</v>
      </c>
      <c r="N170" s="5">
        <f t="shared" si="62"/>
        <v>-361</v>
      </c>
      <c r="O170" s="5">
        <f t="shared" si="63"/>
        <v>-343</v>
      </c>
      <c r="P170" s="5">
        <f t="shared" si="64"/>
        <v>-647</v>
      </c>
      <c r="Q170" s="4">
        <v>0</v>
      </c>
      <c r="R170" s="4">
        <v>5</v>
      </c>
      <c r="S170" s="4">
        <v>0</v>
      </c>
      <c r="T170" s="6">
        <f t="shared" si="59"/>
        <v>772</v>
      </c>
      <c r="U170" s="7">
        <f t="shared" si="69"/>
        <v>1719</v>
      </c>
      <c r="V170" s="7">
        <f t="shared" si="70"/>
        <v>1557</v>
      </c>
      <c r="W170" s="7">
        <f t="shared" si="68"/>
        <v>1743</v>
      </c>
      <c r="X170" s="6"/>
      <c r="Y170" s="5"/>
      <c r="Z170" s="5"/>
      <c r="AA170" s="5"/>
      <c r="AB170" s="5"/>
    </row>
    <row r="171" spans="1:28" ht="13.15" customHeight="1">
      <c r="A171" s="12">
        <v>157</v>
      </c>
      <c r="B171" s="11">
        <f t="shared" si="60"/>
        <v>45427</v>
      </c>
      <c r="C171" s="9">
        <f t="shared" si="61"/>
        <v>842</v>
      </c>
      <c r="D171" s="8">
        <f t="shared" si="52"/>
        <v>1489</v>
      </c>
      <c r="E171" s="4">
        <f t="shared" si="53"/>
        <v>-308</v>
      </c>
      <c r="F171" s="4">
        <f t="shared" si="54"/>
        <v>-321</v>
      </c>
      <c r="G171" s="4">
        <f t="shared" si="55"/>
        <v>-21</v>
      </c>
      <c r="H171" s="5">
        <f t="shared" si="56"/>
        <v>2639</v>
      </c>
      <c r="I171" s="5">
        <f t="shared" si="57"/>
        <v>2652</v>
      </c>
      <c r="J171" s="5">
        <f t="shared" si="58"/>
        <v>2352</v>
      </c>
      <c r="K171" s="5">
        <f t="shared" si="65"/>
        <v>3000</v>
      </c>
      <c r="L171" s="5">
        <f t="shared" si="66"/>
        <v>3000</v>
      </c>
      <c r="M171" s="5">
        <f t="shared" si="67"/>
        <v>3000</v>
      </c>
      <c r="N171" s="5">
        <f t="shared" si="62"/>
        <v>-361</v>
      </c>
      <c r="O171" s="5">
        <f t="shared" si="63"/>
        <v>-348</v>
      </c>
      <c r="P171" s="5">
        <f t="shared" si="64"/>
        <v>-648</v>
      </c>
      <c r="Q171" s="4">
        <v>0</v>
      </c>
      <c r="R171" s="4">
        <v>5</v>
      </c>
      <c r="S171" s="4">
        <v>1</v>
      </c>
      <c r="T171" s="6">
        <f t="shared" si="59"/>
        <v>779</v>
      </c>
      <c r="U171" s="7">
        <f t="shared" si="69"/>
        <v>1719</v>
      </c>
      <c r="V171" s="7">
        <f t="shared" si="70"/>
        <v>1552</v>
      </c>
      <c r="W171" s="7">
        <f t="shared" si="68"/>
        <v>1742</v>
      </c>
      <c r="X171" s="6"/>
      <c r="Y171" s="5"/>
      <c r="Z171" s="5"/>
      <c r="AA171" s="5"/>
      <c r="AB171" s="5"/>
    </row>
    <row r="172" spans="1:28" ht="13.15" customHeight="1">
      <c r="A172" s="12">
        <v>158</v>
      </c>
      <c r="B172" s="11">
        <f t="shared" si="60"/>
        <v>45428</v>
      </c>
      <c r="C172" s="9">
        <f t="shared" si="61"/>
        <v>842</v>
      </c>
      <c r="D172" s="8">
        <f t="shared" si="52"/>
        <v>1491</v>
      </c>
      <c r="E172" s="4">
        <f t="shared" si="53"/>
        <v>-306</v>
      </c>
      <c r="F172" s="4">
        <f t="shared" si="54"/>
        <v>-314</v>
      </c>
      <c r="G172" s="4">
        <f t="shared" si="55"/>
        <v>-19</v>
      </c>
      <c r="H172" s="5">
        <f t="shared" si="56"/>
        <v>2639</v>
      </c>
      <c r="I172" s="5">
        <f t="shared" si="57"/>
        <v>2647</v>
      </c>
      <c r="J172" s="5">
        <f t="shared" si="58"/>
        <v>2352</v>
      </c>
      <c r="K172" s="5">
        <f t="shared" si="65"/>
        <v>3000</v>
      </c>
      <c r="L172" s="5">
        <f t="shared" si="66"/>
        <v>3000</v>
      </c>
      <c r="M172" s="5">
        <f t="shared" si="67"/>
        <v>3000</v>
      </c>
      <c r="N172" s="5">
        <f t="shared" si="62"/>
        <v>-361</v>
      </c>
      <c r="O172" s="5">
        <f t="shared" si="63"/>
        <v>-353</v>
      </c>
      <c r="P172" s="5">
        <f t="shared" si="64"/>
        <v>-648</v>
      </c>
      <c r="Q172" s="4">
        <v>0</v>
      </c>
      <c r="R172" s="4">
        <v>5</v>
      </c>
      <c r="S172" s="4">
        <v>0</v>
      </c>
      <c r="T172" s="6">
        <f t="shared" si="59"/>
        <v>786</v>
      </c>
      <c r="U172" s="7">
        <f t="shared" si="69"/>
        <v>1719</v>
      </c>
      <c r="V172" s="7">
        <f t="shared" si="70"/>
        <v>1547</v>
      </c>
      <c r="W172" s="7">
        <f t="shared" si="68"/>
        <v>1742</v>
      </c>
      <c r="X172" s="6"/>
      <c r="Y172" s="5"/>
      <c r="Z172" s="5"/>
      <c r="AA172" s="5"/>
      <c r="AB172" s="5"/>
    </row>
    <row r="173" spans="1:28" ht="13.15" customHeight="1">
      <c r="A173" s="12">
        <v>159</v>
      </c>
      <c r="B173" s="11">
        <f t="shared" si="60"/>
        <v>45429</v>
      </c>
      <c r="C173" s="9">
        <f t="shared" si="61"/>
        <v>842</v>
      </c>
      <c r="D173" s="8">
        <f t="shared" si="52"/>
        <v>1493</v>
      </c>
      <c r="E173" s="4">
        <f t="shared" si="53"/>
        <v>-304</v>
      </c>
      <c r="F173" s="4">
        <f t="shared" si="54"/>
        <v>-308</v>
      </c>
      <c r="G173" s="4">
        <f t="shared" si="55"/>
        <v>-17</v>
      </c>
      <c r="H173" s="5">
        <f t="shared" si="56"/>
        <v>2639</v>
      </c>
      <c r="I173" s="5">
        <f t="shared" si="57"/>
        <v>2643</v>
      </c>
      <c r="J173" s="5">
        <f t="shared" si="58"/>
        <v>2352</v>
      </c>
      <c r="K173" s="5">
        <f t="shared" si="65"/>
        <v>3000</v>
      </c>
      <c r="L173" s="5">
        <f t="shared" si="66"/>
        <v>3000</v>
      </c>
      <c r="M173" s="5">
        <f t="shared" si="67"/>
        <v>3000</v>
      </c>
      <c r="N173" s="5">
        <f t="shared" si="62"/>
        <v>-361</v>
      </c>
      <c r="O173" s="5">
        <f t="shared" si="63"/>
        <v>-357</v>
      </c>
      <c r="P173" s="5">
        <f t="shared" si="64"/>
        <v>-648</v>
      </c>
      <c r="Q173" s="4">
        <v>0</v>
      </c>
      <c r="R173" s="4">
        <v>4</v>
      </c>
      <c r="S173" s="4">
        <v>0</v>
      </c>
      <c r="T173" s="6">
        <f t="shared" si="59"/>
        <v>792</v>
      </c>
      <c r="U173" s="7">
        <f t="shared" si="69"/>
        <v>1719</v>
      </c>
      <c r="V173" s="7">
        <f t="shared" si="70"/>
        <v>1543</v>
      </c>
      <c r="W173" s="7">
        <f t="shared" si="68"/>
        <v>1742</v>
      </c>
      <c r="X173" s="6"/>
      <c r="Y173" s="5"/>
      <c r="Z173" s="5"/>
      <c r="AA173" s="5"/>
      <c r="AB173" s="5"/>
    </row>
    <row r="174" spans="1:28" ht="13.15" customHeight="1">
      <c r="A174" s="12">
        <v>160</v>
      </c>
      <c r="B174" s="11">
        <f t="shared" si="60"/>
        <v>45430</v>
      </c>
      <c r="C174" s="9">
        <f t="shared" si="61"/>
        <v>842</v>
      </c>
      <c r="D174" s="8">
        <f t="shared" si="52"/>
        <v>1495</v>
      </c>
      <c r="E174" s="4">
        <f t="shared" si="53"/>
        <v>-302</v>
      </c>
      <c r="F174" s="4">
        <f t="shared" si="54"/>
        <v>-303</v>
      </c>
      <c r="G174" s="4">
        <f t="shared" si="55"/>
        <v>-15</v>
      </c>
      <c r="H174" s="5">
        <f t="shared" si="56"/>
        <v>2639</v>
      </c>
      <c r="I174" s="5">
        <f t="shared" si="57"/>
        <v>2640</v>
      </c>
      <c r="J174" s="5">
        <f t="shared" si="58"/>
        <v>2352</v>
      </c>
      <c r="K174" s="5">
        <f t="shared" si="65"/>
        <v>3000</v>
      </c>
      <c r="L174" s="5">
        <f t="shared" si="66"/>
        <v>3000</v>
      </c>
      <c r="M174" s="5">
        <f t="shared" si="67"/>
        <v>3000</v>
      </c>
      <c r="N174" s="5">
        <f t="shared" si="62"/>
        <v>-361</v>
      </c>
      <c r="O174" s="5">
        <f t="shared" si="63"/>
        <v>-360</v>
      </c>
      <c r="P174" s="5">
        <f t="shared" si="64"/>
        <v>-648</v>
      </c>
      <c r="Q174" s="4">
        <v>0</v>
      </c>
      <c r="R174" s="4">
        <v>3</v>
      </c>
      <c r="S174" s="4">
        <v>0</v>
      </c>
      <c r="T174" s="6">
        <f t="shared" si="59"/>
        <v>797</v>
      </c>
      <c r="U174" s="7">
        <f t="shared" si="69"/>
        <v>1719</v>
      </c>
      <c r="V174" s="7">
        <f t="shared" si="70"/>
        <v>1540</v>
      </c>
      <c r="W174" s="7">
        <f t="shared" si="68"/>
        <v>1742</v>
      </c>
      <c r="X174" s="6"/>
      <c r="Y174" s="5"/>
      <c r="Z174" s="5"/>
      <c r="AA174" s="5"/>
      <c r="AB174" s="5"/>
    </row>
    <row r="175" spans="1:28" ht="13.15" customHeight="1">
      <c r="A175" s="12">
        <v>161</v>
      </c>
      <c r="B175" s="11">
        <f t="shared" si="60"/>
        <v>45431</v>
      </c>
      <c r="C175" s="9">
        <f t="shared" si="61"/>
        <v>842</v>
      </c>
      <c r="D175" s="8">
        <f t="shared" si="52"/>
        <v>1497</v>
      </c>
      <c r="E175" s="4">
        <f t="shared" si="53"/>
        <v>-300</v>
      </c>
      <c r="F175" s="4">
        <f t="shared" si="54"/>
        <v>-299</v>
      </c>
      <c r="G175" s="4">
        <f t="shared" si="55"/>
        <v>-13</v>
      </c>
      <c r="H175" s="5">
        <f t="shared" si="56"/>
        <v>2639</v>
      </c>
      <c r="I175" s="5">
        <f t="shared" si="57"/>
        <v>2638</v>
      </c>
      <c r="J175" s="5">
        <f t="shared" si="58"/>
        <v>2352</v>
      </c>
      <c r="K175" s="5">
        <f t="shared" si="65"/>
        <v>3000</v>
      </c>
      <c r="L175" s="5">
        <f t="shared" si="66"/>
        <v>3000</v>
      </c>
      <c r="M175" s="5">
        <f t="shared" si="67"/>
        <v>3000</v>
      </c>
      <c r="N175" s="5">
        <f t="shared" si="62"/>
        <v>-361</v>
      </c>
      <c r="O175" s="5">
        <f t="shared" si="63"/>
        <v>-362</v>
      </c>
      <c r="P175" s="5">
        <f t="shared" si="64"/>
        <v>-648</v>
      </c>
      <c r="Q175" s="4">
        <v>0</v>
      </c>
      <c r="R175" s="4">
        <v>2</v>
      </c>
      <c r="S175" s="4">
        <v>0</v>
      </c>
      <c r="T175" s="6">
        <f t="shared" si="59"/>
        <v>801</v>
      </c>
      <c r="U175" s="7">
        <f t="shared" si="69"/>
        <v>1719</v>
      </c>
      <c r="V175" s="7">
        <f t="shared" si="70"/>
        <v>1538</v>
      </c>
      <c r="W175" s="7">
        <f t="shared" si="68"/>
        <v>1742</v>
      </c>
      <c r="X175" s="6"/>
      <c r="Y175" s="5"/>
      <c r="Z175" s="5"/>
      <c r="AA175" s="5"/>
      <c r="AB175" s="5"/>
    </row>
    <row r="176" spans="1:28" ht="13.15" customHeight="1">
      <c r="A176" s="12">
        <v>162</v>
      </c>
      <c r="B176" s="11">
        <f t="shared" si="60"/>
        <v>45432</v>
      </c>
      <c r="C176" s="9">
        <f t="shared" si="61"/>
        <v>842</v>
      </c>
      <c r="D176" s="8">
        <f t="shared" si="52"/>
        <v>1499</v>
      </c>
      <c r="E176" s="4">
        <f t="shared" si="53"/>
        <v>-298</v>
      </c>
      <c r="F176" s="4">
        <f t="shared" si="54"/>
        <v>-294</v>
      </c>
      <c r="G176" s="4">
        <f t="shared" si="55"/>
        <v>-11</v>
      </c>
      <c r="H176" s="5">
        <f t="shared" si="56"/>
        <v>2639</v>
      </c>
      <c r="I176" s="5">
        <f t="shared" si="57"/>
        <v>2635</v>
      </c>
      <c r="J176" s="5">
        <f t="shared" si="58"/>
        <v>2352</v>
      </c>
      <c r="K176" s="5">
        <f t="shared" si="65"/>
        <v>3000</v>
      </c>
      <c r="L176" s="5">
        <f t="shared" si="66"/>
        <v>3000</v>
      </c>
      <c r="M176" s="5">
        <f t="shared" si="67"/>
        <v>3000</v>
      </c>
      <c r="N176" s="5">
        <f t="shared" si="62"/>
        <v>-361</v>
      </c>
      <c r="O176" s="5">
        <f t="shared" si="63"/>
        <v>-365</v>
      </c>
      <c r="P176" s="5">
        <f t="shared" si="64"/>
        <v>-648</v>
      </c>
      <c r="Q176" s="4">
        <v>0</v>
      </c>
      <c r="R176" s="4">
        <v>3</v>
      </c>
      <c r="S176" s="4">
        <v>0</v>
      </c>
      <c r="T176" s="6">
        <f t="shared" si="59"/>
        <v>806</v>
      </c>
      <c r="U176" s="7">
        <f t="shared" si="69"/>
        <v>1719</v>
      </c>
      <c r="V176" s="7">
        <f t="shared" si="70"/>
        <v>1535</v>
      </c>
      <c r="W176" s="7">
        <f t="shared" si="68"/>
        <v>1742</v>
      </c>
      <c r="X176" s="6"/>
      <c r="Y176" s="5"/>
      <c r="Z176" s="5"/>
      <c r="AA176" s="5"/>
      <c r="AB176" s="5"/>
    </row>
    <row r="177" spans="1:28" ht="13.15" customHeight="1">
      <c r="A177" s="12">
        <v>163</v>
      </c>
      <c r="B177" s="11">
        <f t="shared" si="60"/>
        <v>45433</v>
      </c>
      <c r="C177" s="9">
        <f t="shared" si="61"/>
        <v>842</v>
      </c>
      <c r="D177" s="8">
        <f t="shared" si="52"/>
        <v>1501</v>
      </c>
      <c r="E177" s="4">
        <f t="shared" si="53"/>
        <v>-296</v>
      </c>
      <c r="F177" s="4">
        <f t="shared" si="54"/>
        <v>-291</v>
      </c>
      <c r="G177" s="4">
        <f t="shared" si="55"/>
        <v>-9</v>
      </c>
      <c r="H177" s="5">
        <f t="shared" si="56"/>
        <v>2639</v>
      </c>
      <c r="I177" s="5">
        <f t="shared" si="57"/>
        <v>2634</v>
      </c>
      <c r="J177" s="5">
        <f t="shared" si="58"/>
        <v>2352</v>
      </c>
      <c r="K177" s="5">
        <f t="shared" si="65"/>
        <v>3000</v>
      </c>
      <c r="L177" s="5">
        <f t="shared" si="66"/>
        <v>3000</v>
      </c>
      <c r="M177" s="5">
        <f t="shared" si="67"/>
        <v>3000</v>
      </c>
      <c r="N177" s="5">
        <f t="shared" si="62"/>
        <v>-361</v>
      </c>
      <c r="O177" s="5">
        <f t="shared" si="63"/>
        <v>-366</v>
      </c>
      <c r="P177" s="5">
        <f t="shared" si="64"/>
        <v>-648</v>
      </c>
      <c r="Q177" s="4">
        <v>0</v>
      </c>
      <c r="R177" s="4">
        <v>1</v>
      </c>
      <c r="S177" s="4">
        <v>0</v>
      </c>
      <c r="T177" s="6">
        <f t="shared" si="59"/>
        <v>809</v>
      </c>
      <c r="U177" s="7">
        <f t="shared" si="69"/>
        <v>1719</v>
      </c>
      <c r="V177" s="7">
        <f t="shared" si="70"/>
        <v>1534</v>
      </c>
      <c r="W177" s="7">
        <f t="shared" si="68"/>
        <v>1742</v>
      </c>
      <c r="X177" s="6"/>
      <c r="Y177" s="5"/>
      <c r="Z177" s="5"/>
      <c r="AA177" s="5"/>
      <c r="AB177" s="5"/>
    </row>
    <row r="178" spans="1:28" ht="13.15" customHeight="1">
      <c r="A178" s="12">
        <v>164</v>
      </c>
      <c r="B178" s="11">
        <f t="shared" si="60"/>
        <v>45434</v>
      </c>
      <c r="C178" s="9">
        <f t="shared" si="61"/>
        <v>842</v>
      </c>
      <c r="D178" s="8">
        <f t="shared" si="52"/>
        <v>1503</v>
      </c>
      <c r="E178" s="4">
        <f t="shared" si="53"/>
        <v>-294</v>
      </c>
      <c r="F178" s="4">
        <f t="shared" si="54"/>
        <v>-287</v>
      </c>
      <c r="G178" s="4">
        <f t="shared" si="55"/>
        <v>-7</v>
      </c>
      <c r="H178" s="5">
        <f t="shared" si="56"/>
        <v>2639</v>
      </c>
      <c r="I178" s="5">
        <f t="shared" si="57"/>
        <v>2632</v>
      </c>
      <c r="J178" s="5">
        <f t="shared" si="58"/>
        <v>2352</v>
      </c>
      <c r="K178" s="5">
        <f t="shared" si="65"/>
        <v>3000</v>
      </c>
      <c r="L178" s="5">
        <f t="shared" si="66"/>
        <v>3000</v>
      </c>
      <c r="M178" s="5">
        <f t="shared" si="67"/>
        <v>3000</v>
      </c>
      <c r="N178" s="5">
        <f t="shared" si="62"/>
        <v>-361</v>
      </c>
      <c r="O178" s="5">
        <f t="shared" si="63"/>
        <v>-368</v>
      </c>
      <c r="P178" s="5">
        <f t="shared" si="64"/>
        <v>-648</v>
      </c>
      <c r="Q178" s="4">
        <v>0</v>
      </c>
      <c r="R178" s="4">
        <v>2</v>
      </c>
      <c r="S178" s="4">
        <v>0</v>
      </c>
      <c r="T178" s="6">
        <f t="shared" si="59"/>
        <v>813</v>
      </c>
      <c r="U178" s="7">
        <f t="shared" si="69"/>
        <v>1719</v>
      </c>
      <c r="V178" s="7">
        <f t="shared" si="70"/>
        <v>1532</v>
      </c>
      <c r="W178" s="7">
        <f t="shared" si="68"/>
        <v>1742</v>
      </c>
      <c r="X178" s="6"/>
      <c r="Y178" s="5"/>
      <c r="Z178" s="5"/>
      <c r="AA178" s="5"/>
      <c r="AB178" s="5"/>
    </row>
    <row r="179" spans="1:28" ht="13.15" customHeight="1">
      <c r="A179" s="12">
        <v>165</v>
      </c>
      <c r="B179" s="11">
        <f t="shared" si="60"/>
        <v>45435</v>
      </c>
      <c r="C179" s="9">
        <f t="shared" si="61"/>
        <v>842</v>
      </c>
      <c r="D179" s="8">
        <f t="shared" si="52"/>
        <v>1505</v>
      </c>
      <c r="E179" s="4">
        <f t="shared" si="53"/>
        <v>-292</v>
      </c>
      <c r="F179" s="4">
        <f t="shared" si="54"/>
        <v>-284</v>
      </c>
      <c r="G179" s="4">
        <f t="shared" si="55"/>
        <v>-5</v>
      </c>
      <c r="H179" s="5">
        <f t="shared" si="56"/>
        <v>2639</v>
      </c>
      <c r="I179" s="5">
        <f t="shared" si="57"/>
        <v>2631</v>
      </c>
      <c r="J179" s="5">
        <f t="shared" si="58"/>
        <v>2352</v>
      </c>
      <c r="K179" s="5">
        <f t="shared" si="65"/>
        <v>3000</v>
      </c>
      <c r="L179" s="5">
        <f t="shared" si="66"/>
        <v>3000</v>
      </c>
      <c r="M179" s="5">
        <f t="shared" si="67"/>
        <v>3000</v>
      </c>
      <c r="N179" s="5">
        <f t="shared" si="62"/>
        <v>-361</v>
      </c>
      <c r="O179" s="5">
        <f t="shared" si="63"/>
        <v>-369</v>
      </c>
      <c r="P179" s="5">
        <f t="shared" si="64"/>
        <v>-648</v>
      </c>
      <c r="Q179" s="4">
        <v>0</v>
      </c>
      <c r="R179" s="4">
        <v>1</v>
      </c>
      <c r="S179" s="4">
        <v>0</v>
      </c>
      <c r="T179" s="6">
        <f t="shared" si="59"/>
        <v>816</v>
      </c>
      <c r="U179" s="7">
        <f t="shared" si="69"/>
        <v>1719</v>
      </c>
      <c r="V179" s="7">
        <f t="shared" si="70"/>
        <v>1531</v>
      </c>
      <c r="W179" s="7">
        <f t="shared" si="68"/>
        <v>1742</v>
      </c>
      <c r="X179" s="6"/>
      <c r="Y179" s="5"/>
      <c r="Z179" s="5"/>
      <c r="AA179" s="5"/>
      <c r="AB179" s="5"/>
    </row>
    <row r="180" spans="1:28" ht="13.15" customHeight="1">
      <c r="A180" s="12">
        <v>166</v>
      </c>
      <c r="B180" s="11">
        <f t="shared" si="60"/>
        <v>45436</v>
      </c>
      <c r="C180" s="9">
        <f t="shared" si="61"/>
        <v>842</v>
      </c>
      <c r="D180" s="8">
        <f t="shared" si="52"/>
        <v>1507</v>
      </c>
      <c r="E180" s="4">
        <f t="shared" si="53"/>
        <v>-290</v>
      </c>
      <c r="F180" s="4">
        <f t="shared" si="54"/>
        <v>-280</v>
      </c>
      <c r="G180" s="4">
        <f t="shared" si="55"/>
        <v>-3</v>
      </c>
      <c r="H180" s="5">
        <f t="shared" si="56"/>
        <v>2639</v>
      </c>
      <c r="I180" s="5">
        <f t="shared" si="57"/>
        <v>2629</v>
      </c>
      <c r="J180" s="5">
        <f t="shared" si="58"/>
        <v>2352</v>
      </c>
      <c r="K180" s="5">
        <f t="shared" si="65"/>
        <v>3000</v>
      </c>
      <c r="L180" s="5">
        <f t="shared" si="66"/>
        <v>3000</v>
      </c>
      <c r="M180" s="5">
        <f t="shared" si="67"/>
        <v>3000</v>
      </c>
      <c r="N180" s="5">
        <f t="shared" si="62"/>
        <v>-361</v>
      </c>
      <c r="O180" s="5">
        <f t="shared" si="63"/>
        <v>-371</v>
      </c>
      <c r="P180" s="5">
        <f t="shared" si="64"/>
        <v>-648</v>
      </c>
      <c r="Q180" s="4">
        <v>0</v>
      </c>
      <c r="R180" s="4">
        <v>2</v>
      </c>
      <c r="S180" s="4">
        <v>0</v>
      </c>
      <c r="T180" s="6">
        <f t="shared" si="59"/>
        <v>820</v>
      </c>
      <c r="U180" s="7">
        <f t="shared" si="69"/>
        <v>1719</v>
      </c>
      <c r="V180" s="7">
        <f t="shared" si="70"/>
        <v>1529</v>
      </c>
      <c r="W180" s="7">
        <f t="shared" si="68"/>
        <v>1742</v>
      </c>
      <c r="X180" s="6"/>
      <c r="Y180" s="5"/>
      <c r="Z180" s="5"/>
      <c r="AA180" s="5"/>
      <c r="AB180" s="5"/>
    </row>
    <row r="181" spans="1:28" ht="13.15" customHeight="1">
      <c r="A181" s="12">
        <v>167</v>
      </c>
      <c r="B181" s="11">
        <f t="shared" si="60"/>
        <v>45437</v>
      </c>
      <c r="C181" s="9">
        <f t="shared" si="61"/>
        <v>842</v>
      </c>
      <c r="D181" s="8">
        <f t="shared" si="52"/>
        <v>1509</v>
      </c>
      <c r="E181" s="4">
        <f t="shared" si="53"/>
        <v>-288</v>
      </c>
      <c r="F181" s="4">
        <f t="shared" si="54"/>
        <v>-276</v>
      </c>
      <c r="G181" s="4">
        <f t="shared" si="55"/>
        <v>-1</v>
      </c>
      <c r="H181" s="5">
        <f t="shared" si="56"/>
        <v>2639</v>
      </c>
      <c r="I181" s="5">
        <f t="shared" si="57"/>
        <v>2627</v>
      </c>
      <c r="J181" s="5">
        <f t="shared" si="58"/>
        <v>2352</v>
      </c>
      <c r="K181" s="5">
        <f t="shared" si="65"/>
        <v>3000</v>
      </c>
      <c r="L181" s="5">
        <f t="shared" si="66"/>
        <v>3000</v>
      </c>
      <c r="M181" s="5">
        <f t="shared" si="67"/>
        <v>3000</v>
      </c>
      <c r="N181" s="5">
        <f t="shared" si="62"/>
        <v>-361</v>
      </c>
      <c r="O181" s="5">
        <f t="shared" si="63"/>
        <v>-373</v>
      </c>
      <c r="P181" s="5">
        <f t="shared" si="64"/>
        <v>-648</v>
      </c>
      <c r="Q181" s="4">
        <v>0</v>
      </c>
      <c r="R181" s="4">
        <v>2</v>
      </c>
      <c r="S181" s="4">
        <v>0</v>
      </c>
      <c r="T181" s="6">
        <f t="shared" si="59"/>
        <v>824</v>
      </c>
      <c r="U181" s="7">
        <f t="shared" si="69"/>
        <v>1719</v>
      </c>
      <c r="V181" s="7">
        <f t="shared" si="70"/>
        <v>1527</v>
      </c>
      <c r="W181" s="7">
        <f t="shared" si="68"/>
        <v>1742</v>
      </c>
      <c r="X181" s="6"/>
      <c r="Y181" s="5"/>
      <c r="Z181" s="5"/>
      <c r="AA181" s="5"/>
      <c r="AB181" s="5"/>
    </row>
    <row r="182" spans="1:28" ht="13.15" customHeight="1">
      <c r="A182" s="12">
        <v>168</v>
      </c>
      <c r="B182" s="11">
        <f t="shared" si="60"/>
        <v>45438</v>
      </c>
      <c r="C182" s="9">
        <f t="shared" si="61"/>
        <v>842</v>
      </c>
      <c r="D182" s="8">
        <f t="shared" si="52"/>
        <v>1511</v>
      </c>
      <c r="E182" s="4">
        <f t="shared" si="53"/>
        <v>-286</v>
      </c>
      <c r="F182" s="4">
        <f t="shared" si="54"/>
        <v>-274</v>
      </c>
      <c r="G182" s="4">
        <f t="shared" si="55"/>
        <v>1</v>
      </c>
      <c r="H182" s="5">
        <f t="shared" si="56"/>
        <v>2639</v>
      </c>
      <c r="I182" s="5">
        <f t="shared" si="57"/>
        <v>2627</v>
      </c>
      <c r="J182" s="5">
        <f t="shared" si="58"/>
        <v>2352</v>
      </c>
      <c r="K182" s="5">
        <f t="shared" si="65"/>
        <v>3000</v>
      </c>
      <c r="L182" s="5">
        <f t="shared" si="66"/>
        <v>3000</v>
      </c>
      <c r="M182" s="5">
        <f t="shared" si="67"/>
        <v>3000</v>
      </c>
      <c r="N182" s="5">
        <f t="shared" si="62"/>
        <v>-361</v>
      </c>
      <c r="O182" s="5">
        <f t="shared" si="63"/>
        <v>-373</v>
      </c>
      <c r="P182" s="5">
        <f t="shared" si="64"/>
        <v>-648</v>
      </c>
      <c r="Q182" s="4">
        <v>0</v>
      </c>
      <c r="R182" s="4">
        <v>0</v>
      </c>
      <c r="S182" s="4">
        <v>0</v>
      </c>
      <c r="T182" s="6">
        <f t="shared" si="59"/>
        <v>826</v>
      </c>
      <c r="U182" s="7">
        <f t="shared" si="69"/>
        <v>1719</v>
      </c>
      <c r="V182" s="7">
        <f t="shared" si="70"/>
        <v>1527</v>
      </c>
      <c r="W182" s="7">
        <f t="shared" si="68"/>
        <v>1742</v>
      </c>
      <c r="X182" s="6"/>
      <c r="Y182" s="5"/>
      <c r="Z182" s="5"/>
      <c r="AA182" s="5"/>
      <c r="AB182" s="5"/>
    </row>
    <row r="183" spans="1:28" ht="13.15" customHeight="1">
      <c r="A183" s="12">
        <v>169</v>
      </c>
      <c r="B183" s="11">
        <f t="shared" si="60"/>
        <v>45439</v>
      </c>
      <c r="C183" s="9">
        <f t="shared" si="61"/>
        <v>842</v>
      </c>
      <c r="D183" s="8">
        <f t="shared" si="52"/>
        <v>1513</v>
      </c>
      <c r="E183" s="4">
        <f t="shared" si="53"/>
        <v>-284</v>
      </c>
      <c r="F183" s="4">
        <f t="shared" si="54"/>
        <v>-272</v>
      </c>
      <c r="G183" s="4">
        <f t="shared" si="55"/>
        <v>3</v>
      </c>
      <c r="H183" s="5">
        <f t="shared" si="56"/>
        <v>2639</v>
      </c>
      <c r="I183" s="5">
        <f t="shared" si="57"/>
        <v>2627</v>
      </c>
      <c r="J183" s="5">
        <f t="shared" si="58"/>
        <v>2352</v>
      </c>
      <c r="K183" s="5">
        <f t="shared" si="65"/>
        <v>3000</v>
      </c>
      <c r="L183" s="5">
        <f t="shared" si="66"/>
        <v>3000</v>
      </c>
      <c r="M183" s="5">
        <f t="shared" si="67"/>
        <v>3000</v>
      </c>
      <c r="N183" s="5">
        <f t="shared" si="62"/>
        <v>-361</v>
      </c>
      <c r="O183" s="5">
        <f t="shared" si="63"/>
        <v>-373</v>
      </c>
      <c r="P183" s="5">
        <f t="shared" si="64"/>
        <v>-648</v>
      </c>
      <c r="Q183" s="4">
        <v>0</v>
      </c>
      <c r="R183" s="4">
        <v>0</v>
      </c>
      <c r="S183" s="4">
        <v>0</v>
      </c>
      <c r="T183" s="6">
        <f t="shared" si="59"/>
        <v>828</v>
      </c>
      <c r="U183" s="7">
        <f t="shared" si="69"/>
        <v>1719</v>
      </c>
      <c r="V183" s="7">
        <f t="shared" si="70"/>
        <v>1527</v>
      </c>
      <c r="W183" s="7">
        <f t="shared" si="68"/>
        <v>1742</v>
      </c>
      <c r="X183" s="6"/>
      <c r="Y183" s="5"/>
      <c r="Z183" s="5"/>
      <c r="AA183" s="5"/>
      <c r="AB183" s="5"/>
    </row>
    <row r="184" spans="1:28" ht="13.15" customHeight="1">
      <c r="A184" s="12">
        <v>170</v>
      </c>
      <c r="B184" s="11">
        <f t="shared" si="60"/>
        <v>45440</v>
      </c>
      <c r="C184" s="9">
        <f t="shared" si="61"/>
        <v>842</v>
      </c>
      <c r="D184" s="8">
        <f t="shared" si="52"/>
        <v>1515</v>
      </c>
      <c r="E184" s="4">
        <f t="shared" si="53"/>
        <v>-282</v>
      </c>
      <c r="F184" s="4">
        <f t="shared" si="54"/>
        <v>-270</v>
      </c>
      <c r="G184" s="4">
        <f t="shared" si="55"/>
        <v>5</v>
      </c>
      <c r="H184" s="5">
        <f t="shared" si="56"/>
        <v>2639</v>
      </c>
      <c r="I184" s="5">
        <f t="shared" si="57"/>
        <v>2627</v>
      </c>
      <c r="J184" s="5">
        <f t="shared" si="58"/>
        <v>2352</v>
      </c>
      <c r="K184" s="5">
        <f t="shared" si="65"/>
        <v>3000</v>
      </c>
      <c r="L184" s="5">
        <f t="shared" si="66"/>
        <v>3000</v>
      </c>
      <c r="M184" s="5">
        <f t="shared" si="67"/>
        <v>3000</v>
      </c>
      <c r="N184" s="5">
        <f t="shared" si="62"/>
        <v>-361</v>
      </c>
      <c r="O184" s="5">
        <f t="shared" si="63"/>
        <v>-373</v>
      </c>
      <c r="P184" s="5">
        <f t="shared" si="64"/>
        <v>-648</v>
      </c>
      <c r="Q184" s="4">
        <v>0</v>
      </c>
      <c r="R184" s="4">
        <v>0</v>
      </c>
      <c r="S184" s="4">
        <v>0</v>
      </c>
      <c r="T184" s="6">
        <f t="shared" si="59"/>
        <v>830</v>
      </c>
      <c r="U184" s="7">
        <f t="shared" si="69"/>
        <v>1719</v>
      </c>
      <c r="V184" s="7">
        <f t="shared" si="70"/>
        <v>1527</v>
      </c>
      <c r="W184" s="7">
        <f t="shared" si="68"/>
        <v>1742</v>
      </c>
      <c r="X184" s="6"/>
      <c r="Y184" s="5"/>
      <c r="Z184" s="5"/>
      <c r="AA184" s="5"/>
      <c r="AB184" s="5"/>
    </row>
    <row r="185" spans="1:28" ht="13.15" customHeight="1">
      <c r="A185" s="12">
        <v>171</v>
      </c>
      <c r="B185" s="11">
        <f t="shared" si="60"/>
        <v>45441</v>
      </c>
      <c r="C185" s="9">
        <f t="shared" si="61"/>
        <v>842</v>
      </c>
      <c r="D185" s="8">
        <f t="shared" si="52"/>
        <v>1517</v>
      </c>
      <c r="E185" s="4">
        <f t="shared" si="53"/>
        <v>-280</v>
      </c>
      <c r="F185" s="4">
        <f t="shared" si="54"/>
        <v>-268</v>
      </c>
      <c r="G185" s="4">
        <f t="shared" si="55"/>
        <v>7</v>
      </c>
      <c r="H185" s="5">
        <f t="shared" si="56"/>
        <v>2639</v>
      </c>
      <c r="I185" s="5">
        <f t="shared" si="57"/>
        <v>2627</v>
      </c>
      <c r="J185" s="5">
        <f t="shared" si="58"/>
        <v>2352</v>
      </c>
      <c r="K185" s="5">
        <f t="shared" si="65"/>
        <v>3000</v>
      </c>
      <c r="L185" s="5">
        <f t="shared" si="66"/>
        <v>3000</v>
      </c>
      <c r="M185" s="5">
        <f t="shared" si="67"/>
        <v>3000</v>
      </c>
      <c r="N185" s="5">
        <f t="shared" si="62"/>
        <v>-361</v>
      </c>
      <c r="O185" s="5">
        <f t="shared" si="63"/>
        <v>-373</v>
      </c>
      <c r="P185" s="5">
        <f t="shared" si="64"/>
        <v>-648</v>
      </c>
      <c r="Q185" s="4">
        <v>0</v>
      </c>
      <c r="R185" s="4">
        <v>0</v>
      </c>
      <c r="S185" s="4">
        <v>0</v>
      </c>
      <c r="T185" s="6">
        <f t="shared" si="59"/>
        <v>832</v>
      </c>
      <c r="U185" s="7">
        <f t="shared" si="69"/>
        <v>1719</v>
      </c>
      <c r="V185" s="7">
        <f t="shared" si="70"/>
        <v>1527</v>
      </c>
      <c r="W185" s="7">
        <f t="shared" si="68"/>
        <v>1742</v>
      </c>
      <c r="X185" s="6"/>
      <c r="Y185" s="5"/>
      <c r="Z185" s="5"/>
      <c r="AA185" s="5"/>
      <c r="AB185" s="5"/>
    </row>
    <row r="186" spans="1:28" ht="13.15" customHeight="1">
      <c r="A186" s="12">
        <v>172</v>
      </c>
      <c r="B186" s="11">
        <f t="shared" si="60"/>
        <v>45442</v>
      </c>
      <c r="C186" s="9">
        <f t="shared" si="61"/>
        <v>842</v>
      </c>
      <c r="D186" s="8">
        <f t="shared" si="52"/>
        <v>1519</v>
      </c>
      <c r="E186" s="4">
        <f t="shared" si="53"/>
        <v>-278</v>
      </c>
      <c r="F186" s="4">
        <f t="shared" si="54"/>
        <v>-266</v>
      </c>
      <c r="G186" s="4">
        <f t="shared" si="55"/>
        <v>9</v>
      </c>
      <c r="H186" s="5">
        <f t="shared" si="56"/>
        <v>2639</v>
      </c>
      <c r="I186" s="5">
        <f t="shared" si="57"/>
        <v>2627</v>
      </c>
      <c r="J186" s="5">
        <f t="shared" si="58"/>
        <v>2352</v>
      </c>
      <c r="K186" s="5">
        <f t="shared" si="65"/>
        <v>3000</v>
      </c>
      <c r="L186" s="5">
        <f t="shared" si="66"/>
        <v>3000</v>
      </c>
      <c r="M186" s="5">
        <f t="shared" si="67"/>
        <v>3000</v>
      </c>
      <c r="N186" s="5">
        <f t="shared" si="62"/>
        <v>-361</v>
      </c>
      <c r="O186" s="5">
        <f t="shared" si="63"/>
        <v>-373</v>
      </c>
      <c r="P186" s="5">
        <f t="shared" si="64"/>
        <v>-648</v>
      </c>
      <c r="Q186" s="4">
        <v>0</v>
      </c>
      <c r="R186" s="4">
        <v>0</v>
      </c>
      <c r="S186" s="4">
        <v>0</v>
      </c>
      <c r="T186" s="6">
        <f t="shared" si="59"/>
        <v>834</v>
      </c>
      <c r="U186" s="7">
        <f t="shared" si="69"/>
        <v>1719</v>
      </c>
      <c r="V186" s="7">
        <f t="shared" si="70"/>
        <v>1527</v>
      </c>
      <c r="W186" s="7">
        <f t="shared" si="68"/>
        <v>1742</v>
      </c>
      <c r="X186" s="6"/>
      <c r="Y186" s="5"/>
      <c r="Z186" s="5"/>
      <c r="AA186" s="5"/>
      <c r="AB186" s="5"/>
    </row>
    <row r="187" spans="1:28" ht="13.15" customHeight="1">
      <c r="A187" s="12">
        <v>173</v>
      </c>
      <c r="B187" s="11">
        <f t="shared" si="60"/>
        <v>45443</v>
      </c>
      <c r="C187" s="9">
        <f t="shared" si="61"/>
        <v>842</v>
      </c>
      <c r="D187" s="8">
        <f t="shared" si="52"/>
        <v>1521</v>
      </c>
      <c r="E187" s="4">
        <f t="shared" si="53"/>
        <v>-276</v>
      </c>
      <c r="F187" s="4">
        <f t="shared" si="54"/>
        <v>-264</v>
      </c>
      <c r="G187" s="4">
        <f t="shared" si="55"/>
        <v>11</v>
      </c>
      <c r="H187" s="5">
        <f t="shared" si="56"/>
        <v>2639</v>
      </c>
      <c r="I187" s="5">
        <f t="shared" si="57"/>
        <v>2627</v>
      </c>
      <c r="J187" s="5">
        <f t="shared" si="58"/>
        <v>2352</v>
      </c>
      <c r="K187" s="5">
        <f t="shared" si="65"/>
        <v>3000</v>
      </c>
      <c r="L187" s="5">
        <f t="shared" si="66"/>
        <v>3000</v>
      </c>
      <c r="M187" s="5">
        <f t="shared" si="67"/>
        <v>3000</v>
      </c>
      <c r="N187" s="5">
        <f t="shared" si="62"/>
        <v>-361</v>
      </c>
      <c r="O187" s="5">
        <f t="shared" si="63"/>
        <v>-373</v>
      </c>
      <c r="P187" s="5">
        <f t="shared" si="64"/>
        <v>-648</v>
      </c>
      <c r="Q187" s="4">
        <v>0</v>
      </c>
      <c r="R187" s="4">
        <v>0</v>
      </c>
      <c r="S187" s="4">
        <v>0</v>
      </c>
      <c r="T187" s="6">
        <f t="shared" si="59"/>
        <v>836</v>
      </c>
      <c r="U187" s="7">
        <f t="shared" si="69"/>
        <v>1719</v>
      </c>
      <c r="V187" s="7">
        <f t="shared" si="70"/>
        <v>1527</v>
      </c>
      <c r="W187" s="7">
        <f t="shared" si="68"/>
        <v>1742</v>
      </c>
      <c r="X187" s="6"/>
      <c r="Y187" s="5"/>
      <c r="Z187" s="5"/>
      <c r="AA187" s="5"/>
      <c r="AB187" s="5"/>
    </row>
    <row r="188" spans="1:28" ht="13.15" customHeight="1">
      <c r="A188" s="12">
        <v>174</v>
      </c>
      <c r="B188" s="11">
        <f t="shared" si="60"/>
        <v>45444</v>
      </c>
      <c r="C188" s="9">
        <f t="shared" si="61"/>
        <v>842</v>
      </c>
      <c r="D188" s="8">
        <f t="shared" si="52"/>
        <v>1523</v>
      </c>
      <c r="E188" s="4">
        <f t="shared" si="53"/>
        <v>-274</v>
      </c>
      <c r="F188" s="4">
        <f t="shared" si="54"/>
        <v>-262</v>
      </c>
      <c r="G188" s="4">
        <f t="shared" si="55"/>
        <v>13</v>
      </c>
      <c r="H188" s="5">
        <f t="shared" si="56"/>
        <v>2639</v>
      </c>
      <c r="I188" s="5">
        <f t="shared" si="57"/>
        <v>2627</v>
      </c>
      <c r="J188" s="5">
        <f t="shared" si="58"/>
        <v>2352</v>
      </c>
      <c r="K188" s="5">
        <f t="shared" si="65"/>
        <v>3000</v>
      </c>
      <c r="L188" s="5">
        <f t="shared" si="66"/>
        <v>3000</v>
      </c>
      <c r="M188" s="5">
        <f t="shared" si="67"/>
        <v>3000</v>
      </c>
      <c r="N188" s="5">
        <f t="shared" si="62"/>
        <v>-361</v>
      </c>
      <c r="O188" s="5">
        <f t="shared" si="63"/>
        <v>-373</v>
      </c>
      <c r="P188" s="5">
        <f t="shared" si="64"/>
        <v>-648</v>
      </c>
      <c r="Q188" s="4">
        <v>0</v>
      </c>
      <c r="R188" s="4">
        <v>0</v>
      </c>
      <c r="S188" s="4">
        <v>0</v>
      </c>
      <c r="T188" s="6">
        <f t="shared" si="59"/>
        <v>838</v>
      </c>
      <c r="U188" s="7">
        <f t="shared" si="69"/>
        <v>1719</v>
      </c>
      <c r="V188" s="7">
        <f t="shared" si="70"/>
        <v>1527</v>
      </c>
      <c r="W188" s="7">
        <f t="shared" si="68"/>
        <v>1742</v>
      </c>
      <c r="X188" s="6"/>
      <c r="Y188" s="5"/>
      <c r="Z188" s="5"/>
      <c r="AA188" s="5"/>
      <c r="AB188" s="5"/>
    </row>
    <row r="189" spans="1:28" ht="13.15" customHeight="1">
      <c r="A189" s="12">
        <v>175</v>
      </c>
      <c r="B189" s="11">
        <f t="shared" si="60"/>
        <v>45445</v>
      </c>
      <c r="C189" s="9">
        <f t="shared" si="61"/>
        <v>842</v>
      </c>
      <c r="D189" s="8">
        <f t="shared" si="52"/>
        <v>1525</v>
      </c>
      <c r="E189" s="4">
        <f t="shared" si="53"/>
        <v>-272</v>
      </c>
      <c r="F189" s="4">
        <f t="shared" si="54"/>
        <v>-260</v>
      </c>
      <c r="G189" s="4">
        <f t="shared" si="55"/>
        <v>15</v>
      </c>
      <c r="H189" s="5">
        <f t="shared" si="56"/>
        <v>2639</v>
      </c>
      <c r="I189" s="5">
        <f t="shared" si="57"/>
        <v>2627</v>
      </c>
      <c r="J189" s="5">
        <f t="shared" si="58"/>
        <v>2352</v>
      </c>
      <c r="K189" s="5">
        <f t="shared" si="65"/>
        <v>3000</v>
      </c>
      <c r="L189" s="5">
        <f t="shared" si="66"/>
        <v>3000</v>
      </c>
      <c r="M189" s="5">
        <f t="shared" si="67"/>
        <v>3000</v>
      </c>
      <c r="N189" s="5">
        <f t="shared" si="62"/>
        <v>-361</v>
      </c>
      <c r="O189" s="5">
        <f t="shared" si="63"/>
        <v>-373</v>
      </c>
      <c r="P189" s="5">
        <f t="shared" si="64"/>
        <v>-648</v>
      </c>
      <c r="Q189" s="4">
        <v>0</v>
      </c>
      <c r="R189" s="4">
        <v>0</v>
      </c>
      <c r="S189" s="4">
        <v>0</v>
      </c>
      <c r="T189" s="6">
        <f t="shared" si="59"/>
        <v>840</v>
      </c>
      <c r="U189" s="7">
        <f t="shared" si="69"/>
        <v>1719</v>
      </c>
      <c r="V189" s="7">
        <f t="shared" si="70"/>
        <v>1527</v>
      </c>
      <c r="W189" s="7">
        <f t="shared" si="68"/>
        <v>1742</v>
      </c>
      <c r="X189" s="6"/>
      <c r="Y189" s="5"/>
      <c r="Z189" s="5"/>
      <c r="AA189" s="5"/>
      <c r="AB189" s="5"/>
    </row>
    <row r="190" spans="1:28" ht="13.15" customHeight="1">
      <c r="A190" s="12">
        <v>176</v>
      </c>
      <c r="B190" s="11">
        <f t="shared" si="60"/>
        <v>45446</v>
      </c>
      <c r="C190" s="9">
        <f t="shared" si="61"/>
        <v>842</v>
      </c>
      <c r="D190" s="8">
        <f t="shared" si="52"/>
        <v>1527</v>
      </c>
      <c r="E190" s="4">
        <f t="shared" si="53"/>
        <v>-270</v>
      </c>
      <c r="F190" s="4">
        <f t="shared" si="54"/>
        <v>-258</v>
      </c>
      <c r="G190" s="4">
        <f t="shared" si="55"/>
        <v>17</v>
      </c>
      <c r="H190" s="5">
        <f t="shared" si="56"/>
        <v>2639</v>
      </c>
      <c r="I190" s="5">
        <f t="shared" si="57"/>
        <v>2627</v>
      </c>
      <c r="J190" s="5">
        <f t="shared" si="58"/>
        <v>2352</v>
      </c>
      <c r="K190" s="5">
        <f t="shared" si="65"/>
        <v>3000</v>
      </c>
      <c r="L190" s="5">
        <f t="shared" si="66"/>
        <v>3000</v>
      </c>
      <c r="M190" s="5">
        <f t="shared" si="67"/>
        <v>3000</v>
      </c>
      <c r="N190" s="5">
        <f t="shared" si="62"/>
        <v>-361</v>
      </c>
      <c r="O190" s="5">
        <f t="shared" si="63"/>
        <v>-373</v>
      </c>
      <c r="P190" s="5">
        <f t="shared" si="64"/>
        <v>-648</v>
      </c>
      <c r="Q190" s="4">
        <v>0</v>
      </c>
      <c r="R190" s="4">
        <v>0</v>
      </c>
      <c r="S190" s="4">
        <v>0</v>
      </c>
      <c r="T190" s="6">
        <f t="shared" si="59"/>
        <v>842</v>
      </c>
      <c r="U190" s="7">
        <f t="shared" si="69"/>
        <v>1719</v>
      </c>
      <c r="V190" s="7">
        <f t="shared" si="70"/>
        <v>1527</v>
      </c>
      <c r="W190" s="7">
        <f t="shared" si="68"/>
        <v>1742</v>
      </c>
      <c r="X190" s="6"/>
      <c r="Y190" s="5"/>
      <c r="Z190" s="5"/>
      <c r="AA190" s="5"/>
      <c r="AB190" s="5"/>
    </row>
    <row r="191" spans="1:28" ht="13.15" customHeight="1">
      <c r="A191" s="12">
        <v>177</v>
      </c>
      <c r="B191" s="11">
        <f t="shared" si="60"/>
        <v>45447</v>
      </c>
      <c r="C191" s="9">
        <f t="shared" si="61"/>
        <v>842</v>
      </c>
      <c r="D191" s="8">
        <f t="shared" ref="D191:D254" si="71">D190+2</f>
        <v>1529</v>
      </c>
      <c r="E191" s="4">
        <f t="shared" si="53"/>
        <v>-268</v>
      </c>
      <c r="F191" s="4">
        <f t="shared" si="54"/>
        <v>-256</v>
      </c>
      <c r="G191" s="4">
        <f t="shared" si="55"/>
        <v>19</v>
      </c>
      <c r="H191" s="5">
        <f t="shared" si="56"/>
        <v>2639</v>
      </c>
      <c r="I191" s="5">
        <f t="shared" si="57"/>
        <v>2627</v>
      </c>
      <c r="J191" s="5">
        <f t="shared" si="58"/>
        <v>2352</v>
      </c>
      <c r="K191" s="5">
        <f t="shared" si="65"/>
        <v>3000</v>
      </c>
      <c r="L191" s="5">
        <f t="shared" si="66"/>
        <v>3000</v>
      </c>
      <c r="M191" s="5">
        <f t="shared" si="67"/>
        <v>3000</v>
      </c>
      <c r="N191" s="5">
        <f t="shared" si="62"/>
        <v>-361</v>
      </c>
      <c r="O191" s="5">
        <f t="shared" si="63"/>
        <v>-373</v>
      </c>
      <c r="P191" s="5">
        <f t="shared" si="64"/>
        <v>-648</v>
      </c>
      <c r="Q191" s="4">
        <v>0</v>
      </c>
      <c r="R191" s="4">
        <v>0</v>
      </c>
      <c r="S191" s="4">
        <v>0</v>
      </c>
      <c r="T191" s="6">
        <f t="shared" si="59"/>
        <v>844</v>
      </c>
      <c r="U191" s="7">
        <f t="shared" si="69"/>
        <v>1719</v>
      </c>
      <c r="V191" s="7">
        <f t="shared" si="70"/>
        <v>1527</v>
      </c>
      <c r="W191" s="7">
        <f t="shared" si="68"/>
        <v>1742</v>
      </c>
      <c r="X191" s="6"/>
      <c r="Y191" s="5"/>
      <c r="Z191" s="5"/>
      <c r="AA191" s="5"/>
      <c r="AB191" s="5"/>
    </row>
    <row r="192" spans="1:28" ht="13.15" customHeight="1">
      <c r="A192" s="12">
        <v>178</v>
      </c>
      <c r="B192" s="11">
        <f t="shared" si="60"/>
        <v>45448</v>
      </c>
      <c r="C192" s="9">
        <f t="shared" si="61"/>
        <v>842</v>
      </c>
      <c r="D192" s="8">
        <f t="shared" si="71"/>
        <v>1531</v>
      </c>
      <c r="E192" s="4">
        <f t="shared" si="53"/>
        <v>-266</v>
      </c>
      <c r="F192" s="4">
        <f t="shared" si="54"/>
        <v>-254</v>
      </c>
      <c r="G192" s="4">
        <f t="shared" si="55"/>
        <v>21</v>
      </c>
      <c r="H192" s="5">
        <f t="shared" si="56"/>
        <v>2639</v>
      </c>
      <c r="I192" s="5">
        <f t="shared" si="57"/>
        <v>2627</v>
      </c>
      <c r="J192" s="5">
        <f t="shared" si="58"/>
        <v>2352</v>
      </c>
      <c r="K192" s="5">
        <f t="shared" si="65"/>
        <v>3000</v>
      </c>
      <c r="L192" s="5">
        <f t="shared" si="66"/>
        <v>3000</v>
      </c>
      <c r="M192" s="5">
        <f t="shared" si="67"/>
        <v>3000</v>
      </c>
      <c r="N192" s="5">
        <f t="shared" si="62"/>
        <v>-361</v>
      </c>
      <c r="O192" s="5">
        <f t="shared" si="63"/>
        <v>-373</v>
      </c>
      <c r="P192" s="5">
        <f t="shared" si="64"/>
        <v>-648</v>
      </c>
      <c r="Q192" s="4">
        <v>0</v>
      </c>
      <c r="R192" s="4">
        <v>0</v>
      </c>
      <c r="S192" s="4">
        <v>0</v>
      </c>
      <c r="T192" s="6">
        <f t="shared" si="59"/>
        <v>846</v>
      </c>
      <c r="U192" s="7">
        <f t="shared" si="69"/>
        <v>1719</v>
      </c>
      <c r="V192" s="7">
        <f t="shared" si="70"/>
        <v>1527</v>
      </c>
      <c r="W192" s="7">
        <f t="shared" si="68"/>
        <v>1742</v>
      </c>
      <c r="X192" s="6"/>
      <c r="Y192" s="5"/>
      <c r="Z192" s="5"/>
      <c r="AA192" s="5"/>
      <c r="AB192" s="5"/>
    </row>
    <row r="193" spans="1:28" ht="13.15" customHeight="1">
      <c r="A193" s="12">
        <v>179</v>
      </c>
      <c r="B193" s="11">
        <f t="shared" si="60"/>
        <v>45449</v>
      </c>
      <c r="C193" s="9">
        <f t="shared" si="61"/>
        <v>842</v>
      </c>
      <c r="D193" s="8">
        <f t="shared" si="71"/>
        <v>1533</v>
      </c>
      <c r="E193" s="4">
        <f t="shared" si="53"/>
        <v>-264</v>
      </c>
      <c r="F193" s="4">
        <f t="shared" si="54"/>
        <v>-252</v>
      </c>
      <c r="G193" s="4">
        <f t="shared" si="55"/>
        <v>23</v>
      </c>
      <c r="H193" s="5">
        <f t="shared" si="56"/>
        <v>2639</v>
      </c>
      <c r="I193" s="5">
        <f t="shared" si="57"/>
        <v>2627</v>
      </c>
      <c r="J193" s="5">
        <f t="shared" si="58"/>
        <v>2352</v>
      </c>
      <c r="K193" s="5">
        <f t="shared" si="65"/>
        <v>3000</v>
      </c>
      <c r="L193" s="5">
        <f t="shared" si="66"/>
        <v>3000</v>
      </c>
      <c r="M193" s="5">
        <f t="shared" si="67"/>
        <v>3000</v>
      </c>
      <c r="N193" s="5">
        <f t="shared" si="62"/>
        <v>-361</v>
      </c>
      <c r="O193" s="5">
        <f t="shared" si="63"/>
        <v>-373</v>
      </c>
      <c r="P193" s="5">
        <f t="shared" si="64"/>
        <v>-648</v>
      </c>
      <c r="Q193" s="4">
        <v>0</v>
      </c>
      <c r="R193" s="4">
        <v>0</v>
      </c>
      <c r="S193" s="4">
        <v>0</v>
      </c>
      <c r="T193" s="6">
        <f t="shared" si="59"/>
        <v>848</v>
      </c>
      <c r="U193" s="7">
        <f t="shared" si="69"/>
        <v>1719</v>
      </c>
      <c r="V193" s="7">
        <f t="shared" si="70"/>
        <v>1527</v>
      </c>
      <c r="W193" s="7">
        <f t="shared" si="68"/>
        <v>1742</v>
      </c>
      <c r="X193" s="6"/>
      <c r="Y193" s="5"/>
      <c r="Z193" s="5"/>
      <c r="AA193" s="5"/>
      <c r="AB193" s="5"/>
    </row>
    <row r="194" spans="1:28" ht="13.15" customHeight="1">
      <c r="A194" s="12">
        <v>180</v>
      </c>
      <c r="B194" s="11">
        <f t="shared" si="60"/>
        <v>45450</v>
      </c>
      <c r="C194" s="9">
        <f t="shared" si="61"/>
        <v>842</v>
      </c>
      <c r="D194" s="8">
        <f t="shared" si="71"/>
        <v>1535</v>
      </c>
      <c r="E194" s="4">
        <f t="shared" si="53"/>
        <v>-262</v>
      </c>
      <c r="F194" s="4">
        <f t="shared" si="54"/>
        <v>-250</v>
      </c>
      <c r="G194" s="4">
        <f t="shared" si="55"/>
        <v>25</v>
      </c>
      <c r="H194" s="5">
        <f t="shared" si="56"/>
        <v>2639</v>
      </c>
      <c r="I194" s="5">
        <f t="shared" si="57"/>
        <v>2627</v>
      </c>
      <c r="J194" s="5">
        <f t="shared" si="58"/>
        <v>2352</v>
      </c>
      <c r="K194" s="5">
        <f t="shared" si="65"/>
        <v>3000</v>
      </c>
      <c r="L194" s="5">
        <f t="shared" si="66"/>
        <v>3000</v>
      </c>
      <c r="M194" s="5">
        <f t="shared" si="67"/>
        <v>3000</v>
      </c>
      <c r="N194" s="5">
        <f t="shared" si="62"/>
        <v>-361</v>
      </c>
      <c r="O194" s="5">
        <f t="shared" si="63"/>
        <v>-373</v>
      </c>
      <c r="P194" s="5">
        <f t="shared" si="64"/>
        <v>-648</v>
      </c>
      <c r="Q194" s="4">
        <v>0</v>
      </c>
      <c r="R194" s="4">
        <v>0</v>
      </c>
      <c r="S194" s="4">
        <v>0</v>
      </c>
      <c r="T194" s="6">
        <f t="shared" si="59"/>
        <v>850</v>
      </c>
      <c r="U194" s="7">
        <f t="shared" si="69"/>
        <v>1719</v>
      </c>
      <c r="V194" s="7">
        <f t="shared" si="70"/>
        <v>1527</v>
      </c>
      <c r="W194" s="7">
        <f t="shared" si="68"/>
        <v>1742</v>
      </c>
      <c r="X194" s="6"/>
      <c r="Y194" s="5"/>
      <c r="Z194" s="5"/>
      <c r="AA194" s="5"/>
      <c r="AB194" s="5"/>
    </row>
    <row r="195" spans="1:28" ht="13.15" customHeight="1">
      <c r="A195" s="12">
        <v>181</v>
      </c>
      <c r="B195" s="11">
        <f t="shared" si="60"/>
        <v>45451</v>
      </c>
      <c r="C195" s="9">
        <f t="shared" si="61"/>
        <v>842</v>
      </c>
      <c r="D195" s="8">
        <f t="shared" si="71"/>
        <v>1537</v>
      </c>
      <c r="E195" s="4">
        <f t="shared" si="53"/>
        <v>-260</v>
      </c>
      <c r="F195" s="4">
        <f t="shared" si="54"/>
        <v>-248</v>
      </c>
      <c r="G195" s="4">
        <f t="shared" si="55"/>
        <v>27</v>
      </c>
      <c r="H195" s="5">
        <f t="shared" si="56"/>
        <v>2639</v>
      </c>
      <c r="I195" s="5">
        <f t="shared" si="57"/>
        <v>2627</v>
      </c>
      <c r="J195" s="5">
        <f t="shared" si="58"/>
        <v>2352</v>
      </c>
      <c r="K195" s="5">
        <f t="shared" si="65"/>
        <v>3000</v>
      </c>
      <c r="L195" s="5">
        <f t="shared" si="66"/>
        <v>3000</v>
      </c>
      <c r="M195" s="5">
        <f t="shared" si="67"/>
        <v>3000</v>
      </c>
      <c r="N195" s="5">
        <f t="shared" si="62"/>
        <v>-361</v>
      </c>
      <c r="O195" s="5">
        <f t="shared" si="63"/>
        <v>-373</v>
      </c>
      <c r="P195" s="5">
        <f t="shared" si="64"/>
        <v>-648</v>
      </c>
      <c r="Q195" s="4">
        <v>0</v>
      </c>
      <c r="R195" s="4">
        <v>0</v>
      </c>
      <c r="S195" s="4">
        <v>0</v>
      </c>
      <c r="T195" s="6">
        <f t="shared" si="59"/>
        <v>852</v>
      </c>
      <c r="U195" s="7">
        <f t="shared" si="69"/>
        <v>1719</v>
      </c>
      <c r="V195" s="7">
        <f t="shared" si="70"/>
        <v>1527</v>
      </c>
      <c r="W195" s="7">
        <f t="shared" si="68"/>
        <v>1742</v>
      </c>
      <c r="X195" s="6"/>
      <c r="Y195" s="5"/>
      <c r="Z195" s="5"/>
      <c r="AA195" s="5"/>
      <c r="AB195" s="5"/>
    </row>
    <row r="196" spans="1:28" ht="13.15" customHeight="1">
      <c r="A196" s="12">
        <v>182</v>
      </c>
      <c r="B196" s="11">
        <f t="shared" si="60"/>
        <v>45452</v>
      </c>
      <c r="C196" s="9">
        <f t="shared" si="61"/>
        <v>842</v>
      </c>
      <c r="D196" s="8">
        <f t="shared" si="71"/>
        <v>1539</v>
      </c>
      <c r="E196" s="4">
        <f t="shared" si="53"/>
        <v>-258</v>
      </c>
      <c r="F196" s="4">
        <f t="shared" si="54"/>
        <v>-246</v>
      </c>
      <c r="G196" s="4">
        <f t="shared" si="55"/>
        <v>29</v>
      </c>
      <c r="H196" s="5">
        <f t="shared" si="56"/>
        <v>2639</v>
      </c>
      <c r="I196" s="5">
        <f t="shared" si="57"/>
        <v>2627</v>
      </c>
      <c r="J196" s="5">
        <f t="shared" si="58"/>
        <v>2352</v>
      </c>
      <c r="K196" s="5">
        <f t="shared" si="65"/>
        <v>3000</v>
      </c>
      <c r="L196" s="5">
        <f t="shared" si="66"/>
        <v>3000</v>
      </c>
      <c r="M196" s="5">
        <f t="shared" si="67"/>
        <v>3000</v>
      </c>
      <c r="N196" s="5">
        <f t="shared" si="62"/>
        <v>-361</v>
      </c>
      <c r="O196" s="5">
        <f t="shared" si="63"/>
        <v>-373</v>
      </c>
      <c r="P196" s="5">
        <f t="shared" si="64"/>
        <v>-648</v>
      </c>
      <c r="Q196" s="4">
        <v>0</v>
      </c>
      <c r="R196" s="4">
        <v>0</v>
      </c>
      <c r="S196" s="4">
        <v>0</v>
      </c>
      <c r="T196" s="6">
        <f t="shared" si="59"/>
        <v>854</v>
      </c>
      <c r="U196" s="7">
        <f t="shared" si="69"/>
        <v>1719</v>
      </c>
      <c r="V196" s="7">
        <f t="shared" si="70"/>
        <v>1527</v>
      </c>
      <c r="W196" s="7">
        <f t="shared" si="68"/>
        <v>1742</v>
      </c>
      <c r="X196" s="6"/>
      <c r="Y196" s="5"/>
      <c r="Z196" s="5"/>
      <c r="AA196" s="5"/>
      <c r="AB196" s="5"/>
    </row>
    <row r="197" spans="1:28" ht="13.15" customHeight="1">
      <c r="A197" s="12">
        <v>183</v>
      </c>
      <c r="B197" s="11">
        <f t="shared" si="60"/>
        <v>45453</v>
      </c>
      <c r="C197" s="9">
        <f t="shared" si="61"/>
        <v>842</v>
      </c>
      <c r="D197" s="8">
        <f t="shared" si="71"/>
        <v>1541</v>
      </c>
      <c r="E197" s="4">
        <f t="shared" si="53"/>
        <v>-256</v>
      </c>
      <c r="F197" s="4">
        <f t="shared" si="54"/>
        <v>-244</v>
      </c>
      <c r="G197" s="4">
        <f t="shared" si="55"/>
        <v>31</v>
      </c>
      <c r="H197" s="5">
        <f t="shared" si="56"/>
        <v>2639</v>
      </c>
      <c r="I197" s="5">
        <f t="shared" si="57"/>
        <v>2627</v>
      </c>
      <c r="J197" s="5">
        <f t="shared" si="58"/>
        <v>2352</v>
      </c>
      <c r="K197" s="5">
        <f t="shared" si="65"/>
        <v>3000</v>
      </c>
      <c r="L197" s="5">
        <f t="shared" si="66"/>
        <v>3000</v>
      </c>
      <c r="M197" s="5">
        <f t="shared" si="67"/>
        <v>3000</v>
      </c>
      <c r="N197" s="5">
        <f t="shared" si="62"/>
        <v>-361</v>
      </c>
      <c r="O197" s="5">
        <f t="shared" si="63"/>
        <v>-373</v>
      </c>
      <c r="P197" s="5">
        <f t="shared" si="64"/>
        <v>-648</v>
      </c>
      <c r="Q197" s="4">
        <v>0</v>
      </c>
      <c r="R197" s="4">
        <v>0</v>
      </c>
      <c r="S197" s="4">
        <v>0</v>
      </c>
      <c r="T197" s="6">
        <f t="shared" si="59"/>
        <v>856</v>
      </c>
      <c r="U197" s="7">
        <f t="shared" si="69"/>
        <v>1719</v>
      </c>
      <c r="V197" s="7">
        <f t="shared" si="70"/>
        <v>1527</v>
      </c>
      <c r="W197" s="7">
        <f t="shared" si="68"/>
        <v>1742</v>
      </c>
      <c r="X197" s="6"/>
      <c r="Y197" s="5"/>
      <c r="Z197" s="5"/>
      <c r="AA197" s="5"/>
      <c r="AB197" s="5"/>
    </row>
    <row r="198" spans="1:28" ht="13.15" customHeight="1">
      <c r="A198" s="12">
        <v>184</v>
      </c>
      <c r="B198" s="11">
        <f t="shared" si="60"/>
        <v>45454</v>
      </c>
      <c r="C198" s="9">
        <f t="shared" si="61"/>
        <v>842</v>
      </c>
      <c r="D198" s="8">
        <f t="shared" si="71"/>
        <v>1543</v>
      </c>
      <c r="E198" s="4">
        <f t="shared" si="53"/>
        <v>-254</v>
      </c>
      <c r="F198" s="4">
        <f t="shared" si="54"/>
        <v>-242</v>
      </c>
      <c r="G198" s="4">
        <f t="shared" si="55"/>
        <v>33</v>
      </c>
      <c r="H198" s="5">
        <f t="shared" si="56"/>
        <v>2639</v>
      </c>
      <c r="I198" s="5">
        <f t="shared" si="57"/>
        <v>2627</v>
      </c>
      <c r="J198" s="5">
        <f t="shared" si="58"/>
        <v>2352</v>
      </c>
      <c r="K198" s="5">
        <f t="shared" si="65"/>
        <v>3000</v>
      </c>
      <c r="L198" s="5">
        <f t="shared" si="66"/>
        <v>3000</v>
      </c>
      <c r="M198" s="5">
        <f t="shared" si="67"/>
        <v>3000</v>
      </c>
      <c r="N198" s="5">
        <f t="shared" si="62"/>
        <v>-361</v>
      </c>
      <c r="O198" s="5">
        <f t="shared" si="63"/>
        <v>-373</v>
      </c>
      <c r="P198" s="5">
        <f t="shared" si="64"/>
        <v>-648</v>
      </c>
      <c r="Q198" s="4">
        <v>0</v>
      </c>
      <c r="R198" s="4">
        <v>0</v>
      </c>
      <c r="S198" s="4">
        <v>0</v>
      </c>
      <c r="T198" s="6">
        <f t="shared" si="59"/>
        <v>858</v>
      </c>
      <c r="U198" s="7">
        <f t="shared" si="69"/>
        <v>1719</v>
      </c>
      <c r="V198" s="7">
        <f t="shared" si="70"/>
        <v>1527</v>
      </c>
      <c r="W198" s="7">
        <f t="shared" si="68"/>
        <v>1742</v>
      </c>
      <c r="X198" s="6"/>
      <c r="Y198" s="5"/>
      <c r="Z198" s="5"/>
      <c r="AA198" s="5"/>
      <c r="AB198" s="5"/>
    </row>
    <row r="199" spans="1:28" ht="13.15" customHeight="1">
      <c r="A199" s="12">
        <v>185</v>
      </c>
      <c r="B199" s="11">
        <f t="shared" si="60"/>
        <v>45455</v>
      </c>
      <c r="C199" s="9">
        <f t="shared" si="61"/>
        <v>842</v>
      </c>
      <c r="D199" s="8">
        <f t="shared" si="71"/>
        <v>1545</v>
      </c>
      <c r="E199" s="4">
        <f t="shared" si="53"/>
        <v>-252</v>
      </c>
      <c r="F199" s="4">
        <f t="shared" si="54"/>
        <v>-240</v>
      </c>
      <c r="G199" s="4">
        <f t="shared" si="55"/>
        <v>35</v>
      </c>
      <c r="H199" s="5">
        <f t="shared" si="56"/>
        <v>2639</v>
      </c>
      <c r="I199" s="5">
        <f t="shared" si="57"/>
        <v>2627</v>
      </c>
      <c r="J199" s="5">
        <f t="shared" si="58"/>
        <v>2352</v>
      </c>
      <c r="K199" s="5">
        <f t="shared" si="65"/>
        <v>3000</v>
      </c>
      <c r="L199" s="5">
        <f t="shared" si="66"/>
        <v>3000</v>
      </c>
      <c r="M199" s="5">
        <f t="shared" si="67"/>
        <v>3000</v>
      </c>
      <c r="N199" s="5">
        <f t="shared" si="62"/>
        <v>-361</v>
      </c>
      <c r="O199" s="5">
        <f t="shared" si="63"/>
        <v>-373</v>
      </c>
      <c r="P199" s="5">
        <f t="shared" si="64"/>
        <v>-648</v>
      </c>
      <c r="Q199" s="4">
        <v>0</v>
      </c>
      <c r="R199" s="4">
        <v>0</v>
      </c>
      <c r="S199" s="4">
        <v>0</v>
      </c>
      <c r="T199" s="6">
        <f t="shared" si="59"/>
        <v>860</v>
      </c>
      <c r="U199" s="7">
        <f t="shared" si="69"/>
        <v>1719</v>
      </c>
      <c r="V199" s="7">
        <f t="shared" si="70"/>
        <v>1527</v>
      </c>
      <c r="W199" s="7">
        <f t="shared" si="68"/>
        <v>1742</v>
      </c>
      <c r="X199" s="6"/>
      <c r="Y199" s="5"/>
      <c r="Z199" s="5"/>
      <c r="AA199" s="5"/>
      <c r="AB199" s="5"/>
    </row>
    <row r="200" spans="1:28" ht="13.15" customHeight="1">
      <c r="A200" s="12">
        <v>186</v>
      </c>
      <c r="B200" s="11">
        <f t="shared" si="60"/>
        <v>45456</v>
      </c>
      <c r="C200" s="9">
        <f t="shared" si="61"/>
        <v>842</v>
      </c>
      <c r="D200" s="8">
        <f t="shared" si="71"/>
        <v>1547</v>
      </c>
      <c r="E200" s="4">
        <f t="shared" si="53"/>
        <v>-250</v>
      </c>
      <c r="F200" s="4">
        <f t="shared" si="54"/>
        <v>-238</v>
      </c>
      <c r="G200" s="4">
        <f t="shared" si="55"/>
        <v>37</v>
      </c>
      <c r="H200" s="5">
        <f t="shared" si="56"/>
        <v>2639</v>
      </c>
      <c r="I200" s="5">
        <f t="shared" si="57"/>
        <v>2627</v>
      </c>
      <c r="J200" s="5">
        <f t="shared" si="58"/>
        <v>2352</v>
      </c>
      <c r="K200" s="5">
        <f t="shared" si="65"/>
        <v>3000</v>
      </c>
      <c r="L200" s="5">
        <f t="shared" si="66"/>
        <v>3000</v>
      </c>
      <c r="M200" s="5">
        <f t="shared" si="67"/>
        <v>3000</v>
      </c>
      <c r="N200" s="5">
        <f t="shared" si="62"/>
        <v>-361</v>
      </c>
      <c r="O200" s="5">
        <f t="shared" si="63"/>
        <v>-373</v>
      </c>
      <c r="P200" s="5">
        <f t="shared" si="64"/>
        <v>-648</v>
      </c>
      <c r="Q200" s="4">
        <v>0</v>
      </c>
      <c r="R200" s="4">
        <v>0</v>
      </c>
      <c r="S200" s="4">
        <v>0</v>
      </c>
      <c r="T200" s="6">
        <f t="shared" si="59"/>
        <v>862</v>
      </c>
      <c r="U200" s="7">
        <f t="shared" si="69"/>
        <v>1719</v>
      </c>
      <c r="V200" s="7">
        <f t="shared" si="70"/>
        <v>1527</v>
      </c>
      <c r="W200" s="7">
        <f t="shared" si="68"/>
        <v>1742</v>
      </c>
      <c r="X200" s="6"/>
      <c r="Y200" s="5"/>
      <c r="Z200" s="5"/>
      <c r="AA200" s="5"/>
      <c r="AB200" s="5"/>
    </row>
    <row r="201" spans="1:28" ht="13.15" customHeight="1">
      <c r="A201" s="12">
        <v>187</v>
      </c>
      <c r="B201" s="11">
        <f t="shared" si="60"/>
        <v>45457</v>
      </c>
      <c r="C201" s="9">
        <f t="shared" si="61"/>
        <v>842</v>
      </c>
      <c r="D201" s="8">
        <f t="shared" si="71"/>
        <v>1549</v>
      </c>
      <c r="E201" s="4">
        <f t="shared" si="53"/>
        <v>-248</v>
      </c>
      <c r="F201" s="4">
        <f t="shared" si="54"/>
        <v>-236</v>
      </c>
      <c r="G201" s="4">
        <f t="shared" si="55"/>
        <v>39</v>
      </c>
      <c r="H201" s="5">
        <f t="shared" si="56"/>
        <v>2639</v>
      </c>
      <c r="I201" s="5">
        <f t="shared" si="57"/>
        <v>2627</v>
      </c>
      <c r="J201" s="5">
        <f t="shared" si="58"/>
        <v>2352</v>
      </c>
      <c r="K201" s="5">
        <f t="shared" si="65"/>
        <v>3000</v>
      </c>
      <c r="L201" s="5">
        <f t="shared" si="66"/>
        <v>3000</v>
      </c>
      <c r="M201" s="5">
        <f t="shared" si="67"/>
        <v>3000</v>
      </c>
      <c r="N201" s="5">
        <f t="shared" si="62"/>
        <v>-361</v>
      </c>
      <c r="O201" s="5">
        <f t="shared" si="63"/>
        <v>-373</v>
      </c>
      <c r="P201" s="5">
        <f t="shared" si="64"/>
        <v>-648</v>
      </c>
      <c r="Q201" s="4">
        <v>0</v>
      </c>
      <c r="R201" s="4">
        <v>0</v>
      </c>
      <c r="S201" s="4">
        <v>0</v>
      </c>
      <c r="T201" s="6">
        <f t="shared" si="59"/>
        <v>864</v>
      </c>
      <c r="U201" s="7">
        <f t="shared" si="69"/>
        <v>1719</v>
      </c>
      <c r="V201" s="7">
        <f t="shared" si="70"/>
        <v>1527</v>
      </c>
      <c r="W201" s="7">
        <f t="shared" si="68"/>
        <v>1742</v>
      </c>
      <c r="X201" s="6"/>
      <c r="Y201" s="5"/>
      <c r="Z201" s="5"/>
      <c r="AA201" s="5"/>
      <c r="AB201" s="5"/>
    </row>
    <row r="202" spans="1:28" ht="13.15" customHeight="1">
      <c r="A202" s="12">
        <v>188</v>
      </c>
      <c r="B202" s="11">
        <f t="shared" si="60"/>
        <v>45458</v>
      </c>
      <c r="C202" s="9">
        <f t="shared" si="61"/>
        <v>842</v>
      </c>
      <c r="D202" s="8">
        <f t="shared" si="71"/>
        <v>1551</v>
      </c>
      <c r="E202" s="4">
        <f t="shared" si="53"/>
        <v>-246</v>
      </c>
      <c r="F202" s="4">
        <f t="shared" si="54"/>
        <v>-234</v>
      </c>
      <c r="G202" s="4">
        <f t="shared" si="55"/>
        <v>41</v>
      </c>
      <c r="H202" s="5">
        <f t="shared" si="56"/>
        <v>2639</v>
      </c>
      <c r="I202" s="5">
        <f t="shared" si="57"/>
        <v>2627</v>
      </c>
      <c r="J202" s="5">
        <f t="shared" si="58"/>
        <v>2352</v>
      </c>
      <c r="K202" s="5">
        <f t="shared" si="65"/>
        <v>3000</v>
      </c>
      <c r="L202" s="5">
        <f t="shared" si="66"/>
        <v>3000</v>
      </c>
      <c r="M202" s="5">
        <f t="shared" si="67"/>
        <v>3000</v>
      </c>
      <c r="N202" s="5">
        <f t="shared" si="62"/>
        <v>-361</v>
      </c>
      <c r="O202" s="5">
        <f t="shared" si="63"/>
        <v>-373</v>
      </c>
      <c r="P202" s="5">
        <f t="shared" si="64"/>
        <v>-648</v>
      </c>
      <c r="Q202" s="4">
        <v>0</v>
      </c>
      <c r="R202" s="4">
        <v>0</v>
      </c>
      <c r="S202" s="4">
        <v>0</v>
      </c>
      <c r="T202" s="6">
        <f t="shared" si="59"/>
        <v>866</v>
      </c>
      <c r="U202" s="7">
        <f t="shared" si="69"/>
        <v>1719</v>
      </c>
      <c r="V202" s="7">
        <f t="shared" si="70"/>
        <v>1527</v>
      </c>
      <c r="W202" s="7">
        <f t="shared" si="68"/>
        <v>1742</v>
      </c>
      <c r="X202" s="6"/>
      <c r="Y202" s="5"/>
      <c r="Z202" s="5"/>
      <c r="AA202" s="5"/>
      <c r="AB202" s="5"/>
    </row>
    <row r="203" spans="1:28" ht="13.15" customHeight="1">
      <c r="A203" s="12">
        <v>189</v>
      </c>
      <c r="B203" s="11">
        <f t="shared" si="60"/>
        <v>45459</v>
      </c>
      <c r="C203" s="9">
        <f t="shared" si="61"/>
        <v>842</v>
      </c>
      <c r="D203" s="8">
        <f t="shared" si="71"/>
        <v>1553</v>
      </c>
      <c r="E203" s="4">
        <f t="shared" si="53"/>
        <v>-244</v>
      </c>
      <c r="F203" s="4">
        <f t="shared" si="54"/>
        <v>-232</v>
      </c>
      <c r="G203" s="4">
        <f t="shared" si="55"/>
        <v>43</v>
      </c>
      <c r="H203" s="5">
        <f t="shared" si="56"/>
        <v>2639</v>
      </c>
      <c r="I203" s="5">
        <f t="shared" si="57"/>
        <v>2627</v>
      </c>
      <c r="J203" s="5">
        <f t="shared" si="58"/>
        <v>2352</v>
      </c>
      <c r="K203" s="5">
        <f t="shared" si="65"/>
        <v>3000</v>
      </c>
      <c r="L203" s="5">
        <f t="shared" si="66"/>
        <v>3000</v>
      </c>
      <c r="M203" s="5">
        <f t="shared" si="67"/>
        <v>3000</v>
      </c>
      <c r="N203" s="5">
        <f t="shared" si="62"/>
        <v>-361</v>
      </c>
      <c r="O203" s="5">
        <f t="shared" si="63"/>
        <v>-373</v>
      </c>
      <c r="P203" s="5">
        <f t="shared" si="64"/>
        <v>-648</v>
      </c>
      <c r="Q203" s="4">
        <v>0</v>
      </c>
      <c r="R203" s="4">
        <v>0</v>
      </c>
      <c r="S203" s="4">
        <v>0</v>
      </c>
      <c r="T203" s="6">
        <f t="shared" si="59"/>
        <v>868</v>
      </c>
      <c r="U203" s="7">
        <f t="shared" si="69"/>
        <v>1719</v>
      </c>
      <c r="V203" s="7">
        <f t="shared" si="70"/>
        <v>1527</v>
      </c>
      <c r="W203" s="7">
        <f t="shared" si="68"/>
        <v>1742</v>
      </c>
      <c r="X203" s="6"/>
      <c r="Y203" s="5"/>
      <c r="Z203" s="5"/>
      <c r="AA203" s="5"/>
      <c r="AB203" s="5"/>
    </row>
    <row r="204" spans="1:28" ht="13.15" customHeight="1">
      <c r="A204" s="12">
        <v>190</v>
      </c>
      <c r="B204" s="11">
        <f t="shared" si="60"/>
        <v>45460</v>
      </c>
      <c r="C204" s="9">
        <f t="shared" si="61"/>
        <v>842</v>
      </c>
      <c r="D204" s="8">
        <f t="shared" si="71"/>
        <v>1555</v>
      </c>
      <c r="E204" s="4">
        <f t="shared" si="53"/>
        <v>-242</v>
      </c>
      <c r="F204" s="4">
        <f t="shared" si="54"/>
        <v>-230</v>
      </c>
      <c r="G204" s="4">
        <f t="shared" si="55"/>
        <v>45</v>
      </c>
      <c r="H204" s="5">
        <f t="shared" si="56"/>
        <v>2639</v>
      </c>
      <c r="I204" s="5">
        <f t="shared" si="57"/>
        <v>2627</v>
      </c>
      <c r="J204" s="5">
        <f t="shared" si="58"/>
        <v>2352</v>
      </c>
      <c r="K204" s="5">
        <f t="shared" si="65"/>
        <v>3000</v>
      </c>
      <c r="L204" s="5">
        <f t="shared" si="66"/>
        <v>3000</v>
      </c>
      <c r="M204" s="5">
        <f t="shared" si="67"/>
        <v>3000</v>
      </c>
      <c r="N204" s="5">
        <f t="shared" si="62"/>
        <v>-361</v>
      </c>
      <c r="O204" s="5">
        <f t="shared" si="63"/>
        <v>-373</v>
      </c>
      <c r="P204" s="5">
        <f t="shared" si="64"/>
        <v>-648</v>
      </c>
      <c r="Q204" s="4">
        <v>0</v>
      </c>
      <c r="R204" s="4">
        <v>0</v>
      </c>
      <c r="S204" s="4">
        <v>0</v>
      </c>
      <c r="T204" s="6">
        <f t="shared" si="59"/>
        <v>870</v>
      </c>
      <c r="U204" s="7">
        <f t="shared" si="69"/>
        <v>1719</v>
      </c>
      <c r="V204" s="7">
        <f t="shared" si="70"/>
        <v>1527</v>
      </c>
      <c r="W204" s="7">
        <f t="shared" si="68"/>
        <v>1742</v>
      </c>
      <c r="X204" s="6"/>
      <c r="Y204" s="5"/>
      <c r="Z204" s="5"/>
      <c r="AA204" s="5"/>
      <c r="AB204" s="5"/>
    </row>
    <row r="205" spans="1:28" ht="13.15" customHeight="1">
      <c r="A205" s="12">
        <v>191</v>
      </c>
      <c r="B205" s="11">
        <f t="shared" si="60"/>
        <v>45461</v>
      </c>
      <c r="C205" s="9">
        <f t="shared" si="61"/>
        <v>842</v>
      </c>
      <c r="D205" s="8">
        <f t="shared" si="71"/>
        <v>1557</v>
      </c>
      <c r="E205" s="4">
        <f t="shared" si="53"/>
        <v>-240</v>
      </c>
      <c r="F205" s="4">
        <f t="shared" si="54"/>
        <v>-228</v>
      </c>
      <c r="G205" s="4">
        <f t="shared" si="55"/>
        <v>47</v>
      </c>
      <c r="H205" s="5">
        <f t="shared" si="56"/>
        <v>2639</v>
      </c>
      <c r="I205" s="5">
        <f t="shared" si="57"/>
        <v>2627</v>
      </c>
      <c r="J205" s="5">
        <f t="shared" si="58"/>
        <v>2352</v>
      </c>
      <c r="K205" s="5">
        <f t="shared" si="65"/>
        <v>3000</v>
      </c>
      <c r="L205" s="5">
        <f t="shared" si="66"/>
        <v>3000</v>
      </c>
      <c r="M205" s="5">
        <f t="shared" si="67"/>
        <v>3000</v>
      </c>
      <c r="N205" s="5">
        <f t="shared" si="62"/>
        <v>-361</v>
      </c>
      <c r="O205" s="5">
        <f t="shared" si="63"/>
        <v>-373</v>
      </c>
      <c r="P205" s="5">
        <f t="shared" si="64"/>
        <v>-648</v>
      </c>
      <c r="Q205" s="4">
        <v>0</v>
      </c>
      <c r="R205" s="4">
        <v>0</v>
      </c>
      <c r="S205" s="4">
        <v>0</v>
      </c>
      <c r="T205" s="6">
        <f t="shared" si="59"/>
        <v>872</v>
      </c>
      <c r="U205" s="7">
        <f t="shared" si="69"/>
        <v>1719</v>
      </c>
      <c r="V205" s="7">
        <f t="shared" si="70"/>
        <v>1527</v>
      </c>
      <c r="W205" s="7">
        <f t="shared" si="68"/>
        <v>1742</v>
      </c>
      <c r="X205" s="6"/>
      <c r="Y205" s="5"/>
      <c r="Z205" s="5"/>
      <c r="AA205" s="5"/>
      <c r="AB205" s="5"/>
    </row>
    <row r="206" spans="1:28" ht="13.15" customHeight="1">
      <c r="A206" s="12">
        <v>192</v>
      </c>
      <c r="B206" s="11">
        <f t="shared" si="60"/>
        <v>45462</v>
      </c>
      <c r="C206" s="9">
        <f t="shared" si="61"/>
        <v>842</v>
      </c>
      <c r="D206" s="8">
        <f t="shared" si="71"/>
        <v>1559</v>
      </c>
      <c r="E206" s="4">
        <f t="shared" ref="E206:E269" si="72">C206+D206-H206</f>
        <v>-238</v>
      </c>
      <c r="F206" s="4">
        <f t="shared" ref="F206:F269" si="73">C206+D206-I206</f>
        <v>-226</v>
      </c>
      <c r="G206" s="4">
        <f t="shared" ref="G206:G269" si="74">D206+C206-J206</f>
        <v>49</v>
      </c>
      <c r="H206" s="5">
        <f t="shared" ref="H206:H269" si="75">K206+N206</f>
        <v>2639</v>
      </c>
      <c r="I206" s="5">
        <f t="shared" ref="I206:I269" si="76">L206+O206</f>
        <v>2627</v>
      </c>
      <c r="J206" s="5">
        <f t="shared" ref="J206:J269" si="77">M206+P206</f>
        <v>2352</v>
      </c>
      <c r="K206" s="5">
        <f t="shared" si="65"/>
        <v>3000</v>
      </c>
      <c r="L206" s="5">
        <f t="shared" si="66"/>
        <v>3000</v>
      </c>
      <c r="M206" s="5">
        <f t="shared" si="67"/>
        <v>3000</v>
      </c>
      <c r="N206" s="5">
        <f t="shared" si="62"/>
        <v>-361</v>
      </c>
      <c r="O206" s="5">
        <f t="shared" si="63"/>
        <v>-373</v>
      </c>
      <c r="P206" s="5">
        <f t="shared" si="64"/>
        <v>-648</v>
      </c>
      <c r="Q206" s="4">
        <v>0</v>
      </c>
      <c r="R206" s="4">
        <v>0</v>
      </c>
      <c r="S206" s="4">
        <v>0</v>
      </c>
      <c r="T206" s="6">
        <f t="shared" ref="T206:T269" si="78">D206+C206-V206</f>
        <v>874</v>
      </c>
      <c r="U206" s="7">
        <f t="shared" si="69"/>
        <v>1719</v>
      </c>
      <c r="V206" s="7">
        <f t="shared" si="70"/>
        <v>1527</v>
      </c>
      <c r="W206" s="7">
        <f t="shared" si="68"/>
        <v>1742</v>
      </c>
      <c r="X206" s="6"/>
      <c r="Y206" s="5"/>
      <c r="Z206" s="5"/>
      <c r="AA206" s="5"/>
      <c r="AB206" s="5"/>
    </row>
    <row r="207" spans="1:28" ht="13.15" customHeight="1">
      <c r="A207" s="12">
        <v>193</v>
      </c>
      <c r="B207" s="11">
        <f t="shared" ref="B207:B270" si="79">B206+1</f>
        <v>45463</v>
      </c>
      <c r="C207" s="9">
        <f t="shared" ref="C207:C270" si="80">C206</f>
        <v>842</v>
      </c>
      <c r="D207" s="8">
        <f t="shared" si="71"/>
        <v>1561</v>
      </c>
      <c r="E207" s="4">
        <f t="shared" si="72"/>
        <v>-236</v>
      </c>
      <c r="F207" s="4">
        <f t="shared" si="73"/>
        <v>-224</v>
      </c>
      <c r="G207" s="4">
        <f t="shared" si="74"/>
        <v>51</v>
      </c>
      <c r="H207" s="5">
        <f t="shared" si="75"/>
        <v>2639</v>
      </c>
      <c r="I207" s="5">
        <f t="shared" si="76"/>
        <v>2627</v>
      </c>
      <c r="J207" s="5">
        <f t="shared" si="77"/>
        <v>2352</v>
      </c>
      <c r="K207" s="5">
        <f t="shared" si="65"/>
        <v>3000</v>
      </c>
      <c r="L207" s="5">
        <f t="shared" si="66"/>
        <v>3000</v>
      </c>
      <c r="M207" s="5">
        <f t="shared" si="67"/>
        <v>3000</v>
      </c>
      <c r="N207" s="5">
        <f t="shared" ref="N207:N270" si="81">N206-Q207</f>
        <v>-361</v>
      </c>
      <c r="O207" s="5">
        <f t="shared" ref="O207:O270" si="82">O206-R207</f>
        <v>-373</v>
      </c>
      <c r="P207" s="5">
        <f t="shared" ref="P207:P270" si="83">P206-S207</f>
        <v>-648</v>
      </c>
      <c r="Q207" s="4">
        <v>0</v>
      </c>
      <c r="R207" s="4">
        <v>0</v>
      </c>
      <c r="S207" s="4">
        <v>0</v>
      </c>
      <c r="T207" s="6">
        <f t="shared" si="78"/>
        <v>876</v>
      </c>
      <c r="U207" s="7">
        <f t="shared" si="69"/>
        <v>1719</v>
      </c>
      <c r="V207" s="7">
        <f t="shared" si="70"/>
        <v>1527</v>
      </c>
      <c r="W207" s="7">
        <f t="shared" si="68"/>
        <v>1742</v>
      </c>
      <c r="X207" s="6"/>
      <c r="Y207" s="5"/>
      <c r="Z207" s="5"/>
      <c r="AA207" s="5"/>
      <c r="AB207" s="5"/>
    </row>
    <row r="208" spans="1:28" ht="13.15" customHeight="1">
      <c r="A208" s="12">
        <v>194</v>
      </c>
      <c r="B208" s="11">
        <f t="shared" si="79"/>
        <v>45464</v>
      </c>
      <c r="C208" s="9">
        <f t="shared" si="80"/>
        <v>842</v>
      </c>
      <c r="D208" s="8">
        <f t="shared" si="71"/>
        <v>1563</v>
      </c>
      <c r="E208" s="4">
        <f t="shared" si="72"/>
        <v>-234</v>
      </c>
      <c r="F208" s="4">
        <f t="shared" si="73"/>
        <v>-222</v>
      </c>
      <c r="G208" s="4">
        <f t="shared" si="74"/>
        <v>53</v>
      </c>
      <c r="H208" s="5">
        <f t="shared" si="75"/>
        <v>2639</v>
      </c>
      <c r="I208" s="5">
        <f t="shared" si="76"/>
        <v>2627</v>
      </c>
      <c r="J208" s="5">
        <f t="shared" si="77"/>
        <v>2352</v>
      </c>
      <c r="K208" s="5">
        <f t="shared" si="65"/>
        <v>3000</v>
      </c>
      <c r="L208" s="5">
        <f t="shared" si="66"/>
        <v>3000</v>
      </c>
      <c r="M208" s="5">
        <f t="shared" si="67"/>
        <v>3000</v>
      </c>
      <c r="N208" s="5">
        <f t="shared" si="81"/>
        <v>-361</v>
      </c>
      <c r="O208" s="5">
        <f t="shared" si="82"/>
        <v>-373</v>
      </c>
      <c r="P208" s="5">
        <f t="shared" si="83"/>
        <v>-648</v>
      </c>
      <c r="Q208" s="4">
        <v>0</v>
      </c>
      <c r="R208" s="4">
        <v>0</v>
      </c>
      <c r="S208" s="4">
        <v>0</v>
      </c>
      <c r="T208" s="6">
        <f t="shared" si="78"/>
        <v>878</v>
      </c>
      <c r="U208" s="7">
        <f t="shared" si="69"/>
        <v>1719</v>
      </c>
      <c r="V208" s="7">
        <f t="shared" si="70"/>
        <v>1527</v>
      </c>
      <c r="W208" s="7">
        <f t="shared" si="68"/>
        <v>1742</v>
      </c>
      <c r="X208" s="6"/>
      <c r="Y208" s="5"/>
      <c r="Z208" s="5"/>
      <c r="AA208" s="5"/>
      <c r="AB208" s="5"/>
    </row>
    <row r="209" spans="1:28" ht="13.15" customHeight="1">
      <c r="A209" s="12">
        <v>195</v>
      </c>
      <c r="B209" s="11">
        <f t="shared" si="79"/>
        <v>45465</v>
      </c>
      <c r="C209" s="9">
        <f t="shared" si="80"/>
        <v>842</v>
      </c>
      <c r="D209" s="8">
        <f t="shared" si="71"/>
        <v>1565</v>
      </c>
      <c r="E209" s="4">
        <f t="shared" si="72"/>
        <v>-232</v>
      </c>
      <c r="F209" s="4">
        <f t="shared" si="73"/>
        <v>-220</v>
      </c>
      <c r="G209" s="4">
        <f t="shared" si="74"/>
        <v>55</v>
      </c>
      <c r="H209" s="5">
        <f t="shared" si="75"/>
        <v>2639</v>
      </c>
      <c r="I209" s="5">
        <f t="shared" si="76"/>
        <v>2627</v>
      </c>
      <c r="J209" s="5">
        <f t="shared" si="77"/>
        <v>2352</v>
      </c>
      <c r="K209" s="5">
        <f t="shared" si="65"/>
        <v>3000</v>
      </c>
      <c r="L209" s="5">
        <f t="shared" si="66"/>
        <v>3000</v>
      </c>
      <c r="M209" s="5">
        <f t="shared" si="67"/>
        <v>3000</v>
      </c>
      <c r="N209" s="5">
        <f t="shared" si="81"/>
        <v>-361</v>
      </c>
      <c r="O209" s="5">
        <f t="shared" si="82"/>
        <v>-373</v>
      </c>
      <c r="P209" s="5">
        <f t="shared" si="83"/>
        <v>-648</v>
      </c>
      <c r="Q209" s="4">
        <v>0</v>
      </c>
      <c r="R209" s="4">
        <v>0</v>
      </c>
      <c r="S209" s="4">
        <v>0</v>
      </c>
      <c r="T209" s="6">
        <f t="shared" si="78"/>
        <v>880</v>
      </c>
      <c r="U209" s="7">
        <f t="shared" si="69"/>
        <v>1719</v>
      </c>
      <c r="V209" s="7">
        <f t="shared" si="70"/>
        <v>1527</v>
      </c>
      <c r="W209" s="7">
        <f t="shared" si="68"/>
        <v>1742</v>
      </c>
      <c r="X209" s="6"/>
      <c r="Y209" s="5"/>
      <c r="Z209" s="5"/>
      <c r="AA209" s="5"/>
      <c r="AB209" s="5"/>
    </row>
    <row r="210" spans="1:28" ht="13.15" customHeight="1">
      <c r="A210" s="12">
        <v>196</v>
      </c>
      <c r="B210" s="11">
        <f t="shared" si="79"/>
        <v>45466</v>
      </c>
      <c r="C210" s="9">
        <f t="shared" si="80"/>
        <v>842</v>
      </c>
      <c r="D210" s="8">
        <f t="shared" si="71"/>
        <v>1567</v>
      </c>
      <c r="E210" s="4">
        <f t="shared" si="72"/>
        <v>-230</v>
      </c>
      <c r="F210" s="4">
        <f t="shared" si="73"/>
        <v>-218</v>
      </c>
      <c r="G210" s="4">
        <f t="shared" si="74"/>
        <v>57</v>
      </c>
      <c r="H210" s="5">
        <f t="shared" si="75"/>
        <v>2639</v>
      </c>
      <c r="I210" s="5">
        <f t="shared" si="76"/>
        <v>2627</v>
      </c>
      <c r="J210" s="5">
        <f t="shared" si="77"/>
        <v>2352</v>
      </c>
      <c r="K210" s="5">
        <f t="shared" si="65"/>
        <v>3000</v>
      </c>
      <c r="L210" s="5">
        <f t="shared" si="66"/>
        <v>3000</v>
      </c>
      <c r="M210" s="5">
        <f t="shared" si="67"/>
        <v>3000</v>
      </c>
      <c r="N210" s="5">
        <f t="shared" si="81"/>
        <v>-361</v>
      </c>
      <c r="O210" s="5">
        <f t="shared" si="82"/>
        <v>-373</v>
      </c>
      <c r="P210" s="5">
        <f t="shared" si="83"/>
        <v>-648</v>
      </c>
      <c r="Q210" s="4">
        <v>0</v>
      </c>
      <c r="R210" s="4">
        <v>0</v>
      </c>
      <c r="S210" s="4">
        <v>0</v>
      </c>
      <c r="T210" s="6">
        <f t="shared" si="78"/>
        <v>882</v>
      </c>
      <c r="U210" s="7">
        <f t="shared" si="69"/>
        <v>1719</v>
      </c>
      <c r="V210" s="7">
        <f t="shared" si="70"/>
        <v>1527</v>
      </c>
      <c r="W210" s="7">
        <f t="shared" si="68"/>
        <v>1742</v>
      </c>
      <c r="X210" s="6"/>
      <c r="Y210" s="5"/>
      <c r="Z210" s="5"/>
      <c r="AA210" s="5"/>
      <c r="AB210" s="5"/>
    </row>
    <row r="211" spans="1:28" ht="13.15" customHeight="1">
      <c r="A211" s="12">
        <v>197</v>
      </c>
      <c r="B211" s="11">
        <f t="shared" si="79"/>
        <v>45467</v>
      </c>
      <c r="C211" s="9">
        <f t="shared" si="80"/>
        <v>842</v>
      </c>
      <c r="D211" s="8">
        <f t="shared" si="71"/>
        <v>1569</v>
      </c>
      <c r="E211" s="4">
        <f t="shared" si="72"/>
        <v>-228</v>
      </c>
      <c r="F211" s="4">
        <f t="shared" si="73"/>
        <v>-216</v>
      </c>
      <c r="G211" s="4">
        <f t="shared" si="74"/>
        <v>59</v>
      </c>
      <c r="H211" s="5">
        <f t="shared" si="75"/>
        <v>2639</v>
      </c>
      <c r="I211" s="5">
        <f t="shared" si="76"/>
        <v>2627</v>
      </c>
      <c r="J211" s="5">
        <f t="shared" si="77"/>
        <v>2352</v>
      </c>
      <c r="K211" s="5">
        <f t="shared" si="65"/>
        <v>3000</v>
      </c>
      <c r="L211" s="5">
        <f t="shared" si="66"/>
        <v>3000</v>
      </c>
      <c r="M211" s="5">
        <f t="shared" si="67"/>
        <v>3000</v>
      </c>
      <c r="N211" s="5">
        <f t="shared" si="81"/>
        <v>-361</v>
      </c>
      <c r="O211" s="5">
        <f t="shared" si="82"/>
        <v>-373</v>
      </c>
      <c r="P211" s="5">
        <f t="shared" si="83"/>
        <v>-648</v>
      </c>
      <c r="Q211" s="4">
        <v>0</v>
      </c>
      <c r="R211" s="4">
        <v>0</v>
      </c>
      <c r="S211" s="4">
        <v>0</v>
      </c>
      <c r="T211" s="6">
        <f t="shared" si="78"/>
        <v>884</v>
      </c>
      <c r="U211" s="7">
        <f t="shared" si="69"/>
        <v>1719</v>
      </c>
      <c r="V211" s="7">
        <f t="shared" si="70"/>
        <v>1527</v>
      </c>
      <c r="W211" s="7">
        <f t="shared" si="68"/>
        <v>1742</v>
      </c>
      <c r="X211" s="6"/>
      <c r="Y211" s="5"/>
      <c r="Z211" s="5"/>
      <c r="AA211" s="5"/>
      <c r="AB211" s="5"/>
    </row>
    <row r="212" spans="1:28" ht="13.15" customHeight="1">
      <c r="A212" s="12">
        <v>198</v>
      </c>
      <c r="B212" s="11">
        <f t="shared" si="79"/>
        <v>45468</v>
      </c>
      <c r="C212" s="9">
        <f t="shared" si="80"/>
        <v>842</v>
      </c>
      <c r="D212" s="8">
        <f t="shared" si="71"/>
        <v>1571</v>
      </c>
      <c r="E212" s="4">
        <f t="shared" si="72"/>
        <v>-226</v>
      </c>
      <c r="F212" s="4">
        <f t="shared" si="73"/>
        <v>-214</v>
      </c>
      <c r="G212" s="4">
        <f t="shared" si="74"/>
        <v>61</v>
      </c>
      <c r="H212" s="5">
        <f t="shared" si="75"/>
        <v>2639</v>
      </c>
      <c r="I212" s="5">
        <f t="shared" si="76"/>
        <v>2627</v>
      </c>
      <c r="J212" s="5">
        <f t="shared" si="77"/>
        <v>2352</v>
      </c>
      <c r="K212" s="5">
        <f t="shared" si="65"/>
        <v>3000</v>
      </c>
      <c r="L212" s="5">
        <f t="shared" si="66"/>
        <v>3000</v>
      </c>
      <c r="M212" s="5">
        <f t="shared" si="67"/>
        <v>3000</v>
      </c>
      <c r="N212" s="5">
        <f t="shared" si="81"/>
        <v>-361</v>
      </c>
      <c r="O212" s="5">
        <f t="shared" si="82"/>
        <v>-373</v>
      </c>
      <c r="P212" s="5">
        <f t="shared" si="83"/>
        <v>-648</v>
      </c>
      <c r="Q212" s="4">
        <v>0</v>
      </c>
      <c r="R212" s="4">
        <v>0</v>
      </c>
      <c r="S212" s="4">
        <v>0</v>
      </c>
      <c r="T212" s="6">
        <f t="shared" si="78"/>
        <v>886</v>
      </c>
      <c r="U212" s="7">
        <f t="shared" si="69"/>
        <v>1719</v>
      </c>
      <c r="V212" s="7">
        <f t="shared" si="70"/>
        <v>1527</v>
      </c>
      <c r="W212" s="7">
        <f t="shared" si="68"/>
        <v>1742</v>
      </c>
      <c r="X212" s="6"/>
      <c r="Y212" s="5"/>
      <c r="Z212" s="5"/>
      <c r="AA212" s="5"/>
      <c r="AB212" s="5"/>
    </row>
    <row r="213" spans="1:28" ht="13.15" customHeight="1">
      <c r="A213" s="12">
        <v>199</v>
      </c>
      <c r="B213" s="11">
        <f t="shared" si="79"/>
        <v>45469</v>
      </c>
      <c r="C213" s="9">
        <f t="shared" si="80"/>
        <v>842</v>
      </c>
      <c r="D213" s="8">
        <f t="shared" si="71"/>
        <v>1573</v>
      </c>
      <c r="E213" s="4">
        <f t="shared" si="72"/>
        <v>-224</v>
      </c>
      <c r="F213" s="4">
        <f t="shared" si="73"/>
        <v>-212</v>
      </c>
      <c r="G213" s="4">
        <f t="shared" si="74"/>
        <v>63</v>
      </c>
      <c r="H213" s="5">
        <f t="shared" si="75"/>
        <v>2639</v>
      </c>
      <c r="I213" s="5">
        <f t="shared" si="76"/>
        <v>2627</v>
      </c>
      <c r="J213" s="5">
        <f t="shared" si="77"/>
        <v>2352</v>
      </c>
      <c r="K213" s="5">
        <f t="shared" ref="K213:K276" si="84">K212</f>
        <v>3000</v>
      </c>
      <c r="L213" s="5">
        <f t="shared" ref="L213:L276" si="85">L212</f>
        <v>3000</v>
      </c>
      <c r="M213" s="5">
        <f t="shared" ref="M213:M276" si="86">M212</f>
        <v>3000</v>
      </c>
      <c r="N213" s="5">
        <f t="shared" si="81"/>
        <v>-361</v>
      </c>
      <c r="O213" s="5">
        <f t="shared" si="82"/>
        <v>-373</v>
      </c>
      <c r="P213" s="5">
        <f t="shared" si="83"/>
        <v>-648</v>
      </c>
      <c r="Q213" s="4">
        <v>0</v>
      </c>
      <c r="R213" s="4">
        <v>0</v>
      </c>
      <c r="S213" s="4">
        <v>0</v>
      </c>
      <c r="T213" s="6">
        <f t="shared" si="78"/>
        <v>888</v>
      </c>
      <c r="U213" s="7">
        <f t="shared" si="69"/>
        <v>1719</v>
      </c>
      <c r="V213" s="7">
        <f t="shared" si="70"/>
        <v>1527</v>
      </c>
      <c r="W213" s="7">
        <f t="shared" si="68"/>
        <v>1742</v>
      </c>
      <c r="X213" s="6"/>
      <c r="Y213" s="5"/>
      <c r="Z213" s="5"/>
      <c r="AA213" s="5"/>
      <c r="AB213" s="5"/>
    </row>
    <row r="214" spans="1:28" ht="13.15" customHeight="1">
      <c r="A214" s="12">
        <v>200</v>
      </c>
      <c r="B214" s="11">
        <f t="shared" si="79"/>
        <v>45470</v>
      </c>
      <c r="C214" s="9">
        <f t="shared" si="80"/>
        <v>842</v>
      </c>
      <c r="D214" s="8">
        <f t="shared" si="71"/>
        <v>1575</v>
      </c>
      <c r="E214" s="4">
        <f t="shared" si="72"/>
        <v>-222</v>
      </c>
      <c r="F214" s="4">
        <f t="shared" si="73"/>
        <v>-210</v>
      </c>
      <c r="G214" s="4">
        <f t="shared" si="74"/>
        <v>65</v>
      </c>
      <c r="H214" s="5">
        <f t="shared" si="75"/>
        <v>2639</v>
      </c>
      <c r="I214" s="5">
        <f t="shared" si="76"/>
        <v>2627</v>
      </c>
      <c r="J214" s="5">
        <f t="shared" si="77"/>
        <v>2352</v>
      </c>
      <c r="K214" s="5">
        <f t="shared" si="84"/>
        <v>3000</v>
      </c>
      <c r="L214" s="5">
        <f t="shared" si="85"/>
        <v>3000</v>
      </c>
      <c r="M214" s="5">
        <f t="shared" si="86"/>
        <v>3000</v>
      </c>
      <c r="N214" s="5">
        <f t="shared" si="81"/>
        <v>-361</v>
      </c>
      <c r="O214" s="5">
        <f t="shared" si="82"/>
        <v>-373</v>
      </c>
      <c r="P214" s="5">
        <f t="shared" si="83"/>
        <v>-648</v>
      </c>
      <c r="Q214" s="4">
        <v>0</v>
      </c>
      <c r="R214" s="4">
        <v>0</v>
      </c>
      <c r="S214" s="4">
        <v>0</v>
      </c>
      <c r="T214" s="6">
        <f t="shared" si="78"/>
        <v>890</v>
      </c>
      <c r="U214" s="7">
        <f t="shared" si="69"/>
        <v>1719</v>
      </c>
      <c r="V214" s="7">
        <f t="shared" si="70"/>
        <v>1527</v>
      </c>
      <c r="W214" s="7">
        <f t="shared" si="68"/>
        <v>1742</v>
      </c>
      <c r="X214" s="6"/>
      <c r="Y214" s="5"/>
      <c r="Z214" s="5"/>
      <c r="AA214" s="5"/>
      <c r="AB214" s="5"/>
    </row>
    <row r="215" spans="1:28" ht="13.15" customHeight="1">
      <c r="A215" s="12">
        <v>201</v>
      </c>
      <c r="B215" s="11">
        <f t="shared" si="79"/>
        <v>45471</v>
      </c>
      <c r="C215" s="9">
        <f t="shared" si="80"/>
        <v>842</v>
      </c>
      <c r="D215" s="8">
        <f t="shared" si="71"/>
        <v>1577</v>
      </c>
      <c r="E215" s="4">
        <f t="shared" si="72"/>
        <v>-220</v>
      </c>
      <c r="F215" s="4">
        <f t="shared" si="73"/>
        <v>-208</v>
      </c>
      <c r="G215" s="4">
        <f t="shared" si="74"/>
        <v>67</v>
      </c>
      <c r="H215" s="5">
        <f t="shared" si="75"/>
        <v>2639</v>
      </c>
      <c r="I215" s="5">
        <f t="shared" si="76"/>
        <v>2627</v>
      </c>
      <c r="J215" s="5">
        <f t="shared" si="77"/>
        <v>2352</v>
      </c>
      <c r="K215" s="5">
        <f t="shared" si="84"/>
        <v>3000</v>
      </c>
      <c r="L215" s="5">
        <f t="shared" si="85"/>
        <v>3000</v>
      </c>
      <c r="M215" s="5">
        <f t="shared" si="86"/>
        <v>3000</v>
      </c>
      <c r="N215" s="5">
        <f t="shared" si="81"/>
        <v>-361</v>
      </c>
      <c r="O215" s="5">
        <f t="shared" si="82"/>
        <v>-373</v>
      </c>
      <c r="P215" s="5">
        <f t="shared" si="83"/>
        <v>-648</v>
      </c>
      <c r="Q215" s="4">
        <v>0</v>
      </c>
      <c r="R215" s="4">
        <v>0</v>
      </c>
      <c r="S215" s="4">
        <v>0</v>
      </c>
      <c r="T215" s="6">
        <f t="shared" si="78"/>
        <v>892</v>
      </c>
      <c r="U215" s="7">
        <f t="shared" si="69"/>
        <v>1719</v>
      </c>
      <c r="V215" s="7">
        <f t="shared" si="70"/>
        <v>1527</v>
      </c>
      <c r="W215" s="7">
        <f t="shared" si="68"/>
        <v>1742</v>
      </c>
      <c r="X215" s="6"/>
      <c r="Y215" s="5"/>
      <c r="Z215" s="5"/>
      <c r="AA215" s="5"/>
      <c r="AB215" s="5"/>
    </row>
    <row r="216" spans="1:28" ht="13.15" customHeight="1">
      <c r="A216" s="12">
        <v>202</v>
      </c>
      <c r="B216" s="11">
        <f t="shared" si="79"/>
        <v>45472</v>
      </c>
      <c r="C216" s="9">
        <f t="shared" si="80"/>
        <v>842</v>
      </c>
      <c r="D216" s="8">
        <f t="shared" si="71"/>
        <v>1579</v>
      </c>
      <c r="E216" s="4">
        <f t="shared" si="72"/>
        <v>-218</v>
      </c>
      <c r="F216" s="4">
        <f t="shared" si="73"/>
        <v>-206</v>
      </c>
      <c r="G216" s="4">
        <f t="shared" si="74"/>
        <v>69</v>
      </c>
      <c r="H216" s="5">
        <f t="shared" si="75"/>
        <v>2639</v>
      </c>
      <c r="I216" s="5">
        <f t="shared" si="76"/>
        <v>2627</v>
      </c>
      <c r="J216" s="5">
        <f t="shared" si="77"/>
        <v>2352</v>
      </c>
      <c r="K216" s="5">
        <f t="shared" si="84"/>
        <v>3000</v>
      </c>
      <c r="L216" s="5">
        <f t="shared" si="85"/>
        <v>3000</v>
      </c>
      <c r="M216" s="5">
        <f t="shared" si="86"/>
        <v>3000</v>
      </c>
      <c r="N216" s="5">
        <f t="shared" si="81"/>
        <v>-361</v>
      </c>
      <c r="O216" s="5">
        <f t="shared" si="82"/>
        <v>-373</v>
      </c>
      <c r="P216" s="5">
        <f t="shared" si="83"/>
        <v>-648</v>
      </c>
      <c r="Q216" s="4">
        <v>0</v>
      </c>
      <c r="R216" s="4">
        <v>0</v>
      </c>
      <c r="S216" s="4">
        <v>0</v>
      </c>
      <c r="T216" s="6">
        <f t="shared" si="78"/>
        <v>894</v>
      </c>
      <c r="U216" s="7">
        <f t="shared" si="69"/>
        <v>1719</v>
      </c>
      <c r="V216" s="7">
        <f t="shared" si="70"/>
        <v>1527</v>
      </c>
      <c r="W216" s="7">
        <f t="shared" si="68"/>
        <v>1742</v>
      </c>
      <c r="X216" s="6"/>
      <c r="Y216" s="5"/>
      <c r="Z216" s="5"/>
      <c r="AA216" s="5"/>
      <c r="AB216" s="5"/>
    </row>
    <row r="217" spans="1:28" ht="13.15" customHeight="1">
      <c r="A217" s="12">
        <v>203</v>
      </c>
      <c r="B217" s="11">
        <f t="shared" si="79"/>
        <v>45473</v>
      </c>
      <c r="C217" s="9">
        <f t="shared" si="80"/>
        <v>842</v>
      </c>
      <c r="D217" s="8">
        <f t="shared" si="71"/>
        <v>1581</v>
      </c>
      <c r="E217" s="4">
        <f t="shared" si="72"/>
        <v>-216</v>
      </c>
      <c r="F217" s="4">
        <f t="shared" si="73"/>
        <v>-204</v>
      </c>
      <c r="G217" s="4">
        <f t="shared" si="74"/>
        <v>71</v>
      </c>
      <c r="H217" s="5">
        <f t="shared" si="75"/>
        <v>2639</v>
      </c>
      <c r="I217" s="5">
        <f t="shared" si="76"/>
        <v>2627</v>
      </c>
      <c r="J217" s="5">
        <f t="shared" si="77"/>
        <v>2352</v>
      </c>
      <c r="K217" s="5">
        <f t="shared" si="84"/>
        <v>3000</v>
      </c>
      <c r="L217" s="5">
        <f t="shared" si="85"/>
        <v>3000</v>
      </c>
      <c r="M217" s="5">
        <f t="shared" si="86"/>
        <v>3000</v>
      </c>
      <c r="N217" s="5">
        <f t="shared" si="81"/>
        <v>-361</v>
      </c>
      <c r="O217" s="5">
        <f t="shared" si="82"/>
        <v>-373</v>
      </c>
      <c r="P217" s="5">
        <f t="shared" si="83"/>
        <v>-648</v>
      </c>
      <c r="Q217" s="4">
        <v>0</v>
      </c>
      <c r="R217" s="4">
        <v>0</v>
      </c>
      <c r="S217" s="4">
        <v>0</v>
      </c>
      <c r="T217" s="6">
        <f t="shared" si="78"/>
        <v>896</v>
      </c>
      <c r="U217" s="7">
        <f t="shared" si="69"/>
        <v>1719</v>
      </c>
      <c r="V217" s="7">
        <f t="shared" si="70"/>
        <v>1527</v>
      </c>
      <c r="W217" s="7">
        <f t="shared" si="68"/>
        <v>1742</v>
      </c>
      <c r="X217" s="6"/>
      <c r="Y217" s="5"/>
      <c r="Z217" s="5"/>
      <c r="AA217" s="5"/>
      <c r="AB217" s="5"/>
    </row>
    <row r="218" spans="1:28" ht="13.15" customHeight="1">
      <c r="A218" s="12">
        <v>204</v>
      </c>
      <c r="B218" s="11">
        <f t="shared" si="79"/>
        <v>45474</v>
      </c>
      <c r="C218" s="9">
        <f t="shared" si="80"/>
        <v>842</v>
      </c>
      <c r="D218" s="8">
        <f t="shared" si="71"/>
        <v>1583</v>
      </c>
      <c r="E218" s="4">
        <f t="shared" si="72"/>
        <v>-214</v>
      </c>
      <c r="F218" s="4">
        <f t="shared" si="73"/>
        <v>-202</v>
      </c>
      <c r="G218" s="4">
        <f t="shared" si="74"/>
        <v>73</v>
      </c>
      <c r="H218" s="5">
        <f t="shared" si="75"/>
        <v>2639</v>
      </c>
      <c r="I218" s="5">
        <f t="shared" si="76"/>
        <v>2627</v>
      </c>
      <c r="J218" s="5">
        <f t="shared" si="77"/>
        <v>2352</v>
      </c>
      <c r="K218" s="5">
        <f t="shared" si="84"/>
        <v>3000</v>
      </c>
      <c r="L218" s="5">
        <f t="shared" si="85"/>
        <v>3000</v>
      </c>
      <c r="M218" s="5">
        <f t="shared" si="86"/>
        <v>3000</v>
      </c>
      <c r="N218" s="5">
        <f t="shared" si="81"/>
        <v>-361</v>
      </c>
      <c r="O218" s="5">
        <f t="shared" si="82"/>
        <v>-373</v>
      </c>
      <c r="P218" s="5">
        <f t="shared" si="83"/>
        <v>-648</v>
      </c>
      <c r="Q218" s="4">
        <v>0</v>
      </c>
      <c r="R218" s="4">
        <v>0</v>
      </c>
      <c r="S218" s="4">
        <v>0</v>
      </c>
      <c r="T218" s="6">
        <f t="shared" si="78"/>
        <v>898</v>
      </c>
      <c r="U218" s="7">
        <f t="shared" si="69"/>
        <v>1719</v>
      </c>
      <c r="V218" s="7">
        <f t="shared" si="70"/>
        <v>1527</v>
      </c>
      <c r="W218" s="7">
        <f t="shared" si="68"/>
        <v>1742</v>
      </c>
      <c r="X218" s="6"/>
      <c r="Y218" s="5"/>
      <c r="Z218" s="5"/>
      <c r="AA218" s="5"/>
      <c r="AB218" s="5"/>
    </row>
    <row r="219" spans="1:28" ht="13.15" customHeight="1">
      <c r="A219" s="12">
        <v>205</v>
      </c>
      <c r="B219" s="11">
        <f t="shared" si="79"/>
        <v>45475</v>
      </c>
      <c r="C219" s="9">
        <f t="shared" si="80"/>
        <v>842</v>
      </c>
      <c r="D219" s="8">
        <f t="shared" si="71"/>
        <v>1585</v>
      </c>
      <c r="E219" s="4">
        <f t="shared" si="72"/>
        <v>-212</v>
      </c>
      <c r="F219" s="4">
        <f t="shared" si="73"/>
        <v>-200</v>
      </c>
      <c r="G219" s="4">
        <f t="shared" si="74"/>
        <v>75</v>
      </c>
      <c r="H219" s="5">
        <f t="shared" si="75"/>
        <v>2639</v>
      </c>
      <c r="I219" s="5">
        <f t="shared" si="76"/>
        <v>2627</v>
      </c>
      <c r="J219" s="5">
        <f t="shared" si="77"/>
        <v>2352</v>
      </c>
      <c r="K219" s="5">
        <f t="shared" si="84"/>
        <v>3000</v>
      </c>
      <c r="L219" s="5">
        <f t="shared" si="85"/>
        <v>3000</v>
      </c>
      <c r="M219" s="5">
        <f t="shared" si="86"/>
        <v>3000</v>
      </c>
      <c r="N219" s="5">
        <f t="shared" si="81"/>
        <v>-361</v>
      </c>
      <c r="O219" s="5">
        <f t="shared" si="82"/>
        <v>-373</v>
      </c>
      <c r="P219" s="5">
        <f t="shared" si="83"/>
        <v>-648</v>
      </c>
      <c r="Q219" s="4">
        <v>0</v>
      </c>
      <c r="R219" s="4">
        <v>0</v>
      </c>
      <c r="S219" s="4">
        <v>0</v>
      </c>
      <c r="T219" s="6">
        <f t="shared" si="78"/>
        <v>900</v>
      </c>
      <c r="U219" s="7">
        <f t="shared" si="69"/>
        <v>1719</v>
      </c>
      <c r="V219" s="7">
        <f t="shared" si="70"/>
        <v>1527</v>
      </c>
      <c r="W219" s="7">
        <f t="shared" si="68"/>
        <v>1742</v>
      </c>
      <c r="X219" s="6"/>
      <c r="Y219" s="5"/>
      <c r="Z219" s="5"/>
      <c r="AA219" s="5"/>
      <c r="AB219" s="5"/>
    </row>
    <row r="220" spans="1:28" ht="13.15" customHeight="1">
      <c r="A220" s="12">
        <v>206</v>
      </c>
      <c r="B220" s="11">
        <f t="shared" si="79"/>
        <v>45476</v>
      </c>
      <c r="C220" s="9">
        <f t="shared" si="80"/>
        <v>842</v>
      </c>
      <c r="D220" s="8">
        <f t="shared" si="71"/>
        <v>1587</v>
      </c>
      <c r="E220" s="4">
        <f t="shared" si="72"/>
        <v>-210</v>
      </c>
      <c r="F220" s="4">
        <f t="shared" si="73"/>
        <v>-198</v>
      </c>
      <c r="G220" s="4">
        <f t="shared" si="74"/>
        <v>77</v>
      </c>
      <c r="H220" s="5">
        <f t="shared" si="75"/>
        <v>2639</v>
      </c>
      <c r="I220" s="5">
        <f t="shared" si="76"/>
        <v>2627</v>
      </c>
      <c r="J220" s="5">
        <f t="shared" si="77"/>
        <v>2352</v>
      </c>
      <c r="K220" s="5">
        <f t="shared" si="84"/>
        <v>3000</v>
      </c>
      <c r="L220" s="5">
        <f t="shared" si="85"/>
        <v>3000</v>
      </c>
      <c r="M220" s="5">
        <f t="shared" si="86"/>
        <v>3000</v>
      </c>
      <c r="N220" s="5">
        <f t="shared" si="81"/>
        <v>-361</v>
      </c>
      <c r="O220" s="5">
        <f t="shared" si="82"/>
        <v>-373</v>
      </c>
      <c r="P220" s="5">
        <f t="shared" si="83"/>
        <v>-648</v>
      </c>
      <c r="Q220" s="4">
        <v>0</v>
      </c>
      <c r="R220" s="4">
        <v>0</v>
      </c>
      <c r="S220" s="4">
        <v>0</v>
      </c>
      <c r="T220" s="6">
        <f t="shared" si="78"/>
        <v>902</v>
      </c>
      <c r="U220" s="7">
        <f t="shared" si="69"/>
        <v>1719</v>
      </c>
      <c r="V220" s="7">
        <f t="shared" si="70"/>
        <v>1527</v>
      </c>
      <c r="W220" s="7">
        <f t="shared" si="68"/>
        <v>1742</v>
      </c>
      <c r="X220" s="6"/>
      <c r="Y220" s="5"/>
      <c r="Z220" s="5"/>
      <c r="AA220" s="5"/>
      <c r="AB220" s="5"/>
    </row>
    <row r="221" spans="1:28" ht="13.15" customHeight="1">
      <c r="A221" s="12">
        <v>207</v>
      </c>
      <c r="B221" s="11">
        <f t="shared" si="79"/>
        <v>45477</v>
      </c>
      <c r="C221" s="9">
        <f t="shared" si="80"/>
        <v>842</v>
      </c>
      <c r="D221" s="8">
        <f t="shared" si="71"/>
        <v>1589</v>
      </c>
      <c r="E221" s="4">
        <f t="shared" si="72"/>
        <v>-208</v>
      </c>
      <c r="F221" s="4">
        <f t="shared" si="73"/>
        <v>-196</v>
      </c>
      <c r="G221" s="4">
        <f t="shared" si="74"/>
        <v>79</v>
      </c>
      <c r="H221" s="5">
        <f t="shared" si="75"/>
        <v>2639</v>
      </c>
      <c r="I221" s="5">
        <f t="shared" si="76"/>
        <v>2627</v>
      </c>
      <c r="J221" s="5">
        <f t="shared" si="77"/>
        <v>2352</v>
      </c>
      <c r="K221" s="5">
        <f t="shared" si="84"/>
        <v>3000</v>
      </c>
      <c r="L221" s="5">
        <f t="shared" si="85"/>
        <v>3000</v>
      </c>
      <c r="M221" s="5">
        <f t="shared" si="86"/>
        <v>3000</v>
      </c>
      <c r="N221" s="5">
        <f t="shared" si="81"/>
        <v>-361</v>
      </c>
      <c r="O221" s="5">
        <f t="shared" si="82"/>
        <v>-373</v>
      </c>
      <c r="P221" s="5">
        <f t="shared" si="83"/>
        <v>-648</v>
      </c>
      <c r="Q221" s="4">
        <v>0</v>
      </c>
      <c r="R221" s="4">
        <v>0</v>
      </c>
      <c r="S221" s="4">
        <v>0</v>
      </c>
      <c r="T221" s="6">
        <f t="shared" si="78"/>
        <v>904</v>
      </c>
      <c r="U221" s="7">
        <f t="shared" si="69"/>
        <v>1719</v>
      </c>
      <c r="V221" s="7">
        <f t="shared" si="70"/>
        <v>1527</v>
      </c>
      <c r="W221" s="7">
        <f t="shared" si="68"/>
        <v>1742</v>
      </c>
      <c r="X221" s="6"/>
      <c r="Y221" s="5"/>
      <c r="Z221" s="5"/>
      <c r="AA221" s="5"/>
      <c r="AB221" s="5"/>
    </row>
    <row r="222" spans="1:28" ht="13.15" customHeight="1">
      <c r="A222" s="12">
        <v>208</v>
      </c>
      <c r="B222" s="11">
        <f t="shared" si="79"/>
        <v>45478</v>
      </c>
      <c r="C222" s="9">
        <f t="shared" si="80"/>
        <v>842</v>
      </c>
      <c r="D222" s="8">
        <f t="shared" si="71"/>
        <v>1591</v>
      </c>
      <c r="E222" s="4">
        <f t="shared" si="72"/>
        <v>-206</v>
      </c>
      <c r="F222" s="4">
        <f t="shared" si="73"/>
        <v>-194</v>
      </c>
      <c r="G222" s="4">
        <f t="shared" si="74"/>
        <v>81</v>
      </c>
      <c r="H222" s="5">
        <f t="shared" si="75"/>
        <v>2639</v>
      </c>
      <c r="I222" s="5">
        <f t="shared" si="76"/>
        <v>2627</v>
      </c>
      <c r="J222" s="5">
        <f t="shared" si="77"/>
        <v>2352</v>
      </c>
      <c r="K222" s="5">
        <f t="shared" si="84"/>
        <v>3000</v>
      </c>
      <c r="L222" s="5">
        <f t="shared" si="85"/>
        <v>3000</v>
      </c>
      <c r="M222" s="5">
        <f t="shared" si="86"/>
        <v>3000</v>
      </c>
      <c r="N222" s="5">
        <f t="shared" si="81"/>
        <v>-361</v>
      </c>
      <c r="O222" s="5">
        <f t="shared" si="82"/>
        <v>-373</v>
      </c>
      <c r="P222" s="5">
        <f t="shared" si="83"/>
        <v>-648</v>
      </c>
      <c r="Q222" s="4">
        <v>0</v>
      </c>
      <c r="R222" s="4">
        <v>0</v>
      </c>
      <c r="S222" s="4">
        <v>0</v>
      </c>
      <c r="T222" s="6">
        <f t="shared" si="78"/>
        <v>906</v>
      </c>
      <c r="U222" s="7">
        <f t="shared" si="69"/>
        <v>1719</v>
      </c>
      <c r="V222" s="7">
        <f t="shared" si="70"/>
        <v>1527</v>
      </c>
      <c r="W222" s="7">
        <f t="shared" si="68"/>
        <v>1742</v>
      </c>
      <c r="X222" s="6"/>
      <c r="Y222" s="5"/>
      <c r="Z222" s="5"/>
      <c r="AA222" s="5"/>
      <c r="AB222" s="5"/>
    </row>
    <row r="223" spans="1:28" ht="13.15" customHeight="1">
      <c r="A223" s="12">
        <v>209</v>
      </c>
      <c r="B223" s="11">
        <f t="shared" si="79"/>
        <v>45479</v>
      </c>
      <c r="C223" s="9">
        <f t="shared" si="80"/>
        <v>842</v>
      </c>
      <c r="D223" s="8">
        <f t="shared" si="71"/>
        <v>1593</v>
      </c>
      <c r="E223" s="4">
        <f t="shared" si="72"/>
        <v>-204</v>
      </c>
      <c r="F223" s="4">
        <f t="shared" si="73"/>
        <v>-192</v>
      </c>
      <c r="G223" s="4">
        <f t="shared" si="74"/>
        <v>83</v>
      </c>
      <c r="H223" s="5">
        <f t="shared" si="75"/>
        <v>2639</v>
      </c>
      <c r="I223" s="5">
        <f t="shared" si="76"/>
        <v>2627</v>
      </c>
      <c r="J223" s="5">
        <f t="shared" si="77"/>
        <v>2352</v>
      </c>
      <c r="K223" s="5">
        <f t="shared" si="84"/>
        <v>3000</v>
      </c>
      <c r="L223" s="5">
        <f t="shared" si="85"/>
        <v>3000</v>
      </c>
      <c r="M223" s="5">
        <f t="shared" si="86"/>
        <v>3000</v>
      </c>
      <c r="N223" s="5">
        <f t="shared" si="81"/>
        <v>-361</v>
      </c>
      <c r="O223" s="5">
        <f t="shared" si="82"/>
        <v>-373</v>
      </c>
      <c r="P223" s="5">
        <f t="shared" si="83"/>
        <v>-648</v>
      </c>
      <c r="Q223" s="4">
        <v>0</v>
      </c>
      <c r="R223" s="4">
        <v>0</v>
      </c>
      <c r="S223" s="4">
        <v>0</v>
      </c>
      <c r="T223" s="6">
        <f t="shared" si="78"/>
        <v>908</v>
      </c>
      <c r="U223" s="7">
        <f t="shared" si="69"/>
        <v>1719</v>
      </c>
      <c r="V223" s="7">
        <f t="shared" si="70"/>
        <v>1527</v>
      </c>
      <c r="W223" s="7">
        <f t="shared" si="68"/>
        <v>1742</v>
      </c>
      <c r="X223" s="6"/>
      <c r="Y223" s="5"/>
      <c r="Z223" s="5"/>
      <c r="AA223" s="5"/>
      <c r="AB223" s="5"/>
    </row>
    <row r="224" spans="1:28" ht="13.15" customHeight="1">
      <c r="A224" s="12">
        <v>210</v>
      </c>
      <c r="B224" s="11">
        <f t="shared" si="79"/>
        <v>45480</v>
      </c>
      <c r="C224" s="9">
        <f t="shared" si="80"/>
        <v>842</v>
      </c>
      <c r="D224" s="8">
        <f t="shared" si="71"/>
        <v>1595</v>
      </c>
      <c r="E224" s="4">
        <f t="shared" si="72"/>
        <v>-202</v>
      </c>
      <c r="F224" s="4">
        <f t="shared" si="73"/>
        <v>-190</v>
      </c>
      <c r="G224" s="4">
        <f t="shared" si="74"/>
        <v>85</v>
      </c>
      <c r="H224" s="5">
        <f t="shared" si="75"/>
        <v>2639</v>
      </c>
      <c r="I224" s="5">
        <f t="shared" si="76"/>
        <v>2627</v>
      </c>
      <c r="J224" s="5">
        <f t="shared" si="77"/>
        <v>2352</v>
      </c>
      <c r="K224" s="5">
        <f t="shared" si="84"/>
        <v>3000</v>
      </c>
      <c r="L224" s="5">
        <f t="shared" si="85"/>
        <v>3000</v>
      </c>
      <c r="M224" s="5">
        <f t="shared" si="86"/>
        <v>3000</v>
      </c>
      <c r="N224" s="5">
        <f t="shared" si="81"/>
        <v>-361</v>
      </c>
      <c r="O224" s="5">
        <f t="shared" si="82"/>
        <v>-373</v>
      </c>
      <c r="P224" s="5">
        <f t="shared" si="83"/>
        <v>-648</v>
      </c>
      <c r="Q224" s="4">
        <v>0</v>
      </c>
      <c r="R224" s="4">
        <v>0</v>
      </c>
      <c r="S224" s="4">
        <v>0</v>
      </c>
      <c r="T224" s="6">
        <f t="shared" si="78"/>
        <v>910</v>
      </c>
      <c r="U224" s="7">
        <f t="shared" si="69"/>
        <v>1719</v>
      </c>
      <c r="V224" s="7">
        <f t="shared" si="70"/>
        <v>1527</v>
      </c>
      <c r="W224" s="7">
        <f t="shared" ref="W224:W287" si="87">W223+$X224*1000-S224</f>
        <v>1742</v>
      </c>
      <c r="X224" s="6"/>
      <c r="Y224" s="5"/>
      <c r="Z224" s="5"/>
      <c r="AA224" s="5"/>
      <c r="AB224" s="5"/>
    </row>
    <row r="225" spans="1:28" ht="13.15" customHeight="1">
      <c r="A225" s="12">
        <v>211</v>
      </c>
      <c r="B225" s="11">
        <f t="shared" si="79"/>
        <v>45481</v>
      </c>
      <c r="C225" s="9">
        <f t="shared" si="80"/>
        <v>842</v>
      </c>
      <c r="D225" s="8">
        <f t="shared" si="71"/>
        <v>1597</v>
      </c>
      <c r="E225" s="4">
        <f t="shared" si="72"/>
        <v>-200</v>
      </c>
      <c r="F225" s="4">
        <f t="shared" si="73"/>
        <v>-188</v>
      </c>
      <c r="G225" s="4">
        <f t="shared" si="74"/>
        <v>87</v>
      </c>
      <c r="H225" s="5">
        <f t="shared" si="75"/>
        <v>2639</v>
      </c>
      <c r="I225" s="5">
        <f t="shared" si="76"/>
        <v>2627</v>
      </c>
      <c r="J225" s="5">
        <f t="shared" si="77"/>
        <v>2352</v>
      </c>
      <c r="K225" s="5">
        <f t="shared" si="84"/>
        <v>3000</v>
      </c>
      <c r="L225" s="5">
        <f t="shared" si="85"/>
        <v>3000</v>
      </c>
      <c r="M225" s="5">
        <f t="shared" si="86"/>
        <v>3000</v>
      </c>
      <c r="N225" s="5">
        <f t="shared" si="81"/>
        <v>-361</v>
      </c>
      <c r="O225" s="5">
        <f t="shared" si="82"/>
        <v>-373</v>
      </c>
      <c r="P225" s="5">
        <f t="shared" si="83"/>
        <v>-648</v>
      </c>
      <c r="Q225" s="4">
        <v>0</v>
      </c>
      <c r="R225" s="4">
        <v>0</v>
      </c>
      <c r="S225" s="4">
        <v>0</v>
      </c>
      <c r="T225" s="6">
        <f t="shared" si="78"/>
        <v>912</v>
      </c>
      <c r="U225" s="7">
        <f t="shared" si="69"/>
        <v>1719</v>
      </c>
      <c r="V225" s="7">
        <f t="shared" si="70"/>
        <v>1527</v>
      </c>
      <c r="W225" s="7">
        <f t="shared" si="87"/>
        <v>1742</v>
      </c>
      <c r="X225" s="6"/>
      <c r="Y225" s="5"/>
      <c r="Z225" s="5"/>
      <c r="AA225" s="5"/>
      <c r="AB225" s="5"/>
    </row>
    <row r="226" spans="1:28" ht="13.15" customHeight="1">
      <c r="A226" s="12">
        <v>212</v>
      </c>
      <c r="B226" s="11">
        <f t="shared" si="79"/>
        <v>45482</v>
      </c>
      <c r="C226" s="9">
        <f t="shared" si="80"/>
        <v>842</v>
      </c>
      <c r="D226" s="8">
        <f t="shared" si="71"/>
        <v>1599</v>
      </c>
      <c r="E226" s="4">
        <f t="shared" si="72"/>
        <v>-198</v>
      </c>
      <c r="F226" s="4">
        <f t="shared" si="73"/>
        <v>-186</v>
      </c>
      <c r="G226" s="4">
        <f t="shared" si="74"/>
        <v>89</v>
      </c>
      <c r="H226" s="5">
        <f t="shared" si="75"/>
        <v>2639</v>
      </c>
      <c r="I226" s="5">
        <f t="shared" si="76"/>
        <v>2627</v>
      </c>
      <c r="J226" s="5">
        <f t="shared" si="77"/>
        <v>2352</v>
      </c>
      <c r="K226" s="5">
        <f t="shared" si="84"/>
        <v>3000</v>
      </c>
      <c r="L226" s="5">
        <f t="shared" si="85"/>
        <v>3000</v>
      </c>
      <c r="M226" s="5">
        <f t="shared" si="86"/>
        <v>3000</v>
      </c>
      <c r="N226" s="5">
        <f t="shared" si="81"/>
        <v>-361</v>
      </c>
      <c r="O226" s="5">
        <f t="shared" si="82"/>
        <v>-373</v>
      </c>
      <c r="P226" s="5">
        <f t="shared" si="83"/>
        <v>-648</v>
      </c>
      <c r="Q226" s="4">
        <v>0</v>
      </c>
      <c r="R226" s="4">
        <v>0</v>
      </c>
      <c r="S226" s="4">
        <v>0</v>
      </c>
      <c r="T226" s="6">
        <f t="shared" si="78"/>
        <v>914</v>
      </c>
      <c r="U226" s="7">
        <f t="shared" si="69"/>
        <v>1719</v>
      </c>
      <c r="V226" s="7">
        <f t="shared" si="70"/>
        <v>1527</v>
      </c>
      <c r="W226" s="7">
        <f t="shared" si="87"/>
        <v>1742</v>
      </c>
      <c r="X226" s="6"/>
      <c r="Y226" s="5"/>
      <c r="Z226" s="5"/>
      <c r="AA226" s="5"/>
      <c r="AB226" s="5"/>
    </row>
    <row r="227" spans="1:28" ht="13.15" customHeight="1">
      <c r="A227" s="12">
        <v>213</v>
      </c>
      <c r="B227" s="11">
        <f t="shared" si="79"/>
        <v>45483</v>
      </c>
      <c r="C227" s="9">
        <f t="shared" si="80"/>
        <v>842</v>
      </c>
      <c r="D227" s="8">
        <f t="shared" si="71"/>
        <v>1601</v>
      </c>
      <c r="E227" s="4">
        <f t="shared" si="72"/>
        <v>-196</v>
      </c>
      <c r="F227" s="4">
        <f t="shared" si="73"/>
        <v>-184</v>
      </c>
      <c r="G227" s="4">
        <f t="shared" si="74"/>
        <v>91</v>
      </c>
      <c r="H227" s="5">
        <f t="shared" si="75"/>
        <v>2639</v>
      </c>
      <c r="I227" s="5">
        <f t="shared" si="76"/>
        <v>2627</v>
      </c>
      <c r="J227" s="5">
        <f t="shared" si="77"/>
        <v>2352</v>
      </c>
      <c r="K227" s="5">
        <f t="shared" si="84"/>
        <v>3000</v>
      </c>
      <c r="L227" s="5">
        <f t="shared" si="85"/>
        <v>3000</v>
      </c>
      <c r="M227" s="5">
        <f t="shared" si="86"/>
        <v>3000</v>
      </c>
      <c r="N227" s="5">
        <f t="shared" si="81"/>
        <v>-361</v>
      </c>
      <c r="O227" s="5">
        <f t="shared" si="82"/>
        <v>-373</v>
      </c>
      <c r="P227" s="5">
        <f t="shared" si="83"/>
        <v>-648</v>
      </c>
      <c r="Q227" s="4">
        <v>0</v>
      </c>
      <c r="R227" s="4">
        <v>0</v>
      </c>
      <c r="S227" s="4">
        <v>0</v>
      </c>
      <c r="T227" s="6">
        <f t="shared" si="78"/>
        <v>916</v>
      </c>
      <c r="U227" s="7">
        <f t="shared" si="69"/>
        <v>1719</v>
      </c>
      <c r="V227" s="7">
        <f t="shared" si="70"/>
        <v>1527</v>
      </c>
      <c r="W227" s="7">
        <f t="shared" si="87"/>
        <v>1742</v>
      </c>
      <c r="X227" s="6"/>
      <c r="Y227" s="5"/>
      <c r="Z227" s="5"/>
      <c r="AA227" s="5"/>
      <c r="AB227" s="5"/>
    </row>
    <row r="228" spans="1:28" ht="13.15" customHeight="1">
      <c r="A228" s="12">
        <v>214</v>
      </c>
      <c r="B228" s="11">
        <f t="shared" si="79"/>
        <v>45484</v>
      </c>
      <c r="C228" s="9">
        <f t="shared" si="80"/>
        <v>842</v>
      </c>
      <c r="D228" s="8">
        <f t="shared" si="71"/>
        <v>1603</v>
      </c>
      <c r="E228" s="4">
        <f t="shared" si="72"/>
        <v>-194</v>
      </c>
      <c r="F228" s="4">
        <f t="shared" si="73"/>
        <v>-182</v>
      </c>
      <c r="G228" s="4">
        <f t="shared" si="74"/>
        <v>93</v>
      </c>
      <c r="H228" s="5">
        <f t="shared" si="75"/>
        <v>2639</v>
      </c>
      <c r="I228" s="5">
        <f t="shared" si="76"/>
        <v>2627</v>
      </c>
      <c r="J228" s="5">
        <f t="shared" si="77"/>
        <v>2352</v>
      </c>
      <c r="K228" s="5">
        <f t="shared" si="84"/>
        <v>3000</v>
      </c>
      <c r="L228" s="5">
        <f t="shared" si="85"/>
        <v>3000</v>
      </c>
      <c r="M228" s="5">
        <f t="shared" si="86"/>
        <v>3000</v>
      </c>
      <c r="N228" s="5">
        <f t="shared" si="81"/>
        <v>-361</v>
      </c>
      <c r="O228" s="5">
        <f t="shared" si="82"/>
        <v>-373</v>
      </c>
      <c r="P228" s="5">
        <f t="shared" si="83"/>
        <v>-648</v>
      </c>
      <c r="Q228" s="4">
        <v>0</v>
      </c>
      <c r="R228" s="4">
        <v>0</v>
      </c>
      <c r="S228" s="4">
        <v>0</v>
      </c>
      <c r="T228" s="6">
        <f t="shared" si="78"/>
        <v>918</v>
      </c>
      <c r="U228" s="7">
        <f t="shared" si="69"/>
        <v>1719</v>
      </c>
      <c r="V228" s="7">
        <f t="shared" si="70"/>
        <v>1527</v>
      </c>
      <c r="W228" s="7">
        <f t="shared" si="87"/>
        <v>1742</v>
      </c>
      <c r="X228" s="6"/>
      <c r="Y228" s="5"/>
      <c r="Z228" s="5"/>
      <c r="AA228" s="5"/>
      <c r="AB228" s="5"/>
    </row>
    <row r="229" spans="1:28" ht="13.15" customHeight="1">
      <c r="A229" s="12">
        <v>215</v>
      </c>
      <c r="B229" s="11">
        <f t="shared" si="79"/>
        <v>45485</v>
      </c>
      <c r="C229" s="9">
        <f t="shared" si="80"/>
        <v>842</v>
      </c>
      <c r="D229" s="8">
        <f t="shared" si="71"/>
        <v>1605</v>
      </c>
      <c r="E229" s="4">
        <f t="shared" si="72"/>
        <v>-192</v>
      </c>
      <c r="F229" s="4">
        <f t="shared" si="73"/>
        <v>-180</v>
      </c>
      <c r="G229" s="4">
        <f t="shared" si="74"/>
        <v>95</v>
      </c>
      <c r="H229" s="5">
        <f t="shared" si="75"/>
        <v>2639</v>
      </c>
      <c r="I229" s="5">
        <f t="shared" si="76"/>
        <v>2627</v>
      </c>
      <c r="J229" s="5">
        <f t="shared" si="77"/>
        <v>2352</v>
      </c>
      <c r="K229" s="5">
        <f t="shared" si="84"/>
        <v>3000</v>
      </c>
      <c r="L229" s="5">
        <f t="shared" si="85"/>
        <v>3000</v>
      </c>
      <c r="M229" s="5">
        <f t="shared" si="86"/>
        <v>3000</v>
      </c>
      <c r="N229" s="5">
        <f t="shared" si="81"/>
        <v>-361</v>
      </c>
      <c r="O229" s="5">
        <f t="shared" si="82"/>
        <v>-373</v>
      </c>
      <c r="P229" s="5">
        <f t="shared" si="83"/>
        <v>-648</v>
      </c>
      <c r="Q229" s="4">
        <v>0</v>
      </c>
      <c r="R229" s="4">
        <v>0</v>
      </c>
      <c r="S229" s="4">
        <v>0</v>
      </c>
      <c r="T229" s="6">
        <f t="shared" si="78"/>
        <v>920</v>
      </c>
      <c r="U229" s="7">
        <f t="shared" si="69"/>
        <v>1719</v>
      </c>
      <c r="V229" s="7">
        <f t="shared" si="70"/>
        <v>1527</v>
      </c>
      <c r="W229" s="7">
        <f t="shared" si="87"/>
        <v>1742</v>
      </c>
      <c r="X229" s="6"/>
      <c r="Y229" s="5"/>
      <c r="Z229" s="5"/>
      <c r="AA229" s="5"/>
      <c r="AB229" s="5"/>
    </row>
    <row r="230" spans="1:28" ht="13.15" customHeight="1">
      <c r="A230" s="12">
        <v>216</v>
      </c>
      <c r="B230" s="11">
        <f t="shared" si="79"/>
        <v>45486</v>
      </c>
      <c r="C230" s="9">
        <f t="shared" si="80"/>
        <v>842</v>
      </c>
      <c r="D230" s="8">
        <f t="shared" si="71"/>
        <v>1607</v>
      </c>
      <c r="E230" s="4">
        <f t="shared" si="72"/>
        <v>-190</v>
      </c>
      <c r="F230" s="4">
        <f t="shared" si="73"/>
        <v>-178</v>
      </c>
      <c r="G230" s="4">
        <f t="shared" si="74"/>
        <v>97</v>
      </c>
      <c r="H230" s="5">
        <f t="shared" si="75"/>
        <v>2639</v>
      </c>
      <c r="I230" s="5">
        <f t="shared" si="76"/>
        <v>2627</v>
      </c>
      <c r="J230" s="5">
        <f t="shared" si="77"/>
        <v>2352</v>
      </c>
      <c r="K230" s="5">
        <f t="shared" si="84"/>
        <v>3000</v>
      </c>
      <c r="L230" s="5">
        <f t="shared" si="85"/>
        <v>3000</v>
      </c>
      <c r="M230" s="5">
        <f t="shared" si="86"/>
        <v>3000</v>
      </c>
      <c r="N230" s="5">
        <f t="shared" si="81"/>
        <v>-361</v>
      </c>
      <c r="O230" s="5">
        <f t="shared" si="82"/>
        <v>-373</v>
      </c>
      <c r="P230" s="5">
        <f t="shared" si="83"/>
        <v>-648</v>
      </c>
      <c r="Q230" s="4">
        <v>0</v>
      </c>
      <c r="R230" s="4">
        <v>0</v>
      </c>
      <c r="S230" s="4">
        <v>0</v>
      </c>
      <c r="T230" s="6">
        <f t="shared" si="78"/>
        <v>922</v>
      </c>
      <c r="U230" s="7">
        <f t="shared" ref="U230:U293" si="88">U229+$X230*1000-Q230</f>
        <v>1719</v>
      </c>
      <c r="V230" s="7">
        <f t="shared" ref="V230:V293" si="89">V229+$X230*1000-R230</f>
        <v>1527</v>
      </c>
      <c r="W230" s="7">
        <f t="shared" si="87"/>
        <v>1742</v>
      </c>
      <c r="X230" s="6"/>
      <c r="Y230" s="5"/>
      <c r="Z230" s="5"/>
      <c r="AA230" s="5"/>
      <c r="AB230" s="5"/>
    </row>
    <row r="231" spans="1:28" ht="13.15" customHeight="1">
      <c r="A231" s="12">
        <v>217</v>
      </c>
      <c r="B231" s="11">
        <f t="shared" si="79"/>
        <v>45487</v>
      </c>
      <c r="C231" s="9">
        <f t="shared" si="80"/>
        <v>842</v>
      </c>
      <c r="D231" s="8">
        <f t="shared" si="71"/>
        <v>1609</v>
      </c>
      <c r="E231" s="4">
        <f t="shared" si="72"/>
        <v>-188</v>
      </c>
      <c r="F231" s="4">
        <f t="shared" si="73"/>
        <v>-176</v>
      </c>
      <c r="G231" s="4">
        <f t="shared" si="74"/>
        <v>99</v>
      </c>
      <c r="H231" s="5">
        <f t="shared" si="75"/>
        <v>2639</v>
      </c>
      <c r="I231" s="5">
        <f t="shared" si="76"/>
        <v>2627</v>
      </c>
      <c r="J231" s="5">
        <f t="shared" si="77"/>
        <v>2352</v>
      </c>
      <c r="K231" s="5">
        <f t="shared" si="84"/>
        <v>3000</v>
      </c>
      <c r="L231" s="5">
        <f t="shared" si="85"/>
        <v>3000</v>
      </c>
      <c r="M231" s="5">
        <f t="shared" si="86"/>
        <v>3000</v>
      </c>
      <c r="N231" s="5">
        <f t="shared" si="81"/>
        <v>-361</v>
      </c>
      <c r="O231" s="5">
        <f t="shared" si="82"/>
        <v>-373</v>
      </c>
      <c r="P231" s="5">
        <f t="shared" si="83"/>
        <v>-648</v>
      </c>
      <c r="Q231" s="4">
        <v>0</v>
      </c>
      <c r="R231" s="4">
        <v>0</v>
      </c>
      <c r="S231" s="4">
        <v>0</v>
      </c>
      <c r="T231" s="6">
        <f t="shared" si="78"/>
        <v>924</v>
      </c>
      <c r="U231" s="7">
        <f t="shared" si="88"/>
        <v>1719</v>
      </c>
      <c r="V231" s="7">
        <f t="shared" si="89"/>
        <v>1527</v>
      </c>
      <c r="W231" s="7">
        <f t="shared" si="87"/>
        <v>1742</v>
      </c>
      <c r="X231" s="6"/>
      <c r="Y231" s="5"/>
      <c r="Z231" s="5"/>
      <c r="AA231" s="5"/>
      <c r="AB231" s="5"/>
    </row>
    <row r="232" spans="1:28" ht="13.15" customHeight="1">
      <c r="A232" s="12">
        <v>218</v>
      </c>
      <c r="B232" s="11">
        <f t="shared" si="79"/>
        <v>45488</v>
      </c>
      <c r="C232" s="9">
        <f t="shared" si="80"/>
        <v>842</v>
      </c>
      <c r="D232" s="8">
        <f t="shared" si="71"/>
        <v>1611</v>
      </c>
      <c r="E232" s="4">
        <f t="shared" si="72"/>
        <v>-186</v>
      </c>
      <c r="F232" s="4">
        <f t="shared" si="73"/>
        <v>-174</v>
      </c>
      <c r="G232" s="4">
        <f t="shared" si="74"/>
        <v>101</v>
      </c>
      <c r="H232" s="5">
        <f t="shared" si="75"/>
        <v>2639</v>
      </c>
      <c r="I232" s="5">
        <f t="shared" si="76"/>
        <v>2627</v>
      </c>
      <c r="J232" s="5">
        <f t="shared" si="77"/>
        <v>2352</v>
      </c>
      <c r="K232" s="5">
        <f t="shared" si="84"/>
        <v>3000</v>
      </c>
      <c r="L232" s="5">
        <f t="shared" si="85"/>
        <v>3000</v>
      </c>
      <c r="M232" s="5">
        <f t="shared" si="86"/>
        <v>3000</v>
      </c>
      <c r="N232" s="5">
        <f t="shared" si="81"/>
        <v>-361</v>
      </c>
      <c r="O232" s="5">
        <f t="shared" si="82"/>
        <v>-373</v>
      </c>
      <c r="P232" s="5">
        <f t="shared" si="83"/>
        <v>-648</v>
      </c>
      <c r="Q232" s="4">
        <v>0</v>
      </c>
      <c r="R232" s="4">
        <v>0</v>
      </c>
      <c r="S232" s="4">
        <v>0</v>
      </c>
      <c r="T232" s="6">
        <f t="shared" si="78"/>
        <v>926</v>
      </c>
      <c r="U232" s="7">
        <f t="shared" si="88"/>
        <v>1719</v>
      </c>
      <c r="V232" s="7">
        <f t="shared" si="89"/>
        <v>1527</v>
      </c>
      <c r="W232" s="7">
        <f t="shared" si="87"/>
        <v>1742</v>
      </c>
      <c r="X232" s="6"/>
      <c r="Y232" s="5"/>
      <c r="Z232" s="5"/>
      <c r="AA232" s="5"/>
      <c r="AB232" s="5"/>
    </row>
    <row r="233" spans="1:28" ht="13.15" customHeight="1">
      <c r="A233" s="12">
        <v>219</v>
      </c>
      <c r="B233" s="11">
        <f t="shared" si="79"/>
        <v>45489</v>
      </c>
      <c r="C233" s="9">
        <f t="shared" si="80"/>
        <v>842</v>
      </c>
      <c r="D233" s="8">
        <f t="shared" si="71"/>
        <v>1613</v>
      </c>
      <c r="E233" s="4">
        <f t="shared" si="72"/>
        <v>-184</v>
      </c>
      <c r="F233" s="4">
        <f t="shared" si="73"/>
        <v>-172</v>
      </c>
      <c r="G233" s="4">
        <f t="shared" si="74"/>
        <v>103</v>
      </c>
      <c r="H233" s="5">
        <f t="shared" si="75"/>
        <v>2639</v>
      </c>
      <c r="I233" s="5">
        <f t="shared" si="76"/>
        <v>2627</v>
      </c>
      <c r="J233" s="5">
        <f t="shared" si="77"/>
        <v>2352</v>
      </c>
      <c r="K233" s="5">
        <f t="shared" si="84"/>
        <v>3000</v>
      </c>
      <c r="L233" s="5">
        <f t="shared" si="85"/>
        <v>3000</v>
      </c>
      <c r="M233" s="5">
        <f t="shared" si="86"/>
        <v>3000</v>
      </c>
      <c r="N233" s="5">
        <f t="shared" si="81"/>
        <v>-361</v>
      </c>
      <c r="O233" s="5">
        <f t="shared" si="82"/>
        <v>-373</v>
      </c>
      <c r="P233" s="5">
        <f t="shared" si="83"/>
        <v>-648</v>
      </c>
      <c r="Q233" s="4">
        <v>0</v>
      </c>
      <c r="R233" s="4">
        <v>0</v>
      </c>
      <c r="S233" s="4">
        <v>0</v>
      </c>
      <c r="T233" s="6">
        <f t="shared" si="78"/>
        <v>928</v>
      </c>
      <c r="U233" s="7">
        <f t="shared" si="88"/>
        <v>1719</v>
      </c>
      <c r="V233" s="7">
        <f t="shared" si="89"/>
        <v>1527</v>
      </c>
      <c r="W233" s="7">
        <f t="shared" si="87"/>
        <v>1742</v>
      </c>
      <c r="X233" s="6"/>
      <c r="Y233" s="5"/>
      <c r="Z233" s="5"/>
      <c r="AA233" s="5"/>
      <c r="AB233" s="5"/>
    </row>
    <row r="234" spans="1:28" ht="13.15" customHeight="1">
      <c r="A234" s="12">
        <v>220</v>
      </c>
      <c r="B234" s="11">
        <f t="shared" si="79"/>
        <v>45490</v>
      </c>
      <c r="C234" s="9">
        <f t="shared" si="80"/>
        <v>842</v>
      </c>
      <c r="D234" s="8">
        <f t="shared" si="71"/>
        <v>1615</v>
      </c>
      <c r="E234" s="4">
        <f t="shared" si="72"/>
        <v>-182</v>
      </c>
      <c r="F234" s="4">
        <f t="shared" si="73"/>
        <v>-170</v>
      </c>
      <c r="G234" s="4">
        <f t="shared" si="74"/>
        <v>105</v>
      </c>
      <c r="H234" s="5">
        <f t="shared" si="75"/>
        <v>2639</v>
      </c>
      <c r="I234" s="5">
        <f t="shared" si="76"/>
        <v>2627</v>
      </c>
      <c r="J234" s="5">
        <f t="shared" si="77"/>
        <v>2352</v>
      </c>
      <c r="K234" s="5">
        <f t="shared" si="84"/>
        <v>3000</v>
      </c>
      <c r="L234" s="5">
        <f t="shared" si="85"/>
        <v>3000</v>
      </c>
      <c r="M234" s="5">
        <f t="shared" si="86"/>
        <v>3000</v>
      </c>
      <c r="N234" s="5">
        <f t="shared" si="81"/>
        <v>-361</v>
      </c>
      <c r="O234" s="5">
        <f t="shared" si="82"/>
        <v>-373</v>
      </c>
      <c r="P234" s="5">
        <f t="shared" si="83"/>
        <v>-648</v>
      </c>
      <c r="Q234" s="4">
        <v>0</v>
      </c>
      <c r="R234" s="4">
        <v>0</v>
      </c>
      <c r="S234" s="4">
        <v>0</v>
      </c>
      <c r="T234" s="6">
        <f t="shared" si="78"/>
        <v>930</v>
      </c>
      <c r="U234" s="7">
        <f t="shared" si="88"/>
        <v>1719</v>
      </c>
      <c r="V234" s="7">
        <f t="shared" si="89"/>
        <v>1527</v>
      </c>
      <c r="W234" s="7">
        <f t="shared" si="87"/>
        <v>1742</v>
      </c>
      <c r="X234" s="6"/>
      <c r="Y234" s="5"/>
      <c r="Z234" s="5"/>
      <c r="AA234" s="5"/>
      <c r="AB234" s="5"/>
    </row>
    <row r="235" spans="1:28" ht="13.15" customHeight="1">
      <c r="A235" s="12">
        <v>221</v>
      </c>
      <c r="B235" s="11">
        <f t="shared" si="79"/>
        <v>45491</v>
      </c>
      <c r="C235" s="9">
        <f t="shared" si="80"/>
        <v>842</v>
      </c>
      <c r="D235" s="8">
        <f t="shared" si="71"/>
        <v>1617</v>
      </c>
      <c r="E235" s="4">
        <f t="shared" si="72"/>
        <v>-180</v>
      </c>
      <c r="F235" s="4">
        <f t="shared" si="73"/>
        <v>-168</v>
      </c>
      <c r="G235" s="4">
        <f t="shared" si="74"/>
        <v>107</v>
      </c>
      <c r="H235" s="5">
        <f t="shared" si="75"/>
        <v>2639</v>
      </c>
      <c r="I235" s="5">
        <f t="shared" si="76"/>
        <v>2627</v>
      </c>
      <c r="J235" s="5">
        <f t="shared" si="77"/>
        <v>2352</v>
      </c>
      <c r="K235" s="5">
        <f t="shared" si="84"/>
        <v>3000</v>
      </c>
      <c r="L235" s="5">
        <f t="shared" si="85"/>
        <v>3000</v>
      </c>
      <c r="M235" s="5">
        <f t="shared" si="86"/>
        <v>3000</v>
      </c>
      <c r="N235" s="5">
        <f t="shared" si="81"/>
        <v>-361</v>
      </c>
      <c r="O235" s="5">
        <f t="shared" si="82"/>
        <v>-373</v>
      </c>
      <c r="P235" s="5">
        <f t="shared" si="83"/>
        <v>-648</v>
      </c>
      <c r="Q235" s="4">
        <v>0</v>
      </c>
      <c r="R235" s="4">
        <v>0</v>
      </c>
      <c r="S235" s="4">
        <v>0</v>
      </c>
      <c r="T235" s="6">
        <f t="shared" si="78"/>
        <v>932</v>
      </c>
      <c r="U235" s="7">
        <f t="shared" si="88"/>
        <v>1719</v>
      </c>
      <c r="V235" s="7">
        <f t="shared" si="89"/>
        <v>1527</v>
      </c>
      <c r="W235" s="7">
        <f t="shared" si="87"/>
        <v>1742</v>
      </c>
      <c r="X235" s="6"/>
      <c r="Y235" s="5"/>
      <c r="Z235" s="5"/>
      <c r="AA235" s="5"/>
      <c r="AB235" s="5"/>
    </row>
    <row r="236" spans="1:28" ht="13.15" customHeight="1">
      <c r="A236" s="12">
        <v>222</v>
      </c>
      <c r="B236" s="11">
        <f t="shared" si="79"/>
        <v>45492</v>
      </c>
      <c r="C236" s="9">
        <f t="shared" si="80"/>
        <v>842</v>
      </c>
      <c r="D236" s="8">
        <f t="shared" si="71"/>
        <v>1619</v>
      </c>
      <c r="E236" s="4">
        <f t="shared" si="72"/>
        <v>-178</v>
      </c>
      <c r="F236" s="4">
        <f t="shared" si="73"/>
        <v>-166</v>
      </c>
      <c r="G236" s="4">
        <f t="shared" si="74"/>
        <v>109</v>
      </c>
      <c r="H236" s="5">
        <f t="shared" si="75"/>
        <v>2639</v>
      </c>
      <c r="I236" s="5">
        <f t="shared" si="76"/>
        <v>2627</v>
      </c>
      <c r="J236" s="5">
        <f t="shared" si="77"/>
        <v>2352</v>
      </c>
      <c r="K236" s="5">
        <f t="shared" si="84"/>
        <v>3000</v>
      </c>
      <c r="L236" s="5">
        <f t="shared" si="85"/>
        <v>3000</v>
      </c>
      <c r="M236" s="5">
        <f t="shared" si="86"/>
        <v>3000</v>
      </c>
      <c r="N236" s="5">
        <f t="shared" si="81"/>
        <v>-361</v>
      </c>
      <c r="O236" s="5">
        <f t="shared" si="82"/>
        <v>-373</v>
      </c>
      <c r="P236" s="5">
        <f t="shared" si="83"/>
        <v>-648</v>
      </c>
      <c r="Q236" s="4">
        <v>0</v>
      </c>
      <c r="R236" s="4">
        <v>0</v>
      </c>
      <c r="S236" s="4">
        <v>0</v>
      </c>
      <c r="T236" s="6">
        <f t="shared" si="78"/>
        <v>934</v>
      </c>
      <c r="U236" s="7">
        <f t="shared" si="88"/>
        <v>1719</v>
      </c>
      <c r="V236" s="7">
        <f t="shared" si="89"/>
        <v>1527</v>
      </c>
      <c r="W236" s="7">
        <f t="shared" si="87"/>
        <v>1742</v>
      </c>
      <c r="X236" s="6"/>
      <c r="Y236" s="5"/>
      <c r="Z236" s="5"/>
      <c r="AA236" s="5"/>
      <c r="AB236" s="5"/>
    </row>
    <row r="237" spans="1:28" ht="13.15" customHeight="1">
      <c r="A237" s="12">
        <v>223</v>
      </c>
      <c r="B237" s="11">
        <f t="shared" si="79"/>
        <v>45493</v>
      </c>
      <c r="C237" s="9">
        <f t="shared" si="80"/>
        <v>842</v>
      </c>
      <c r="D237" s="8">
        <f t="shared" si="71"/>
        <v>1621</v>
      </c>
      <c r="E237" s="4">
        <f t="shared" si="72"/>
        <v>-176</v>
      </c>
      <c r="F237" s="4">
        <f t="shared" si="73"/>
        <v>-164</v>
      </c>
      <c r="G237" s="4">
        <f t="shared" si="74"/>
        <v>111</v>
      </c>
      <c r="H237" s="5">
        <f t="shared" si="75"/>
        <v>2639</v>
      </c>
      <c r="I237" s="5">
        <f t="shared" si="76"/>
        <v>2627</v>
      </c>
      <c r="J237" s="5">
        <f t="shared" si="77"/>
        <v>2352</v>
      </c>
      <c r="K237" s="5">
        <f t="shared" si="84"/>
        <v>3000</v>
      </c>
      <c r="L237" s="5">
        <f t="shared" si="85"/>
        <v>3000</v>
      </c>
      <c r="M237" s="5">
        <f t="shared" si="86"/>
        <v>3000</v>
      </c>
      <c r="N237" s="5">
        <f t="shared" si="81"/>
        <v>-361</v>
      </c>
      <c r="O237" s="5">
        <f t="shared" si="82"/>
        <v>-373</v>
      </c>
      <c r="P237" s="5">
        <f t="shared" si="83"/>
        <v>-648</v>
      </c>
      <c r="Q237" s="4">
        <v>0</v>
      </c>
      <c r="R237" s="4">
        <v>0</v>
      </c>
      <c r="S237" s="4">
        <v>0</v>
      </c>
      <c r="T237" s="6">
        <f t="shared" si="78"/>
        <v>936</v>
      </c>
      <c r="U237" s="7">
        <f t="shared" si="88"/>
        <v>1719</v>
      </c>
      <c r="V237" s="7">
        <f t="shared" si="89"/>
        <v>1527</v>
      </c>
      <c r="W237" s="7">
        <f t="shared" si="87"/>
        <v>1742</v>
      </c>
      <c r="X237" s="6"/>
      <c r="Y237" s="5"/>
      <c r="Z237" s="5"/>
      <c r="AA237" s="5"/>
      <c r="AB237" s="5"/>
    </row>
    <row r="238" spans="1:28" ht="13.15" customHeight="1">
      <c r="A238" s="12">
        <v>224</v>
      </c>
      <c r="B238" s="11">
        <f t="shared" si="79"/>
        <v>45494</v>
      </c>
      <c r="C238" s="9">
        <f t="shared" si="80"/>
        <v>842</v>
      </c>
      <c r="D238" s="8">
        <f t="shared" si="71"/>
        <v>1623</v>
      </c>
      <c r="E238" s="4">
        <f t="shared" si="72"/>
        <v>-174</v>
      </c>
      <c r="F238" s="4">
        <f t="shared" si="73"/>
        <v>-162</v>
      </c>
      <c r="G238" s="4">
        <f t="shared" si="74"/>
        <v>113</v>
      </c>
      <c r="H238" s="5">
        <f t="shared" si="75"/>
        <v>2639</v>
      </c>
      <c r="I238" s="5">
        <f t="shared" si="76"/>
        <v>2627</v>
      </c>
      <c r="J238" s="5">
        <f t="shared" si="77"/>
        <v>2352</v>
      </c>
      <c r="K238" s="5">
        <f t="shared" si="84"/>
        <v>3000</v>
      </c>
      <c r="L238" s="5">
        <f t="shared" si="85"/>
        <v>3000</v>
      </c>
      <c r="M238" s="5">
        <f t="shared" si="86"/>
        <v>3000</v>
      </c>
      <c r="N238" s="5">
        <f t="shared" si="81"/>
        <v>-361</v>
      </c>
      <c r="O238" s="5">
        <f t="shared" si="82"/>
        <v>-373</v>
      </c>
      <c r="P238" s="5">
        <f t="shared" si="83"/>
        <v>-648</v>
      </c>
      <c r="Q238" s="4">
        <v>0</v>
      </c>
      <c r="R238" s="4">
        <v>0</v>
      </c>
      <c r="S238" s="4">
        <v>0</v>
      </c>
      <c r="T238" s="6">
        <f t="shared" si="78"/>
        <v>938</v>
      </c>
      <c r="U238" s="7">
        <f t="shared" si="88"/>
        <v>1719</v>
      </c>
      <c r="V238" s="7">
        <f t="shared" si="89"/>
        <v>1527</v>
      </c>
      <c r="W238" s="7">
        <f t="shared" si="87"/>
        <v>1742</v>
      </c>
      <c r="X238" s="6"/>
      <c r="Y238" s="5"/>
      <c r="Z238" s="5"/>
      <c r="AA238" s="5"/>
      <c r="AB238" s="5"/>
    </row>
    <row r="239" spans="1:28" ht="13.15" customHeight="1">
      <c r="A239" s="12">
        <v>225</v>
      </c>
      <c r="B239" s="11">
        <f t="shared" si="79"/>
        <v>45495</v>
      </c>
      <c r="C239" s="9">
        <f t="shared" si="80"/>
        <v>842</v>
      </c>
      <c r="D239" s="8">
        <f t="shared" si="71"/>
        <v>1625</v>
      </c>
      <c r="E239" s="4">
        <f t="shared" si="72"/>
        <v>-172</v>
      </c>
      <c r="F239" s="4">
        <f t="shared" si="73"/>
        <v>-160</v>
      </c>
      <c r="G239" s="4">
        <f t="shared" si="74"/>
        <v>115</v>
      </c>
      <c r="H239" s="5">
        <f t="shared" si="75"/>
        <v>2639</v>
      </c>
      <c r="I239" s="5">
        <f t="shared" si="76"/>
        <v>2627</v>
      </c>
      <c r="J239" s="5">
        <f t="shared" si="77"/>
        <v>2352</v>
      </c>
      <c r="K239" s="5">
        <f t="shared" si="84"/>
        <v>3000</v>
      </c>
      <c r="L239" s="5">
        <f t="shared" si="85"/>
        <v>3000</v>
      </c>
      <c r="M239" s="5">
        <f t="shared" si="86"/>
        <v>3000</v>
      </c>
      <c r="N239" s="5">
        <f t="shared" si="81"/>
        <v>-361</v>
      </c>
      <c r="O239" s="5">
        <f t="shared" si="82"/>
        <v>-373</v>
      </c>
      <c r="P239" s="5">
        <f t="shared" si="83"/>
        <v>-648</v>
      </c>
      <c r="Q239" s="4">
        <v>0</v>
      </c>
      <c r="R239" s="4">
        <v>0</v>
      </c>
      <c r="S239" s="4">
        <v>0</v>
      </c>
      <c r="T239" s="6">
        <f t="shared" si="78"/>
        <v>940</v>
      </c>
      <c r="U239" s="7">
        <f t="shared" si="88"/>
        <v>1719</v>
      </c>
      <c r="V239" s="7">
        <f t="shared" si="89"/>
        <v>1527</v>
      </c>
      <c r="W239" s="7">
        <f t="shared" si="87"/>
        <v>1742</v>
      </c>
      <c r="X239" s="6"/>
      <c r="Y239" s="5"/>
      <c r="Z239" s="5"/>
      <c r="AA239" s="5"/>
      <c r="AB239" s="5"/>
    </row>
    <row r="240" spans="1:28" ht="13.15" customHeight="1">
      <c r="A240" s="12">
        <v>226</v>
      </c>
      <c r="B240" s="11">
        <f t="shared" si="79"/>
        <v>45496</v>
      </c>
      <c r="C240" s="9">
        <f t="shared" si="80"/>
        <v>842</v>
      </c>
      <c r="D240" s="8">
        <f t="shared" si="71"/>
        <v>1627</v>
      </c>
      <c r="E240" s="4">
        <f t="shared" si="72"/>
        <v>-170</v>
      </c>
      <c r="F240" s="4">
        <f t="shared" si="73"/>
        <v>-158</v>
      </c>
      <c r="G240" s="4">
        <f t="shared" si="74"/>
        <v>117</v>
      </c>
      <c r="H240" s="5">
        <f t="shared" si="75"/>
        <v>2639</v>
      </c>
      <c r="I240" s="5">
        <f t="shared" si="76"/>
        <v>2627</v>
      </c>
      <c r="J240" s="5">
        <f t="shared" si="77"/>
        <v>2352</v>
      </c>
      <c r="K240" s="5">
        <f t="shared" si="84"/>
        <v>3000</v>
      </c>
      <c r="L240" s="5">
        <f t="shared" si="85"/>
        <v>3000</v>
      </c>
      <c r="M240" s="5">
        <f t="shared" si="86"/>
        <v>3000</v>
      </c>
      <c r="N240" s="5">
        <f t="shared" si="81"/>
        <v>-361</v>
      </c>
      <c r="O240" s="5">
        <f t="shared" si="82"/>
        <v>-373</v>
      </c>
      <c r="P240" s="5">
        <f t="shared" si="83"/>
        <v>-648</v>
      </c>
      <c r="Q240" s="4">
        <v>0</v>
      </c>
      <c r="R240" s="4">
        <v>0</v>
      </c>
      <c r="S240" s="4">
        <v>0</v>
      </c>
      <c r="T240" s="6">
        <f t="shared" si="78"/>
        <v>942</v>
      </c>
      <c r="U240" s="7">
        <f t="shared" si="88"/>
        <v>1719</v>
      </c>
      <c r="V240" s="7">
        <f t="shared" si="89"/>
        <v>1527</v>
      </c>
      <c r="W240" s="7">
        <f t="shared" si="87"/>
        <v>1742</v>
      </c>
      <c r="X240" s="6"/>
      <c r="Y240" s="5"/>
      <c r="Z240" s="5"/>
      <c r="AA240" s="5"/>
      <c r="AB240" s="5"/>
    </row>
    <row r="241" spans="1:28" ht="13.15" customHeight="1">
      <c r="A241" s="12">
        <v>227</v>
      </c>
      <c r="B241" s="11">
        <f t="shared" si="79"/>
        <v>45497</v>
      </c>
      <c r="C241" s="9">
        <f t="shared" si="80"/>
        <v>842</v>
      </c>
      <c r="D241" s="8">
        <f t="shared" si="71"/>
        <v>1629</v>
      </c>
      <c r="E241" s="4">
        <f t="shared" si="72"/>
        <v>-168</v>
      </c>
      <c r="F241" s="4">
        <f t="shared" si="73"/>
        <v>-156</v>
      </c>
      <c r="G241" s="4">
        <f t="shared" si="74"/>
        <v>119</v>
      </c>
      <c r="H241" s="5">
        <f t="shared" si="75"/>
        <v>2639</v>
      </c>
      <c r="I241" s="5">
        <f t="shared" si="76"/>
        <v>2627</v>
      </c>
      <c r="J241" s="5">
        <f t="shared" si="77"/>
        <v>2352</v>
      </c>
      <c r="K241" s="5">
        <f t="shared" si="84"/>
        <v>3000</v>
      </c>
      <c r="L241" s="5">
        <f t="shared" si="85"/>
        <v>3000</v>
      </c>
      <c r="M241" s="5">
        <f t="shared" si="86"/>
        <v>3000</v>
      </c>
      <c r="N241" s="5">
        <f t="shared" si="81"/>
        <v>-361</v>
      </c>
      <c r="O241" s="5">
        <f t="shared" si="82"/>
        <v>-373</v>
      </c>
      <c r="P241" s="5">
        <f t="shared" si="83"/>
        <v>-648</v>
      </c>
      <c r="Q241" s="4">
        <v>0</v>
      </c>
      <c r="R241" s="4">
        <v>0</v>
      </c>
      <c r="S241" s="4">
        <v>0</v>
      </c>
      <c r="T241" s="6">
        <f t="shared" si="78"/>
        <v>944</v>
      </c>
      <c r="U241" s="7">
        <f t="shared" si="88"/>
        <v>1719</v>
      </c>
      <c r="V241" s="7">
        <f t="shared" si="89"/>
        <v>1527</v>
      </c>
      <c r="W241" s="7">
        <f t="shared" si="87"/>
        <v>1742</v>
      </c>
      <c r="X241" s="6"/>
      <c r="Y241" s="5"/>
      <c r="Z241" s="5"/>
      <c r="AA241" s="5"/>
      <c r="AB241" s="5"/>
    </row>
    <row r="242" spans="1:28" ht="13.15" customHeight="1">
      <c r="A242" s="12">
        <v>228</v>
      </c>
      <c r="B242" s="11">
        <f t="shared" si="79"/>
        <v>45498</v>
      </c>
      <c r="C242" s="9">
        <f t="shared" si="80"/>
        <v>842</v>
      </c>
      <c r="D242" s="8">
        <f t="shared" si="71"/>
        <v>1631</v>
      </c>
      <c r="E242" s="4">
        <f t="shared" si="72"/>
        <v>-166</v>
      </c>
      <c r="F242" s="4">
        <f t="shared" si="73"/>
        <v>-154</v>
      </c>
      <c r="G242" s="4">
        <f t="shared" si="74"/>
        <v>121</v>
      </c>
      <c r="H242" s="5">
        <f t="shared" si="75"/>
        <v>2639</v>
      </c>
      <c r="I242" s="5">
        <f t="shared" si="76"/>
        <v>2627</v>
      </c>
      <c r="J242" s="5">
        <f t="shared" si="77"/>
        <v>2352</v>
      </c>
      <c r="K242" s="5">
        <f t="shared" si="84"/>
        <v>3000</v>
      </c>
      <c r="L242" s="5">
        <f t="shared" si="85"/>
        <v>3000</v>
      </c>
      <c r="M242" s="5">
        <f t="shared" si="86"/>
        <v>3000</v>
      </c>
      <c r="N242" s="5">
        <f t="shared" si="81"/>
        <v>-361</v>
      </c>
      <c r="O242" s="5">
        <f t="shared" si="82"/>
        <v>-373</v>
      </c>
      <c r="P242" s="5">
        <f t="shared" si="83"/>
        <v>-648</v>
      </c>
      <c r="Q242" s="4">
        <v>0</v>
      </c>
      <c r="R242" s="4">
        <v>0</v>
      </c>
      <c r="S242" s="4">
        <v>0</v>
      </c>
      <c r="T242" s="6">
        <f t="shared" si="78"/>
        <v>946</v>
      </c>
      <c r="U242" s="7">
        <f t="shared" si="88"/>
        <v>1719</v>
      </c>
      <c r="V242" s="7">
        <f t="shared" si="89"/>
        <v>1527</v>
      </c>
      <c r="W242" s="7">
        <f t="shared" si="87"/>
        <v>1742</v>
      </c>
      <c r="X242" s="6"/>
      <c r="Y242" s="5"/>
      <c r="Z242" s="5"/>
      <c r="AA242" s="5"/>
      <c r="AB242" s="5"/>
    </row>
    <row r="243" spans="1:28" ht="13.15" customHeight="1">
      <c r="A243" s="12">
        <v>229</v>
      </c>
      <c r="B243" s="11">
        <f t="shared" si="79"/>
        <v>45499</v>
      </c>
      <c r="C243" s="9">
        <f t="shared" si="80"/>
        <v>842</v>
      </c>
      <c r="D243" s="8">
        <f t="shared" si="71"/>
        <v>1633</v>
      </c>
      <c r="E243" s="4">
        <f t="shared" si="72"/>
        <v>-164</v>
      </c>
      <c r="F243" s="4">
        <f t="shared" si="73"/>
        <v>-152</v>
      </c>
      <c r="G243" s="4">
        <f t="shared" si="74"/>
        <v>123</v>
      </c>
      <c r="H243" s="5">
        <f t="shared" si="75"/>
        <v>2639</v>
      </c>
      <c r="I243" s="5">
        <f t="shared" si="76"/>
        <v>2627</v>
      </c>
      <c r="J243" s="5">
        <f t="shared" si="77"/>
        <v>2352</v>
      </c>
      <c r="K243" s="5">
        <f t="shared" si="84"/>
        <v>3000</v>
      </c>
      <c r="L243" s="5">
        <f t="shared" si="85"/>
        <v>3000</v>
      </c>
      <c r="M243" s="5">
        <f t="shared" si="86"/>
        <v>3000</v>
      </c>
      <c r="N243" s="5">
        <f t="shared" si="81"/>
        <v>-361</v>
      </c>
      <c r="O243" s="5">
        <f t="shared" si="82"/>
        <v>-373</v>
      </c>
      <c r="P243" s="5">
        <f t="shared" si="83"/>
        <v>-648</v>
      </c>
      <c r="Q243" s="4">
        <v>0</v>
      </c>
      <c r="R243" s="4">
        <v>0</v>
      </c>
      <c r="S243" s="4">
        <v>0</v>
      </c>
      <c r="T243" s="6">
        <f t="shared" si="78"/>
        <v>948</v>
      </c>
      <c r="U243" s="7">
        <f t="shared" si="88"/>
        <v>1719</v>
      </c>
      <c r="V243" s="7">
        <f t="shared" si="89"/>
        <v>1527</v>
      </c>
      <c r="W243" s="7">
        <f t="shared" si="87"/>
        <v>1742</v>
      </c>
      <c r="X243" s="6"/>
      <c r="Y243" s="5"/>
      <c r="Z243" s="5"/>
      <c r="AA243" s="5"/>
      <c r="AB243" s="5"/>
    </row>
    <row r="244" spans="1:28" ht="13.15" customHeight="1">
      <c r="A244" s="12">
        <v>230</v>
      </c>
      <c r="B244" s="11">
        <f t="shared" si="79"/>
        <v>45500</v>
      </c>
      <c r="C244" s="9">
        <f t="shared" si="80"/>
        <v>842</v>
      </c>
      <c r="D244" s="8">
        <f t="shared" si="71"/>
        <v>1635</v>
      </c>
      <c r="E244" s="4">
        <f t="shared" si="72"/>
        <v>-162</v>
      </c>
      <c r="F244" s="4">
        <f t="shared" si="73"/>
        <v>-150</v>
      </c>
      <c r="G244" s="4">
        <f t="shared" si="74"/>
        <v>125</v>
      </c>
      <c r="H244" s="5">
        <f t="shared" si="75"/>
        <v>2639</v>
      </c>
      <c r="I244" s="5">
        <f t="shared" si="76"/>
        <v>2627</v>
      </c>
      <c r="J244" s="5">
        <f t="shared" si="77"/>
        <v>2352</v>
      </c>
      <c r="K244" s="5">
        <f t="shared" si="84"/>
        <v>3000</v>
      </c>
      <c r="L244" s="5">
        <f t="shared" si="85"/>
        <v>3000</v>
      </c>
      <c r="M244" s="5">
        <f t="shared" si="86"/>
        <v>3000</v>
      </c>
      <c r="N244" s="5">
        <f t="shared" si="81"/>
        <v>-361</v>
      </c>
      <c r="O244" s="5">
        <f t="shared" si="82"/>
        <v>-373</v>
      </c>
      <c r="P244" s="5">
        <f t="shared" si="83"/>
        <v>-648</v>
      </c>
      <c r="Q244" s="4">
        <v>0</v>
      </c>
      <c r="R244" s="4">
        <v>0</v>
      </c>
      <c r="S244" s="4">
        <v>0</v>
      </c>
      <c r="T244" s="6">
        <f t="shared" si="78"/>
        <v>950</v>
      </c>
      <c r="U244" s="7">
        <f t="shared" si="88"/>
        <v>1719</v>
      </c>
      <c r="V244" s="7">
        <f t="shared" si="89"/>
        <v>1527</v>
      </c>
      <c r="W244" s="7">
        <f t="shared" si="87"/>
        <v>1742</v>
      </c>
      <c r="X244" s="6"/>
      <c r="Y244" s="5"/>
      <c r="Z244" s="5"/>
      <c r="AA244" s="5"/>
      <c r="AB244" s="5"/>
    </row>
    <row r="245" spans="1:28" ht="13.15" customHeight="1">
      <c r="A245" s="12">
        <v>231</v>
      </c>
      <c r="B245" s="11">
        <f t="shared" si="79"/>
        <v>45501</v>
      </c>
      <c r="C245" s="9">
        <f t="shared" si="80"/>
        <v>842</v>
      </c>
      <c r="D245" s="8">
        <f t="shared" si="71"/>
        <v>1637</v>
      </c>
      <c r="E245" s="4">
        <f t="shared" si="72"/>
        <v>-160</v>
      </c>
      <c r="F245" s="4">
        <f t="shared" si="73"/>
        <v>-148</v>
      </c>
      <c r="G245" s="4">
        <f t="shared" si="74"/>
        <v>127</v>
      </c>
      <c r="H245" s="5">
        <f t="shared" si="75"/>
        <v>2639</v>
      </c>
      <c r="I245" s="5">
        <f t="shared" si="76"/>
        <v>2627</v>
      </c>
      <c r="J245" s="5">
        <f t="shared" si="77"/>
        <v>2352</v>
      </c>
      <c r="K245" s="5">
        <f t="shared" si="84"/>
        <v>3000</v>
      </c>
      <c r="L245" s="5">
        <f t="shared" si="85"/>
        <v>3000</v>
      </c>
      <c r="M245" s="5">
        <f t="shared" si="86"/>
        <v>3000</v>
      </c>
      <c r="N245" s="5">
        <f t="shared" si="81"/>
        <v>-361</v>
      </c>
      <c r="O245" s="5">
        <f t="shared" si="82"/>
        <v>-373</v>
      </c>
      <c r="P245" s="5">
        <f t="shared" si="83"/>
        <v>-648</v>
      </c>
      <c r="Q245" s="4">
        <v>0</v>
      </c>
      <c r="R245" s="4">
        <v>0</v>
      </c>
      <c r="S245" s="4">
        <v>0</v>
      </c>
      <c r="T245" s="6">
        <f t="shared" si="78"/>
        <v>952</v>
      </c>
      <c r="U245" s="7">
        <f t="shared" si="88"/>
        <v>1719</v>
      </c>
      <c r="V245" s="7">
        <f t="shared" si="89"/>
        <v>1527</v>
      </c>
      <c r="W245" s="7">
        <f t="shared" si="87"/>
        <v>1742</v>
      </c>
      <c r="X245" s="6"/>
      <c r="Y245" s="5"/>
      <c r="Z245" s="5"/>
      <c r="AA245" s="5"/>
      <c r="AB245" s="5"/>
    </row>
    <row r="246" spans="1:28" ht="13.15" customHeight="1">
      <c r="A246" s="12">
        <v>232</v>
      </c>
      <c r="B246" s="11">
        <f t="shared" si="79"/>
        <v>45502</v>
      </c>
      <c r="C246" s="9">
        <f t="shared" si="80"/>
        <v>842</v>
      </c>
      <c r="D246" s="8">
        <f t="shared" si="71"/>
        <v>1639</v>
      </c>
      <c r="E246" s="4">
        <f t="shared" si="72"/>
        <v>-158</v>
      </c>
      <c r="F246" s="4">
        <f t="shared" si="73"/>
        <v>-146</v>
      </c>
      <c r="G246" s="4">
        <f t="shared" si="74"/>
        <v>129</v>
      </c>
      <c r="H246" s="5">
        <f t="shared" si="75"/>
        <v>2639</v>
      </c>
      <c r="I246" s="5">
        <f t="shared" si="76"/>
        <v>2627</v>
      </c>
      <c r="J246" s="5">
        <f t="shared" si="77"/>
        <v>2352</v>
      </c>
      <c r="K246" s="5">
        <f t="shared" si="84"/>
        <v>3000</v>
      </c>
      <c r="L246" s="5">
        <f t="shared" si="85"/>
        <v>3000</v>
      </c>
      <c r="M246" s="5">
        <f t="shared" si="86"/>
        <v>3000</v>
      </c>
      <c r="N246" s="5">
        <f t="shared" si="81"/>
        <v>-361</v>
      </c>
      <c r="O246" s="5">
        <f t="shared" si="82"/>
        <v>-373</v>
      </c>
      <c r="P246" s="5">
        <f t="shared" si="83"/>
        <v>-648</v>
      </c>
      <c r="Q246" s="4">
        <v>0</v>
      </c>
      <c r="R246" s="4">
        <v>0</v>
      </c>
      <c r="S246" s="4">
        <v>0</v>
      </c>
      <c r="T246" s="6">
        <f t="shared" si="78"/>
        <v>954</v>
      </c>
      <c r="U246" s="7">
        <f t="shared" si="88"/>
        <v>1719</v>
      </c>
      <c r="V246" s="7">
        <f t="shared" si="89"/>
        <v>1527</v>
      </c>
      <c r="W246" s="7">
        <f t="shared" si="87"/>
        <v>1742</v>
      </c>
      <c r="X246" s="6"/>
      <c r="Y246" s="5"/>
      <c r="Z246" s="5"/>
      <c r="AA246" s="5"/>
      <c r="AB246" s="5"/>
    </row>
    <row r="247" spans="1:28" ht="13.15" customHeight="1">
      <c r="A247" s="12">
        <v>233</v>
      </c>
      <c r="B247" s="11">
        <f t="shared" si="79"/>
        <v>45503</v>
      </c>
      <c r="C247" s="9">
        <f t="shared" si="80"/>
        <v>842</v>
      </c>
      <c r="D247" s="8">
        <f t="shared" si="71"/>
        <v>1641</v>
      </c>
      <c r="E247" s="4">
        <f t="shared" si="72"/>
        <v>-156</v>
      </c>
      <c r="F247" s="4">
        <f t="shared" si="73"/>
        <v>-144</v>
      </c>
      <c r="G247" s="4">
        <f t="shared" si="74"/>
        <v>131</v>
      </c>
      <c r="H247" s="5">
        <f t="shared" si="75"/>
        <v>2639</v>
      </c>
      <c r="I247" s="5">
        <f t="shared" si="76"/>
        <v>2627</v>
      </c>
      <c r="J247" s="5">
        <f t="shared" si="77"/>
        <v>2352</v>
      </c>
      <c r="K247" s="5">
        <f t="shared" si="84"/>
        <v>3000</v>
      </c>
      <c r="L247" s="5">
        <f t="shared" si="85"/>
        <v>3000</v>
      </c>
      <c r="M247" s="5">
        <f t="shared" si="86"/>
        <v>3000</v>
      </c>
      <c r="N247" s="5">
        <f t="shared" si="81"/>
        <v>-361</v>
      </c>
      <c r="O247" s="5">
        <f t="shared" si="82"/>
        <v>-373</v>
      </c>
      <c r="P247" s="5">
        <f t="shared" si="83"/>
        <v>-648</v>
      </c>
      <c r="Q247" s="4">
        <v>0</v>
      </c>
      <c r="R247" s="4">
        <v>0</v>
      </c>
      <c r="S247" s="4">
        <v>0</v>
      </c>
      <c r="T247" s="6">
        <f t="shared" si="78"/>
        <v>956</v>
      </c>
      <c r="U247" s="7">
        <f t="shared" si="88"/>
        <v>1719</v>
      </c>
      <c r="V247" s="7">
        <f t="shared" si="89"/>
        <v>1527</v>
      </c>
      <c r="W247" s="7">
        <f t="shared" si="87"/>
        <v>1742</v>
      </c>
      <c r="X247" s="6"/>
      <c r="Y247" s="5"/>
      <c r="Z247" s="5"/>
      <c r="AA247" s="5"/>
      <c r="AB247" s="5"/>
    </row>
    <row r="248" spans="1:28" ht="13.15" customHeight="1">
      <c r="A248" s="12">
        <v>234</v>
      </c>
      <c r="B248" s="11">
        <f t="shared" si="79"/>
        <v>45504</v>
      </c>
      <c r="C248" s="9">
        <f t="shared" si="80"/>
        <v>842</v>
      </c>
      <c r="D248" s="8">
        <f t="shared" si="71"/>
        <v>1643</v>
      </c>
      <c r="E248" s="4">
        <f t="shared" si="72"/>
        <v>-154</v>
      </c>
      <c r="F248" s="4">
        <f t="shared" si="73"/>
        <v>-142</v>
      </c>
      <c r="G248" s="4">
        <f t="shared" si="74"/>
        <v>133</v>
      </c>
      <c r="H248" s="5">
        <f t="shared" si="75"/>
        <v>2639</v>
      </c>
      <c r="I248" s="5">
        <f t="shared" si="76"/>
        <v>2627</v>
      </c>
      <c r="J248" s="5">
        <f t="shared" si="77"/>
        <v>2352</v>
      </c>
      <c r="K248" s="5">
        <f t="shared" si="84"/>
        <v>3000</v>
      </c>
      <c r="L248" s="5">
        <f t="shared" si="85"/>
        <v>3000</v>
      </c>
      <c r="M248" s="5">
        <f t="shared" si="86"/>
        <v>3000</v>
      </c>
      <c r="N248" s="5">
        <f t="shared" si="81"/>
        <v>-361</v>
      </c>
      <c r="O248" s="5">
        <f t="shared" si="82"/>
        <v>-373</v>
      </c>
      <c r="P248" s="5">
        <f t="shared" si="83"/>
        <v>-648</v>
      </c>
      <c r="Q248" s="4">
        <v>0</v>
      </c>
      <c r="R248" s="4">
        <v>0</v>
      </c>
      <c r="S248" s="4">
        <v>0</v>
      </c>
      <c r="T248" s="6">
        <f t="shared" si="78"/>
        <v>958</v>
      </c>
      <c r="U248" s="7">
        <f t="shared" si="88"/>
        <v>1719</v>
      </c>
      <c r="V248" s="7">
        <f t="shared" si="89"/>
        <v>1527</v>
      </c>
      <c r="W248" s="7">
        <f t="shared" si="87"/>
        <v>1742</v>
      </c>
      <c r="X248" s="6"/>
      <c r="Y248" s="5"/>
      <c r="Z248" s="5"/>
      <c r="AA248" s="5"/>
      <c r="AB248" s="5"/>
    </row>
    <row r="249" spans="1:28" ht="13.15" customHeight="1">
      <c r="A249" s="12">
        <v>235</v>
      </c>
      <c r="B249" s="11">
        <f t="shared" si="79"/>
        <v>45505</v>
      </c>
      <c r="C249" s="9">
        <f t="shared" si="80"/>
        <v>842</v>
      </c>
      <c r="D249" s="8">
        <f t="shared" si="71"/>
        <v>1645</v>
      </c>
      <c r="E249" s="4">
        <f t="shared" si="72"/>
        <v>-152</v>
      </c>
      <c r="F249" s="4">
        <f t="shared" si="73"/>
        <v>-140</v>
      </c>
      <c r="G249" s="4">
        <f t="shared" si="74"/>
        <v>135</v>
      </c>
      <c r="H249" s="5">
        <f t="shared" si="75"/>
        <v>2639</v>
      </c>
      <c r="I249" s="5">
        <f t="shared" si="76"/>
        <v>2627</v>
      </c>
      <c r="J249" s="5">
        <f t="shared" si="77"/>
        <v>2352</v>
      </c>
      <c r="K249" s="5">
        <f t="shared" si="84"/>
        <v>3000</v>
      </c>
      <c r="L249" s="5">
        <f t="shared" si="85"/>
        <v>3000</v>
      </c>
      <c r="M249" s="5">
        <f t="shared" si="86"/>
        <v>3000</v>
      </c>
      <c r="N249" s="5">
        <f t="shared" si="81"/>
        <v>-361</v>
      </c>
      <c r="O249" s="5">
        <f t="shared" si="82"/>
        <v>-373</v>
      </c>
      <c r="P249" s="5">
        <f t="shared" si="83"/>
        <v>-648</v>
      </c>
      <c r="Q249" s="4">
        <v>0</v>
      </c>
      <c r="R249" s="4">
        <v>0</v>
      </c>
      <c r="S249" s="4">
        <v>0</v>
      </c>
      <c r="T249" s="6">
        <f t="shared" si="78"/>
        <v>960</v>
      </c>
      <c r="U249" s="7">
        <f t="shared" si="88"/>
        <v>1719</v>
      </c>
      <c r="V249" s="7">
        <f t="shared" si="89"/>
        <v>1527</v>
      </c>
      <c r="W249" s="7">
        <f t="shared" si="87"/>
        <v>1742</v>
      </c>
      <c r="X249" s="6"/>
      <c r="Y249" s="5"/>
      <c r="Z249" s="5"/>
      <c r="AA249" s="5"/>
      <c r="AB249" s="5"/>
    </row>
    <row r="250" spans="1:28" ht="13.15" customHeight="1">
      <c r="A250" s="12">
        <v>236</v>
      </c>
      <c r="B250" s="11">
        <f t="shared" si="79"/>
        <v>45506</v>
      </c>
      <c r="C250" s="9">
        <f t="shared" si="80"/>
        <v>842</v>
      </c>
      <c r="D250" s="8">
        <f t="shared" si="71"/>
        <v>1647</v>
      </c>
      <c r="E250" s="4">
        <f t="shared" si="72"/>
        <v>-150</v>
      </c>
      <c r="F250" s="4">
        <f t="shared" si="73"/>
        <v>-138</v>
      </c>
      <c r="G250" s="4">
        <f t="shared" si="74"/>
        <v>137</v>
      </c>
      <c r="H250" s="5">
        <f t="shared" si="75"/>
        <v>2639</v>
      </c>
      <c r="I250" s="5">
        <f t="shared" si="76"/>
        <v>2627</v>
      </c>
      <c r="J250" s="5">
        <f t="shared" si="77"/>
        <v>2352</v>
      </c>
      <c r="K250" s="5">
        <f t="shared" si="84"/>
        <v>3000</v>
      </c>
      <c r="L250" s="5">
        <f t="shared" si="85"/>
        <v>3000</v>
      </c>
      <c r="M250" s="5">
        <f t="shared" si="86"/>
        <v>3000</v>
      </c>
      <c r="N250" s="5">
        <f t="shared" si="81"/>
        <v>-361</v>
      </c>
      <c r="O250" s="5">
        <f t="shared" si="82"/>
        <v>-373</v>
      </c>
      <c r="P250" s="5">
        <f t="shared" si="83"/>
        <v>-648</v>
      </c>
      <c r="Q250" s="4">
        <v>0</v>
      </c>
      <c r="R250" s="4">
        <v>0</v>
      </c>
      <c r="S250" s="4">
        <v>0</v>
      </c>
      <c r="T250" s="6">
        <f t="shared" si="78"/>
        <v>962</v>
      </c>
      <c r="U250" s="7">
        <f t="shared" si="88"/>
        <v>1719</v>
      </c>
      <c r="V250" s="7">
        <f t="shared" si="89"/>
        <v>1527</v>
      </c>
      <c r="W250" s="7">
        <f t="shared" si="87"/>
        <v>1742</v>
      </c>
      <c r="X250" s="6"/>
      <c r="Y250" s="5"/>
      <c r="Z250" s="5"/>
      <c r="AA250" s="5"/>
      <c r="AB250" s="5"/>
    </row>
    <row r="251" spans="1:28" ht="13.15" customHeight="1">
      <c r="A251" s="12">
        <v>237</v>
      </c>
      <c r="B251" s="11">
        <f t="shared" si="79"/>
        <v>45507</v>
      </c>
      <c r="C251" s="9">
        <f t="shared" si="80"/>
        <v>842</v>
      </c>
      <c r="D251" s="8">
        <f t="shared" si="71"/>
        <v>1649</v>
      </c>
      <c r="E251" s="4">
        <f t="shared" si="72"/>
        <v>-148</v>
      </c>
      <c r="F251" s="4">
        <f t="shared" si="73"/>
        <v>-136</v>
      </c>
      <c r="G251" s="4">
        <f t="shared" si="74"/>
        <v>139</v>
      </c>
      <c r="H251" s="5">
        <f t="shared" si="75"/>
        <v>2639</v>
      </c>
      <c r="I251" s="5">
        <f t="shared" si="76"/>
        <v>2627</v>
      </c>
      <c r="J251" s="5">
        <f t="shared" si="77"/>
        <v>2352</v>
      </c>
      <c r="K251" s="5">
        <f t="shared" si="84"/>
        <v>3000</v>
      </c>
      <c r="L251" s="5">
        <f t="shared" si="85"/>
        <v>3000</v>
      </c>
      <c r="M251" s="5">
        <f t="shared" si="86"/>
        <v>3000</v>
      </c>
      <c r="N251" s="5">
        <f t="shared" si="81"/>
        <v>-361</v>
      </c>
      <c r="O251" s="5">
        <f t="shared" si="82"/>
        <v>-373</v>
      </c>
      <c r="P251" s="5">
        <f t="shared" si="83"/>
        <v>-648</v>
      </c>
      <c r="Q251" s="4">
        <v>0</v>
      </c>
      <c r="R251" s="4">
        <v>0</v>
      </c>
      <c r="S251" s="4">
        <v>0</v>
      </c>
      <c r="T251" s="6">
        <f t="shared" si="78"/>
        <v>964</v>
      </c>
      <c r="U251" s="7">
        <f t="shared" si="88"/>
        <v>1719</v>
      </c>
      <c r="V251" s="7">
        <f t="shared" si="89"/>
        <v>1527</v>
      </c>
      <c r="W251" s="7">
        <f t="shared" si="87"/>
        <v>1742</v>
      </c>
      <c r="X251" s="6"/>
      <c r="Y251" s="5"/>
      <c r="Z251" s="5"/>
      <c r="AA251" s="5"/>
      <c r="AB251" s="5"/>
    </row>
    <row r="252" spans="1:28" ht="13.15" customHeight="1">
      <c r="A252" s="12">
        <v>238</v>
      </c>
      <c r="B252" s="11">
        <f t="shared" si="79"/>
        <v>45508</v>
      </c>
      <c r="C252" s="9">
        <f t="shared" si="80"/>
        <v>842</v>
      </c>
      <c r="D252" s="8">
        <f t="shared" si="71"/>
        <v>1651</v>
      </c>
      <c r="E252" s="4">
        <f t="shared" si="72"/>
        <v>-146</v>
      </c>
      <c r="F252" s="4">
        <f t="shared" si="73"/>
        <v>-134</v>
      </c>
      <c r="G252" s="4">
        <f t="shared" si="74"/>
        <v>141</v>
      </c>
      <c r="H252" s="5">
        <f t="shared" si="75"/>
        <v>2639</v>
      </c>
      <c r="I252" s="5">
        <f t="shared" si="76"/>
        <v>2627</v>
      </c>
      <c r="J252" s="5">
        <f t="shared" si="77"/>
        <v>2352</v>
      </c>
      <c r="K252" s="5">
        <f t="shared" si="84"/>
        <v>3000</v>
      </c>
      <c r="L252" s="5">
        <f t="shared" si="85"/>
        <v>3000</v>
      </c>
      <c r="M252" s="5">
        <f t="shared" si="86"/>
        <v>3000</v>
      </c>
      <c r="N252" s="5">
        <f t="shared" si="81"/>
        <v>-361</v>
      </c>
      <c r="O252" s="5">
        <f t="shared" si="82"/>
        <v>-373</v>
      </c>
      <c r="P252" s="5">
        <f t="shared" si="83"/>
        <v>-648</v>
      </c>
      <c r="Q252" s="4">
        <v>0</v>
      </c>
      <c r="R252" s="4">
        <v>0</v>
      </c>
      <c r="S252" s="4">
        <v>0</v>
      </c>
      <c r="T252" s="6">
        <f t="shared" si="78"/>
        <v>966</v>
      </c>
      <c r="U252" s="7">
        <f t="shared" si="88"/>
        <v>1719</v>
      </c>
      <c r="V252" s="7">
        <f t="shared" si="89"/>
        <v>1527</v>
      </c>
      <c r="W252" s="7">
        <f t="shared" si="87"/>
        <v>1742</v>
      </c>
      <c r="X252" s="6"/>
      <c r="Y252" s="5"/>
      <c r="Z252" s="5"/>
      <c r="AA252" s="5"/>
      <c r="AB252" s="5"/>
    </row>
    <row r="253" spans="1:28" ht="13.15" customHeight="1">
      <c r="A253" s="12">
        <v>239</v>
      </c>
      <c r="B253" s="11">
        <f t="shared" si="79"/>
        <v>45509</v>
      </c>
      <c r="C253" s="9">
        <f t="shared" si="80"/>
        <v>842</v>
      </c>
      <c r="D253" s="8">
        <f t="shared" si="71"/>
        <v>1653</v>
      </c>
      <c r="E253" s="4">
        <f t="shared" si="72"/>
        <v>-144</v>
      </c>
      <c r="F253" s="4">
        <f t="shared" si="73"/>
        <v>-132</v>
      </c>
      <c r="G253" s="4">
        <f t="shared" si="74"/>
        <v>143</v>
      </c>
      <c r="H253" s="5">
        <f t="shared" si="75"/>
        <v>2639</v>
      </c>
      <c r="I253" s="5">
        <f t="shared" si="76"/>
        <v>2627</v>
      </c>
      <c r="J253" s="5">
        <f t="shared" si="77"/>
        <v>2352</v>
      </c>
      <c r="K253" s="5">
        <f t="shared" si="84"/>
        <v>3000</v>
      </c>
      <c r="L253" s="5">
        <f t="shared" si="85"/>
        <v>3000</v>
      </c>
      <c r="M253" s="5">
        <f t="shared" si="86"/>
        <v>3000</v>
      </c>
      <c r="N253" s="5">
        <f t="shared" si="81"/>
        <v>-361</v>
      </c>
      <c r="O253" s="5">
        <f t="shared" si="82"/>
        <v>-373</v>
      </c>
      <c r="P253" s="5">
        <f t="shared" si="83"/>
        <v>-648</v>
      </c>
      <c r="Q253" s="4">
        <v>0</v>
      </c>
      <c r="R253" s="4">
        <v>0</v>
      </c>
      <c r="S253" s="4">
        <v>0</v>
      </c>
      <c r="T253" s="6">
        <f t="shared" si="78"/>
        <v>968</v>
      </c>
      <c r="U253" s="7">
        <f t="shared" si="88"/>
        <v>1719</v>
      </c>
      <c r="V253" s="7">
        <f t="shared" si="89"/>
        <v>1527</v>
      </c>
      <c r="W253" s="7">
        <f t="shared" si="87"/>
        <v>1742</v>
      </c>
      <c r="X253" s="6"/>
      <c r="Y253" s="5"/>
      <c r="Z253" s="5"/>
      <c r="AA253" s="5"/>
      <c r="AB253" s="5"/>
    </row>
    <row r="254" spans="1:28" ht="13.15" customHeight="1">
      <c r="A254" s="12">
        <v>240</v>
      </c>
      <c r="B254" s="11">
        <f t="shared" si="79"/>
        <v>45510</v>
      </c>
      <c r="C254" s="9">
        <f t="shared" si="80"/>
        <v>842</v>
      </c>
      <c r="D254" s="8">
        <f t="shared" si="71"/>
        <v>1655</v>
      </c>
      <c r="E254" s="4">
        <f t="shared" si="72"/>
        <v>-142</v>
      </c>
      <c r="F254" s="4">
        <f t="shared" si="73"/>
        <v>-130</v>
      </c>
      <c r="G254" s="4">
        <f t="shared" si="74"/>
        <v>145</v>
      </c>
      <c r="H254" s="5">
        <f t="shared" si="75"/>
        <v>2639</v>
      </c>
      <c r="I254" s="5">
        <f t="shared" si="76"/>
        <v>2627</v>
      </c>
      <c r="J254" s="5">
        <f t="shared" si="77"/>
        <v>2352</v>
      </c>
      <c r="K254" s="5">
        <f t="shared" si="84"/>
        <v>3000</v>
      </c>
      <c r="L254" s="5">
        <f t="shared" si="85"/>
        <v>3000</v>
      </c>
      <c r="M254" s="5">
        <f t="shared" si="86"/>
        <v>3000</v>
      </c>
      <c r="N254" s="5">
        <f t="shared" si="81"/>
        <v>-361</v>
      </c>
      <c r="O254" s="5">
        <f t="shared" si="82"/>
        <v>-373</v>
      </c>
      <c r="P254" s="5">
        <f t="shared" si="83"/>
        <v>-648</v>
      </c>
      <c r="Q254" s="4">
        <v>0</v>
      </c>
      <c r="R254" s="4">
        <v>0</v>
      </c>
      <c r="S254" s="4">
        <v>0</v>
      </c>
      <c r="T254" s="6">
        <f t="shared" si="78"/>
        <v>970</v>
      </c>
      <c r="U254" s="7">
        <f t="shared" si="88"/>
        <v>1719</v>
      </c>
      <c r="V254" s="7">
        <f t="shared" si="89"/>
        <v>1527</v>
      </c>
      <c r="W254" s="7">
        <f t="shared" si="87"/>
        <v>1742</v>
      </c>
      <c r="X254" s="6"/>
      <c r="Y254" s="5"/>
      <c r="Z254" s="5"/>
      <c r="AA254" s="5"/>
      <c r="AB254" s="5"/>
    </row>
    <row r="255" spans="1:28" ht="13.15" customHeight="1">
      <c r="A255" s="12">
        <v>241</v>
      </c>
      <c r="B255" s="11">
        <f t="shared" si="79"/>
        <v>45511</v>
      </c>
      <c r="C255" s="9">
        <f t="shared" si="80"/>
        <v>842</v>
      </c>
      <c r="D255" s="8">
        <f t="shared" ref="D255:D318" si="90">D254+2</f>
        <v>1657</v>
      </c>
      <c r="E255" s="4">
        <f t="shared" si="72"/>
        <v>-140</v>
      </c>
      <c r="F255" s="4">
        <f t="shared" si="73"/>
        <v>-128</v>
      </c>
      <c r="G255" s="4">
        <f t="shared" si="74"/>
        <v>147</v>
      </c>
      <c r="H255" s="5">
        <f t="shared" si="75"/>
        <v>2639</v>
      </c>
      <c r="I255" s="5">
        <f t="shared" si="76"/>
        <v>2627</v>
      </c>
      <c r="J255" s="5">
        <f t="shared" si="77"/>
        <v>2352</v>
      </c>
      <c r="K255" s="5">
        <f t="shared" si="84"/>
        <v>3000</v>
      </c>
      <c r="L255" s="5">
        <f t="shared" si="85"/>
        <v>3000</v>
      </c>
      <c r="M255" s="5">
        <f t="shared" si="86"/>
        <v>3000</v>
      </c>
      <c r="N255" s="5">
        <f t="shared" si="81"/>
        <v>-361</v>
      </c>
      <c r="O255" s="5">
        <f t="shared" si="82"/>
        <v>-373</v>
      </c>
      <c r="P255" s="5">
        <f t="shared" si="83"/>
        <v>-648</v>
      </c>
      <c r="Q255" s="4">
        <v>0</v>
      </c>
      <c r="R255" s="4">
        <v>0</v>
      </c>
      <c r="S255" s="4">
        <v>0</v>
      </c>
      <c r="T255" s="6">
        <f t="shared" si="78"/>
        <v>972</v>
      </c>
      <c r="U255" s="7">
        <f t="shared" si="88"/>
        <v>1719</v>
      </c>
      <c r="V255" s="7">
        <f t="shared" si="89"/>
        <v>1527</v>
      </c>
      <c r="W255" s="7">
        <f t="shared" si="87"/>
        <v>1742</v>
      </c>
      <c r="X255" s="6"/>
      <c r="Y255" s="5"/>
      <c r="Z255" s="5"/>
      <c r="AA255" s="5"/>
      <c r="AB255" s="5"/>
    </row>
    <row r="256" spans="1:28" ht="13.15" customHeight="1">
      <c r="A256" s="12">
        <v>242</v>
      </c>
      <c r="B256" s="11">
        <f t="shared" si="79"/>
        <v>45512</v>
      </c>
      <c r="C256" s="9">
        <f t="shared" si="80"/>
        <v>842</v>
      </c>
      <c r="D256" s="8">
        <f t="shared" si="90"/>
        <v>1659</v>
      </c>
      <c r="E256" s="4">
        <f t="shared" si="72"/>
        <v>-138</v>
      </c>
      <c r="F256" s="4">
        <f t="shared" si="73"/>
        <v>-126</v>
      </c>
      <c r="G256" s="4">
        <f t="shared" si="74"/>
        <v>149</v>
      </c>
      <c r="H256" s="5">
        <f t="shared" si="75"/>
        <v>2639</v>
      </c>
      <c r="I256" s="5">
        <f t="shared" si="76"/>
        <v>2627</v>
      </c>
      <c r="J256" s="5">
        <f t="shared" si="77"/>
        <v>2352</v>
      </c>
      <c r="K256" s="5">
        <f t="shared" si="84"/>
        <v>3000</v>
      </c>
      <c r="L256" s="5">
        <f t="shared" si="85"/>
        <v>3000</v>
      </c>
      <c r="M256" s="5">
        <f t="shared" si="86"/>
        <v>3000</v>
      </c>
      <c r="N256" s="5">
        <f t="shared" si="81"/>
        <v>-361</v>
      </c>
      <c r="O256" s="5">
        <f t="shared" si="82"/>
        <v>-373</v>
      </c>
      <c r="P256" s="5">
        <f t="shared" si="83"/>
        <v>-648</v>
      </c>
      <c r="Q256" s="4">
        <v>0</v>
      </c>
      <c r="R256" s="4">
        <v>0</v>
      </c>
      <c r="S256" s="4">
        <v>0</v>
      </c>
      <c r="T256" s="6">
        <f t="shared" si="78"/>
        <v>974</v>
      </c>
      <c r="U256" s="7">
        <f t="shared" si="88"/>
        <v>1719</v>
      </c>
      <c r="V256" s="7">
        <f t="shared" si="89"/>
        <v>1527</v>
      </c>
      <c r="W256" s="7">
        <f t="shared" si="87"/>
        <v>1742</v>
      </c>
      <c r="X256" s="6"/>
      <c r="Y256" s="5"/>
      <c r="Z256" s="5"/>
      <c r="AA256" s="5"/>
      <c r="AB256" s="5"/>
    </row>
    <row r="257" spans="1:28" ht="13.15" customHeight="1">
      <c r="A257" s="12">
        <v>243</v>
      </c>
      <c r="B257" s="11">
        <f t="shared" si="79"/>
        <v>45513</v>
      </c>
      <c r="C257" s="9">
        <f t="shared" si="80"/>
        <v>842</v>
      </c>
      <c r="D257" s="8">
        <f t="shared" si="90"/>
        <v>1661</v>
      </c>
      <c r="E257" s="4">
        <f t="shared" si="72"/>
        <v>-136</v>
      </c>
      <c r="F257" s="4">
        <f t="shared" si="73"/>
        <v>-124</v>
      </c>
      <c r="G257" s="4">
        <f t="shared" si="74"/>
        <v>151</v>
      </c>
      <c r="H257" s="5">
        <f t="shared" si="75"/>
        <v>2639</v>
      </c>
      <c r="I257" s="5">
        <f t="shared" si="76"/>
        <v>2627</v>
      </c>
      <c r="J257" s="5">
        <f t="shared" si="77"/>
        <v>2352</v>
      </c>
      <c r="K257" s="5">
        <f t="shared" si="84"/>
        <v>3000</v>
      </c>
      <c r="L257" s="5">
        <f t="shared" si="85"/>
        <v>3000</v>
      </c>
      <c r="M257" s="5">
        <f t="shared" si="86"/>
        <v>3000</v>
      </c>
      <c r="N257" s="5">
        <f t="shared" si="81"/>
        <v>-361</v>
      </c>
      <c r="O257" s="5">
        <f t="shared" si="82"/>
        <v>-373</v>
      </c>
      <c r="P257" s="5">
        <f t="shared" si="83"/>
        <v>-648</v>
      </c>
      <c r="Q257" s="4">
        <v>0</v>
      </c>
      <c r="R257" s="4">
        <v>0</v>
      </c>
      <c r="S257" s="4">
        <v>0</v>
      </c>
      <c r="T257" s="6">
        <f t="shared" si="78"/>
        <v>976</v>
      </c>
      <c r="U257" s="7">
        <f t="shared" si="88"/>
        <v>1719</v>
      </c>
      <c r="V257" s="7">
        <f t="shared" si="89"/>
        <v>1527</v>
      </c>
      <c r="W257" s="7">
        <f t="shared" si="87"/>
        <v>1742</v>
      </c>
      <c r="X257" s="6"/>
      <c r="Y257" s="5"/>
      <c r="Z257" s="5"/>
      <c r="AA257" s="5"/>
      <c r="AB257" s="5"/>
    </row>
    <row r="258" spans="1:28" ht="13.15" customHeight="1">
      <c r="A258" s="12">
        <v>244</v>
      </c>
      <c r="B258" s="11">
        <f t="shared" si="79"/>
        <v>45514</v>
      </c>
      <c r="C258" s="9">
        <f t="shared" si="80"/>
        <v>842</v>
      </c>
      <c r="D258" s="8">
        <f t="shared" si="90"/>
        <v>1663</v>
      </c>
      <c r="E258" s="4">
        <f t="shared" si="72"/>
        <v>-134</v>
      </c>
      <c r="F258" s="4">
        <f t="shared" si="73"/>
        <v>-122</v>
      </c>
      <c r="G258" s="4">
        <f t="shared" si="74"/>
        <v>153</v>
      </c>
      <c r="H258" s="5">
        <f t="shared" si="75"/>
        <v>2639</v>
      </c>
      <c r="I258" s="5">
        <f t="shared" si="76"/>
        <v>2627</v>
      </c>
      <c r="J258" s="5">
        <f t="shared" si="77"/>
        <v>2352</v>
      </c>
      <c r="K258" s="5">
        <f t="shared" si="84"/>
        <v>3000</v>
      </c>
      <c r="L258" s="5">
        <f t="shared" si="85"/>
        <v>3000</v>
      </c>
      <c r="M258" s="5">
        <f t="shared" si="86"/>
        <v>3000</v>
      </c>
      <c r="N258" s="5">
        <f t="shared" si="81"/>
        <v>-361</v>
      </c>
      <c r="O258" s="5">
        <f t="shared" si="82"/>
        <v>-373</v>
      </c>
      <c r="P258" s="5">
        <f t="shared" si="83"/>
        <v>-648</v>
      </c>
      <c r="Q258" s="4">
        <v>0</v>
      </c>
      <c r="R258" s="4">
        <v>0</v>
      </c>
      <c r="S258" s="4">
        <v>0</v>
      </c>
      <c r="T258" s="6">
        <f t="shared" si="78"/>
        <v>978</v>
      </c>
      <c r="U258" s="7">
        <f t="shared" si="88"/>
        <v>1719</v>
      </c>
      <c r="V258" s="7">
        <f t="shared" si="89"/>
        <v>1527</v>
      </c>
      <c r="W258" s="7">
        <f t="shared" si="87"/>
        <v>1742</v>
      </c>
      <c r="X258" s="6"/>
      <c r="Y258" s="5"/>
      <c r="Z258" s="5"/>
      <c r="AA258" s="5"/>
      <c r="AB258" s="5"/>
    </row>
    <row r="259" spans="1:28" ht="13.15" customHeight="1">
      <c r="A259" s="12">
        <v>245</v>
      </c>
      <c r="B259" s="11">
        <f t="shared" si="79"/>
        <v>45515</v>
      </c>
      <c r="C259" s="9">
        <f t="shared" si="80"/>
        <v>842</v>
      </c>
      <c r="D259" s="8">
        <f t="shared" si="90"/>
        <v>1665</v>
      </c>
      <c r="E259" s="4">
        <f t="shared" si="72"/>
        <v>-132</v>
      </c>
      <c r="F259" s="4">
        <f t="shared" si="73"/>
        <v>-120</v>
      </c>
      <c r="G259" s="4">
        <f t="shared" si="74"/>
        <v>155</v>
      </c>
      <c r="H259" s="5">
        <f t="shared" si="75"/>
        <v>2639</v>
      </c>
      <c r="I259" s="5">
        <f t="shared" si="76"/>
        <v>2627</v>
      </c>
      <c r="J259" s="5">
        <f t="shared" si="77"/>
        <v>2352</v>
      </c>
      <c r="K259" s="5">
        <f t="shared" si="84"/>
        <v>3000</v>
      </c>
      <c r="L259" s="5">
        <f t="shared" si="85"/>
        <v>3000</v>
      </c>
      <c r="M259" s="5">
        <f t="shared" si="86"/>
        <v>3000</v>
      </c>
      <c r="N259" s="5">
        <f t="shared" si="81"/>
        <v>-361</v>
      </c>
      <c r="O259" s="5">
        <f t="shared" si="82"/>
        <v>-373</v>
      </c>
      <c r="P259" s="5">
        <f t="shared" si="83"/>
        <v>-648</v>
      </c>
      <c r="Q259" s="4">
        <v>0</v>
      </c>
      <c r="R259" s="4">
        <v>0</v>
      </c>
      <c r="S259" s="4">
        <v>0</v>
      </c>
      <c r="T259" s="6">
        <f t="shared" si="78"/>
        <v>980</v>
      </c>
      <c r="U259" s="7">
        <f t="shared" si="88"/>
        <v>1719</v>
      </c>
      <c r="V259" s="7">
        <f t="shared" si="89"/>
        <v>1527</v>
      </c>
      <c r="W259" s="7">
        <f t="shared" si="87"/>
        <v>1742</v>
      </c>
      <c r="X259" s="6"/>
      <c r="Y259" s="5"/>
      <c r="Z259" s="5"/>
      <c r="AA259" s="5"/>
      <c r="AB259" s="5"/>
    </row>
    <row r="260" spans="1:28" ht="13.15" customHeight="1">
      <c r="A260" s="12">
        <v>246</v>
      </c>
      <c r="B260" s="11">
        <f t="shared" si="79"/>
        <v>45516</v>
      </c>
      <c r="C260" s="9">
        <f t="shared" si="80"/>
        <v>842</v>
      </c>
      <c r="D260" s="8">
        <f t="shared" si="90"/>
        <v>1667</v>
      </c>
      <c r="E260" s="4">
        <f t="shared" si="72"/>
        <v>-130</v>
      </c>
      <c r="F260" s="4">
        <f t="shared" si="73"/>
        <v>-118</v>
      </c>
      <c r="G260" s="4">
        <f t="shared" si="74"/>
        <v>157</v>
      </c>
      <c r="H260" s="5">
        <f t="shared" si="75"/>
        <v>2639</v>
      </c>
      <c r="I260" s="5">
        <f t="shared" si="76"/>
        <v>2627</v>
      </c>
      <c r="J260" s="5">
        <f t="shared" si="77"/>
        <v>2352</v>
      </c>
      <c r="K260" s="5">
        <f t="shared" si="84"/>
        <v>3000</v>
      </c>
      <c r="L260" s="5">
        <f t="shared" si="85"/>
        <v>3000</v>
      </c>
      <c r="M260" s="5">
        <f t="shared" si="86"/>
        <v>3000</v>
      </c>
      <c r="N260" s="5">
        <f t="shared" si="81"/>
        <v>-361</v>
      </c>
      <c r="O260" s="5">
        <f t="shared" si="82"/>
        <v>-373</v>
      </c>
      <c r="P260" s="5">
        <f t="shared" si="83"/>
        <v>-648</v>
      </c>
      <c r="Q260" s="4">
        <v>0</v>
      </c>
      <c r="R260" s="4">
        <v>0</v>
      </c>
      <c r="S260" s="4">
        <v>0</v>
      </c>
      <c r="T260" s="6">
        <f t="shared" si="78"/>
        <v>982</v>
      </c>
      <c r="U260" s="7">
        <f t="shared" si="88"/>
        <v>1719</v>
      </c>
      <c r="V260" s="7">
        <f t="shared" si="89"/>
        <v>1527</v>
      </c>
      <c r="W260" s="7">
        <f t="shared" si="87"/>
        <v>1742</v>
      </c>
      <c r="X260" s="6"/>
      <c r="Y260" s="5"/>
      <c r="Z260" s="5"/>
      <c r="AA260" s="5"/>
      <c r="AB260" s="5"/>
    </row>
    <row r="261" spans="1:28" ht="13.15" customHeight="1">
      <c r="A261" s="12">
        <v>247</v>
      </c>
      <c r="B261" s="11">
        <f t="shared" si="79"/>
        <v>45517</v>
      </c>
      <c r="C261" s="9">
        <f t="shared" si="80"/>
        <v>842</v>
      </c>
      <c r="D261" s="8">
        <f t="shared" si="90"/>
        <v>1669</v>
      </c>
      <c r="E261" s="4">
        <f t="shared" si="72"/>
        <v>-128</v>
      </c>
      <c r="F261" s="4">
        <f t="shared" si="73"/>
        <v>-116</v>
      </c>
      <c r="G261" s="4">
        <f t="shared" si="74"/>
        <v>159</v>
      </c>
      <c r="H261" s="5">
        <f t="shared" si="75"/>
        <v>2639</v>
      </c>
      <c r="I261" s="5">
        <f t="shared" si="76"/>
        <v>2627</v>
      </c>
      <c r="J261" s="5">
        <f t="shared" si="77"/>
        <v>2352</v>
      </c>
      <c r="K261" s="5">
        <f t="shared" si="84"/>
        <v>3000</v>
      </c>
      <c r="L261" s="5">
        <f t="shared" si="85"/>
        <v>3000</v>
      </c>
      <c r="M261" s="5">
        <f t="shared" si="86"/>
        <v>3000</v>
      </c>
      <c r="N261" s="5">
        <f t="shared" si="81"/>
        <v>-361</v>
      </c>
      <c r="O261" s="5">
        <f t="shared" si="82"/>
        <v>-373</v>
      </c>
      <c r="P261" s="5">
        <f t="shared" si="83"/>
        <v>-648</v>
      </c>
      <c r="Q261" s="4">
        <v>0</v>
      </c>
      <c r="R261" s="4">
        <v>0</v>
      </c>
      <c r="S261" s="4">
        <v>0</v>
      </c>
      <c r="T261" s="6">
        <f t="shared" si="78"/>
        <v>984</v>
      </c>
      <c r="U261" s="7">
        <f t="shared" si="88"/>
        <v>1719</v>
      </c>
      <c r="V261" s="7">
        <f t="shared" si="89"/>
        <v>1527</v>
      </c>
      <c r="W261" s="7">
        <f t="shared" si="87"/>
        <v>1742</v>
      </c>
      <c r="X261" s="6"/>
      <c r="Y261" s="5"/>
      <c r="Z261" s="5"/>
      <c r="AA261" s="5"/>
      <c r="AB261" s="5"/>
    </row>
    <row r="262" spans="1:28" ht="13.15" customHeight="1">
      <c r="A262" s="12">
        <v>248</v>
      </c>
      <c r="B262" s="11">
        <f t="shared" si="79"/>
        <v>45518</v>
      </c>
      <c r="C262" s="9">
        <f t="shared" si="80"/>
        <v>842</v>
      </c>
      <c r="D262" s="8">
        <f t="shared" si="90"/>
        <v>1671</v>
      </c>
      <c r="E262" s="4">
        <f t="shared" si="72"/>
        <v>-126</v>
      </c>
      <c r="F262" s="4">
        <f t="shared" si="73"/>
        <v>-114</v>
      </c>
      <c r="G262" s="4">
        <f t="shared" si="74"/>
        <v>161</v>
      </c>
      <c r="H262" s="5">
        <f t="shared" si="75"/>
        <v>2639</v>
      </c>
      <c r="I262" s="5">
        <f t="shared" si="76"/>
        <v>2627</v>
      </c>
      <c r="J262" s="5">
        <f t="shared" si="77"/>
        <v>2352</v>
      </c>
      <c r="K262" s="5">
        <f t="shared" si="84"/>
        <v>3000</v>
      </c>
      <c r="L262" s="5">
        <f t="shared" si="85"/>
        <v>3000</v>
      </c>
      <c r="M262" s="5">
        <f t="shared" si="86"/>
        <v>3000</v>
      </c>
      <c r="N262" s="5">
        <f t="shared" si="81"/>
        <v>-361</v>
      </c>
      <c r="O262" s="5">
        <f t="shared" si="82"/>
        <v>-373</v>
      </c>
      <c r="P262" s="5">
        <f t="shared" si="83"/>
        <v>-648</v>
      </c>
      <c r="Q262" s="4">
        <v>0</v>
      </c>
      <c r="R262" s="4">
        <v>0</v>
      </c>
      <c r="S262" s="4">
        <v>0</v>
      </c>
      <c r="T262" s="6">
        <f t="shared" si="78"/>
        <v>986</v>
      </c>
      <c r="U262" s="7">
        <f t="shared" si="88"/>
        <v>1719</v>
      </c>
      <c r="V262" s="7">
        <f t="shared" si="89"/>
        <v>1527</v>
      </c>
      <c r="W262" s="7">
        <f t="shared" si="87"/>
        <v>1742</v>
      </c>
      <c r="X262" s="6"/>
      <c r="Y262" s="5"/>
      <c r="Z262" s="5"/>
      <c r="AA262" s="5"/>
      <c r="AB262" s="5"/>
    </row>
    <row r="263" spans="1:28" ht="13.15" customHeight="1">
      <c r="A263" s="12">
        <v>249</v>
      </c>
      <c r="B263" s="11">
        <f t="shared" si="79"/>
        <v>45519</v>
      </c>
      <c r="C263" s="9">
        <f t="shared" si="80"/>
        <v>842</v>
      </c>
      <c r="D263" s="8">
        <f t="shared" si="90"/>
        <v>1673</v>
      </c>
      <c r="E263" s="4">
        <f t="shared" si="72"/>
        <v>-124</v>
      </c>
      <c r="F263" s="4">
        <f t="shared" si="73"/>
        <v>-112</v>
      </c>
      <c r="G263" s="4">
        <f t="shared" si="74"/>
        <v>163</v>
      </c>
      <c r="H263" s="5">
        <f t="shared" si="75"/>
        <v>2639</v>
      </c>
      <c r="I263" s="5">
        <f t="shared" si="76"/>
        <v>2627</v>
      </c>
      <c r="J263" s="5">
        <f t="shared" si="77"/>
        <v>2352</v>
      </c>
      <c r="K263" s="5">
        <f t="shared" si="84"/>
        <v>3000</v>
      </c>
      <c r="L263" s="5">
        <f t="shared" si="85"/>
        <v>3000</v>
      </c>
      <c r="M263" s="5">
        <f t="shared" si="86"/>
        <v>3000</v>
      </c>
      <c r="N263" s="5">
        <f t="shared" si="81"/>
        <v>-361</v>
      </c>
      <c r="O263" s="5">
        <f t="shared" si="82"/>
        <v>-373</v>
      </c>
      <c r="P263" s="5">
        <f t="shared" si="83"/>
        <v>-648</v>
      </c>
      <c r="Q263" s="4">
        <v>0</v>
      </c>
      <c r="R263" s="4">
        <v>0</v>
      </c>
      <c r="S263" s="4">
        <v>0</v>
      </c>
      <c r="T263" s="6">
        <f t="shared" si="78"/>
        <v>988</v>
      </c>
      <c r="U263" s="7">
        <f t="shared" si="88"/>
        <v>1719</v>
      </c>
      <c r="V263" s="7">
        <f t="shared" si="89"/>
        <v>1527</v>
      </c>
      <c r="W263" s="7">
        <f t="shared" si="87"/>
        <v>1742</v>
      </c>
      <c r="X263" s="6"/>
      <c r="Y263" s="5"/>
      <c r="Z263" s="5"/>
      <c r="AA263" s="5"/>
      <c r="AB263" s="5"/>
    </row>
    <row r="264" spans="1:28" ht="13.15" customHeight="1">
      <c r="A264" s="12">
        <v>250</v>
      </c>
      <c r="B264" s="11">
        <f t="shared" si="79"/>
        <v>45520</v>
      </c>
      <c r="C264" s="9">
        <f t="shared" si="80"/>
        <v>842</v>
      </c>
      <c r="D264" s="8">
        <f t="shared" si="90"/>
        <v>1675</v>
      </c>
      <c r="E264" s="4">
        <f t="shared" si="72"/>
        <v>-122</v>
      </c>
      <c r="F264" s="4">
        <f t="shared" si="73"/>
        <v>-110</v>
      </c>
      <c r="G264" s="4">
        <f t="shared" si="74"/>
        <v>165</v>
      </c>
      <c r="H264" s="5">
        <f t="shared" si="75"/>
        <v>2639</v>
      </c>
      <c r="I264" s="5">
        <f t="shared" si="76"/>
        <v>2627</v>
      </c>
      <c r="J264" s="5">
        <f t="shared" si="77"/>
        <v>2352</v>
      </c>
      <c r="K264" s="5">
        <f t="shared" si="84"/>
        <v>3000</v>
      </c>
      <c r="L264" s="5">
        <f t="shared" si="85"/>
        <v>3000</v>
      </c>
      <c r="M264" s="5">
        <f t="shared" si="86"/>
        <v>3000</v>
      </c>
      <c r="N264" s="5">
        <f t="shared" si="81"/>
        <v>-361</v>
      </c>
      <c r="O264" s="5">
        <f t="shared" si="82"/>
        <v>-373</v>
      </c>
      <c r="P264" s="5">
        <f t="shared" si="83"/>
        <v>-648</v>
      </c>
      <c r="Q264" s="4">
        <v>0</v>
      </c>
      <c r="R264" s="4">
        <v>0</v>
      </c>
      <c r="S264" s="4">
        <v>0</v>
      </c>
      <c r="T264" s="6">
        <f t="shared" si="78"/>
        <v>990</v>
      </c>
      <c r="U264" s="7">
        <f t="shared" si="88"/>
        <v>1719</v>
      </c>
      <c r="V264" s="7">
        <f t="shared" si="89"/>
        <v>1527</v>
      </c>
      <c r="W264" s="7">
        <f t="shared" si="87"/>
        <v>1742</v>
      </c>
      <c r="X264" s="6"/>
      <c r="Y264" s="5"/>
      <c r="Z264" s="5"/>
      <c r="AA264" s="5"/>
      <c r="AB264" s="5"/>
    </row>
    <row r="265" spans="1:28" ht="13.15" customHeight="1">
      <c r="A265" s="12">
        <v>251</v>
      </c>
      <c r="B265" s="11">
        <f t="shared" si="79"/>
        <v>45521</v>
      </c>
      <c r="C265" s="9">
        <f t="shared" si="80"/>
        <v>842</v>
      </c>
      <c r="D265" s="8">
        <f t="shared" si="90"/>
        <v>1677</v>
      </c>
      <c r="E265" s="4">
        <f t="shared" si="72"/>
        <v>-120</v>
      </c>
      <c r="F265" s="4">
        <f t="shared" si="73"/>
        <v>-108</v>
      </c>
      <c r="G265" s="4">
        <f t="shared" si="74"/>
        <v>167</v>
      </c>
      <c r="H265" s="5">
        <f t="shared" si="75"/>
        <v>2639</v>
      </c>
      <c r="I265" s="5">
        <f t="shared" si="76"/>
        <v>2627</v>
      </c>
      <c r="J265" s="5">
        <f t="shared" si="77"/>
        <v>2352</v>
      </c>
      <c r="K265" s="5">
        <f t="shared" si="84"/>
        <v>3000</v>
      </c>
      <c r="L265" s="5">
        <f t="shared" si="85"/>
        <v>3000</v>
      </c>
      <c r="M265" s="5">
        <f t="shared" si="86"/>
        <v>3000</v>
      </c>
      <c r="N265" s="5">
        <f t="shared" si="81"/>
        <v>-361</v>
      </c>
      <c r="O265" s="5">
        <f t="shared" si="82"/>
        <v>-373</v>
      </c>
      <c r="P265" s="5">
        <f t="shared" si="83"/>
        <v>-648</v>
      </c>
      <c r="Q265" s="4">
        <v>0</v>
      </c>
      <c r="R265" s="4">
        <v>0</v>
      </c>
      <c r="S265" s="4">
        <v>0</v>
      </c>
      <c r="T265" s="6">
        <f t="shared" si="78"/>
        <v>992</v>
      </c>
      <c r="U265" s="7">
        <f t="shared" si="88"/>
        <v>1719</v>
      </c>
      <c r="V265" s="7">
        <f t="shared" si="89"/>
        <v>1527</v>
      </c>
      <c r="W265" s="7">
        <f t="shared" si="87"/>
        <v>1742</v>
      </c>
      <c r="X265" s="6"/>
      <c r="Y265" s="5"/>
      <c r="Z265" s="5"/>
      <c r="AA265" s="5"/>
      <c r="AB265" s="5"/>
    </row>
    <row r="266" spans="1:28" ht="13.15" customHeight="1">
      <c r="A266" s="12">
        <v>252</v>
      </c>
      <c r="B266" s="11">
        <f t="shared" si="79"/>
        <v>45522</v>
      </c>
      <c r="C266" s="9">
        <f t="shared" si="80"/>
        <v>842</v>
      </c>
      <c r="D266" s="8">
        <f t="shared" si="90"/>
        <v>1679</v>
      </c>
      <c r="E266" s="4">
        <f t="shared" si="72"/>
        <v>-118</v>
      </c>
      <c r="F266" s="4">
        <f t="shared" si="73"/>
        <v>-106</v>
      </c>
      <c r="G266" s="4">
        <f t="shared" si="74"/>
        <v>169</v>
      </c>
      <c r="H266" s="5">
        <f t="shared" si="75"/>
        <v>2639</v>
      </c>
      <c r="I266" s="5">
        <f t="shared" si="76"/>
        <v>2627</v>
      </c>
      <c r="J266" s="5">
        <f t="shared" si="77"/>
        <v>2352</v>
      </c>
      <c r="K266" s="5">
        <f t="shared" si="84"/>
        <v>3000</v>
      </c>
      <c r="L266" s="5">
        <f t="shared" si="85"/>
        <v>3000</v>
      </c>
      <c r="M266" s="5">
        <f t="shared" si="86"/>
        <v>3000</v>
      </c>
      <c r="N266" s="5">
        <f t="shared" si="81"/>
        <v>-361</v>
      </c>
      <c r="O266" s="5">
        <f t="shared" si="82"/>
        <v>-373</v>
      </c>
      <c r="P266" s="5">
        <f t="shared" si="83"/>
        <v>-648</v>
      </c>
      <c r="Q266" s="4">
        <v>0</v>
      </c>
      <c r="R266" s="4">
        <v>0</v>
      </c>
      <c r="S266" s="4">
        <v>0</v>
      </c>
      <c r="T266" s="6">
        <f t="shared" si="78"/>
        <v>994</v>
      </c>
      <c r="U266" s="7">
        <f t="shared" si="88"/>
        <v>1719</v>
      </c>
      <c r="V266" s="7">
        <f t="shared" si="89"/>
        <v>1527</v>
      </c>
      <c r="W266" s="7">
        <f t="shared" si="87"/>
        <v>1742</v>
      </c>
      <c r="X266" s="6"/>
      <c r="Y266" s="5"/>
      <c r="Z266" s="5"/>
      <c r="AA266" s="5"/>
      <c r="AB266" s="5"/>
    </row>
    <row r="267" spans="1:28" ht="13.15" customHeight="1">
      <c r="A267" s="12">
        <v>253</v>
      </c>
      <c r="B267" s="11">
        <f t="shared" si="79"/>
        <v>45523</v>
      </c>
      <c r="C267" s="9">
        <f t="shared" si="80"/>
        <v>842</v>
      </c>
      <c r="D267" s="8">
        <f t="shared" si="90"/>
        <v>1681</v>
      </c>
      <c r="E267" s="4">
        <f t="shared" si="72"/>
        <v>-116</v>
      </c>
      <c r="F267" s="4">
        <f t="shared" si="73"/>
        <v>-104</v>
      </c>
      <c r="G267" s="4">
        <f t="shared" si="74"/>
        <v>171</v>
      </c>
      <c r="H267" s="5">
        <f t="shared" si="75"/>
        <v>2639</v>
      </c>
      <c r="I267" s="5">
        <f t="shared" si="76"/>
        <v>2627</v>
      </c>
      <c r="J267" s="5">
        <f t="shared" si="77"/>
        <v>2352</v>
      </c>
      <c r="K267" s="5">
        <f t="shared" si="84"/>
        <v>3000</v>
      </c>
      <c r="L267" s="5">
        <f t="shared" si="85"/>
        <v>3000</v>
      </c>
      <c r="M267" s="5">
        <f t="shared" si="86"/>
        <v>3000</v>
      </c>
      <c r="N267" s="5">
        <f t="shared" si="81"/>
        <v>-361</v>
      </c>
      <c r="O267" s="5">
        <f t="shared" si="82"/>
        <v>-373</v>
      </c>
      <c r="P267" s="5">
        <f t="shared" si="83"/>
        <v>-648</v>
      </c>
      <c r="Q267" s="4">
        <v>0</v>
      </c>
      <c r="R267" s="4">
        <v>0</v>
      </c>
      <c r="S267" s="4">
        <v>0</v>
      </c>
      <c r="T267" s="6">
        <f t="shared" si="78"/>
        <v>996</v>
      </c>
      <c r="U267" s="7">
        <f t="shared" si="88"/>
        <v>1719</v>
      </c>
      <c r="V267" s="7">
        <f t="shared" si="89"/>
        <v>1527</v>
      </c>
      <c r="W267" s="7">
        <f t="shared" si="87"/>
        <v>1742</v>
      </c>
      <c r="X267" s="6"/>
      <c r="Y267" s="5"/>
      <c r="Z267" s="5"/>
      <c r="AA267" s="5"/>
      <c r="AB267" s="5"/>
    </row>
    <row r="268" spans="1:28" ht="13.15" customHeight="1">
      <c r="A268" s="12">
        <v>254</v>
      </c>
      <c r="B268" s="11">
        <f t="shared" si="79"/>
        <v>45524</v>
      </c>
      <c r="C268" s="9">
        <f t="shared" si="80"/>
        <v>842</v>
      </c>
      <c r="D268" s="8">
        <f t="shared" si="90"/>
        <v>1683</v>
      </c>
      <c r="E268" s="4">
        <f t="shared" si="72"/>
        <v>-114</v>
      </c>
      <c r="F268" s="4">
        <f t="shared" si="73"/>
        <v>-102</v>
      </c>
      <c r="G268" s="4">
        <f t="shared" si="74"/>
        <v>173</v>
      </c>
      <c r="H268" s="5">
        <f t="shared" si="75"/>
        <v>2639</v>
      </c>
      <c r="I268" s="5">
        <f t="shared" si="76"/>
        <v>2627</v>
      </c>
      <c r="J268" s="5">
        <f t="shared" si="77"/>
        <v>2352</v>
      </c>
      <c r="K268" s="5">
        <f t="shared" si="84"/>
        <v>3000</v>
      </c>
      <c r="L268" s="5">
        <f t="shared" si="85"/>
        <v>3000</v>
      </c>
      <c r="M268" s="5">
        <f t="shared" si="86"/>
        <v>3000</v>
      </c>
      <c r="N268" s="5">
        <f t="shared" si="81"/>
        <v>-361</v>
      </c>
      <c r="O268" s="5">
        <f t="shared" si="82"/>
        <v>-373</v>
      </c>
      <c r="P268" s="5">
        <f t="shared" si="83"/>
        <v>-648</v>
      </c>
      <c r="Q268" s="4">
        <v>0</v>
      </c>
      <c r="R268" s="4">
        <v>0</v>
      </c>
      <c r="S268" s="4">
        <v>0</v>
      </c>
      <c r="T268" s="6">
        <f t="shared" si="78"/>
        <v>998</v>
      </c>
      <c r="U268" s="7">
        <f t="shared" si="88"/>
        <v>1719</v>
      </c>
      <c r="V268" s="7">
        <f t="shared" si="89"/>
        <v>1527</v>
      </c>
      <c r="W268" s="7">
        <f t="shared" si="87"/>
        <v>1742</v>
      </c>
      <c r="X268" s="6"/>
      <c r="Y268" s="5"/>
      <c r="Z268" s="5"/>
      <c r="AA268" s="5"/>
      <c r="AB268" s="5"/>
    </row>
    <row r="269" spans="1:28" ht="13.15" customHeight="1">
      <c r="A269" s="12">
        <v>255</v>
      </c>
      <c r="B269" s="11">
        <f t="shared" si="79"/>
        <v>45525</v>
      </c>
      <c r="C269" s="9">
        <f t="shared" si="80"/>
        <v>842</v>
      </c>
      <c r="D269" s="8">
        <f t="shared" si="90"/>
        <v>1685</v>
      </c>
      <c r="E269" s="4">
        <f t="shared" si="72"/>
        <v>-112</v>
      </c>
      <c r="F269" s="4">
        <f t="shared" si="73"/>
        <v>-100</v>
      </c>
      <c r="G269" s="4">
        <f t="shared" si="74"/>
        <v>175</v>
      </c>
      <c r="H269" s="5">
        <f t="shared" si="75"/>
        <v>2639</v>
      </c>
      <c r="I269" s="5">
        <f t="shared" si="76"/>
        <v>2627</v>
      </c>
      <c r="J269" s="5">
        <f t="shared" si="77"/>
        <v>2352</v>
      </c>
      <c r="K269" s="5">
        <f t="shared" si="84"/>
        <v>3000</v>
      </c>
      <c r="L269" s="5">
        <f t="shared" si="85"/>
        <v>3000</v>
      </c>
      <c r="M269" s="5">
        <f t="shared" si="86"/>
        <v>3000</v>
      </c>
      <c r="N269" s="5">
        <f t="shared" si="81"/>
        <v>-361</v>
      </c>
      <c r="O269" s="5">
        <f t="shared" si="82"/>
        <v>-373</v>
      </c>
      <c r="P269" s="5">
        <f t="shared" si="83"/>
        <v>-648</v>
      </c>
      <c r="Q269" s="4">
        <v>0</v>
      </c>
      <c r="R269" s="4">
        <v>0</v>
      </c>
      <c r="S269" s="4">
        <v>0</v>
      </c>
      <c r="T269" s="6">
        <f t="shared" si="78"/>
        <v>1000</v>
      </c>
      <c r="U269" s="7">
        <f t="shared" si="88"/>
        <v>1719</v>
      </c>
      <c r="V269" s="7">
        <f t="shared" si="89"/>
        <v>1527</v>
      </c>
      <c r="W269" s="7">
        <f t="shared" si="87"/>
        <v>1742</v>
      </c>
      <c r="X269" s="6"/>
      <c r="Y269" s="5"/>
      <c r="Z269" s="5"/>
      <c r="AA269" s="5"/>
      <c r="AB269" s="5"/>
    </row>
    <row r="270" spans="1:28" ht="13.15" customHeight="1">
      <c r="A270" s="12">
        <v>256</v>
      </c>
      <c r="B270" s="11">
        <f t="shared" si="79"/>
        <v>45526</v>
      </c>
      <c r="C270" s="9">
        <f t="shared" si="80"/>
        <v>842</v>
      </c>
      <c r="D270" s="8">
        <f t="shared" si="90"/>
        <v>1687</v>
      </c>
      <c r="E270" s="4">
        <f t="shared" ref="E270:E333" si="91">C270+D270-H270</f>
        <v>-110</v>
      </c>
      <c r="F270" s="4">
        <f t="shared" ref="F270:F333" si="92">C270+D270-I270</f>
        <v>-98</v>
      </c>
      <c r="G270" s="4">
        <f t="shared" ref="G270:G333" si="93">D270+C270-J270</f>
        <v>177</v>
      </c>
      <c r="H270" s="5">
        <f t="shared" ref="H270:H333" si="94">K270+N270</f>
        <v>2639</v>
      </c>
      <c r="I270" s="5">
        <f t="shared" ref="I270:I333" si="95">L270+O270</f>
        <v>2627</v>
      </c>
      <c r="J270" s="5">
        <f t="shared" ref="J270:J333" si="96">M270+P270</f>
        <v>2352</v>
      </c>
      <c r="K270" s="5">
        <f t="shared" si="84"/>
        <v>3000</v>
      </c>
      <c r="L270" s="5">
        <f t="shared" si="85"/>
        <v>3000</v>
      </c>
      <c r="M270" s="5">
        <f t="shared" si="86"/>
        <v>3000</v>
      </c>
      <c r="N270" s="5">
        <f t="shared" si="81"/>
        <v>-361</v>
      </c>
      <c r="O270" s="5">
        <f t="shared" si="82"/>
        <v>-373</v>
      </c>
      <c r="P270" s="5">
        <f t="shared" si="83"/>
        <v>-648</v>
      </c>
      <c r="Q270" s="4">
        <v>0</v>
      </c>
      <c r="R270" s="4">
        <v>0</v>
      </c>
      <c r="S270" s="4">
        <v>0</v>
      </c>
      <c r="T270" s="6">
        <f t="shared" ref="T270:T333" si="97">D270+C270-V270</f>
        <v>1002</v>
      </c>
      <c r="U270" s="7">
        <f t="shared" si="88"/>
        <v>1719</v>
      </c>
      <c r="V270" s="7">
        <f t="shared" si="89"/>
        <v>1527</v>
      </c>
      <c r="W270" s="7">
        <f t="shared" si="87"/>
        <v>1742</v>
      </c>
      <c r="X270" s="6"/>
      <c r="Y270" s="5"/>
      <c r="Z270" s="5"/>
      <c r="AA270" s="5"/>
      <c r="AB270" s="5"/>
    </row>
    <row r="271" spans="1:28" ht="13.15" customHeight="1">
      <c r="A271" s="12">
        <v>257</v>
      </c>
      <c r="B271" s="11">
        <f t="shared" ref="B271:B334" si="98">B270+1</f>
        <v>45527</v>
      </c>
      <c r="C271" s="9">
        <f t="shared" ref="C271:C334" si="99">C270</f>
        <v>842</v>
      </c>
      <c r="D271" s="8">
        <f t="shared" si="90"/>
        <v>1689</v>
      </c>
      <c r="E271" s="4">
        <f t="shared" si="91"/>
        <v>-108</v>
      </c>
      <c r="F271" s="4">
        <f t="shared" si="92"/>
        <v>-96</v>
      </c>
      <c r="G271" s="4">
        <f t="shared" si="93"/>
        <v>179</v>
      </c>
      <c r="H271" s="5">
        <f t="shared" si="94"/>
        <v>2639</v>
      </c>
      <c r="I271" s="5">
        <f t="shared" si="95"/>
        <v>2627</v>
      </c>
      <c r="J271" s="5">
        <f t="shared" si="96"/>
        <v>2352</v>
      </c>
      <c r="K271" s="5">
        <f t="shared" si="84"/>
        <v>3000</v>
      </c>
      <c r="L271" s="5">
        <f t="shared" si="85"/>
        <v>3000</v>
      </c>
      <c r="M271" s="5">
        <f t="shared" si="86"/>
        <v>3000</v>
      </c>
      <c r="N271" s="5">
        <f t="shared" ref="N271:N334" si="100">N270-Q271</f>
        <v>-361</v>
      </c>
      <c r="O271" s="5">
        <f t="shared" ref="O271:O334" si="101">O270-R271</f>
        <v>-373</v>
      </c>
      <c r="P271" s="5">
        <f t="shared" ref="P271:P334" si="102">P270-S271</f>
        <v>-648</v>
      </c>
      <c r="Q271" s="4">
        <v>0</v>
      </c>
      <c r="R271" s="4">
        <v>0</v>
      </c>
      <c r="S271" s="4">
        <v>0</v>
      </c>
      <c r="T271" s="6">
        <f t="shared" si="97"/>
        <v>1004</v>
      </c>
      <c r="U271" s="7">
        <f t="shared" si="88"/>
        <v>1719</v>
      </c>
      <c r="V271" s="7">
        <f t="shared" si="89"/>
        <v>1527</v>
      </c>
      <c r="W271" s="7">
        <f t="shared" si="87"/>
        <v>1742</v>
      </c>
      <c r="X271" s="6"/>
      <c r="Y271" s="5"/>
      <c r="Z271" s="5"/>
      <c r="AA271" s="5"/>
      <c r="AB271" s="5"/>
    </row>
    <row r="272" spans="1:28" ht="13.15" customHeight="1">
      <c r="A272" s="12">
        <v>258</v>
      </c>
      <c r="B272" s="11">
        <f t="shared" si="98"/>
        <v>45528</v>
      </c>
      <c r="C272" s="9">
        <f t="shared" si="99"/>
        <v>842</v>
      </c>
      <c r="D272" s="8">
        <f t="shared" si="90"/>
        <v>1691</v>
      </c>
      <c r="E272" s="4">
        <f t="shared" si="91"/>
        <v>-106</v>
      </c>
      <c r="F272" s="4">
        <f t="shared" si="92"/>
        <v>-94</v>
      </c>
      <c r="G272" s="4">
        <f t="shared" si="93"/>
        <v>181</v>
      </c>
      <c r="H272" s="5">
        <f t="shared" si="94"/>
        <v>2639</v>
      </c>
      <c r="I272" s="5">
        <f t="shared" si="95"/>
        <v>2627</v>
      </c>
      <c r="J272" s="5">
        <f t="shared" si="96"/>
        <v>2352</v>
      </c>
      <c r="K272" s="5">
        <f t="shared" si="84"/>
        <v>3000</v>
      </c>
      <c r="L272" s="5">
        <f t="shared" si="85"/>
        <v>3000</v>
      </c>
      <c r="M272" s="5">
        <f t="shared" si="86"/>
        <v>3000</v>
      </c>
      <c r="N272" s="5">
        <f t="shared" si="100"/>
        <v>-361</v>
      </c>
      <c r="O272" s="5">
        <f t="shared" si="101"/>
        <v>-373</v>
      </c>
      <c r="P272" s="5">
        <f t="shared" si="102"/>
        <v>-648</v>
      </c>
      <c r="Q272" s="4">
        <v>0</v>
      </c>
      <c r="R272" s="4">
        <v>0</v>
      </c>
      <c r="S272" s="4">
        <v>0</v>
      </c>
      <c r="T272" s="6">
        <f t="shared" si="97"/>
        <v>1006</v>
      </c>
      <c r="U272" s="7">
        <f t="shared" si="88"/>
        <v>1719</v>
      </c>
      <c r="V272" s="7">
        <f t="shared" si="89"/>
        <v>1527</v>
      </c>
      <c r="W272" s="7">
        <f t="shared" si="87"/>
        <v>1742</v>
      </c>
      <c r="X272" s="6"/>
      <c r="Y272" s="5"/>
      <c r="Z272" s="5"/>
      <c r="AA272" s="5"/>
      <c r="AB272" s="5"/>
    </row>
    <row r="273" spans="1:28" ht="13.15" customHeight="1">
      <c r="A273" s="12">
        <v>259</v>
      </c>
      <c r="B273" s="11">
        <f t="shared" si="98"/>
        <v>45529</v>
      </c>
      <c r="C273" s="9">
        <f t="shared" si="99"/>
        <v>842</v>
      </c>
      <c r="D273" s="8">
        <f t="shared" si="90"/>
        <v>1693</v>
      </c>
      <c r="E273" s="4">
        <f t="shared" si="91"/>
        <v>-104</v>
      </c>
      <c r="F273" s="4">
        <f t="shared" si="92"/>
        <v>-92</v>
      </c>
      <c r="G273" s="4">
        <f t="shared" si="93"/>
        <v>183</v>
      </c>
      <c r="H273" s="5">
        <f t="shared" si="94"/>
        <v>2639</v>
      </c>
      <c r="I273" s="5">
        <f t="shared" si="95"/>
        <v>2627</v>
      </c>
      <c r="J273" s="5">
        <f t="shared" si="96"/>
        <v>2352</v>
      </c>
      <c r="K273" s="5">
        <f t="shared" si="84"/>
        <v>3000</v>
      </c>
      <c r="L273" s="5">
        <f t="shared" si="85"/>
        <v>3000</v>
      </c>
      <c r="M273" s="5">
        <f t="shared" si="86"/>
        <v>3000</v>
      </c>
      <c r="N273" s="5">
        <f t="shared" si="100"/>
        <v>-361</v>
      </c>
      <c r="O273" s="5">
        <f t="shared" si="101"/>
        <v>-373</v>
      </c>
      <c r="P273" s="5">
        <f t="shared" si="102"/>
        <v>-648</v>
      </c>
      <c r="Q273" s="4">
        <v>0</v>
      </c>
      <c r="R273" s="4">
        <v>0</v>
      </c>
      <c r="S273" s="4">
        <v>0</v>
      </c>
      <c r="T273" s="6">
        <f t="shared" si="97"/>
        <v>1008</v>
      </c>
      <c r="U273" s="7">
        <f t="shared" si="88"/>
        <v>1719</v>
      </c>
      <c r="V273" s="7">
        <f t="shared" si="89"/>
        <v>1527</v>
      </c>
      <c r="W273" s="7">
        <f t="shared" si="87"/>
        <v>1742</v>
      </c>
      <c r="X273" s="6"/>
      <c r="Y273" s="5"/>
      <c r="Z273" s="5"/>
      <c r="AA273" s="5"/>
      <c r="AB273" s="5"/>
    </row>
    <row r="274" spans="1:28" ht="13.15" customHeight="1">
      <c r="A274" s="12">
        <v>260</v>
      </c>
      <c r="B274" s="11">
        <f t="shared" si="98"/>
        <v>45530</v>
      </c>
      <c r="C274" s="9">
        <f t="shared" si="99"/>
        <v>842</v>
      </c>
      <c r="D274" s="8">
        <f t="shared" si="90"/>
        <v>1695</v>
      </c>
      <c r="E274" s="4">
        <f t="shared" si="91"/>
        <v>-102</v>
      </c>
      <c r="F274" s="4">
        <f t="shared" si="92"/>
        <v>-90</v>
      </c>
      <c r="G274" s="4">
        <f t="shared" si="93"/>
        <v>185</v>
      </c>
      <c r="H274" s="5">
        <f t="shared" si="94"/>
        <v>2639</v>
      </c>
      <c r="I274" s="5">
        <f t="shared" si="95"/>
        <v>2627</v>
      </c>
      <c r="J274" s="5">
        <f t="shared" si="96"/>
        <v>2352</v>
      </c>
      <c r="K274" s="5">
        <f t="shared" si="84"/>
        <v>3000</v>
      </c>
      <c r="L274" s="5">
        <f t="shared" si="85"/>
        <v>3000</v>
      </c>
      <c r="M274" s="5">
        <f t="shared" si="86"/>
        <v>3000</v>
      </c>
      <c r="N274" s="5">
        <f t="shared" si="100"/>
        <v>-361</v>
      </c>
      <c r="O274" s="5">
        <f t="shared" si="101"/>
        <v>-373</v>
      </c>
      <c r="P274" s="5">
        <f t="shared" si="102"/>
        <v>-648</v>
      </c>
      <c r="Q274" s="4">
        <v>0</v>
      </c>
      <c r="R274" s="4">
        <v>0</v>
      </c>
      <c r="S274" s="4">
        <v>0</v>
      </c>
      <c r="T274" s="6">
        <f t="shared" si="97"/>
        <v>1010</v>
      </c>
      <c r="U274" s="7">
        <f t="shared" si="88"/>
        <v>1719</v>
      </c>
      <c r="V274" s="7">
        <f t="shared" si="89"/>
        <v>1527</v>
      </c>
      <c r="W274" s="7">
        <f t="shared" si="87"/>
        <v>1742</v>
      </c>
      <c r="X274" s="6"/>
      <c r="Y274" s="5"/>
      <c r="Z274" s="5"/>
      <c r="AA274" s="5"/>
      <c r="AB274" s="5"/>
    </row>
    <row r="275" spans="1:28" ht="13.15" customHeight="1">
      <c r="A275" s="12">
        <v>261</v>
      </c>
      <c r="B275" s="11">
        <f t="shared" si="98"/>
        <v>45531</v>
      </c>
      <c r="C275" s="9">
        <f t="shared" si="99"/>
        <v>842</v>
      </c>
      <c r="D275" s="8">
        <f t="shared" si="90"/>
        <v>1697</v>
      </c>
      <c r="E275" s="4">
        <f t="shared" si="91"/>
        <v>-100</v>
      </c>
      <c r="F275" s="4">
        <f t="shared" si="92"/>
        <v>-88</v>
      </c>
      <c r="G275" s="4">
        <f t="shared" si="93"/>
        <v>187</v>
      </c>
      <c r="H275" s="5">
        <f t="shared" si="94"/>
        <v>2639</v>
      </c>
      <c r="I275" s="5">
        <f t="shared" si="95"/>
        <v>2627</v>
      </c>
      <c r="J275" s="5">
        <f t="shared" si="96"/>
        <v>2352</v>
      </c>
      <c r="K275" s="5">
        <f t="shared" si="84"/>
        <v>3000</v>
      </c>
      <c r="L275" s="5">
        <f t="shared" si="85"/>
        <v>3000</v>
      </c>
      <c r="M275" s="5">
        <f t="shared" si="86"/>
        <v>3000</v>
      </c>
      <c r="N275" s="5">
        <f t="shared" si="100"/>
        <v>-361</v>
      </c>
      <c r="O275" s="5">
        <f t="shared" si="101"/>
        <v>-373</v>
      </c>
      <c r="P275" s="5">
        <f t="shared" si="102"/>
        <v>-648</v>
      </c>
      <c r="Q275" s="4">
        <v>0</v>
      </c>
      <c r="R275" s="4">
        <v>0</v>
      </c>
      <c r="S275" s="4">
        <v>0</v>
      </c>
      <c r="T275" s="6">
        <f t="shared" si="97"/>
        <v>1012</v>
      </c>
      <c r="U275" s="7">
        <f t="shared" si="88"/>
        <v>1719</v>
      </c>
      <c r="V275" s="7">
        <f t="shared" si="89"/>
        <v>1527</v>
      </c>
      <c r="W275" s="7">
        <f t="shared" si="87"/>
        <v>1742</v>
      </c>
      <c r="X275" s="6"/>
      <c r="Y275" s="5"/>
      <c r="Z275" s="5"/>
      <c r="AA275" s="5"/>
      <c r="AB275" s="5"/>
    </row>
    <row r="276" spans="1:28" ht="13.15" customHeight="1">
      <c r="A276" s="12">
        <v>262</v>
      </c>
      <c r="B276" s="11">
        <f t="shared" si="98"/>
        <v>45532</v>
      </c>
      <c r="C276" s="9">
        <f t="shared" si="99"/>
        <v>842</v>
      </c>
      <c r="D276" s="8">
        <f t="shared" si="90"/>
        <v>1699</v>
      </c>
      <c r="E276" s="4">
        <f t="shared" si="91"/>
        <v>-98</v>
      </c>
      <c r="F276" s="4">
        <f t="shared" si="92"/>
        <v>-86</v>
      </c>
      <c r="G276" s="4">
        <f t="shared" si="93"/>
        <v>189</v>
      </c>
      <c r="H276" s="5">
        <f t="shared" si="94"/>
        <v>2639</v>
      </c>
      <c r="I276" s="5">
        <f t="shared" si="95"/>
        <v>2627</v>
      </c>
      <c r="J276" s="5">
        <f t="shared" si="96"/>
        <v>2352</v>
      </c>
      <c r="K276" s="5">
        <f t="shared" si="84"/>
        <v>3000</v>
      </c>
      <c r="L276" s="5">
        <f t="shared" si="85"/>
        <v>3000</v>
      </c>
      <c r="M276" s="5">
        <f t="shared" si="86"/>
        <v>3000</v>
      </c>
      <c r="N276" s="5">
        <f t="shared" si="100"/>
        <v>-361</v>
      </c>
      <c r="O276" s="5">
        <f t="shared" si="101"/>
        <v>-373</v>
      </c>
      <c r="P276" s="5">
        <f t="shared" si="102"/>
        <v>-648</v>
      </c>
      <c r="Q276" s="4">
        <v>0</v>
      </c>
      <c r="R276" s="4">
        <v>0</v>
      </c>
      <c r="S276" s="4">
        <v>0</v>
      </c>
      <c r="T276" s="6">
        <f t="shared" si="97"/>
        <v>1014</v>
      </c>
      <c r="U276" s="7">
        <f t="shared" si="88"/>
        <v>1719</v>
      </c>
      <c r="V276" s="7">
        <f t="shared" si="89"/>
        <v>1527</v>
      </c>
      <c r="W276" s="7">
        <f t="shared" si="87"/>
        <v>1742</v>
      </c>
      <c r="X276" s="6"/>
      <c r="Y276" s="5"/>
      <c r="Z276" s="5"/>
      <c r="AA276" s="5"/>
      <c r="AB276" s="5"/>
    </row>
    <row r="277" spans="1:28" ht="13.15" customHeight="1">
      <c r="A277" s="12">
        <v>263</v>
      </c>
      <c r="B277" s="11">
        <f t="shared" si="98"/>
        <v>45533</v>
      </c>
      <c r="C277" s="9">
        <f t="shared" si="99"/>
        <v>842</v>
      </c>
      <c r="D277" s="8">
        <f t="shared" si="90"/>
        <v>1701</v>
      </c>
      <c r="E277" s="4">
        <f t="shared" si="91"/>
        <v>-96</v>
      </c>
      <c r="F277" s="4">
        <f t="shared" si="92"/>
        <v>-84</v>
      </c>
      <c r="G277" s="4">
        <f t="shared" si="93"/>
        <v>191</v>
      </c>
      <c r="H277" s="5">
        <f t="shared" si="94"/>
        <v>2639</v>
      </c>
      <c r="I277" s="5">
        <f t="shared" si="95"/>
        <v>2627</v>
      </c>
      <c r="J277" s="5">
        <f t="shared" si="96"/>
        <v>2352</v>
      </c>
      <c r="K277" s="5">
        <f t="shared" ref="K277:K340" si="103">K276</f>
        <v>3000</v>
      </c>
      <c r="L277" s="5">
        <f t="shared" ref="L277:L340" si="104">L276</f>
        <v>3000</v>
      </c>
      <c r="M277" s="5">
        <f t="shared" ref="M277:M340" si="105">M276</f>
        <v>3000</v>
      </c>
      <c r="N277" s="5">
        <f t="shared" si="100"/>
        <v>-361</v>
      </c>
      <c r="O277" s="5">
        <f t="shared" si="101"/>
        <v>-373</v>
      </c>
      <c r="P277" s="5">
        <f t="shared" si="102"/>
        <v>-648</v>
      </c>
      <c r="Q277" s="4">
        <v>0</v>
      </c>
      <c r="R277" s="4">
        <v>0</v>
      </c>
      <c r="S277" s="4">
        <v>0</v>
      </c>
      <c r="T277" s="6">
        <f t="shared" si="97"/>
        <v>1016</v>
      </c>
      <c r="U277" s="7">
        <f t="shared" si="88"/>
        <v>1719</v>
      </c>
      <c r="V277" s="7">
        <f t="shared" si="89"/>
        <v>1527</v>
      </c>
      <c r="W277" s="7">
        <f t="shared" si="87"/>
        <v>1742</v>
      </c>
      <c r="X277" s="6"/>
      <c r="Y277" s="5"/>
      <c r="Z277" s="5"/>
      <c r="AA277" s="5"/>
      <c r="AB277" s="5"/>
    </row>
    <row r="278" spans="1:28" ht="13.15" customHeight="1">
      <c r="A278" s="12">
        <v>264</v>
      </c>
      <c r="B278" s="11">
        <f t="shared" si="98"/>
        <v>45534</v>
      </c>
      <c r="C278" s="9">
        <f t="shared" si="99"/>
        <v>842</v>
      </c>
      <c r="D278" s="8">
        <f t="shared" si="90"/>
        <v>1703</v>
      </c>
      <c r="E278" s="4">
        <f t="shared" si="91"/>
        <v>-94</v>
      </c>
      <c r="F278" s="4">
        <f t="shared" si="92"/>
        <v>-82</v>
      </c>
      <c r="G278" s="4">
        <f t="shared" si="93"/>
        <v>193</v>
      </c>
      <c r="H278" s="5">
        <f t="shared" si="94"/>
        <v>2639</v>
      </c>
      <c r="I278" s="5">
        <f t="shared" si="95"/>
        <v>2627</v>
      </c>
      <c r="J278" s="5">
        <f t="shared" si="96"/>
        <v>2352</v>
      </c>
      <c r="K278" s="5">
        <f t="shared" si="103"/>
        <v>3000</v>
      </c>
      <c r="L278" s="5">
        <f t="shared" si="104"/>
        <v>3000</v>
      </c>
      <c r="M278" s="5">
        <f t="shared" si="105"/>
        <v>3000</v>
      </c>
      <c r="N278" s="5">
        <f t="shared" si="100"/>
        <v>-361</v>
      </c>
      <c r="O278" s="5">
        <f t="shared" si="101"/>
        <v>-373</v>
      </c>
      <c r="P278" s="5">
        <f t="shared" si="102"/>
        <v>-648</v>
      </c>
      <c r="Q278" s="4">
        <v>0</v>
      </c>
      <c r="R278" s="4">
        <v>0</v>
      </c>
      <c r="S278" s="4">
        <v>0</v>
      </c>
      <c r="T278" s="6">
        <f t="shared" si="97"/>
        <v>1018</v>
      </c>
      <c r="U278" s="7">
        <f t="shared" si="88"/>
        <v>1719</v>
      </c>
      <c r="V278" s="7">
        <f t="shared" si="89"/>
        <v>1527</v>
      </c>
      <c r="W278" s="7">
        <f t="shared" si="87"/>
        <v>1742</v>
      </c>
      <c r="X278" s="6"/>
      <c r="Y278" s="5"/>
      <c r="Z278" s="5"/>
      <c r="AA278" s="5"/>
      <c r="AB278" s="5"/>
    </row>
    <row r="279" spans="1:28" ht="13.15" customHeight="1">
      <c r="A279" s="12">
        <f t="shared" ref="A279:A342" si="106">+A278+1</f>
        <v>265</v>
      </c>
      <c r="B279" s="11">
        <f t="shared" si="98"/>
        <v>45535</v>
      </c>
      <c r="C279" s="9">
        <f t="shared" si="99"/>
        <v>842</v>
      </c>
      <c r="D279" s="8">
        <f t="shared" si="90"/>
        <v>1705</v>
      </c>
      <c r="E279" s="4">
        <f t="shared" si="91"/>
        <v>-92</v>
      </c>
      <c r="F279" s="4">
        <f t="shared" si="92"/>
        <v>-80</v>
      </c>
      <c r="G279" s="4">
        <f t="shared" si="93"/>
        <v>195</v>
      </c>
      <c r="H279" s="5">
        <f t="shared" si="94"/>
        <v>2639</v>
      </c>
      <c r="I279" s="5">
        <f t="shared" si="95"/>
        <v>2627</v>
      </c>
      <c r="J279" s="5">
        <f t="shared" si="96"/>
        <v>2352</v>
      </c>
      <c r="K279" s="5">
        <f t="shared" si="103"/>
        <v>3000</v>
      </c>
      <c r="L279" s="5">
        <f t="shared" si="104"/>
        <v>3000</v>
      </c>
      <c r="M279" s="5">
        <f t="shared" si="105"/>
        <v>3000</v>
      </c>
      <c r="N279" s="5">
        <f t="shared" si="100"/>
        <v>-361</v>
      </c>
      <c r="O279" s="5">
        <f t="shared" si="101"/>
        <v>-373</v>
      </c>
      <c r="P279" s="5">
        <f t="shared" si="102"/>
        <v>-648</v>
      </c>
      <c r="Q279" s="4">
        <v>0</v>
      </c>
      <c r="R279" s="4">
        <v>0</v>
      </c>
      <c r="S279" s="4">
        <v>0</v>
      </c>
      <c r="T279" s="6">
        <f t="shared" si="97"/>
        <v>1020</v>
      </c>
      <c r="U279" s="7">
        <f t="shared" si="88"/>
        <v>1719</v>
      </c>
      <c r="V279" s="7">
        <f t="shared" si="89"/>
        <v>1527</v>
      </c>
      <c r="W279" s="7">
        <f t="shared" si="87"/>
        <v>1742</v>
      </c>
      <c r="X279" s="6"/>
      <c r="Y279" s="5"/>
      <c r="Z279" s="5"/>
      <c r="AA279" s="5"/>
      <c r="AB279" s="5"/>
    </row>
    <row r="280" spans="1:28" ht="13.15" customHeight="1">
      <c r="A280" s="12">
        <f t="shared" si="106"/>
        <v>266</v>
      </c>
      <c r="B280" s="11">
        <f t="shared" si="98"/>
        <v>45536</v>
      </c>
      <c r="C280" s="9">
        <f t="shared" si="99"/>
        <v>842</v>
      </c>
      <c r="D280" s="8">
        <f t="shared" si="90"/>
        <v>1707</v>
      </c>
      <c r="E280" s="4">
        <f t="shared" si="91"/>
        <v>-90</v>
      </c>
      <c r="F280" s="4">
        <f t="shared" si="92"/>
        <v>-78</v>
      </c>
      <c r="G280" s="4">
        <f t="shared" si="93"/>
        <v>197</v>
      </c>
      <c r="H280" s="5">
        <f t="shared" si="94"/>
        <v>2639</v>
      </c>
      <c r="I280" s="5">
        <f t="shared" si="95"/>
        <v>2627</v>
      </c>
      <c r="J280" s="5">
        <f t="shared" si="96"/>
        <v>2352</v>
      </c>
      <c r="K280" s="5">
        <f t="shared" si="103"/>
        <v>3000</v>
      </c>
      <c r="L280" s="5">
        <f t="shared" si="104"/>
        <v>3000</v>
      </c>
      <c r="M280" s="5">
        <f t="shared" si="105"/>
        <v>3000</v>
      </c>
      <c r="N280" s="5">
        <f t="shared" si="100"/>
        <v>-361</v>
      </c>
      <c r="O280" s="5">
        <f t="shared" si="101"/>
        <v>-373</v>
      </c>
      <c r="P280" s="5">
        <f t="shared" si="102"/>
        <v>-648</v>
      </c>
      <c r="Q280" s="4">
        <v>0</v>
      </c>
      <c r="R280" s="4">
        <v>0</v>
      </c>
      <c r="S280" s="4">
        <v>0</v>
      </c>
      <c r="T280" s="6">
        <f t="shared" si="97"/>
        <v>1022</v>
      </c>
      <c r="U280" s="7">
        <f t="shared" si="88"/>
        <v>1719</v>
      </c>
      <c r="V280" s="7">
        <f t="shared" si="89"/>
        <v>1527</v>
      </c>
      <c r="W280" s="7">
        <f t="shared" si="87"/>
        <v>1742</v>
      </c>
      <c r="X280" s="6"/>
      <c r="Y280" s="5"/>
      <c r="Z280" s="5"/>
      <c r="AA280" s="5"/>
      <c r="AB280" s="5"/>
    </row>
    <row r="281" spans="1:28" ht="13.15" customHeight="1">
      <c r="A281" s="12">
        <f t="shared" si="106"/>
        <v>267</v>
      </c>
      <c r="B281" s="11">
        <f t="shared" si="98"/>
        <v>45537</v>
      </c>
      <c r="C281" s="9">
        <f t="shared" si="99"/>
        <v>842</v>
      </c>
      <c r="D281" s="8">
        <f t="shared" si="90"/>
        <v>1709</v>
      </c>
      <c r="E281" s="4">
        <f t="shared" si="91"/>
        <v>-88</v>
      </c>
      <c r="F281" s="4">
        <f t="shared" si="92"/>
        <v>-76</v>
      </c>
      <c r="G281" s="4">
        <f t="shared" si="93"/>
        <v>199</v>
      </c>
      <c r="H281" s="5">
        <f t="shared" si="94"/>
        <v>2639</v>
      </c>
      <c r="I281" s="5">
        <f t="shared" si="95"/>
        <v>2627</v>
      </c>
      <c r="J281" s="5">
        <f t="shared" si="96"/>
        <v>2352</v>
      </c>
      <c r="K281" s="5">
        <f t="shared" si="103"/>
        <v>3000</v>
      </c>
      <c r="L281" s="5">
        <f t="shared" si="104"/>
        <v>3000</v>
      </c>
      <c r="M281" s="5">
        <f t="shared" si="105"/>
        <v>3000</v>
      </c>
      <c r="N281" s="5">
        <f t="shared" si="100"/>
        <v>-361</v>
      </c>
      <c r="O281" s="5">
        <f t="shared" si="101"/>
        <v>-373</v>
      </c>
      <c r="P281" s="5">
        <f t="shared" si="102"/>
        <v>-648</v>
      </c>
      <c r="Q281" s="4">
        <v>0</v>
      </c>
      <c r="R281" s="4">
        <v>0</v>
      </c>
      <c r="S281" s="4">
        <v>0</v>
      </c>
      <c r="T281" s="6">
        <f t="shared" si="97"/>
        <v>1024</v>
      </c>
      <c r="U281" s="7">
        <f t="shared" si="88"/>
        <v>1719</v>
      </c>
      <c r="V281" s="7">
        <f t="shared" si="89"/>
        <v>1527</v>
      </c>
      <c r="W281" s="7">
        <f t="shared" si="87"/>
        <v>1742</v>
      </c>
      <c r="X281" s="6"/>
      <c r="Y281" s="5"/>
      <c r="Z281" s="5"/>
      <c r="AA281" s="5"/>
      <c r="AB281" s="5"/>
    </row>
    <row r="282" spans="1:28" ht="13.15" customHeight="1">
      <c r="A282" s="12">
        <f t="shared" si="106"/>
        <v>268</v>
      </c>
      <c r="B282" s="11">
        <f t="shared" si="98"/>
        <v>45538</v>
      </c>
      <c r="C282" s="9">
        <f t="shared" si="99"/>
        <v>842</v>
      </c>
      <c r="D282" s="8">
        <f t="shared" si="90"/>
        <v>1711</v>
      </c>
      <c r="E282" s="4">
        <f t="shared" si="91"/>
        <v>-86</v>
      </c>
      <c r="F282" s="4">
        <f t="shared" si="92"/>
        <v>-74</v>
      </c>
      <c r="G282" s="4">
        <f t="shared" si="93"/>
        <v>201</v>
      </c>
      <c r="H282" s="5">
        <f t="shared" si="94"/>
        <v>2639</v>
      </c>
      <c r="I282" s="5">
        <f t="shared" si="95"/>
        <v>2627</v>
      </c>
      <c r="J282" s="5">
        <f t="shared" si="96"/>
        <v>2352</v>
      </c>
      <c r="K282" s="5">
        <f t="shared" si="103"/>
        <v>3000</v>
      </c>
      <c r="L282" s="5">
        <f t="shared" si="104"/>
        <v>3000</v>
      </c>
      <c r="M282" s="5">
        <f t="shared" si="105"/>
        <v>3000</v>
      </c>
      <c r="N282" s="5">
        <f t="shared" si="100"/>
        <v>-361</v>
      </c>
      <c r="O282" s="5">
        <f t="shared" si="101"/>
        <v>-373</v>
      </c>
      <c r="P282" s="5">
        <f t="shared" si="102"/>
        <v>-648</v>
      </c>
      <c r="Q282" s="4">
        <v>0</v>
      </c>
      <c r="R282" s="4">
        <v>0</v>
      </c>
      <c r="S282" s="4">
        <v>0</v>
      </c>
      <c r="T282" s="6">
        <f t="shared" si="97"/>
        <v>1026</v>
      </c>
      <c r="U282" s="7">
        <f t="shared" si="88"/>
        <v>1719</v>
      </c>
      <c r="V282" s="7">
        <f t="shared" si="89"/>
        <v>1527</v>
      </c>
      <c r="W282" s="7">
        <f t="shared" si="87"/>
        <v>1742</v>
      </c>
      <c r="X282" s="6"/>
      <c r="Y282" s="5"/>
      <c r="Z282" s="5"/>
      <c r="AA282" s="5"/>
      <c r="AB282" s="5"/>
    </row>
    <row r="283" spans="1:28" ht="13.15" customHeight="1">
      <c r="A283" s="12">
        <f t="shared" si="106"/>
        <v>269</v>
      </c>
      <c r="B283" s="11">
        <f t="shared" si="98"/>
        <v>45539</v>
      </c>
      <c r="C283" s="9">
        <f t="shared" si="99"/>
        <v>842</v>
      </c>
      <c r="D283" s="8">
        <f t="shared" si="90"/>
        <v>1713</v>
      </c>
      <c r="E283" s="4">
        <f t="shared" si="91"/>
        <v>-84</v>
      </c>
      <c r="F283" s="4">
        <f t="shared" si="92"/>
        <v>-72</v>
      </c>
      <c r="G283" s="4">
        <f t="shared" si="93"/>
        <v>203</v>
      </c>
      <c r="H283" s="5">
        <f t="shared" si="94"/>
        <v>2639</v>
      </c>
      <c r="I283" s="5">
        <f t="shared" si="95"/>
        <v>2627</v>
      </c>
      <c r="J283" s="5">
        <f t="shared" si="96"/>
        <v>2352</v>
      </c>
      <c r="K283" s="5">
        <f t="shared" si="103"/>
        <v>3000</v>
      </c>
      <c r="L283" s="5">
        <f t="shared" si="104"/>
        <v>3000</v>
      </c>
      <c r="M283" s="5">
        <f t="shared" si="105"/>
        <v>3000</v>
      </c>
      <c r="N283" s="5">
        <f t="shared" si="100"/>
        <v>-361</v>
      </c>
      <c r="O283" s="5">
        <f t="shared" si="101"/>
        <v>-373</v>
      </c>
      <c r="P283" s="5">
        <f t="shared" si="102"/>
        <v>-648</v>
      </c>
      <c r="Q283" s="4">
        <v>0</v>
      </c>
      <c r="R283" s="4">
        <v>0</v>
      </c>
      <c r="S283" s="4">
        <v>0</v>
      </c>
      <c r="T283" s="6">
        <f t="shared" si="97"/>
        <v>1028</v>
      </c>
      <c r="U283" s="7">
        <f t="shared" si="88"/>
        <v>1719</v>
      </c>
      <c r="V283" s="7">
        <f t="shared" si="89"/>
        <v>1527</v>
      </c>
      <c r="W283" s="7">
        <f t="shared" si="87"/>
        <v>1742</v>
      </c>
      <c r="X283" s="6"/>
      <c r="Y283" s="5"/>
      <c r="Z283" s="5"/>
      <c r="AA283" s="5"/>
      <c r="AB283" s="5"/>
    </row>
    <row r="284" spans="1:28" ht="13.15" customHeight="1">
      <c r="A284" s="12">
        <f t="shared" si="106"/>
        <v>270</v>
      </c>
      <c r="B284" s="11">
        <f t="shared" si="98"/>
        <v>45540</v>
      </c>
      <c r="C284" s="9">
        <f t="shared" si="99"/>
        <v>842</v>
      </c>
      <c r="D284" s="8">
        <f t="shared" si="90"/>
        <v>1715</v>
      </c>
      <c r="E284" s="4">
        <f t="shared" si="91"/>
        <v>-82</v>
      </c>
      <c r="F284" s="4">
        <f t="shared" si="92"/>
        <v>-70</v>
      </c>
      <c r="G284" s="4">
        <f t="shared" si="93"/>
        <v>205</v>
      </c>
      <c r="H284" s="5">
        <f t="shared" si="94"/>
        <v>2639</v>
      </c>
      <c r="I284" s="5">
        <f t="shared" si="95"/>
        <v>2627</v>
      </c>
      <c r="J284" s="5">
        <f t="shared" si="96"/>
        <v>2352</v>
      </c>
      <c r="K284" s="5">
        <f t="shared" si="103"/>
        <v>3000</v>
      </c>
      <c r="L284" s="5">
        <f t="shared" si="104"/>
        <v>3000</v>
      </c>
      <c r="M284" s="5">
        <f t="shared" si="105"/>
        <v>3000</v>
      </c>
      <c r="N284" s="5">
        <f t="shared" si="100"/>
        <v>-361</v>
      </c>
      <c r="O284" s="5">
        <f t="shared" si="101"/>
        <v>-373</v>
      </c>
      <c r="P284" s="5">
        <f t="shared" si="102"/>
        <v>-648</v>
      </c>
      <c r="Q284" s="4">
        <v>0</v>
      </c>
      <c r="R284" s="4">
        <v>0</v>
      </c>
      <c r="S284" s="4">
        <v>0</v>
      </c>
      <c r="T284" s="6">
        <f t="shared" si="97"/>
        <v>1030</v>
      </c>
      <c r="U284" s="7">
        <f t="shared" si="88"/>
        <v>1719</v>
      </c>
      <c r="V284" s="7">
        <f t="shared" si="89"/>
        <v>1527</v>
      </c>
      <c r="W284" s="7">
        <f t="shared" si="87"/>
        <v>1742</v>
      </c>
      <c r="X284" s="6"/>
      <c r="Y284" s="5"/>
      <c r="Z284" s="5"/>
      <c r="AA284" s="5"/>
      <c r="AB284" s="5"/>
    </row>
    <row r="285" spans="1:28" ht="13.15" customHeight="1">
      <c r="A285" s="12">
        <f t="shared" si="106"/>
        <v>271</v>
      </c>
      <c r="B285" s="11">
        <f t="shared" si="98"/>
        <v>45541</v>
      </c>
      <c r="C285" s="9">
        <f t="shared" si="99"/>
        <v>842</v>
      </c>
      <c r="D285" s="8">
        <f t="shared" si="90"/>
        <v>1717</v>
      </c>
      <c r="E285" s="4">
        <f t="shared" si="91"/>
        <v>-80</v>
      </c>
      <c r="F285" s="4">
        <f t="shared" si="92"/>
        <v>-68</v>
      </c>
      <c r="G285" s="4">
        <f t="shared" si="93"/>
        <v>207</v>
      </c>
      <c r="H285" s="5">
        <f t="shared" si="94"/>
        <v>2639</v>
      </c>
      <c r="I285" s="5">
        <f t="shared" si="95"/>
        <v>2627</v>
      </c>
      <c r="J285" s="5">
        <f t="shared" si="96"/>
        <v>2352</v>
      </c>
      <c r="K285" s="5">
        <f t="shared" si="103"/>
        <v>3000</v>
      </c>
      <c r="L285" s="5">
        <f t="shared" si="104"/>
        <v>3000</v>
      </c>
      <c r="M285" s="5">
        <f t="shared" si="105"/>
        <v>3000</v>
      </c>
      <c r="N285" s="5">
        <f t="shared" si="100"/>
        <v>-361</v>
      </c>
      <c r="O285" s="5">
        <f t="shared" si="101"/>
        <v>-373</v>
      </c>
      <c r="P285" s="5">
        <f t="shared" si="102"/>
        <v>-648</v>
      </c>
      <c r="Q285" s="4">
        <v>0</v>
      </c>
      <c r="R285" s="4">
        <v>0</v>
      </c>
      <c r="S285" s="4">
        <v>0</v>
      </c>
      <c r="T285" s="6">
        <f t="shared" si="97"/>
        <v>1032</v>
      </c>
      <c r="U285" s="7">
        <f t="shared" si="88"/>
        <v>1719</v>
      </c>
      <c r="V285" s="7">
        <f t="shared" si="89"/>
        <v>1527</v>
      </c>
      <c r="W285" s="7">
        <f t="shared" si="87"/>
        <v>1742</v>
      </c>
      <c r="X285" s="6"/>
      <c r="Y285" s="5"/>
      <c r="Z285" s="5"/>
      <c r="AA285" s="5"/>
      <c r="AB285" s="5"/>
    </row>
    <row r="286" spans="1:28" ht="13.15" customHeight="1">
      <c r="A286" s="12">
        <f t="shared" si="106"/>
        <v>272</v>
      </c>
      <c r="B286" s="11">
        <f t="shared" si="98"/>
        <v>45542</v>
      </c>
      <c r="C286" s="9">
        <f t="shared" si="99"/>
        <v>842</v>
      </c>
      <c r="D286" s="8">
        <f t="shared" si="90"/>
        <v>1719</v>
      </c>
      <c r="E286" s="4">
        <f t="shared" si="91"/>
        <v>-78</v>
      </c>
      <c r="F286" s="4">
        <f t="shared" si="92"/>
        <v>-66</v>
      </c>
      <c r="G286" s="4">
        <f t="shared" si="93"/>
        <v>209</v>
      </c>
      <c r="H286" s="5">
        <f t="shared" si="94"/>
        <v>2639</v>
      </c>
      <c r="I286" s="5">
        <f t="shared" si="95"/>
        <v>2627</v>
      </c>
      <c r="J286" s="5">
        <f t="shared" si="96"/>
        <v>2352</v>
      </c>
      <c r="K286" s="5">
        <f t="shared" si="103"/>
        <v>3000</v>
      </c>
      <c r="L286" s="5">
        <f t="shared" si="104"/>
        <v>3000</v>
      </c>
      <c r="M286" s="5">
        <f t="shared" si="105"/>
        <v>3000</v>
      </c>
      <c r="N286" s="5">
        <f t="shared" si="100"/>
        <v>-361</v>
      </c>
      <c r="O286" s="5">
        <f t="shared" si="101"/>
        <v>-373</v>
      </c>
      <c r="P286" s="5">
        <f t="shared" si="102"/>
        <v>-648</v>
      </c>
      <c r="Q286" s="4">
        <v>0</v>
      </c>
      <c r="R286" s="4">
        <v>0</v>
      </c>
      <c r="S286" s="4">
        <v>0</v>
      </c>
      <c r="T286" s="6">
        <f t="shared" si="97"/>
        <v>1034</v>
      </c>
      <c r="U286" s="7">
        <f t="shared" si="88"/>
        <v>1719</v>
      </c>
      <c r="V286" s="7">
        <f t="shared" si="89"/>
        <v>1527</v>
      </c>
      <c r="W286" s="7">
        <f t="shared" si="87"/>
        <v>1742</v>
      </c>
      <c r="X286" s="6"/>
      <c r="Y286" s="5"/>
      <c r="Z286" s="5"/>
      <c r="AA286" s="5"/>
      <c r="AB286" s="5"/>
    </row>
    <row r="287" spans="1:28" ht="13.15" customHeight="1">
      <c r="A287" s="12">
        <f t="shared" si="106"/>
        <v>273</v>
      </c>
      <c r="B287" s="11">
        <f t="shared" si="98"/>
        <v>45543</v>
      </c>
      <c r="C287" s="9">
        <f t="shared" si="99"/>
        <v>842</v>
      </c>
      <c r="D287" s="8">
        <f t="shared" si="90"/>
        <v>1721</v>
      </c>
      <c r="E287" s="4">
        <f t="shared" si="91"/>
        <v>-76</v>
      </c>
      <c r="F287" s="4">
        <f t="shared" si="92"/>
        <v>-64</v>
      </c>
      <c r="G287" s="4">
        <f t="shared" si="93"/>
        <v>211</v>
      </c>
      <c r="H287" s="5">
        <f t="shared" si="94"/>
        <v>2639</v>
      </c>
      <c r="I287" s="5">
        <f t="shared" si="95"/>
        <v>2627</v>
      </c>
      <c r="J287" s="5">
        <f t="shared" si="96"/>
        <v>2352</v>
      </c>
      <c r="K287" s="5">
        <f t="shared" si="103"/>
        <v>3000</v>
      </c>
      <c r="L287" s="5">
        <f t="shared" si="104"/>
        <v>3000</v>
      </c>
      <c r="M287" s="5">
        <f t="shared" si="105"/>
        <v>3000</v>
      </c>
      <c r="N287" s="5">
        <f t="shared" si="100"/>
        <v>-361</v>
      </c>
      <c r="O287" s="5">
        <f t="shared" si="101"/>
        <v>-373</v>
      </c>
      <c r="P287" s="5">
        <f t="shared" si="102"/>
        <v>-648</v>
      </c>
      <c r="Q287" s="4">
        <v>0</v>
      </c>
      <c r="R287" s="4">
        <v>0</v>
      </c>
      <c r="S287" s="4">
        <v>0</v>
      </c>
      <c r="T287" s="6">
        <f t="shared" si="97"/>
        <v>1036</v>
      </c>
      <c r="U287" s="7">
        <f t="shared" si="88"/>
        <v>1719</v>
      </c>
      <c r="V287" s="7">
        <f t="shared" si="89"/>
        <v>1527</v>
      </c>
      <c r="W287" s="7">
        <f t="shared" si="87"/>
        <v>1742</v>
      </c>
      <c r="X287" s="6"/>
      <c r="Y287" s="5"/>
      <c r="Z287" s="5"/>
      <c r="AA287" s="5"/>
      <c r="AB287" s="5"/>
    </row>
    <row r="288" spans="1:28" ht="13.15" customHeight="1">
      <c r="A288" s="12">
        <f t="shared" si="106"/>
        <v>274</v>
      </c>
      <c r="B288" s="11">
        <f t="shared" si="98"/>
        <v>45544</v>
      </c>
      <c r="C288" s="9">
        <f t="shared" si="99"/>
        <v>842</v>
      </c>
      <c r="D288" s="8">
        <f t="shared" si="90"/>
        <v>1723</v>
      </c>
      <c r="E288" s="4">
        <f t="shared" si="91"/>
        <v>-74</v>
      </c>
      <c r="F288" s="4">
        <f t="shared" si="92"/>
        <v>-62</v>
      </c>
      <c r="G288" s="4">
        <f t="shared" si="93"/>
        <v>213</v>
      </c>
      <c r="H288" s="5">
        <f t="shared" si="94"/>
        <v>2639</v>
      </c>
      <c r="I288" s="5">
        <f t="shared" si="95"/>
        <v>2627</v>
      </c>
      <c r="J288" s="5">
        <f t="shared" si="96"/>
        <v>2352</v>
      </c>
      <c r="K288" s="5">
        <f t="shared" si="103"/>
        <v>3000</v>
      </c>
      <c r="L288" s="5">
        <f t="shared" si="104"/>
        <v>3000</v>
      </c>
      <c r="M288" s="5">
        <f t="shared" si="105"/>
        <v>3000</v>
      </c>
      <c r="N288" s="5">
        <f t="shared" si="100"/>
        <v>-361</v>
      </c>
      <c r="O288" s="5">
        <f t="shared" si="101"/>
        <v>-373</v>
      </c>
      <c r="P288" s="5">
        <f t="shared" si="102"/>
        <v>-648</v>
      </c>
      <c r="Q288" s="4">
        <v>0</v>
      </c>
      <c r="R288" s="4">
        <v>0</v>
      </c>
      <c r="S288" s="4">
        <v>0</v>
      </c>
      <c r="T288" s="6">
        <f t="shared" si="97"/>
        <v>1038</v>
      </c>
      <c r="U288" s="7">
        <f t="shared" si="88"/>
        <v>1719</v>
      </c>
      <c r="V288" s="7">
        <f t="shared" si="89"/>
        <v>1527</v>
      </c>
      <c r="W288" s="7">
        <f t="shared" ref="W288:W351" si="107">W287+$X288*1000-S288</f>
        <v>1742</v>
      </c>
      <c r="X288" s="6"/>
      <c r="Y288" s="5"/>
      <c r="Z288" s="5"/>
      <c r="AA288" s="5"/>
      <c r="AB288" s="5"/>
    </row>
    <row r="289" spans="1:28" ht="13.15" customHeight="1">
      <c r="A289" s="12">
        <f t="shared" si="106"/>
        <v>275</v>
      </c>
      <c r="B289" s="11">
        <f t="shared" si="98"/>
        <v>45545</v>
      </c>
      <c r="C289" s="9">
        <f t="shared" si="99"/>
        <v>842</v>
      </c>
      <c r="D289" s="8">
        <f t="shared" si="90"/>
        <v>1725</v>
      </c>
      <c r="E289" s="4">
        <f t="shared" si="91"/>
        <v>-72</v>
      </c>
      <c r="F289" s="4">
        <f t="shared" si="92"/>
        <v>-60</v>
      </c>
      <c r="G289" s="4">
        <f t="shared" si="93"/>
        <v>215</v>
      </c>
      <c r="H289" s="5">
        <f t="shared" si="94"/>
        <v>2639</v>
      </c>
      <c r="I289" s="5">
        <f t="shared" si="95"/>
        <v>2627</v>
      </c>
      <c r="J289" s="5">
        <f t="shared" si="96"/>
        <v>2352</v>
      </c>
      <c r="K289" s="5">
        <f t="shared" si="103"/>
        <v>3000</v>
      </c>
      <c r="L289" s="5">
        <f t="shared" si="104"/>
        <v>3000</v>
      </c>
      <c r="M289" s="5">
        <f t="shared" si="105"/>
        <v>3000</v>
      </c>
      <c r="N289" s="5">
        <f t="shared" si="100"/>
        <v>-361</v>
      </c>
      <c r="O289" s="5">
        <f t="shared" si="101"/>
        <v>-373</v>
      </c>
      <c r="P289" s="5">
        <f t="shared" si="102"/>
        <v>-648</v>
      </c>
      <c r="Q289" s="4">
        <v>0</v>
      </c>
      <c r="R289" s="4">
        <v>0</v>
      </c>
      <c r="S289" s="4">
        <v>0</v>
      </c>
      <c r="T289" s="6">
        <f t="shared" si="97"/>
        <v>1040</v>
      </c>
      <c r="U289" s="7">
        <f t="shared" si="88"/>
        <v>1719</v>
      </c>
      <c r="V289" s="7">
        <f t="shared" si="89"/>
        <v>1527</v>
      </c>
      <c r="W289" s="7">
        <f t="shared" si="107"/>
        <v>1742</v>
      </c>
      <c r="X289" s="6"/>
      <c r="Y289" s="5"/>
      <c r="Z289" s="5"/>
      <c r="AA289" s="5"/>
      <c r="AB289" s="5"/>
    </row>
    <row r="290" spans="1:28" ht="13.15" customHeight="1">
      <c r="A290" s="12">
        <f t="shared" si="106"/>
        <v>276</v>
      </c>
      <c r="B290" s="11">
        <f t="shared" si="98"/>
        <v>45546</v>
      </c>
      <c r="C290" s="9">
        <f t="shared" si="99"/>
        <v>842</v>
      </c>
      <c r="D290" s="8">
        <f t="shared" si="90"/>
        <v>1727</v>
      </c>
      <c r="E290" s="4">
        <f t="shared" si="91"/>
        <v>-70</v>
      </c>
      <c r="F290" s="4">
        <f t="shared" si="92"/>
        <v>-58</v>
      </c>
      <c r="G290" s="4">
        <f t="shared" si="93"/>
        <v>217</v>
      </c>
      <c r="H290" s="5">
        <f t="shared" si="94"/>
        <v>2639</v>
      </c>
      <c r="I290" s="5">
        <f t="shared" si="95"/>
        <v>2627</v>
      </c>
      <c r="J290" s="5">
        <f t="shared" si="96"/>
        <v>2352</v>
      </c>
      <c r="K290" s="5">
        <f t="shared" si="103"/>
        <v>3000</v>
      </c>
      <c r="L290" s="5">
        <f t="shared" si="104"/>
        <v>3000</v>
      </c>
      <c r="M290" s="5">
        <f t="shared" si="105"/>
        <v>3000</v>
      </c>
      <c r="N290" s="5">
        <f t="shared" si="100"/>
        <v>-361</v>
      </c>
      <c r="O290" s="5">
        <f t="shared" si="101"/>
        <v>-373</v>
      </c>
      <c r="P290" s="5">
        <f t="shared" si="102"/>
        <v>-648</v>
      </c>
      <c r="Q290" s="4">
        <v>0</v>
      </c>
      <c r="R290" s="4">
        <v>0</v>
      </c>
      <c r="S290" s="4">
        <v>0</v>
      </c>
      <c r="T290" s="6">
        <f t="shared" si="97"/>
        <v>1042</v>
      </c>
      <c r="U290" s="7">
        <f t="shared" si="88"/>
        <v>1719</v>
      </c>
      <c r="V290" s="7">
        <f t="shared" si="89"/>
        <v>1527</v>
      </c>
      <c r="W290" s="7">
        <f t="shared" si="107"/>
        <v>1742</v>
      </c>
      <c r="X290" s="6"/>
      <c r="Y290" s="5"/>
      <c r="Z290" s="5"/>
      <c r="AA290" s="5"/>
      <c r="AB290" s="5"/>
    </row>
    <row r="291" spans="1:28" ht="13.15" customHeight="1">
      <c r="A291" s="12">
        <f t="shared" si="106"/>
        <v>277</v>
      </c>
      <c r="B291" s="11">
        <f t="shared" si="98"/>
        <v>45547</v>
      </c>
      <c r="C291" s="9">
        <f t="shared" si="99"/>
        <v>842</v>
      </c>
      <c r="D291" s="8">
        <f t="shared" si="90"/>
        <v>1729</v>
      </c>
      <c r="E291" s="4">
        <f t="shared" si="91"/>
        <v>-68</v>
      </c>
      <c r="F291" s="4">
        <f t="shared" si="92"/>
        <v>-56</v>
      </c>
      <c r="G291" s="4">
        <f t="shared" si="93"/>
        <v>219</v>
      </c>
      <c r="H291" s="5">
        <f t="shared" si="94"/>
        <v>2639</v>
      </c>
      <c r="I291" s="5">
        <f t="shared" si="95"/>
        <v>2627</v>
      </c>
      <c r="J291" s="5">
        <f t="shared" si="96"/>
        <v>2352</v>
      </c>
      <c r="K291" s="5">
        <f t="shared" si="103"/>
        <v>3000</v>
      </c>
      <c r="L291" s="5">
        <f t="shared" si="104"/>
        <v>3000</v>
      </c>
      <c r="M291" s="5">
        <f t="shared" si="105"/>
        <v>3000</v>
      </c>
      <c r="N291" s="5">
        <f t="shared" si="100"/>
        <v>-361</v>
      </c>
      <c r="O291" s="5">
        <f t="shared" si="101"/>
        <v>-373</v>
      </c>
      <c r="P291" s="5">
        <f t="shared" si="102"/>
        <v>-648</v>
      </c>
      <c r="Q291" s="4">
        <v>0</v>
      </c>
      <c r="R291" s="4">
        <v>0</v>
      </c>
      <c r="S291" s="4">
        <v>0</v>
      </c>
      <c r="T291" s="6">
        <f t="shared" si="97"/>
        <v>1044</v>
      </c>
      <c r="U291" s="7">
        <f t="shared" si="88"/>
        <v>1719</v>
      </c>
      <c r="V291" s="7">
        <f t="shared" si="89"/>
        <v>1527</v>
      </c>
      <c r="W291" s="7">
        <f t="shared" si="107"/>
        <v>1742</v>
      </c>
      <c r="X291" s="6"/>
      <c r="Y291" s="5"/>
      <c r="Z291" s="5"/>
      <c r="AA291" s="5"/>
      <c r="AB291" s="5"/>
    </row>
    <row r="292" spans="1:28" ht="13.15" customHeight="1">
      <c r="A292" s="12">
        <f t="shared" si="106"/>
        <v>278</v>
      </c>
      <c r="B292" s="11">
        <f t="shared" si="98"/>
        <v>45548</v>
      </c>
      <c r="C292" s="9">
        <f t="shared" si="99"/>
        <v>842</v>
      </c>
      <c r="D292" s="8">
        <f t="shared" si="90"/>
        <v>1731</v>
      </c>
      <c r="E292" s="4">
        <f t="shared" si="91"/>
        <v>-66</v>
      </c>
      <c r="F292" s="4">
        <f t="shared" si="92"/>
        <v>-54</v>
      </c>
      <c r="G292" s="4">
        <f t="shared" si="93"/>
        <v>221</v>
      </c>
      <c r="H292" s="5">
        <f t="shared" si="94"/>
        <v>2639</v>
      </c>
      <c r="I292" s="5">
        <f t="shared" si="95"/>
        <v>2627</v>
      </c>
      <c r="J292" s="5">
        <f t="shared" si="96"/>
        <v>2352</v>
      </c>
      <c r="K292" s="5">
        <f t="shared" si="103"/>
        <v>3000</v>
      </c>
      <c r="L292" s="5">
        <f t="shared" si="104"/>
        <v>3000</v>
      </c>
      <c r="M292" s="5">
        <f t="shared" si="105"/>
        <v>3000</v>
      </c>
      <c r="N292" s="5">
        <f t="shared" si="100"/>
        <v>-361</v>
      </c>
      <c r="O292" s="5">
        <f t="shared" si="101"/>
        <v>-373</v>
      </c>
      <c r="P292" s="5">
        <f t="shared" si="102"/>
        <v>-648</v>
      </c>
      <c r="Q292" s="4">
        <v>0</v>
      </c>
      <c r="R292" s="4">
        <v>0</v>
      </c>
      <c r="S292" s="4">
        <v>0</v>
      </c>
      <c r="T292" s="6">
        <f t="shared" si="97"/>
        <v>1046</v>
      </c>
      <c r="U292" s="7">
        <f t="shared" si="88"/>
        <v>1719</v>
      </c>
      <c r="V292" s="7">
        <f t="shared" si="89"/>
        <v>1527</v>
      </c>
      <c r="W292" s="7">
        <f t="shared" si="107"/>
        <v>1742</v>
      </c>
      <c r="X292" s="6"/>
      <c r="Y292" s="5"/>
      <c r="Z292" s="5"/>
      <c r="AA292" s="5"/>
      <c r="AB292" s="5"/>
    </row>
    <row r="293" spans="1:28" ht="13.15" customHeight="1">
      <c r="A293" s="12">
        <f t="shared" si="106"/>
        <v>279</v>
      </c>
      <c r="B293" s="11">
        <f t="shared" si="98"/>
        <v>45549</v>
      </c>
      <c r="C293" s="9">
        <f t="shared" si="99"/>
        <v>842</v>
      </c>
      <c r="D293" s="8">
        <f t="shared" si="90"/>
        <v>1733</v>
      </c>
      <c r="E293" s="4">
        <f t="shared" si="91"/>
        <v>-64</v>
      </c>
      <c r="F293" s="4">
        <f t="shared" si="92"/>
        <v>-52</v>
      </c>
      <c r="G293" s="4">
        <f t="shared" si="93"/>
        <v>223</v>
      </c>
      <c r="H293" s="5">
        <f t="shared" si="94"/>
        <v>2639</v>
      </c>
      <c r="I293" s="5">
        <f t="shared" si="95"/>
        <v>2627</v>
      </c>
      <c r="J293" s="5">
        <f t="shared" si="96"/>
        <v>2352</v>
      </c>
      <c r="K293" s="5">
        <f t="shared" si="103"/>
        <v>3000</v>
      </c>
      <c r="L293" s="5">
        <f t="shared" si="104"/>
        <v>3000</v>
      </c>
      <c r="M293" s="5">
        <f t="shared" si="105"/>
        <v>3000</v>
      </c>
      <c r="N293" s="5">
        <f t="shared" si="100"/>
        <v>-361</v>
      </c>
      <c r="O293" s="5">
        <f t="shared" si="101"/>
        <v>-373</v>
      </c>
      <c r="P293" s="5">
        <f t="shared" si="102"/>
        <v>-648</v>
      </c>
      <c r="Q293" s="4">
        <v>0</v>
      </c>
      <c r="R293" s="4">
        <v>0</v>
      </c>
      <c r="S293" s="4">
        <v>0</v>
      </c>
      <c r="T293" s="6">
        <f t="shared" si="97"/>
        <v>1048</v>
      </c>
      <c r="U293" s="7">
        <f t="shared" si="88"/>
        <v>1719</v>
      </c>
      <c r="V293" s="7">
        <f t="shared" si="89"/>
        <v>1527</v>
      </c>
      <c r="W293" s="7">
        <f t="shared" si="107"/>
        <v>1742</v>
      </c>
      <c r="X293" s="6"/>
      <c r="Y293" s="5"/>
      <c r="Z293" s="5"/>
      <c r="AA293" s="5"/>
      <c r="AB293" s="5"/>
    </row>
    <row r="294" spans="1:28" ht="13.15" customHeight="1">
      <c r="A294" s="12">
        <f t="shared" si="106"/>
        <v>280</v>
      </c>
      <c r="B294" s="11">
        <f t="shared" si="98"/>
        <v>45550</v>
      </c>
      <c r="C294" s="9">
        <f t="shared" si="99"/>
        <v>842</v>
      </c>
      <c r="D294" s="8">
        <f t="shared" si="90"/>
        <v>1735</v>
      </c>
      <c r="E294" s="4">
        <f t="shared" si="91"/>
        <v>-62</v>
      </c>
      <c r="F294" s="4">
        <f t="shared" si="92"/>
        <v>-50</v>
      </c>
      <c r="G294" s="4">
        <f t="shared" si="93"/>
        <v>225</v>
      </c>
      <c r="H294" s="5">
        <f t="shared" si="94"/>
        <v>2639</v>
      </c>
      <c r="I294" s="5">
        <f t="shared" si="95"/>
        <v>2627</v>
      </c>
      <c r="J294" s="5">
        <f t="shared" si="96"/>
        <v>2352</v>
      </c>
      <c r="K294" s="5">
        <f t="shared" si="103"/>
        <v>3000</v>
      </c>
      <c r="L294" s="5">
        <f t="shared" si="104"/>
        <v>3000</v>
      </c>
      <c r="M294" s="5">
        <f t="shared" si="105"/>
        <v>3000</v>
      </c>
      <c r="N294" s="5">
        <f t="shared" si="100"/>
        <v>-361</v>
      </c>
      <c r="O294" s="5">
        <f t="shared" si="101"/>
        <v>-373</v>
      </c>
      <c r="P294" s="5">
        <f t="shared" si="102"/>
        <v>-648</v>
      </c>
      <c r="Q294" s="4">
        <v>0</v>
      </c>
      <c r="R294" s="4">
        <v>0</v>
      </c>
      <c r="S294" s="4">
        <v>0</v>
      </c>
      <c r="T294" s="6">
        <f t="shared" si="97"/>
        <v>1050</v>
      </c>
      <c r="U294" s="7">
        <f t="shared" ref="U294:U357" si="108">U293+$X294*1000-Q294</f>
        <v>1719</v>
      </c>
      <c r="V294" s="7">
        <f t="shared" ref="V294:V357" si="109">V293+$X294*1000-R294</f>
        <v>1527</v>
      </c>
      <c r="W294" s="7">
        <f t="shared" si="107"/>
        <v>1742</v>
      </c>
      <c r="X294" s="6"/>
      <c r="Y294" s="5"/>
      <c r="Z294" s="5"/>
      <c r="AA294" s="5"/>
      <c r="AB294" s="5"/>
    </row>
    <row r="295" spans="1:28" ht="13.15" customHeight="1">
      <c r="A295" s="12">
        <f t="shared" si="106"/>
        <v>281</v>
      </c>
      <c r="B295" s="11">
        <f t="shared" si="98"/>
        <v>45551</v>
      </c>
      <c r="C295" s="9">
        <f t="shared" si="99"/>
        <v>842</v>
      </c>
      <c r="D295" s="8">
        <f t="shared" si="90"/>
        <v>1737</v>
      </c>
      <c r="E295" s="4">
        <f t="shared" si="91"/>
        <v>-60</v>
      </c>
      <c r="F295" s="4">
        <f t="shared" si="92"/>
        <v>-48</v>
      </c>
      <c r="G295" s="4">
        <f t="shared" si="93"/>
        <v>227</v>
      </c>
      <c r="H295" s="5">
        <f t="shared" si="94"/>
        <v>2639</v>
      </c>
      <c r="I295" s="5">
        <f t="shared" si="95"/>
        <v>2627</v>
      </c>
      <c r="J295" s="5">
        <f t="shared" si="96"/>
        <v>2352</v>
      </c>
      <c r="K295" s="5">
        <f t="shared" si="103"/>
        <v>3000</v>
      </c>
      <c r="L295" s="5">
        <f t="shared" si="104"/>
        <v>3000</v>
      </c>
      <c r="M295" s="5">
        <f t="shared" si="105"/>
        <v>3000</v>
      </c>
      <c r="N295" s="5">
        <f t="shared" si="100"/>
        <v>-361</v>
      </c>
      <c r="O295" s="5">
        <f t="shared" si="101"/>
        <v>-373</v>
      </c>
      <c r="P295" s="5">
        <f t="shared" si="102"/>
        <v>-648</v>
      </c>
      <c r="Q295" s="4">
        <v>0</v>
      </c>
      <c r="R295" s="4">
        <v>0</v>
      </c>
      <c r="S295" s="4">
        <v>0</v>
      </c>
      <c r="T295" s="6">
        <f t="shared" si="97"/>
        <v>1052</v>
      </c>
      <c r="U295" s="7">
        <f t="shared" si="108"/>
        <v>1719</v>
      </c>
      <c r="V295" s="7">
        <f t="shared" si="109"/>
        <v>1527</v>
      </c>
      <c r="W295" s="7">
        <f t="shared" si="107"/>
        <v>1742</v>
      </c>
      <c r="X295" s="6"/>
      <c r="Y295" s="5"/>
      <c r="Z295" s="5"/>
      <c r="AA295" s="5"/>
      <c r="AB295" s="5"/>
    </row>
    <row r="296" spans="1:28" ht="13.15" customHeight="1">
      <c r="A296" s="12">
        <f t="shared" si="106"/>
        <v>282</v>
      </c>
      <c r="B296" s="11">
        <f t="shared" si="98"/>
        <v>45552</v>
      </c>
      <c r="C296" s="9">
        <f t="shared" si="99"/>
        <v>842</v>
      </c>
      <c r="D296" s="8">
        <f t="shared" si="90"/>
        <v>1739</v>
      </c>
      <c r="E296" s="4">
        <f t="shared" si="91"/>
        <v>-58</v>
      </c>
      <c r="F296" s="4">
        <f t="shared" si="92"/>
        <v>-46</v>
      </c>
      <c r="G296" s="4">
        <f t="shared" si="93"/>
        <v>229</v>
      </c>
      <c r="H296" s="5">
        <f t="shared" si="94"/>
        <v>2639</v>
      </c>
      <c r="I296" s="5">
        <f t="shared" si="95"/>
        <v>2627</v>
      </c>
      <c r="J296" s="5">
        <f t="shared" si="96"/>
        <v>2352</v>
      </c>
      <c r="K296" s="5">
        <f t="shared" si="103"/>
        <v>3000</v>
      </c>
      <c r="L296" s="5">
        <f t="shared" si="104"/>
        <v>3000</v>
      </c>
      <c r="M296" s="5">
        <f t="shared" si="105"/>
        <v>3000</v>
      </c>
      <c r="N296" s="5">
        <f t="shared" si="100"/>
        <v>-361</v>
      </c>
      <c r="O296" s="5">
        <f t="shared" si="101"/>
        <v>-373</v>
      </c>
      <c r="P296" s="5">
        <f t="shared" si="102"/>
        <v>-648</v>
      </c>
      <c r="Q296" s="4">
        <v>0</v>
      </c>
      <c r="R296" s="4">
        <v>0</v>
      </c>
      <c r="S296" s="4">
        <v>0</v>
      </c>
      <c r="T296" s="6">
        <f t="shared" si="97"/>
        <v>1054</v>
      </c>
      <c r="U296" s="7">
        <f t="shared" si="108"/>
        <v>1719</v>
      </c>
      <c r="V296" s="7">
        <f t="shared" si="109"/>
        <v>1527</v>
      </c>
      <c r="W296" s="7">
        <f t="shared" si="107"/>
        <v>1742</v>
      </c>
      <c r="X296" s="6"/>
      <c r="Y296" s="5"/>
      <c r="Z296" s="5"/>
      <c r="AA296" s="5"/>
      <c r="AB296" s="5"/>
    </row>
    <row r="297" spans="1:28" ht="13.15" customHeight="1">
      <c r="A297" s="12">
        <f t="shared" si="106"/>
        <v>283</v>
      </c>
      <c r="B297" s="11">
        <f t="shared" si="98"/>
        <v>45553</v>
      </c>
      <c r="C297" s="9">
        <f t="shared" si="99"/>
        <v>842</v>
      </c>
      <c r="D297" s="8">
        <f t="shared" si="90"/>
        <v>1741</v>
      </c>
      <c r="E297" s="4">
        <f t="shared" si="91"/>
        <v>-56</v>
      </c>
      <c r="F297" s="4">
        <f t="shared" si="92"/>
        <v>-44</v>
      </c>
      <c r="G297" s="4">
        <f t="shared" si="93"/>
        <v>231</v>
      </c>
      <c r="H297" s="5">
        <f t="shared" si="94"/>
        <v>2639</v>
      </c>
      <c r="I297" s="5">
        <f t="shared" si="95"/>
        <v>2627</v>
      </c>
      <c r="J297" s="5">
        <f t="shared" si="96"/>
        <v>2352</v>
      </c>
      <c r="K297" s="5">
        <f t="shared" si="103"/>
        <v>3000</v>
      </c>
      <c r="L297" s="5">
        <f t="shared" si="104"/>
        <v>3000</v>
      </c>
      <c r="M297" s="5">
        <f t="shared" si="105"/>
        <v>3000</v>
      </c>
      <c r="N297" s="5">
        <f t="shared" si="100"/>
        <v>-361</v>
      </c>
      <c r="O297" s="5">
        <f t="shared" si="101"/>
        <v>-373</v>
      </c>
      <c r="P297" s="5">
        <f t="shared" si="102"/>
        <v>-648</v>
      </c>
      <c r="Q297" s="4">
        <v>0</v>
      </c>
      <c r="R297" s="4">
        <v>0</v>
      </c>
      <c r="S297" s="4">
        <v>0</v>
      </c>
      <c r="T297" s="6">
        <f t="shared" si="97"/>
        <v>1056</v>
      </c>
      <c r="U297" s="7">
        <f t="shared" si="108"/>
        <v>1719</v>
      </c>
      <c r="V297" s="7">
        <f t="shared" si="109"/>
        <v>1527</v>
      </c>
      <c r="W297" s="7">
        <f t="shared" si="107"/>
        <v>1742</v>
      </c>
      <c r="X297" s="6"/>
      <c r="Y297" s="5"/>
      <c r="Z297" s="5"/>
      <c r="AA297" s="5"/>
      <c r="AB297" s="5"/>
    </row>
    <row r="298" spans="1:28" ht="13.15" customHeight="1">
      <c r="A298" s="12">
        <f t="shared" si="106"/>
        <v>284</v>
      </c>
      <c r="B298" s="11">
        <f t="shared" si="98"/>
        <v>45554</v>
      </c>
      <c r="C298" s="9">
        <f t="shared" si="99"/>
        <v>842</v>
      </c>
      <c r="D298" s="8">
        <f t="shared" si="90"/>
        <v>1743</v>
      </c>
      <c r="E298" s="4">
        <f t="shared" si="91"/>
        <v>-54</v>
      </c>
      <c r="F298" s="4">
        <f t="shared" si="92"/>
        <v>-42</v>
      </c>
      <c r="G298" s="4">
        <f t="shared" si="93"/>
        <v>233</v>
      </c>
      <c r="H298" s="5">
        <f t="shared" si="94"/>
        <v>2639</v>
      </c>
      <c r="I298" s="5">
        <f t="shared" si="95"/>
        <v>2627</v>
      </c>
      <c r="J298" s="5">
        <f t="shared" si="96"/>
        <v>2352</v>
      </c>
      <c r="K298" s="5">
        <f t="shared" si="103"/>
        <v>3000</v>
      </c>
      <c r="L298" s="5">
        <f t="shared" si="104"/>
        <v>3000</v>
      </c>
      <c r="M298" s="5">
        <f t="shared" si="105"/>
        <v>3000</v>
      </c>
      <c r="N298" s="5">
        <f t="shared" si="100"/>
        <v>-361</v>
      </c>
      <c r="O298" s="5">
        <f t="shared" si="101"/>
        <v>-373</v>
      </c>
      <c r="P298" s="5">
        <f t="shared" si="102"/>
        <v>-648</v>
      </c>
      <c r="Q298" s="4">
        <v>0</v>
      </c>
      <c r="R298" s="4">
        <v>0</v>
      </c>
      <c r="S298" s="4">
        <v>0</v>
      </c>
      <c r="T298" s="6">
        <f t="shared" si="97"/>
        <v>1058</v>
      </c>
      <c r="U298" s="7">
        <f t="shared" si="108"/>
        <v>1719</v>
      </c>
      <c r="V298" s="7">
        <f t="shared" si="109"/>
        <v>1527</v>
      </c>
      <c r="W298" s="7">
        <f t="shared" si="107"/>
        <v>1742</v>
      </c>
      <c r="X298" s="6"/>
      <c r="Y298" s="5"/>
      <c r="Z298" s="5"/>
      <c r="AA298" s="5"/>
      <c r="AB298" s="5"/>
    </row>
    <row r="299" spans="1:28" ht="13.15" customHeight="1">
      <c r="A299" s="12">
        <f t="shared" si="106"/>
        <v>285</v>
      </c>
      <c r="B299" s="11">
        <f t="shared" si="98"/>
        <v>45555</v>
      </c>
      <c r="C299" s="9">
        <f t="shared" si="99"/>
        <v>842</v>
      </c>
      <c r="D299" s="8">
        <f t="shared" si="90"/>
        <v>1745</v>
      </c>
      <c r="E299" s="4">
        <f t="shared" si="91"/>
        <v>-52</v>
      </c>
      <c r="F299" s="4">
        <f t="shared" si="92"/>
        <v>-40</v>
      </c>
      <c r="G299" s="4">
        <f t="shared" si="93"/>
        <v>235</v>
      </c>
      <c r="H299" s="5">
        <f t="shared" si="94"/>
        <v>2639</v>
      </c>
      <c r="I299" s="5">
        <f t="shared" si="95"/>
        <v>2627</v>
      </c>
      <c r="J299" s="5">
        <f t="shared" si="96"/>
        <v>2352</v>
      </c>
      <c r="K299" s="5">
        <f t="shared" si="103"/>
        <v>3000</v>
      </c>
      <c r="L299" s="5">
        <f t="shared" si="104"/>
        <v>3000</v>
      </c>
      <c r="M299" s="5">
        <f t="shared" si="105"/>
        <v>3000</v>
      </c>
      <c r="N299" s="5">
        <f t="shared" si="100"/>
        <v>-361</v>
      </c>
      <c r="O299" s="5">
        <f t="shared" si="101"/>
        <v>-373</v>
      </c>
      <c r="P299" s="5">
        <f t="shared" si="102"/>
        <v>-648</v>
      </c>
      <c r="Q299" s="4">
        <v>0</v>
      </c>
      <c r="R299" s="4">
        <v>0</v>
      </c>
      <c r="S299" s="4">
        <v>0</v>
      </c>
      <c r="T299" s="6">
        <f t="shared" si="97"/>
        <v>1060</v>
      </c>
      <c r="U299" s="7">
        <f t="shared" si="108"/>
        <v>1719</v>
      </c>
      <c r="V299" s="7">
        <f t="shared" si="109"/>
        <v>1527</v>
      </c>
      <c r="W299" s="7">
        <f t="shared" si="107"/>
        <v>1742</v>
      </c>
      <c r="X299" s="6"/>
      <c r="Y299" s="5"/>
      <c r="Z299" s="5"/>
      <c r="AA299" s="5"/>
      <c r="AB299" s="5"/>
    </row>
    <row r="300" spans="1:28" ht="13.15" customHeight="1">
      <c r="A300" s="12">
        <f t="shared" si="106"/>
        <v>286</v>
      </c>
      <c r="B300" s="11">
        <f t="shared" si="98"/>
        <v>45556</v>
      </c>
      <c r="C300" s="9">
        <f t="shared" si="99"/>
        <v>842</v>
      </c>
      <c r="D300" s="8">
        <f t="shared" si="90"/>
        <v>1747</v>
      </c>
      <c r="E300" s="4">
        <f t="shared" si="91"/>
        <v>-50</v>
      </c>
      <c r="F300" s="4">
        <f t="shared" si="92"/>
        <v>-38</v>
      </c>
      <c r="G300" s="4">
        <f t="shared" si="93"/>
        <v>237</v>
      </c>
      <c r="H300" s="5">
        <f t="shared" si="94"/>
        <v>2639</v>
      </c>
      <c r="I300" s="5">
        <f t="shared" si="95"/>
        <v>2627</v>
      </c>
      <c r="J300" s="5">
        <f t="shared" si="96"/>
        <v>2352</v>
      </c>
      <c r="K300" s="5">
        <f t="shared" si="103"/>
        <v>3000</v>
      </c>
      <c r="L300" s="5">
        <f t="shared" si="104"/>
        <v>3000</v>
      </c>
      <c r="M300" s="5">
        <f t="shared" si="105"/>
        <v>3000</v>
      </c>
      <c r="N300" s="5">
        <f t="shared" si="100"/>
        <v>-361</v>
      </c>
      <c r="O300" s="5">
        <f t="shared" si="101"/>
        <v>-373</v>
      </c>
      <c r="P300" s="5">
        <f t="shared" si="102"/>
        <v>-648</v>
      </c>
      <c r="Q300" s="4">
        <v>0</v>
      </c>
      <c r="R300" s="4">
        <v>0</v>
      </c>
      <c r="S300" s="4">
        <v>0</v>
      </c>
      <c r="T300" s="6">
        <f t="shared" si="97"/>
        <v>1062</v>
      </c>
      <c r="U300" s="7">
        <f t="shared" si="108"/>
        <v>1719</v>
      </c>
      <c r="V300" s="7">
        <f t="shared" si="109"/>
        <v>1527</v>
      </c>
      <c r="W300" s="7">
        <f t="shared" si="107"/>
        <v>1742</v>
      </c>
      <c r="X300" s="6"/>
      <c r="Y300" s="5"/>
      <c r="Z300" s="5"/>
      <c r="AA300" s="5"/>
      <c r="AB300" s="5"/>
    </row>
    <row r="301" spans="1:28" ht="13.15" customHeight="1">
      <c r="A301" s="12">
        <f t="shared" si="106"/>
        <v>287</v>
      </c>
      <c r="B301" s="11">
        <f t="shared" si="98"/>
        <v>45557</v>
      </c>
      <c r="C301" s="9">
        <f t="shared" si="99"/>
        <v>842</v>
      </c>
      <c r="D301" s="8">
        <f t="shared" si="90"/>
        <v>1749</v>
      </c>
      <c r="E301" s="4">
        <f t="shared" si="91"/>
        <v>-48</v>
      </c>
      <c r="F301" s="4">
        <f t="shared" si="92"/>
        <v>-36</v>
      </c>
      <c r="G301" s="4">
        <f t="shared" si="93"/>
        <v>239</v>
      </c>
      <c r="H301" s="5">
        <f t="shared" si="94"/>
        <v>2639</v>
      </c>
      <c r="I301" s="5">
        <f t="shared" si="95"/>
        <v>2627</v>
      </c>
      <c r="J301" s="5">
        <f t="shared" si="96"/>
        <v>2352</v>
      </c>
      <c r="K301" s="5">
        <f t="shared" si="103"/>
        <v>3000</v>
      </c>
      <c r="L301" s="5">
        <f t="shared" si="104"/>
        <v>3000</v>
      </c>
      <c r="M301" s="5">
        <f t="shared" si="105"/>
        <v>3000</v>
      </c>
      <c r="N301" s="5">
        <f t="shared" si="100"/>
        <v>-361</v>
      </c>
      <c r="O301" s="5">
        <f t="shared" si="101"/>
        <v>-373</v>
      </c>
      <c r="P301" s="5">
        <f t="shared" si="102"/>
        <v>-648</v>
      </c>
      <c r="Q301" s="4">
        <v>0</v>
      </c>
      <c r="R301" s="4">
        <v>0</v>
      </c>
      <c r="S301" s="4">
        <v>0</v>
      </c>
      <c r="T301" s="6">
        <f t="shared" si="97"/>
        <v>1064</v>
      </c>
      <c r="U301" s="7">
        <f t="shared" si="108"/>
        <v>1719</v>
      </c>
      <c r="V301" s="7">
        <f t="shared" si="109"/>
        <v>1527</v>
      </c>
      <c r="W301" s="7">
        <f t="shared" si="107"/>
        <v>1742</v>
      </c>
      <c r="X301" s="6"/>
      <c r="Y301" s="5"/>
      <c r="Z301" s="5"/>
      <c r="AA301" s="5"/>
      <c r="AB301" s="5"/>
    </row>
    <row r="302" spans="1:28" ht="13.15" customHeight="1">
      <c r="A302" s="12">
        <f t="shared" si="106"/>
        <v>288</v>
      </c>
      <c r="B302" s="11">
        <f t="shared" si="98"/>
        <v>45558</v>
      </c>
      <c r="C302" s="9">
        <f t="shared" si="99"/>
        <v>842</v>
      </c>
      <c r="D302" s="8">
        <f t="shared" si="90"/>
        <v>1751</v>
      </c>
      <c r="E302" s="4">
        <f t="shared" si="91"/>
        <v>-46</v>
      </c>
      <c r="F302" s="4">
        <f t="shared" si="92"/>
        <v>-34</v>
      </c>
      <c r="G302" s="4">
        <f t="shared" si="93"/>
        <v>241</v>
      </c>
      <c r="H302" s="5">
        <f t="shared" si="94"/>
        <v>2639</v>
      </c>
      <c r="I302" s="5">
        <f t="shared" si="95"/>
        <v>2627</v>
      </c>
      <c r="J302" s="5">
        <f t="shared" si="96"/>
        <v>2352</v>
      </c>
      <c r="K302" s="5">
        <f t="shared" si="103"/>
        <v>3000</v>
      </c>
      <c r="L302" s="5">
        <f t="shared" si="104"/>
        <v>3000</v>
      </c>
      <c r="M302" s="5">
        <f t="shared" si="105"/>
        <v>3000</v>
      </c>
      <c r="N302" s="5">
        <f t="shared" si="100"/>
        <v>-361</v>
      </c>
      <c r="O302" s="5">
        <f t="shared" si="101"/>
        <v>-373</v>
      </c>
      <c r="P302" s="5">
        <f t="shared" si="102"/>
        <v>-648</v>
      </c>
      <c r="Q302" s="4">
        <v>0</v>
      </c>
      <c r="R302" s="4">
        <v>0</v>
      </c>
      <c r="S302" s="4">
        <v>0</v>
      </c>
      <c r="T302" s="6">
        <f t="shared" si="97"/>
        <v>1066</v>
      </c>
      <c r="U302" s="7">
        <f t="shared" si="108"/>
        <v>1719</v>
      </c>
      <c r="V302" s="7">
        <f t="shared" si="109"/>
        <v>1527</v>
      </c>
      <c r="W302" s="7">
        <f t="shared" si="107"/>
        <v>1742</v>
      </c>
      <c r="X302" s="6"/>
      <c r="Y302" s="5"/>
      <c r="Z302" s="5"/>
      <c r="AA302" s="5"/>
      <c r="AB302" s="5"/>
    </row>
    <row r="303" spans="1:28" ht="13.15" customHeight="1">
      <c r="A303" s="12">
        <f t="shared" si="106"/>
        <v>289</v>
      </c>
      <c r="B303" s="11">
        <f t="shared" si="98"/>
        <v>45559</v>
      </c>
      <c r="C303" s="9">
        <f t="shared" si="99"/>
        <v>842</v>
      </c>
      <c r="D303" s="8">
        <f t="shared" si="90"/>
        <v>1753</v>
      </c>
      <c r="E303" s="4">
        <f t="shared" si="91"/>
        <v>-44</v>
      </c>
      <c r="F303" s="4">
        <f t="shared" si="92"/>
        <v>-32</v>
      </c>
      <c r="G303" s="4">
        <f t="shared" si="93"/>
        <v>243</v>
      </c>
      <c r="H303" s="5">
        <f t="shared" si="94"/>
        <v>2639</v>
      </c>
      <c r="I303" s="5">
        <f t="shared" si="95"/>
        <v>2627</v>
      </c>
      <c r="J303" s="5">
        <f t="shared" si="96"/>
        <v>2352</v>
      </c>
      <c r="K303" s="5">
        <f t="shared" si="103"/>
        <v>3000</v>
      </c>
      <c r="L303" s="5">
        <f t="shared" si="104"/>
        <v>3000</v>
      </c>
      <c r="M303" s="5">
        <f t="shared" si="105"/>
        <v>3000</v>
      </c>
      <c r="N303" s="5">
        <f t="shared" si="100"/>
        <v>-361</v>
      </c>
      <c r="O303" s="5">
        <f t="shared" si="101"/>
        <v>-373</v>
      </c>
      <c r="P303" s="5">
        <f t="shared" si="102"/>
        <v>-648</v>
      </c>
      <c r="Q303" s="4">
        <v>0</v>
      </c>
      <c r="R303" s="4">
        <v>0</v>
      </c>
      <c r="S303" s="4">
        <v>0</v>
      </c>
      <c r="T303" s="6">
        <f t="shared" si="97"/>
        <v>1068</v>
      </c>
      <c r="U303" s="7">
        <f t="shared" si="108"/>
        <v>1719</v>
      </c>
      <c r="V303" s="7">
        <f t="shared" si="109"/>
        <v>1527</v>
      </c>
      <c r="W303" s="7">
        <f t="shared" si="107"/>
        <v>1742</v>
      </c>
      <c r="X303" s="6"/>
      <c r="Y303" s="5"/>
      <c r="Z303" s="5"/>
      <c r="AA303" s="5"/>
      <c r="AB303" s="5"/>
    </row>
    <row r="304" spans="1:28" ht="13.15" customHeight="1">
      <c r="A304" s="12">
        <f t="shared" si="106"/>
        <v>290</v>
      </c>
      <c r="B304" s="11">
        <f t="shared" si="98"/>
        <v>45560</v>
      </c>
      <c r="C304" s="9">
        <f t="shared" si="99"/>
        <v>842</v>
      </c>
      <c r="D304" s="8">
        <f t="shared" si="90"/>
        <v>1755</v>
      </c>
      <c r="E304" s="4">
        <f t="shared" si="91"/>
        <v>-42</v>
      </c>
      <c r="F304" s="4">
        <f t="shared" si="92"/>
        <v>-30</v>
      </c>
      <c r="G304" s="4">
        <f t="shared" si="93"/>
        <v>245</v>
      </c>
      <c r="H304" s="5">
        <f t="shared" si="94"/>
        <v>2639</v>
      </c>
      <c r="I304" s="5">
        <f t="shared" si="95"/>
        <v>2627</v>
      </c>
      <c r="J304" s="5">
        <f t="shared" si="96"/>
        <v>2352</v>
      </c>
      <c r="K304" s="5">
        <f t="shared" si="103"/>
        <v>3000</v>
      </c>
      <c r="L304" s="5">
        <f t="shared" si="104"/>
        <v>3000</v>
      </c>
      <c r="M304" s="5">
        <f t="shared" si="105"/>
        <v>3000</v>
      </c>
      <c r="N304" s="5">
        <f t="shared" si="100"/>
        <v>-361</v>
      </c>
      <c r="O304" s="5">
        <f t="shared" si="101"/>
        <v>-373</v>
      </c>
      <c r="P304" s="5">
        <f t="shared" si="102"/>
        <v>-648</v>
      </c>
      <c r="Q304" s="4">
        <v>0</v>
      </c>
      <c r="R304" s="4">
        <v>0</v>
      </c>
      <c r="S304" s="4">
        <v>0</v>
      </c>
      <c r="T304" s="6">
        <f t="shared" si="97"/>
        <v>1070</v>
      </c>
      <c r="U304" s="7">
        <f t="shared" si="108"/>
        <v>1719</v>
      </c>
      <c r="V304" s="7">
        <f t="shared" si="109"/>
        <v>1527</v>
      </c>
      <c r="W304" s="7">
        <f t="shared" si="107"/>
        <v>1742</v>
      </c>
      <c r="X304" s="6"/>
      <c r="Y304" s="5"/>
      <c r="Z304" s="5"/>
      <c r="AA304" s="5"/>
      <c r="AB304" s="5"/>
    </row>
    <row r="305" spans="1:28" ht="13.15" customHeight="1">
      <c r="A305" s="12">
        <f t="shared" si="106"/>
        <v>291</v>
      </c>
      <c r="B305" s="11">
        <f t="shared" si="98"/>
        <v>45561</v>
      </c>
      <c r="C305" s="9">
        <f t="shared" si="99"/>
        <v>842</v>
      </c>
      <c r="D305" s="8">
        <f t="shared" si="90"/>
        <v>1757</v>
      </c>
      <c r="E305" s="4">
        <f t="shared" si="91"/>
        <v>-40</v>
      </c>
      <c r="F305" s="4">
        <f t="shared" si="92"/>
        <v>-28</v>
      </c>
      <c r="G305" s="4">
        <f t="shared" si="93"/>
        <v>247</v>
      </c>
      <c r="H305" s="5">
        <f t="shared" si="94"/>
        <v>2639</v>
      </c>
      <c r="I305" s="5">
        <f t="shared" si="95"/>
        <v>2627</v>
      </c>
      <c r="J305" s="5">
        <f t="shared" si="96"/>
        <v>2352</v>
      </c>
      <c r="K305" s="5">
        <f t="shared" si="103"/>
        <v>3000</v>
      </c>
      <c r="L305" s="5">
        <f t="shared" si="104"/>
        <v>3000</v>
      </c>
      <c r="M305" s="5">
        <f t="shared" si="105"/>
        <v>3000</v>
      </c>
      <c r="N305" s="5">
        <f t="shared" si="100"/>
        <v>-361</v>
      </c>
      <c r="O305" s="5">
        <f t="shared" si="101"/>
        <v>-373</v>
      </c>
      <c r="P305" s="5">
        <f t="shared" si="102"/>
        <v>-648</v>
      </c>
      <c r="Q305" s="4">
        <v>0</v>
      </c>
      <c r="R305" s="4">
        <v>0</v>
      </c>
      <c r="S305" s="4">
        <v>0</v>
      </c>
      <c r="T305" s="6">
        <f t="shared" si="97"/>
        <v>1072</v>
      </c>
      <c r="U305" s="7">
        <f t="shared" si="108"/>
        <v>1719</v>
      </c>
      <c r="V305" s="7">
        <f t="shared" si="109"/>
        <v>1527</v>
      </c>
      <c r="W305" s="7">
        <f t="shared" si="107"/>
        <v>1742</v>
      </c>
      <c r="X305" s="6"/>
      <c r="Y305" s="5"/>
      <c r="Z305" s="5"/>
      <c r="AA305" s="5"/>
      <c r="AB305" s="5"/>
    </row>
    <row r="306" spans="1:28" ht="13.15" customHeight="1">
      <c r="A306" s="12">
        <f t="shared" si="106"/>
        <v>292</v>
      </c>
      <c r="B306" s="11">
        <f t="shared" si="98"/>
        <v>45562</v>
      </c>
      <c r="C306" s="9">
        <f t="shared" si="99"/>
        <v>842</v>
      </c>
      <c r="D306" s="8">
        <f t="shared" si="90"/>
        <v>1759</v>
      </c>
      <c r="E306" s="4">
        <f t="shared" si="91"/>
        <v>-38</v>
      </c>
      <c r="F306" s="4">
        <f t="shared" si="92"/>
        <v>-26</v>
      </c>
      <c r="G306" s="4">
        <f t="shared" si="93"/>
        <v>249</v>
      </c>
      <c r="H306" s="5">
        <f t="shared" si="94"/>
        <v>2639</v>
      </c>
      <c r="I306" s="5">
        <f t="shared" si="95"/>
        <v>2627</v>
      </c>
      <c r="J306" s="5">
        <f t="shared" si="96"/>
        <v>2352</v>
      </c>
      <c r="K306" s="5">
        <f t="shared" si="103"/>
        <v>3000</v>
      </c>
      <c r="L306" s="5">
        <f t="shared" si="104"/>
        <v>3000</v>
      </c>
      <c r="M306" s="5">
        <f t="shared" si="105"/>
        <v>3000</v>
      </c>
      <c r="N306" s="5">
        <f t="shared" si="100"/>
        <v>-361</v>
      </c>
      <c r="O306" s="5">
        <f t="shared" si="101"/>
        <v>-373</v>
      </c>
      <c r="P306" s="5">
        <f t="shared" si="102"/>
        <v>-648</v>
      </c>
      <c r="Q306" s="4">
        <v>0</v>
      </c>
      <c r="R306" s="4">
        <v>0</v>
      </c>
      <c r="S306" s="4">
        <v>0</v>
      </c>
      <c r="T306" s="6">
        <f t="shared" si="97"/>
        <v>1074</v>
      </c>
      <c r="U306" s="7">
        <f t="shared" si="108"/>
        <v>1719</v>
      </c>
      <c r="V306" s="7">
        <f t="shared" si="109"/>
        <v>1527</v>
      </c>
      <c r="W306" s="7">
        <f t="shared" si="107"/>
        <v>1742</v>
      </c>
      <c r="X306" s="6"/>
      <c r="Y306" s="5"/>
      <c r="Z306" s="5"/>
      <c r="AA306" s="5"/>
      <c r="AB306" s="5"/>
    </row>
    <row r="307" spans="1:28" ht="13.15" customHeight="1">
      <c r="A307" s="12">
        <f t="shared" si="106"/>
        <v>293</v>
      </c>
      <c r="B307" s="11">
        <f t="shared" si="98"/>
        <v>45563</v>
      </c>
      <c r="C307" s="9">
        <f t="shared" si="99"/>
        <v>842</v>
      </c>
      <c r="D307" s="8">
        <f t="shared" si="90"/>
        <v>1761</v>
      </c>
      <c r="E307" s="4">
        <f t="shared" si="91"/>
        <v>-36</v>
      </c>
      <c r="F307" s="4">
        <f t="shared" si="92"/>
        <v>-24</v>
      </c>
      <c r="G307" s="4">
        <f t="shared" si="93"/>
        <v>251</v>
      </c>
      <c r="H307" s="5">
        <f t="shared" si="94"/>
        <v>2639</v>
      </c>
      <c r="I307" s="5">
        <f t="shared" si="95"/>
        <v>2627</v>
      </c>
      <c r="J307" s="5">
        <f t="shared" si="96"/>
        <v>2352</v>
      </c>
      <c r="K307" s="5">
        <f t="shared" si="103"/>
        <v>3000</v>
      </c>
      <c r="L307" s="5">
        <f t="shared" si="104"/>
        <v>3000</v>
      </c>
      <c r="M307" s="5">
        <f t="shared" si="105"/>
        <v>3000</v>
      </c>
      <c r="N307" s="5">
        <f t="shared" si="100"/>
        <v>-361</v>
      </c>
      <c r="O307" s="5">
        <f t="shared" si="101"/>
        <v>-373</v>
      </c>
      <c r="P307" s="5">
        <f t="shared" si="102"/>
        <v>-648</v>
      </c>
      <c r="Q307" s="4">
        <v>0</v>
      </c>
      <c r="R307" s="4">
        <v>0</v>
      </c>
      <c r="S307" s="4">
        <v>0</v>
      </c>
      <c r="T307" s="6">
        <f t="shared" si="97"/>
        <v>1076</v>
      </c>
      <c r="U307" s="7">
        <f t="shared" si="108"/>
        <v>1719</v>
      </c>
      <c r="V307" s="7">
        <f t="shared" si="109"/>
        <v>1527</v>
      </c>
      <c r="W307" s="7">
        <f t="shared" si="107"/>
        <v>1742</v>
      </c>
      <c r="X307" s="6"/>
      <c r="Y307" s="5"/>
      <c r="Z307" s="5"/>
      <c r="AA307" s="5"/>
      <c r="AB307" s="5"/>
    </row>
    <row r="308" spans="1:28" ht="13.15" customHeight="1">
      <c r="A308" s="12">
        <f t="shared" si="106"/>
        <v>294</v>
      </c>
      <c r="B308" s="11">
        <f t="shared" si="98"/>
        <v>45564</v>
      </c>
      <c r="C308" s="9">
        <f t="shared" si="99"/>
        <v>842</v>
      </c>
      <c r="D308" s="8">
        <f t="shared" si="90"/>
        <v>1763</v>
      </c>
      <c r="E308" s="4">
        <f t="shared" si="91"/>
        <v>-34</v>
      </c>
      <c r="F308" s="4">
        <f t="shared" si="92"/>
        <v>-22</v>
      </c>
      <c r="G308" s="4">
        <f t="shared" si="93"/>
        <v>253</v>
      </c>
      <c r="H308" s="5">
        <f t="shared" si="94"/>
        <v>2639</v>
      </c>
      <c r="I308" s="5">
        <f t="shared" si="95"/>
        <v>2627</v>
      </c>
      <c r="J308" s="5">
        <f t="shared" si="96"/>
        <v>2352</v>
      </c>
      <c r="K308" s="5">
        <f t="shared" si="103"/>
        <v>3000</v>
      </c>
      <c r="L308" s="5">
        <f t="shared" si="104"/>
        <v>3000</v>
      </c>
      <c r="M308" s="5">
        <f t="shared" si="105"/>
        <v>3000</v>
      </c>
      <c r="N308" s="5">
        <f t="shared" si="100"/>
        <v>-361</v>
      </c>
      <c r="O308" s="5">
        <f t="shared" si="101"/>
        <v>-373</v>
      </c>
      <c r="P308" s="5">
        <f t="shared" si="102"/>
        <v>-648</v>
      </c>
      <c r="Q308" s="4">
        <v>0</v>
      </c>
      <c r="R308" s="4">
        <v>0</v>
      </c>
      <c r="S308" s="4">
        <v>0</v>
      </c>
      <c r="T308" s="6">
        <f t="shared" si="97"/>
        <v>1078</v>
      </c>
      <c r="U308" s="7">
        <f t="shared" si="108"/>
        <v>1719</v>
      </c>
      <c r="V308" s="7">
        <f t="shared" si="109"/>
        <v>1527</v>
      </c>
      <c r="W308" s="7">
        <f t="shared" si="107"/>
        <v>1742</v>
      </c>
      <c r="X308" s="6"/>
      <c r="Y308" s="5"/>
      <c r="Z308" s="5"/>
      <c r="AA308" s="5"/>
      <c r="AB308" s="5"/>
    </row>
    <row r="309" spans="1:28" ht="13.15" customHeight="1">
      <c r="A309" s="12">
        <f t="shared" si="106"/>
        <v>295</v>
      </c>
      <c r="B309" s="11">
        <f t="shared" si="98"/>
        <v>45565</v>
      </c>
      <c r="C309" s="9">
        <f t="shared" si="99"/>
        <v>842</v>
      </c>
      <c r="D309" s="8">
        <f t="shared" si="90"/>
        <v>1765</v>
      </c>
      <c r="E309" s="4">
        <f t="shared" si="91"/>
        <v>-32</v>
      </c>
      <c r="F309" s="4">
        <f t="shared" si="92"/>
        <v>-20</v>
      </c>
      <c r="G309" s="4">
        <f t="shared" si="93"/>
        <v>255</v>
      </c>
      <c r="H309" s="5">
        <f t="shared" si="94"/>
        <v>2639</v>
      </c>
      <c r="I309" s="5">
        <f t="shared" si="95"/>
        <v>2627</v>
      </c>
      <c r="J309" s="5">
        <f t="shared" si="96"/>
        <v>2352</v>
      </c>
      <c r="K309" s="5">
        <f t="shared" si="103"/>
        <v>3000</v>
      </c>
      <c r="L309" s="5">
        <f t="shared" si="104"/>
        <v>3000</v>
      </c>
      <c r="M309" s="5">
        <f t="shared" si="105"/>
        <v>3000</v>
      </c>
      <c r="N309" s="5">
        <f t="shared" si="100"/>
        <v>-361</v>
      </c>
      <c r="O309" s="5">
        <f t="shared" si="101"/>
        <v>-373</v>
      </c>
      <c r="P309" s="5">
        <f t="shared" si="102"/>
        <v>-648</v>
      </c>
      <c r="Q309" s="4">
        <v>0</v>
      </c>
      <c r="R309" s="4">
        <v>0</v>
      </c>
      <c r="S309" s="4">
        <v>0</v>
      </c>
      <c r="T309" s="6">
        <f t="shared" si="97"/>
        <v>1080</v>
      </c>
      <c r="U309" s="7">
        <f t="shared" si="108"/>
        <v>1719</v>
      </c>
      <c r="V309" s="7">
        <f t="shared" si="109"/>
        <v>1527</v>
      </c>
      <c r="W309" s="7">
        <f t="shared" si="107"/>
        <v>1742</v>
      </c>
      <c r="X309" s="6"/>
      <c r="Y309" s="5"/>
      <c r="Z309" s="5"/>
      <c r="AA309" s="5"/>
      <c r="AB309" s="5"/>
    </row>
    <row r="310" spans="1:28" ht="13.15" customHeight="1">
      <c r="A310" s="12">
        <f t="shared" si="106"/>
        <v>296</v>
      </c>
      <c r="B310" s="11">
        <f t="shared" si="98"/>
        <v>45566</v>
      </c>
      <c r="C310" s="9">
        <f t="shared" si="99"/>
        <v>842</v>
      </c>
      <c r="D310" s="8">
        <f t="shared" si="90"/>
        <v>1767</v>
      </c>
      <c r="E310" s="4">
        <f t="shared" si="91"/>
        <v>-30</v>
      </c>
      <c r="F310" s="4">
        <f t="shared" si="92"/>
        <v>-18</v>
      </c>
      <c r="G310" s="4">
        <f t="shared" si="93"/>
        <v>257</v>
      </c>
      <c r="H310" s="5">
        <f t="shared" si="94"/>
        <v>2639</v>
      </c>
      <c r="I310" s="5">
        <f t="shared" si="95"/>
        <v>2627</v>
      </c>
      <c r="J310" s="5">
        <f t="shared" si="96"/>
        <v>2352</v>
      </c>
      <c r="K310" s="5">
        <f t="shared" si="103"/>
        <v>3000</v>
      </c>
      <c r="L310" s="5">
        <f t="shared" si="104"/>
        <v>3000</v>
      </c>
      <c r="M310" s="5">
        <f t="shared" si="105"/>
        <v>3000</v>
      </c>
      <c r="N310" s="5">
        <f t="shared" si="100"/>
        <v>-361</v>
      </c>
      <c r="O310" s="5">
        <f t="shared" si="101"/>
        <v>-373</v>
      </c>
      <c r="P310" s="5">
        <f t="shared" si="102"/>
        <v>-648</v>
      </c>
      <c r="Q310" s="4">
        <v>0</v>
      </c>
      <c r="R310" s="4">
        <v>0</v>
      </c>
      <c r="S310" s="4">
        <v>0</v>
      </c>
      <c r="T310" s="6">
        <f t="shared" si="97"/>
        <v>1082</v>
      </c>
      <c r="U310" s="7">
        <f t="shared" si="108"/>
        <v>1719</v>
      </c>
      <c r="V310" s="7">
        <f t="shared" si="109"/>
        <v>1527</v>
      </c>
      <c r="W310" s="7">
        <f t="shared" si="107"/>
        <v>1742</v>
      </c>
      <c r="X310" s="6"/>
      <c r="Y310" s="5"/>
      <c r="Z310" s="5"/>
      <c r="AA310" s="5"/>
      <c r="AB310" s="5"/>
    </row>
    <row r="311" spans="1:28" ht="13.15" customHeight="1">
      <c r="A311" s="12">
        <f t="shared" si="106"/>
        <v>297</v>
      </c>
      <c r="B311" s="11">
        <f t="shared" si="98"/>
        <v>45567</v>
      </c>
      <c r="C311" s="9">
        <f t="shared" si="99"/>
        <v>842</v>
      </c>
      <c r="D311" s="8">
        <f t="shared" si="90"/>
        <v>1769</v>
      </c>
      <c r="E311" s="4">
        <f t="shared" si="91"/>
        <v>-28</v>
      </c>
      <c r="F311" s="4">
        <f t="shared" si="92"/>
        <v>-16</v>
      </c>
      <c r="G311" s="4">
        <f t="shared" si="93"/>
        <v>259</v>
      </c>
      <c r="H311" s="5">
        <f t="shared" si="94"/>
        <v>2639</v>
      </c>
      <c r="I311" s="5">
        <f t="shared" si="95"/>
        <v>2627</v>
      </c>
      <c r="J311" s="5">
        <f t="shared" si="96"/>
        <v>2352</v>
      </c>
      <c r="K311" s="5">
        <f t="shared" si="103"/>
        <v>3000</v>
      </c>
      <c r="L311" s="5">
        <f t="shared" si="104"/>
        <v>3000</v>
      </c>
      <c r="M311" s="5">
        <f t="shared" si="105"/>
        <v>3000</v>
      </c>
      <c r="N311" s="5">
        <f t="shared" si="100"/>
        <v>-361</v>
      </c>
      <c r="O311" s="5">
        <f t="shared" si="101"/>
        <v>-373</v>
      </c>
      <c r="P311" s="5">
        <f t="shared" si="102"/>
        <v>-648</v>
      </c>
      <c r="Q311" s="4">
        <v>0</v>
      </c>
      <c r="R311" s="4">
        <v>0</v>
      </c>
      <c r="S311" s="4">
        <v>0</v>
      </c>
      <c r="T311" s="6">
        <f t="shared" si="97"/>
        <v>1084</v>
      </c>
      <c r="U311" s="7">
        <f t="shared" si="108"/>
        <v>1719</v>
      </c>
      <c r="V311" s="7">
        <f t="shared" si="109"/>
        <v>1527</v>
      </c>
      <c r="W311" s="7">
        <f t="shared" si="107"/>
        <v>1742</v>
      </c>
      <c r="X311" s="6"/>
      <c r="Y311" s="5"/>
      <c r="Z311" s="5"/>
      <c r="AA311" s="5"/>
      <c r="AB311" s="5"/>
    </row>
    <row r="312" spans="1:28" ht="13.15" customHeight="1">
      <c r="A312" s="12">
        <f t="shared" si="106"/>
        <v>298</v>
      </c>
      <c r="B312" s="11">
        <f t="shared" si="98"/>
        <v>45568</v>
      </c>
      <c r="C312" s="9">
        <f t="shared" si="99"/>
        <v>842</v>
      </c>
      <c r="D312" s="8">
        <f t="shared" si="90"/>
        <v>1771</v>
      </c>
      <c r="E312" s="4">
        <f t="shared" si="91"/>
        <v>-26</v>
      </c>
      <c r="F312" s="4">
        <f t="shared" si="92"/>
        <v>-14</v>
      </c>
      <c r="G312" s="4">
        <f t="shared" si="93"/>
        <v>261</v>
      </c>
      <c r="H312" s="5">
        <f t="shared" si="94"/>
        <v>2639</v>
      </c>
      <c r="I312" s="5">
        <f t="shared" si="95"/>
        <v>2627</v>
      </c>
      <c r="J312" s="5">
        <f t="shared" si="96"/>
        <v>2352</v>
      </c>
      <c r="K312" s="5">
        <f t="shared" si="103"/>
        <v>3000</v>
      </c>
      <c r="L312" s="5">
        <f t="shared" si="104"/>
        <v>3000</v>
      </c>
      <c r="M312" s="5">
        <f t="shared" si="105"/>
        <v>3000</v>
      </c>
      <c r="N312" s="5">
        <f t="shared" si="100"/>
        <v>-361</v>
      </c>
      <c r="O312" s="5">
        <f t="shared" si="101"/>
        <v>-373</v>
      </c>
      <c r="P312" s="5">
        <f t="shared" si="102"/>
        <v>-648</v>
      </c>
      <c r="Q312" s="4">
        <v>0</v>
      </c>
      <c r="R312" s="4">
        <v>0</v>
      </c>
      <c r="S312" s="4">
        <v>0</v>
      </c>
      <c r="T312" s="6">
        <f t="shared" si="97"/>
        <v>1086</v>
      </c>
      <c r="U312" s="7">
        <f t="shared" si="108"/>
        <v>1719</v>
      </c>
      <c r="V312" s="7">
        <f t="shared" si="109"/>
        <v>1527</v>
      </c>
      <c r="W312" s="7">
        <f t="shared" si="107"/>
        <v>1742</v>
      </c>
      <c r="X312" s="6"/>
      <c r="Y312" s="5"/>
      <c r="Z312" s="5"/>
      <c r="AA312" s="5"/>
      <c r="AB312" s="5"/>
    </row>
    <row r="313" spans="1:28" ht="13.15" customHeight="1">
      <c r="A313" s="12">
        <f t="shared" si="106"/>
        <v>299</v>
      </c>
      <c r="B313" s="11">
        <f t="shared" si="98"/>
        <v>45569</v>
      </c>
      <c r="C313" s="9">
        <f t="shared" si="99"/>
        <v>842</v>
      </c>
      <c r="D313" s="8">
        <f t="shared" si="90"/>
        <v>1773</v>
      </c>
      <c r="E313" s="4">
        <f t="shared" si="91"/>
        <v>-24</v>
      </c>
      <c r="F313" s="4">
        <f t="shared" si="92"/>
        <v>-12</v>
      </c>
      <c r="G313" s="4">
        <f t="shared" si="93"/>
        <v>263</v>
      </c>
      <c r="H313" s="5">
        <f t="shared" si="94"/>
        <v>2639</v>
      </c>
      <c r="I313" s="5">
        <f t="shared" si="95"/>
        <v>2627</v>
      </c>
      <c r="J313" s="5">
        <f t="shared" si="96"/>
        <v>2352</v>
      </c>
      <c r="K313" s="5">
        <f t="shared" si="103"/>
        <v>3000</v>
      </c>
      <c r="L313" s="5">
        <f t="shared" si="104"/>
        <v>3000</v>
      </c>
      <c r="M313" s="5">
        <f t="shared" si="105"/>
        <v>3000</v>
      </c>
      <c r="N313" s="5">
        <f t="shared" si="100"/>
        <v>-361</v>
      </c>
      <c r="O313" s="5">
        <f t="shared" si="101"/>
        <v>-373</v>
      </c>
      <c r="P313" s="5">
        <f t="shared" si="102"/>
        <v>-648</v>
      </c>
      <c r="Q313" s="4">
        <v>0</v>
      </c>
      <c r="R313" s="4">
        <v>0</v>
      </c>
      <c r="S313" s="4">
        <v>0</v>
      </c>
      <c r="T313" s="6">
        <f t="shared" si="97"/>
        <v>1088</v>
      </c>
      <c r="U313" s="7">
        <f t="shared" si="108"/>
        <v>1719</v>
      </c>
      <c r="V313" s="7">
        <f t="shared" si="109"/>
        <v>1527</v>
      </c>
      <c r="W313" s="7">
        <f t="shared" si="107"/>
        <v>1742</v>
      </c>
      <c r="X313" s="6"/>
      <c r="Y313" s="5"/>
      <c r="Z313" s="5"/>
      <c r="AA313" s="5"/>
      <c r="AB313" s="5"/>
    </row>
    <row r="314" spans="1:28" ht="13.15" customHeight="1">
      <c r="A314" s="12">
        <f t="shared" si="106"/>
        <v>300</v>
      </c>
      <c r="B314" s="11">
        <f t="shared" si="98"/>
        <v>45570</v>
      </c>
      <c r="C314" s="9">
        <f t="shared" si="99"/>
        <v>842</v>
      </c>
      <c r="D314" s="8">
        <f t="shared" si="90"/>
        <v>1775</v>
      </c>
      <c r="E314" s="4">
        <f t="shared" si="91"/>
        <v>-22</v>
      </c>
      <c r="F314" s="4">
        <f t="shared" si="92"/>
        <v>-10</v>
      </c>
      <c r="G314" s="4">
        <f t="shared" si="93"/>
        <v>265</v>
      </c>
      <c r="H314" s="5">
        <f t="shared" si="94"/>
        <v>2639</v>
      </c>
      <c r="I314" s="5">
        <f t="shared" si="95"/>
        <v>2627</v>
      </c>
      <c r="J314" s="5">
        <f t="shared" si="96"/>
        <v>2352</v>
      </c>
      <c r="K314" s="5">
        <f t="shared" si="103"/>
        <v>3000</v>
      </c>
      <c r="L314" s="5">
        <f t="shared" si="104"/>
        <v>3000</v>
      </c>
      <c r="M314" s="5">
        <f t="shared" si="105"/>
        <v>3000</v>
      </c>
      <c r="N314" s="5">
        <f t="shared" si="100"/>
        <v>-361</v>
      </c>
      <c r="O314" s="5">
        <f t="shared" si="101"/>
        <v>-373</v>
      </c>
      <c r="P314" s="5">
        <f t="shared" si="102"/>
        <v>-648</v>
      </c>
      <c r="Q314" s="4">
        <v>0</v>
      </c>
      <c r="R314" s="4">
        <v>0</v>
      </c>
      <c r="S314" s="4">
        <v>0</v>
      </c>
      <c r="T314" s="6">
        <f t="shared" si="97"/>
        <v>1090</v>
      </c>
      <c r="U314" s="7">
        <f t="shared" si="108"/>
        <v>1719</v>
      </c>
      <c r="V314" s="7">
        <f t="shared" si="109"/>
        <v>1527</v>
      </c>
      <c r="W314" s="7">
        <f t="shared" si="107"/>
        <v>1742</v>
      </c>
      <c r="X314" s="6"/>
      <c r="Y314" s="5"/>
      <c r="Z314" s="5"/>
      <c r="AA314" s="5"/>
      <c r="AB314" s="5"/>
    </row>
    <row r="315" spans="1:28" ht="13.15" customHeight="1">
      <c r="A315" s="12">
        <f t="shared" si="106"/>
        <v>301</v>
      </c>
      <c r="B315" s="11">
        <f t="shared" si="98"/>
        <v>45571</v>
      </c>
      <c r="C315" s="9">
        <f t="shared" si="99"/>
        <v>842</v>
      </c>
      <c r="D315" s="8">
        <f t="shared" si="90"/>
        <v>1777</v>
      </c>
      <c r="E315" s="4">
        <f t="shared" si="91"/>
        <v>-20</v>
      </c>
      <c r="F315" s="4">
        <f t="shared" si="92"/>
        <v>-8</v>
      </c>
      <c r="G315" s="4">
        <f t="shared" si="93"/>
        <v>267</v>
      </c>
      <c r="H315" s="5">
        <f t="shared" si="94"/>
        <v>2639</v>
      </c>
      <c r="I315" s="5">
        <f t="shared" si="95"/>
        <v>2627</v>
      </c>
      <c r="J315" s="5">
        <f t="shared" si="96"/>
        <v>2352</v>
      </c>
      <c r="K315" s="5">
        <f t="shared" si="103"/>
        <v>3000</v>
      </c>
      <c r="L315" s="5">
        <f t="shared" si="104"/>
        <v>3000</v>
      </c>
      <c r="M315" s="5">
        <f t="shared" si="105"/>
        <v>3000</v>
      </c>
      <c r="N315" s="5">
        <f t="shared" si="100"/>
        <v>-361</v>
      </c>
      <c r="O315" s="5">
        <f t="shared" si="101"/>
        <v>-373</v>
      </c>
      <c r="P315" s="5">
        <f t="shared" si="102"/>
        <v>-648</v>
      </c>
      <c r="Q315" s="4">
        <v>0</v>
      </c>
      <c r="R315" s="4">
        <v>0</v>
      </c>
      <c r="S315" s="4">
        <v>0</v>
      </c>
      <c r="T315" s="6">
        <f t="shared" si="97"/>
        <v>1092</v>
      </c>
      <c r="U315" s="7">
        <f t="shared" si="108"/>
        <v>1719</v>
      </c>
      <c r="V315" s="7">
        <f t="shared" si="109"/>
        <v>1527</v>
      </c>
      <c r="W315" s="7">
        <f t="shared" si="107"/>
        <v>1742</v>
      </c>
      <c r="X315" s="6"/>
      <c r="Y315" s="5"/>
      <c r="Z315" s="5"/>
      <c r="AA315" s="5"/>
      <c r="AB315" s="5"/>
    </row>
    <row r="316" spans="1:28" ht="13.15" customHeight="1">
      <c r="A316" s="12">
        <f t="shared" si="106"/>
        <v>302</v>
      </c>
      <c r="B316" s="11">
        <f t="shared" si="98"/>
        <v>45572</v>
      </c>
      <c r="C316" s="9">
        <f t="shared" si="99"/>
        <v>842</v>
      </c>
      <c r="D316" s="8">
        <f t="shared" si="90"/>
        <v>1779</v>
      </c>
      <c r="E316" s="4">
        <f t="shared" si="91"/>
        <v>-18</v>
      </c>
      <c r="F316" s="4">
        <f t="shared" si="92"/>
        <v>-6</v>
      </c>
      <c r="G316" s="4">
        <f t="shared" si="93"/>
        <v>269</v>
      </c>
      <c r="H316" s="5">
        <f t="shared" si="94"/>
        <v>2639</v>
      </c>
      <c r="I316" s="5">
        <f t="shared" si="95"/>
        <v>2627</v>
      </c>
      <c r="J316" s="5">
        <f t="shared" si="96"/>
        <v>2352</v>
      </c>
      <c r="K316" s="5">
        <f t="shared" si="103"/>
        <v>3000</v>
      </c>
      <c r="L316" s="5">
        <f t="shared" si="104"/>
        <v>3000</v>
      </c>
      <c r="M316" s="5">
        <f t="shared" si="105"/>
        <v>3000</v>
      </c>
      <c r="N316" s="5">
        <f t="shared" si="100"/>
        <v>-361</v>
      </c>
      <c r="O316" s="5">
        <f t="shared" si="101"/>
        <v>-373</v>
      </c>
      <c r="P316" s="5">
        <f t="shared" si="102"/>
        <v>-648</v>
      </c>
      <c r="Q316" s="4">
        <v>0</v>
      </c>
      <c r="R316" s="4">
        <v>0</v>
      </c>
      <c r="S316" s="4">
        <v>0</v>
      </c>
      <c r="T316" s="6">
        <f t="shared" si="97"/>
        <v>1094</v>
      </c>
      <c r="U316" s="7">
        <f t="shared" si="108"/>
        <v>1719</v>
      </c>
      <c r="V316" s="7">
        <f t="shared" si="109"/>
        <v>1527</v>
      </c>
      <c r="W316" s="7">
        <f t="shared" si="107"/>
        <v>1742</v>
      </c>
      <c r="X316" s="6"/>
      <c r="Y316" s="5"/>
      <c r="Z316" s="5"/>
      <c r="AA316" s="5"/>
      <c r="AB316" s="5"/>
    </row>
    <row r="317" spans="1:28" ht="13.15" customHeight="1">
      <c r="A317" s="12">
        <f t="shared" si="106"/>
        <v>303</v>
      </c>
      <c r="B317" s="11">
        <f t="shared" si="98"/>
        <v>45573</v>
      </c>
      <c r="C317" s="9">
        <f t="shared" si="99"/>
        <v>842</v>
      </c>
      <c r="D317" s="8">
        <f t="shared" si="90"/>
        <v>1781</v>
      </c>
      <c r="E317" s="4">
        <f t="shared" si="91"/>
        <v>-16</v>
      </c>
      <c r="F317" s="4">
        <f t="shared" si="92"/>
        <v>-4</v>
      </c>
      <c r="G317" s="4">
        <f t="shared" si="93"/>
        <v>271</v>
      </c>
      <c r="H317" s="5">
        <f t="shared" si="94"/>
        <v>2639</v>
      </c>
      <c r="I317" s="5">
        <f t="shared" si="95"/>
        <v>2627</v>
      </c>
      <c r="J317" s="5">
        <f t="shared" si="96"/>
        <v>2352</v>
      </c>
      <c r="K317" s="5">
        <f t="shared" si="103"/>
        <v>3000</v>
      </c>
      <c r="L317" s="5">
        <f t="shared" si="104"/>
        <v>3000</v>
      </c>
      <c r="M317" s="5">
        <f t="shared" si="105"/>
        <v>3000</v>
      </c>
      <c r="N317" s="5">
        <f t="shared" si="100"/>
        <v>-361</v>
      </c>
      <c r="O317" s="5">
        <f t="shared" si="101"/>
        <v>-373</v>
      </c>
      <c r="P317" s="5">
        <f t="shared" si="102"/>
        <v>-648</v>
      </c>
      <c r="Q317" s="4">
        <v>0</v>
      </c>
      <c r="R317" s="4">
        <v>0</v>
      </c>
      <c r="S317" s="4">
        <v>0</v>
      </c>
      <c r="T317" s="6">
        <f t="shared" si="97"/>
        <v>1096</v>
      </c>
      <c r="U317" s="7">
        <f t="shared" si="108"/>
        <v>1719</v>
      </c>
      <c r="V317" s="7">
        <f t="shared" si="109"/>
        <v>1527</v>
      </c>
      <c r="W317" s="7">
        <f t="shared" si="107"/>
        <v>1742</v>
      </c>
      <c r="X317" s="6"/>
      <c r="Y317" s="5"/>
      <c r="Z317" s="5"/>
      <c r="AA317" s="5"/>
      <c r="AB317" s="5"/>
    </row>
    <row r="318" spans="1:28" ht="13.15" customHeight="1">
      <c r="A318" s="12">
        <f t="shared" si="106"/>
        <v>304</v>
      </c>
      <c r="B318" s="11">
        <f t="shared" si="98"/>
        <v>45574</v>
      </c>
      <c r="C318" s="9">
        <f t="shared" si="99"/>
        <v>842</v>
      </c>
      <c r="D318" s="8">
        <f t="shared" si="90"/>
        <v>1783</v>
      </c>
      <c r="E318" s="4">
        <f t="shared" si="91"/>
        <v>-14</v>
      </c>
      <c r="F318" s="4">
        <f t="shared" si="92"/>
        <v>-2</v>
      </c>
      <c r="G318" s="4">
        <f t="shared" si="93"/>
        <v>273</v>
      </c>
      <c r="H318" s="5">
        <f t="shared" si="94"/>
        <v>2639</v>
      </c>
      <c r="I318" s="5">
        <f t="shared" si="95"/>
        <v>2627</v>
      </c>
      <c r="J318" s="5">
        <f t="shared" si="96"/>
        <v>2352</v>
      </c>
      <c r="K318" s="5">
        <f t="shared" si="103"/>
        <v>3000</v>
      </c>
      <c r="L318" s="5">
        <f t="shared" si="104"/>
        <v>3000</v>
      </c>
      <c r="M318" s="5">
        <f t="shared" si="105"/>
        <v>3000</v>
      </c>
      <c r="N318" s="5">
        <f t="shared" si="100"/>
        <v>-361</v>
      </c>
      <c r="O318" s="5">
        <f t="shared" si="101"/>
        <v>-373</v>
      </c>
      <c r="P318" s="5">
        <f t="shared" si="102"/>
        <v>-648</v>
      </c>
      <c r="Q318" s="4">
        <v>0</v>
      </c>
      <c r="R318" s="4">
        <v>0</v>
      </c>
      <c r="S318" s="4">
        <v>0</v>
      </c>
      <c r="T318" s="6">
        <f t="shared" si="97"/>
        <v>1098</v>
      </c>
      <c r="U318" s="7">
        <f t="shared" si="108"/>
        <v>1719</v>
      </c>
      <c r="V318" s="7">
        <f t="shared" si="109"/>
        <v>1527</v>
      </c>
      <c r="W318" s="7">
        <f t="shared" si="107"/>
        <v>1742</v>
      </c>
      <c r="X318" s="6"/>
      <c r="Y318" s="5"/>
      <c r="Z318" s="5"/>
      <c r="AA318" s="5"/>
      <c r="AB318" s="5"/>
    </row>
    <row r="319" spans="1:28" ht="13.15" customHeight="1">
      <c r="A319" s="12">
        <f t="shared" si="106"/>
        <v>305</v>
      </c>
      <c r="B319" s="11">
        <f t="shared" si="98"/>
        <v>45575</v>
      </c>
      <c r="C319" s="9">
        <f t="shared" si="99"/>
        <v>842</v>
      </c>
      <c r="D319" s="8">
        <f t="shared" ref="D319:D382" si="110">D318+2</f>
        <v>1785</v>
      </c>
      <c r="E319" s="4">
        <f t="shared" si="91"/>
        <v>-12</v>
      </c>
      <c r="F319" s="4">
        <f t="shared" si="92"/>
        <v>0</v>
      </c>
      <c r="G319" s="4">
        <f t="shared" si="93"/>
        <v>275</v>
      </c>
      <c r="H319" s="5">
        <f t="shared" si="94"/>
        <v>2639</v>
      </c>
      <c r="I319" s="5">
        <f t="shared" si="95"/>
        <v>2627</v>
      </c>
      <c r="J319" s="5">
        <f t="shared" si="96"/>
        <v>2352</v>
      </c>
      <c r="K319" s="5">
        <f t="shared" si="103"/>
        <v>3000</v>
      </c>
      <c r="L319" s="5">
        <f t="shared" si="104"/>
        <v>3000</v>
      </c>
      <c r="M319" s="5">
        <f t="shared" si="105"/>
        <v>3000</v>
      </c>
      <c r="N319" s="5">
        <f t="shared" si="100"/>
        <v>-361</v>
      </c>
      <c r="O319" s="5">
        <f t="shared" si="101"/>
        <v>-373</v>
      </c>
      <c r="P319" s="5">
        <f t="shared" si="102"/>
        <v>-648</v>
      </c>
      <c r="Q319" s="4">
        <v>0</v>
      </c>
      <c r="R319" s="4">
        <v>0</v>
      </c>
      <c r="S319" s="4">
        <v>0</v>
      </c>
      <c r="T319" s="6">
        <f t="shared" si="97"/>
        <v>1100</v>
      </c>
      <c r="U319" s="7">
        <f t="shared" si="108"/>
        <v>1719</v>
      </c>
      <c r="V319" s="7">
        <f t="shared" si="109"/>
        <v>1527</v>
      </c>
      <c r="W319" s="7">
        <f t="shared" si="107"/>
        <v>1742</v>
      </c>
      <c r="X319" s="6"/>
      <c r="Y319" s="5"/>
      <c r="Z319" s="5"/>
      <c r="AA319" s="5"/>
      <c r="AB319" s="5"/>
    </row>
    <row r="320" spans="1:28" ht="13.15" customHeight="1">
      <c r="A320" s="12">
        <f t="shared" si="106"/>
        <v>306</v>
      </c>
      <c r="B320" s="11">
        <f t="shared" si="98"/>
        <v>45576</v>
      </c>
      <c r="C320" s="9">
        <f t="shared" si="99"/>
        <v>842</v>
      </c>
      <c r="D320" s="8">
        <f t="shared" si="110"/>
        <v>1787</v>
      </c>
      <c r="E320" s="4">
        <f t="shared" si="91"/>
        <v>-10</v>
      </c>
      <c r="F320" s="4">
        <f t="shared" si="92"/>
        <v>2</v>
      </c>
      <c r="G320" s="4">
        <f t="shared" si="93"/>
        <v>277</v>
      </c>
      <c r="H320" s="5">
        <f t="shared" si="94"/>
        <v>2639</v>
      </c>
      <c r="I320" s="5">
        <f t="shared" si="95"/>
        <v>2627</v>
      </c>
      <c r="J320" s="5">
        <f t="shared" si="96"/>
        <v>2352</v>
      </c>
      <c r="K320" s="5">
        <f t="shared" si="103"/>
        <v>3000</v>
      </c>
      <c r="L320" s="5">
        <f t="shared" si="104"/>
        <v>3000</v>
      </c>
      <c r="M320" s="5">
        <f t="shared" si="105"/>
        <v>3000</v>
      </c>
      <c r="N320" s="5">
        <f t="shared" si="100"/>
        <v>-361</v>
      </c>
      <c r="O320" s="5">
        <f t="shared" si="101"/>
        <v>-373</v>
      </c>
      <c r="P320" s="5">
        <f t="shared" si="102"/>
        <v>-648</v>
      </c>
      <c r="Q320" s="4">
        <v>0</v>
      </c>
      <c r="R320" s="4">
        <v>0</v>
      </c>
      <c r="S320" s="4">
        <v>0</v>
      </c>
      <c r="T320" s="6">
        <f t="shared" si="97"/>
        <v>1102</v>
      </c>
      <c r="U320" s="7">
        <f t="shared" si="108"/>
        <v>1719</v>
      </c>
      <c r="V320" s="7">
        <f t="shared" si="109"/>
        <v>1527</v>
      </c>
      <c r="W320" s="7">
        <f t="shared" si="107"/>
        <v>1742</v>
      </c>
      <c r="X320" s="6"/>
      <c r="Y320" s="5"/>
      <c r="Z320" s="5"/>
      <c r="AA320" s="5"/>
      <c r="AB320" s="5"/>
    </row>
    <row r="321" spans="1:28" ht="13.15" customHeight="1">
      <c r="A321" s="12">
        <f t="shared" si="106"/>
        <v>307</v>
      </c>
      <c r="B321" s="11">
        <f t="shared" si="98"/>
        <v>45577</v>
      </c>
      <c r="C321" s="9">
        <f t="shared" si="99"/>
        <v>842</v>
      </c>
      <c r="D321" s="8">
        <f t="shared" si="110"/>
        <v>1789</v>
      </c>
      <c r="E321" s="4">
        <f t="shared" si="91"/>
        <v>-8</v>
      </c>
      <c r="F321" s="4">
        <f t="shared" si="92"/>
        <v>4</v>
      </c>
      <c r="G321" s="4">
        <f t="shared" si="93"/>
        <v>279</v>
      </c>
      <c r="H321" s="5">
        <f t="shared" si="94"/>
        <v>2639</v>
      </c>
      <c r="I321" s="5">
        <f t="shared" si="95"/>
        <v>2627</v>
      </c>
      <c r="J321" s="5">
        <f t="shared" si="96"/>
        <v>2352</v>
      </c>
      <c r="K321" s="5">
        <f t="shared" si="103"/>
        <v>3000</v>
      </c>
      <c r="L321" s="5">
        <f t="shared" si="104"/>
        <v>3000</v>
      </c>
      <c r="M321" s="5">
        <f t="shared" si="105"/>
        <v>3000</v>
      </c>
      <c r="N321" s="5">
        <f t="shared" si="100"/>
        <v>-361</v>
      </c>
      <c r="O321" s="5">
        <f t="shared" si="101"/>
        <v>-373</v>
      </c>
      <c r="P321" s="5">
        <f t="shared" si="102"/>
        <v>-648</v>
      </c>
      <c r="Q321" s="4">
        <v>0</v>
      </c>
      <c r="R321" s="4">
        <v>0</v>
      </c>
      <c r="S321" s="4">
        <v>0</v>
      </c>
      <c r="T321" s="6">
        <f t="shared" si="97"/>
        <v>1104</v>
      </c>
      <c r="U321" s="7">
        <f t="shared" si="108"/>
        <v>1719</v>
      </c>
      <c r="V321" s="7">
        <f t="shared" si="109"/>
        <v>1527</v>
      </c>
      <c r="W321" s="7">
        <f t="shared" si="107"/>
        <v>1742</v>
      </c>
      <c r="X321" s="6"/>
      <c r="Y321" s="5"/>
      <c r="Z321" s="5"/>
      <c r="AA321" s="5"/>
      <c r="AB321" s="5"/>
    </row>
    <row r="322" spans="1:28" ht="13.15" customHeight="1">
      <c r="A322" s="12">
        <f t="shared" si="106"/>
        <v>308</v>
      </c>
      <c r="B322" s="11">
        <f t="shared" si="98"/>
        <v>45578</v>
      </c>
      <c r="C322" s="9">
        <f t="shared" si="99"/>
        <v>842</v>
      </c>
      <c r="D322" s="8">
        <f t="shared" si="110"/>
        <v>1791</v>
      </c>
      <c r="E322" s="4">
        <f t="shared" si="91"/>
        <v>-6</v>
      </c>
      <c r="F322" s="4">
        <f t="shared" si="92"/>
        <v>6</v>
      </c>
      <c r="G322" s="4">
        <f t="shared" si="93"/>
        <v>281</v>
      </c>
      <c r="H322" s="5">
        <f t="shared" si="94"/>
        <v>2639</v>
      </c>
      <c r="I322" s="5">
        <f t="shared" si="95"/>
        <v>2627</v>
      </c>
      <c r="J322" s="5">
        <f t="shared" si="96"/>
        <v>2352</v>
      </c>
      <c r="K322" s="5">
        <f t="shared" si="103"/>
        <v>3000</v>
      </c>
      <c r="L322" s="5">
        <f t="shared" si="104"/>
        <v>3000</v>
      </c>
      <c r="M322" s="5">
        <f t="shared" si="105"/>
        <v>3000</v>
      </c>
      <c r="N322" s="5">
        <f t="shared" si="100"/>
        <v>-361</v>
      </c>
      <c r="O322" s="5">
        <f t="shared" si="101"/>
        <v>-373</v>
      </c>
      <c r="P322" s="5">
        <f t="shared" si="102"/>
        <v>-648</v>
      </c>
      <c r="Q322" s="4">
        <v>0</v>
      </c>
      <c r="R322" s="4">
        <v>0</v>
      </c>
      <c r="S322" s="4">
        <v>0</v>
      </c>
      <c r="T322" s="6">
        <f t="shared" si="97"/>
        <v>1106</v>
      </c>
      <c r="U322" s="7">
        <f t="shared" si="108"/>
        <v>1719</v>
      </c>
      <c r="V322" s="7">
        <f t="shared" si="109"/>
        <v>1527</v>
      </c>
      <c r="W322" s="7">
        <f t="shared" si="107"/>
        <v>1742</v>
      </c>
      <c r="X322" s="6"/>
      <c r="Y322" s="5"/>
      <c r="Z322" s="5"/>
      <c r="AA322" s="5"/>
      <c r="AB322" s="5"/>
    </row>
    <row r="323" spans="1:28" ht="13.15" customHeight="1">
      <c r="A323" s="12">
        <f t="shared" si="106"/>
        <v>309</v>
      </c>
      <c r="B323" s="11">
        <f t="shared" si="98"/>
        <v>45579</v>
      </c>
      <c r="C323" s="9">
        <f t="shared" si="99"/>
        <v>842</v>
      </c>
      <c r="D323" s="8">
        <f t="shared" si="110"/>
        <v>1793</v>
      </c>
      <c r="E323" s="4">
        <f t="shared" si="91"/>
        <v>-4</v>
      </c>
      <c r="F323" s="4">
        <f t="shared" si="92"/>
        <v>8</v>
      </c>
      <c r="G323" s="4">
        <f t="shared" si="93"/>
        <v>283</v>
      </c>
      <c r="H323" s="5">
        <f t="shared" si="94"/>
        <v>2639</v>
      </c>
      <c r="I323" s="5">
        <f t="shared" si="95"/>
        <v>2627</v>
      </c>
      <c r="J323" s="5">
        <f t="shared" si="96"/>
        <v>2352</v>
      </c>
      <c r="K323" s="5">
        <f t="shared" si="103"/>
        <v>3000</v>
      </c>
      <c r="L323" s="5">
        <f t="shared" si="104"/>
        <v>3000</v>
      </c>
      <c r="M323" s="5">
        <f t="shared" si="105"/>
        <v>3000</v>
      </c>
      <c r="N323" s="5">
        <f t="shared" si="100"/>
        <v>-361</v>
      </c>
      <c r="O323" s="5">
        <f t="shared" si="101"/>
        <v>-373</v>
      </c>
      <c r="P323" s="5">
        <f t="shared" si="102"/>
        <v>-648</v>
      </c>
      <c r="Q323" s="4">
        <v>0</v>
      </c>
      <c r="R323" s="4">
        <v>0</v>
      </c>
      <c r="S323" s="4">
        <v>0</v>
      </c>
      <c r="T323" s="6">
        <f t="shared" si="97"/>
        <v>1108</v>
      </c>
      <c r="U323" s="7">
        <f t="shared" si="108"/>
        <v>1719</v>
      </c>
      <c r="V323" s="7">
        <f t="shared" si="109"/>
        <v>1527</v>
      </c>
      <c r="W323" s="7">
        <f t="shared" si="107"/>
        <v>1742</v>
      </c>
      <c r="X323" s="6"/>
      <c r="Y323" s="5"/>
      <c r="Z323" s="5"/>
      <c r="AA323" s="5"/>
      <c r="AB323" s="5"/>
    </row>
    <row r="324" spans="1:28" ht="13.15" customHeight="1">
      <c r="A324" s="12">
        <f t="shared" si="106"/>
        <v>310</v>
      </c>
      <c r="B324" s="11">
        <f t="shared" si="98"/>
        <v>45580</v>
      </c>
      <c r="C324" s="9">
        <f t="shared" si="99"/>
        <v>842</v>
      </c>
      <c r="D324" s="8">
        <f t="shared" si="110"/>
        <v>1795</v>
      </c>
      <c r="E324" s="4">
        <f t="shared" si="91"/>
        <v>-2</v>
      </c>
      <c r="F324" s="4">
        <f t="shared" si="92"/>
        <v>10</v>
      </c>
      <c r="G324" s="4">
        <f t="shared" si="93"/>
        <v>285</v>
      </c>
      <c r="H324" s="5">
        <f t="shared" si="94"/>
        <v>2639</v>
      </c>
      <c r="I324" s="5">
        <f t="shared" si="95"/>
        <v>2627</v>
      </c>
      <c r="J324" s="5">
        <f t="shared" si="96"/>
        <v>2352</v>
      </c>
      <c r="K324" s="5">
        <f t="shared" si="103"/>
        <v>3000</v>
      </c>
      <c r="L324" s="5">
        <f t="shared" si="104"/>
        <v>3000</v>
      </c>
      <c r="M324" s="5">
        <f t="shared" si="105"/>
        <v>3000</v>
      </c>
      <c r="N324" s="5">
        <f t="shared" si="100"/>
        <v>-361</v>
      </c>
      <c r="O324" s="5">
        <f t="shared" si="101"/>
        <v>-373</v>
      </c>
      <c r="P324" s="5">
        <f t="shared" si="102"/>
        <v>-648</v>
      </c>
      <c r="Q324" s="4">
        <v>0</v>
      </c>
      <c r="R324" s="4">
        <v>0</v>
      </c>
      <c r="S324" s="4">
        <v>0</v>
      </c>
      <c r="T324" s="6">
        <f t="shared" si="97"/>
        <v>1110</v>
      </c>
      <c r="U324" s="7">
        <f t="shared" si="108"/>
        <v>1719</v>
      </c>
      <c r="V324" s="7">
        <f t="shared" si="109"/>
        <v>1527</v>
      </c>
      <c r="W324" s="7">
        <f t="shared" si="107"/>
        <v>1742</v>
      </c>
      <c r="X324" s="6"/>
      <c r="Y324" s="5"/>
      <c r="Z324" s="5"/>
      <c r="AA324" s="5"/>
      <c r="AB324" s="5"/>
    </row>
    <row r="325" spans="1:28" ht="13.15" customHeight="1">
      <c r="A325" s="12">
        <f t="shared" si="106"/>
        <v>311</v>
      </c>
      <c r="B325" s="11">
        <f t="shared" si="98"/>
        <v>45581</v>
      </c>
      <c r="C325" s="9">
        <f t="shared" si="99"/>
        <v>842</v>
      </c>
      <c r="D325" s="8">
        <f t="shared" si="110"/>
        <v>1797</v>
      </c>
      <c r="E325" s="4">
        <f t="shared" si="91"/>
        <v>0</v>
      </c>
      <c r="F325" s="4">
        <f t="shared" si="92"/>
        <v>12</v>
      </c>
      <c r="G325" s="4">
        <f t="shared" si="93"/>
        <v>287</v>
      </c>
      <c r="H325" s="5">
        <f t="shared" si="94"/>
        <v>2639</v>
      </c>
      <c r="I325" s="5">
        <f t="shared" si="95"/>
        <v>2627</v>
      </c>
      <c r="J325" s="5">
        <f t="shared" si="96"/>
        <v>2352</v>
      </c>
      <c r="K325" s="5">
        <f t="shared" si="103"/>
        <v>3000</v>
      </c>
      <c r="L325" s="5">
        <f t="shared" si="104"/>
        <v>3000</v>
      </c>
      <c r="M325" s="5">
        <f t="shared" si="105"/>
        <v>3000</v>
      </c>
      <c r="N325" s="5">
        <f t="shared" si="100"/>
        <v>-361</v>
      </c>
      <c r="O325" s="5">
        <f t="shared" si="101"/>
        <v>-373</v>
      </c>
      <c r="P325" s="5">
        <f t="shared" si="102"/>
        <v>-648</v>
      </c>
      <c r="Q325" s="4">
        <v>0</v>
      </c>
      <c r="R325" s="4">
        <v>0</v>
      </c>
      <c r="S325" s="4">
        <v>0</v>
      </c>
      <c r="T325" s="6">
        <f t="shared" si="97"/>
        <v>1112</v>
      </c>
      <c r="U325" s="7">
        <f t="shared" si="108"/>
        <v>1719</v>
      </c>
      <c r="V325" s="7">
        <f t="shared" si="109"/>
        <v>1527</v>
      </c>
      <c r="W325" s="7">
        <f t="shared" si="107"/>
        <v>1742</v>
      </c>
      <c r="X325" s="6"/>
      <c r="Y325" s="5"/>
      <c r="Z325" s="5"/>
      <c r="AA325" s="5"/>
      <c r="AB325" s="5"/>
    </row>
    <row r="326" spans="1:28" ht="13.15" customHeight="1">
      <c r="A326" s="12">
        <f t="shared" si="106"/>
        <v>312</v>
      </c>
      <c r="B326" s="11">
        <f t="shared" si="98"/>
        <v>45582</v>
      </c>
      <c r="C326" s="9">
        <f t="shared" si="99"/>
        <v>842</v>
      </c>
      <c r="D326" s="8">
        <f t="shared" si="110"/>
        <v>1799</v>
      </c>
      <c r="E326" s="4">
        <f t="shared" si="91"/>
        <v>2</v>
      </c>
      <c r="F326" s="4">
        <f t="shared" si="92"/>
        <v>14</v>
      </c>
      <c r="G326" s="4">
        <f t="shared" si="93"/>
        <v>289</v>
      </c>
      <c r="H326" s="5">
        <f t="shared" si="94"/>
        <v>2639</v>
      </c>
      <c r="I326" s="5">
        <f t="shared" si="95"/>
        <v>2627</v>
      </c>
      <c r="J326" s="5">
        <f t="shared" si="96"/>
        <v>2352</v>
      </c>
      <c r="K326" s="5">
        <f t="shared" si="103"/>
        <v>3000</v>
      </c>
      <c r="L326" s="5">
        <f t="shared" si="104"/>
        <v>3000</v>
      </c>
      <c r="M326" s="5">
        <f t="shared" si="105"/>
        <v>3000</v>
      </c>
      <c r="N326" s="5">
        <f t="shared" si="100"/>
        <v>-361</v>
      </c>
      <c r="O326" s="5">
        <f t="shared" si="101"/>
        <v>-373</v>
      </c>
      <c r="P326" s="5">
        <f t="shared" si="102"/>
        <v>-648</v>
      </c>
      <c r="Q326" s="4">
        <v>0</v>
      </c>
      <c r="R326" s="4">
        <v>0</v>
      </c>
      <c r="S326" s="4">
        <v>0</v>
      </c>
      <c r="T326" s="6">
        <f t="shared" si="97"/>
        <v>1114</v>
      </c>
      <c r="U326" s="7">
        <f t="shared" si="108"/>
        <v>1719</v>
      </c>
      <c r="V326" s="7">
        <f t="shared" si="109"/>
        <v>1527</v>
      </c>
      <c r="W326" s="7">
        <f t="shared" si="107"/>
        <v>1742</v>
      </c>
      <c r="X326" s="6"/>
      <c r="Y326" s="5"/>
      <c r="Z326" s="5"/>
      <c r="AA326" s="5"/>
      <c r="AB326" s="5"/>
    </row>
    <row r="327" spans="1:28" ht="13.15" customHeight="1">
      <c r="A327" s="12">
        <f t="shared" si="106"/>
        <v>313</v>
      </c>
      <c r="B327" s="11">
        <f t="shared" si="98"/>
        <v>45583</v>
      </c>
      <c r="C327" s="9">
        <f t="shared" si="99"/>
        <v>842</v>
      </c>
      <c r="D327" s="8">
        <f t="shared" si="110"/>
        <v>1801</v>
      </c>
      <c r="E327" s="4">
        <f t="shared" si="91"/>
        <v>4</v>
      </c>
      <c r="F327" s="4">
        <f t="shared" si="92"/>
        <v>16</v>
      </c>
      <c r="G327" s="4">
        <f t="shared" si="93"/>
        <v>291</v>
      </c>
      <c r="H327" s="5">
        <f t="shared" si="94"/>
        <v>2639</v>
      </c>
      <c r="I327" s="5">
        <f t="shared" si="95"/>
        <v>2627</v>
      </c>
      <c r="J327" s="5">
        <f t="shared" si="96"/>
        <v>2352</v>
      </c>
      <c r="K327" s="5">
        <f t="shared" si="103"/>
        <v>3000</v>
      </c>
      <c r="L327" s="5">
        <f t="shared" si="104"/>
        <v>3000</v>
      </c>
      <c r="M327" s="5">
        <f t="shared" si="105"/>
        <v>3000</v>
      </c>
      <c r="N327" s="5">
        <f t="shared" si="100"/>
        <v>-361</v>
      </c>
      <c r="O327" s="5">
        <f t="shared" si="101"/>
        <v>-373</v>
      </c>
      <c r="P327" s="5">
        <f t="shared" si="102"/>
        <v>-648</v>
      </c>
      <c r="Q327" s="4">
        <v>0</v>
      </c>
      <c r="R327" s="4">
        <v>0</v>
      </c>
      <c r="S327" s="4">
        <v>0</v>
      </c>
      <c r="T327" s="6">
        <f t="shared" si="97"/>
        <v>1116</v>
      </c>
      <c r="U327" s="7">
        <f t="shared" si="108"/>
        <v>1719</v>
      </c>
      <c r="V327" s="7">
        <f t="shared" si="109"/>
        <v>1527</v>
      </c>
      <c r="W327" s="7">
        <f t="shared" si="107"/>
        <v>1742</v>
      </c>
      <c r="X327" s="6"/>
      <c r="Y327" s="5"/>
      <c r="Z327" s="5"/>
      <c r="AA327" s="5"/>
      <c r="AB327" s="5"/>
    </row>
    <row r="328" spans="1:28" ht="13.15" customHeight="1">
      <c r="A328" s="12">
        <f t="shared" si="106"/>
        <v>314</v>
      </c>
      <c r="B328" s="11">
        <f t="shared" si="98"/>
        <v>45584</v>
      </c>
      <c r="C328" s="9">
        <f t="shared" si="99"/>
        <v>842</v>
      </c>
      <c r="D328" s="8">
        <f t="shared" si="110"/>
        <v>1803</v>
      </c>
      <c r="E328" s="4">
        <f t="shared" si="91"/>
        <v>6</v>
      </c>
      <c r="F328" s="4">
        <f t="shared" si="92"/>
        <v>18</v>
      </c>
      <c r="G328" s="4">
        <f t="shared" si="93"/>
        <v>293</v>
      </c>
      <c r="H328" s="5">
        <f t="shared" si="94"/>
        <v>2639</v>
      </c>
      <c r="I328" s="5">
        <f t="shared" si="95"/>
        <v>2627</v>
      </c>
      <c r="J328" s="5">
        <f t="shared" si="96"/>
        <v>2352</v>
      </c>
      <c r="K328" s="5">
        <f t="shared" si="103"/>
        <v>3000</v>
      </c>
      <c r="L328" s="5">
        <f t="shared" si="104"/>
        <v>3000</v>
      </c>
      <c r="M328" s="5">
        <f t="shared" si="105"/>
        <v>3000</v>
      </c>
      <c r="N328" s="5">
        <f t="shared" si="100"/>
        <v>-361</v>
      </c>
      <c r="O328" s="5">
        <f t="shared" si="101"/>
        <v>-373</v>
      </c>
      <c r="P328" s="5">
        <f t="shared" si="102"/>
        <v>-648</v>
      </c>
      <c r="Q328" s="4">
        <v>0</v>
      </c>
      <c r="R328" s="4">
        <v>0</v>
      </c>
      <c r="S328" s="4">
        <v>0</v>
      </c>
      <c r="T328" s="6">
        <f t="shared" si="97"/>
        <v>1118</v>
      </c>
      <c r="U328" s="7">
        <f t="shared" si="108"/>
        <v>1719</v>
      </c>
      <c r="V328" s="7">
        <f t="shared" si="109"/>
        <v>1527</v>
      </c>
      <c r="W328" s="7">
        <f t="shared" si="107"/>
        <v>1742</v>
      </c>
      <c r="X328" s="6"/>
      <c r="Y328" s="5"/>
      <c r="Z328" s="5"/>
      <c r="AA328" s="5"/>
      <c r="AB328" s="5"/>
    </row>
    <row r="329" spans="1:28" ht="13.15" customHeight="1">
      <c r="A329" s="12">
        <f t="shared" si="106"/>
        <v>315</v>
      </c>
      <c r="B329" s="11">
        <f t="shared" si="98"/>
        <v>45585</v>
      </c>
      <c r="C329" s="9">
        <f t="shared" si="99"/>
        <v>842</v>
      </c>
      <c r="D329" s="8">
        <f t="shared" si="110"/>
        <v>1805</v>
      </c>
      <c r="E329" s="4">
        <f t="shared" si="91"/>
        <v>8</v>
      </c>
      <c r="F329" s="4">
        <f t="shared" si="92"/>
        <v>20</v>
      </c>
      <c r="G329" s="4">
        <f t="shared" si="93"/>
        <v>295</v>
      </c>
      <c r="H329" s="5">
        <f t="shared" si="94"/>
        <v>2639</v>
      </c>
      <c r="I329" s="5">
        <f t="shared" si="95"/>
        <v>2627</v>
      </c>
      <c r="J329" s="5">
        <f t="shared" si="96"/>
        <v>2352</v>
      </c>
      <c r="K329" s="5">
        <f t="shared" si="103"/>
        <v>3000</v>
      </c>
      <c r="L329" s="5">
        <f t="shared" si="104"/>
        <v>3000</v>
      </c>
      <c r="M329" s="5">
        <f t="shared" si="105"/>
        <v>3000</v>
      </c>
      <c r="N329" s="5">
        <f t="shared" si="100"/>
        <v>-361</v>
      </c>
      <c r="O329" s="5">
        <f t="shared" si="101"/>
        <v>-373</v>
      </c>
      <c r="P329" s="5">
        <f t="shared" si="102"/>
        <v>-648</v>
      </c>
      <c r="Q329" s="4">
        <v>0</v>
      </c>
      <c r="R329" s="4">
        <v>0</v>
      </c>
      <c r="S329" s="4">
        <v>0</v>
      </c>
      <c r="T329" s="6">
        <f t="shared" si="97"/>
        <v>1120</v>
      </c>
      <c r="U329" s="7">
        <f t="shared" si="108"/>
        <v>1719</v>
      </c>
      <c r="V329" s="7">
        <f t="shared" si="109"/>
        <v>1527</v>
      </c>
      <c r="W329" s="7">
        <f t="shared" si="107"/>
        <v>1742</v>
      </c>
      <c r="X329" s="6"/>
      <c r="Y329" s="5"/>
      <c r="Z329" s="5"/>
      <c r="AA329" s="5"/>
      <c r="AB329" s="5"/>
    </row>
    <row r="330" spans="1:28" ht="13.15" customHeight="1">
      <c r="A330" s="12">
        <f t="shared" si="106"/>
        <v>316</v>
      </c>
      <c r="B330" s="11">
        <f t="shared" si="98"/>
        <v>45586</v>
      </c>
      <c r="C330" s="9">
        <f t="shared" si="99"/>
        <v>842</v>
      </c>
      <c r="D330" s="8">
        <f t="shared" si="110"/>
        <v>1807</v>
      </c>
      <c r="E330" s="4">
        <f t="shared" si="91"/>
        <v>10</v>
      </c>
      <c r="F330" s="4">
        <f t="shared" si="92"/>
        <v>22</v>
      </c>
      <c r="G330" s="4">
        <f t="shared" si="93"/>
        <v>297</v>
      </c>
      <c r="H330" s="5">
        <f t="shared" si="94"/>
        <v>2639</v>
      </c>
      <c r="I330" s="5">
        <f t="shared" si="95"/>
        <v>2627</v>
      </c>
      <c r="J330" s="5">
        <f t="shared" si="96"/>
        <v>2352</v>
      </c>
      <c r="K330" s="5">
        <f t="shared" si="103"/>
        <v>3000</v>
      </c>
      <c r="L330" s="5">
        <f t="shared" si="104"/>
        <v>3000</v>
      </c>
      <c r="M330" s="5">
        <f t="shared" si="105"/>
        <v>3000</v>
      </c>
      <c r="N330" s="5">
        <f t="shared" si="100"/>
        <v>-361</v>
      </c>
      <c r="O330" s="5">
        <f t="shared" si="101"/>
        <v>-373</v>
      </c>
      <c r="P330" s="5">
        <f t="shared" si="102"/>
        <v>-648</v>
      </c>
      <c r="Q330" s="4">
        <v>0</v>
      </c>
      <c r="R330" s="4">
        <v>0</v>
      </c>
      <c r="S330" s="4">
        <v>0</v>
      </c>
      <c r="T330" s="6">
        <f t="shared" si="97"/>
        <v>1122</v>
      </c>
      <c r="U330" s="7">
        <f t="shared" si="108"/>
        <v>1719</v>
      </c>
      <c r="V330" s="7">
        <f t="shared" si="109"/>
        <v>1527</v>
      </c>
      <c r="W330" s="7">
        <f t="shared" si="107"/>
        <v>1742</v>
      </c>
      <c r="X330" s="6"/>
      <c r="Y330" s="5"/>
      <c r="Z330" s="5"/>
      <c r="AA330" s="5"/>
      <c r="AB330" s="5"/>
    </row>
    <row r="331" spans="1:28" ht="13.15" customHeight="1">
      <c r="A331" s="12">
        <f t="shared" si="106"/>
        <v>317</v>
      </c>
      <c r="B331" s="11">
        <f t="shared" si="98"/>
        <v>45587</v>
      </c>
      <c r="C331" s="9">
        <f t="shared" si="99"/>
        <v>842</v>
      </c>
      <c r="D331" s="8">
        <f t="shared" si="110"/>
        <v>1809</v>
      </c>
      <c r="E331" s="4">
        <f t="shared" si="91"/>
        <v>12</v>
      </c>
      <c r="F331" s="4">
        <f t="shared" si="92"/>
        <v>24</v>
      </c>
      <c r="G331" s="4">
        <f t="shared" si="93"/>
        <v>299</v>
      </c>
      <c r="H331" s="5">
        <f t="shared" si="94"/>
        <v>2639</v>
      </c>
      <c r="I331" s="5">
        <f t="shared" si="95"/>
        <v>2627</v>
      </c>
      <c r="J331" s="5">
        <f t="shared" si="96"/>
        <v>2352</v>
      </c>
      <c r="K331" s="5">
        <f t="shared" si="103"/>
        <v>3000</v>
      </c>
      <c r="L331" s="5">
        <f t="shared" si="104"/>
        <v>3000</v>
      </c>
      <c r="M331" s="5">
        <f t="shared" si="105"/>
        <v>3000</v>
      </c>
      <c r="N331" s="5">
        <f t="shared" si="100"/>
        <v>-361</v>
      </c>
      <c r="O331" s="5">
        <f t="shared" si="101"/>
        <v>-373</v>
      </c>
      <c r="P331" s="5">
        <f t="shared" si="102"/>
        <v>-648</v>
      </c>
      <c r="Q331" s="4">
        <v>0</v>
      </c>
      <c r="R331" s="4">
        <v>0</v>
      </c>
      <c r="S331" s="4">
        <v>0</v>
      </c>
      <c r="T331" s="6">
        <f t="shared" si="97"/>
        <v>1124</v>
      </c>
      <c r="U331" s="7">
        <f t="shared" si="108"/>
        <v>1719</v>
      </c>
      <c r="V331" s="7">
        <f t="shared" si="109"/>
        <v>1527</v>
      </c>
      <c r="W331" s="7">
        <f t="shared" si="107"/>
        <v>1742</v>
      </c>
      <c r="X331" s="6"/>
      <c r="Y331" s="5"/>
      <c r="Z331" s="5"/>
      <c r="AA331" s="5"/>
      <c r="AB331" s="5"/>
    </row>
    <row r="332" spans="1:28" ht="13.15" customHeight="1">
      <c r="A332" s="12">
        <f t="shared" si="106"/>
        <v>318</v>
      </c>
      <c r="B332" s="11">
        <f t="shared" si="98"/>
        <v>45588</v>
      </c>
      <c r="C332" s="9">
        <f t="shared" si="99"/>
        <v>842</v>
      </c>
      <c r="D332" s="8">
        <f t="shared" si="110"/>
        <v>1811</v>
      </c>
      <c r="E332" s="4">
        <f t="shared" si="91"/>
        <v>14</v>
      </c>
      <c r="F332" s="4">
        <f t="shared" si="92"/>
        <v>26</v>
      </c>
      <c r="G332" s="4">
        <f t="shared" si="93"/>
        <v>301</v>
      </c>
      <c r="H332" s="5">
        <f t="shared" si="94"/>
        <v>2639</v>
      </c>
      <c r="I332" s="5">
        <f t="shared" si="95"/>
        <v>2627</v>
      </c>
      <c r="J332" s="5">
        <f t="shared" si="96"/>
        <v>2352</v>
      </c>
      <c r="K332" s="5">
        <f t="shared" si="103"/>
        <v>3000</v>
      </c>
      <c r="L332" s="5">
        <f t="shared" si="104"/>
        <v>3000</v>
      </c>
      <c r="M332" s="5">
        <f t="shared" si="105"/>
        <v>3000</v>
      </c>
      <c r="N332" s="5">
        <f t="shared" si="100"/>
        <v>-361</v>
      </c>
      <c r="O332" s="5">
        <f t="shared" si="101"/>
        <v>-373</v>
      </c>
      <c r="P332" s="5">
        <f t="shared" si="102"/>
        <v>-648</v>
      </c>
      <c r="Q332" s="4">
        <v>0</v>
      </c>
      <c r="R332" s="4">
        <v>0</v>
      </c>
      <c r="S332" s="4">
        <v>0</v>
      </c>
      <c r="T332" s="6">
        <f t="shared" si="97"/>
        <v>1126</v>
      </c>
      <c r="U332" s="7">
        <f t="shared" si="108"/>
        <v>1719</v>
      </c>
      <c r="V332" s="7">
        <f t="shared" si="109"/>
        <v>1527</v>
      </c>
      <c r="W332" s="7">
        <f t="shared" si="107"/>
        <v>1742</v>
      </c>
      <c r="X332" s="6"/>
      <c r="Y332" s="5"/>
      <c r="Z332" s="5"/>
      <c r="AA332" s="5"/>
      <c r="AB332" s="5"/>
    </row>
    <row r="333" spans="1:28" ht="13.15" customHeight="1">
      <c r="A333" s="12">
        <f t="shared" si="106"/>
        <v>319</v>
      </c>
      <c r="B333" s="11">
        <f t="shared" si="98"/>
        <v>45589</v>
      </c>
      <c r="C333" s="9">
        <f t="shared" si="99"/>
        <v>842</v>
      </c>
      <c r="D333" s="8">
        <f t="shared" si="110"/>
        <v>1813</v>
      </c>
      <c r="E333" s="4">
        <f t="shared" si="91"/>
        <v>16</v>
      </c>
      <c r="F333" s="4">
        <f t="shared" si="92"/>
        <v>28</v>
      </c>
      <c r="G333" s="4">
        <f t="shared" si="93"/>
        <v>303</v>
      </c>
      <c r="H333" s="5">
        <f t="shared" si="94"/>
        <v>2639</v>
      </c>
      <c r="I333" s="5">
        <f t="shared" si="95"/>
        <v>2627</v>
      </c>
      <c r="J333" s="5">
        <f t="shared" si="96"/>
        <v>2352</v>
      </c>
      <c r="K333" s="5">
        <f t="shared" si="103"/>
        <v>3000</v>
      </c>
      <c r="L333" s="5">
        <f t="shared" si="104"/>
        <v>3000</v>
      </c>
      <c r="M333" s="5">
        <f t="shared" si="105"/>
        <v>3000</v>
      </c>
      <c r="N333" s="5">
        <f t="shared" si="100"/>
        <v>-361</v>
      </c>
      <c r="O333" s="5">
        <f t="shared" si="101"/>
        <v>-373</v>
      </c>
      <c r="P333" s="5">
        <f t="shared" si="102"/>
        <v>-648</v>
      </c>
      <c r="Q333" s="4">
        <v>0</v>
      </c>
      <c r="R333" s="4">
        <v>0</v>
      </c>
      <c r="S333" s="4">
        <v>0</v>
      </c>
      <c r="T333" s="6">
        <f t="shared" si="97"/>
        <v>1128</v>
      </c>
      <c r="U333" s="7">
        <f t="shared" si="108"/>
        <v>1719</v>
      </c>
      <c r="V333" s="7">
        <f t="shared" si="109"/>
        <v>1527</v>
      </c>
      <c r="W333" s="7">
        <f t="shared" si="107"/>
        <v>1742</v>
      </c>
      <c r="X333" s="6"/>
      <c r="Y333" s="5"/>
      <c r="Z333" s="5"/>
      <c r="AA333" s="5"/>
      <c r="AB333" s="5"/>
    </row>
    <row r="334" spans="1:28" ht="13.15" customHeight="1">
      <c r="A334" s="12">
        <f t="shared" si="106"/>
        <v>320</v>
      </c>
      <c r="B334" s="11">
        <f t="shared" si="98"/>
        <v>45590</v>
      </c>
      <c r="C334" s="9">
        <f t="shared" si="99"/>
        <v>842</v>
      </c>
      <c r="D334" s="8">
        <f t="shared" si="110"/>
        <v>1815</v>
      </c>
      <c r="E334" s="4">
        <f t="shared" ref="E334:E397" si="111">C334+D334-H334</f>
        <v>18</v>
      </c>
      <c r="F334" s="4">
        <f t="shared" ref="F334:F397" si="112">C334+D334-I334</f>
        <v>30</v>
      </c>
      <c r="G334" s="4">
        <f t="shared" ref="G334:G397" si="113">D334+C334-J334</f>
        <v>305</v>
      </c>
      <c r="H334" s="5">
        <f t="shared" ref="H334:H397" si="114">K334+N334</f>
        <v>2639</v>
      </c>
      <c r="I334" s="5">
        <f t="shared" ref="I334:I397" si="115">L334+O334</f>
        <v>2627</v>
      </c>
      <c r="J334" s="5">
        <f t="shared" ref="J334:J397" si="116">M334+P334</f>
        <v>2352</v>
      </c>
      <c r="K334" s="5">
        <f t="shared" si="103"/>
        <v>3000</v>
      </c>
      <c r="L334" s="5">
        <f t="shared" si="104"/>
        <v>3000</v>
      </c>
      <c r="M334" s="5">
        <f t="shared" si="105"/>
        <v>3000</v>
      </c>
      <c r="N334" s="5">
        <f t="shared" si="100"/>
        <v>-361</v>
      </c>
      <c r="O334" s="5">
        <f t="shared" si="101"/>
        <v>-373</v>
      </c>
      <c r="P334" s="5">
        <f t="shared" si="102"/>
        <v>-648</v>
      </c>
      <c r="Q334" s="4">
        <v>0</v>
      </c>
      <c r="R334" s="4">
        <v>0</v>
      </c>
      <c r="S334" s="4">
        <v>0</v>
      </c>
      <c r="T334" s="6">
        <f t="shared" ref="T334:T397" si="117">D334+C334-V334</f>
        <v>1130</v>
      </c>
      <c r="U334" s="7">
        <f t="shared" si="108"/>
        <v>1719</v>
      </c>
      <c r="V334" s="7">
        <f t="shared" si="109"/>
        <v>1527</v>
      </c>
      <c r="W334" s="7">
        <f t="shared" si="107"/>
        <v>1742</v>
      </c>
      <c r="X334" s="6"/>
      <c r="Y334" s="5"/>
      <c r="Z334" s="5"/>
      <c r="AA334" s="5"/>
      <c r="AB334" s="5"/>
    </row>
    <row r="335" spans="1:28" ht="13.15" customHeight="1">
      <c r="A335" s="12">
        <f t="shared" si="106"/>
        <v>321</v>
      </c>
      <c r="B335" s="11">
        <f t="shared" ref="B335:B398" si="118">B334+1</f>
        <v>45591</v>
      </c>
      <c r="C335" s="9">
        <f t="shared" ref="C335:C398" si="119">C334</f>
        <v>842</v>
      </c>
      <c r="D335" s="8">
        <f t="shared" si="110"/>
        <v>1817</v>
      </c>
      <c r="E335" s="4">
        <f t="shared" si="111"/>
        <v>20</v>
      </c>
      <c r="F335" s="4">
        <f t="shared" si="112"/>
        <v>32</v>
      </c>
      <c r="G335" s="4">
        <f t="shared" si="113"/>
        <v>307</v>
      </c>
      <c r="H335" s="5">
        <f t="shared" si="114"/>
        <v>2639</v>
      </c>
      <c r="I335" s="5">
        <f t="shared" si="115"/>
        <v>2627</v>
      </c>
      <c r="J335" s="5">
        <f t="shared" si="116"/>
        <v>2352</v>
      </c>
      <c r="K335" s="5">
        <f t="shared" si="103"/>
        <v>3000</v>
      </c>
      <c r="L335" s="5">
        <f t="shared" si="104"/>
        <v>3000</v>
      </c>
      <c r="M335" s="5">
        <f t="shared" si="105"/>
        <v>3000</v>
      </c>
      <c r="N335" s="5">
        <f t="shared" ref="N335:N398" si="120">N334-Q335</f>
        <v>-361</v>
      </c>
      <c r="O335" s="5">
        <f t="shared" ref="O335:O398" si="121">O334-R335</f>
        <v>-373</v>
      </c>
      <c r="P335" s="5">
        <f t="shared" ref="P335:P398" si="122">P334-S335</f>
        <v>-648</v>
      </c>
      <c r="Q335" s="4">
        <v>0</v>
      </c>
      <c r="R335" s="4">
        <v>0</v>
      </c>
      <c r="S335" s="4">
        <v>0</v>
      </c>
      <c r="T335" s="6">
        <f t="shared" si="117"/>
        <v>1132</v>
      </c>
      <c r="U335" s="7">
        <f t="shared" si="108"/>
        <v>1719</v>
      </c>
      <c r="V335" s="7">
        <f t="shared" si="109"/>
        <v>1527</v>
      </c>
      <c r="W335" s="7">
        <f t="shared" si="107"/>
        <v>1742</v>
      </c>
      <c r="X335" s="6"/>
      <c r="Y335" s="5"/>
      <c r="Z335" s="5"/>
      <c r="AA335" s="5"/>
      <c r="AB335" s="5"/>
    </row>
    <row r="336" spans="1:28" ht="13.15" customHeight="1">
      <c r="A336" s="12">
        <f t="shared" si="106"/>
        <v>322</v>
      </c>
      <c r="B336" s="11">
        <f t="shared" si="118"/>
        <v>45592</v>
      </c>
      <c r="C336" s="9">
        <f t="shared" si="119"/>
        <v>842</v>
      </c>
      <c r="D336" s="8">
        <f t="shared" si="110"/>
        <v>1819</v>
      </c>
      <c r="E336" s="4">
        <f t="shared" si="111"/>
        <v>22</v>
      </c>
      <c r="F336" s="4">
        <f t="shared" si="112"/>
        <v>34</v>
      </c>
      <c r="G336" s="4">
        <f t="shared" si="113"/>
        <v>309</v>
      </c>
      <c r="H336" s="5">
        <f t="shared" si="114"/>
        <v>2639</v>
      </c>
      <c r="I336" s="5">
        <f t="shared" si="115"/>
        <v>2627</v>
      </c>
      <c r="J336" s="5">
        <f t="shared" si="116"/>
        <v>2352</v>
      </c>
      <c r="K336" s="5">
        <f t="shared" si="103"/>
        <v>3000</v>
      </c>
      <c r="L336" s="5">
        <f t="shared" si="104"/>
        <v>3000</v>
      </c>
      <c r="M336" s="5">
        <f t="shared" si="105"/>
        <v>3000</v>
      </c>
      <c r="N336" s="5">
        <f t="shared" si="120"/>
        <v>-361</v>
      </c>
      <c r="O336" s="5">
        <f t="shared" si="121"/>
        <v>-373</v>
      </c>
      <c r="P336" s="5">
        <f t="shared" si="122"/>
        <v>-648</v>
      </c>
      <c r="Q336" s="4">
        <v>0</v>
      </c>
      <c r="R336" s="4">
        <v>0</v>
      </c>
      <c r="S336" s="4">
        <v>0</v>
      </c>
      <c r="T336" s="6">
        <f t="shared" si="117"/>
        <v>1134</v>
      </c>
      <c r="U336" s="7">
        <f t="shared" si="108"/>
        <v>1719</v>
      </c>
      <c r="V336" s="7">
        <f t="shared" si="109"/>
        <v>1527</v>
      </c>
      <c r="W336" s="7">
        <f t="shared" si="107"/>
        <v>1742</v>
      </c>
      <c r="X336" s="6"/>
      <c r="Y336" s="5"/>
      <c r="Z336" s="5"/>
      <c r="AA336" s="5"/>
      <c r="AB336" s="5"/>
    </row>
    <row r="337" spans="1:28" ht="13.15" customHeight="1">
      <c r="A337" s="12">
        <f t="shared" si="106"/>
        <v>323</v>
      </c>
      <c r="B337" s="11">
        <f t="shared" si="118"/>
        <v>45593</v>
      </c>
      <c r="C337" s="9">
        <f t="shared" si="119"/>
        <v>842</v>
      </c>
      <c r="D337" s="8">
        <f t="shared" si="110"/>
        <v>1821</v>
      </c>
      <c r="E337" s="4">
        <f t="shared" si="111"/>
        <v>24</v>
      </c>
      <c r="F337" s="4">
        <f t="shared" si="112"/>
        <v>36</v>
      </c>
      <c r="G337" s="4">
        <f t="shared" si="113"/>
        <v>311</v>
      </c>
      <c r="H337" s="5">
        <f t="shared" si="114"/>
        <v>2639</v>
      </c>
      <c r="I337" s="5">
        <f t="shared" si="115"/>
        <v>2627</v>
      </c>
      <c r="J337" s="5">
        <f t="shared" si="116"/>
        <v>2352</v>
      </c>
      <c r="K337" s="5">
        <f t="shared" si="103"/>
        <v>3000</v>
      </c>
      <c r="L337" s="5">
        <f t="shared" si="104"/>
        <v>3000</v>
      </c>
      <c r="M337" s="5">
        <f t="shared" si="105"/>
        <v>3000</v>
      </c>
      <c r="N337" s="5">
        <f t="shared" si="120"/>
        <v>-361</v>
      </c>
      <c r="O337" s="5">
        <f t="shared" si="121"/>
        <v>-373</v>
      </c>
      <c r="P337" s="5">
        <f t="shared" si="122"/>
        <v>-648</v>
      </c>
      <c r="Q337" s="4">
        <v>0</v>
      </c>
      <c r="R337" s="4">
        <v>0</v>
      </c>
      <c r="S337" s="4">
        <v>0</v>
      </c>
      <c r="T337" s="6">
        <f t="shared" si="117"/>
        <v>1136</v>
      </c>
      <c r="U337" s="7">
        <f t="shared" si="108"/>
        <v>1719</v>
      </c>
      <c r="V337" s="7">
        <f t="shared" si="109"/>
        <v>1527</v>
      </c>
      <c r="W337" s="7">
        <f t="shared" si="107"/>
        <v>1742</v>
      </c>
      <c r="X337" s="6"/>
      <c r="Y337" s="5"/>
      <c r="Z337" s="5"/>
      <c r="AA337" s="5"/>
      <c r="AB337" s="5"/>
    </row>
    <row r="338" spans="1:28" ht="13.15" customHeight="1">
      <c r="A338" s="12">
        <f t="shared" si="106"/>
        <v>324</v>
      </c>
      <c r="B338" s="11">
        <f t="shared" si="118"/>
        <v>45594</v>
      </c>
      <c r="C338" s="9">
        <f t="shared" si="119"/>
        <v>842</v>
      </c>
      <c r="D338" s="8">
        <f t="shared" si="110"/>
        <v>1823</v>
      </c>
      <c r="E338" s="4">
        <f t="shared" si="111"/>
        <v>26</v>
      </c>
      <c r="F338" s="4">
        <f t="shared" si="112"/>
        <v>38</v>
      </c>
      <c r="G338" s="4">
        <f t="shared" si="113"/>
        <v>313</v>
      </c>
      <c r="H338" s="5">
        <f t="shared" si="114"/>
        <v>2639</v>
      </c>
      <c r="I338" s="5">
        <f t="shared" si="115"/>
        <v>2627</v>
      </c>
      <c r="J338" s="5">
        <f t="shared" si="116"/>
        <v>2352</v>
      </c>
      <c r="K338" s="5">
        <f t="shared" si="103"/>
        <v>3000</v>
      </c>
      <c r="L338" s="5">
        <f t="shared" si="104"/>
        <v>3000</v>
      </c>
      <c r="M338" s="5">
        <f t="shared" si="105"/>
        <v>3000</v>
      </c>
      <c r="N338" s="5">
        <f t="shared" si="120"/>
        <v>-361</v>
      </c>
      <c r="O338" s="5">
        <f t="shared" si="121"/>
        <v>-373</v>
      </c>
      <c r="P338" s="5">
        <f t="shared" si="122"/>
        <v>-648</v>
      </c>
      <c r="Q338" s="4">
        <v>0</v>
      </c>
      <c r="R338" s="4">
        <v>0</v>
      </c>
      <c r="S338" s="4">
        <v>0</v>
      </c>
      <c r="T338" s="6">
        <f t="shared" si="117"/>
        <v>1138</v>
      </c>
      <c r="U338" s="7">
        <f t="shared" si="108"/>
        <v>1719</v>
      </c>
      <c r="V338" s="7">
        <f t="shared" si="109"/>
        <v>1527</v>
      </c>
      <c r="W338" s="7">
        <f t="shared" si="107"/>
        <v>1742</v>
      </c>
      <c r="X338" s="6"/>
      <c r="Y338" s="5"/>
      <c r="Z338" s="5"/>
      <c r="AA338" s="5"/>
      <c r="AB338" s="5"/>
    </row>
    <row r="339" spans="1:28" ht="13.15" customHeight="1">
      <c r="A339" s="12">
        <f t="shared" si="106"/>
        <v>325</v>
      </c>
      <c r="B339" s="11">
        <f t="shared" si="118"/>
        <v>45595</v>
      </c>
      <c r="C339" s="9">
        <f t="shared" si="119"/>
        <v>842</v>
      </c>
      <c r="D339" s="8">
        <f t="shared" si="110"/>
        <v>1825</v>
      </c>
      <c r="E339" s="4">
        <f t="shared" si="111"/>
        <v>28</v>
      </c>
      <c r="F339" s="4">
        <f t="shared" si="112"/>
        <v>40</v>
      </c>
      <c r="G339" s="4">
        <f t="shared" si="113"/>
        <v>315</v>
      </c>
      <c r="H339" s="5">
        <f t="shared" si="114"/>
        <v>2639</v>
      </c>
      <c r="I339" s="5">
        <f t="shared" si="115"/>
        <v>2627</v>
      </c>
      <c r="J339" s="5">
        <f t="shared" si="116"/>
        <v>2352</v>
      </c>
      <c r="K339" s="5">
        <f t="shared" si="103"/>
        <v>3000</v>
      </c>
      <c r="L339" s="5">
        <f t="shared" si="104"/>
        <v>3000</v>
      </c>
      <c r="M339" s="5">
        <f t="shared" si="105"/>
        <v>3000</v>
      </c>
      <c r="N339" s="5">
        <f t="shared" si="120"/>
        <v>-361</v>
      </c>
      <c r="O339" s="5">
        <f t="shared" si="121"/>
        <v>-373</v>
      </c>
      <c r="P339" s="5">
        <f t="shared" si="122"/>
        <v>-648</v>
      </c>
      <c r="Q339" s="4">
        <v>0</v>
      </c>
      <c r="R339" s="4">
        <v>0</v>
      </c>
      <c r="S339" s="4">
        <v>0</v>
      </c>
      <c r="T339" s="6">
        <f t="shared" si="117"/>
        <v>1140</v>
      </c>
      <c r="U339" s="7">
        <f t="shared" si="108"/>
        <v>1719</v>
      </c>
      <c r="V339" s="7">
        <f t="shared" si="109"/>
        <v>1527</v>
      </c>
      <c r="W339" s="7">
        <f t="shared" si="107"/>
        <v>1742</v>
      </c>
      <c r="X339" s="6"/>
      <c r="Y339" s="5"/>
      <c r="Z339" s="5"/>
      <c r="AA339" s="5"/>
      <c r="AB339" s="5"/>
    </row>
    <row r="340" spans="1:28" ht="13.15" customHeight="1">
      <c r="A340" s="12">
        <f t="shared" si="106"/>
        <v>326</v>
      </c>
      <c r="B340" s="11">
        <f t="shared" si="118"/>
        <v>45596</v>
      </c>
      <c r="C340" s="9">
        <f t="shared" si="119"/>
        <v>842</v>
      </c>
      <c r="D340" s="8">
        <f t="shared" si="110"/>
        <v>1827</v>
      </c>
      <c r="E340" s="4">
        <f t="shared" si="111"/>
        <v>30</v>
      </c>
      <c r="F340" s="4">
        <f t="shared" si="112"/>
        <v>42</v>
      </c>
      <c r="G340" s="4">
        <f t="shared" si="113"/>
        <v>317</v>
      </c>
      <c r="H340" s="5">
        <f t="shared" si="114"/>
        <v>2639</v>
      </c>
      <c r="I340" s="5">
        <f t="shared" si="115"/>
        <v>2627</v>
      </c>
      <c r="J340" s="5">
        <f t="shared" si="116"/>
        <v>2352</v>
      </c>
      <c r="K340" s="5">
        <f t="shared" si="103"/>
        <v>3000</v>
      </c>
      <c r="L340" s="5">
        <f t="shared" si="104"/>
        <v>3000</v>
      </c>
      <c r="M340" s="5">
        <f t="shared" si="105"/>
        <v>3000</v>
      </c>
      <c r="N340" s="5">
        <f t="shared" si="120"/>
        <v>-361</v>
      </c>
      <c r="O340" s="5">
        <f t="shared" si="121"/>
        <v>-373</v>
      </c>
      <c r="P340" s="5">
        <f t="shared" si="122"/>
        <v>-648</v>
      </c>
      <c r="Q340" s="4">
        <v>0</v>
      </c>
      <c r="R340" s="4">
        <v>0</v>
      </c>
      <c r="S340" s="4">
        <v>0</v>
      </c>
      <c r="T340" s="6">
        <f t="shared" si="117"/>
        <v>1142</v>
      </c>
      <c r="U340" s="7">
        <f t="shared" si="108"/>
        <v>1719</v>
      </c>
      <c r="V340" s="7">
        <f t="shared" si="109"/>
        <v>1527</v>
      </c>
      <c r="W340" s="7">
        <f t="shared" si="107"/>
        <v>1742</v>
      </c>
      <c r="X340" s="6"/>
      <c r="Y340" s="5"/>
      <c r="Z340" s="5"/>
      <c r="AA340" s="5"/>
      <c r="AB340" s="5"/>
    </row>
    <row r="341" spans="1:28" ht="13.15" customHeight="1">
      <c r="A341" s="12">
        <f t="shared" si="106"/>
        <v>327</v>
      </c>
      <c r="B341" s="11">
        <f t="shared" si="118"/>
        <v>45597</v>
      </c>
      <c r="C341" s="9">
        <f t="shared" si="119"/>
        <v>842</v>
      </c>
      <c r="D341" s="8">
        <f t="shared" si="110"/>
        <v>1829</v>
      </c>
      <c r="E341" s="4">
        <f t="shared" si="111"/>
        <v>32</v>
      </c>
      <c r="F341" s="4">
        <f t="shared" si="112"/>
        <v>44</v>
      </c>
      <c r="G341" s="4">
        <f t="shared" si="113"/>
        <v>319</v>
      </c>
      <c r="H341" s="5">
        <f t="shared" si="114"/>
        <v>2639</v>
      </c>
      <c r="I341" s="5">
        <f t="shared" si="115"/>
        <v>2627</v>
      </c>
      <c r="J341" s="5">
        <f t="shared" si="116"/>
        <v>2352</v>
      </c>
      <c r="K341" s="5">
        <f t="shared" ref="K341:K404" si="123">K340</f>
        <v>3000</v>
      </c>
      <c r="L341" s="5">
        <f t="shared" ref="L341:L404" si="124">L340</f>
        <v>3000</v>
      </c>
      <c r="M341" s="5">
        <f t="shared" ref="M341:M404" si="125">M340</f>
        <v>3000</v>
      </c>
      <c r="N341" s="5">
        <f t="shared" si="120"/>
        <v>-361</v>
      </c>
      <c r="O341" s="5">
        <f t="shared" si="121"/>
        <v>-373</v>
      </c>
      <c r="P341" s="5">
        <f t="shared" si="122"/>
        <v>-648</v>
      </c>
      <c r="Q341" s="4">
        <v>0</v>
      </c>
      <c r="R341" s="4">
        <v>0</v>
      </c>
      <c r="S341" s="4">
        <v>0</v>
      </c>
      <c r="T341" s="6">
        <f t="shared" si="117"/>
        <v>1144</v>
      </c>
      <c r="U341" s="7">
        <f t="shared" si="108"/>
        <v>1719</v>
      </c>
      <c r="V341" s="7">
        <f t="shared" si="109"/>
        <v>1527</v>
      </c>
      <c r="W341" s="7">
        <f t="shared" si="107"/>
        <v>1742</v>
      </c>
      <c r="X341" s="6"/>
      <c r="Y341" s="5"/>
      <c r="Z341" s="5"/>
      <c r="AA341" s="5"/>
      <c r="AB341" s="5"/>
    </row>
    <row r="342" spans="1:28" ht="13.15" customHeight="1">
      <c r="A342" s="12">
        <f t="shared" si="106"/>
        <v>328</v>
      </c>
      <c r="B342" s="11">
        <f t="shared" si="118"/>
        <v>45598</v>
      </c>
      <c r="C342" s="9">
        <f t="shared" si="119"/>
        <v>842</v>
      </c>
      <c r="D342" s="8">
        <f t="shared" si="110"/>
        <v>1831</v>
      </c>
      <c r="E342" s="4">
        <f t="shared" si="111"/>
        <v>34</v>
      </c>
      <c r="F342" s="4">
        <f t="shared" si="112"/>
        <v>46</v>
      </c>
      <c r="G342" s="4">
        <f t="shared" si="113"/>
        <v>321</v>
      </c>
      <c r="H342" s="5">
        <f t="shared" si="114"/>
        <v>2639</v>
      </c>
      <c r="I342" s="5">
        <f t="shared" si="115"/>
        <v>2627</v>
      </c>
      <c r="J342" s="5">
        <f t="shared" si="116"/>
        <v>2352</v>
      </c>
      <c r="K342" s="5">
        <f t="shared" si="123"/>
        <v>3000</v>
      </c>
      <c r="L342" s="5">
        <f t="shared" si="124"/>
        <v>3000</v>
      </c>
      <c r="M342" s="5">
        <f t="shared" si="125"/>
        <v>3000</v>
      </c>
      <c r="N342" s="5">
        <f t="shared" si="120"/>
        <v>-361</v>
      </c>
      <c r="O342" s="5">
        <f t="shared" si="121"/>
        <v>-373</v>
      </c>
      <c r="P342" s="5">
        <f t="shared" si="122"/>
        <v>-648</v>
      </c>
      <c r="Q342" s="4">
        <v>0</v>
      </c>
      <c r="R342" s="4">
        <v>0</v>
      </c>
      <c r="S342" s="4">
        <v>0</v>
      </c>
      <c r="T342" s="6">
        <f t="shared" si="117"/>
        <v>1146</v>
      </c>
      <c r="U342" s="7">
        <f t="shared" si="108"/>
        <v>1719</v>
      </c>
      <c r="V342" s="7">
        <f t="shared" si="109"/>
        <v>1527</v>
      </c>
      <c r="W342" s="7">
        <f t="shared" si="107"/>
        <v>1742</v>
      </c>
      <c r="X342" s="6"/>
      <c r="Y342" s="5"/>
      <c r="Z342" s="5"/>
      <c r="AA342" s="5"/>
      <c r="AB342" s="5"/>
    </row>
    <row r="343" spans="1:28" ht="13.15" customHeight="1">
      <c r="A343" s="12">
        <f t="shared" ref="A343:A406" si="126">+A342+1</f>
        <v>329</v>
      </c>
      <c r="B343" s="11">
        <f t="shared" si="118"/>
        <v>45599</v>
      </c>
      <c r="C343" s="9">
        <f t="shared" si="119"/>
        <v>842</v>
      </c>
      <c r="D343" s="8">
        <f t="shared" si="110"/>
        <v>1833</v>
      </c>
      <c r="E343" s="4">
        <f t="shared" si="111"/>
        <v>36</v>
      </c>
      <c r="F343" s="4">
        <f t="shared" si="112"/>
        <v>48</v>
      </c>
      <c r="G343" s="4">
        <f t="shared" si="113"/>
        <v>323</v>
      </c>
      <c r="H343" s="5">
        <f t="shared" si="114"/>
        <v>2639</v>
      </c>
      <c r="I343" s="5">
        <f t="shared" si="115"/>
        <v>2627</v>
      </c>
      <c r="J343" s="5">
        <f t="shared" si="116"/>
        <v>2352</v>
      </c>
      <c r="K343" s="5">
        <f t="shared" si="123"/>
        <v>3000</v>
      </c>
      <c r="L343" s="5">
        <f t="shared" si="124"/>
        <v>3000</v>
      </c>
      <c r="M343" s="5">
        <f t="shared" si="125"/>
        <v>3000</v>
      </c>
      <c r="N343" s="5">
        <f t="shared" si="120"/>
        <v>-361</v>
      </c>
      <c r="O343" s="5">
        <f t="shared" si="121"/>
        <v>-373</v>
      </c>
      <c r="P343" s="5">
        <f t="shared" si="122"/>
        <v>-648</v>
      </c>
      <c r="Q343" s="4">
        <v>0</v>
      </c>
      <c r="R343" s="4">
        <v>0</v>
      </c>
      <c r="S343" s="4">
        <v>0</v>
      </c>
      <c r="T343" s="6">
        <f t="shared" si="117"/>
        <v>1148</v>
      </c>
      <c r="U343" s="7">
        <f t="shared" si="108"/>
        <v>1719</v>
      </c>
      <c r="V343" s="7">
        <f t="shared" si="109"/>
        <v>1527</v>
      </c>
      <c r="W343" s="7">
        <f t="shared" si="107"/>
        <v>1742</v>
      </c>
      <c r="X343" s="6"/>
      <c r="Y343" s="5"/>
      <c r="Z343" s="5"/>
      <c r="AA343" s="5"/>
      <c r="AB343" s="5"/>
    </row>
    <row r="344" spans="1:28" ht="13.15" customHeight="1">
      <c r="A344" s="12">
        <f t="shared" si="126"/>
        <v>330</v>
      </c>
      <c r="B344" s="11">
        <f t="shared" si="118"/>
        <v>45600</v>
      </c>
      <c r="C344" s="9">
        <f t="shared" si="119"/>
        <v>842</v>
      </c>
      <c r="D344" s="8">
        <f t="shared" si="110"/>
        <v>1835</v>
      </c>
      <c r="E344" s="4">
        <f t="shared" si="111"/>
        <v>38</v>
      </c>
      <c r="F344" s="4">
        <f t="shared" si="112"/>
        <v>50</v>
      </c>
      <c r="G344" s="4">
        <f t="shared" si="113"/>
        <v>325</v>
      </c>
      <c r="H344" s="5">
        <f t="shared" si="114"/>
        <v>2639</v>
      </c>
      <c r="I344" s="5">
        <f t="shared" si="115"/>
        <v>2627</v>
      </c>
      <c r="J344" s="5">
        <f t="shared" si="116"/>
        <v>2352</v>
      </c>
      <c r="K344" s="5">
        <f t="shared" si="123"/>
        <v>3000</v>
      </c>
      <c r="L344" s="5">
        <f t="shared" si="124"/>
        <v>3000</v>
      </c>
      <c r="M344" s="5">
        <f t="shared" si="125"/>
        <v>3000</v>
      </c>
      <c r="N344" s="5">
        <f t="shared" si="120"/>
        <v>-361</v>
      </c>
      <c r="O344" s="5">
        <f t="shared" si="121"/>
        <v>-373</v>
      </c>
      <c r="P344" s="5">
        <f t="shared" si="122"/>
        <v>-648</v>
      </c>
      <c r="Q344" s="4">
        <v>0</v>
      </c>
      <c r="R344" s="4">
        <v>0</v>
      </c>
      <c r="S344" s="4">
        <v>0</v>
      </c>
      <c r="T344" s="6">
        <f t="shared" si="117"/>
        <v>1150</v>
      </c>
      <c r="U344" s="7">
        <f t="shared" si="108"/>
        <v>1719</v>
      </c>
      <c r="V344" s="7">
        <f t="shared" si="109"/>
        <v>1527</v>
      </c>
      <c r="W344" s="7">
        <f t="shared" si="107"/>
        <v>1742</v>
      </c>
      <c r="X344" s="6"/>
      <c r="Y344" s="5"/>
      <c r="Z344" s="5"/>
      <c r="AA344" s="5"/>
      <c r="AB344" s="5"/>
    </row>
    <row r="345" spans="1:28" ht="13.15" customHeight="1">
      <c r="A345" s="12">
        <f t="shared" si="126"/>
        <v>331</v>
      </c>
      <c r="B345" s="11">
        <f t="shared" si="118"/>
        <v>45601</v>
      </c>
      <c r="C345" s="9">
        <f t="shared" si="119"/>
        <v>842</v>
      </c>
      <c r="D345" s="8">
        <f t="shared" si="110"/>
        <v>1837</v>
      </c>
      <c r="E345" s="4">
        <f t="shared" si="111"/>
        <v>40</v>
      </c>
      <c r="F345" s="4">
        <f t="shared" si="112"/>
        <v>52</v>
      </c>
      <c r="G345" s="4">
        <f t="shared" si="113"/>
        <v>327</v>
      </c>
      <c r="H345" s="5">
        <f t="shared" si="114"/>
        <v>2639</v>
      </c>
      <c r="I345" s="5">
        <f t="shared" si="115"/>
        <v>2627</v>
      </c>
      <c r="J345" s="5">
        <f t="shared" si="116"/>
        <v>2352</v>
      </c>
      <c r="K345" s="5">
        <f t="shared" si="123"/>
        <v>3000</v>
      </c>
      <c r="L345" s="5">
        <f t="shared" si="124"/>
        <v>3000</v>
      </c>
      <c r="M345" s="5">
        <f t="shared" si="125"/>
        <v>3000</v>
      </c>
      <c r="N345" s="5">
        <f t="shared" si="120"/>
        <v>-361</v>
      </c>
      <c r="O345" s="5">
        <f t="shared" si="121"/>
        <v>-373</v>
      </c>
      <c r="P345" s="5">
        <f t="shared" si="122"/>
        <v>-648</v>
      </c>
      <c r="Q345" s="4">
        <v>0</v>
      </c>
      <c r="R345" s="4">
        <v>0</v>
      </c>
      <c r="S345" s="4">
        <v>0</v>
      </c>
      <c r="T345" s="6">
        <f t="shared" si="117"/>
        <v>1152</v>
      </c>
      <c r="U345" s="7">
        <f t="shared" si="108"/>
        <v>1719</v>
      </c>
      <c r="V345" s="7">
        <f t="shared" si="109"/>
        <v>1527</v>
      </c>
      <c r="W345" s="7">
        <f t="shared" si="107"/>
        <v>1742</v>
      </c>
      <c r="X345" s="6"/>
      <c r="Y345" s="5"/>
      <c r="Z345" s="5"/>
      <c r="AA345" s="5"/>
      <c r="AB345" s="5"/>
    </row>
    <row r="346" spans="1:28" ht="13.15" customHeight="1">
      <c r="A346" s="12">
        <f t="shared" si="126"/>
        <v>332</v>
      </c>
      <c r="B346" s="11">
        <f t="shared" si="118"/>
        <v>45602</v>
      </c>
      <c r="C346" s="9">
        <f t="shared" si="119"/>
        <v>842</v>
      </c>
      <c r="D346" s="8">
        <f t="shared" si="110"/>
        <v>1839</v>
      </c>
      <c r="E346" s="4">
        <f t="shared" si="111"/>
        <v>42</v>
      </c>
      <c r="F346" s="4">
        <f t="shared" si="112"/>
        <v>54</v>
      </c>
      <c r="G346" s="4">
        <f t="shared" si="113"/>
        <v>329</v>
      </c>
      <c r="H346" s="5">
        <f t="shared" si="114"/>
        <v>2639</v>
      </c>
      <c r="I346" s="5">
        <f t="shared" si="115"/>
        <v>2627</v>
      </c>
      <c r="J346" s="5">
        <f t="shared" si="116"/>
        <v>2352</v>
      </c>
      <c r="K346" s="5">
        <f t="shared" si="123"/>
        <v>3000</v>
      </c>
      <c r="L346" s="5">
        <f t="shared" si="124"/>
        <v>3000</v>
      </c>
      <c r="M346" s="5">
        <f t="shared" si="125"/>
        <v>3000</v>
      </c>
      <c r="N346" s="5">
        <f t="shared" si="120"/>
        <v>-361</v>
      </c>
      <c r="O346" s="5">
        <f t="shared" si="121"/>
        <v>-373</v>
      </c>
      <c r="P346" s="5">
        <f t="shared" si="122"/>
        <v>-648</v>
      </c>
      <c r="Q346" s="4">
        <v>0</v>
      </c>
      <c r="R346" s="4">
        <v>0</v>
      </c>
      <c r="S346" s="4">
        <v>0</v>
      </c>
      <c r="T346" s="6">
        <f t="shared" si="117"/>
        <v>1154</v>
      </c>
      <c r="U346" s="7">
        <f t="shared" si="108"/>
        <v>1719</v>
      </c>
      <c r="V346" s="7">
        <f t="shared" si="109"/>
        <v>1527</v>
      </c>
      <c r="W346" s="7">
        <f t="shared" si="107"/>
        <v>1742</v>
      </c>
      <c r="X346" s="6"/>
      <c r="Y346" s="5"/>
      <c r="Z346" s="5"/>
      <c r="AA346" s="5"/>
      <c r="AB346" s="5"/>
    </row>
    <row r="347" spans="1:28" ht="13.15" customHeight="1">
      <c r="A347" s="12">
        <f t="shared" si="126"/>
        <v>333</v>
      </c>
      <c r="B347" s="11">
        <f t="shared" si="118"/>
        <v>45603</v>
      </c>
      <c r="C347" s="9">
        <f t="shared" si="119"/>
        <v>842</v>
      </c>
      <c r="D347" s="8">
        <f t="shared" si="110"/>
        <v>1841</v>
      </c>
      <c r="E347" s="4">
        <f t="shared" si="111"/>
        <v>44</v>
      </c>
      <c r="F347" s="4">
        <f t="shared" si="112"/>
        <v>56</v>
      </c>
      <c r="G347" s="4">
        <f t="shared" si="113"/>
        <v>331</v>
      </c>
      <c r="H347" s="5">
        <f t="shared" si="114"/>
        <v>2639</v>
      </c>
      <c r="I347" s="5">
        <f t="shared" si="115"/>
        <v>2627</v>
      </c>
      <c r="J347" s="5">
        <f t="shared" si="116"/>
        <v>2352</v>
      </c>
      <c r="K347" s="5">
        <f t="shared" si="123"/>
        <v>3000</v>
      </c>
      <c r="L347" s="5">
        <f t="shared" si="124"/>
        <v>3000</v>
      </c>
      <c r="M347" s="5">
        <f t="shared" si="125"/>
        <v>3000</v>
      </c>
      <c r="N347" s="5">
        <f t="shared" si="120"/>
        <v>-361</v>
      </c>
      <c r="O347" s="5">
        <f t="shared" si="121"/>
        <v>-373</v>
      </c>
      <c r="P347" s="5">
        <f t="shared" si="122"/>
        <v>-648</v>
      </c>
      <c r="Q347" s="4">
        <v>0</v>
      </c>
      <c r="R347" s="4">
        <v>0</v>
      </c>
      <c r="S347" s="4">
        <v>0</v>
      </c>
      <c r="T347" s="6">
        <f t="shared" si="117"/>
        <v>1156</v>
      </c>
      <c r="U347" s="7">
        <f t="shared" si="108"/>
        <v>1719</v>
      </c>
      <c r="V347" s="7">
        <f t="shared" si="109"/>
        <v>1527</v>
      </c>
      <c r="W347" s="7">
        <f t="shared" si="107"/>
        <v>1742</v>
      </c>
      <c r="X347" s="6"/>
      <c r="Y347" s="5"/>
      <c r="Z347" s="5"/>
      <c r="AA347" s="5"/>
      <c r="AB347" s="5"/>
    </row>
    <row r="348" spans="1:28" ht="13.15" customHeight="1">
      <c r="A348" s="12">
        <f t="shared" si="126"/>
        <v>334</v>
      </c>
      <c r="B348" s="11">
        <f t="shared" si="118"/>
        <v>45604</v>
      </c>
      <c r="C348" s="9">
        <f t="shared" si="119"/>
        <v>842</v>
      </c>
      <c r="D348" s="8">
        <f t="shared" si="110"/>
        <v>1843</v>
      </c>
      <c r="E348" s="4">
        <f t="shared" si="111"/>
        <v>46</v>
      </c>
      <c r="F348" s="4">
        <f t="shared" si="112"/>
        <v>58</v>
      </c>
      <c r="G348" s="4">
        <f t="shared" si="113"/>
        <v>333</v>
      </c>
      <c r="H348" s="5">
        <f t="shared" si="114"/>
        <v>2639</v>
      </c>
      <c r="I348" s="5">
        <f t="shared" si="115"/>
        <v>2627</v>
      </c>
      <c r="J348" s="5">
        <f t="shared" si="116"/>
        <v>2352</v>
      </c>
      <c r="K348" s="5">
        <f t="shared" si="123"/>
        <v>3000</v>
      </c>
      <c r="L348" s="5">
        <f t="shared" si="124"/>
        <v>3000</v>
      </c>
      <c r="M348" s="5">
        <f t="shared" si="125"/>
        <v>3000</v>
      </c>
      <c r="N348" s="5">
        <f t="shared" si="120"/>
        <v>-361</v>
      </c>
      <c r="O348" s="5">
        <f t="shared" si="121"/>
        <v>-373</v>
      </c>
      <c r="P348" s="5">
        <f t="shared" si="122"/>
        <v>-648</v>
      </c>
      <c r="Q348" s="4">
        <v>0</v>
      </c>
      <c r="R348" s="4">
        <v>0</v>
      </c>
      <c r="S348" s="4">
        <v>0</v>
      </c>
      <c r="T348" s="6">
        <f t="shared" si="117"/>
        <v>1158</v>
      </c>
      <c r="U348" s="7">
        <f t="shared" si="108"/>
        <v>1719</v>
      </c>
      <c r="V348" s="7">
        <f t="shared" si="109"/>
        <v>1527</v>
      </c>
      <c r="W348" s="7">
        <f t="shared" si="107"/>
        <v>1742</v>
      </c>
      <c r="X348" s="6"/>
      <c r="Y348" s="5"/>
      <c r="Z348" s="5"/>
      <c r="AA348" s="5"/>
      <c r="AB348" s="5"/>
    </row>
    <row r="349" spans="1:28" ht="13.15" customHeight="1">
      <c r="A349" s="12">
        <f t="shared" si="126"/>
        <v>335</v>
      </c>
      <c r="B349" s="11">
        <f t="shared" si="118"/>
        <v>45605</v>
      </c>
      <c r="C349" s="9">
        <f t="shared" si="119"/>
        <v>842</v>
      </c>
      <c r="D349" s="8">
        <f t="shared" si="110"/>
        <v>1845</v>
      </c>
      <c r="E349" s="4">
        <f t="shared" si="111"/>
        <v>48</v>
      </c>
      <c r="F349" s="4">
        <f t="shared" si="112"/>
        <v>60</v>
      </c>
      <c r="G349" s="4">
        <f t="shared" si="113"/>
        <v>335</v>
      </c>
      <c r="H349" s="5">
        <f t="shared" si="114"/>
        <v>2639</v>
      </c>
      <c r="I349" s="5">
        <f t="shared" si="115"/>
        <v>2627</v>
      </c>
      <c r="J349" s="5">
        <f t="shared" si="116"/>
        <v>2352</v>
      </c>
      <c r="K349" s="5">
        <f t="shared" si="123"/>
        <v>3000</v>
      </c>
      <c r="L349" s="5">
        <f t="shared" si="124"/>
        <v>3000</v>
      </c>
      <c r="M349" s="5">
        <f t="shared" si="125"/>
        <v>3000</v>
      </c>
      <c r="N349" s="5">
        <f t="shared" si="120"/>
        <v>-361</v>
      </c>
      <c r="O349" s="5">
        <f t="shared" si="121"/>
        <v>-373</v>
      </c>
      <c r="P349" s="5">
        <f t="shared" si="122"/>
        <v>-648</v>
      </c>
      <c r="Q349" s="4">
        <v>0</v>
      </c>
      <c r="R349" s="4">
        <v>0</v>
      </c>
      <c r="S349" s="4">
        <v>0</v>
      </c>
      <c r="T349" s="6">
        <f t="shared" si="117"/>
        <v>1160</v>
      </c>
      <c r="U349" s="7">
        <f t="shared" si="108"/>
        <v>1719</v>
      </c>
      <c r="V349" s="7">
        <f t="shared" si="109"/>
        <v>1527</v>
      </c>
      <c r="W349" s="7">
        <f t="shared" si="107"/>
        <v>1742</v>
      </c>
      <c r="X349" s="6"/>
      <c r="Y349" s="5"/>
      <c r="Z349" s="5"/>
      <c r="AA349" s="5"/>
      <c r="AB349" s="5"/>
    </row>
    <row r="350" spans="1:28" ht="13.15" customHeight="1">
      <c r="A350" s="12">
        <f t="shared" si="126"/>
        <v>336</v>
      </c>
      <c r="B350" s="11">
        <f t="shared" si="118"/>
        <v>45606</v>
      </c>
      <c r="C350" s="9">
        <f t="shared" si="119"/>
        <v>842</v>
      </c>
      <c r="D350" s="8">
        <f t="shared" si="110"/>
        <v>1847</v>
      </c>
      <c r="E350" s="4">
        <f t="shared" si="111"/>
        <v>50</v>
      </c>
      <c r="F350" s="4">
        <f t="shared" si="112"/>
        <v>62</v>
      </c>
      <c r="G350" s="4">
        <f t="shared" si="113"/>
        <v>337</v>
      </c>
      <c r="H350" s="5">
        <f t="shared" si="114"/>
        <v>2639</v>
      </c>
      <c r="I350" s="5">
        <f t="shared" si="115"/>
        <v>2627</v>
      </c>
      <c r="J350" s="5">
        <f t="shared" si="116"/>
        <v>2352</v>
      </c>
      <c r="K350" s="5">
        <f t="shared" si="123"/>
        <v>3000</v>
      </c>
      <c r="L350" s="5">
        <f t="shared" si="124"/>
        <v>3000</v>
      </c>
      <c r="M350" s="5">
        <f t="shared" si="125"/>
        <v>3000</v>
      </c>
      <c r="N350" s="5">
        <f t="shared" si="120"/>
        <v>-361</v>
      </c>
      <c r="O350" s="5">
        <f t="shared" si="121"/>
        <v>-373</v>
      </c>
      <c r="P350" s="5">
        <f t="shared" si="122"/>
        <v>-648</v>
      </c>
      <c r="Q350" s="4">
        <v>0</v>
      </c>
      <c r="R350" s="4">
        <v>0</v>
      </c>
      <c r="S350" s="4">
        <v>0</v>
      </c>
      <c r="T350" s="6">
        <f t="shared" si="117"/>
        <v>1162</v>
      </c>
      <c r="U350" s="7">
        <f t="shared" si="108"/>
        <v>1719</v>
      </c>
      <c r="V350" s="7">
        <f t="shared" si="109"/>
        <v>1527</v>
      </c>
      <c r="W350" s="7">
        <f t="shared" si="107"/>
        <v>1742</v>
      </c>
      <c r="X350" s="6"/>
      <c r="Y350" s="5"/>
      <c r="Z350" s="5"/>
      <c r="AA350" s="5"/>
      <c r="AB350" s="5"/>
    </row>
    <row r="351" spans="1:28" ht="13.15" customHeight="1">
      <c r="A351" s="12">
        <f t="shared" si="126"/>
        <v>337</v>
      </c>
      <c r="B351" s="11">
        <f t="shared" si="118"/>
        <v>45607</v>
      </c>
      <c r="C351" s="9">
        <f t="shared" si="119"/>
        <v>842</v>
      </c>
      <c r="D351" s="8">
        <f t="shared" si="110"/>
        <v>1849</v>
      </c>
      <c r="E351" s="4">
        <f t="shared" si="111"/>
        <v>52</v>
      </c>
      <c r="F351" s="4">
        <f t="shared" si="112"/>
        <v>64</v>
      </c>
      <c r="G351" s="4">
        <f t="shared" si="113"/>
        <v>339</v>
      </c>
      <c r="H351" s="5">
        <f t="shared" si="114"/>
        <v>2639</v>
      </c>
      <c r="I351" s="5">
        <f t="shared" si="115"/>
        <v>2627</v>
      </c>
      <c r="J351" s="5">
        <f t="shared" si="116"/>
        <v>2352</v>
      </c>
      <c r="K351" s="5">
        <f t="shared" si="123"/>
        <v>3000</v>
      </c>
      <c r="L351" s="5">
        <f t="shared" si="124"/>
        <v>3000</v>
      </c>
      <c r="M351" s="5">
        <f t="shared" si="125"/>
        <v>3000</v>
      </c>
      <c r="N351" s="5">
        <f t="shared" si="120"/>
        <v>-361</v>
      </c>
      <c r="O351" s="5">
        <f t="shared" si="121"/>
        <v>-373</v>
      </c>
      <c r="P351" s="5">
        <f t="shared" si="122"/>
        <v>-648</v>
      </c>
      <c r="Q351" s="4">
        <v>0</v>
      </c>
      <c r="R351" s="4">
        <v>0</v>
      </c>
      <c r="S351" s="4">
        <v>0</v>
      </c>
      <c r="T351" s="6">
        <f t="shared" si="117"/>
        <v>1164</v>
      </c>
      <c r="U351" s="7">
        <f t="shared" si="108"/>
        <v>1719</v>
      </c>
      <c r="V351" s="7">
        <f t="shared" si="109"/>
        <v>1527</v>
      </c>
      <c r="W351" s="7">
        <f t="shared" si="107"/>
        <v>1742</v>
      </c>
      <c r="X351" s="6"/>
      <c r="Y351" s="5"/>
      <c r="Z351" s="5"/>
      <c r="AA351" s="5"/>
      <c r="AB351" s="5"/>
    </row>
    <row r="352" spans="1:28" ht="13.15" customHeight="1">
      <c r="A352" s="12">
        <f t="shared" si="126"/>
        <v>338</v>
      </c>
      <c r="B352" s="11">
        <f t="shared" si="118"/>
        <v>45608</v>
      </c>
      <c r="C352" s="9">
        <f t="shared" si="119"/>
        <v>842</v>
      </c>
      <c r="D352" s="8">
        <f t="shared" si="110"/>
        <v>1851</v>
      </c>
      <c r="E352" s="4">
        <f t="shared" si="111"/>
        <v>54</v>
      </c>
      <c r="F352" s="4">
        <f t="shared" si="112"/>
        <v>66</v>
      </c>
      <c r="G352" s="4">
        <f t="shared" si="113"/>
        <v>341</v>
      </c>
      <c r="H352" s="5">
        <f t="shared" si="114"/>
        <v>2639</v>
      </c>
      <c r="I352" s="5">
        <f t="shared" si="115"/>
        <v>2627</v>
      </c>
      <c r="J352" s="5">
        <f t="shared" si="116"/>
        <v>2352</v>
      </c>
      <c r="K352" s="5">
        <f t="shared" si="123"/>
        <v>3000</v>
      </c>
      <c r="L352" s="5">
        <f t="shared" si="124"/>
        <v>3000</v>
      </c>
      <c r="M352" s="5">
        <f t="shared" si="125"/>
        <v>3000</v>
      </c>
      <c r="N352" s="5">
        <f t="shared" si="120"/>
        <v>-361</v>
      </c>
      <c r="O352" s="5">
        <f t="shared" si="121"/>
        <v>-373</v>
      </c>
      <c r="P352" s="5">
        <f t="shared" si="122"/>
        <v>-648</v>
      </c>
      <c r="Q352" s="4">
        <v>0</v>
      </c>
      <c r="R352" s="4">
        <v>0</v>
      </c>
      <c r="S352" s="4">
        <v>0</v>
      </c>
      <c r="T352" s="6">
        <f t="shared" si="117"/>
        <v>1166</v>
      </c>
      <c r="U352" s="7">
        <f t="shared" si="108"/>
        <v>1719</v>
      </c>
      <c r="V352" s="7">
        <f t="shared" si="109"/>
        <v>1527</v>
      </c>
      <c r="W352" s="7">
        <f t="shared" ref="W352:W415" si="127">W351+$X352*1000-S352</f>
        <v>1742</v>
      </c>
      <c r="X352" s="6"/>
      <c r="Y352" s="5"/>
      <c r="Z352" s="5"/>
      <c r="AA352" s="5"/>
      <c r="AB352" s="5"/>
    </row>
    <row r="353" spans="1:28" ht="13.15" customHeight="1">
      <c r="A353" s="12">
        <f t="shared" si="126"/>
        <v>339</v>
      </c>
      <c r="B353" s="11">
        <f t="shared" si="118"/>
        <v>45609</v>
      </c>
      <c r="C353" s="9">
        <f t="shared" si="119"/>
        <v>842</v>
      </c>
      <c r="D353" s="8">
        <f t="shared" si="110"/>
        <v>1853</v>
      </c>
      <c r="E353" s="4">
        <f t="shared" si="111"/>
        <v>56</v>
      </c>
      <c r="F353" s="4">
        <f t="shared" si="112"/>
        <v>68</v>
      </c>
      <c r="G353" s="4">
        <f t="shared" si="113"/>
        <v>343</v>
      </c>
      <c r="H353" s="5">
        <f t="shared" si="114"/>
        <v>2639</v>
      </c>
      <c r="I353" s="5">
        <f t="shared" si="115"/>
        <v>2627</v>
      </c>
      <c r="J353" s="5">
        <f t="shared" si="116"/>
        <v>2352</v>
      </c>
      <c r="K353" s="5">
        <f t="shared" si="123"/>
        <v>3000</v>
      </c>
      <c r="L353" s="5">
        <f t="shared" si="124"/>
        <v>3000</v>
      </c>
      <c r="M353" s="5">
        <f t="shared" si="125"/>
        <v>3000</v>
      </c>
      <c r="N353" s="5">
        <f t="shared" si="120"/>
        <v>-361</v>
      </c>
      <c r="O353" s="5">
        <f t="shared" si="121"/>
        <v>-373</v>
      </c>
      <c r="P353" s="5">
        <f t="shared" si="122"/>
        <v>-648</v>
      </c>
      <c r="Q353" s="4">
        <v>0</v>
      </c>
      <c r="R353" s="4">
        <v>0</v>
      </c>
      <c r="S353" s="4">
        <v>0</v>
      </c>
      <c r="T353" s="6">
        <f t="shared" si="117"/>
        <v>1168</v>
      </c>
      <c r="U353" s="7">
        <f t="shared" si="108"/>
        <v>1719</v>
      </c>
      <c r="V353" s="7">
        <f t="shared" si="109"/>
        <v>1527</v>
      </c>
      <c r="W353" s="7">
        <f t="shared" si="127"/>
        <v>1742</v>
      </c>
      <c r="X353" s="6"/>
      <c r="Y353" s="5"/>
      <c r="Z353" s="5"/>
      <c r="AA353" s="5"/>
      <c r="AB353" s="5"/>
    </row>
    <row r="354" spans="1:28" ht="13.15" customHeight="1">
      <c r="A354" s="12">
        <f t="shared" si="126"/>
        <v>340</v>
      </c>
      <c r="B354" s="11">
        <f t="shared" si="118"/>
        <v>45610</v>
      </c>
      <c r="C354" s="9">
        <f t="shared" si="119"/>
        <v>842</v>
      </c>
      <c r="D354" s="8">
        <f t="shared" si="110"/>
        <v>1855</v>
      </c>
      <c r="E354" s="4">
        <f t="shared" si="111"/>
        <v>58</v>
      </c>
      <c r="F354" s="4">
        <f t="shared" si="112"/>
        <v>70</v>
      </c>
      <c r="G354" s="4">
        <f t="shared" si="113"/>
        <v>345</v>
      </c>
      <c r="H354" s="5">
        <f t="shared" si="114"/>
        <v>2639</v>
      </c>
      <c r="I354" s="5">
        <f t="shared" si="115"/>
        <v>2627</v>
      </c>
      <c r="J354" s="5">
        <f t="shared" si="116"/>
        <v>2352</v>
      </c>
      <c r="K354" s="5">
        <f t="shared" si="123"/>
        <v>3000</v>
      </c>
      <c r="L354" s="5">
        <f t="shared" si="124"/>
        <v>3000</v>
      </c>
      <c r="M354" s="5">
        <f t="shared" si="125"/>
        <v>3000</v>
      </c>
      <c r="N354" s="5">
        <f t="shared" si="120"/>
        <v>-361</v>
      </c>
      <c r="O354" s="5">
        <f t="shared" si="121"/>
        <v>-373</v>
      </c>
      <c r="P354" s="5">
        <f t="shared" si="122"/>
        <v>-648</v>
      </c>
      <c r="Q354" s="4">
        <v>0</v>
      </c>
      <c r="R354" s="4">
        <v>0</v>
      </c>
      <c r="S354" s="4">
        <v>0</v>
      </c>
      <c r="T354" s="6">
        <f t="shared" si="117"/>
        <v>1170</v>
      </c>
      <c r="U354" s="7">
        <f t="shared" si="108"/>
        <v>1719</v>
      </c>
      <c r="V354" s="7">
        <f t="shared" si="109"/>
        <v>1527</v>
      </c>
      <c r="W354" s="7">
        <f t="shared" si="127"/>
        <v>1742</v>
      </c>
      <c r="X354" s="6"/>
      <c r="Y354" s="5"/>
      <c r="Z354" s="5"/>
      <c r="AA354" s="5"/>
      <c r="AB354" s="5"/>
    </row>
    <row r="355" spans="1:28" ht="13.15" customHeight="1">
      <c r="A355" s="12">
        <f t="shared" si="126"/>
        <v>341</v>
      </c>
      <c r="B355" s="11">
        <f t="shared" si="118"/>
        <v>45611</v>
      </c>
      <c r="C355" s="9">
        <f t="shared" si="119"/>
        <v>842</v>
      </c>
      <c r="D355" s="8">
        <f t="shared" si="110"/>
        <v>1857</v>
      </c>
      <c r="E355" s="4">
        <f t="shared" si="111"/>
        <v>60</v>
      </c>
      <c r="F355" s="4">
        <f t="shared" si="112"/>
        <v>72</v>
      </c>
      <c r="G355" s="4">
        <f t="shared" si="113"/>
        <v>347</v>
      </c>
      <c r="H355" s="5">
        <f t="shared" si="114"/>
        <v>2639</v>
      </c>
      <c r="I355" s="5">
        <f t="shared" si="115"/>
        <v>2627</v>
      </c>
      <c r="J355" s="5">
        <f t="shared" si="116"/>
        <v>2352</v>
      </c>
      <c r="K355" s="5">
        <f t="shared" si="123"/>
        <v>3000</v>
      </c>
      <c r="L355" s="5">
        <f t="shared" si="124"/>
        <v>3000</v>
      </c>
      <c r="M355" s="5">
        <f t="shared" si="125"/>
        <v>3000</v>
      </c>
      <c r="N355" s="5">
        <f t="shared" si="120"/>
        <v>-361</v>
      </c>
      <c r="O355" s="5">
        <f t="shared" si="121"/>
        <v>-373</v>
      </c>
      <c r="P355" s="5">
        <f t="shared" si="122"/>
        <v>-648</v>
      </c>
      <c r="Q355" s="4">
        <v>0</v>
      </c>
      <c r="R355" s="4">
        <v>0</v>
      </c>
      <c r="S355" s="4">
        <v>0</v>
      </c>
      <c r="T355" s="6">
        <f t="shared" si="117"/>
        <v>1172</v>
      </c>
      <c r="U355" s="7">
        <f t="shared" si="108"/>
        <v>1719</v>
      </c>
      <c r="V355" s="7">
        <f t="shared" si="109"/>
        <v>1527</v>
      </c>
      <c r="W355" s="7">
        <f t="shared" si="127"/>
        <v>1742</v>
      </c>
      <c r="X355" s="6"/>
      <c r="Y355" s="5"/>
      <c r="Z355" s="5"/>
      <c r="AA355" s="5"/>
      <c r="AB355" s="5"/>
    </row>
    <row r="356" spans="1:28" ht="13.15" customHeight="1">
      <c r="A356" s="12">
        <f t="shared" si="126"/>
        <v>342</v>
      </c>
      <c r="B356" s="11">
        <f t="shared" si="118"/>
        <v>45612</v>
      </c>
      <c r="C356" s="9">
        <f t="shared" si="119"/>
        <v>842</v>
      </c>
      <c r="D356" s="8">
        <f t="shared" si="110"/>
        <v>1859</v>
      </c>
      <c r="E356" s="4">
        <f t="shared" si="111"/>
        <v>62</v>
      </c>
      <c r="F356" s="4">
        <f t="shared" si="112"/>
        <v>74</v>
      </c>
      <c r="G356" s="4">
        <f t="shared" si="113"/>
        <v>349</v>
      </c>
      <c r="H356" s="5">
        <f t="shared" si="114"/>
        <v>2639</v>
      </c>
      <c r="I356" s="5">
        <f t="shared" si="115"/>
        <v>2627</v>
      </c>
      <c r="J356" s="5">
        <f t="shared" si="116"/>
        <v>2352</v>
      </c>
      <c r="K356" s="5">
        <f t="shared" si="123"/>
        <v>3000</v>
      </c>
      <c r="L356" s="5">
        <f t="shared" si="124"/>
        <v>3000</v>
      </c>
      <c r="M356" s="5">
        <f t="shared" si="125"/>
        <v>3000</v>
      </c>
      <c r="N356" s="5">
        <f t="shared" si="120"/>
        <v>-361</v>
      </c>
      <c r="O356" s="5">
        <f t="shared" si="121"/>
        <v>-373</v>
      </c>
      <c r="P356" s="5">
        <f t="shared" si="122"/>
        <v>-648</v>
      </c>
      <c r="Q356" s="4">
        <v>0</v>
      </c>
      <c r="R356" s="4">
        <v>0</v>
      </c>
      <c r="S356" s="4">
        <v>0</v>
      </c>
      <c r="T356" s="6">
        <f t="shared" si="117"/>
        <v>1174</v>
      </c>
      <c r="U356" s="7">
        <f t="shared" si="108"/>
        <v>1719</v>
      </c>
      <c r="V356" s="7">
        <f t="shared" si="109"/>
        <v>1527</v>
      </c>
      <c r="W356" s="7">
        <f t="shared" si="127"/>
        <v>1742</v>
      </c>
      <c r="X356" s="6"/>
      <c r="Y356" s="5"/>
      <c r="Z356" s="5"/>
      <c r="AA356" s="5"/>
      <c r="AB356" s="5"/>
    </row>
    <row r="357" spans="1:28" ht="13.15" customHeight="1">
      <c r="A357" s="12">
        <f t="shared" si="126"/>
        <v>343</v>
      </c>
      <c r="B357" s="11">
        <f t="shared" si="118"/>
        <v>45613</v>
      </c>
      <c r="C357" s="9">
        <f t="shared" si="119"/>
        <v>842</v>
      </c>
      <c r="D357" s="8">
        <f t="shared" si="110"/>
        <v>1861</v>
      </c>
      <c r="E357" s="4">
        <f t="shared" si="111"/>
        <v>64</v>
      </c>
      <c r="F357" s="4">
        <f t="shared" si="112"/>
        <v>76</v>
      </c>
      <c r="G357" s="4">
        <f t="shared" si="113"/>
        <v>351</v>
      </c>
      <c r="H357" s="5">
        <f t="shared" si="114"/>
        <v>2639</v>
      </c>
      <c r="I357" s="5">
        <f t="shared" si="115"/>
        <v>2627</v>
      </c>
      <c r="J357" s="5">
        <f t="shared" si="116"/>
        <v>2352</v>
      </c>
      <c r="K357" s="5">
        <f t="shared" si="123"/>
        <v>3000</v>
      </c>
      <c r="L357" s="5">
        <f t="shared" si="124"/>
        <v>3000</v>
      </c>
      <c r="M357" s="5">
        <f t="shared" si="125"/>
        <v>3000</v>
      </c>
      <c r="N357" s="5">
        <f t="shared" si="120"/>
        <v>-361</v>
      </c>
      <c r="O357" s="5">
        <f t="shared" si="121"/>
        <v>-373</v>
      </c>
      <c r="P357" s="5">
        <f t="shared" si="122"/>
        <v>-648</v>
      </c>
      <c r="Q357" s="4">
        <v>0</v>
      </c>
      <c r="R357" s="4">
        <v>0</v>
      </c>
      <c r="S357" s="4">
        <v>0</v>
      </c>
      <c r="T357" s="6">
        <f t="shared" si="117"/>
        <v>1176</v>
      </c>
      <c r="U357" s="7">
        <f t="shared" si="108"/>
        <v>1719</v>
      </c>
      <c r="V357" s="7">
        <f t="shared" si="109"/>
        <v>1527</v>
      </c>
      <c r="W357" s="7">
        <f t="shared" si="127"/>
        <v>1742</v>
      </c>
      <c r="X357" s="6"/>
      <c r="Y357" s="5"/>
      <c r="Z357" s="5"/>
      <c r="AA357" s="5"/>
      <c r="AB357" s="5"/>
    </row>
    <row r="358" spans="1:28" ht="13.15" customHeight="1">
      <c r="A358" s="12">
        <f t="shared" si="126"/>
        <v>344</v>
      </c>
      <c r="B358" s="11">
        <f t="shared" si="118"/>
        <v>45614</v>
      </c>
      <c r="C358" s="9">
        <f t="shared" si="119"/>
        <v>842</v>
      </c>
      <c r="D358" s="8">
        <f t="shared" si="110"/>
        <v>1863</v>
      </c>
      <c r="E358" s="4">
        <f t="shared" si="111"/>
        <v>66</v>
      </c>
      <c r="F358" s="4">
        <f t="shared" si="112"/>
        <v>78</v>
      </c>
      <c r="G358" s="4">
        <f t="shared" si="113"/>
        <v>353</v>
      </c>
      <c r="H358" s="5">
        <f t="shared" si="114"/>
        <v>2639</v>
      </c>
      <c r="I358" s="5">
        <f t="shared" si="115"/>
        <v>2627</v>
      </c>
      <c r="J358" s="5">
        <f t="shared" si="116"/>
        <v>2352</v>
      </c>
      <c r="K358" s="5">
        <f t="shared" si="123"/>
        <v>3000</v>
      </c>
      <c r="L358" s="5">
        <f t="shared" si="124"/>
        <v>3000</v>
      </c>
      <c r="M358" s="5">
        <f t="shared" si="125"/>
        <v>3000</v>
      </c>
      <c r="N358" s="5">
        <f t="shared" si="120"/>
        <v>-361</v>
      </c>
      <c r="O358" s="5">
        <f t="shared" si="121"/>
        <v>-373</v>
      </c>
      <c r="P358" s="5">
        <f t="shared" si="122"/>
        <v>-648</v>
      </c>
      <c r="Q358" s="4">
        <v>0</v>
      </c>
      <c r="R358" s="4">
        <v>0</v>
      </c>
      <c r="S358" s="4">
        <v>0</v>
      </c>
      <c r="T358" s="6">
        <f t="shared" si="117"/>
        <v>1178</v>
      </c>
      <c r="U358" s="7">
        <f t="shared" ref="U358:U421" si="128">U357+$X358*1000-Q358</f>
        <v>1719</v>
      </c>
      <c r="V358" s="7">
        <f t="shared" ref="V358:V421" si="129">V357+$X358*1000-R358</f>
        <v>1527</v>
      </c>
      <c r="W358" s="7">
        <f t="shared" si="127"/>
        <v>1742</v>
      </c>
      <c r="X358" s="6"/>
      <c r="Y358" s="5"/>
      <c r="Z358" s="5"/>
      <c r="AA358" s="5"/>
      <c r="AB358" s="5"/>
    </row>
    <row r="359" spans="1:28" ht="13.15" customHeight="1">
      <c r="A359" s="12">
        <f t="shared" si="126"/>
        <v>345</v>
      </c>
      <c r="B359" s="11">
        <f t="shared" si="118"/>
        <v>45615</v>
      </c>
      <c r="C359" s="9">
        <f t="shared" si="119"/>
        <v>842</v>
      </c>
      <c r="D359" s="8">
        <f t="shared" si="110"/>
        <v>1865</v>
      </c>
      <c r="E359" s="4">
        <f t="shared" si="111"/>
        <v>68</v>
      </c>
      <c r="F359" s="4">
        <f t="shared" si="112"/>
        <v>80</v>
      </c>
      <c r="G359" s="4">
        <f t="shared" si="113"/>
        <v>355</v>
      </c>
      <c r="H359" s="5">
        <f t="shared" si="114"/>
        <v>2639</v>
      </c>
      <c r="I359" s="5">
        <f t="shared" si="115"/>
        <v>2627</v>
      </c>
      <c r="J359" s="5">
        <f t="shared" si="116"/>
        <v>2352</v>
      </c>
      <c r="K359" s="5">
        <f t="shared" si="123"/>
        <v>3000</v>
      </c>
      <c r="L359" s="5">
        <f t="shared" si="124"/>
        <v>3000</v>
      </c>
      <c r="M359" s="5">
        <f t="shared" si="125"/>
        <v>3000</v>
      </c>
      <c r="N359" s="5">
        <f t="shared" si="120"/>
        <v>-361</v>
      </c>
      <c r="O359" s="5">
        <f t="shared" si="121"/>
        <v>-373</v>
      </c>
      <c r="P359" s="5">
        <f t="shared" si="122"/>
        <v>-648</v>
      </c>
      <c r="Q359" s="4">
        <v>0</v>
      </c>
      <c r="R359" s="4">
        <v>0</v>
      </c>
      <c r="S359" s="4">
        <v>0</v>
      </c>
      <c r="T359" s="6">
        <f t="shared" si="117"/>
        <v>1180</v>
      </c>
      <c r="U359" s="7">
        <f t="shared" si="128"/>
        <v>1719</v>
      </c>
      <c r="V359" s="7">
        <f t="shared" si="129"/>
        <v>1527</v>
      </c>
      <c r="W359" s="7">
        <f t="shared" si="127"/>
        <v>1742</v>
      </c>
      <c r="X359" s="6"/>
      <c r="Y359" s="5"/>
      <c r="Z359" s="5"/>
      <c r="AA359" s="5"/>
      <c r="AB359" s="5"/>
    </row>
    <row r="360" spans="1:28" ht="13.15" customHeight="1">
      <c r="A360" s="12">
        <f t="shared" si="126"/>
        <v>346</v>
      </c>
      <c r="B360" s="11">
        <f t="shared" si="118"/>
        <v>45616</v>
      </c>
      <c r="C360" s="9">
        <f t="shared" si="119"/>
        <v>842</v>
      </c>
      <c r="D360" s="8">
        <f t="shared" si="110"/>
        <v>1867</v>
      </c>
      <c r="E360" s="4">
        <f t="shared" si="111"/>
        <v>70</v>
      </c>
      <c r="F360" s="4">
        <f t="shared" si="112"/>
        <v>82</v>
      </c>
      <c r="G360" s="4">
        <f t="shared" si="113"/>
        <v>357</v>
      </c>
      <c r="H360" s="5">
        <f t="shared" si="114"/>
        <v>2639</v>
      </c>
      <c r="I360" s="5">
        <f t="shared" si="115"/>
        <v>2627</v>
      </c>
      <c r="J360" s="5">
        <f t="shared" si="116"/>
        <v>2352</v>
      </c>
      <c r="K360" s="5">
        <f t="shared" si="123"/>
        <v>3000</v>
      </c>
      <c r="L360" s="5">
        <f t="shared" si="124"/>
        <v>3000</v>
      </c>
      <c r="M360" s="5">
        <f t="shared" si="125"/>
        <v>3000</v>
      </c>
      <c r="N360" s="5">
        <f t="shared" si="120"/>
        <v>-361</v>
      </c>
      <c r="O360" s="5">
        <f t="shared" si="121"/>
        <v>-373</v>
      </c>
      <c r="P360" s="5">
        <f t="shared" si="122"/>
        <v>-648</v>
      </c>
      <c r="Q360" s="4">
        <v>0</v>
      </c>
      <c r="R360" s="4">
        <v>0</v>
      </c>
      <c r="S360" s="4">
        <v>0</v>
      </c>
      <c r="T360" s="6">
        <f t="shared" si="117"/>
        <v>1182</v>
      </c>
      <c r="U360" s="7">
        <f t="shared" si="128"/>
        <v>1719</v>
      </c>
      <c r="V360" s="7">
        <f t="shared" si="129"/>
        <v>1527</v>
      </c>
      <c r="W360" s="7">
        <f t="shared" si="127"/>
        <v>1742</v>
      </c>
      <c r="X360" s="6"/>
      <c r="Y360" s="5"/>
      <c r="Z360" s="5"/>
      <c r="AA360" s="5"/>
      <c r="AB360" s="5"/>
    </row>
    <row r="361" spans="1:28" ht="13.15" customHeight="1">
      <c r="A361" s="12">
        <f t="shared" si="126"/>
        <v>347</v>
      </c>
      <c r="B361" s="11">
        <f t="shared" si="118"/>
        <v>45617</v>
      </c>
      <c r="C361" s="9">
        <f t="shared" si="119"/>
        <v>842</v>
      </c>
      <c r="D361" s="8">
        <f t="shared" si="110"/>
        <v>1869</v>
      </c>
      <c r="E361" s="4">
        <f t="shared" si="111"/>
        <v>72</v>
      </c>
      <c r="F361" s="4">
        <f t="shared" si="112"/>
        <v>84</v>
      </c>
      <c r="G361" s="4">
        <f t="shared" si="113"/>
        <v>359</v>
      </c>
      <c r="H361" s="5">
        <f t="shared" si="114"/>
        <v>2639</v>
      </c>
      <c r="I361" s="5">
        <f t="shared" si="115"/>
        <v>2627</v>
      </c>
      <c r="J361" s="5">
        <f t="shared" si="116"/>
        <v>2352</v>
      </c>
      <c r="K361" s="5">
        <f t="shared" si="123"/>
        <v>3000</v>
      </c>
      <c r="L361" s="5">
        <f t="shared" si="124"/>
        <v>3000</v>
      </c>
      <c r="M361" s="5">
        <f t="shared" si="125"/>
        <v>3000</v>
      </c>
      <c r="N361" s="5">
        <f t="shared" si="120"/>
        <v>-361</v>
      </c>
      <c r="O361" s="5">
        <f t="shared" si="121"/>
        <v>-373</v>
      </c>
      <c r="P361" s="5">
        <f t="shared" si="122"/>
        <v>-648</v>
      </c>
      <c r="Q361" s="4">
        <v>0</v>
      </c>
      <c r="R361" s="4">
        <v>0</v>
      </c>
      <c r="S361" s="4">
        <v>0</v>
      </c>
      <c r="T361" s="6">
        <f t="shared" si="117"/>
        <v>1184</v>
      </c>
      <c r="U361" s="7">
        <f t="shared" si="128"/>
        <v>1719</v>
      </c>
      <c r="V361" s="7">
        <f t="shared" si="129"/>
        <v>1527</v>
      </c>
      <c r="W361" s="7">
        <f t="shared" si="127"/>
        <v>1742</v>
      </c>
      <c r="X361" s="6"/>
      <c r="Y361" s="5"/>
      <c r="Z361" s="5"/>
      <c r="AA361" s="5"/>
      <c r="AB361" s="5"/>
    </row>
    <row r="362" spans="1:28" ht="13.15" customHeight="1">
      <c r="A362" s="12">
        <f t="shared" si="126"/>
        <v>348</v>
      </c>
      <c r="B362" s="11">
        <f t="shared" si="118"/>
        <v>45618</v>
      </c>
      <c r="C362" s="9">
        <f t="shared" si="119"/>
        <v>842</v>
      </c>
      <c r="D362" s="8">
        <f t="shared" si="110"/>
        <v>1871</v>
      </c>
      <c r="E362" s="4">
        <f t="shared" si="111"/>
        <v>74</v>
      </c>
      <c r="F362" s="4">
        <f t="shared" si="112"/>
        <v>86</v>
      </c>
      <c r="G362" s="4">
        <f t="shared" si="113"/>
        <v>361</v>
      </c>
      <c r="H362" s="5">
        <f t="shared" si="114"/>
        <v>2639</v>
      </c>
      <c r="I362" s="5">
        <f t="shared" si="115"/>
        <v>2627</v>
      </c>
      <c r="J362" s="5">
        <f t="shared" si="116"/>
        <v>2352</v>
      </c>
      <c r="K362" s="5">
        <f t="shared" si="123"/>
        <v>3000</v>
      </c>
      <c r="L362" s="5">
        <f t="shared" si="124"/>
        <v>3000</v>
      </c>
      <c r="M362" s="5">
        <f t="shared" si="125"/>
        <v>3000</v>
      </c>
      <c r="N362" s="5">
        <f t="shared" si="120"/>
        <v>-361</v>
      </c>
      <c r="O362" s="5">
        <f t="shared" si="121"/>
        <v>-373</v>
      </c>
      <c r="P362" s="5">
        <f t="shared" si="122"/>
        <v>-648</v>
      </c>
      <c r="Q362" s="4">
        <v>0</v>
      </c>
      <c r="R362" s="4">
        <v>0</v>
      </c>
      <c r="S362" s="4">
        <v>0</v>
      </c>
      <c r="T362" s="6">
        <f t="shared" si="117"/>
        <v>1186</v>
      </c>
      <c r="U362" s="7">
        <f t="shared" si="128"/>
        <v>1719</v>
      </c>
      <c r="V362" s="7">
        <f t="shared" si="129"/>
        <v>1527</v>
      </c>
      <c r="W362" s="7">
        <f t="shared" si="127"/>
        <v>1742</v>
      </c>
      <c r="X362" s="6"/>
      <c r="Y362" s="5"/>
      <c r="Z362" s="5"/>
      <c r="AA362" s="5"/>
      <c r="AB362" s="5"/>
    </row>
    <row r="363" spans="1:28" ht="13.15" customHeight="1">
      <c r="A363" s="12">
        <f t="shared" si="126"/>
        <v>349</v>
      </c>
      <c r="B363" s="11">
        <f t="shared" si="118"/>
        <v>45619</v>
      </c>
      <c r="C363" s="9">
        <f t="shared" si="119"/>
        <v>842</v>
      </c>
      <c r="D363" s="8">
        <f t="shared" si="110"/>
        <v>1873</v>
      </c>
      <c r="E363" s="4">
        <f t="shared" si="111"/>
        <v>76</v>
      </c>
      <c r="F363" s="4">
        <f t="shared" si="112"/>
        <v>88</v>
      </c>
      <c r="G363" s="4">
        <f t="shared" si="113"/>
        <v>363</v>
      </c>
      <c r="H363" s="5">
        <f t="shared" si="114"/>
        <v>2639</v>
      </c>
      <c r="I363" s="5">
        <f t="shared" si="115"/>
        <v>2627</v>
      </c>
      <c r="J363" s="5">
        <f t="shared" si="116"/>
        <v>2352</v>
      </c>
      <c r="K363" s="5">
        <f t="shared" si="123"/>
        <v>3000</v>
      </c>
      <c r="L363" s="5">
        <f t="shared" si="124"/>
        <v>3000</v>
      </c>
      <c r="M363" s="5">
        <f t="shared" si="125"/>
        <v>3000</v>
      </c>
      <c r="N363" s="5">
        <f t="shared" si="120"/>
        <v>-361</v>
      </c>
      <c r="O363" s="5">
        <f t="shared" si="121"/>
        <v>-373</v>
      </c>
      <c r="P363" s="5">
        <f t="shared" si="122"/>
        <v>-648</v>
      </c>
      <c r="Q363" s="4">
        <v>0</v>
      </c>
      <c r="R363" s="4">
        <v>0</v>
      </c>
      <c r="S363" s="4">
        <v>0</v>
      </c>
      <c r="T363" s="6">
        <f t="shared" si="117"/>
        <v>1188</v>
      </c>
      <c r="U363" s="7">
        <f t="shared" si="128"/>
        <v>1719</v>
      </c>
      <c r="V363" s="7">
        <f t="shared" si="129"/>
        <v>1527</v>
      </c>
      <c r="W363" s="7">
        <f t="shared" si="127"/>
        <v>1742</v>
      </c>
      <c r="X363" s="6"/>
      <c r="Y363" s="5"/>
      <c r="Z363" s="5"/>
      <c r="AA363" s="5"/>
      <c r="AB363" s="5"/>
    </row>
    <row r="364" spans="1:28" ht="13.15" customHeight="1">
      <c r="A364" s="12">
        <f t="shared" si="126"/>
        <v>350</v>
      </c>
      <c r="B364" s="11">
        <f t="shared" si="118"/>
        <v>45620</v>
      </c>
      <c r="C364" s="9">
        <f t="shared" si="119"/>
        <v>842</v>
      </c>
      <c r="D364" s="8">
        <f t="shared" si="110"/>
        <v>1875</v>
      </c>
      <c r="E364" s="4">
        <f t="shared" si="111"/>
        <v>78</v>
      </c>
      <c r="F364" s="4">
        <f t="shared" si="112"/>
        <v>90</v>
      </c>
      <c r="G364" s="4">
        <f t="shared" si="113"/>
        <v>365</v>
      </c>
      <c r="H364" s="5">
        <f t="shared" si="114"/>
        <v>2639</v>
      </c>
      <c r="I364" s="5">
        <f t="shared" si="115"/>
        <v>2627</v>
      </c>
      <c r="J364" s="5">
        <f t="shared" si="116"/>
        <v>2352</v>
      </c>
      <c r="K364" s="5">
        <f t="shared" si="123"/>
        <v>3000</v>
      </c>
      <c r="L364" s="5">
        <f t="shared" si="124"/>
        <v>3000</v>
      </c>
      <c r="M364" s="5">
        <f t="shared" si="125"/>
        <v>3000</v>
      </c>
      <c r="N364" s="5">
        <f t="shared" si="120"/>
        <v>-361</v>
      </c>
      <c r="O364" s="5">
        <f t="shared" si="121"/>
        <v>-373</v>
      </c>
      <c r="P364" s="5">
        <f t="shared" si="122"/>
        <v>-648</v>
      </c>
      <c r="Q364" s="4">
        <v>0</v>
      </c>
      <c r="R364" s="4">
        <v>0</v>
      </c>
      <c r="S364" s="4">
        <v>0</v>
      </c>
      <c r="T364" s="6">
        <f t="shared" si="117"/>
        <v>1190</v>
      </c>
      <c r="U364" s="7">
        <f t="shared" si="128"/>
        <v>1719</v>
      </c>
      <c r="V364" s="7">
        <f t="shared" si="129"/>
        <v>1527</v>
      </c>
      <c r="W364" s="7">
        <f t="shared" si="127"/>
        <v>1742</v>
      </c>
      <c r="X364" s="6"/>
      <c r="Y364" s="5"/>
      <c r="Z364" s="5"/>
      <c r="AA364" s="5"/>
      <c r="AB364" s="5"/>
    </row>
    <row r="365" spans="1:28" ht="13.15" customHeight="1">
      <c r="A365" s="12">
        <f t="shared" si="126"/>
        <v>351</v>
      </c>
      <c r="B365" s="11">
        <f t="shared" si="118"/>
        <v>45621</v>
      </c>
      <c r="C365" s="9">
        <f t="shared" si="119"/>
        <v>842</v>
      </c>
      <c r="D365" s="8">
        <f t="shared" si="110"/>
        <v>1877</v>
      </c>
      <c r="E365" s="4">
        <f t="shared" si="111"/>
        <v>80</v>
      </c>
      <c r="F365" s="4">
        <f t="shared" si="112"/>
        <v>92</v>
      </c>
      <c r="G365" s="4">
        <f t="shared" si="113"/>
        <v>367</v>
      </c>
      <c r="H365" s="5">
        <f t="shared" si="114"/>
        <v>2639</v>
      </c>
      <c r="I365" s="5">
        <f t="shared" si="115"/>
        <v>2627</v>
      </c>
      <c r="J365" s="5">
        <f t="shared" si="116"/>
        <v>2352</v>
      </c>
      <c r="K365" s="5">
        <f t="shared" si="123"/>
        <v>3000</v>
      </c>
      <c r="L365" s="5">
        <f t="shared" si="124"/>
        <v>3000</v>
      </c>
      <c r="M365" s="5">
        <f t="shared" si="125"/>
        <v>3000</v>
      </c>
      <c r="N365" s="5">
        <f t="shared" si="120"/>
        <v>-361</v>
      </c>
      <c r="O365" s="5">
        <f t="shared" si="121"/>
        <v>-373</v>
      </c>
      <c r="P365" s="5">
        <f t="shared" si="122"/>
        <v>-648</v>
      </c>
      <c r="Q365" s="4">
        <v>0</v>
      </c>
      <c r="R365" s="4">
        <v>0</v>
      </c>
      <c r="S365" s="4">
        <v>0</v>
      </c>
      <c r="T365" s="6">
        <f t="shared" si="117"/>
        <v>1192</v>
      </c>
      <c r="U365" s="7">
        <f t="shared" si="128"/>
        <v>1719</v>
      </c>
      <c r="V365" s="7">
        <f t="shared" si="129"/>
        <v>1527</v>
      </c>
      <c r="W365" s="7">
        <f t="shared" si="127"/>
        <v>1742</v>
      </c>
      <c r="X365" s="6"/>
      <c r="Y365" s="5"/>
      <c r="Z365" s="5"/>
      <c r="AA365" s="5"/>
      <c r="AB365" s="5"/>
    </row>
    <row r="366" spans="1:28" ht="13.15" customHeight="1">
      <c r="A366" s="12">
        <f t="shared" si="126"/>
        <v>352</v>
      </c>
      <c r="B366" s="11">
        <f t="shared" si="118"/>
        <v>45622</v>
      </c>
      <c r="C366" s="9">
        <f t="shared" si="119"/>
        <v>842</v>
      </c>
      <c r="D366" s="8">
        <f t="shared" si="110"/>
        <v>1879</v>
      </c>
      <c r="E366" s="4">
        <f t="shared" si="111"/>
        <v>82</v>
      </c>
      <c r="F366" s="4">
        <f t="shared" si="112"/>
        <v>94</v>
      </c>
      <c r="G366" s="4">
        <f t="shared" si="113"/>
        <v>369</v>
      </c>
      <c r="H366" s="5">
        <f t="shared" si="114"/>
        <v>2639</v>
      </c>
      <c r="I366" s="5">
        <f t="shared" si="115"/>
        <v>2627</v>
      </c>
      <c r="J366" s="5">
        <f t="shared" si="116"/>
        <v>2352</v>
      </c>
      <c r="K366" s="5">
        <f t="shared" si="123"/>
        <v>3000</v>
      </c>
      <c r="L366" s="5">
        <f t="shared" si="124"/>
        <v>3000</v>
      </c>
      <c r="M366" s="5">
        <f t="shared" si="125"/>
        <v>3000</v>
      </c>
      <c r="N366" s="5">
        <f t="shared" si="120"/>
        <v>-361</v>
      </c>
      <c r="O366" s="5">
        <f t="shared" si="121"/>
        <v>-373</v>
      </c>
      <c r="P366" s="5">
        <f t="shared" si="122"/>
        <v>-648</v>
      </c>
      <c r="Q366" s="4">
        <v>0</v>
      </c>
      <c r="R366" s="4">
        <v>0</v>
      </c>
      <c r="S366" s="4">
        <v>0</v>
      </c>
      <c r="T366" s="6">
        <f t="shared" si="117"/>
        <v>1194</v>
      </c>
      <c r="U366" s="7">
        <f t="shared" si="128"/>
        <v>1719</v>
      </c>
      <c r="V366" s="7">
        <f t="shared" si="129"/>
        <v>1527</v>
      </c>
      <c r="W366" s="7">
        <f t="shared" si="127"/>
        <v>1742</v>
      </c>
      <c r="X366" s="6"/>
      <c r="Y366" s="5"/>
      <c r="Z366" s="5"/>
      <c r="AA366" s="5"/>
      <c r="AB366" s="5"/>
    </row>
    <row r="367" spans="1:28" ht="13.15" customHeight="1">
      <c r="A367" s="12">
        <f t="shared" si="126"/>
        <v>353</v>
      </c>
      <c r="B367" s="11">
        <f t="shared" si="118"/>
        <v>45623</v>
      </c>
      <c r="C367" s="9">
        <f t="shared" si="119"/>
        <v>842</v>
      </c>
      <c r="D367" s="8">
        <f t="shared" si="110"/>
        <v>1881</v>
      </c>
      <c r="E367" s="4">
        <f t="shared" si="111"/>
        <v>84</v>
      </c>
      <c r="F367" s="4">
        <f t="shared" si="112"/>
        <v>96</v>
      </c>
      <c r="G367" s="4">
        <f t="shared" si="113"/>
        <v>371</v>
      </c>
      <c r="H367" s="5">
        <f t="shared" si="114"/>
        <v>2639</v>
      </c>
      <c r="I367" s="5">
        <f t="shared" si="115"/>
        <v>2627</v>
      </c>
      <c r="J367" s="5">
        <f t="shared" si="116"/>
        <v>2352</v>
      </c>
      <c r="K367" s="5">
        <f t="shared" si="123"/>
        <v>3000</v>
      </c>
      <c r="L367" s="5">
        <f t="shared" si="124"/>
        <v>3000</v>
      </c>
      <c r="M367" s="5">
        <f t="shared" si="125"/>
        <v>3000</v>
      </c>
      <c r="N367" s="5">
        <f t="shared" si="120"/>
        <v>-361</v>
      </c>
      <c r="O367" s="5">
        <f t="shared" si="121"/>
        <v>-373</v>
      </c>
      <c r="P367" s="5">
        <f t="shared" si="122"/>
        <v>-648</v>
      </c>
      <c r="Q367" s="4">
        <v>0</v>
      </c>
      <c r="R367" s="4">
        <v>0</v>
      </c>
      <c r="S367" s="4">
        <v>0</v>
      </c>
      <c r="T367" s="6">
        <f t="shared" si="117"/>
        <v>1196</v>
      </c>
      <c r="U367" s="7">
        <f t="shared" si="128"/>
        <v>1719</v>
      </c>
      <c r="V367" s="7">
        <f t="shared" si="129"/>
        <v>1527</v>
      </c>
      <c r="W367" s="7">
        <f t="shared" si="127"/>
        <v>1742</v>
      </c>
      <c r="X367" s="13"/>
      <c r="Y367" s="5"/>
      <c r="Z367" s="5"/>
      <c r="AA367" s="5"/>
      <c r="AB367" s="5"/>
    </row>
    <row r="368" spans="1:28" ht="13.15" customHeight="1">
      <c r="A368" s="12">
        <f t="shared" si="126"/>
        <v>354</v>
      </c>
      <c r="B368" s="11">
        <f t="shared" si="118"/>
        <v>45624</v>
      </c>
      <c r="C368" s="9">
        <f t="shared" si="119"/>
        <v>842</v>
      </c>
      <c r="D368" s="8">
        <f t="shared" si="110"/>
        <v>1883</v>
      </c>
      <c r="E368" s="4">
        <f t="shared" si="111"/>
        <v>86</v>
      </c>
      <c r="F368" s="4">
        <f t="shared" si="112"/>
        <v>98</v>
      </c>
      <c r="G368" s="4">
        <f t="shared" si="113"/>
        <v>373</v>
      </c>
      <c r="H368" s="5">
        <f t="shared" si="114"/>
        <v>2639</v>
      </c>
      <c r="I368" s="5">
        <f t="shared" si="115"/>
        <v>2627</v>
      </c>
      <c r="J368" s="5">
        <f t="shared" si="116"/>
        <v>2352</v>
      </c>
      <c r="K368" s="5">
        <f t="shared" si="123"/>
        <v>3000</v>
      </c>
      <c r="L368" s="5">
        <f t="shared" si="124"/>
        <v>3000</v>
      </c>
      <c r="M368" s="5">
        <f t="shared" si="125"/>
        <v>3000</v>
      </c>
      <c r="N368" s="5">
        <f t="shared" si="120"/>
        <v>-361</v>
      </c>
      <c r="O368" s="5">
        <f t="shared" si="121"/>
        <v>-373</v>
      </c>
      <c r="P368" s="5">
        <f t="shared" si="122"/>
        <v>-648</v>
      </c>
      <c r="Q368" s="4">
        <v>0</v>
      </c>
      <c r="R368" s="4">
        <v>0</v>
      </c>
      <c r="S368" s="4">
        <v>0</v>
      </c>
      <c r="T368" s="6">
        <f t="shared" si="117"/>
        <v>1198</v>
      </c>
      <c r="U368" s="7">
        <f t="shared" si="128"/>
        <v>1719</v>
      </c>
      <c r="V368" s="7">
        <f t="shared" si="129"/>
        <v>1527</v>
      </c>
      <c r="W368" s="7">
        <f t="shared" si="127"/>
        <v>1742</v>
      </c>
      <c r="X368" s="6"/>
      <c r="Y368" s="5"/>
      <c r="Z368" s="5"/>
      <c r="AA368" s="5"/>
      <c r="AB368" s="5"/>
    </row>
    <row r="369" spans="1:28" ht="13.15" customHeight="1">
      <c r="A369" s="12">
        <f t="shared" si="126"/>
        <v>355</v>
      </c>
      <c r="B369" s="11">
        <f t="shared" si="118"/>
        <v>45625</v>
      </c>
      <c r="C369" s="9">
        <f t="shared" si="119"/>
        <v>842</v>
      </c>
      <c r="D369" s="8">
        <f t="shared" si="110"/>
        <v>1885</v>
      </c>
      <c r="E369" s="4">
        <f t="shared" si="111"/>
        <v>88</v>
      </c>
      <c r="F369" s="4">
        <f t="shared" si="112"/>
        <v>100</v>
      </c>
      <c r="G369" s="4">
        <f t="shared" si="113"/>
        <v>375</v>
      </c>
      <c r="H369" s="5">
        <f t="shared" si="114"/>
        <v>2639</v>
      </c>
      <c r="I369" s="5">
        <f t="shared" si="115"/>
        <v>2627</v>
      </c>
      <c r="J369" s="5">
        <f t="shared" si="116"/>
        <v>2352</v>
      </c>
      <c r="K369" s="5">
        <f t="shared" si="123"/>
        <v>3000</v>
      </c>
      <c r="L369" s="5">
        <f t="shared" si="124"/>
        <v>3000</v>
      </c>
      <c r="M369" s="5">
        <f t="shared" si="125"/>
        <v>3000</v>
      </c>
      <c r="N369" s="5">
        <f t="shared" si="120"/>
        <v>-361</v>
      </c>
      <c r="O369" s="5">
        <f t="shared" si="121"/>
        <v>-373</v>
      </c>
      <c r="P369" s="5">
        <f t="shared" si="122"/>
        <v>-648</v>
      </c>
      <c r="Q369" s="4">
        <v>0</v>
      </c>
      <c r="R369" s="4">
        <v>0</v>
      </c>
      <c r="S369" s="4">
        <v>0</v>
      </c>
      <c r="T369" s="6">
        <f t="shared" si="117"/>
        <v>1200</v>
      </c>
      <c r="U369" s="7">
        <f t="shared" si="128"/>
        <v>1719</v>
      </c>
      <c r="V369" s="7">
        <f t="shared" si="129"/>
        <v>1527</v>
      </c>
      <c r="W369" s="7">
        <f t="shared" si="127"/>
        <v>1742</v>
      </c>
      <c r="X369" s="6"/>
      <c r="Y369" s="5"/>
      <c r="Z369" s="5"/>
      <c r="AA369" s="5"/>
      <c r="AB369" s="5"/>
    </row>
    <row r="370" spans="1:28" ht="13.15" customHeight="1">
      <c r="A370" s="12">
        <f t="shared" si="126"/>
        <v>356</v>
      </c>
      <c r="B370" s="11">
        <f t="shared" si="118"/>
        <v>45626</v>
      </c>
      <c r="C370" s="9">
        <f t="shared" si="119"/>
        <v>842</v>
      </c>
      <c r="D370" s="8">
        <f t="shared" si="110"/>
        <v>1887</v>
      </c>
      <c r="E370" s="4">
        <f t="shared" si="111"/>
        <v>90</v>
      </c>
      <c r="F370" s="4">
        <f t="shared" si="112"/>
        <v>102</v>
      </c>
      <c r="G370" s="4">
        <f t="shared" si="113"/>
        <v>377</v>
      </c>
      <c r="H370" s="5">
        <f t="shared" si="114"/>
        <v>2639</v>
      </c>
      <c r="I370" s="5">
        <f t="shared" si="115"/>
        <v>2627</v>
      </c>
      <c r="J370" s="5">
        <f t="shared" si="116"/>
        <v>2352</v>
      </c>
      <c r="K370" s="5">
        <f t="shared" si="123"/>
        <v>3000</v>
      </c>
      <c r="L370" s="5">
        <f t="shared" si="124"/>
        <v>3000</v>
      </c>
      <c r="M370" s="5">
        <f t="shared" si="125"/>
        <v>3000</v>
      </c>
      <c r="N370" s="5">
        <f t="shared" si="120"/>
        <v>-361</v>
      </c>
      <c r="O370" s="5">
        <f t="shared" si="121"/>
        <v>-373</v>
      </c>
      <c r="P370" s="5">
        <f t="shared" si="122"/>
        <v>-648</v>
      </c>
      <c r="Q370" s="4">
        <v>0</v>
      </c>
      <c r="R370" s="4">
        <v>0</v>
      </c>
      <c r="S370" s="4">
        <v>0</v>
      </c>
      <c r="T370" s="6">
        <f t="shared" si="117"/>
        <v>1202</v>
      </c>
      <c r="U370" s="7">
        <f t="shared" si="128"/>
        <v>1719</v>
      </c>
      <c r="V370" s="7">
        <f t="shared" si="129"/>
        <v>1527</v>
      </c>
      <c r="W370" s="7">
        <f t="shared" si="127"/>
        <v>1742</v>
      </c>
      <c r="X370" s="6"/>
      <c r="Y370" s="5"/>
      <c r="Z370" s="5"/>
      <c r="AA370" s="5"/>
      <c r="AB370" s="5"/>
    </row>
    <row r="371" spans="1:28" ht="13.15" customHeight="1">
      <c r="A371" s="12">
        <f t="shared" si="126"/>
        <v>357</v>
      </c>
      <c r="B371" s="11">
        <f t="shared" si="118"/>
        <v>45627</v>
      </c>
      <c r="C371" s="9">
        <f t="shared" si="119"/>
        <v>842</v>
      </c>
      <c r="D371" s="8">
        <f t="shared" si="110"/>
        <v>1889</v>
      </c>
      <c r="E371" s="4">
        <f t="shared" si="111"/>
        <v>92</v>
      </c>
      <c r="F371" s="4">
        <f t="shared" si="112"/>
        <v>104</v>
      </c>
      <c r="G371" s="4">
        <f t="shared" si="113"/>
        <v>379</v>
      </c>
      <c r="H371" s="5">
        <f t="shared" si="114"/>
        <v>2639</v>
      </c>
      <c r="I371" s="5">
        <f t="shared" si="115"/>
        <v>2627</v>
      </c>
      <c r="J371" s="5">
        <f t="shared" si="116"/>
        <v>2352</v>
      </c>
      <c r="K371" s="5">
        <f t="shared" si="123"/>
        <v>3000</v>
      </c>
      <c r="L371" s="5">
        <f t="shared" si="124"/>
        <v>3000</v>
      </c>
      <c r="M371" s="5">
        <f t="shared" si="125"/>
        <v>3000</v>
      </c>
      <c r="N371" s="5">
        <f t="shared" si="120"/>
        <v>-361</v>
      </c>
      <c r="O371" s="5">
        <f t="shared" si="121"/>
        <v>-373</v>
      </c>
      <c r="P371" s="5">
        <f t="shared" si="122"/>
        <v>-648</v>
      </c>
      <c r="Q371" s="4">
        <v>0</v>
      </c>
      <c r="R371" s="4">
        <v>0</v>
      </c>
      <c r="S371" s="4">
        <v>0</v>
      </c>
      <c r="T371" s="6">
        <f t="shared" si="117"/>
        <v>1204</v>
      </c>
      <c r="U371" s="7">
        <f t="shared" si="128"/>
        <v>1719</v>
      </c>
      <c r="V371" s="7">
        <f t="shared" si="129"/>
        <v>1527</v>
      </c>
      <c r="W371" s="7">
        <f t="shared" si="127"/>
        <v>1742</v>
      </c>
      <c r="X371" s="6"/>
      <c r="Y371" s="5"/>
      <c r="Z371" s="5"/>
      <c r="AA371" s="5"/>
      <c r="AB371" s="5"/>
    </row>
    <row r="372" spans="1:28" ht="13.15" customHeight="1">
      <c r="A372" s="12">
        <f t="shared" si="126"/>
        <v>358</v>
      </c>
      <c r="B372" s="11">
        <f t="shared" si="118"/>
        <v>45628</v>
      </c>
      <c r="C372" s="9">
        <f t="shared" si="119"/>
        <v>842</v>
      </c>
      <c r="D372" s="8">
        <f t="shared" si="110"/>
        <v>1891</v>
      </c>
      <c r="E372" s="4">
        <f t="shared" si="111"/>
        <v>94</v>
      </c>
      <c r="F372" s="4">
        <f t="shared" si="112"/>
        <v>106</v>
      </c>
      <c r="G372" s="4">
        <f t="shared" si="113"/>
        <v>381</v>
      </c>
      <c r="H372" s="5">
        <f t="shared" si="114"/>
        <v>2639</v>
      </c>
      <c r="I372" s="5">
        <f t="shared" si="115"/>
        <v>2627</v>
      </c>
      <c r="J372" s="5">
        <f t="shared" si="116"/>
        <v>2352</v>
      </c>
      <c r="K372" s="5">
        <f t="shared" si="123"/>
        <v>3000</v>
      </c>
      <c r="L372" s="5">
        <f t="shared" si="124"/>
        <v>3000</v>
      </c>
      <c r="M372" s="5">
        <f t="shared" si="125"/>
        <v>3000</v>
      </c>
      <c r="N372" s="5">
        <f t="shared" si="120"/>
        <v>-361</v>
      </c>
      <c r="O372" s="5">
        <f t="shared" si="121"/>
        <v>-373</v>
      </c>
      <c r="P372" s="5">
        <f t="shared" si="122"/>
        <v>-648</v>
      </c>
      <c r="Q372" s="4">
        <v>0</v>
      </c>
      <c r="R372" s="4">
        <v>0</v>
      </c>
      <c r="S372" s="4">
        <v>0</v>
      </c>
      <c r="T372" s="6">
        <f t="shared" si="117"/>
        <v>1206</v>
      </c>
      <c r="U372" s="7">
        <f t="shared" si="128"/>
        <v>1719</v>
      </c>
      <c r="V372" s="7">
        <f t="shared" si="129"/>
        <v>1527</v>
      </c>
      <c r="W372" s="7">
        <f t="shared" si="127"/>
        <v>1742</v>
      </c>
      <c r="X372" s="13"/>
      <c r="Y372" s="5"/>
      <c r="Z372" s="5"/>
      <c r="AA372" s="5"/>
      <c r="AB372" s="5"/>
    </row>
    <row r="373" spans="1:28" ht="13.15" customHeight="1">
      <c r="A373" s="12">
        <f t="shared" si="126"/>
        <v>359</v>
      </c>
      <c r="B373" s="11">
        <f t="shared" si="118"/>
        <v>45629</v>
      </c>
      <c r="C373" s="9">
        <f t="shared" si="119"/>
        <v>842</v>
      </c>
      <c r="D373" s="8">
        <f t="shared" si="110"/>
        <v>1893</v>
      </c>
      <c r="E373" s="4">
        <f t="shared" si="111"/>
        <v>96</v>
      </c>
      <c r="F373" s="4">
        <f t="shared" si="112"/>
        <v>108</v>
      </c>
      <c r="G373" s="4">
        <f t="shared" si="113"/>
        <v>383</v>
      </c>
      <c r="H373" s="5">
        <f t="shared" si="114"/>
        <v>2639</v>
      </c>
      <c r="I373" s="5">
        <f t="shared" si="115"/>
        <v>2627</v>
      </c>
      <c r="J373" s="5">
        <f t="shared" si="116"/>
        <v>2352</v>
      </c>
      <c r="K373" s="5">
        <f t="shared" si="123"/>
        <v>3000</v>
      </c>
      <c r="L373" s="5">
        <f t="shared" si="124"/>
        <v>3000</v>
      </c>
      <c r="M373" s="5">
        <f t="shared" si="125"/>
        <v>3000</v>
      </c>
      <c r="N373" s="5">
        <f t="shared" si="120"/>
        <v>-361</v>
      </c>
      <c r="O373" s="5">
        <f t="shared" si="121"/>
        <v>-373</v>
      </c>
      <c r="P373" s="5">
        <f t="shared" si="122"/>
        <v>-648</v>
      </c>
      <c r="Q373" s="4">
        <v>0</v>
      </c>
      <c r="R373" s="4">
        <v>0</v>
      </c>
      <c r="S373" s="4">
        <v>0</v>
      </c>
      <c r="T373" s="6">
        <f t="shared" si="117"/>
        <v>1208</v>
      </c>
      <c r="U373" s="7">
        <f t="shared" si="128"/>
        <v>1719</v>
      </c>
      <c r="V373" s="7">
        <f t="shared" si="129"/>
        <v>1527</v>
      </c>
      <c r="W373" s="7">
        <f t="shared" si="127"/>
        <v>1742</v>
      </c>
      <c r="X373" s="6"/>
      <c r="Y373" s="5"/>
      <c r="Z373" s="5"/>
      <c r="AA373" s="5"/>
      <c r="AB373" s="5"/>
    </row>
    <row r="374" spans="1:28" ht="13.15" customHeight="1">
      <c r="A374" s="12">
        <f t="shared" si="126"/>
        <v>360</v>
      </c>
      <c r="B374" s="11">
        <f t="shared" si="118"/>
        <v>45630</v>
      </c>
      <c r="C374" s="9">
        <f t="shared" si="119"/>
        <v>842</v>
      </c>
      <c r="D374" s="8">
        <f t="shared" si="110"/>
        <v>1895</v>
      </c>
      <c r="E374" s="4">
        <f t="shared" si="111"/>
        <v>98</v>
      </c>
      <c r="F374" s="4">
        <f t="shared" si="112"/>
        <v>110</v>
      </c>
      <c r="G374" s="4">
        <f t="shared" si="113"/>
        <v>385</v>
      </c>
      <c r="H374" s="5">
        <f t="shared" si="114"/>
        <v>2639</v>
      </c>
      <c r="I374" s="5">
        <f t="shared" si="115"/>
        <v>2627</v>
      </c>
      <c r="J374" s="5">
        <f t="shared" si="116"/>
        <v>2352</v>
      </c>
      <c r="K374" s="5">
        <f t="shared" si="123"/>
        <v>3000</v>
      </c>
      <c r="L374" s="5">
        <f t="shared" si="124"/>
        <v>3000</v>
      </c>
      <c r="M374" s="5">
        <f t="shared" si="125"/>
        <v>3000</v>
      </c>
      <c r="N374" s="5">
        <f t="shared" si="120"/>
        <v>-361</v>
      </c>
      <c r="O374" s="5">
        <f t="shared" si="121"/>
        <v>-373</v>
      </c>
      <c r="P374" s="5">
        <f t="shared" si="122"/>
        <v>-648</v>
      </c>
      <c r="Q374" s="4">
        <v>0</v>
      </c>
      <c r="R374" s="4">
        <v>0</v>
      </c>
      <c r="S374" s="4">
        <v>0</v>
      </c>
      <c r="T374" s="6">
        <f t="shared" si="117"/>
        <v>1210</v>
      </c>
      <c r="U374" s="7">
        <f t="shared" si="128"/>
        <v>1719</v>
      </c>
      <c r="V374" s="7">
        <f t="shared" si="129"/>
        <v>1527</v>
      </c>
      <c r="W374" s="7">
        <f t="shared" si="127"/>
        <v>1742</v>
      </c>
      <c r="X374" s="6"/>
      <c r="Y374" s="5"/>
      <c r="Z374" s="5"/>
      <c r="AA374" s="5"/>
      <c r="AB374" s="5"/>
    </row>
    <row r="375" spans="1:28" ht="13.15" customHeight="1">
      <c r="A375" s="12">
        <f t="shared" si="126"/>
        <v>361</v>
      </c>
      <c r="B375" s="11">
        <f t="shared" si="118"/>
        <v>45631</v>
      </c>
      <c r="C375" s="9">
        <f t="shared" si="119"/>
        <v>842</v>
      </c>
      <c r="D375" s="8">
        <f t="shared" si="110"/>
        <v>1897</v>
      </c>
      <c r="E375" s="4">
        <f t="shared" si="111"/>
        <v>100</v>
      </c>
      <c r="F375" s="4">
        <f t="shared" si="112"/>
        <v>112</v>
      </c>
      <c r="G375" s="4">
        <f t="shared" si="113"/>
        <v>387</v>
      </c>
      <c r="H375" s="5">
        <f t="shared" si="114"/>
        <v>2639</v>
      </c>
      <c r="I375" s="5">
        <f t="shared" si="115"/>
        <v>2627</v>
      </c>
      <c r="J375" s="5">
        <f t="shared" si="116"/>
        <v>2352</v>
      </c>
      <c r="K375" s="5">
        <f t="shared" si="123"/>
        <v>3000</v>
      </c>
      <c r="L375" s="5">
        <f t="shared" si="124"/>
        <v>3000</v>
      </c>
      <c r="M375" s="5">
        <f t="shared" si="125"/>
        <v>3000</v>
      </c>
      <c r="N375" s="5">
        <f t="shared" si="120"/>
        <v>-361</v>
      </c>
      <c r="O375" s="5">
        <f t="shared" si="121"/>
        <v>-373</v>
      </c>
      <c r="P375" s="5">
        <f t="shared" si="122"/>
        <v>-648</v>
      </c>
      <c r="Q375" s="4">
        <v>0</v>
      </c>
      <c r="R375" s="4">
        <v>0</v>
      </c>
      <c r="S375" s="4">
        <v>0</v>
      </c>
      <c r="T375" s="6">
        <f t="shared" si="117"/>
        <v>1212</v>
      </c>
      <c r="U375" s="7">
        <f t="shared" si="128"/>
        <v>1719</v>
      </c>
      <c r="V375" s="7">
        <f t="shared" si="129"/>
        <v>1527</v>
      </c>
      <c r="W375" s="7">
        <f t="shared" si="127"/>
        <v>1742</v>
      </c>
      <c r="X375" s="6"/>
      <c r="Y375" s="5"/>
      <c r="Z375" s="5"/>
      <c r="AA375" s="5"/>
      <c r="AB375" s="5"/>
    </row>
    <row r="376" spans="1:28" ht="13.15" customHeight="1">
      <c r="A376" s="12">
        <f t="shared" si="126"/>
        <v>362</v>
      </c>
      <c r="B376" s="11">
        <f t="shared" si="118"/>
        <v>45632</v>
      </c>
      <c r="C376" s="9">
        <f t="shared" si="119"/>
        <v>842</v>
      </c>
      <c r="D376" s="8">
        <f t="shared" si="110"/>
        <v>1899</v>
      </c>
      <c r="E376" s="4">
        <f t="shared" si="111"/>
        <v>102</v>
      </c>
      <c r="F376" s="4">
        <f t="shared" si="112"/>
        <v>114</v>
      </c>
      <c r="G376" s="4">
        <f t="shared" si="113"/>
        <v>389</v>
      </c>
      <c r="H376" s="5">
        <f t="shared" si="114"/>
        <v>2639</v>
      </c>
      <c r="I376" s="5">
        <f t="shared" si="115"/>
        <v>2627</v>
      </c>
      <c r="J376" s="5">
        <f t="shared" si="116"/>
        <v>2352</v>
      </c>
      <c r="K376" s="5">
        <f t="shared" si="123"/>
        <v>3000</v>
      </c>
      <c r="L376" s="5">
        <f t="shared" si="124"/>
        <v>3000</v>
      </c>
      <c r="M376" s="5">
        <f t="shared" si="125"/>
        <v>3000</v>
      </c>
      <c r="N376" s="5">
        <f t="shared" si="120"/>
        <v>-361</v>
      </c>
      <c r="O376" s="5">
        <f t="shared" si="121"/>
        <v>-373</v>
      </c>
      <c r="P376" s="5">
        <f t="shared" si="122"/>
        <v>-648</v>
      </c>
      <c r="Q376" s="4">
        <v>0</v>
      </c>
      <c r="R376" s="4">
        <v>0</v>
      </c>
      <c r="S376" s="4">
        <v>0</v>
      </c>
      <c r="T376" s="6">
        <f t="shared" si="117"/>
        <v>1214</v>
      </c>
      <c r="U376" s="7">
        <f t="shared" si="128"/>
        <v>1719</v>
      </c>
      <c r="V376" s="7">
        <f t="shared" si="129"/>
        <v>1527</v>
      </c>
      <c r="W376" s="7">
        <f t="shared" si="127"/>
        <v>1742</v>
      </c>
      <c r="X376" s="6"/>
      <c r="Y376" s="5"/>
      <c r="Z376" s="5"/>
      <c r="AA376" s="5"/>
      <c r="AB376" s="5"/>
    </row>
    <row r="377" spans="1:28" ht="13.15" customHeight="1">
      <c r="A377" s="12">
        <f t="shared" si="126"/>
        <v>363</v>
      </c>
      <c r="B377" s="11">
        <f t="shared" si="118"/>
        <v>45633</v>
      </c>
      <c r="C377" s="9">
        <f t="shared" si="119"/>
        <v>842</v>
      </c>
      <c r="D377" s="8">
        <f t="shared" si="110"/>
        <v>1901</v>
      </c>
      <c r="E377" s="4">
        <f t="shared" si="111"/>
        <v>104</v>
      </c>
      <c r="F377" s="4">
        <f t="shared" si="112"/>
        <v>116</v>
      </c>
      <c r="G377" s="4">
        <f t="shared" si="113"/>
        <v>391</v>
      </c>
      <c r="H377" s="5">
        <f t="shared" si="114"/>
        <v>2639</v>
      </c>
      <c r="I377" s="5">
        <f t="shared" si="115"/>
        <v>2627</v>
      </c>
      <c r="J377" s="5">
        <f t="shared" si="116"/>
        <v>2352</v>
      </c>
      <c r="K377" s="5">
        <f t="shared" si="123"/>
        <v>3000</v>
      </c>
      <c r="L377" s="5">
        <f t="shared" si="124"/>
        <v>3000</v>
      </c>
      <c r="M377" s="5">
        <f t="shared" si="125"/>
        <v>3000</v>
      </c>
      <c r="N377" s="5">
        <f t="shared" si="120"/>
        <v>-361</v>
      </c>
      <c r="O377" s="5">
        <f t="shared" si="121"/>
        <v>-373</v>
      </c>
      <c r="P377" s="5">
        <f t="shared" si="122"/>
        <v>-648</v>
      </c>
      <c r="Q377" s="4">
        <v>0</v>
      </c>
      <c r="R377" s="4">
        <v>0</v>
      </c>
      <c r="S377" s="4">
        <v>0</v>
      </c>
      <c r="T377" s="6">
        <f t="shared" si="117"/>
        <v>1216</v>
      </c>
      <c r="U377" s="7">
        <f t="shared" si="128"/>
        <v>1719</v>
      </c>
      <c r="V377" s="7">
        <f t="shared" si="129"/>
        <v>1527</v>
      </c>
      <c r="W377" s="7">
        <f t="shared" si="127"/>
        <v>1742</v>
      </c>
      <c r="X377" s="13"/>
      <c r="Y377" s="5"/>
      <c r="Z377" s="5"/>
      <c r="AA377" s="5"/>
      <c r="AB377" s="5"/>
    </row>
    <row r="378" spans="1:28" ht="13.15" customHeight="1">
      <c r="A378" s="12">
        <f t="shared" si="126"/>
        <v>364</v>
      </c>
      <c r="B378" s="11">
        <f t="shared" si="118"/>
        <v>45634</v>
      </c>
      <c r="C378" s="9">
        <f t="shared" si="119"/>
        <v>842</v>
      </c>
      <c r="D378" s="8">
        <f t="shared" si="110"/>
        <v>1903</v>
      </c>
      <c r="E378" s="4">
        <f t="shared" si="111"/>
        <v>106</v>
      </c>
      <c r="F378" s="4">
        <f t="shared" si="112"/>
        <v>118</v>
      </c>
      <c r="G378" s="4">
        <f t="shared" si="113"/>
        <v>393</v>
      </c>
      <c r="H378" s="5">
        <f t="shared" si="114"/>
        <v>2639</v>
      </c>
      <c r="I378" s="5">
        <f t="shared" si="115"/>
        <v>2627</v>
      </c>
      <c r="J378" s="5">
        <f t="shared" si="116"/>
        <v>2352</v>
      </c>
      <c r="K378" s="5">
        <f t="shared" si="123"/>
        <v>3000</v>
      </c>
      <c r="L378" s="5">
        <f t="shared" si="124"/>
        <v>3000</v>
      </c>
      <c r="M378" s="5">
        <f t="shared" si="125"/>
        <v>3000</v>
      </c>
      <c r="N378" s="5">
        <f t="shared" si="120"/>
        <v>-361</v>
      </c>
      <c r="O378" s="5">
        <f t="shared" si="121"/>
        <v>-373</v>
      </c>
      <c r="P378" s="5">
        <f t="shared" si="122"/>
        <v>-648</v>
      </c>
      <c r="Q378" s="4">
        <v>0</v>
      </c>
      <c r="R378" s="4">
        <v>0</v>
      </c>
      <c r="S378" s="4">
        <v>0</v>
      </c>
      <c r="T378" s="6">
        <f t="shared" si="117"/>
        <v>1218</v>
      </c>
      <c r="U378" s="7">
        <f t="shared" si="128"/>
        <v>1719</v>
      </c>
      <c r="V378" s="7">
        <f t="shared" si="129"/>
        <v>1527</v>
      </c>
      <c r="W378" s="7">
        <f t="shared" si="127"/>
        <v>1742</v>
      </c>
      <c r="X378" s="6"/>
      <c r="Y378" s="5"/>
      <c r="Z378" s="5"/>
      <c r="AA378" s="5"/>
      <c r="AB378" s="5"/>
    </row>
    <row r="379" spans="1:28" ht="13.15" customHeight="1">
      <c r="A379" s="12">
        <f t="shared" si="126"/>
        <v>365</v>
      </c>
      <c r="B379" s="11">
        <f t="shared" si="118"/>
        <v>45635</v>
      </c>
      <c r="C379" s="9">
        <f t="shared" si="119"/>
        <v>842</v>
      </c>
      <c r="D379" s="8">
        <f t="shared" si="110"/>
        <v>1905</v>
      </c>
      <c r="E379" s="4">
        <f t="shared" si="111"/>
        <v>108</v>
      </c>
      <c r="F379" s="4">
        <f t="shared" si="112"/>
        <v>120</v>
      </c>
      <c r="G379" s="4">
        <f t="shared" si="113"/>
        <v>395</v>
      </c>
      <c r="H379" s="5">
        <f t="shared" si="114"/>
        <v>2639</v>
      </c>
      <c r="I379" s="5">
        <f t="shared" si="115"/>
        <v>2627</v>
      </c>
      <c r="J379" s="5">
        <f t="shared" si="116"/>
        <v>2352</v>
      </c>
      <c r="K379" s="5">
        <f t="shared" si="123"/>
        <v>3000</v>
      </c>
      <c r="L379" s="5">
        <f t="shared" si="124"/>
        <v>3000</v>
      </c>
      <c r="M379" s="5">
        <f t="shared" si="125"/>
        <v>3000</v>
      </c>
      <c r="N379" s="5">
        <f t="shared" si="120"/>
        <v>-361</v>
      </c>
      <c r="O379" s="5">
        <f t="shared" si="121"/>
        <v>-373</v>
      </c>
      <c r="P379" s="5">
        <f t="shared" si="122"/>
        <v>-648</v>
      </c>
      <c r="Q379" s="4">
        <v>0</v>
      </c>
      <c r="R379" s="4">
        <v>0</v>
      </c>
      <c r="S379" s="4">
        <v>0</v>
      </c>
      <c r="T379" s="6">
        <f t="shared" si="117"/>
        <v>1220</v>
      </c>
      <c r="U379" s="7">
        <f t="shared" si="128"/>
        <v>1719</v>
      </c>
      <c r="V379" s="7">
        <f t="shared" si="129"/>
        <v>1527</v>
      </c>
      <c r="W379" s="7">
        <f t="shared" si="127"/>
        <v>1742</v>
      </c>
      <c r="X379" s="6"/>
      <c r="Y379" s="5"/>
      <c r="Z379" s="5"/>
      <c r="AA379" s="5"/>
      <c r="AB379" s="5"/>
    </row>
    <row r="380" spans="1:28" ht="13.15" customHeight="1">
      <c r="A380" s="12">
        <f t="shared" si="126"/>
        <v>366</v>
      </c>
      <c r="B380" s="11">
        <f t="shared" si="118"/>
        <v>45636</v>
      </c>
      <c r="C380" s="9">
        <f t="shared" si="119"/>
        <v>842</v>
      </c>
      <c r="D380" s="8">
        <f t="shared" si="110"/>
        <v>1907</v>
      </c>
      <c r="E380" s="4">
        <f t="shared" si="111"/>
        <v>110</v>
      </c>
      <c r="F380" s="4">
        <f t="shared" si="112"/>
        <v>122</v>
      </c>
      <c r="G380" s="4">
        <f t="shared" si="113"/>
        <v>397</v>
      </c>
      <c r="H380" s="5">
        <f t="shared" si="114"/>
        <v>2639</v>
      </c>
      <c r="I380" s="5">
        <f t="shared" si="115"/>
        <v>2627</v>
      </c>
      <c r="J380" s="5">
        <f t="shared" si="116"/>
        <v>2352</v>
      </c>
      <c r="K380" s="5">
        <f t="shared" si="123"/>
        <v>3000</v>
      </c>
      <c r="L380" s="5">
        <f t="shared" si="124"/>
        <v>3000</v>
      </c>
      <c r="M380" s="5">
        <f t="shared" si="125"/>
        <v>3000</v>
      </c>
      <c r="N380" s="5">
        <f t="shared" si="120"/>
        <v>-361</v>
      </c>
      <c r="O380" s="5">
        <f t="shared" si="121"/>
        <v>-373</v>
      </c>
      <c r="P380" s="5">
        <f t="shared" si="122"/>
        <v>-648</v>
      </c>
      <c r="Q380" s="4">
        <v>0</v>
      </c>
      <c r="R380" s="4">
        <v>0</v>
      </c>
      <c r="S380" s="4">
        <v>0</v>
      </c>
      <c r="T380" s="6">
        <f t="shared" si="117"/>
        <v>1222</v>
      </c>
      <c r="U380" s="7">
        <f t="shared" si="128"/>
        <v>1719</v>
      </c>
      <c r="V380" s="7">
        <f t="shared" si="129"/>
        <v>1527</v>
      </c>
      <c r="W380" s="7">
        <f t="shared" si="127"/>
        <v>1742</v>
      </c>
      <c r="X380" s="6"/>
      <c r="Y380" s="5"/>
      <c r="Z380" s="5"/>
      <c r="AA380" s="5"/>
      <c r="AB380" s="5"/>
    </row>
    <row r="381" spans="1:28" ht="13.15" customHeight="1">
      <c r="A381" s="12">
        <f t="shared" si="126"/>
        <v>367</v>
      </c>
      <c r="B381" s="11">
        <f t="shared" si="118"/>
        <v>45637</v>
      </c>
      <c r="C381" s="9">
        <f t="shared" si="119"/>
        <v>842</v>
      </c>
      <c r="D381" s="8">
        <f t="shared" si="110"/>
        <v>1909</v>
      </c>
      <c r="E381" s="4">
        <f t="shared" si="111"/>
        <v>112</v>
      </c>
      <c r="F381" s="4">
        <f t="shared" si="112"/>
        <v>124</v>
      </c>
      <c r="G381" s="4">
        <f t="shared" si="113"/>
        <v>399</v>
      </c>
      <c r="H381" s="5">
        <f t="shared" si="114"/>
        <v>2639</v>
      </c>
      <c r="I381" s="5">
        <f t="shared" si="115"/>
        <v>2627</v>
      </c>
      <c r="J381" s="5">
        <f t="shared" si="116"/>
        <v>2352</v>
      </c>
      <c r="K381" s="5">
        <f t="shared" si="123"/>
        <v>3000</v>
      </c>
      <c r="L381" s="5">
        <f t="shared" si="124"/>
        <v>3000</v>
      </c>
      <c r="M381" s="5">
        <f t="shared" si="125"/>
        <v>3000</v>
      </c>
      <c r="N381" s="5">
        <f t="shared" si="120"/>
        <v>-361</v>
      </c>
      <c r="O381" s="5">
        <f t="shared" si="121"/>
        <v>-373</v>
      </c>
      <c r="P381" s="5">
        <f t="shared" si="122"/>
        <v>-648</v>
      </c>
      <c r="Q381" s="4">
        <v>0</v>
      </c>
      <c r="R381" s="4">
        <v>0</v>
      </c>
      <c r="S381" s="4">
        <v>0</v>
      </c>
      <c r="T381" s="6">
        <f t="shared" si="117"/>
        <v>1224</v>
      </c>
      <c r="U381" s="7">
        <f t="shared" si="128"/>
        <v>1719</v>
      </c>
      <c r="V381" s="7">
        <f t="shared" si="129"/>
        <v>1527</v>
      </c>
      <c r="W381" s="7">
        <f t="shared" si="127"/>
        <v>1742</v>
      </c>
      <c r="X381" s="6"/>
      <c r="Y381" s="5"/>
      <c r="Z381" s="5"/>
      <c r="AA381" s="5"/>
      <c r="AB381" s="5"/>
    </row>
    <row r="382" spans="1:28" ht="13.15" customHeight="1">
      <c r="A382" s="12">
        <f t="shared" si="126"/>
        <v>368</v>
      </c>
      <c r="B382" s="11">
        <f t="shared" si="118"/>
        <v>45638</v>
      </c>
      <c r="C382" s="9">
        <f t="shared" si="119"/>
        <v>842</v>
      </c>
      <c r="D382" s="8">
        <f t="shared" si="110"/>
        <v>1911</v>
      </c>
      <c r="E382" s="4">
        <f t="shared" si="111"/>
        <v>124</v>
      </c>
      <c r="F382" s="4">
        <f t="shared" si="112"/>
        <v>136</v>
      </c>
      <c r="G382" s="4">
        <f t="shared" si="113"/>
        <v>411</v>
      </c>
      <c r="H382" s="5">
        <f t="shared" si="114"/>
        <v>2629</v>
      </c>
      <c r="I382" s="5">
        <f t="shared" si="115"/>
        <v>2617</v>
      </c>
      <c r="J382" s="5">
        <f t="shared" si="116"/>
        <v>2342</v>
      </c>
      <c r="K382" s="5">
        <f t="shared" si="123"/>
        <v>3000</v>
      </c>
      <c r="L382" s="5">
        <f t="shared" si="124"/>
        <v>3000</v>
      </c>
      <c r="M382" s="5">
        <f t="shared" si="125"/>
        <v>3000</v>
      </c>
      <c r="N382" s="5">
        <f t="shared" si="120"/>
        <v>-371</v>
      </c>
      <c r="O382" s="5">
        <f t="shared" si="121"/>
        <v>-383</v>
      </c>
      <c r="P382" s="5">
        <f t="shared" si="122"/>
        <v>-658</v>
      </c>
      <c r="Q382" s="4">
        <v>10</v>
      </c>
      <c r="R382" s="4">
        <v>10</v>
      </c>
      <c r="S382" s="4">
        <v>10</v>
      </c>
      <c r="T382" s="6">
        <f t="shared" si="117"/>
        <v>1036</v>
      </c>
      <c r="U382" s="7">
        <f t="shared" si="128"/>
        <v>1909</v>
      </c>
      <c r="V382" s="7">
        <f t="shared" si="129"/>
        <v>1717</v>
      </c>
      <c r="W382" s="7">
        <f t="shared" si="127"/>
        <v>1932</v>
      </c>
      <c r="X382" s="13">
        <v>0.2</v>
      </c>
      <c r="Y382" s="5"/>
      <c r="Z382" s="5"/>
      <c r="AA382" s="5"/>
      <c r="AB382" s="5" t="s">
        <v>3</v>
      </c>
    </row>
    <row r="383" spans="1:28" ht="13.15" customHeight="1">
      <c r="A383" s="12">
        <f t="shared" si="126"/>
        <v>369</v>
      </c>
      <c r="B383" s="11">
        <f t="shared" si="118"/>
        <v>45639</v>
      </c>
      <c r="C383" s="9">
        <f t="shared" si="119"/>
        <v>842</v>
      </c>
      <c r="D383" s="8">
        <f t="shared" ref="D383:D446" si="130">D382+2</f>
        <v>1913</v>
      </c>
      <c r="E383" s="4">
        <f t="shared" si="111"/>
        <v>136</v>
      </c>
      <c r="F383" s="4">
        <f t="shared" si="112"/>
        <v>148</v>
      </c>
      <c r="G383" s="4">
        <f t="shared" si="113"/>
        <v>421</v>
      </c>
      <c r="H383" s="5">
        <f t="shared" si="114"/>
        <v>2619</v>
      </c>
      <c r="I383" s="5">
        <f t="shared" si="115"/>
        <v>2607</v>
      </c>
      <c r="J383" s="5">
        <f t="shared" si="116"/>
        <v>2334</v>
      </c>
      <c r="K383" s="5">
        <f t="shared" si="123"/>
        <v>3000</v>
      </c>
      <c r="L383" s="5">
        <f t="shared" si="124"/>
        <v>3000</v>
      </c>
      <c r="M383" s="5">
        <f t="shared" si="125"/>
        <v>3000</v>
      </c>
      <c r="N383" s="5">
        <f t="shared" si="120"/>
        <v>-381</v>
      </c>
      <c r="O383" s="5">
        <f t="shared" si="121"/>
        <v>-393</v>
      </c>
      <c r="P383" s="5">
        <f t="shared" si="122"/>
        <v>-666</v>
      </c>
      <c r="Q383" s="4">
        <v>10</v>
      </c>
      <c r="R383" s="4">
        <v>10</v>
      </c>
      <c r="S383" s="4">
        <v>8</v>
      </c>
      <c r="T383" s="6">
        <f t="shared" si="117"/>
        <v>1048</v>
      </c>
      <c r="U383" s="7">
        <f t="shared" si="128"/>
        <v>1899</v>
      </c>
      <c r="V383" s="7">
        <f t="shared" si="129"/>
        <v>1707</v>
      </c>
      <c r="W383" s="7">
        <f t="shared" si="127"/>
        <v>1924</v>
      </c>
      <c r="X383" s="6"/>
      <c r="Y383" s="5"/>
      <c r="Z383" s="5"/>
      <c r="AA383" s="5"/>
      <c r="AB383" s="5"/>
    </row>
    <row r="384" spans="1:28" ht="13.15" customHeight="1">
      <c r="A384" s="12">
        <f t="shared" si="126"/>
        <v>370</v>
      </c>
      <c r="B384" s="11">
        <f t="shared" si="118"/>
        <v>45640</v>
      </c>
      <c r="C384" s="9">
        <f t="shared" si="119"/>
        <v>842</v>
      </c>
      <c r="D384" s="8">
        <f t="shared" si="130"/>
        <v>1915</v>
      </c>
      <c r="E384" s="4">
        <f t="shared" si="111"/>
        <v>144</v>
      </c>
      <c r="F384" s="4">
        <f t="shared" si="112"/>
        <v>160</v>
      </c>
      <c r="G384" s="4">
        <f t="shared" si="113"/>
        <v>428</v>
      </c>
      <c r="H384" s="5">
        <f t="shared" si="114"/>
        <v>2613</v>
      </c>
      <c r="I384" s="5">
        <f t="shared" si="115"/>
        <v>2597</v>
      </c>
      <c r="J384" s="5">
        <f t="shared" si="116"/>
        <v>2329</v>
      </c>
      <c r="K384" s="5">
        <f t="shared" si="123"/>
        <v>3000</v>
      </c>
      <c r="L384" s="5">
        <f t="shared" si="124"/>
        <v>3000</v>
      </c>
      <c r="M384" s="5">
        <f t="shared" si="125"/>
        <v>3000</v>
      </c>
      <c r="N384" s="5">
        <f t="shared" si="120"/>
        <v>-387</v>
      </c>
      <c r="O384" s="5">
        <f t="shared" si="121"/>
        <v>-403</v>
      </c>
      <c r="P384" s="5">
        <f t="shared" si="122"/>
        <v>-671</v>
      </c>
      <c r="Q384" s="4">
        <v>6</v>
      </c>
      <c r="R384" s="4">
        <v>10</v>
      </c>
      <c r="S384" s="4">
        <v>5</v>
      </c>
      <c r="T384" s="6">
        <f t="shared" si="117"/>
        <v>1060</v>
      </c>
      <c r="U384" s="7">
        <f t="shared" si="128"/>
        <v>1893</v>
      </c>
      <c r="V384" s="7">
        <f t="shared" si="129"/>
        <v>1697</v>
      </c>
      <c r="W384" s="7">
        <f t="shared" si="127"/>
        <v>1919</v>
      </c>
      <c r="X384" s="6"/>
      <c r="Y384" s="5"/>
      <c r="Z384" s="5"/>
      <c r="AA384" s="5"/>
      <c r="AB384" s="5"/>
    </row>
    <row r="385" spans="1:28" ht="13.15" customHeight="1">
      <c r="A385" s="12">
        <f t="shared" si="126"/>
        <v>371</v>
      </c>
      <c r="B385" s="11">
        <f t="shared" si="118"/>
        <v>45641</v>
      </c>
      <c r="C385" s="9">
        <f t="shared" si="119"/>
        <v>842</v>
      </c>
      <c r="D385" s="8">
        <f t="shared" si="130"/>
        <v>1917</v>
      </c>
      <c r="E385" s="4">
        <f t="shared" si="111"/>
        <v>154</v>
      </c>
      <c r="F385" s="4">
        <f t="shared" si="112"/>
        <v>169</v>
      </c>
      <c r="G385" s="4">
        <f t="shared" si="113"/>
        <v>436</v>
      </c>
      <c r="H385" s="5">
        <f t="shared" si="114"/>
        <v>2605</v>
      </c>
      <c r="I385" s="5">
        <f t="shared" si="115"/>
        <v>2590</v>
      </c>
      <c r="J385" s="5">
        <f t="shared" si="116"/>
        <v>2323</v>
      </c>
      <c r="K385" s="5">
        <f t="shared" si="123"/>
        <v>3000</v>
      </c>
      <c r="L385" s="5">
        <f t="shared" si="124"/>
        <v>3000</v>
      </c>
      <c r="M385" s="5">
        <f t="shared" si="125"/>
        <v>3000</v>
      </c>
      <c r="N385" s="5">
        <f t="shared" si="120"/>
        <v>-395</v>
      </c>
      <c r="O385" s="5">
        <f t="shared" si="121"/>
        <v>-410</v>
      </c>
      <c r="P385" s="5">
        <f t="shared" si="122"/>
        <v>-677</v>
      </c>
      <c r="Q385" s="4">
        <v>8</v>
      </c>
      <c r="R385" s="4">
        <v>7</v>
      </c>
      <c r="S385" s="4">
        <v>6</v>
      </c>
      <c r="T385" s="6">
        <f t="shared" si="117"/>
        <v>1069</v>
      </c>
      <c r="U385" s="7">
        <f t="shared" si="128"/>
        <v>1885</v>
      </c>
      <c r="V385" s="7">
        <f t="shared" si="129"/>
        <v>1690</v>
      </c>
      <c r="W385" s="7">
        <f t="shared" si="127"/>
        <v>1913</v>
      </c>
      <c r="X385" s="6"/>
      <c r="Y385" s="5"/>
      <c r="Z385" s="5"/>
      <c r="AA385" s="5"/>
      <c r="AB385" s="5"/>
    </row>
    <row r="386" spans="1:28" ht="13.15" customHeight="1">
      <c r="A386" s="12">
        <f t="shared" si="126"/>
        <v>372</v>
      </c>
      <c r="B386" s="11">
        <f t="shared" si="118"/>
        <v>45642</v>
      </c>
      <c r="C386" s="9">
        <f t="shared" si="119"/>
        <v>842</v>
      </c>
      <c r="D386" s="8">
        <f t="shared" si="130"/>
        <v>1919</v>
      </c>
      <c r="E386" s="4">
        <f t="shared" si="111"/>
        <v>166</v>
      </c>
      <c r="F386" s="4">
        <f t="shared" si="112"/>
        <v>181</v>
      </c>
      <c r="G386" s="4">
        <f t="shared" si="113"/>
        <v>448</v>
      </c>
      <c r="H386" s="5">
        <f t="shared" si="114"/>
        <v>2595</v>
      </c>
      <c r="I386" s="5">
        <f t="shared" si="115"/>
        <v>2580</v>
      </c>
      <c r="J386" s="5">
        <f t="shared" si="116"/>
        <v>2313</v>
      </c>
      <c r="K386" s="5">
        <f t="shared" si="123"/>
        <v>3000</v>
      </c>
      <c r="L386" s="5">
        <f t="shared" si="124"/>
        <v>3000</v>
      </c>
      <c r="M386" s="5">
        <f t="shared" si="125"/>
        <v>3000</v>
      </c>
      <c r="N386" s="5">
        <f t="shared" si="120"/>
        <v>-405</v>
      </c>
      <c r="O386" s="5">
        <f t="shared" si="121"/>
        <v>-420</v>
      </c>
      <c r="P386" s="5">
        <f t="shared" si="122"/>
        <v>-687</v>
      </c>
      <c r="Q386" s="4">
        <v>10</v>
      </c>
      <c r="R386" s="4">
        <v>10</v>
      </c>
      <c r="S386" s="4">
        <v>10</v>
      </c>
      <c r="T386" s="6">
        <f t="shared" si="117"/>
        <v>781</v>
      </c>
      <c r="U386" s="7">
        <f t="shared" si="128"/>
        <v>2175</v>
      </c>
      <c r="V386" s="7">
        <f t="shared" si="129"/>
        <v>1980</v>
      </c>
      <c r="W386" s="7">
        <f t="shared" si="127"/>
        <v>2203</v>
      </c>
      <c r="X386" s="13">
        <v>0.3</v>
      </c>
      <c r="Y386" s="5"/>
      <c r="Z386" s="5"/>
      <c r="AA386" s="5"/>
      <c r="AB386" s="5" t="s">
        <v>2</v>
      </c>
    </row>
    <row r="387" spans="1:28" ht="13.15" customHeight="1">
      <c r="A387" s="12">
        <f t="shared" si="126"/>
        <v>373</v>
      </c>
      <c r="B387" s="11">
        <f t="shared" si="118"/>
        <v>45643</v>
      </c>
      <c r="C387" s="9">
        <f t="shared" si="119"/>
        <v>842</v>
      </c>
      <c r="D387" s="8">
        <f t="shared" si="130"/>
        <v>1921</v>
      </c>
      <c r="E387" s="4">
        <f t="shared" si="111"/>
        <v>177</v>
      </c>
      <c r="F387" s="4">
        <f t="shared" si="112"/>
        <v>193</v>
      </c>
      <c r="G387" s="4">
        <f t="shared" si="113"/>
        <v>454</v>
      </c>
      <c r="H387" s="5">
        <f t="shared" si="114"/>
        <v>2586</v>
      </c>
      <c r="I387" s="5">
        <f t="shared" si="115"/>
        <v>2570</v>
      </c>
      <c r="J387" s="5">
        <f t="shared" si="116"/>
        <v>2309</v>
      </c>
      <c r="K387" s="5">
        <f t="shared" si="123"/>
        <v>3000</v>
      </c>
      <c r="L387" s="5">
        <f t="shared" si="124"/>
        <v>3000</v>
      </c>
      <c r="M387" s="5">
        <f t="shared" si="125"/>
        <v>3000</v>
      </c>
      <c r="N387" s="5">
        <f t="shared" si="120"/>
        <v>-414</v>
      </c>
      <c r="O387" s="5">
        <f t="shared" si="121"/>
        <v>-430</v>
      </c>
      <c r="P387" s="5">
        <f t="shared" si="122"/>
        <v>-691</v>
      </c>
      <c r="Q387" s="4">
        <v>9</v>
      </c>
      <c r="R387" s="4">
        <v>10</v>
      </c>
      <c r="S387" s="4">
        <v>4</v>
      </c>
      <c r="T387" s="6">
        <f t="shared" si="117"/>
        <v>793</v>
      </c>
      <c r="U387" s="7">
        <f t="shared" si="128"/>
        <v>2166</v>
      </c>
      <c r="V387" s="7">
        <f t="shared" si="129"/>
        <v>1970</v>
      </c>
      <c r="W387" s="7">
        <f t="shared" si="127"/>
        <v>2199</v>
      </c>
      <c r="X387" s="6"/>
      <c r="Y387" s="5"/>
      <c r="Z387" s="5"/>
      <c r="AA387" s="5"/>
      <c r="AB387" s="5"/>
    </row>
    <row r="388" spans="1:28" ht="13.15" customHeight="1">
      <c r="A388" s="12">
        <f t="shared" si="126"/>
        <v>374</v>
      </c>
      <c r="B388" s="11">
        <f t="shared" si="118"/>
        <v>45644</v>
      </c>
      <c r="C388" s="9">
        <f t="shared" si="119"/>
        <v>842</v>
      </c>
      <c r="D388" s="8">
        <f t="shared" si="130"/>
        <v>1923</v>
      </c>
      <c r="E388" s="4">
        <f t="shared" si="111"/>
        <v>188</v>
      </c>
      <c r="F388" s="4">
        <f t="shared" si="112"/>
        <v>205</v>
      </c>
      <c r="G388" s="4">
        <f t="shared" si="113"/>
        <v>459</v>
      </c>
      <c r="H388" s="5">
        <f t="shared" si="114"/>
        <v>2577</v>
      </c>
      <c r="I388" s="5">
        <f t="shared" si="115"/>
        <v>2560</v>
      </c>
      <c r="J388" s="5">
        <f t="shared" si="116"/>
        <v>2306</v>
      </c>
      <c r="K388" s="5">
        <f t="shared" si="123"/>
        <v>3000</v>
      </c>
      <c r="L388" s="5">
        <f t="shared" si="124"/>
        <v>3000</v>
      </c>
      <c r="M388" s="5">
        <f t="shared" si="125"/>
        <v>3000</v>
      </c>
      <c r="N388" s="5">
        <f t="shared" si="120"/>
        <v>-423</v>
      </c>
      <c r="O388" s="5">
        <f t="shared" si="121"/>
        <v>-440</v>
      </c>
      <c r="P388" s="5">
        <f t="shared" si="122"/>
        <v>-694</v>
      </c>
      <c r="Q388" s="4">
        <v>9</v>
      </c>
      <c r="R388" s="4">
        <v>10</v>
      </c>
      <c r="S388" s="4">
        <v>3</v>
      </c>
      <c r="T388" s="6">
        <f t="shared" si="117"/>
        <v>805</v>
      </c>
      <c r="U388" s="7">
        <f t="shared" si="128"/>
        <v>2157</v>
      </c>
      <c r="V388" s="7">
        <f t="shared" si="129"/>
        <v>1960</v>
      </c>
      <c r="W388" s="7">
        <f t="shared" si="127"/>
        <v>2196</v>
      </c>
      <c r="X388" s="6"/>
      <c r="Y388" s="5"/>
      <c r="Z388" s="5"/>
      <c r="AA388" s="5"/>
      <c r="AB388" s="5"/>
    </row>
    <row r="389" spans="1:28" ht="13.15" customHeight="1">
      <c r="A389" s="12">
        <f t="shared" si="126"/>
        <v>375</v>
      </c>
      <c r="B389" s="11">
        <f t="shared" si="118"/>
        <v>45645</v>
      </c>
      <c r="C389" s="9">
        <f t="shared" si="119"/>
        <v>842</v>
      </c>
      <c r="D389" s="8">
        <f t="shared" si="130"/>
        <v>1925</v>
      </c>
      <c r="E389" s="4">
        <f t="shared" si="111"/>
        <v>199</v>
      </c>
      <c r="F389" s="4">
        <f t="shared" si="112"/>
        <v>214</v>
      </c>
      <c r="G389" s="4">
        <f t="shared" si="113"/>
        <v>465</v>
      </c>
      <c r="H389" s="5">
        <f t="shared" si="114"/>
        <v>2568</v>
      </c>
      <c r="I389" s="5">
        <f t="shared" si="115"/>
        <v>2553</v>
      </c>
      <c r="J389" s="5">
        <f t="shared" si="116"/>
        <v>2302</v>
      </c>
      <c r="K389" s="5">
        <f t="shared" si="123"/>
        <v>3000</v>
      </c>
      <c r="L389" s="5">
        <f t="shared" si="124"/>
        <v>3000</v>
      </c>
      <c r="M389" s="5">
        <f t="shared" si="125"/>
        <v>3000</v>
      </c>
      <c r="N389" s="5">
        <f t="shared" si="120"/>
        <v>-432</v>
      </c>
      <c r="O389" s="5">
        <f t="shared" si="121"/>
        <v>-447</v>
      </c>
      <c r="P389" s="5">
        <f t="shared" si="122"/>
        <v>-698</v>
      </c>
      <c r="Q389" s="4">
        <v>9</v>
      </c>
      <c r="R389" s="4">
        <v>7</v>
      </c>
      <c r="S389" s="4">
        <v>4</v>
      </c>
      <c r="T389" s="6">
        <f t="shared" si="117"/>
        <v>814</v>
      </c>
      <c r="U389" s="7">
        <f t="shared" si="128"/>
        <v>2148</v>
      </c>
      <c r="V389" s="7">
        <f t="shared" si="129"/>
        <v>1953</v>
      </c>
      <c r="W389" s="7">
        <f t="shared" si="127"/>
        <v>2192</v>
      </c>
      <c r="X389" s="6"/>
      <c r="Y389" s="5"/>
      <c r="Z389" s="5"/>
      <c r="AA389" s="5"/>
      <c r="AB389" s="5"/>
    </row>
    <row r="390" spans="1:28" ht="13.15" customHeight="1">
      <c r="A390" s="12">
        <f t="shared" si="126"/>
        <v>376</v>
      </c>
      <c r="B390" s="11">
        <f t="shared" si="118"/>
        <v>45646</v>
      </c>
      <c r="C390" s="9">
        <f t="shared" si="119"/>
        <v>842</v>
      </c>
      <c r="D390" s="8">
        <f t="shared" si="130"/>
        <v>1927</v>
      </c>
      <c r="E390" s="4">
        <f t="shared" si="111"/>
        <v>210</v>
      </c>
      <c r="F390" s="4">
        <f t="shared" si="112"/>
        <v>223</v>
      </c>
      <c r="G390" s="4">
        <f t="shared" si="113"/>
        <v>469</v>
      </c>
      <c r="H390" s="5">
        <f t="shared" si="114"/>
        <v>2559</v>
      </c>
      <c r="I390" s="5">
        <f t="shared" si="115"/>
        <v>2546</v>
      </c>
      <c r="J390" s="5">
        <f t="shared" si="116"/>
        <v>2300</v>
      </c>
      <c r="K390" s="5">
        <f t="shared" si="123"/>
        <v>3000</v>
      </c>
      <c r="L390" s="5">
        <f t="shared" si="124"/>
        <v>3000</v>
      </c>
      <c r="M390" s="5">
        <f t="shared" si="125"/>
        <v>3000</v>
      </c>
      <c r="N390" s="5">
        <f t="shared" si="120"/>
        <v>-441</v>
      </c>
      <c r="O390" s="5">
        <f t="shared" si="121"/>
        <v>-454</v>
      </c>
      <c r="P390" s="5">
        <f t="shared" si="122"/>
        <v>-700</v>
      </c>
      <c r="Q390" s="4">
        <v>9</v>
      </c>
      <c r="R390" s="4">
        <v>7</v>
      </c>
      <c r="S390" s="4">
        <v>2</v>
      </c>
      <c r="T390" s="6">
        <f t="shared" si="117"/>
        <v>823</v>
      </c>
      <c r="U390" s="7">
        <f t="shared" si="128"/>
        <v>2139</v>
      </c>
      <c r="V390" s="7">
        <f t="shared" si="129"/>
        <v>1946</v>
      </c>
      <c r="W390" s="7">
        <f t="shared" si="127"/>
        <v>2190</v>
      </c>
      <c r="X390" s="6"/>
      <c r="Y390" s="5"/>
      <c r="Z390" s="5"/>
      <c r="AA390" s="5"/>
      <c r="AB390" s="5"/>
    </row>
    <row r="391" spans="1:28" ht="13.15" customHeight="1">
      <c r="A391" s="12">
        <f t="shared" si="126"/>
        <v>377</v>
      </c>
      <c r="B391" s="11">
        <f t="shared" si="118"/>
        <v>45647</v>
      </c>
      <c r="C391" s="9">
        <f t="shared" si="119"/>
        <v>842</v>
      </c>
      <c r="D391" s="8">
        <f t="shared" si="130"/>
        <v>1929</v>
      </c>
      <c r="E391" s="4">
        <f t="shared" si="111"/>
        <v>222</v>
      </c>
      <c r="F391" s="4">
        <f t="shared" si="112"/>
        <v>235</v>
      </c>
      <c r="G391" s="4">
        <f t="shared" si="113"/>
        <v>478</v>
      </c>
      <c r="H391" s="5">
        <f t="shared" si="114"/>
        <v>2549</v>
      </c>
      <c r="I391" s="5">
        <f t="shared" si="115"/>
        <v>2536</v>
      </c>
      <c r="J391" s="5">
        <f t="shared" si="116"/>
        <v>2293</v>
      </c>
      <c r="K391" s="5">
        <f t="shared" si="123"/>
        <v>3000</v>
      </c>
      <c r="L391" s="5">
        <f t="shared" si="124"/>
        <v>3000</v>
      </c>
      <c r="M391" s="5">
        <f t="shared" si="125"/>
        <v>3000</v>
      </c>
      <c r="N391" s="5">
        <f t="shared" si="120"/>
        <v>-451</v>
      </c>
      <c r="O391" s="5">
        <f t="shared" si="121"/>
        <v>-464</v>
      </c>
      <c r="P391" s="5">
        <f t="shared" si="122"/>
        <v>-707</v>
      </c>
      <c r="Q391" s="4">
        <v>10</v>
      </c>
      <c r="R391" s="4">
        <v>10</v>
      </c>
      <c r="S391" s="4">
        <v>7</v>
      </c>
      <c r="T391" s="6">
        <f t="shared" si="117"/>
        <v>535</v>
      </c>
      <c r="U391" s="7">
        <f t="shared" si="128"/>
        <v>2429</v>
      </c>
      <c r="V391" s="7">
        <f t="shared" si="129"/>
        <v>2236</v>
      </c>
      <c r="W391" s="7">
        <f t="shared" si="127"/>
        <v>2483</v>
      </c>
      <c r="X391" s="13">
        <v>0.3</v>
      </c>
      <c r="Y391" s="5"/>
      <c r="Z391" s="5"/>
      <c r="AA391" s="5"/>
      <c r="AB391" s="5" t="s">
        <v>1</v>
      </c>
    </row>
    <row r="392" spans="1:28" ht="13.15" customHeight="1">
      <c r="A392" s="12">
        <f t="shared" si="126"/>
        <v>378</v>
      </c>
      <c r="B392" s="11">
        <f t="shared" si="118"/>
        <v>45648</v>
      </c>
      <c r="C392" s="9">
        <f t="shared" si="119"/>
        <v>842</v>
      </c>
      <c r="D392" s="8">
        <f t="shared" si="130"/>
        <v>1931</v>
      </c>
      <c r="E392" s="4">
        <f t="shared" si="111"/>
        <v>233</v>
      </c>
      <c r="F392" s="4">
        <f t="shared" si="112"/>
        <v>247</v>
      </c>
      <c r="G392" s="4">
        <f t="shared" si="113"/>
        <v>484</v>
      </c>
      <c r="H392" s="5">
        <f t="shared" si="114"/>
        <v>2540</v>
      </c>
      <c r="I392" s="5">
        <f t="shared" si="115"/>
        <v>2526</v>
      </c>
      <c r="J392" s="5">
        <f t="shared" si="116"/>
        <v>2289</v>
      </c>
      <c r="K392" s="5">
        <f t="shared" si="123"/>
        <v>3000</v>
      </c>
      <c r="L392" s="5">
        <f t="shared" si="124"/>
        <v>3000</v>
      </c>
      <c r="M392" s="5">
        <f t="shared" si="125"/>
        <v>3000</v>
      </c>
      <c r="N392" s="5">
        <f t="shared" si="120"/>
        <v>-460</v>
      </c>
      <c r="O392" s="5">
        <f t="shared" si="121"/>
        <v>-474</v>
      </c>
      <c r="P392" s="5">
        <f t="shared" si="122"/>
        <v>-711</v>
      </c>
      <c r="Q392" s="4">
        <v>9</v>
      </c>
      <c r="R392" s="4">
        <v>10</v>
      </c>
      <c r="S392" s="4">
        <v>4</v>
      </c>
      <c r="T392" s="6">
        <f t="shared" si="117"/>
        <v>547</v>
      </c>
      <c r="U392" s="7">
        <f t="shared" si="128"/>
        <v>2420</v>
      </c>
      <c r="V392" s="7">
        <f t="shared" si="129"/>
        <v>2226</v>
      </c>
      <c r="W392" s="7">
        <f t="shared" si="127"/>
        <v>2479</v>
      </c>
      <c r="X392" s="6"/>
      <c r="Y392" s="5"/>
      <c r="Z392" s="5"/>
      <c r="AA392" s="5"/>
      <c r="AB392" s="5"/>
    </row>
    <row r="393" spans="1:28" ht="13.15" customHeight="1">
      <c r="A393" s="12">
        <f t="shared" si="126"/>
        <v>379</v>
      </c>
      <c r="B393" s="11">
        <f t="shared" si="118"/>
        <v>45649</v>
      </c>
      <c r="C393" s="9">
        <f t="shared" si="119"/>
        <v>842</v>
      </c>
      <c r="D393" s="8">
        <f t="shared" si="130"/>
        <v>1933</v>
      </c>
      <c r="E393" s="4">
        <f t="shared" si="111"/>
        <v>243</v>
      </c>
      <c r="F393" s="4">
        <f t="shared" si="112"/>
        <v>259</v>
      </c>
      <c r="G393" s="4">
        <f t="shared" si="113"/>
        <v>489</v>
      </c>
      <c r="H393" s="5">
        <f t="shared" si="114"/>
        <v>2532</v>
      </c>
      <c r="I393" s="5">
        <f t="shared" si="115"/>
        <v>2516</v>
      </c>
      <c r="J393" s="5">
        <f t="shared" si="116"/>
        <v>2286</v>
      </c>
      <c r="K393" s="5">
        <f t="shared" si="123"/>
        <v>3000</v>
      </c>
      <c r="L393" s="5">
        <f t="shared" si="124"/>
        <v>3000</v>
      </c>
      <c r="M393" s="5">
        <f t="shared" si="125"/>
        <v>3000</v>
      </c>
      <c r="N393" s="5">
        <f t="shared" si="120"/>
        <v>-468</v>
      </c>
      <c r="O393" s="5">
        <f t="shared" si="121"/>
        <v>-484</v>
      </c>
      <c r="P393" s="5">
        <f t="shared" si="122"/>
        <v>-714</v>
      </c>
      <c r="Q393" s="4">
        <v>8</v>
      </c>
      <c r="R393" s="4">
        <v>10</v>
      </c>
      <c r="S393" s="4">
        <v>3</v>
      </c>
      <c r="T393" s="6">
        <f t="shared" si="117"/>
        <v>559</v>
      </c>
      <c r="U393" s="7">
        <f t="shared" si="128"/>
        <v>2412</v>
      </c>
      <c r="V393" s="7">
        <f t="shared" si="129"/>
        <v>2216</v>
      </c>
      <c r="W393" s="7">
        <f t="shared" si="127"/>
        <v>2476</v>
      </c>
      <c r="X393" s="6"/>
      <c r="Y393" s="5"/>
      <c r="Z393" s="5"/>
      <c r="AA393" s="5"/>
      <c r="AB393" s="5"/>
    </row>
    <row r="394" spans="1:28" ht="13.15" customHeight="1">
      <c r="A394" s="12">
        <f t="shared" si="126"/>
        <v>380</v>
      </c>
      <c r="B394" s="11">
        <f t="shared" si="118"/>
        <v>45650</v>
      </c>
      <c r="C394" s="9">
        <f t="shared" si="119"/>
        <v>842</v>
      </c>
      <c r="D394" s="8">
        <f t="shared" si="130"/>
        <v>1935</v>
      </c>
      <c r="E394" s="4">
        <f t="shared" si="111"/>
        <v>253</v>
      </c>
      <c r="F394" s="4">
        <f t="shared" si="112"/>
        <v>268</v>
      </c>
      <c r="G394" s="4">
        <f t="shared" si="113"/>
        <v>495</v>
      </c>
      <c r="H394" s="5">
        <f t="shared" si="114"/>
        <v>2524</v>
      </c>
      <c r="I394" s="5">
        <f t="shared" si="115"/>
        <v>2509</v>
      </c>
      <c r="J394" s="5">
        <f t="shared" si="116"/>
        <v>2282</v>
      </c>
      <c r="K394" s="5">
        <f t="shared" si="123"/>
        <v>3000</v>
      </c>
      <c r="L394" s="5">
        <f t="shared" si="124"/>
        <v>3000</v>
      </c>
      <c r="M394" s="5">
        <f t="shared" si="125"/>
        <v>3000</v>
      </c>
      <c r="N394" s="5">
        <f t="shared" si="120"/>
        <v>-476</v>
      </c>
      <c r="O394" s="5">
        <f t="shared" si="121"/>
        <v>-491</v>
      </c>
      <c r="P394" s="5">
        <f t="shared" si="122"/>
        <v>-718</v>
      </c>
      <c r="Q394" s="4">
        <v>8</v>
      </c>
      <c r="R394" s="4">
        <v>7</v>
      </c>
      <c r="S394" s="4">
        <v>4</v>
      </c>
      <c r="T394" s="6">
        <f t="shared" si="117"/>
        <v>568</v>
      </c>
      <c r="U394" s="7">
        <f t="shared" si="128"/>
        <v>2404</v>
      </c>
      <c r="V394" s="7">
        <f t="shared" si="129"/>
        <v>2209</v>
      </c>
      <c r="W394" s="7">
        <f t="shared" si="127"/>
        <v>2472</v>
      </c>
      <c r="X394" s="6"/>
      <c r="Y394" s="5"/>
      <c r="Z394" s="5"/>
      <c r="AA394" s="5"/>
      <c r="AB394" s="5"/>
    </row>
    <row r="395" spans="1:28" ht="13.15" customHeight="1">
      <c r="A395" s="12">
        <f t="shared" si="126"/>
        <v>381</v>
      </c>
      <c r="B395" s="11">
        <f t="shared" si="118"/>
        <v>45651</v>
      </c>
      <c r="C395" s="9">
        <f t="shared" si="119"/>
        <v>842</v>
      </c>
      <c r="D395" s="8">
        <f t="shared" si="130"/>
        <v>1937</v>
      </c>
      <c r="E395" s="4">
        <f t="shared" si="111"/>
        <v>264</v>
      </c>
      <c r="F395" s="4">
        <f t="shared" si="112"/>
        <v>277</v>
      </c>
      <c r="G395" s="4">
        <f t="shared" si="113"/>
        <v>499</v>
      </c>
      <c r="H395" s="5">
        <f t="shared" si="114"/>
        <v>2515</v>
      </c>
      <c r="I395" s="5">
        <f t="shared" si="115"/>
        <v>2502</v>
      </c>
      <c r="J395" s="5">
        <f t="shared" si="116"/>
        <v>2280</v>
      </c>
      <c r="K395" s="5">
        <f t="shared" si="123"/>
        <v>3000</v>
      </c>
      <c r="L395" s="5">
        <f t="shared" si="124"/>
        <v>3000</v>
      </c>
      <c r="M395" s="5">
        <f t="shared" si="125"/>
        <v>3000</v>
      </c>
      <c r="N395" s="5">
        <f t="shared" si="120"/>
        <v>-485</v>
      </c>
      <c r="O395" s="5">
        <f t="shared" si="121"/>
        <v>-498</v>
      </c>
      <c r="P395" s="5">
        <f t="shared" si="122"/>
        <v>-720</v>
      </c>
      <c r="Q395" s="4">
        <v>9</v>
      </c>
      <c r="R395" s="4">
        <v>7</v>
      </c>
      <c r="S395" s="4">
        <v>2</v>
      </c>
      <c r="T395" s="6">
        <f t="shared" si="117"/>
        <v>577</v>
      </c>
      <c r="U395" s="7">
        <f t="shared" si="128"/>
        <v>2395</v>
      </c>
      <c r="V395" s="7">
        <f t="shared" si="129"/>
        <v>2202</v>
      </c>
      <c r="W395" s="7">
        <f t="shared" si="127"/>
        <v>2470</v>
      </c>
      <c r="X395" s="6"/>
      <c r="Y395" s="5"/>
      <c r="Z395" s="5"/>
      <c r="AA395" s="5"/>
      <c r="AB395" s="5"/>
    </row>
    <row r="396" spans="1:28" ht="13.15" customHeight="1">
      <c r="A396" s="12">
        <f t="shared" si="126"/>
        <v>382</v>
      </c>
      <c r="B396" s="11">
        <f t="shared" si="118"/>
        <v>45652</v>
      </c>
      <c r="C396" s="9">
        <f t="shared" si="119"/>
        <v>842</v>
      </c>
      <c r="D396" s="8">
        <f t="shared" si="130"/>
        <v>1939</v>
      </c>
      <c r="E396" s="4">
        <f t="shared" si="111"/>
        <v>276</v>
      </c>
      <c r="F396" s="4">
        <f t="shared" si="112"/>
        <v>289</v>
      </c>
      <c r="G396" s="4">
        <f t="shared" si="113"/>
        <v>510</v>
      </c>
      <c r="H396" s="5">
        <f t="shared" si="114"/>
        <v>2505</v>
      </c>
      <c r="I396" s="5">
        <f t="shared" si="115"/>
        <v>2492</v>
      </c>
      <c r="J396" s="5">
        <f t="shared" si="116"/>
        <v>2271</v>
      </c>
      <c r="K396" s="5">
        <f t="shared" si="123"/>
        <v>3000</v>
      </c>
      <c r="L396" s="5">
        <f t="shared" si="124"/>
        <v>3000</v>
      </c>
      <c r="M396" s="5">
        <f t="shared" si="125"/>
        <v>3000</v>
      </c>
      <c r="N396" s="5">
        <f t="shared" si="120"/>
        <v>-495</v>
      </c>
      <c r="O396" s="5">
        <f t="shared" si="121"/>
        <v>-508</v>
      </c>
      <c r="P396" s="5">
        <f t="shared" si="122"/>
        <v>-729</v>
      </c>
      <c r="Q396" s="4">
        <v>10</v>
      </c>
      <c r="R396" s="4">
        <v>10</v>
      </c>
      <c r="S396" s="4">
        <v>9</v>
      </c>
      <c r="T396" s="6">
        <f t="shared" si="117"/>
        <v>289</v>
      </c>
      <c r="U396" s="7">
        <f t="shared" si="128"/>
        <v>2685</v>
      </c>
      <c r="V396" s="7">
        <f t="shared" si="129"/>
        <v>2492</v>
      </c>
      <c r="W396" s="7">
        <f t="shared" si="127"/>
        <v>2761</v>
      </c>
      <c r="X396" s="13">
        <v>0.3</v>
      </c>
      <c r="Y396" s="5"/>
      <c r="Z396" s="5"/>
      <c r="AA396" s="5"/>
      <c r="AB396" s="5" t="s">
        <v>0</v>
      </c>
    </row>
    <row r="397" spans="1:28" ht="13.15" customHeight="1">
      <c r="A397" s="12">
        <f t="shared" si="126"/>
        <v>383</v>
      </c>
      <c r="B397" s="11">
        <f t="shared" si="118"/>
        <v>45653</v>
      </c>
      <c r="C397" s="9">
        <f t="shared" si="119"/>
        <v>842</v>
      </c>
      <c r="D397" s="8">
        <f t="shared" si="130"/>
        <v>1941</v>
      </c>
      <c r="E397" s="4">
        <f t="shared" si="111"/>
        <v>287</v>
      </c>
      <c r="F397" s="4">
        <f t="shared" si="112"/>
        <v>301</v>
      </c>
      <c r="G397" s="4">
        <f t="shared" si="113"/>
        <v>520</v>
      </c>
      <c r="H397" s="5">
        <f t="shared" si="114"/>
        <v>2496</v>
      </c>
      <c r="I397" s="5">
        <f t="shared" si="115"/>
        <v>2482</v>
      </c>
      <c r="J397" s="5">
        <f t="shared" si="116"/>
        <v>2263</v>
      </c>
      <c r="K397" s="5">
        <f t="shared" si="123"/>
        <v>3000</v>
      </c>
      <c r="L397" s="5">
        <f t="shared" si="124"/>
        <v>3000</v>
      </c>
      <c r="M397" s="5">
        <f t="shared" si="125"/>
        <v>3000</v>
      </c>
      <c r="N397" s="5">
        <f t="shared" si="120"/>
        <v>-504</v>
      </c>
      <c r="O397" s="5">
        <f t="shared" si="121"/>
        <v>-518</v>
      </c>
      <c r="P397" s="5">
        <f t="shared" si="122"/>
        <v>-737</v>
      </c>
      <c r="Q397" s="4">
        <v>9</v>
      </c>
      <c r="R397" s="4">
        <v>10</v>
      </c>
      <c r="S397" s="4">
        <v>8</v>
      </c>
      <c r="T397" s="6">
        <f t="shared" si="117"/>
        <v>301</v>
      </c>
      <c r="U397" s="7">
        <f t="shared" si="128"/>
        <v>2676</v>
      </c>
      <c r="V397" s="7">
        <f t="shared" si="129"/>
        <v>2482</v>
      </c>
      <c r="W397" s="7">
        <f t="shared" si="127"/>
        <v>2753</v>
      </c>
      <c r="X397" s="6"/>
      <c r="Y397" s="5"/>
      <c r="Z397" s="5"/>
      <c r="AA397" s="5"/>
      <c r="AB397" s="5"/>
    </row>
    <row r="398" spans="1:28" ht="13.15" customHeight="1">
      <c r="A398" s="12">
        <f t="shared" si="126"/>
        <v>384</v>
      </c>
      <c r="B398" s="11">
        <f t="shared" si="118"/>
        <v>45654</v>
      </c>
      <c r="C398" s="9">
        <f t="shared" si="119"/>
        <v>842</v>
      </c>
      <c r="D398" s="8">
        <f t="shared" si="130"/>
        <v>1943</v>
      </c>
      <c r="E398" s="4">
        <f t="shared" ref="E398:E461" si="131">C398+D398-H398</f>
        <v>297</v>
      </c>
      <c r="F398" s="4">
        <f t="shared" ref="F398:F461" si="132">C398+D398-I398</f>
        <v>313</v>
      </c>
      <c r="G398" s="4">
        <f t="shared" ref="G398:G461" si="133">D398+C398-J398</f>
        <v>529</v>
      </c>
      <c r="H398" s="5">
        <f t="shared" ref="H398:H461" si="134">K398+N398</f>
        <v>2488</v>
      </c>
      <c r="I398" s="5">
        <f t="shared" ref="I398:I461" si="135">L398+O398</f>
        <v>2472</v>
      </c>
      <c r="J398" s="5">
        <f t="shared" ref="J398:J461" si="136">M398+P398</f>
        <v>2256</v>
      </c>
      <c r="K398" s="5">
        <f t="shared" si="123"/>
        <v>3000</v>
      </c>
      <c r="L398" s="5">
        <f t="shared" si="124"/>
        <v>3000</v>
      </c>
      <c r="M398" s="5">
        <f t="shared" si="125"/>
        <v>3000</v>
      </c>
      <c r="N398" s="5">
        <f t="shared" si="120"/>
        <v>-512</v>
      </c>
      <c r="O398" s="5">
        <f t="shared" si="121"/>
        <v>-528</v>
      </c>
      <c r="P398" s="5">
        <f t="shared" si="122"/>
        <v>-744</v>
      </c>
      <c r="Q398" s="4">
        <v>8</v>
      </c>
      <c r="R398" s="4">
        <v>10</v>
      </c>
      <c r="S398" s="4">
        <v>7</v>
      </c>
      <c r="T398" s="6">
        <f t="shared" ref="T398:T461" si="137">D398+C398-V398</f>
        <v>313</v>
      </c>
      <c r="U398" s="7">
        <f t="shared" si="128"/>
        <v>2668</v>
      </c>
      <c r="V398" s="7">
        <f t="shared" si="129"/>
        <v>2472</v>
      </c>
      <c r="W398" s="7">
        <f t="shared" si="127"/>
        <v>2746</v>
      </c>
      <c r="X398" s="6"/>
      <c r="Y398" s="5"/>
      <c r="Z398" s="5"/>
      <c r="AA398" s="5"/>
      <c r="AB398" s="5"/>
    </row>
    <row r="399" spans="1:28" ht="13.15" customHeight="1">
      <c r="A399" s="12">
        <f t="shared" si="126"/>
        <v>385</v>
      </c>
      <c r="B399" s="11">
        <f t="shared" ref="B399:B462" si="138">B398+1</f>
        <v>45655</v>
      </c>
      <c r="C399" s="9">
        <f t="shared" ref="C399:C462" si="139">C398</f>
        <v>842</v>
      </c>
      <c r="D399" s="8">
        <f t="shared" si="130"/>
        <v>1945</v>
      </c>
      <c r="E399" s="4">
        <f t="shared" si="131"/>
        <v>308</v>
      </c>
      <c r="F399" s="4">
        <f t="shared" si="132"/>
        <v>323</v>
      </c>
      <c r="G399" s="4">
        <f t="shared" si="133"/>
        <v>539</v>
      </c>
      <c r="H399" s="5">
        <f t="shared" si="134"/>
        <v>2479</v>
      </c>
      <c r="I399" s="5">
        <f t="shared" si="135"/>
        <v>2464</v>
      </c>
      <c r="J399" s="5">
        <f t="shared" si="136"/>
        <v>2248</v>
      </c>
      <c r="K399" s="5">
        <f t="shared" si="123"/>
        <v>3000</v>
      </c>
      <c r="L399" s="5">
        <f t="shared" si="124"/>
        <v>3000</v>
      </c>
      <c r="M399" s="5">
        <f t="shared" si="125"/>
        <v>3000</v>
      </c>
      <c r="N399" s="5">
        <f t="shared" ref="N399:N462" si="140">N398-Q399</f>
        <v>-521</v>
      </c>
      <c r="O399" s="5">
        <f t="shared" ref="O399:O462" si="141">O398-R399</f>
        <v>-536</v>
      </c>
      <c r="P399" s="5">
        <f t="shared" ref="P399:P462" si="142">P398-S399</f>
        <v>-752</v>
      </c>
      <c r="Q399" s="4">
        <v>9</v>
      </c>
      <c r="R399" s="4">
        <v>8</v>
      </c>
      <c r="S399" s="4">
        <v>8</v>
      </c>
      <c r="T399" s="6">
        <f t="shared" si="137"/>
        <v>323</v>
      </c>
      <c r="U399" s="7">
        <f t="shared" si="128"/>
        <v>2659</v>
      </c>
      <c r="V399" s="7">
        <f t="shared" si="129"/>
        <v>2464</v>
      </c>
      <c r="W399" s="7">
        <f t="shared" si="127"/>
        <v>2738</v>
      </c>
      <c r="X399" s="6"/>
      <c r="Y399" s="5"/>
      <c r="Z399" s="5"/>
      <c r="AA399" s="5"/>
      <c r="AB399" s="5"/>
    </row>
    <row r="400" spans="1:28" ht="13.15" customHeight="1">
      <c r="A400" s="12">
        <f t="shared" si="126"/>
        <v>386</v>
      </c>
      <c r="B400" s="11">
        <f t="shared" si="138"/>
        <v>45656</v>
      </c>
      <c r="C400" s="9">
        <f t="shared" si="139"/>
        <v>842</v>
      </c>
      <c r="D400" s="8">
        <f t="shared" si="130"/>
        <v>1947</v>
      </c>
      <c r="E400" s="4">
        <f t="shared" si="131"/>
        <v>318</v>
      </c>
      <c r="F400" s="4">
        <f t="shared" si="132"/>
        <v>334</v>
      </c>
      <c r="G400" s="4">
        <f t="shared" si="133"/>
        <v>545</v>
      </c>
      <c r="H400" s="5">
        <f t="shared" si="134"/>
        <v>2471</v>
      </c>
      <c r="I400" s="5">
        <f t="shared" si="135"/>
        <v>2455</v>
      </c>
      <c r="J400" s="5">
        <f t="shared" si="136"/>
        <v>2244</v>
      </c>
      <c r="K400" s="5">
        <f t="shared" si="123"/>
        <v>3000</v>
      </c>
      <c r="L400" s="5">
        <f t="shared" si="124"/>
        <v>3000</v>
      </c>
      <c r="M400" s="5">
        <f t="shared" si="125"/>
        <v>3000</v>
      </c>
      <c r="N400" s="5">
        <f t="shared" si="140"/>
        <v>-529</v>
      </c>
      <c r="O400" s="5">
        <f t="shared" si="141"/>
        <v>-545</v>
      </c>
      <c r="P400" s="5">
        <f t="shared" si="142"/>
        <v>-756</v>
      </c>
      <c r="Q400" s="4">
        <v>8</v>
      </c>
      <c r="R400" s="4">
        <v>9</v>
      </c>
      <c r="S400" s="4">
        <v>4</v>
      </c>
      <c r="T400" s="6">
        <f t="shared" si="137"/>
        <v>334</v>
      </c>
      <c r="U400" s="7">
        <f t="shared" si="128"/>
        <v>2651</v>
      </c>
      <c r="V400" s="7">
        <f t="shared" si="129"/>
        <v>2455</v>
      </c>
      <c r="W400" s="7">
        <f t="shared" si="127"/>
        <v>2734</v>
      </c>
      <c r="X400" s="6"/>
      <c r="Y400" s="5"/>
      <c r="Z400" s="5"/>
      <c r="AA400" s="5"/>
      <c r="AB400" s="5"/>
    </row>
    <row r="401" spans="1:28" ht="13.15" customHeight="1">
      <c r="A401" s="9">
        <f t="shared" si="126"/>
        <v>387</v>
      </c>
      <c r="B401" s="10">
        <f t="shared" si="138"/>
        <v>45657</v>
      </c>
      <c r="C401" s="9">
        <f t="shared" si="139"/>
        <v>842</v>
      </c>
      <c r="D401" s="8">
        <f t="shared" si="130"/>
        <v>1949</v>
      </c>
      <c r="E401" s="4">
        <f t="shared" si="131"/>
        <v>329</v>
      </c>
      <c r="F401" s="4">
        <f t="shared" si="132"/>
        <v>344</v>
      </c>
      <c r="G401" s="4">
        <f t="shared" si="133"/>
        <v>550</v>
      </c>
      <c r="H401" s="5">
        <f t="shared" si="134"/>
        <v>2462</v>
      </c>
      <c r="I401" s="5">
        <f t="shared" si="135"/>
        <v>2447</v>
      </c>
      <c r="J401" s="5">
        <f t="shared" si="136"/>
        <v>2241</v>
      </c>
      <c r="K401" s="5">
        <f t="shared" si="123"/>
        <v>3000</v>
      </c>
      <c r="L401" s="5">
        <f t="shared" si="124"/>
        <v>3000</v>
      </c>
      <c r="M401" s="5">
        <f t="shared" si="125"/>
        <v>3000</v>
      </c>
      <c r="N401" s="5">
        <f t="shared" si="140"/>
        <v>-538</v>
      </c>
      <c r="O401" s="5">
        <f t="shared" si="141"/>
        <v>-553</v>
      </c>
      <c r="P401" s="5">
        <f t="shared" si="142"/>
        <v>-759</v>
      </c>
      <c r="Q401" s="4">
        <v>9</v>
      </c>
      <c r="R401" s="4">
        <v>8</v>
      </c>
      <c r="S401" s="4">
        <v>3</v>
      </c>
      <c r="T401" s="6">
        <f t="shared" si="137"/>
        <v>344</v>
      </c>
      <c r="U401" s="7">
        <f t="shared" si="128"/>
        <v>2642</v>
      </c>
      <c r="V401" s="7">
        <f t="shared" si="129"/>
        <v>2447</v>
      </c>
      <c r="W401" s="7">
        <f t="shared" si="127"/>
        <v>2731</v>
      </c>
      <c r="X401" s="6"/>
      <c r="Y401" s="5"/>
      <c r="Z401" s="5"/>
      <c r="AA401" s="5"/>
      <c r="AB401" s="5"/>
    </row>
    <row r="402" spans="1:28" ht="13.15" customHeight="1">
      <c r="A402" s="9">
        <f t="shared" si="126"/>
        <v>388</v>
      </c>
      <c r="B402" s="10">
        <f t="shared" si="138"/>
        <v>45658</v>
      </c>
      <c r="C402" s="9">
        <f t="shared" si="139"/>
        <v>842</v>
      </c>
      <c r="D402" s="8">
        <f t="shared" si="130"/>
        <v>1951</v>
      </c>
      <c r="E402" s="4">
        <f t="shared" si="131"/>
        <v>339</v>
      </c>
      <c r="F402" s="4">
        <f t="shared" si="132"/>
        <v>355</v>
      </c>
      <c r="G402" s="4">
        <f t="shared" si="133"/>
        <v>556</v>
      </c>
      <c r="H402" s="5">
        <f t="shared" si="134"/>
        <v>2454</v>
      </c>
      <c r="I402" s="5">
        <f t="shared" si="135"/>
        <v>2438</v>
      </c>
      <c r="J402" s="5">
        <f t="shared" si="136"/>
        <v>2237</v>
      </c>
      <c r="K402" s="5">
        <f t="shared" si="123"/>
        <v>3000</v>
      </c>
      <c r="L402" s="5">
        <f t="shared" si="124"/>
        <v>3000</v>
      </c>
      <c r="M402" s="5">
        <f t="shared" si="125"/>
        <v>3000</v>
      </c>
      <c r="N402" s="5">
        <f t="shared" si="140"/>
        <v>-546</v>
      </c>
      <c r="O402" s="5">
        <f t="shared" si="141"/>
        <v>-562</v>
      </c>
      <c r="P402" s="5">
        <f t="shared" si="142"/>
        <v>-763</v>
      </c>
      <c r="Q402" s="4">
        <v>8</v>
      </c>
      <c r="R402" s="4">
        <v>9</v>
      </c>
      <c r="S402" s="4">
        <v>4</v>
      </c>
      <c r="T402" s="6">
        <f t="shared" si="137"/>
        <v>355</v>
      </c>
      <c r="U402" s="7">
        <f t="shared" si="128"/>
        <v>2634</v>
      </c>
      <c r="V402" s="7">
        <f t="shared" si="129"/>
        <v>2438</v>
      </c>
      <c r="W402" s="7">
        <f t="shared" si="127"/>
        <v>2727</v>
      </c>
      <c r="X402" s="6"/>
      <c r="Y402" s="5"/>
      <c r="Z402" s="5"/>
      <c r="AA402" s="5"/>
      <c r="AB402" s="5"/>
    </row>
    <row r="403" spans="1:28" ht="13.15" customHeight="1">
      <c r="A403" s="9">
        <f t="shared" si="126"/>
        <v>389</v>
      </c>
      <c r="B403" s="10">
        <f t="shared" si="138"/>
        <v>45659</v>
      </c>
      <c r="C403" s="9">
        <f t="shared" si="139"/>
        <v>842</v>
      </c>
      <c r="D403" s="8">
        <f t="shared" si="130"/>
        <v>1953</v>
      </c>
      <c r="E403" s="4">
        <f t="shared" si="131"/>
        <v>349</v>
      </c>
      <c r="F403" s="4">
        <f t="shared" si="132"/>
        <v>366</v>
      </c>
      <c r="G403" s="4">
        <f t="shared" si="133"/>
        <v>560</v>
      </c>
      <c r="H403" s="5">
        <f t="shared" si="134"/>
        <v>2446</v>
      </c>
      <c r="I403" s="5">
        <f t="shared" si="135"/>
        <v>2429</v>
      </c>
      <c r="J403" s="5">
        <f t="shared" si="136"/>
        <v>2235</v>
      </c>
      <c r="K403" s="5">
        <f t="shared" si="123"/>
        <v>3000</v>
      </c>
      <c r="L403" s="5">
        <f t="shared" si="124"/>
        <v>3000</v>
      </c>
      <c r="M403" s="5">
        <f t="shared" si="125"/>
        <v>3000</v>
      </c>
      <c r="N403" s="5">
        <f t="shared" si="140"/>
        <v>-554</v>
      </c>
      <c r="O403" s="5">
        <f t="shared" si="141"/>
        <v>-571</v>
      </c>
      <c r="P403" s="5">
        <f t="shared" si="142"/>
        <v>-765</v>
      </c>
      <c r="Q403" s="4">
        <v>8</v>
      </c>
      <c r="R403" s="4">
        <v>9</v>
      </c>
      <c r="S403" s="4">
        <v>2</v>
      </c>
      <c r="T403" s="6">
        <f t="shared" si="137"/>
        <v>366</v>
      </c>
      <c r="U403" s="7">
        <f t="shared" si="128"/>
        <v>2626</v>
      </c>
      <c r="V403" s="7">
        <f t="shared" si="129"/>
        <v>2429</v>
      </c>
      <c r="W403" s="7">
        <f t="shared" si="127"/>
        <v>2725</v>
      </c>
      <c r="X403" s="6"/>
      <c r="Y403" s="5"/>
      <c r="Z403" s="5"/>
      <c r="AA403" s="5"/>
      <c r="AB403" s="5"/>
    </row>
    <row r="404" spans="1:28" ht="13.15" customHeight="1">
      <c r="A404" s="9">
        <f t="shared" si="126"/>
        <v>390</v>
      </c>
      <c r="B404" s="10">
        <f t="shared" si="138"/>
        <v>45660</v>
      </c>
      <c r="C404" s="9">
        <f t="shared" si="139"/>
        <v>842</v>
      </c>
      <c r="D404" s="8">
        <f t="shared" si="130"/>
        <v>1955</v>
      </c>
      <c r="E404" s="4">
        <f t="shared" si="131"/>
        <v>359</v>
      </c>
      <c r="F404" s="4">
        <f t="shared" si="132"/>
        <v>377</v>
      </c>
      <c r="G404" s="4">
        <f t="shared" si="133"/>
        <v>567</v>
      </c>
      <c r="H404" s="5">
        <f t="shared" si="134"/>
        <v>2438</v>
      </c>
      <c r="I404" s="5">
        <f t="shared" si="135"/>
        <v>2420</v>
      </c>
      <c r="J404" s="5">
        <f t="shared" si="136"/>
        <v>2230</v>
      </c>
      <c r="K404" s="5">
        <f t="shared" si="123"/>
        <v>3000</v>
      </c>
      <c r="L404" s="5">
        <f t="shared" si="124"/>
        <v>3000</v>
      </c>
      <c r="M404" s="5">
        <f t="shared" si="125"/>
        <v>3000</v>
      </c>
      <c r="N404" s="5">
        <f t="shared" si="140"/>
        <v>-562</v>
      </c>
      <c r="O404" s="5">
        <f t="shared" si="141"/>
        <v>-580</v>
      </c>
      <c r="P404" s="5">
        <f t="shared" si="142"/>
        <v>-770</v>
      </c>
      <c r="Q404" s="4">
        <v>8</v>
      </c>
      <c r="R404" s="4">
        <v>9</v>
      </c>
      <c r="S404" s="4">
        <v>5</v>
      </c>
      <c r="T404" s="6">
        <f t="shared" si="137"/>
        <v>377</v>
      </c>
      <c r="U404" s="7">
        <f t="shared" si="128"/>
        <v>2618</v>
      </c>
      <c r="V404" s="7">
        <f t="shared" si="129"/>
        <v>2420</v>
      </c>
      <c r="W404" s="7">
        <f t="shared" si="127"/>
        <v>2720</v>
      </c>
      <c r="X404" s="6"/>
      <c r="Y404" s="5"/>
      <c r="Z404" s="5"/>
      <c r="AA404" s="5"/>
      <c r="AB404" s="5"/>
    </row>
    <row r="405" spans="1:28" ht="13.15" customHeight="1">
      <c r="A405" s="9">
        <f t="shared" si="126"/>
        <v>391</v>
      </c>
      <c r="B405" s="10">
        <f t="shared" si="138"/>
        <v>45661</v>
      </c>
      <c r="C405" s="9">
        <f t="shared" si="139"/>
        <v>842</v>
      </c>
      <c r="D405" s="8">
        <f t="shared" si="130"/>
        <v>1957</v>
      </c>
      <c r="E405" s="4">
        <f t="shared" si="131"/>
        <v>368</v>
      </c>
      <c r="F405" s="4">
        <f t="shared" si="132"/>
        <v>387</v>
      </c>
      <c r="G405" s="4">
        <f t="shared" si="133"/>
        <v>574</v>
      </c>
      <c r="H405" s="5">
        <f t="shared" si="134"/>
        <v>2431</v>
      </c>
      <c r="I405" s="5">
        <f t="shared" si="135"/>
        <v>2412</v>
      </c>
      <c r="J405" s="5">
        <f t="shared" si="136"/>
        <v>2225</v>
      </c>
      <c r="K405" s="5">
        <f t="shared" ref="K405:K468" si="143">K404</f>
        <v>3000</v>
      </c>
      <c r="L405" s="5">
        <f t="shared" ref="L405:L468" si="144">L404</f>
        <v>3000</v>
      </c>
      <c r="M405" s="5">
        <f t="shared" ref="M405:M468" si="145">M404</f>
        <v>3000</v>
      </c>
      <c r="N405" s="5">
        <f t="shared" si="140"/>
        <v>-569</v>
      </c>
      <c r="O405" s="5">
        <f t="shared" si="141"/>
        <v>-588</v>
      </c>
      <c r="P405" s="5">
        <f t="shared" si="142"/>
        <v>-775</v>
      </c>
      <c r="Q405" s="4">
        <v>7</v>
      </c>
      <c r="R405" s="4">
        <v>8</v>
      </c>
      <c r="S405" s="4">
        <v>5</v>
      </c>
      <c r="T405" s="6">
        <f t="shared" si="137"/>
        <v>387</v>
      </c>
      <c r="U405" s="7">
        <f t="shared" si="128"/>
        <v>2611</v>
      </c>
      <c r="V405" s="7">
        <f t="shared" si="129"/>
        <v>2412</v>
      </c>
      <c r="W405" s="7">
        <f t="shared" si="127"/>
        <v>2715</v>
      </c>
      <c r="X405" s="6"/>
      <c r="Y405" s="5"/>
      <c r="Z405" s="5"/>
      <c r="AA405" s="5"/>
      <c r="AB405" s="5"/>
    </row>
    <row r="406" spans="1:28" ht="13.15" customHeight="1">
      <c r="A406" s="9">
        <f t="shared" si="126"/>
        <v>392</v>
      </c>
      <c r="B406" s="10">
        <f t="shared" si="138"/>
        <v>45662</v>
      </c>
      <c r="C406" s="9">
        <f t="shared" si="139"/>
        <v>842</v>
      </c>
      <c r="D406" s="8">
        <f t="shared" si="130"/>
        <v>1959</v>
      </c>
      <c r="E406" s="4">
        <f t="shared" si="131"/>
        <v>379</v>
      </c>
      <c r="F406" s="4">
        <f t="shared" si="132"/>
        <v>397</v>
      </c>
      <c r="G406" s="4">
        <f t="shared" si="133"/>
        <v>580</v>
      </c>
      <c r="H406" s="5">
        <f t="shared" si="134"/>
        <v>2422</v>
      </c>
      <c r="I406" s="5">
        <f t="shared" si="135"/>
        <v>2404</v>
      </c>
      <c r="J406" s="5">
        <f t="shared" si="136"/>
        <v>2221</v>
      </c>
      <c r="K406" s="5">
        <f t="shared" si="143"/>
        <v>3000</v>
      </c>
      <c r="L406" s="5">
        <f t="shared" si="144"/>
        <v>3000</v>
      </c>
      <c r="M406" s="5">
        <f t="shared" si="145"/>
        <v>3000</v>
      </c>
      <c r="N406" s="5">
        <f t="shared" si="140"/>
        <v>-578</v>
      </c>
      <c r="O406" s="5">
        <f t="shared" si="141"/>
        <v>-596</v>
      </c>
      <c r="P406" s="5">
        <f t="shared" si="142"/>
        <v>-779</v>
      </c>
      <c r="Q406" s="4">
        <v>9</v>
      </c>
      <c r="R406" s="4">
        <v>8</v>
      </c>
      <c r="S406" s="4">
        <v>4</v>
      </c>
      <c r="T406" s="6">
        <f t="shared" si="137"/>
        <v>397</v>
      </c>
      <c r="U406" s="7">
        <f t="shared" si="128"/>
        <v>2602</v>
      </c>
      <c r="V406" s="7">
        <f t="shared" si="129"/>
        <v>2404</v>
      </c>
      <c r="W406" s="7">
        <f t="shared" si="127"/>
        <v>2711</v>
      </c>
      <c r="X406" s="6"/>
      <c r="Y406" s="5"/>
      <c r="Z406" s="5"/>
      <c r="AA406" s="5"/>
      <c r="AB406" s="5"/>
    </row>
    <row r="407" spans="1:28" ht="13.15" customHeight="1">
      <c r="A407" s="9">
        <f t="shared" ref="A407:A470" si="146">+A406+1</f>
        <v>393</v>
      </c>
      <c r="B407" s="10">
        <f t="shared" si="138"/>
        <v>45663</v>
      </c>
      <c r="C407" s="9">
        <f t="shared" si="139"/>
        <v>842</v>
      </c>
      <c r="D407" s="8">
        <f t="shared" si="130"/>
        <v>1961</v>
      </c>
      <c r="E407" s="4">
        <f t="shared" si="131"/>
        <v>389</v>
      </c>
      <c r="F407" s="4">
        <f t="shared" si="132"/>
        <v>408</v>
      </c>
      <c r="G407" s="4">
        <f t="shared" si="133"/>
        <v>585</v>
      </c>
      <c r="H407" s="5">
        <f t="shared" si="134"/>
        <v>2414</v>
      </c>
      <c r="I407" s="5">
        <f t="shared" si="135"/>
        <v>2395</v>
      </c>
      <c r="J407" s="5">
        <f t="shared" si="136"/>
        <v>2218</v>
      </c>
      <c r="K407" s="5">
        <f t="shared" si="143"/>
        <v>3000</v>
      </c>
      <c r="L407" s="5">
        <f t="shared" si="144"/>
        <v>3000</v>
      </c>
      <c r="M407" s="5">
        <f t="shared" si="145"/>
        <v>3000</v>
      </c>
      <c r="N407" s="5">
        <f t="shared" si="140"/>
        <v>-586</v>
      </c>
      <c r="O407" s="5">
        <f t="shared" si="141"/>
        <v>-605</v>
      </c>
      <c r="P407" s="5">
        <f t="shared" si="142"/>
        <v>-782</v>
      </c>
      <c r="Q407" s="4">
        <v>8</v>
      </c>
      <c r="R407" s="4">
        <v>9</v>
      </c>
      <c r="S407" s="4">
        <v>3</v>
      </c>
      <c r="T407" s="6">
        <f t="shared" si="137"/>
        <v>408</v>
      </c>
      <c r="U407" s="7">
        <f t="shared" si="128"/>
        <v>2594</v>
      </c>
      <c r="V407" s="7">
        <f t="shared" si="129"/>
        <v>2395</v>
      </c>
      <c r="W407" s="7">
        <f t="shared" si="127"/>
        <v>2708</v>
      </c>
      <c r="X407" s="6"/>
      <c r="Y407" s="5"/>
      <c r="Z407" s="5"/>
      <c r="AA407" s="5"/>
      <c r="AB407" s="5"/>
    </row>
    <row r="408" spans="1:28" ht="13.15" customHeight="1">
      <c r="A408" s="9">
        <f t="shared" si="146"/>
        <v>394</v>
      </c>
      <c r="B408" s="10">
        <f t="shared" si="138"/>
        <v>45664</v>
      </c>
      <c r="C408" s="9">
        <f t="shared" si="139"/>
        <v>842</v>
      </c>
      <c r="D408" s="8">
        <f t="shared" si="130"/>
        <v>1963</v>
      </c>
      <c r="E408" s="4">
        <f t="shared" si="131"/>
        <v>399</v>
      </c>
      <c r="F408" s="4">
        <f t="shared" si="132"/>
        <v>419</v>
      </c>
      <c r="G408" s="4">
        <f t="shared" si="133"/>
        <v>590</v>
      </c>
      <c r="H408" s="5">
        <f t="shared" si="134"/>
        <v>2406</v>
      </c>
      <c r="I408" s="5">
        <f t="shared" si="135"/>
        <v>2386</v>
      </c>
      <c r="J408" s="5">
        <f t="shared" si="136"/>
        <v>2215</v>
      </c>
      <c r="K408" s="5">
        <f t="shared" si="143"/>
        <v>3000</v>
      </c>
      <c r="L408" s="5">
        <f t="shared" si="144"/>
        <v>3000</v>
      </c>
      <c r="M408" s="5">
        <f t="shared" si="145"/>
        <v>3000</v>
      </c>
      <c r="N408" s="5">
        <f t="shared" si="140"/>
        <v>-594</v>
      </c>
      <c r="O408" s="5">
        <f t="shared" si="141"/>
        <v>-614</v>
      </c>
      <c r="P408" s="5">
        <f t="shared" si="142"/>
        <v>-785</v>
      </c>
      <c r="Q408" s="4">
        <v>8</v>
      </c>
      <c r="R408" s="4">
        <v>9</v>
      </c>
      <c r="S408" s="4">
        <v>3</v>
      </c>
      <c r="T408" s="6">
        <f t="shared" si="137"/>
        <v>419</v>
      </c>
      <c r="U408" s="7">
        <f t="shared" si="128"/>
        <v>2586</v>
      </c>
      <c r="V408" s="7">
        <f t="shared" si="129"/>
        <v>2386</v>
      </c>
      <c r="W408" s="7">
        <f t="shared" si="127"/>
        <v>2705</v>
      </c>
      <c r="X408" s="6"/>
      <c r="Y408" s="5"/>
      <c r="Z408" s="5"/>
      <c r="AA408" s="5"/>
      <c r="AB408" s="5"/>
    </row>
    <row r="409" spans="1:28" ht="13.15" customHeight="1">
      <c r="A409" s="9">
        <f t="shared" si="146"/>
        <v>395</v>
      </c>
      <c r="B409" s="10">
        <f t="shared" si="138"/>
        <v>45665</v>
      </c>
      <c r="C409" s="9">
        <f t="shared" si="139"/>
        <v>842</v>
      </c>
      <c r="D409" s="8">
        <f t="shared" si="130"/>
        <v>1965</v>
      </c>
      <c r="E409" s="4">
        <f t="shared" si="131"/>
        <v>409</v>
      </c>
      <c r="F409" s="4">
        <f t="shared" si="132"/>
        <v>430</v>
      </c>
      <c r="G409" s="4">
        <f t="shared" si="133"/>
        <v>594</v>
      </c>
      <c r="H409" s="5">
        <f t="shared" si="134"/>
        <v>2398</v>
      </c>
      <c r="I409" s="5">
        <f t="shared" si="135"/>
        <v>2377</v>
      </c>
      <c r="J409" s="5">
        <f t="shared" si="136"/>
        <v>2213</v>
      </c>
      <c r="K409" s="5">
        <f t="shared" si="143"/>
        <v>3000</v>
      </c>
      <c r="L409" s="5">
        <f t="shared" si="144"/>
        <v>3000</v>
      </c>
      <c r="M409" s="5">
        <f t="shared" si="145"/>
        <v>3000</v>
      </c>
      <c r="N409" s="5">
        <f t="shared" si="140"/>
        <v>-602</v>
      </c>
      <c r="O409" s="5">
        <f t="shared" si="141"/>
        <v>-623</v>
      </c>
      <c r="P409" s="5">
        <f t="shared" si="142"/>
        <v>-787</v>
      </c>
      <c r="Q409" s="4">
        <v>8</v>
      </c>
      <c r="R409" s="4">
        <v>9</v>
      </c>
      <c r="S409" s="4">
        <v>2</v>
      </c>
      <c r="T409" s="6">
        <f t="shared" si="137"/>
        <v>430</v>
      </c>
      <c r="U409" s="7">
        <f t="shared" si="128"/>
        <v>2578</v>
      </c>
      <c r="V409" s="7">
        <f t="shared" si="129"/>
        <v>2377</v>
      </c>
      <c r="W409" s="7">
        <f t="shared" si="127"/>
        <v>2703</v>
      </c>
      <c r="X409" s="6"/>
      <c r="Y409" s="5"/>
      <c r="Z409" s="5"/>
      <c r="AA409" s="5"/>
      <c r="AB409" s="5"/>
    </row>
    <row r="410" spans="1:28" ht="13.15" customHeight="1">
      <c r="A410" s="9">
        <f t="shared" si="146"/>
        <v>396</v>
      </c>
      <c r="B410" s="10">
        <f t="shared" si="138"/>
        <v>45666</v>
      </c>
      <c r="C410" s="9">
        <f t="shared" si="139"/>
        <v>842</v>
      </c>
      <c r="D410" s="8">
        <f t="shared" si="130"/>
        <v>1967</v>
      </c>
      <c r="E410" s="4">
        <f t="shared" si="131"/>
        <v>419</v>
      </c>
      <c r="F410" s="4">
        <f t="shared" si="132"/>
        <v>440</v>
      </c>
      <c r="G410" s="4">
        <f t="shared" si="133"/>
        <v>598</v>
      </c>
      <c r="H410" s="5">
        <f t="shared" si="134"/>
        <v>2390</v>
      </c>
      <c r="I410" s="5">
        <f t="shared" si="135"/>
        <v>2369</v>
      </c>
      <c r="J410" s="5">
        <f t="shared" si="136"/>
        <v>2211</v>
      </c>
      <c r="K410" s="5">
        <f t="shared" si="143"/>
        <v>3000</v>
      </c>
      <c r="L410" s="5">
        <f t="shared" si="144"/>
        <v>3000</v>
      </c>
      <c r="M410" s="5">
        <f t="shared" si="145"/>
        <v>3000</v>
      </c>
      <c r="N410" s="5">
        <f t="shared" si="140"/>
        <v>-610</v>
      </c>
      <c r="O410" s="5">
        <f t="shared" si="141"/>
        <v>-631</v>
      </c>
      <c r="P410" s="5">
        <f t="shared" si="142"/>
        <v>-789</v>
      </c>
      <c r="Q410" s="4">
        <v>8</v>
      </c>
      <c r="R410" s="4">
        <v>8</v>
      </c>
      <c r="S410" s="4">
        <v>2</v>
      </c>
      <c r="T410" s="6">
        <f t="shared" si="137"/>
        <v>440</v>
      </c>
      <c r="U410" s="7">
        <f t="shared" si="128"/>
        <v>2570</v>
      </c>
      <c r="V410" s="7">
        <f t="shared" si="129"/>
        <v>2369</v>
      </c>
      <c r="W410" s="7">
        <f t="shared" si="127"/>
        <v>2701</v>
      </c>
      <c r="X410" s="6"/>
      <c r="Y410" s="5"/>
      <c r="Z410" s="5"/>
      <c r="AA410" s="5"/>
      <c r="AB410" s="5"/>
    </row>
    <row r="411" spans="1:28" ht="13.15" customHeight="1">
      <c r="A411" s="9">
        <f t="shared" si="146"/>
        <v>397</v>
      </c>
      <c r="B411" s="10">
        <f t="shared" si="138"/>
        <v>45667</v>
      </c>
      <c r="C411" s="9">
        <f t="shared" si="139"/>
        <v>842</v>
      </c>
      <c r="D411" s="8">
        <f t="shared" si="130"/>
        <v>1969</v>
      </c>
      <c r="E411" s="4">
        <f t="shared" si="131"/>
        <v>428</v>
      </c>
      <c r="F411" s="4">
        <f t="shared" si="132"/>
        <v>450</v>
      </c>
      <c r="G411" s="4">
        <f t="shared" si="133"/>
        <v>603</v>
      </c>
      <c r="H411" s="5">
        <f t="shared" si="134"/>
        <v>2383</v>
      </c>
      <c r="I411" s="5">
        <f t="shared" si="135"/>
        <v>2361</v>
      </c>
      <c r="J411" s="5">
        <f t="shared" si="136"/>
        <v>2208</v>
      </c>
      <c r="K411" s="5">
        <f t="shared" si="143"/>
        <v>3000</v>
      </c>
      <c r="L411" s="5">
        <f t="shared" si="144"/>
        <v>3000</v>
      </c>
      <c r="M411" s="5">
        <f t="shared" si="145"/>
        <v>3000</v>
      </c>
      <c r="N411" s="5">
        <f t="shared" si="140"/>
        <v>-617</v>
      </c>
      <c r="O411" s="5">
        <f t="shared" si="141"/>
        <v>-639</v>
      </c>
      <c r="P411" s="5">
        <f t="shared" si="142"/>
        <v>-792</v>
      </c>
      <c r="Q411" s="4">
        <v>7</v>
      </c>
      <c r="R411" s="4">
        <v>8</v>
      </c>
      <c r="S411" s="4">
        <v>3</v>
      </c>
      <c r="T411" s="6">
        <f t="shared" si="137"/>
        <v>450</v>
      </c>
      <c r="U411" s="7">
        <f t="shared" si="128"/>
        <v>2563</v>
      </c>
      <c r="V411" s="7">
        <f t="shared" si="129"/>
        <v>2361</v>
      </c>
      <c r="W411" s="7">
        <f t="shared" si="127"/>
        <v>2698</v>
      </c>
      <c r="X411" s="6"/>
      <c r="Y411" s="5"/>
      <c r="Z411" s="5"/>
      <c r="AA411" s="5"/>
      <c r="AB411" s="5"/>
    </row>
    <row r="412" spans="1:28" ht="13.15" customHeight="1">
      <c r="A412" s="9">
        <f t="shared" si="146"/>
        <v>398</v>
      </c>
      <c r="B412" s="10">
        <f t="shared" si="138"/>
        <v>45668</v>
      </c>
      <c r="C412" s="9">
        <f t="shared" si="139"/>
        <v>842</v>
      </c>
      <c r="D412" s="8">
        <f t="shared" si="130"/>
        <v>1971</v>
      </c>
      <c r="E412" s="4">
        <f t="shared" si="131"/>
        <v>439</v>
      </c>
      <c r="F412" s="4">
        <f t="shared" si="132"/>
        <v>461</v>
      </c>
      <c r="G412" s="4">
        <f t="shared" si="133"/>
        <v>606</v>
      </c>
      <c r="H412" s="5">
        <f t="shared" si="134"/>
        <v>2374</v>
      </c>
      <c r="I412" s="5">
        <f t="shared" si="135"/>
        <v>2352</v>
      </c>
      <c r="J412" s="5">
        <f t="shared" si="136"/>
        <v>2207</v>
      </c>
      <c r="K412" s="5">
        <f t="shared" si="143"/>
        <v>3000</v>
      </c>
      <c r="L412" s="5">
        <f t="shared" si="144"/>
        <v>3000</v>
      </c>
      <c r="M412" s="5">
        <f t="shared" si="145"/>
        <v>3000</v>
      </c>
      <c r="N412" s="5">
        <f t="shared" si="140"/>
        <v>-626</v>
      </c>
      <c r="O412" s="5">
        <f t="shared" si="141"/>
        <v>-648</v>
      </c>
      <c r="P412" s="5">
        <f t="shared" si="142"/>
        <v>-793</v>
      </c>
      <c r="Q412" s="4">
        <v>9</v>
      </c>
      <c r="R412" s="4">
        <v>9</v>
      </c>
      <c r="S412" s="4">
        <v>1</v>
      </c>
      <c r="T412" s="6">
        <f t="shared" si="137"/>
        <v>461</v>
      </c>
      <c r="U412" s="7">
        <f t="shared" si="128"/>
        <v>2554</v>
      </c>
      <c r="V412" s="7">
        <f t="shared" si="129"/>
        <v>2352</v>
      </c>
      <c r="W412" s="7">
        <f t="shared" si="127"/>
        <v>2697</v>
      </c>
      <c r="X412" s="6"/>
      <c r="Y412" s="5"/>
      <c r="Z412" s="5"/>
      <c r="AA412" s="5"/>
      <c r="AB412" s="5"/>
    </row>
    <row r="413" spans="1:28" ht="13.15" customHeight="1">
      <c r="A413" s="9">
        <f t="shared" si="146"/>
        <v>399</v>
      </c>
      <c r="B413" s="10">
        <f t="shared" si="138"/>
        <v>45669</v>
      </c>
      <c r="C413" s="9">
        <f t="shared" si="139"/>
        <v>842</v>
      </c>
      <c r="D413" s="8">
        <f t="shared" si="130"/>
        <v>1973</v>
      </c>
      <c r="E413" s="4">
        <f t="shared" si="131"/>
        <v>449</v>
      </c>
      <c r="F413" s="4">
        <f t="shared" si="132"/>
        <v>471</v>
      </c>
      <c r="G413" s="4">
        <f t="shared" si="133"/>
        <v>610</v>
      </c>
      <c r="H413" s="5">
        <f t="shared" si="134"/>
        <v>2366</v>
      </c>
      <c r="I413" s="5">
        <f t="shared" si="135"/>
        <v>2344</v>
      </c>
      <c r="J413" s="5">
        <f t="shared" si="136"/>
        <v>2205</v>
      </c>
      <c r="K413" s="5">
        <f t="shared" si="143"/>
        <v>3000</v>
      </c>
      <c r="L413" s="5">
        <f t="shared" si="144"/>
        <v>3000</v>
      </c>
      <c r="M413" s="5">
        <f t="shared" si="145"/>
        <v>3000</v>
      </c>
      <c r="N413" s="5">
        <f t="shared" si="140"/>
        <v>-634</v>
      </c>
      <c r="O413" s="5">
        <f t="shared" si="141"/>
        <v>-656</v>
      </c>
      <c r="P413" s="5">
        <f t="shared" si="142"/>
        <v>-795</v>
      </c>
      <c r="Q413" s="4">
        <v>8</v>
      </c>
      <c r="R413" s="4">
        <v>8</v>
      </c>
      <c r="S413" s="4">
        <v>2</v>
      </c>
      <c r="T413" s="6">
        <f t="shared" si="137"/>
        <v>471</v>
      </c>
      <c r="U413" s="7">
        <f t="shared" si="128"/>
        <v>2546</v>
      </c>
      <c r="V413" s="7">
        <f t="shared" si="129"/>
        <v>2344</v>
      </c>
      <c r="W413" s="7">
        <f t="shared" si="127"/>
        <v>2695</v>
      </c>
      <c r="X413" s="6"/>
      <c r="Y413" s="5"/>
      <c r="Z413" s="5"/>
      <c r="AA413" s="5"/>
      <c r="AB413" s="5"/>
    </row>
    <row r="414" spans="1:28" ht="13.15" customHeight="1">
      <c r="A414" s="9">
        <f t="shared" si="146"/>
        <v>400</v>
      </c>
      <c r="B414" s="10">
        <f t="shared" si="138"/>
        <v>45670</v>
      </c>
      <c r="C414" s="9">
        <f t="shared" si="139"/>
        <v>842</v>
      </c>
      <c r="D414" s="8">
        <f t="shared" si="130"/>
        <v>1975</v>
      </c>
      <c r="E414" s="4">
        <f t="shared" si="131"/>
        <v>459</v>
      </c>
      <c r="F414" s="4">
        <f t="shared" si="132"/>
        <v>482</v>
      </c>
      <c r="G414" s="4">
        <f t="shared" si="133"/>
        <v>613</v>
      </c>
      <c r="H414" s="5">
        <f t="shared" si="134"/>
        <v>2358</v>
      </c>
      <c r="I414" s="5">
        <f t="shared" si="135"/>
        <v>2335</v>
      </c>
      <c r="J414" s="5">
        <f t="shared" si="136"/>
        <v>2204</v>
      </c>
      <c r="K414" s="5">
        <f t="shared" si="143"/>
        <v>3000</v>
      </c>
      <c r="L414" s="5">
        <f t="shared" si="144"/>
        <v>3000</v>
      </c>
      <c r="M414" s="5">
        <f t="shared" si="145"/>
        <v>3000</v>
      </c>
      <c r="N414" s="5">
        <f t="shared" si="140"/>
        <v>-642</v>
      </c>
      <c r="O414" s="5">
        <f t="shared" si="141"/>
        <v>-665</v>
      </c>
      <c r="P414" s="5">
        <f t="shared" si="142"/>
        <v>-796</v>
      </c>
      <c r="Q414" s="4">
        <v>8</v>
      </c>
      <c r="R414" s="4">
        <v>9</v>
      </c>
      <c r="S414" s="4">
        <v>1</v>
      </c>
      <c r="T414" s="6">
        <f t="shared" si="137"/>
        <v>482</v>
      </c>
      <c r="U414" s="7">
        <f t="shared" si="128"/>
        <v>2538</v>
      </c>
      <c r="V414" s="7">
        <f t="shared" si="129"/>
        <v>2335</v>
      </c>
      <c r="W414" s="7">
        <f t="shared" si="127"/>
        <v>2694</v>
      </c>
      <c r="X414" s="6"/>
      <c r="Y414" s="5"/>
      <c r="Z414" s="5"/>
      <c r="AA414" s="5"/>
      <c r="AB414" s="5"/>
    </row>
    <row r="415" spans="1:28" ht="13.15" customHeight="1">
      <c r="A415" s="9">
        <f t="shared" si="146"/>
        <v>401</v>
      </c>
      <c r="B415" s="10">
        <f t="shared" si="138"/>
        <v>45671</v>
      </c>
      <c r="C415" s="9">
        <f t="shared" si="139"/>
        <v>842</v>
      </c>
      <c r="D415" s="8">
        <f t="shared" si="130"/>
        <v>1977</v>
      </c>
      <c r="E415" s="4">
        <f t="shared" si="131"/>
        <v>470</v>
      </c>
      <c r="F415" s="4">
        <f t="shared" si="132"/>
        <v>492</v>
      </c>
      <c r="G415" s="4">
        <f t="shared" si="133"/>
        <v>617</v>
      </c>
      <c r="H415" s="5">
        <f t="shared" si="134"/>
        <v>2349</v>
      </c>
      <c r="I415" s="5">
        <f t="shared" si="135"/>
        <v>2327</v>
      </c>
      <c r="J415" s="5">
        <f t="shared" si="136"/>
        <v>2202</v>
      </c>
      <c r="K415" s="5">
        <f t="shared" si="143"/>
        <v>3000</v>
      </c>
      <c r="L415" s="5">
        <f t="shared" si="144"/>
        <v>3000</v>
      </c>
      <c r="M415" s="5">
        <f t="shared" si="145"/>
        <v>3000</v>
      </c>
      <c r="N415" s="5">
        <f t="shared" si="140"/>
        <v>-651</v>
      </c>
      <c r="O415" s="5">
        <f t="shared" si="141"/>
        <v>-673</v>
      </c>
      <c r="P415" s="5">
        <f t="shared" si="142"/>
        <v>-798</v>
      </c>
      <c r="Q415" s="4">
        <v>9</v>
      </c>
      <c r="R415" s="4">
        <v>8</v>
      </c>
      <c r="S415" s="4">
        <v>2</v>
      </c>
      <c r="T415" s="6">
        <f t="shared" si="137"/>
        <v>492</v>
      </c>
      <c r="U415" s="7">
        <f t="shared" si="128"/>
        <v>2529</v>
      </c>
      <c r="V415" s="7">
        <f t="shared" si="129"/>
        <v>2327</v>
      </c>
      <c r="W415" s="7">
        <f t="shared" si="127"/>
        <v>2692</v>
      </c>
      <c r="X415" s="6"/>
      <c r="Y415" s="5"/>
      <c r="Z415" s="5"/>
      <c r="AA415" s="5"/>
      <c r="AB415" s="5"/>
    </row>
    <row r="416" spans="1:28" ht="13.15" customHeight="1">
      <c r="A416" s="9">
        <f t="shared" si="146"/>
        <v>402</v>
      </c>
      <c r="B416" s="10">
        <f t="shared" si="138"/>
        <v>45672</v>
      </c>
      <c r="C416" s="9">
        <f t="shared" si="139"/>
        <v>842</v>
      </c>
      <c r="D416" s="8">
        <f t="shared" si="130"/>
        <v>1979</v>
      </c>
      <c r="E416" s="4">
        <f t="shared" si="131"/>
        <v>480</v>
      </c>
      <c r="F416" s="4">
        <f t="shared" si="132"/>
        <v>501</v>
      </c>
      <c r="G416" s="4">
        <f t="shared" si="133"/>
        <v>621</v>
      </c>
      <c r="H416" s="5">
        <f t="shared" si="134"/>
        <v>2341</v>
      </c>
      <c r="I416" s="5">
        <f t="shared" si="135"/>
        <v>2320</v>
      </c>
      <c r="J416" s="5">
        <f t="shared" si="136"/>
        <v>2200</v>
      </c>
      <c r="K416" s="5">
        <f t="shared" si="143"/>
        <v>3000</v>
      </c>
      <c r="L416" s="5">
        <f t="shared" si="144"/>
        <v>3000</v>
      </c>
      <c r="M416" s="5">
        <f t="shared" si="145"/>
        <v>3000</v>
      </c>
      <c r="N416" s="5">
        <f t="shared" si="140"/>
        <v>-659</v>
      </c>
      <c r="O416" s="5">
        <f t="shared" si="141"/>
        <v>-680</v>
      </c>
      <c r="P416" s="5">
        <f t="shared" si="142"/>
        <v>-800</v>
      </c>
      <c r="Q416" s="4">
        <v>8</v>
      </c>
      <c r="R416" s="4">
        <v>7</v>
      </c>
      <c r="S416" s="4">
        <v>2</v>
      </c>
      <c r="T416" s="6">
        <f t="shared" si="137"/>
        <v>501</v>
      </c>
      <c r="U416" s="7">
        <f t="shared" si="128"/>
        <v>2521</v>
      </c>
      <c r="V416" s="7">
        <f t="shared" si="129"/>
        <v>2320</v>
      </c>
      <c r="W416" s="7">
        <f t="shared" ref="W416:W479" si="147">W415+$X416*1000-S416</f>
        <v>2690</v>
      </c>
      <c r="X416" s="6"/>
      <c r="Y416" s="5"/>
      <c r="Z416" s="5"/>
      <c r="AA416" s="5"/>
      <c r="AB416" s="5"/>
    </row>
    <row r="417" spans="1:28" ht="13.15" customHeight="1">
      <c r="A417" s="9">
        <f t="shared" si="146"/>
        <v>403</v>
      </c>
      <c r="B417" s="10">
        <f t="shared" si="138"/>
        <v>45673</v>
      </c>
      <c r="C417" s="9">
        <f t="shared" si="139"/>
        <v>842</v>
      </c>
      <c r="D417" s="8">
        <f t="shared" si="130"/>
        <v>1981</v>
      </c>
      <c r="E417" s="4">
        <f t="shared" si="131"/>
        <v>491</v>
      </c>
      <c r="F417" s="4">
        <f t="shared" si="132"/>
        <v>512</v>
      </c>
      <c r="G417" s="4">
        <f t="shared" si="133"/>
        <v>626</v>
      </c>
      <c r="H417" s="5">
        <f t="shared" si="134"/>
        <v>2332</v>
      </c>
      <c r="I417" s="5">
        <f t="shared" si="135"/>
        <v>2311</v>
      </c>
      <c r="J417" s="5">
        <f t="shared" si="136"/>
        <v>2197</v>
      </c>
      <c r="K417" s="5">
        <f t="shared" si="143"/>
        <v>3000</v>
      </c>
      <c r="L417" s="5">
        <f t="shared" si="144"/>
        <v>3000</v>
      </c>
      <c r="M417" s="5">
        <f t="shared" si="145"/>
        <v>3000</v>
      </c>
      <c r="N417" s="5">
        <f t="shared" si="140"/>
        <v>-668</v>
      </c>
      <c r="O417" s="5">
        <f t="shared" si="141"/>
        <v>-689</v>
      </c>
      <c r="P417" s="5">
        <f t="shared" si="142"/>
        <v>-803</v>
      </c>
      <c r="Q417" s="4">
        <v>9</v>
      </c>
      <c r="R417" s="4">
        <v>9</v>
      </c>
      <c r="S417" s="4">
        <v>3</v>
      </c>
      <c r="T417" s="6">
        <f t="shared" si="137"/>
        <v>512</v>
      </c>
      <c r="U417" s="7">
        <f t="shared" si="128"/>
        <v>2512</v>
      </c>
      <c r="V417" s="7">
        <f t="shared" si="129"/>
        <v>2311</v>
      </c>
      <c r="W417" s="7">
        <f t="shared" si="147"/>
        <v>2687</v>
      </c>
      <c r="X417" s="6"/>
      <c r="Y417" s="5"/>
      <c r="Z417" s="5"/>
      <c r="AA417" s="5"/>
      <c r="AB417" s="5"/>
    </row>
    <row r="418" spans="1:28" ht="13.15" customHeight="1">
      <c r="A418" s="9">
        <f t="shared" si="146"/>
        <v>404</v>
      </c>
      <c r="B418" s="10">
        <f t="shared" si="138"/>
        <v>45674</v>
      </c>
      <c r="C418" s="9">
        <f t="shared" si="139"/>
        <v>842</v>
      </c>
      <c r="D418" s="8">
        <f t="shared" si="130"/>
        <v>1983</v>
      </c>
      <c r="E418" s="4">
        <f t="shared" si="131"/>
        <v>501</v>
      </c>
      <c r="F418" s="4">
        <f t="shared" si="132"/>
        <v>522</v>
      </c>
      <c r="G418" s="4">
        <f t="shared" si="133"/>
        <v>629</v>
      </c>
      <c r="H418" s="5">
        <f t="shared" si="134"/>
        <v>2324</v>
      </c>
      <c r="I418" s="5">
        <f t="shared" si="135"/>
        <v>2303</v>
      </c>
      <c r="J418" s="5">
        <f t="shared" si="136"/>
        <v>2196</v>
      </c>
      <c r="K418" s="5">
        <f t="shared" si="143"/>
        <v>3000</v>
      </c>
      <c r="L418" s="5">
        <f t="shared" si="144"/>
        <v>3000</v>
      </c>
      <c r="M418" s="5">
        <f t="shared" si="145"/>
        <v>3000</v>
      </c>
      <c r="N418" s="5">
        <f t="shared" si="140"/>
        <v>-676</v>
      </c>
      <c r="O418" s="5">
        <f t="shared" si="141"/>
        <v>-697</v>
      </c>
      <c r="P418" s="5">
        <f t="shared" si="142"/>
        <v>-804</v>
      </c>
      <c r="Q418" s="4">
        <v>8</v>
      </c>
      <c r="R418" s="4">
        <v>8</v>
      </c>
      <c r="S418" s="4">
        <v>1</v>
      </c>
      <c r="T418" s="6">
        <f t="shared" si="137"/>
        <v>522</v>
      </c>
      <c r="U418" s="7">
        <f t="shared" si="128"/>
        <v>2504</v>
      </c>
      <c r="V418" s="7">
        <f t="shared" si="129"/>
        <v>2303</v>
      </c>
      <c r="W418" s="7">
        <f t="shared" si="147"/>
        <v>2686</v>
      </c>
      <c r="X418" s="6"/>
      <c r="Y418" s="5"/>
      <c r="Z418" s="5"/>
      <c r="AA418" s="5"/>
      <c r="AB418" s="5"/>
    </row>
    <row r="419" spans="1:28" ht="13.15" customHeight="1">
      <c r="A419" s="9">
        <f t="shared" si="146"/>
        <v>405</v>
      </c>
      <c r="B419" s="10">
        <f t="shared" si="138"/>
        <v>45675</v>
      </c>
      <c r="C419" s="9">
        <f t="shared" si="139"/>
        <v>842</v>
      </c>
      <c r="D419" s="8">
        <f t="shared" si="130"/>
        <v>1985</v>
      </c>
      <c r="E419" s="4">
        <f t="shared" si="131"/>
        <v>511</v>
      </c>
      <c r="F419" s="4">
        <f t="shared" si="132"/>
        <v>532</v>
      </c>
      <c r="G419" s="4">
        <f t="shared" si="133"/>
        <v>633</v>
      </c>
      <c r="H419" s="5">
        <f t="shared" si="134"/>
        <v>2316</v>
      </c>
      <c r="I419" s="5">
        <f t="shared" si="135"/>
        <v>2295</v>
      </c>
      <c r="J419" s="5">
        <f t="shared" si="136"/>
        <v>2194</v>
      </c>
      <c r="K419" s="5">
        <f t="shared" si="143"/>
        <v>3000</v>
      </c>
      <c r="L419" s="5">
        <f t="shared" si="144"/>
        <v>3000</v>
      </c>
      <c r="M419" s="5">
        <f t="shared" si="145"/>
        <v>3000</v>
      </c>
      <c r="N419" s="5">
        <f t="shared" si="140"/>
        <v>-684</v>
      </c>
      <c r="O419" s="5">
        <f t="shared" si="141"/>
        <v>-705</v>
      </c>
      <c r="P419" s="5">
        <f t="shared" si="142"/>
        <v>-806</v>
      </c>
      <c r="Q419" s="4">
        <v>8</v>
      </c>
      <c r="R419" s="4">
        <v>8</v>
      </c>
      <c r="S419" s="4">
        <v>2</v>
      </c>
      <c r="T419" s="6">
        <f t="shared" si="137"/>
        <v>532</v>
      </c>
      <c r="U419" s="7">
        <f t="shared" si="128"/>
        <v>2496</v>
      </c>
      <c r="V419" s="7">
        <f t="shared" si="129"/>
        <v>2295</v>
      </c>
      <c r="W419" s="7">
        <f t="shared" si="147"/>
        <v>2684</v>
      </c>
      <c r="X419" s="6"/>
      <c r="Y419" s="5"/>
      <c r="Z419" s="5"/>
      <c r="AA419" s="5"/>
      <c r="AB419" s="5"/>
    </row>
    <row r="420" spans="1:28" ht="13.15" customHeight="1">
      <c r="A420" s="9">
        <f t="shared" si="146"/>
        <v>406</v>
      </c>
      <c r="B420" s="10">
        <f t="shared" si="138"/>
        <v>45676</v>
      </c>
      <c r="C420" s="9">
        <f t="shared" si="139"/>
        <v>842</v>
      </c>
      <c r="D420" s="8">
        <f t="shared" si="130"/>
        <v>1987</v>
      </c>
      <c r="E420" s="4">
        <f t="shared" si="131"/>
        <v>520</v>
      </c>
      <c r="F420" s="4">
        <f t="shared" si="132"/>
        <v>541</v>
      </c>
      <c r="G420" s="4">
        <f t="shared" si="133"/>
        <v>637</v>
      </c>
      <c r="H420" s="5">
        <f t="shared" si="134"/>
        <v>2309</v>
      </c>
      <c r="I420" s="5">
        <f t="shared" si="135"/>
        <v>2288</v>
      </c>
      <c r="J420" s="5">
        <f t="shared" si="136"/>
        <v>2192</v>
      </c>
      <c r="K420" s="5">
        <f t="shared" si="143"/>
        <v>3000</v>
      </c>
      <c r="L420" s="5">
        <f t="shared" si="144"/>
        <v>3000</v>
      </c>
      <c r="M420" s="5">
        <f t="shared" si="145"/>
        <v>3000</v>
      </c>
      <c r="N420" s="5">
        <f t="shared" si="140"/>
        <v>-691</v>
      </c>
      <c r="O420" s="5">
        <f t="shared" si="141"/>
        <v>-712</v>
      </c>
      <c r="P420" s="5">
        <f t="shared" si="142"/>
        <v>-808</v>
      </c>
      <c r="Q420" s="4">
        <v>7</v>
      </c>
      <c r="R420" s="4">
        <v>7</v>
      </c>
      <c r="S420" s="4">
        <v>2</v>
      </c>
      <c r="T420" s="6">
        <f t="shared" si="137"/>
        <v>541</v>
      </c>
      <c r="U420" s="7">
        <f t="shared" si="128"/>
        <v>2489</v>
      </c>
      <c r="V420" s="7">
        <f t="shared" si="129"/>
        <v>2288</v>
      </c>
      <c r="W420" s="7">
        <f t="shared" si="147"/>
        <v>2682</v>
      </c>
      <c r="X420" s="6"/>
      <c r="Y420" s="5"/>
      <c r="Z420" s="5"/>
      <c r="AA420" s="5"/>
      <c r="AB420" s="5"/>
    </row>
    <row r="421" spans="1:28" ht="13.15" customHeight="1">
      <c r="A421" s="9">
        <f t="shared" si="146"/>
        <v>407</v>
      </c>
      <c r="B421" s="10">
        <f t="shared" si="138"/>
        <v>45677</v>
      </c>
      <c r="C421" s="9">
        <f t="shared" si="139"/>
        <v>842</v>
      </c>
      <c r="D421" s="8">
        <f t="shared" si="130"/>
        <v>1989</v>
      </c>
      <c r="E421" s="4">
        <f t="shared" si="131"/>
        <v>529</v>
      </c>
      <c r="F421" s="4">
        <f t="shared" si="132"/>
        <v>550</v>
      </c>
      <c r="G421" s="4">
        <f t="shared" si="133"/>
        <v>640</v>
      </c>
      <c r="H421" s="5">
        <f t="shared" si="134"/>
        <v>2302</v>
      </c>
      <c r="I421" s="5">
        <f t="shared" si="135"/>
        <v>2281</v>
      </c>
      <c r="J421" s="5">
        <f t="shared" si="136"/>
        <v>2191</v>
      </c>
      <c r="K421" s="5">
        <f t="shared" si="143"/>
        <v>3000</v>
      </c>
      <c r="L421" s="5">
        <f t="shared" si="144"/>
        <v>3000</v>
      </c>
      <c r="M421" s="5">
        <f t="shared" si="145"/>
        <v>3000</v>
      </c>
      <c r="N421" s="5">
        <f t="shared" si="140"/>
        <v>-698</v>
      </c>
      <c r="O421" s="5">
        <f t="shared" si="141"/>
        <v>-719</v>
      </c>
      <c r="P421" s="5">
        <f t="shared" si="142"/>
        <v>-809</v>
      </c>
      <c r="Q421" s="4">
        <v>7</v>
      </c>
      <c r="R421" s="4">
        <v>7</v>
      </c>
      <c r="S421" s="4">
        <v>1</v>
      </c>
      <c r="T421" s="6">
        <f t="shared" si="137"/>
        <v>550</v>
      </c>
      <c r="U421" s="7">
        <f t="shared" si="128"/>
        <v>2482</v>
      </c>
      <c r="V421" s="7">
        <f t="shared" si="129"/>
        <v>2281</v>
      </c>
      <c r="W421" s="7">
        <f t="shared" si="147"/>
        <v>2681</v>
      </c>
      <c r="X421" s="6"/>
      <c r="Y421" s="5"/>
      <c r="Z421" s="5"/>
      <c r="AA421" s="5"/>
      <c r="AB421" s="5"/>
    </row>
    <row r="422" spans="1:28" ht="13.15" customHeight="1">
      <c r="A422" s="9">
        <f t="shared" si="146"/>
        <v>408</v>
      </c>
      <c r="B422" s="10">
        <f t="shared" si="138"/>
        <v>45678</v>
      </c>
      <c r="C422" s="9">
        <f t="shared" si="139"/>
        <v>842</v>
      </c>
      <c r="D422" s="8">
        <f t="shared" si="130"/>
        <v>1991</v>
      </c>
      <c r="E422" s="4">
        <f t="shared" si="131"/>
        <v>537</v>
      </c>
      <c r="F422" s="4">
        <f t="shared" si="132"/>
        <v>558</v>
      </c>
      <c r="G422" s="4">
        <f t="shared" si="133"/>
        <v>644</v>
      </c>
      <c r="H422" s="5">
        <f t="shared" si="134"/>
        <v>2296</v>
      </c>
      <c r="I422" s="5">
        <f t="shared" si="135"/>
        <v>2275</v>
      </c>
      <c r="J422" s="5">
        <f t="shared" si="136"/>
        <v>2189</v>
      </c>
      <c r="K422" s="5">
        <f t="shared" si="143"/>
        <v>3000</v>
      </c>
      <c r="L422" s="5">
        <f t="shared" si="144"/>
        <v>3000</v>
      </c>
      <c r="M422" s="5">
        <f t="shared" si="145"/>
        <v>3000</v>
      </c>
      <c r="N422" s="5">
        <f t="shared" si="140"/>
        <v>-704</v>
      </c>
      <c r="O422" s="5">
        <f t="shared" si="141"/>
        <v>-725</v>
      </c>
      <c r="P422" s="5">
        <f t="shared" si="142"/>
        <v>-811</v>
      </c>
      <c r="Q422" s="4">
        <v>6</v>
      </c>
      <c r="R422" s="4">
        <v>6</v>
      </c>
      <c r="S422" s="4">
        <v>2</v>
      </c>
      <c r="T422" s="6">
        <f t="shared" si="137"/>
        <v>558</v>
      </c>
      <c r="U422" s="7">
        <f t="shared" ref="U422:U485" si="148">U421+$X422*1000-Q422</f>
        <v>2476</v>
      </c>
      <c r="V422" s="7">
        <f t="shared" ref="V422:V485" si="149">V421+$X422*1000-R422</f>
        <v>2275</v>
      </c>
      <c r="W422" s="7">
        <f t="shared" si="147"/>
        <v>2679</v>
      </c>
      <c r="X422" s="6"/>
      <c r="Y422" s="5"/>
      <c r="Z422" s="5"/>
      <c r="AA422" s="5"/>
      <c r="AB422" s="5"/>
    </row>
    <row r="423" spans="1:28" ht="13.15" customHeight="1">
      <c r="A423" s="9">
        <f t="shared" si="146"/>
        <v>409</v>
      </c>
      <c r="B423" s="10">
        <f t="shared" si="138"/>
        <v>45679</v>
      </c>
      <c r="C423" s="9">
        <f t="shared" si="139"/>
        <v>842</v>
      </c>
      <c r="D423" s="8">
        <f t="shared" si="130"/>
        <v>1993</v>
      </c>
      <c r="E423" s="4">
        <f t="shared" si="131"/>
        <v>544</v>
      </c>
      <c r="F423" s="4">
        <f t="shared" si="132"/>
        <v>568</v>
      </c>
      <c r="G423" s="4">
        <f t="shared" si="133"/>
        <v>647</v>
      </c>
      <c r="H423" s="5">
        <f t="shared" si="134"/>
        <v>2291</v>
      </c>
      <c r="I423" s="5">
        <f t="shared" si="135"/>
        <v>2267</v>
      </c>
      <c r="J423" s="5">
        <f t="shared" si="136"/>
        <v>2188</v>
      </c>
      <c r="K423" s="5">
        <f t="shared" si="143"/>
        <v>3000</v>
      </c>
      <c r="L423" s="5">
        <f t="shared" si="144"/>
        <v>3000</v>
      </c>
      <c r="M423" s="5">
        <f t="shared" si="145"/>
        <v>3000</v>
      </c>
      <c r="N423" s="5">
        <f t="shared" si="140"/>
        <v>-709</v>
      </c>
      <c r="O423" s="5">
        <f t="shared" si="141"/>
        <v>-733</v>
      </c>
      <c r="P423" s="5">
        <f t="shared" si="142"/>
        <v>-812</v>
      </c>
      <c r="Q423" s="4">
        <v>5</v>
      </c>
      <c r="R423" s="4">
        <v>8</v>
      </c>
      <c r="S423" s="4">
        <v>1</v>
      </c>
      <c r="T423" s="6">
        <f t="shared" si="137"/>
        <v>568</v>
      </c>
      <c r="U423" s="7">
        <f t="shared" si="148"/>
        <v>2471</v>
      </c>
      <c r="V423" s="7">
        <f t="shared" si="149"/>
        <v>2267</v>
      </c>
      <c r="W423" s="7">
        <f t="shared" si="147"/>
        <v>2678</v>
      </c>
      <c r="X423" s="6"/>
      <c r="Y423" s="5"/>
      <c r="Z423" s="5"/>
      <c r="AA423" s="5"/>
      <c r="AB423" s="5"/>
    </row>
    <row r="424" spans="1:28" ht="13.15" customHeight="1">
      <c r="A424" s="9">
        <f t="shared" si="146"/>
        <v>410</v>
      </c>
      <c r="B424" s="10">
        <f t="shared" si="138"/>
        <v>45680</v>
      </c>
      <c r="C424" s="9">
        <f t="shared" si="139"/>
        <v>842</v>
      </c>
      <c r="D424" s="8">
        <f t="shared" si="130"/>
        <v>1995</v>
      </c>
      <c r="E424" s="4">
        <f t="shared" si="131"/>
        <v>551</v>
      </c>
      <c r="F424" s="4">
        <f t="shared" si="132"/>
        <v>577</v>
      </c>
      <c r="G424" s="4">
        <f t="shared" si="133"/>
        <v>650</v>
      </c>
      <c r="H424" s="5">
        <f t="shared" si="134"/>
        <v>2286</v>
      </c>
      <c r="I424" s="5">
        <f t="shared" si="135"/>
        <v>2260</v>
      </c>
      <c r="J424" s="5">
        <f t="shared" si="136"/>
        <v>2187</v>
      </c>
      <c r="K424" s="5">
        <f t="shared" si="143"/>
        <v>3000</v>
      </c>
      <c r="L424" s="5">
        <f t="shared" si="144"/>
        <v>3000</v>
      </c>
      <c r="M424" s="5">
        <f t="shared" si="145"/>
        <v>3000</v>
      </c>
      <c r="N424" s="5">
        <f t="shared" si="140"/>
        <v>-714</v>
      </c>
      <c r="O424" s="5">
        <f t="shared" si="141"/>
        <v>-740</v>
      </c>
      <c r="P424" s="5">
        <f t="shared" si="142"/>
        <v>-813</v>
      </c>
      <c r="Q424" s="4">
        <v>5</v>
      </c>
      <c r="R424" s="4">
        <v>7</v>
      </c>
      <c r="S424" s="4">
        <v>1</v>
      </c>
      <c r="T424" s="6">
        <f t="shared" si="137"/>
        <v>577</v>
      </c>
      <c r="U424" s="7">
        <f t="shared" si="148"/>
        <v>2466</v>
      </c>
      <c r="V424" s="7">
        <f t="shared" si="149"/>
        <v>2260</v>
      </c>
      <c r="W424" s="7">
        <f t="shared" si="147"/>
        <v>2677</v>
      </c>
      <c r="X424" s="6"/>
      <c r="Y424" s="5"/>
      <c r="Z424" s="5"/>
      <c r="AA424" s="5"/>
      <c r="AB424" s="5"/>
    </row>
    <row r="425" spans="1:28" ht="13.15" customHeight="1">
      <c r="A425" s="9">
        <f t="shared" si="146"/>
        <v>411</v>
      </c>
      <c r="B425" s="10">
        <f t="shared" si="138"/>
        <v>45681</v>
      </c>
      <c r="C425" s="9">
        <f t="shared" si="139"/>
        <v>842</v>
      </c>
      <c r="D425" s="8">
        <f t="shared" si="130"/>
        <v>1997</v>
      </c>
      <c r="E425" s="4">
        <f t="shared" si="131"/>
        <v>557</v>
      </c>
      <c r="F425" s="4">
        <f t="shared" si="132"/>
        <v>588</v>
      </c>
      <c r="G425" s="4">
        <f t="shared" si="133"/>
        <v>655</v>
      </c>
      <c r="H425" s="5">
        <f t="shared" si="134"/>
        <v>2282</v>
      </c>
      <c r="I425" s="5">
        <f t="shared" si="135"/>
        <v>2251</v>
      </c>
      <c r="J425" s="5">
        <f t="shared" si="136"/>
        <v>2184</v>
      </c>
      <c r="K425" s="5">
        <f t="shared" si="143"/>
        <v>3000</v>
      </c>
      <c r="L425" s="5">
        <f t="shared" si="144"/>
        <v>3000</v>
      </c>
      <c r="M425" s="5">
        <f t="shared" si="145"/>
        <v>3000</v>
      </c>
      <c r="N425" s="5">
        <f t="shared" si="140"/>
        <v>-718</v>
      </c>
      <c r="O425" s="5">
        <f t="shared" si="141"/>
        <v>-749</v>
      </c>
      <c r="P425" s="5">
        <f t="shared" si="142"/>
        <v>-816</v>
      </c>
      <c r="Q425" s="4">
        <v>4</v>
      </c>
      <c r="R425" s="4">
        <v>9</v>
      </c>
      <c r="S425" s="4">
        <v>3</v>
      </c>
      <c r="T425" s="6">
        <f t="shared" si="137"/>
        <v>588</v>
      </c>
      <c r="U425" s="7">
        <f t="shared" si="148"/>
        <v>2462</v>
      </c>
      <c r="V425" s="7">
        <f t="shared" si="149"/>
        <v>2251</v>
      </c>
      <c r="W425" s="7">
        <f t="shared" si="147"/>
        <v>2674</v>
      </c>
      <c r="X425" s="6"/>
      <c r="Y425" s="5"/>
      <c r="Z425" s="5"/>
      <c r="AA425" s="5"/>
      <c r="AB425" s="5"/>
    </row>
    <row r="426" spans="1:28" ht="13.15" customHeight="1">
      <c r="A426" s="9">
        <f t="shared" si="146"/>
        <v>412</v>
      </c>
      <c r="B426" s="10">
        <f t="shared" si="138"/>
        <v>45682</v>
      </c>
      <c r="C426" s="9">
        <f t="shared" si="139"/>
        <v>842</v>
      </c>
      <c r="D426" s="8">
        <f t="shared" si="130"/>
        <v>1999</v>
      </c>
      <c r="E426" s="4">
        <f t="shared" si="131"/>
        <v>562</v>
      </c>
      <c r="F426" s="4">
        <f t="shared" si="132"/>
        <v>598</v>
      </c>
      <c r="G426" s="4">
        <f t="shared" si="133"/>
        <v>658</v>
      </c>
      <c r="H426" s="5">
        <f t="shared" si="134"/>
        <v>2279</v>
      </c>
      <c r="I426" s="5">
        <f t="shared" si="135"/>
        <v>2243</v>
      </c>
      <c r="J426" s="5">
        <f t="shared" si="136"/>
        <v>2183</v>
      </c>
      <c r="K426" s="5">
        <f t="shared" si="143"/>
        <v>3000</v>
      </c>
      <c r="L426" s="5">
        <f t="shared" si="144"/>
        <v>3000</v>
      </c>
      <c r="M426" s="5">
        <f t="shared" si="145"/>
        <v>3000</v>
      </c>
      <c r="N426" s="5">
        <f t="shared" si="140"/>
        <v>-721</v>
      </c>
      <c r="O426" s="5">
        <f t="shared" si="141"/>
        <v>-757</v>
      </c>
      <c r="P426" s="5">
        <f t="shared" si="142"/>
        <v>-817</v>
      </c>
      <c r="Q426" s="4">
        <v>3</v>
      </c>
      <c r="R426" s="4">
        <v>8</v>
      </c>
      <c r="S426" s="4">
        <v>1</v>
      </c>
      <c r="T426" s="6">
        <f t="shared" si="137"/>
        <v>598</v>
      </c>
      <c r="U426" s="7">
        <f t="shared" si="148"/>
        <v>2459</v>
      </c>
      <c r="V426" s="7">
        <f t="shared" si="149"/>
        <v>2243</v>
      </c>
      <c r="W426" s="7">
        <f t="shared" si="147"/>
        <v>2673</v>
      </c>
      <c r="X426" s="6"/>
      <c r="Y426" s="5"/>
      <c r="Z426" s="5"/>
      <c r="AA426" s="5"/>
      <c r="AB426" s="5"/>
    </row>
    <row r="427" spans="1:28" ht="13.15" customHeight="1">
      <c r="A427" s="9">
        <f t="shared" si="146"/>
        <v>413</v>
      </c>
      <c r="B427" s="10">
        <f t="shared" si="138"/>
        <v>45683</v>
      </c>
      <c r="C427" s="9">
        <f t="shared" si="139"/>
        <v>842</v>
      </c>
      <c r="D427" s="8">
        <f t="shared" si="130"/>
        <v>2001</v>
      </c>
      <c r="E427" s="4">
        <f t="shared" si="131"/>
        <v>566</v>
      </c>
      <c r="F427" s="4">
        <f t="shared" si="132"/>
        <v>608</v>
      </c>
      <c r="G427" s="4">
        <f t="shared" si="133"/>
        <v>662</v>
      </c>
      <c r="H427" s="5">
        <f t="shared" si="134"/>
        <v>2277</v>
      </c>
      <c r="I427" s="5">
        <f t="shared" si="135"/>
        <v>2235</v>
      </c>
      <c r="J427" s="5">
        <f t="shared" si="136"/>
        <v>2181</v>
      </c>
      <c r="K427" s="5">
        <f t="shared" si="143"/>
        <v>3000</v>
      </c>
      <c r="L427" s="5">
        <f t="shared" si="144"/>
        <v>3000</v>
      </c>
      <c r="M427" s="5">
        <f t="shared" si="145"/>
        <v>3000</v>
      </c>
      <c r="N427" s="5">
        <f t="shared" si="140"/>
        <v>-723</v>
      </c>
      <c r="O427" s="5">
        <f t="shared" si="141"/>
        <v>-765</v>
      </c>
      <c r="P427" s="5">
        <f t="shared" si="142"/>
        <v>-819</v>
      </c>
      <c r="Q427" s="4">
        <v>2</v>
      </c>
      <c r="R427" s="4">
        <v>8</v>
      </c>
      <c r="S427" s="4">
        <v>2</v>
      </c>
      <c r="T427" s="6">
        <f t="shared" si="137"/>
        <v>608</v>
      </c>
      <c r="U427" s="7">
        <f t="shared" si="148"/>
        <v>2457</v>
      </c>
      <c r="V427" s="7">
        <f t="shared" si="149"/>
        <v>2235</v>
      </c>
      <c r="W427" s="7">
        <f t="shared" si="147"/>
        <v>2671</v>
      </c>
      <c r="X427" s="6"/>
      <c r="Y427" s="5"/>
      <c r="Z427" s="5"/>
      <c r="AA427" s="5"/>
      <c r="AB427" s="5"/>
    </row>
    <row r="428" spans="1:28" ht="13.15" customHeight="1">
      <c r="A428" s="9">
        <f t="shared" si="146"/>
        <v>414</v>
      </c>
      <c r="B428" s="10">
        <f t="shared" si="138"/>
        <v>45684</v>
      </c>
      <c r="C428" s="9">
        <f t="shared" si="139"/>
        <v>842</v>
      </c>
      <c r="D428" s="8">
        <f t="shared" si="130"/>
        <v>2003</v>
      </c>
      <c r="E428" s="4">
        <f t="shared" si="131"/>
        <v>572</v>
      </c>
      <c r="F428" s="4">
        <f t="shared" si="132"/>
        <v>619</v>
      </c>
      <c r="G428" s="4">
        <f t="shared" si="133"/>
        <v>665</v>
      </c>
      <c r="H428" s="5">
        <f t="shared" si="134"/>
        <v>2273</v>
      </c>
      <c r="I428" s="5">
        <f t="shared" si="135"/>
        <v>2226</v>
      </c>
      <c r="J428" s="5">
        <f t="shared" si="136"/>
        <v>2180</v>
      </c>
      <c r="K428" s="5">
        <f t="shared" si="143"/>
        <v>3000</v>
      </c>
      <c r="L428" s="5">
        <f t="shared" si="144"/>
        <v>3000</v>
      </c>
      <c r="M428" s="5">
        <f t="shared" si="145"/>
        <v>3000</v>
      </c>
      <c r="N428" s="5">
        <f t="shared" si="140"/>
        <v>-727</v>
      </c>
      <c r="O428" s="5">
        <f t="shared" si="141"/>
        <v>-774</v>
      </c>
      <c r="P428" s="5">
        <f t="shared" si="142"/>
        <v>-820</v>
      </c>
      <c r="Q428" s="4">
        <v>4</v>
      </c>
      <c r="R428" s="4">
        <v>9</v>
      </c>
      <c r="S428" s="4">
        <v>1</v>
      </c>
      <c r="T428" s="6">
        <f t="shared" si="137"/>
        <v>619</v>
      </c>
      <c r="U428" s="7">
        <f t="shared" si="148"/>
        <v>2453</v>
      </c>
      <c r="V428" s="7">
        <f t="shared" si="149"/>
        <v>2226</v>
      </c>
      <c r="W428" s="7">
        <f t="shared" si="147"/>
        <v>2670</v>
      </c>
      <c r="X428" s="6"/>
      <c r="Y428" s="5"/>
      <c r="Z428" s="5"/>
      <c r="AA428" s="5"/>
      <c r="AB428" s="5"/>
    </row>
    <row r="429" spans="1:28" ht="13.15" customHeight="1">
      <c r="A429" s="9">
        <f t="shared" si="146"/>
        <v>415</v>
      </c>
      <c r="B429" s="10">
        <f t="shared" si="138"/>
        <v>45685</v>
      </c>
      <c r="C429" s="9">
        <f t="shared" si="139"/>
        <v>842</v>
      </c>
      <c r="D429" s="8">
        <f t="shared" si="130"/>
        <v>2005</v>
      </c>
      <c r="E429" s="4">
        <f t="shared" si="131"/>
        <v>577</v>
      </c>
      <c r="F429" s="4">
        <f t="shared" si="132"/>
        <v>629</v>
      </c>
      <c r="G429" s="4">
        <f t="shared" si="133"/>
        <v>669</v>
      </c>
      <c r="H429" s="5">
        <f t="shared" si="134"/>
        <v>2270</v>
      </c>
      <c r="I429" s="5">
        <f t="shared" si="135"/>
        <v>2218</v>
      </c>
      <c r="J429" s="5">
        <f t="shared" si="136"/>
        <v>2178</v>
      </c>
      <c r="K429" s="5">
        <f t="shared" si="143"/>
        <v>3000</v>
      </c>
      <c r="L429" s="5">
        <f t="shared" si="144"/>
        <v>3000</v>
      </c>
      <c r="M429" s="5">
        <f t="shared" si="145"/>
        <v>3000</v>
      </c>
      <c r="N429" s="5">
        <f t="shared" si="140"/>
        <v>-730</v>
      </c>
      <c r="O429" s="5">
        <f t="shared" si="141"/>
        <v>-782</v>
      </c>
      <c r="P429" s="5">
        <f t="shared" si="142"/>
        <v>-822</v>
      </c>
      <c r="Q429" s="4">
        <v>3</v>
      </c>
      <c r="R429" s="4">
        <v>8</v>
      </c>
      <c r="S429" s="4">
        <v>2</v>
      </c>
      <c r="T429" s="6">
        <f t="shared" si="137"/>
        <v>629</v>
      </c>
      <c r="U429" s="7">
        <f t="shared" si="148"/>
        <v>2450</v>
      </c>
      <c r="V429" s="7">
        <f t="shared" si="149"/>
        <v>2218</v>
      </c>
      <c r="W429" s="7">
        <f t="shared" si="147"/>
        <v>2668</v>
      </c>
      <c r="X429" s="6"/>
      <c r="Y429" s="5"/>
      <c r="Z429" s="5"/>
      <c r="AA429" s="5"/>
      <c r="AB429" s="5"/>
    </row>
    <row r="430" spans="1:28" ht="13.15" customHeight="1">
      <c r="A430" s="9">
        <f t="shared" si="146"/>
        <v>416</v>
      </c>
      <c r="B430" s="10">
        <f t="shared" si="138"/>
        <v>45686</v>
      </c>
      <c r="C430" s="9">
        <f t="shared" si="139"/>
        <v>842</v>
      </c>
      <c r="D430" s="8">
        <f t="shared" si="130"/>
        <v>2007</v>
      </c>
      <c r="E430" s="4">
        <f t="shared" si="131"/>
        <v>583</v>
      </c>
      <c r="F430" s="4">
        <f t="shared" si="132"/>
        <v>640</v>
      </c>
      <c r="G430" s="4">
        <f t="shared" si="133"/>
        <v>673</v>
      </c>
      <c r="H430" s="5">
        <f t="shared" si="134"/>
        <v>2266</v>
      </c>
      <c r="I430" s="5">
        <f t="shared" si="135"/>
        <v>2209</v>
      </c>
      <c r="J430" s="5">
        <f t="shared" si="136"/>
        <v>2176</v>
      </c>
      <c r="K430" s="5">
        <f t="shared" si="143"/>
        <v>3000</v>
      </c>
      <c r="L430" s="5">
        <f t="shared" si="144"/>
        <v>3000</v>
      </c>
      <c r="M430" s="5">
        <f t="shared" si="145"/>
        <v>3000</v>
      </c>
      <c r="N430" s="5">
        <f t="shared" si="140"/>
        <v>-734</v>
      </c>
      <c r="O430" s="5">
        <f t="shared" si="141"/>
        <v>-791</v>
      </c>
      <c r="P430" s="5">
        <f t="shared" si="142"/>
        <v>-824</v>
      </c>
      <c r="Q430" s="4">
        <v>4</v>
      </c>
      <c r="R430" s="4">
        <v>9</v>
      </c>
      <c r="S430" s="4">
        <v>2</v>
      </c>
      <c r="T430" s="6">
        <f t="shared" si="137"/>
        <v>640</v>
      </c>
      <c r="U430" s="7">
        <f t="shared" si="148"/>
        <v>2446</v>
      </c>
      <c r="V430" s="7">
        <f t="shared" si="149"/>
        <v>2209</v>
      </c>
      <c r="W430" s="7">
        <f t="shared" si="147"/>
        <v>2666</v>
      </c>
      <c r="X430" s="6"/>
      <c r="Y430" s="5"/>
      <c r="Z430" s="5"/>
      <c r="AA430" s="5"/>
      <c r="AB430" s="5"/>
    </row>
    <row r="431" spans="1:28" ht="13.15" customHeight="1">
      <c r="A431" s="9">
        <f t="shared" si="146"/>
        <v>417</v>
      </c>
      <c r="B431" s="10">
        <f t="shared" si="138"/>
        <v>45687</v>
      </c>
      <c r="C431" s="9">
        <f t="shared" si="139"/>
        <v>842</v>
      </c>
      <c r="D431" s="8">
        <f t="shared" si="130"/>
        <v>2009</v>
      </c>
      <c r="E431" s="4">
        <f t="shared" si="131"/>
        <v>592</v>
      </c>
      <c r="F431" s="4">
        <f t="shared" si="132"/>
        <v>650</v>
      </c>
      <c r="G431" s="4">
        <f t="shared" si="133"/>
        <v>678</v>
      </c>
      <c r="H431" s="5">
        <f t="shared" si="134"/>
        <v>2259</v>
      </c>
      <c r="I431" s="5">
        <f t="shared" si="135"/>
        <v>2201</v>
      </c>
      <c r="J431" s="5">
        <f t="shared" si="136"/>
        <v>2173</v>
      </c>
      <c r="K431" s="5">
        <f t="shared" si="143"/>
        <v>3000</v>
      </c>
      <c r="L431" s="5">
        <f t="shared" si="144"/>
        <v>3000</v>
      </c>
      <c r="M431" s="5">
        <f t="shared" si="145"/>
        <v>3000</v>
      </c>
      <c r="N431" s="5">
        <f t="shared" si="140"/>
        <v>-741</v>
      </c>
      <c r="O431" s="5">
        <f t="shared" si="141"/>
        <v>-799</v>
      </c>
      <c r="P431" s="5">
        <f t="shared" si="142"/>
        <v>-827</v>
      </c>
      <c r="Q431" s="4">
        <v>7</v>
      </c>
      <c r="R431" s="4">
        <v>8</v>
      </c>
      <c r="S431" s="4">
        <v>3</v>
      </c>
      <c r="T431" s="6">
        <f t="shared" si="137"/>
        <v>650</v>
      </c>
      <c r="U431" s="7">
        <f t="shared" si="148"/>
        <v>2439</v>
      </c>
      <c r="V431" s="7">
        <f t="shared" si="149"/>
        <v>2201</v>
      </c>
      <c r="W431" s="7">
        <f t="shared" si="147"/>
        <v>2663</v>
      </c>
      <c r="X431" s="6"/>
      <c r="Y431" s="5"/>
      <c r="Z431" s="5"/>
      <c r="AA431" s="5"/>
      <c r="AB431" s="5"/>
    </row>
    <row r="432" spans="1:28" ht="13.15" customHeight="1">
      <c r="A432" s="9">
        <f t="shared" si="146"/>
        <v>418</v>
      </c>
      <c r="B432" s="10">
        <f t="shared" si="138"/>
        <v>45688</v>
      </c>
      <c r="C432" s="9">
        <f t="shared" si="139"/>
        <v>842</v>
      </c>
      <c r="D432" s="8">
        <f t="shared" si="130"/>
        <v>2011</v>
      </c>
      <c r="E432" s="4">
        <f t="shared" si="131"/>
        <v>599</v>
      </c>
      <c r="F432" s="4">
        <f t="shared" si="132"/>
        <v>661</v>
      </c>
      <c r="G432" s="4">
        <f t="shared" si="133"/>
        <v>681</v>
      </c>
      <c r="H432" s="5">
        <f t="shared" si="134"/>
        <v>2254</v>
      </c>
      <c r="I432" s="5">
        <f t="shared" si="135"/>
        <v>2192</v>
      </c>
      <c r="J432" s="5">
        <f t="shared" si="136"/>
        <v>2172</v>
      </c>
      <c r="K432" s="5">
        <f t="shared" si="143"/>
        <v>3000</v>
      </c>
      <c r="L432" s="5">
        <f t="shared" si="144"/>
        <v>3000</v>
      </c>
      <c r="M432" s="5">
        <f t="shared" si="145"/>
        <v>3000</v>
      </c>
      <c r="N432" s="5">
        <f t="shared" si="140"/>
        <v>-746</v>
      </c>
      <c r="O432" s="5">
        <f t="shared" si="141"/>
        <v>-808</v>
      </c>
      <c r="P432" s="5">
        <f t="shared" si="142"/>
        <v>-828</v>
      </c>
      <c r="Q432" s="4">
        <v>5</v>
      </c>
      <c r="R432" s="4">
        <v>9</v>
      </c>
      <c r="S432" s="4">
        <v>1</v>
      </c>
      <c r="T432" s="6">
        <f t="shared" si="137"/>
        <v>661</v>
      </c>
      <c r="U432" s="7">
        <f t="shared" si="148"/>
        <v>2434</v>
      </c>
      <c r="V432" s="7">
        <f t="shared" si="149"/>
        <v>2192</v>
      </c>
      <c r="W432" s="7">
        <f t="shared" si="147"/>
        <v>2662</v>
      </c>
      <c r="X432" s="6"/>
      <c r="Y432" s="5"/>
      <c r="Z432" s="5"/>
      <c r="AA432" s="5"/>
      <c r="AB432" s="5"/>
    </row>
    <row r="433" spans="1:28" ht="13.15" customHeight="1">
      <c r="A433" s="9">
        <f t="shared" si="146"/>
        <v>419</v>
      </c>
      <c r="B433" s="10">
        <f t="shared" si="138"/>
        <v>45689</v>
      </c>
      <c r="C433" s="9">
        <f t="shared" si="139"/>
        <v>842</v>
      </c>
      <c r="D433" s="8">
        <f t="shared" si="130"/>
        <v>2013</v>
      </c>
      <c r="E433" s="4">
        <f t="shared" si="131"/>
        <v>606</v>
      </c>
      <c r="F433" s="4">
        <f t="shared" si="132"/>
        <v>671</v>
      </c>
      <c r="G433" s="4">
        <f t="shared" si="133"/>
        <v>685</v>
      </c>
      <c r="H433" s="5">
        <f t="shared" si="134"/>
        <v>2249</v>
      </c>
      <c r="I433" s="5">
        <f t="shared" si="135"/>
        <v>2184</v>
      </c>
      <c r="J433" s="5">
        <f t="shared" si="136"/>
        <v>2170</v>
      </c>
      <c r="K433" s="5">
        <f t="shared" si="143"/>
        <v>3000</v>
      </c>
      <c r="L433" s="5">
        <f t="shared" si="144"/>
        <v>3000</v>
      </c>
      <c r="M433" s="5">
        <f t="shared" si="145"/>
        <v>3000</v>
      </c>
      <c r="N433" s="5">
        <f t="shared" si="140"/>
        <v>-751</v>
      </c>
      <c r="O433" s="5">
        <f t="shared" si="141"/>
        <v>-816</v>
      </c>
      <c r="P433" s="5">
        <f t="shared" si="142"/>
        <v>-830</v>
      </c>
      <c r="Q433" s="4">
        <v>5</v>
      </c>
      <c r="R433" s="4">
        <v>8</v>
      </c>
      <c r="S433" s="4">
        <v>2</v>
      </c>
      <c r="T433" s="6">
        <f t="shared" si="137"/>
        <v>671</v>
      </c>
      <c r="U433" s="7">
        <f t="shared" si="148"/>
        <v>2429</v>
      </c>
      <c r="V433" s="7">
        <f t="shared" si="149"/>
        <v>2184</v>
      </c>
      <c r="W433" s="7">
        <f t="shared" si="147"/>
        <v>2660</v>
      </c>
      <c r="X433" s="6"/>
      <c r="Y433" s="5"/>
      <c r="Z433" s="5"/>
      <c r="AA433" s="5"/>
      <c r="AB433" s="5"/>
    </row>
    <row r="434" spans="1:28" ht="13.15" customHeight="1">
      <c r="A434" s="9">
        <f t="shared" si="146"/>
        <v>420</v>
      </c>
      <c r="B434" s="10">
        <f t="shared" si="138"/>
        <v>45690</v>
      </c>
      <c r="C434" s="9">
        <f t="shared" si="139"/>
        <v>842</v>
      </c>
      <c r="D434" s="8">
        <f t="shared" si="130"/>
        <v>2015</v>
      </c>
      <c r="E434" s="4">
        <f t="shared" si="131"/>
        <v>612</v>
      </c>
      <c r="F434" s="4">
        <f t="shared" si="132"/>
        <v>682</v>
      </c>
      <c r="G434" s="4">
        <f t="shared" si="133"/>
        <v>689</v>
      </c>
      <c r="H434" s="5">
        <f t="shared" si="134"/>
        <v>2245</v>
      </c>
      <c r="I434" s="5">
        <f t="shared" si="135"/>
        <v>2175</v>
      </c>
      <c r="J434" s="5">
        <f t="shared" si="136"/>
        <v>2168</v>
      </c>
      <c r="K434" s="5">
        <f t="shared" si="143"/>
        <v>3000</v>
      </c>
      <c r="L434" s="5">
        <f t="shared" si="144"/>
        <v>3000</v>
      </c>
      <c r="M434" s="5">
        <f t="shared" si="145"/>
        <v>3000</v>
      </c>
      <c r="N434" s="5">
        <f t="shared" si="140"/>
        <v>-755</v>
      </c>
      <c r="O434" s="5">
        <f t="shared" si="141"/>
        <v>-825</v>
      </c>
      <c r="P434" s="5">
        <f t="shared" si="142"/>
        <v>-832</v>
      </c>
      <c r="Q434" s="4">
        <v>4</v>
      </c>
      <c r="R434" s="4">
        <v>9</v>
      </c>
      <c r="S434" s="4">
        <v>2</v>
      </c>
      <c r="T434" s="6">
        <f t="shared" si="137"/>
        <v>682</v>
      </c>
      <c r="U434" s="7">
        <f t="shared" si="148"/>
        <v>2425</v>
      </c>
      <c r="V434" s="7">
        <f t="shared" si="149"/>
        <v>2175</v>
      </c>
      <c r="W434" s="7">
        <f t="shared" si="147"/>
        <v>2658</v>
      </c>
      <c r="X434" s="6"/>
      <c r="Y434" s="5"/>
      <c r="Z434" s="5"/>
      <c r="AA434" s="5"/>
      <c r="AB434" s="5"/>
    </row>
    <row r="435" spans="1:28" ht="13.15" customHeight="1">
      <c r="A435" s="9">
        <f t="shared" si="146"/>
        <v>421</v>
      </c>
      <c r="B435" s="10">
        <f t="shared" si="138"/>
        <v>45691</v>
      </c>
      <c r="C435" s="9">
        <f t="shared" si="139"/>
        <v>842</v>
      </c>
      <c r="D435" s="8">
        <f t="shared" si="130"/>
        <v>2017</v>
      </c>
      <c r="E435" s="4">
        <f t="shared" si="131"/>
        <v>617</v>
      </c>
      <c r="F435" s="4">
        <f t="shared" si="132"/>
        <v>692</v>
      </c>
      <c r="G435" s="4">
        <f t="shared" si="133"/>
        <v>692</v>
      </c>
      <c r="H435" s="5">
        <f t="shared" si="134"/>
        <v>2242</v>
      </c>
      <c r="I435" s="5">
        <f t="shared" si="135"/>
        <v>2167</v>
      </c>
      <c r="J435" s="5">
        <f t="shared" si="136"/>
        <v>2167</v>
      </c>
      <c r="K435" s="5">
        <f t="shared" si="143"/>
        <v>3000</v>
      </c>
      <c r="L435" s="5">
        <f t="shared" si="144"/>
        <v>3000</v>
      </c>
      <c r="M435" s="5">
        <f t="shared" si="145"/>
        <v>3000</v>
      </c>
      <c r="N435" s="5">
        <f t="shared" si="140"/>
        <v>-758</v>
      </c>
      <c r="O435" s="5">
        <f t="shared" si="141"/>
        <v>-833</v>
      </c>
      <c r="P435" s="5">
        <f t="shared" si="142"/>
        <v>-833</v>
      </c>
      <c r="Q435" s="4">
        <v>3</v>
      </c>
      <c r="R435" s="4">
        <v>8</v>
      </c>
      <c r="S435" s="4">
        <v>1</v>
      </c>
      <c r="T435" s="6">
        <f t="shared" si="137"/>
        <v>692</v>
      </c>
      <c r="U435" s="7">
        <f t="shared" si="148"/>
        <v>2422</v>
      </c>
      <c r="V435" s="7">
        <f t="shared" si="149"/>
        <v>2167</v>
      </c>
      <c r="W435" s="7">
        <f t="shared" si="147"/>
        <v>2657</v>
      </c>
      <c r="X435" s="6"/>
      <c r="Y435" s="5"/>
      <c r="Z435" s="5"/>
      <c r="AA435" s="5"/>
      <c r="AB435" s="5"/>
    </row>
    <row r="436" spans="1:28" ht="13.15" customHeight="1">
      <c r="A436" s="9">
        <f t="shared" si="146"/>
        <v>422</v>
      </c>
      <c r="B436" s="10">
        <f t="shared" si="138"/>
        <v>45692</v>
      </c>
      <c r="C436" s="9">
        <f t="shared" si="139"/>
        <v>842</v>
      </c>
      <c r="D436" s="8">
        <f t="shared" si="130"/>
        <v>2019</v>
      </c>
      <c r="E436" s="4">
        <f t="shared" si="131"/>
        <v>621</v>
      </c>
      <c r="F436" s="4">
        <f t="shared" si="132"/>
        <v>701</v>
      </c>
      <c r="G436" s="4">
        <f t="shared" si="133"/>
        <v>696</v>
      </c>
      <c r="H436" s="5">
        <f t="shared" si="134"/>
        <v>2240</v>
      </c>
      <c r="I436" s="5">
        <f t="shared" si="135"/>
        <v>2160</v>
      </c>
      <c r="J436" s="5">
        <f t="shared" si="136"/>
        <v>2165</v>
      </c>
      <c r="K436" s="5">
        <f t="shared" si="143"/>
        <v>3000</v>
      </c>
      <c r="L436" s="5">
        <f t="shared" si="144"/>
        <v>3000</v>
      </c>
      <c r="M436" s="5">
        <f t="shared" si="145"/>
        <v>3000</v>
      </c>
      <c r="N436" s="5">
        <f t="shared" si="140"/>
        <v>-760</v>
      </c>
      <c r="O436" s="5">
        <f t="shared" si="141"/>
        <v>-840</v>
      </c>
      <c r="P436" s="5">
        <f t="shared" si="142"/>
        <v>-835</v>
      </c>
      <c r="Q436" s="4">
        <v>2</v>
      </c>
      <c r="R436" s="4">
        <v>7</v>
      </c>
      <c r="S436" s="4">
        <v>2</v>
      </c>
      <c r="T436" s="6">
        <f t="shared" si="137"/>
        <v>701</v>
      </c>
      <c r="U436" s="7">
        <f t="shared" si="148"/>
        <v>2420</v>
      </c>
      <c r="V436" s="7">
        <f t="shared" si="149"/>
        <v>2160</v>
      </c>
      <c r="W436" s="7">
        <f t="shared" si="147"/>
        <v>2655</v>
      </c>
      <c r="X436" s="6"/>
      <c r="Y436" s="5"/>
      <c r="Z436" s="5"/>
      <c r="AA436" s="5"/>
      <c r="AB436" s="5"/>
    </row>
    <row r="437" spans="1:28" ht="13.15" customHeight="1">
      <c r="A437" s="9">
        <f t="shared" si="146"/>
        <v>423</v>
      </c>
      <c r="B437" s="10">
        <f t="shared" si="138"/>
        <v>45693</v>
      </c>
      <c r="C437" s="9">
        <f t="shared" si="139"/>
        <v>842</v>
      </c>
      <c r="D437" s="8">
        <f t="shared" si="130"/>
        <v>2021</v>
      </c>
      <c r="E437" s="4">
        <f t="shared" si="131"/>
        <v>627</v>
      </c>
      <c r="F437" s="4">
        <f t="shared" si="132"/>
        <v>712</v>
      </c>
      <c r="G437" s="4">
        <f t="shared" si="133"/>
        <v>700</v>
      </c>
      <c r="H437" s="5">
        <f t="shared" si="134"/>
        <v>2236</v>
      </c>
      <c r="I437" s="5">
        <f t="shared" si="135"/>
        <v>2151</v>
      </c>
      <c r="J437" s="5">
        <f t="shared" si="136"/>
        <v>2163</v>
      </c>
      <c r="K437" s="5">
        <f t="shared" si="143"/>
        <v>3000</v>
      </c>
      <c r="L437" s="5">
        <f t="shared" si="144"/>
        <v>3000</v>
      </c>
      <c r="M437" s="5">
        <f t="shared" si="145"/>
        <v>3000</v>
      </c>
      <c r="N437" s="5">
        <f t="shared" si="140"/>
        <v>-764</v>
      </c>
      <c r="O437" s="5">
        <f t="shared" si="141"/>
        <v>-849</v>
      </c>
      <c r="P437" s="5">
        <f t="shared" si="142"/>
        <v>-837</v>
      </c>
      <c r="Q437" s="4">
        <v>4</v>
      </c>
      <c r="R437" s="4">
        <v>9</v>
      </c>
      <c r="S437" s="4">
        <v>2</v>
      </c>
      <c r="T437" s="6">
        <f t="shared" si="137"/>
        <v>712</v>
      </c>
      <c r="U437" s="7">
        <f t="shared" si="148"/>
        <v>2416</v>
      </c>
      <c r="V437" s="7">
        <f t="shared" si="149"/>
        <v>2151</v>
      </c>
      <c r="W437" s="7">
        <f t="shared" si="147"/>
        <v>2653</v>
      </c>
      <c r="X437" s="6"/>
      <c r="Y437" s="5"/>
      <c r="Z437" s="5"/>
      <c r="AA437" s="5"/>
      <c r="AB437" s="5"/>
    </row>
    <row r="438" spans="1:28" ht="13.15" customHeight="1">
      <c r="A438" s="9">
        <f t="shared" si="146"/>
        <v>424</v>
      </c>
      <c r="B438" s="10">
        <f t="shared" si="138"/>
        <v>45694</v>
      </c>
      <c r="C438" s="9">
        <f t="shared" si="139"/>
        <v>842</v>
      </c>
      <c r="D438" s="8">
        <f t="shared" si="130"/>
        <v>2023</v>
      </c>
      <c r="E438" s="4">
        <f t="shared" si="131"/>
        <v>632</v>
      </c>
      <c r="F438" s="4">
        <f t="shared" si="132"/>
        <v>722</v>
      </c>
      <c r="G438" s="4">
        <f t="shared" si="133"/>
        <v>704</v>
      </c>
      <c r="H438" s="5">
        <f t="shared" si="134"/>
        <v>2233</v>
      </c>
      <c r="I438" s="5">
        <f t="shared" si="135"/>
        <v>2143</v>
      </c>
      <c r="J438" s="5">
        <f t="shared" si="136"/>
        <v>2161</v>
      </c>
      <c r="K438" s="5">
        <f t="shared" si="143"/>
        <v>3000</v>
      </c>
      <c r="L438" s="5">
        <f t="shared" si="144"/>
        <v>3000</v>
      </c>
      <c r="M438" s="5">
        <f t="shared" si="145"/>
        <v>3000</v>
      </c>
      <c r="N438" s="5">
        <f t="shared" si="140"/>
        <v>-767</v>
      </c>
      <c r="O438" s="5">
        <f t="shared" si="141"/>
        <v>-857</v>
      </c>
      <c r="P438" s="5">
        <f t="shared" si="142"/>
        <v>-839</v>
      </c>
      <c r="Q438" s="4">
        <v>3</v>
      </c>
      <c r="R438" s="4">
        <v>8</v>
      </c>
      <c r="S438" s="4">
        <v>2</v>
      </c>
      <c r="T438" s="6">
        <f t="shared" si="137"/>
        <v>722</v>
      </c>
      <c r="U438" s="7">
        <f t="shared" si="148"/>
        <v>2413</v>
      </c>
      <c r="V438" s="7">
        <f t="shared" si="149"/>
        <v>2143</v>
      </c>
      <c r="W438" s="7">
        <f t="shared" si="147"/>
        <v>2651</v>
      </c>
      <c r="X438" s="6"/>
      <c r="Y438" s="5"/>
      <c r="Z438" s="5"/>
      <c r="AA438" s="5"/>
      <c r="AB438" s="5"/>
    </row>
    <row r="439" spans="1:28" ht="13.15" customHeight="1">
      <c r="A439" s="9">
        <f t="shared" si="146"/>
        <v>425</v>
      </c>
      <c r="B439" s="10">
        <f t="shared" si="138"/>
        <v>45695</v>
      </c>
      <c r="C439" s="9">
        <f t="shared" si="139"/>
        <v>842</v>
      </c>
      <c r="D439" s="8">
        <f t="shared" si="130"/>
        <v>2025</v>
      </c>
      <c r="E439" s="4">
        <f t="shared" si="131"/>
        <v>636</v>
      </c>
      <c r="F439" s="4">
        <f t="shared" si="132"/>
        <v>732</v>
      </c>
      <c r="G439" s="4">
        <f t="shared" si="133"/>
        <v>708</v>
      </c>
      <c r="H439" s="5">
        <f t="shared" si="134"/>
        <v>2231</v>
      </c>
      <c r="I439" s="5">
        <f t="shared" si="135"/>
        <v>2135</v>
      </c>
      <c r="J439" s="5">
        <f t="shared" si="136"/>
        <v>2159</v>
      </c>
      <c r="K439" s="5">
        <f t="shared" si="143"/>
        <v>3000</v>
      </c>
      <c r="L439" s="5">
        <f t="shared" si="144"/>
        <v>3000</v>
      </c>
      <c r="M439" s="5">
        <f t="shared" si="145"/>
        <v>3000</v>
      </c>
      <c r="N439" s="5">
        <f t="shared" si="140"/>
        <v>-769</v>
      </c>
      <c r="O439" s="5">
        <f t="shared" si="141"/>
        <v>-865</v>
      </c>
      <c r="P439" s="5">
        <f t="shared" si="142"/>
        <v>-841</v>
      </c>
      <c r="Q439" s="4">
        <v>2</v>
      </c>
      <c r="R439" s="4">
        <v>8</v>
      </c>
      <c r="S439" s="4">
        <v>2</v>
      </c>
      <c r="T439" s="6">
        <f t="shared" si="137"/>
        <v>732</v>
      </c>
      <c r="U439" s="7">
        <f t="shared" si="148"/>
        <v>2411</v>
      </c>
      <c r="V439" s="7">
        <f t="shared" si="149"/>
        <v>2135</v>
      </c>
      <c r="W439" s="7">
        <f t="shared" si="147"/>
        <v>2649</v>
      </c>
      <c r="X439" s="6"/>
      <c r="Y439" s="5"/>
      <c r="Z439" s="5"/>
      <c r="AA439" s="5"/>
      <c r="AB439" s="5"/>
    </row>
    <row r="440" spans="1:28" ht="13.15" customHeight="1">
      <c r="A440" s="9">
        <f t="shared" si="146"/>
        <v>426</v>
      </c>
      <c r="B440" s="10">
        <f t="shared" si="138"/>
        <v>45696</v>
      </c>
      <c r="C440" s="9">
        <f t="shared" si="139"/>
        <v>842</v>
      </c>
      <c r="D440" s="8">
        <f t="shared" si="130"/>
        <v>2027</v>
      </c>
      <c r="E440" s="4">
        <f t="shared" si="131"/>
        <v>642</v>
      </c>
      <c r="F440" s="4">
        <f t="shared" si="132"/>
        <v>741</v>
      </c>
      <c r="G440" s="4">
        <f t="shared" si="133"/>
        <v>711</v>
      </c>
      <c r="H440" s="5">
        <f t="shared" si="134"/>
        <v>2227</v>
      </c>
      <c r="I440" s="5">
        <f t="shared" si="135"/>
        <v>2128</v>
      </c>
      <c r="J440" s="5">
        <f t="shared" si="136"/>
        <v>2158</v>
      </c>
      <c r="K440" s="5">
        <f t="shared" si="143"/>
        <v>3000</v>
      </c>
      <c r="L440" s="5">
        <f t="shared" si="144"/>
        <v>3000</v>
      </c>
      <c r="M440" s="5">
        <f t="shared" si="145"/>
        <v>3000</v>
      </c>
      <c r="N440" s="5">
        <f t="shared" si="140"/>
        <v>-773</v>
      </c>
      <c r="O440" s="5">
        <f t="shared" si="141"/>
        <v>-872</v>
      </c>
      <c r="P440" s="5">
        <f t="shared" si="142"/>
        <v>-842</v>
      </c>
      <c r="Q440" s="4">
        <v>4</v>
      </c>
      <c r="R440" s="4">
        <v>7</v>
      </c>
      <c r="S440" s="4">
        <v>1</v>
      </c>
      <c r="T440" s="6">
        <f t="shared" si="137"/>
        <v>741</v>
      </c>
      <c r="U440" s="7">
        <f t="shared" si="148"/>
        <v>2407</v>
      </c>
      <c r="V440" s="7">
        <f t="shared" si="149"/>
        <v>2128</v>
      </c>
      <c r="W440" s="7">
        <f t="shared" si="147"/>
        <v>2648</v>
      </c>
      <c r="X440" s="6"/>
      <c r="Y440" s="5"/>
      <c r="Z440" s="5"/>
      <c r="AA440" s="5"/>
      <c r="AB440" s="5"/>
    </row>
    <row r="441" spans="1:28" ht="13.15" customHeight="1">
      <c r="A441" s="9">
        <f t="shared" si="146"/>
        <v>427</v>
      </c>
      <c r="B441" s="10">
        <f t="shared" si="138"/>
        <v>45697</v>
      </c>
      <c r="C441" s="9">
        <f t="shared" si="139"/>
        <v>842</v>
      </c>
      <c r="D441" s="8">
        <f t="shared" si="130"/>
        <v>2029</v>
      </c>
      <c r="E441" s="4">
        <f t="shared" si="131"/>
        <v>646</v>
      </c>
      <c r="F441" s="4">
        <f t="shared" si="132"/>
        <v>750</v>
      </c>
      <c r="G441" s="4">
        <f t="shared" si="133"/>
        <v>715</v>
      </c>
      <c r="H441" s="5">
        <f t="shared" si="134"/>
        <v>2225</v>
      </c>
      <c r="I441" s="5">
        <f t="shared" si="135"/>
        <v>2121</v>
      </c>
      <c r="J441" s="5">
        <f t="shared" si="136"/>
        <v>2156</v>
      </c>
      <c r="K441" s="5">
        <f t="shared" si="143"/>
        <v>3000</v>
      </c>
      <c r="L441" s="5">
        <f t="shared" si="144"/>
        <v>3000</v>
      </c>
      <c r="M441" s="5">
        <f t="shared" si="145"/>
        <v>3000</v>
      </c>
      <c r="N441" s="5">
        <f t="shared" si="140"/>
        <v>-775</v>
      </c>
      <c r="O441" s="5">
        <f t="shared" si="141"/>
        <v>-879</v>
      </c>
      <c r="P441" s="5">
        <f t="shared" si="142"/>
        <v>-844</v>
      </c>
      <c r="Q441" s="4">
        <v>2</v>
      </c>
      <c r="R441" s="4">
        <v>7</v>
      </c>
      <c r="S441" s="4">
        <v>2</v>
      </c>
      <c r="T441" s="6">
        <f t="shared" si="137"/>
        <v>750</v>
      </c>
      <c r="U441" s="7">
        <f t="shared" si="148"/>
        <v>2405</v>
      </c>
      <c r="V441" s="7">
        <f t="shared" si="149"/>
        <v>2121</v>
      </c>
      <c r="W441" s="7">
        <f t="shared" si="147"/>
        <v>2646</v>
      </c>
      <c r="X441" s="6"/>
      <c r="Y441" s="5"/>
      <c r="Z441" s="5"/>
      <c r="AA441" s="5"/>
      <c r="AB441" s="5"/>
    </row>
    <row r="442" spans="1:28" ht="13.15" customHeight="1">
      <c r="A442" s="9">
        <f t="shared" si="146"/>
        <v>428</v>
      </c>
      <c r="B442" s="10">
        <f t="shared" si="138"/>
        <v>45698</v>
      </c>
      <c r="C442" s="9">
        <f t="shared" si="139"/>
        <v>842</v>
      </c>
      <c r="D442" s="8">
        <f t="shared" si="130"/>
        <v>2031</v>
      </c>
      <c r="E442" s="4">
        <f t="shared" si="131"/>
        <v>653</v>
      </c>
      <c r="F442" s="4">
        <f t="shared" si="132"/>
        <v>758</v>
      </c>
      <c r="G442" s="4">
        <f t="shared" si="133"/>
        <v>719</v>
      </c>
      <c r="H442" s="5">
        <f t="shared" si="134"/>
        <v>2220</v>
      </c>
      <c r="I442" s="5">
        <f t="shared" si="135"/>
        <v>2115</v>
      </c>
      <c r="J442" s="5">
        <f t="shared" si="136"/>
        <v>2154</v>
      </c>
      <c r="K442" s="5">
        <f t="shared" si="143"/>
        <v>3000</v>
      </c>
      <c r="L442" s="5">
        <f t="shared" si="144"/>
        <v>3000</v>
      </c>
      <c r="M442" s="5">
        <f t="shared" si="145"/>
        <v>3000</v>
      </c>
      <c r="N442" s="5">
        <f t="shared" si="140"/>
        <v>-780</v>
      </c>
      <c r="O442" s="5">
        <f t="shared" si="141"/>
        <v>-885</v>
      </c>
      <c r="P442" s="5">
        <f t="shared" si="142"/>
        <v>-846</v>
      </c>
      <c r="Q442" s="4">
        <v>5</v>
      </c>
      <c r="R442" s="4">
        <v>6</v>
      </c>
      <c r="S442" s="4">
        <v>2</v>
      </c>
      <c r="T442" s="6">
        <f t="shared" si="137"/>
        <v>758</v>
      </c>
      <c r="U442" s="7">
        <f t="shared" si="148"/>
        <v>2400</v>
      </c>
      <c r="V442" s="7">
        <f t="shared" si="149"/>
        <v>2115</v>
      </c>
      <c r="W442" s="7">
        <f t="shared" si="147"/>
        <v>2644</v>
      </c>
      <c r="X442" s="6"/>
      <c r="Y442" s="5"/>
      <c r="Z442" s="5"/>
      <c r="AA442" s="5"/>
      <c r="AB442" s="5"/>
    </row>
    <row r="443" spans="1:28" ht="13.15" customHeight="1">
      <c r="A443" s="9">
        <f t="shared" si="146"/>
        <v>429</v>
      </c>
      <c r="B443" s="10">
        <f t="shared" si="138"/>
        <v>45699</v>
      </c>
      <c r="C443" s="9">
        <f t="shared" si="139"/>
        <v>842</v>
      </c>
      <c r="D443" s="8">
        <f t="shared" si="130"/>
        <v>2033</v>
      </c>
      <c r="E443" s="4">
        <f t="shared" si="131"/>
        <v>660</v>
      </c>
      <c r="F443" s="4">
        <f t="shared" si="132"/>
        <v>768</v>
      </c>
      <c r="G443" s="4">
        <f t="shared" si="133"/>
        <v>724</v>
      </c>
      <c r="H443" s="5">
        <f t="shared" si="134"/>
        <v>2215</v>
      </c>
      <c r="I443" s="5">
        <f t="shared" si="135"/>
        <v>2107</v>
      </c>
      <c r="J443" s="5">
        <f t="shared" si="136"/>
        <v>2151</v>
      </c>
      <c r="K443" s="5">
        <f t="shared" si="143"/>
        <v>3000</v>
      </c>
      <c r="L443" s="5">
        <f t="shared" si="144"/>
        <v>3000</v>
      </c>
      <c r="M443" s="5">
        <f t="shared" si="145"/>
        <v>3000</v>
      </c>
      <c r="N443" s="5">
        <f t="shared" si="140"/>
        <v>-785</v>
      </c>
      <c r="O443" s="5">
        <f t="shared" si="141"/>
        <v>-893</v>
      </c>
      <c r="P443" s="5">
        <f t="shared" si="142"/>
        <v>-849</v>
      </c>
      <c r="Q443" s="4">
        <v>5</v>
      </c>
      <c r="R443" s="4">
        <v>8</v>
      </c>
      <c r="S443" s="4">
        <v>3</v>
      </c>
      <c r="T443" s="6">
        <f t="shared" si="137"/>
        <v>768</v>
      </c>
      <c r="U443" s="7">
        <f t="shared" si="148"/>
        <v>2395</v>
      </c>
      <c r="V443" s="7">
        <f t="shared" si="149"/>
        <v>2107</v>
      </c>
      <c r="W443" s="7">
        <f t="shared" si="147"/>
        <v>2641</v>
      </c>
      <c r="X443" s="6"/>
      <c r="Y443" s="5"/>
      <c r="Z443" s="5"/>
      <c r="AA443" s="5"/>
      <c r="AB443" s="5"/>
    </row>
    <row r="444" spans="1:28" ht="13.15" customHeight="1">
      <c r="A444" s="9">
        <f t="shared" si="146"/>
        <v>430</v>
      </c>
      <c r="B444" s="10">
        <f t="shared" si="138"/>
        <v>45700</v>
      </c>
      <c r="C444" s="9">
        <f t="shared" si="139"/>
        <v>842</v>
      </c>
      <c r="D444" s="8">
        <f t="shared" si="130"/>
        <v>2035</v>
      </c>
      <c r="E444" s="4">
        <f t="shared" si="131"/>
        <v>666</v>
      </c>
      <c r="F444" s="4">
        <f t="shared" si="132"/>
        <v>777</v>
      </c>
      <c r="G444" s="4">
        <f t="shared" si="133"/>
        <v>727</v>
      </c>
      <c r="H444" s="5">
        <f t="shared" si="134"/>
        <v>2211</v>
      </c>
      <c r="I444" s="5">
        <f t="shared" si="135"/>
        <v>2100</v>
      </c>
      <c r="J444" s="5">
        <f t="shared" si="136"/>
        <v>2150</v>
      </c>
      <c r="K444" s="5">
        <f t="shared" si="143"/>
        <v>3000</v>
      </c>
      <c r="L444" s="5">
        <f t="shared" si="144"/>
        <v>3000</v>
      </c>
      <c r="M444" s="5">
        <f t="shared" si="145"/>
        <v>3000</v>
      </c>
      <c r="N444" s="5">
        <f t="shared" si="140"/>
        <v>-789</v>
      </c>
      <c r="O444" s="5">
        <f t="shared" si="141"/>
        <v>-900</v>
      </c>
      <c r="P444" s="5">
        <f t="shared" si="142"/>
        <v>-850</v>
      </c>
      <c r="Q444" s="4">
        <v>4</v>
      </c>
      <c r="R444" s="4">
        <v>7</v>
      </c>
      <c r="S444" s="4">
        <v>1</v>
      </c>
      <c r="T444" s="6">
        <f t="shared" si="137"/>
        <v>777</v>
      </c>
      <c r="U444" s="7">
        <f t="shared" si="148"/>
        <v>2391</v>
      </c>
      <c r="V444" s="7">
        <f t="shared" si="149"/>
        <v>2100</v>
      </c>
      <c r="W444" s="7">
        <f t="shared" si="147"/>
        <v>2640</v>
      </c>
      <c r="X444" s="6"/>
      <c r="Y444" s="5"/>
      <c r="Z444" s="5"/>
      <c r="AA444" s="5"/>
      <c r="AB444" s="5"/>
    </row>
    <row r="445" spans="1:28" ht="13.15" customHeight="1">
      <c r="A445" s="9">
        <f t="shared" si="146"/>
        <v>431</v>
      </c>
      <c r="B445" s="10">
        <f t="shared" si="138"/>
        <v>45701</v>
      </c>
      <c r="C445" s="9">
        <f t="shared" si="139"/>
        <v>842</v>
      </c>
      <c r="D445" s="8">
        <f t="shared" si="130"/>
        <v>2037</v>
      </c>
      <c r="E445" s="4">
        <f t="shared" si="131"/>
        <v>671</v>
      </c>
      <c r="F445" s="4">
        <f t="shared" si="132"/>
        <v>788</v>
      </c>
      <c r="G445" s="4">
        <f t="shared" si="133"/>
        <v>731</v>
      </c>
      <c r="H445" s="5">
        <f t="shared" si="134"/>
        <v>2208</v>
      </c>
      <c r="I445" s="5">
        <f t="shared" si="135"/>
        <v>2091</v>
      </c>
      <c r="J445" s="5">
        <f t="shared" si="136"/>
        <v>2148</v>
      </c>
      <c r="K445" s="5">
        <f t="shared" si="143"/>
        <v>3000</v>
      </c>
      <c r="L445" s="5">
        <f t="shared" si="144"/>
        <v>3000</v>
      </c>
      <c r="M445" s="5">
        <f t="shared" si="145"/>
        <v>3000</v>
      </c>
      <c r="N445" s="5">
        <f t="shared" si="140"/>
        <v>-792</v>
      </c>
      <c r="O445" s="5">
        <f t="shared" si="141"/>
        <v>-909</v>
      </c>
      <c r="P445" s="5">
        <f t="shared" si="142"/>
        <v>-852</v>
      </c>
      <c r="Q445" s="4">
        <v>3</v>
      </c>
      <c r="R445" s="4">
        <v>9</v>
      </c>
      <c r="S445" s="4">
        <v>2</v>
      </c>
      <c r="T445" s="6">
        <f t="shared" si="137"/>
        <v>788</v>
      </c>
      <c r="U445" s="7">
        <f t="shared" si="148"/>
        <v>2388</v>
      </c>
      <c r="V445" s="7">
        <f t="shared" si="149"/>
        <v>2091</v>
      </c>
      <c r="W445" s="7">
        <f t="shared" si="147"/>
        <v>2638</v>
      </c>
      <c r="X445" s="6"/>
      <c r="Y445" s="5"/>
      <c r="Z445" s="5"/>
      <c r="AA445" s="5"/>
      <c r="AB445" s="5"/>
    </row>
    <row r="446" spans="1:28" ht="13.15" customHeight="1">
      <c r="A446" s="9">
        <f t="shared" si="146"/>
        <v>432</v>
      </c>
      <c r="B446" s="10">
        <f t="shared" si="138"/>
        <v>45702</v>
      </c>
      <c r="C446" s="9">
        <f t="shared" si="139"/>
        <v>842</v>
      </c>
      <c r="D446" s="8">
        <f t="shared" si="130"/>
        <v>2039</v>
      </c>
      <c r="E446" s="4">
        <f t="shared" si="131"/>
        <v>675</v>
      </c>
      <c r="F446" s="4">
        <f t="shared" si="132"/>
        <v>798</v>
      </c>
      <c r="G446" s="4">
        <f t="shared" si="133"/>
        <v>735</v>
      </c>
      <c r="H446" s="5">
        <f t="shared" si="134"/>
        <v>2206</v>
      </c>
      <c r="I446" s="5">
        <f t="shared" si="135"/>
        <v>2083</v>
      </c>
      <c r="J446" s="5">
        <f t="shared" si="136"/>
        <v>2146</v>
      </c>
      <c r="K446" s="5">
        <f t="shared" si="143"/>
        <v>3000</v>
      </c>
      <c r="L446" s="5">
        <f t="shared" si="144"/>
        <v>3000</v>
      </c>
      <c r="M446" s="5">
        <f t="shared" si="145"/>
        <v>3000</v>
      </c>
      <c r="N446" s="5">
        <f t="shared" si="140"/>
        <v>-794</v>
      </c>
      <c r="O446" s="5">
        <f t="shared" si="141"/>
        <v>-917</v>
      </c>
      <c r="P446" s="5">
        <f t="shared" si="142"/>
        <v>-854</v>
      </c>
      <c r="Q446" s="4">
        <v>2</v>
      </c>
      <c r="R446" s="4">
        <v>8</v>
      </c>
      <c r="S446" s="4">
        <v>2</v>
      </c>
      <c r="T446" s="6">
        <f t="shared" si="137"/>
        <v>798</v>
      </c>
      <c r="U446" s="7">
        <f t="shared" si="148"/>
        <v>2386</v>
      </c>
      <c r="V446" s="7">
        <f t="shared" si="149"/>
        <v>2083</v>
      </c>
      <c r="W446" s="7">
        <f t="shared" si="147"/>
        <v>2636</v>
      </c>
      <c r="X446" s="6"/>
      <c r="Y446" s="5"/>
      <c r="Z446" s="5"/>
      <c r="AA446" s="5"/>
      <c r="AB446" s="5"/>
    </row>
    <row r="447" spans="1:28" ht="13.15" customHeight="1">
      <c r="A447" s="9">
        <f t="shared" si="146"/>
        <v>433</v>
      </c>
      <c r="B447" s="10">
        <f t="shared" si="138"/>
        <v>45703</v>
      </c>
      <c r="C447" s="9">
        <f t="shared" si="139"/>
        <v>842</v>
      </c>
      <c r="D447" s="8">
        <f t="shared" ref="D447:D491" si="150">D446+2</f>
        <v>2041</v>
      </c>
      <c r="E447" s="4">
        <f t="shared" si="131"/>
        <v>681</v>
      </c>
      <c r="F447" s="4">
        <f t="shared" si="132"/>
        <v>808</v>
      </c>
      <c r="G447" s="4">
        <f t="shared" si="133"/>
        <v>738</v>
      </c>
      <c r="H447" s="5">
        <f t="shared" si="134"/>
        <v>2202</v>
      </c>
      <c r="I447" s="5">
        <f t="shared" si="135"/>
        <v>2075</v>
      </c>
      <c r="J447" s="5">
        <f t="shared" si="136"/>
        <v>2145</v>
      </c>
      <c r="K447" s="5">
        <f t="shared" si="143"/>
        <v>3000</v>
      </c>
      <c r="L447" s="5">
        <f t="shared" si="144"/>
        <v>3000</v>
      </c>
      <c r="M447" s="5">
        <f t="shared" si="145"/>
        <v>3000</v>
      </c>
      <c r="N447" s="5">
        <f t="shared" si="140"/>
        <v>-798</v>
      </c>
      <c r="O447" s="5">
        <f t="shared" si="141"/>
        <v>-925</v>
      </c>
      <c r="P447" s="5">
        <f t="shared" si="142"/>
        <v>-855</v>
      </c>
      <c r="Q447" s="4">
        <v>4</v>
      </c>
      <c r="R447" s="4">
        <v>8</v>
      </c>
      <c r="S447" s="4">
        <v>1</v>
      </c>
      <c r="T447" s="6">
        <f t="shared" si="137"/>
        <v>808</v>
      </c>
      <c r="U447" s="7">
        <f t="shared" si="148"/>
        <v>2382</v>
      </c>
      <c r="V447" s="7">
        <f t="shared" si="149"/>
        <v>2075</v>
      </c>
      <c r="W447" s="7">
        <f t="shared" si="147"/>
        <v>2635</v>
      </c>
      <c r="X447" s="6"/>
      <c r="Y447" s="5"/>
      <c r="Z447" s="5"/>
      <c r="AA447" s="5"/>
      <c r="AB447" s="5"/>
    </row>
    <row r="448" spans="1:28" ht="13.15" customHeight="1">
      <c r="A448" s="9">
        <f t="shared" si="146"/>
        <v>434</v>
      </c>
      <c r="B448" s="10">
        <f t="shared" si="138"/>
        <v>45704</v>
      </c>
      <c r="C448" s="9">
        <f t="shared" si="139"/>
        <v>842</v>
      </c>
      <c r="D448" s="8">
        <f t="shared" si="150"/>
        <v>2043</v>
      </c>
      <c r="E448" s="4">
        <f t="shared" si="131"/>
        <v>686</v>
      </c>
      <c r="F448" s="4">
        <f t="shared" si="132"/>
        <v>819</v>
      </c>
      <c r="G448" s="4">
        <f t="shared" si="133"/>
        <v>742</v>
      </c>
      <c r="H448" s="5">
        <f t="shared" si="134"/>
        <v>2199</v>
      </c>
      <c r="I448" s="5">
        <f t="shared" si="135"/>
        <v>2066</v>
      </c>
      <c r="J448" s="5">
        <f t="shared" si="136"/>
        <v>2143</v>
      </c>
      <c r="K448" s="5">
        <f t="shared" si="143"/>
        <v>3000</v>
      </c>
      <c r="L448" s="5">
        <f t="shared" si="144"/>
        <v>3000</v>
      </c>
      <c r="M448" s="5">
        <f t="shared" si="145"/>
        <v>3000</v>
      </c>
      <c r="N448" s="5">
        <f t="shared" si="140"/>
        <v>-801</v>
      </c>
      <c r="O448" s="5">
        <f t="shared" si="141"/>
        <v>-934</v>
      </c>
      <c r="P448" s="5">
        <f t="shared" si="142"/>
        <v>-857</v>
      </c>
      <c r="Q448" s="4">
        <v>3</v>
      </c>
      <c r="R448" s="4">
        <v>9</v>
      </c>
      <c r="S448" s="4">
        <v>2</v>
      </c>
      <c r="T448" s="6">
        <f t="shared" si="137"/>
        <v>819</v>
      </c>
      <c r="U448" s="7">
        <f t="shared" si="148"/>
        <v>2379</v>
      </c>
      <c r="V448" s="7">
        <f t="shared" si="149"/>
        <v>2066</v>
      </c>
      <c r="W448" s="7">
        <f t="shared" si="147"/>
        <v>2633</v>
      </c>
      <c r="X448" s="6"/>
      <c r="Y448" s="5"/>
      <c r="Z448" s="5"/>
      <c r="AA448" s="5"/>
      <c r="AB448" s="5"/>
    </row>
    <row r="449" spans="1:28" ht="13.15" customHeight="1">
      <c r="A449" s="9">
        <f t="shared" si="146"/>
        <v>435</v>
      </c>
      <c r="B449" s="10">
        <f t="shared" si="138"/>
        <v>45705</v>
      </c>
      <c r="C449" s="9">
        <f t="shared" si="139"/>
        <v>842</v>
      </c>
      <c r="D449" s="8">
        <f t="shared" si="150"/>
        <v>2045</v>
      </c>
      <c r="E449" s="4">
        <f t="shared" si="131"/>
        <v>692</v>
      </c>
      <c r="F449" s="4">
        <f t="shared" si="132"/>
        <v>830</v>
      </c>
      <c r="G449" s="4">
        <f t="shared" si="133"/>
        <v>746</v>
      </c>
      <c r="H449" s="5">
        <f t="shared" si="134"/>
        <v>2195</v>
      </c>
      <c r="I449" s="5">
        <f t="shared" si="135"/>
        <v>2057</v>
      </c>
      <c r="J449" s="5">
        <f t="shared" si="136"/>
        <v>2141</v>
      </c>
      <c r="K449" s="5">
        <f t="shared" si="143"/>
        <v>3000</v>
      </c>
      <c r="L449" s="5">
        <f t="shared" si="144"/>
        <v>3000</v>
      </c>
      <c r="M449" s="5">
        <f t="shared" si="145"/>
        <v>3000</v>
      </c>
      <c r="N449" s="5">
        <f t="shared" si="140"/>
        <v>-805</v>
      </c>
      <c r="O449" s="5">
        <f t="shared" si="141"/>
        <v>-943</v>
      </c>
      <c r="P449" s="5">
        <f t="shared" si="142"/>
        <v>-859</v>
      </c>
      <c r="Q449" s="4">
        <v>4</v>
      </c>
      <c r="R449" s="4">
        <v>9</v>
      </c>
      <c r="S449" s="4">
        <v>2</v>
      </c>
      <c r="T449" s="6">
        <f t="shared" si="137"/>
        <v>830</v>
      </c>
      <c r="U449" s="7">
        <f t="shared" si="148"/>
        <v>2375</v>
      </c>
      <c r="V449" s="7">
        <f t="shared" si="149"/>
        <v>2057</v>
      </c>
      <c r="W449" s="7">
        <f t="shared" si="147"/>
        <v>2631</v>
      </c>
      <c r="X449" s="6"/>
      <c r="Y449" s="5"/>
      <c r="Z449" s="5"/>
      <c r="AA449" s="5"/>
      <c r="AB449" s="5"/>
    </row>
    <row r="450" spans="1:28" ht="13.15" customHeight="1">
      <c r="A450" s="9">
        <f t="shared" si="146"/>
        <v>436</v>
      </c>
      <c r="B450" s="10">
        <f t="shared" si="138"/>
        <v>45706</v>
      </c>
      <c r="C450" s="9">
        <f t="shared" si="139"/>
        <v>842</v>
      </c>
      <c r="D450" s="8">
        <f t="shared" si="150"/>
        <v>2047</v>
      </c>
      <c r="E450" s="4">
        <f t="shared" si="131"/>
        <v>696</v>
      </c>
      <c r="F450" s="4">
        <f t="shared" si="132"/>
        <v>840</v>
      </c>
      <c r="G450" s="4">
        <f t="shared" si="133"/>
        <v>750</v>
      </c>
      <c r="H450" s="5">
        <f t="shared" si="134"/>
        <v>2193</v>
      </c>
      <c r="I450" s="5">
        <f t="shared" si="135"/>
        <v>2049</v>
      </c>
      <c r="J450" s="5">
        <f t="shared" si="136"/>
        <v>2139</v>
      </c>
      <c r="K450" s="5">
        <f t="shared" si="143"/>
        <v>3000</v>
      </c>
      <c r="L450" s="5">
        <f t="shared" si="144"/>
        <v>3000</v>
      </c>
      <c r="M450" s="5">
        <f t="shared" si="145"/>
        <v>3000</v>
      </c>
      <c r="N450" s="5">
        <f t="shared" si="140"/>
        <v>-807</v>
      </c>
      <c r="O450" s="5">
        <f t="shared" si="141"/>
        <v>-951</v>
      </c>
      <c r="P450" s="5">
        <f t="shared" si="142"/>
        <v>-861</v>
      </c>
      <c r="Q450" s="4">
        <v>2</v>
      </c>
      <c r="R450" s="4">
        <v>8</v>
      </c>
      <c r="S450" s="4">
        <v>2</v>
      </c>
      <c r="T450" s="6">
        <f t="shared" si="137"/>
        <v>840</v>
      </c>
      <c r="U450" s="7">
        <f t="shared" si="148"/>
        <v>2373</v>
      </c>
      <c r="V450" s="7">
        <f t="shared" si="149"/>
        <v>2049</v>
      </c>
      <c r="W450" s="7">
        <f t="shared" si="147"/>
        <v>2629</v>
      </c>
      <c r="X450" s="6"/>
      <c r="Y450" s="5"/>
      <c r="Z450" s="5"/>
      <c r="AA450" s="5"/>
      <c r="AB450" s="5"/>
    </row>
    <row r="451" spans="1:28" ht="13.15" customHeight="1">
      <c r="A451" s="9">
        <f t="shared" si="146"/>
        <v>437</v>
      </c>
      <c r="B451" s="10">
        <f t="shared" si="138"/>
        <v>45707</v>
      </c>
      <c r="C451" s="9">
        <f t="shared" si="139"/>
        <v>842</v>
      </c>
      <c r="D451" s="8">
        <f t="shared" si="150"/>
        <v>2049</v>
      </c>
      <c r="E451" s="4">
        <f t="shared" si="131"/>
        <v>703</v>
      </c>
      <c r="F451" s="4">
        <f t="shared" si="132"/>
        <v>851</v>
      </c>
      <c r="G451" s="4">
        <f t="shared" si="133"/>
        <v>754</v>
      </c>
      <c r="H451" s="5">
        <f t="shared" si="134"/>
        <v>2188</v>
      </c>
      <c r="I451" s="5">
        <f t="shared" si="135"/>
        <v>2040</v>
      </c>
      <c r="J451" s="5">
        <f t="shared" si="136"/>
        <v>2137</v>
      </c>
      <c r="K451" s="5">
        <f t="shared" si="143"/>
        <v>3000</v>
      </c>
      <c r="L451" s="5">
        <f t="shared" si="144"/>
        <v>3000</v>
      </c>
      <c r="M451" s="5">
        <f t="shared" si="145"/>
        <v>3000</v>
      </c>
      <c r="N451" s="5">
        <f t="shared" si="140"/>
        <v>-812</v>
      </c>
      <c r="O451" s="5">
        <f t="shared" si="141"/>
        <v>-960</v>
      </c>
      <c r="P451" s="5">
        <f t="shared" si="142"/>
        <v>-863</v>
      </c>
      <c r="Q451" s="4">
        <v>5</v>
      </c>
      <c r="R451" s="4">
        <v>9</v>
      </c>
      <c r="S451" s="4">
        <v>2</v>
      </c>
      <c r="T451" s="6">
        <f t="shared" si="137"/>
        <v>851</v>
      </c>
      <c r="U451" s="7">
        <f t="shared" si="148"/>
        <v>2368</v>
      </c>
      <c r="V451" s="7">
        <f t="shared" si="149"/>
        <v>2040</v>
      </c>
      <c r="W451" s="7">
        <f t="shared" si="147"/>
        <v>2627</v>
      </c>
      <c r="X451" s="6"/>
      <c r="Y451" s="5"/>
      <c r="Z451" s="5"/>
      <c r="AA451" s="5"/>
      <c r="AB451" s="5"/>
    </row>
    <row r="452" spans="1:28" ht="13.15" customHeight="1">
      <c r="A452" s="9">
        <f t="shared" si="146"/>
        <v>438</v>
      </c>
      <c r="B452" s="10">
        <f t="shared" si="138"/>
        <v>45708</v>
      </c>
      <c r="C452" s="9">
        <f t="shared" si="139"/>
        <v>842</v>
      </c>
      <c r="D452" s="8">
        <f t="shared" si="150"/>
        <v>2051</v>
      </c>
      <c r="E452" s="4">
        <f t="shared" si="131"/>
        <v>710</v>
      </c>
      <c r="F452" s="4">
        <f t="shared" si="132"/>
        <v>861</v>
      </c>
      <c r="G452" s="4">
        <f t="shared" si="133"/>
        <v>758</v>
      </c>
      <c r="H452" s="5">
        <f t="shared" si="134"/>
        <v>2183</v>
      </c>
      <c r="I452" s="5">
        <f t="shared" si="135"/>
        <v>2032</v>
      </c>
      <c r="J452" s="5">
        <f t="shared" si="136"/>
        <v>2135</v>
      </c>
      <c r="K452" s="5">
        <f t="shared" si="143"/>
        <v>3000</v>
      </c>
      <c r="L452" s="5">
        <f t="shared" si="144"/>
        <v>3000</v>
      </c>
      <c r="M452" s="5">
        <f t="shared" si="145"/>
        <v>3000</v>
      </c>
      <c r="N452" s="5">
        <f t="shared" si="140"/>
        <v>-817</v>
      </c>
      <c r="O452" s="5">
        <f t="shared" si="141"/>
        <v>-968</v>
      </c>
      <c r="P452" s="5">
        <f t="shared" si="142"/>
        <v>-865</v>
      </c>
      <c r="Q452" s="4">
        <v>5</v>
      </c>
      <c r="R452" s="4">
        <v>8</v>
      </c>
      <c r="S452" s="4">
        <v>2</v>
      </c>
      <c r="T452" s="6">
        <f t="shared" si="137"/>
        <v>861</v>
      </c>
      <c r="U452" s="7">
        <f t="shared" si="148"/>
        <v>2363</v>
      </c>
      <c r="V452" s="7">
        <f t="shared" si="149"/>
        <v>2032</v>
      </c>
      <c r="W452" s="7">
        <f t="shared" si="147"/>
        <v>2625</v>
      </c>
      <c r="X452" s="6"/>
      <c r="Y452" s="5"/>
      <c r="Z452" s="5"/>
      <c r="AA452" s="5"/>
      <c r="AB452" s="5"/>
    </row>
    <row r="453" spans="1:28" ht="13.15" customHeight="1">
      <c r="A453" s="9">
        <f t="shared" si="146"/>
        <v>439</v>
      </c>
      <c r="B453" s="10">
        <f t="shared" si="138"/>
        <v>45709</v>
      </c>
      <c r="C453" s="9">
        <f t="shared" si="139"/>
        <v>842</v>
      </c>
      <c r="D453" s="8">
        <f t="shared" si="150"/>
        <v>2053</v>
      </c>
      <c r="E453" s="4">
        <f t="shared" si="131"/>
        <v>719</v>
      </c>
      <c r="F453" s="4">
        <f t="shared" si="132"/>
        <v>870</v>
      </c>
      <c r="G453" s="4">
        <f t="shared" si="133"/>
        <v>761</v>
      </c>
      <c r="H453" s="5">
        <f t="shared" si="134"/>
        <v>2176</v>
      </c>
      <c r="I453" s="5">
        <f t="shared" si="135"/>
        <v>2025</v>
      </c>
      <c r="J453" s="5">
        <f t="shared" si="136"/>
        <v>2134</v>
      </c>
      <c r="K453" s="5">
        <f t="shared" si="143"/>
        <v>3000</v>
      </c>
      <c r="L453" s="5">
        <f t="shared" si="144"/>
        <v>3000</v>
      </c>
      <c r="M453" s="5">
        <f t="shared" si="145"/>
        <v>3000</v>
      </c>
      <c r="N453" s="5">
        <f t="shared" si="140"/>
        <v>-824</v>
      </c>
      <c r="O453" s="5">
        <f t="shared" si="141"/>
        <v>-975</v>
      </c>
      <c r="P453" s="5">
        <f t="shared" si="142"/>
        <v>-866</v>
      </c>
      <c r="Q453" s="4">
        <v>7</v>
      </c>
      <c r="R453" s="4">
        <v>7</v>
      </c>
      <c r="S453" s="4">
        <v>1</v>
      </c>
      <c r="T453" s="6">
        <f t="shared" si="137"/>
        <v>870</v>
      </c>
      <c r="U453" s="7">
        <f t="shared" si="148"/>
        <v>2356</v>
      </c>
      <c r="V453" s="7">
        <f t="shared" si="149"/>
        <v>2025</v>
      </c>
      <c r="W453" s="7">
        <f t="shared" si="147"/>
        <v>2624</v>
      </c>
      <c r="X453" s="6"/>
      <c r="Y453" s="5"/>
      <c r="Z453" s="5"/>
      <c r="AA453" s="5"/>
      <c r="AB453" s="5"/>
    </row>
    <row r="454" spans="1:28" ht="13.15" customHeight="1">
      <c r="A454" s="9">
        <f t="shared" si="146"/>
        <v>440</v>
      </c>
      <c r="B454" s="10">
        <f t="shared" si="138"/>
        <v>45710</v>
      </c>
      <c r="C454" s="9">
        <f t="shared" si="139"/>
        <v>842</v>
      </c>
      <c r="D454" s="8">
        <f t="shared" si="150"/>
        <v>2055</v>
      </c>
      <c r="E454" s="4">
        <f t="shared" si="131"/>
        <v>726</v>
      </c>
      <c r="F454" s="4">
        <f t="shared" si="132"/>
        <v>881</v>
      </c>
      <c r="G454" s="4">
        <f t="shared" si="133"/>
        <v>765</v>
      </c>
      <c r="H454" s="5">
        <f t="shared" si="134"/>
        <v>2171</v>
      </c>
      <c r="I454" s="5">
        <f t="shared" si="135"/>
        <v>2016</v>
      </c>
      <c r="J454" s="5">
        <f t="shared" si="136"/>
        <v>2132</v>
      </c>
      <c r="K454" s="5">
        <f t="shared" si="143"/>
        <v>3000</v>
      </c>
      <c r="L454" s="5">
        <f t="shared" si="144"/>
        <v>3000</v>
      </c>
      <c r="M454" s="5">
        <f t="shared" si="145"/>
        <v>3000</v>
      </c>
      <c r="N454" s="5">
        <f t="shared" si="140"/>
        <v>-829</v>
      </c>
      <c r="O454" s="5">
        <f t="shared" si="141"/>
        <v>-984</v>
      </c>
      <c r="P454" s="5">
        <f t="shared" si="142"/>
        <v>-868</v>
      </c>
      <c r="Q454" s="4">
        <v>5</v>
      </c>
      <c r="R454" s="4">
        <v>9</v>
      </c>
      <c r="S454" s="4">
        <v>2</v>
      </c>
      <c r="T454" s="6">
        <f t="shared" si="137"/>
        <v>881</v>
      </c>
      <c r="U454" s="7">
        <f t="shared" si="148"/>
        <v>2351</v>
      </c>
      <c r="V454" s="7">
        <f t="shared" si="149"/>
        <v>2016</v>
      </c>
      <c r="W454" s="7">
        <f t="shared" si="147"/>
        <v>2622</v>
      </c>
      <c r="X454" s="6"/>
      <c r="Y454" s="5"/>
      <c r="Z454" s="5"/>
      <c r="AA454" s="5"/>
      <c r="AB454" s="5"/>
    </row>
    <row r="455" spans="1:28" ht="13.15" customHeight="1">
      <c r="A455" s="9">
        <f t="shared" si="146"/>
        <v>441</v>
      </c>
      <c r="B455" s="10">
        <f t="shared" si="138"/>
        <v>45711</v>
      </c>
      <c r="C455" s="9">
        <f t="shared" si="139"/>
        <v>842</v>
      </c>
      <c r="D455" s="8">
        <f t="shared" si="150"/>
        <v>2057</v>
      </c>
      <c r="E455" s="4">
        <f t="shared" si="131"/>
        <v>735</v>
      </c>
      <c r="F455" s="4">
        <f t="shared" si="132"/>
        <v>891</v>
      </c>
      <c r="G455" s="4">
        <f t="shared" si="133"/>
        <v>768</v>
      </c>
      <c r="H455" s="5">
        <f t="shared" si="134"/>
        <v>2164</v>
      </c>
      <c r="I455" s="5">
        <f t="shared" si="135"/>
        <v>2008</v>
      </c>
      <c r="J455" s="5">
        <f t="shared" si="136"/>
        <v>2131</v>
      </c>
      <c r="K455" s="5">
        <f t="shared" si="143"/>
        <v>3000</v>
      </c>
      <c r="L455" s="5">
        <f t="shared" si="144"/>
        <v>3000</v>
      </c>
      <c r="M455" s="5">
        <f t="shared" si="145"/>
        <v>3000</v>
      </c>
      <c r="N455" s="5">
        <f t="shared" si="140"/>
        <v>-836</v>
      </c>
      <c r="O455" s="5">
        <f t="shared" si="141"/>
        <v>-992</v>
      </c>
      <c r="P455" s="5">
        <f t="shared" si="142"/>
        <v>-869</v>
      </c>
      <c r="Q455" s="4">
        <v>7</v>
      </c>
      <c r="R455" s="4">
        <v>8</v>
      </c>
      <c r="S455" s="4">
        <v>1</v>
      </c>
      <c r="T455" s="6">
        <f t="shared" si="137"/>
        <v>891</v>
      </c>
      <c r="U455" s="7">
        <f t="shared" si="148"/>
        <v>2344</v>
      </c>
      <c r="V455" s="7">
        <f t="shared" si="149"/>
        <v>2008</v>
      </c>
      <c r="W455" s="7">
        <f t="shared" si="147"/>
        <v>2621</v>
      </c>
      <c r="X455" s="6"/>
      <c r="Y455" s="5"/>
      <c r="Z455" s="5"/>
      <c r="AA455" s="5"/>
      <c r="AB455" s="5"/>
    </row>
    <row r="456" spans="1:28" ht="13.15" customHeight="1">
      <c r="A456" s="9">
        <f t="shared" si="146"/>
        <v>442</v>
      </c>
      <c r="B456" s="10">
        <f t="shared" si="138"/>
        <v>45712</v>
      </c>
      <c r="C456" s="9">
        <f t="shared" si="139"/>
        <v>842</v>
      </c>
      <c r="D456" s="8">
        <f t="shared" si="150"/>
        <v>2059</v>
      </c>
      <c r="E456" s="4">
        <f t="shared" si="131"/>
        <v>740</v>
      </c>
      <c r="F456" s="4">
        <f t="shared" si="132"/>
        <v>901</v>
      </c>
      <c r="G456" s="4">
        <f t="shared" si="133"/>
        <v>771</v>
      </c>
      <c r="H456" s="5">
        <f t="shared" si="134"/>
        <v>2161</v>
      </c>
      <c r="I456" s="5">
        <f t="shared" si="135"/>
        <v>2000</v>
      </c>
      <c r="J456" s="5">
        <f t="shared" si="136"/>
        <v>2130</v>
      </c>
      <c r="K456" s="5">
        <f t="shared" si="143"/>
        <v>3000</v>
      </c>
      <c r="L456" s="5">
        <f t="shared" si="144"/>
        <v>3000</v>
      </c>
      <c r="M456" s="5">
        <f t="shared" si="145"/>
        <v>3000</v>
      </c>
      <c r="N456" s="5">
        <f t="shared" si="140"/>
        <v>-839</v>
      </c>
      <c r="O456" s="5">
        <f t="shared" si="141"/>
        <v>-1000</v>
      </c>
      <c r="P456" s="5">
        <f t="shared" si="142"/>
        <v>-870</v>
      </c>
      <c r="Q456" s="4">
        <v>3</v>
      </c>
      <c r="R456" s="4">
        <v>8</v>
      </c>
      <c r="S456" s="4">
        <v>1</v>
      </c>
      <c r="T456" s="6">
        <f t="shared" si="137"/>
        <v>901</v>
      </c>
      <c r="U456" s="7">
        <f t="shared" si="148"/>
        <v>2341</v>
      </c>
      <c r="V456" s="7">
        <f t="shared" si="149"/>
        <v>2000</v>
      </c>
      <c r="W456" s="7">
        <f t="shared" si="147"/>
        <v>2620</v>
      </c>
      <c r="X456" s="6"/>
      <c r="Y456" s="5"/>
      <c r="Z456" s="5"/>
      <c r="AA456" s="5"/>
      <c r="AB456" s="5"/>
    </row>
    <row r="457" spans="1:28" ht="13.15" customHeight="1">
      <c r="A457" s="9">
        <f t="shared" si="146"/>
        <v>443</v>
      </c>
      <c r="B457" s="10">
        <f t="shared" si="138"/>
        <v>45713</v>
      </c>
      <c r="C457" s="9">
        <f t="shared" si="139"/>
        <v>842</v>
      </c>
      <c r="D457" s="8">
        <f t="shared" si="150"/>
        <v>2061</v>
      </c>
      <c r="E457" s="4">
        <f t="shared" si="131"/>
        <v>744</v>
      </c>
      <c r="F457" s="4">
        <f t="shared" si="132"/>
        <v>910</v>
      </c>
      <c r="G457" s="4">
        <f t="shared" si="133"/>
        <v>776</v>
      </c>
      <c r="H457" s="5">
        <f t="shared" si="134"/>
        <v>2159</v>
      </c>
      <c r="I457" s="5">
        <f t="shared" si="135"/>
        <v>1993</v>
      </c>
      <c r="J457" s="5">
        <f t="shared" si="136"/>
        <v>2127</v>
      </c>
      <c r="K457" s="5">
        <f t="shared" si="143"/>
        <v>3000</v>
      </c>
      <c r="L457" s="5">
        <f t="shared" si="144"/>
        <v>3000</v>
      </c>
      <c r="M457" s="5">
        <f t="shared" si="145"/>
        <v>3000</v>
      </c>
      <c r="N457" s="5">
        <f t="shared" si="140"/>
        <v>-841</v>
      </c>
      <c r="O457" s="5">
        <f t="shared" si="141"/>
        <v>-1007</v>
      </c>
      <c r="P457" s="5">
        <f t="shared" si="142"/>
        <v>-873</v>
      </c>
      <c r="Q457" s="4">
        <v>2</v>
      </c>
      <c r="R457" s="4">
        <v>7</v>
      </c>
      <c r="S457" s="4">
        <v>3</v>
      </c>
      <c r="T457" s="6">
        <f t="shared" si="137"/>
        <v>910</v>
      </c>
      <c r="U457" s="7">
        <f t="shared" si="148"/>
        <v>2339</v>
      </c>
      <c r="V457" s="7">
        <f t="shared" si="149"/>
        <v>1993</v>
      </c>
      <c r="W457" s="7">
        <f t="shared" si="147"/>
        <v>2617</v>
      </c>
      <c r="X457" s="6"/>
      <c r="Y457" s="5"/>
      <c r="Z457" s="5"/>
      <c r="AA457" s="5"/>
      <c r="AB457" s="5"/>
    </row>
    <row r="458" spans="1:28" ht="13.15" customHeight="1">
      <c r="A458" s="9">
        <f t="shared" si="146"/>
        <v>444</v>
      </c>
      <c r="B458" s="10">
        <f t="shared" si="138"/>
        <v>45714</v>
      </c>
      <c r="C458" s="9">
        <f t="shared" si="139"/>
        <v>842</v>
      </c>
      <c r="D458" s="8">
        <f t="shared" si="150"/>
        <v>2063</v>
      </c>
      <c r="E458" s="4">
        <f t="shared" si="131"/>
        <v>750</v>
      </c>
      <c r="F458" s="4">
        <f t="shared" si="132"/>
        <v>919</v>
      </c>
      <c r="G458" s="4">
        <f t="shared" si="133"/>
        <v>779</v>
      </c>
      <c r="H458" s="5">
        <f t="shared" si="134"/>
        <v>2155</v>
      </c>
      <c r="I458" s="5">
        <f t="shared" si="135"/>
        <v>1986</v>
      </c>
      <c r="J458" s="5">
        <f t="shared" si="136"/>
        <v>2126</v>
      </c>
      <c r="K458" s="5">
        <f t="shared" si="143"/>
        <v>3000</v>
      </c>
      <c r="L458" s="5">
        <f t="shared" si="144"/>
        <v>3000</v>
      </c>
      <c r="M458" s="5">
        <f t="shared" si="145"/>
        <v>3000</v>
      </c>
      <c r="N458" s="5">
        <f t="shared" si="140"/>
        <v>-845</v>
      </c>
      <c r="O458" s="5">
        <f t="shared" si="141"/>
        <v>-1014</v>
      </c>
      <c r="P458" s="5">
        <f t="shared" si="142"/>
        <v>-874</v>
      </c>
      <c r="Q458" s="4">
        <v>4</v>
      </c>
      <c r="R458" s="4">
        <v>7</v>
      </c>
      <c r="S458" s="4">
        <v>1</v>
      </c>
      <c r="T458" s="6">
        <f t="shared" si="137"/>
        <v>919</v>
      </c>
      <c r="U458" s="7">
        <f t="shared" si="148"/>
        <v>2335</v>
      </c>
      <c r="V458" s="7">
        <f t="shared" si="149"/>
        <v>1986</v>
      </c>
      <c r="W458" s="7">
        <f t="shared" si="147"/>
        <v>2616</v>
      </c>
      <c r="X458" s="6"/>
      <c r="Y458" s="5"/>
      <c r="Z458" s="5"/>
      <c r="AA458" s="5"/>
      <c r="AB458" s="5"/>
    </row>
    <row r="459" spans="1:28" ht="13.15" customHeight="1">
      <c r="A459" s="9">
        <f t="shared" si="146"/>
        <v>445</v>
      </c>
      <c r="B459" s="10">
        <f t="shared" si="138"/>
        <v>45715</v>
      </c>
      <c r="C459" s="9">
        <f t="shared" si="139"/>
        <v>842</v>
      </c>
      <c r="D459" s="8">
        <f t="shared" si="150"/>
        <v>2065</v>
      </c>
      <c r="E459" s="4">
        <f t="shared" si="131"/>
        <v>759</v>
      </c>
      <c r="F459" s="4">
        <f t="shared" si="132"/>
        <v>927</v>
      </c>
      <c r="G459" s="4">
        <f t="shared" si="133"/>
        <v>783</v>
      </c>
      <c r="H459" s="5">
        <f t="shared" si="134"/>
        <v>2148</v>
      </c>
      <c r="I459" s="5">
        <f t="shared" si="135"/>
        <v>1980</v>
      </c>
      <c r="J459" s="5">
        <f t="shared" si="136"/>
        <v>2124</v>
      </c>
      <c r="K459" s="5">
        <f t="shared" si="143"/>
        <v>3000</v>
      </c>
      <c r="L459" s="5">
        <f t="shared" si="144"/>
        <v>3000</v>
      </c>
      <c r="M459" s="5">
        <f t="shared" si="145"/>
        <v>3000</v>
      </c>
      <c r="N459" s="5">
        <f t="shared" si="140"/>
        <v>-852</v>
      </c>
      <c r="O459" s="5">
        <f t="shared" si="141"/>
        <v>-1020</v>
      </c>
      <c r="P459" s="5">
        <f t="shared" si="142"/>
        <v>-876</v>
      </c>
      <c r="Q459" s="4">
        <v>7</v>
      </c>
      <c r="R459" s="4">
        <v>6</v>
      </c>
      <c r="S459" s="4">
        <v>2</v>
      </c>
      <c r="T459" s="6">
        <f t="shared" si="137"/>
        <v>927</v>
      </c>
      <c r="U459" s="7">
        <f t="shared" si="148"/>
        <v>2328</v>
      </c>
      <c r="V459" s="7">
        <f t="shared" si="149"/>
        <v>1980</v>
      </c>
      <c r="W459" s="7">
        <f t="shared" si="147"/>
        <v>2614</v>
      </c>
      <c r="X459" s="6"/>
      <c r="Y459" s="5"/>
      <c r="Z459" s="5"/>
      <c r="AA459" s="5"/>
      <c r="AB459" s="5"/>
    </row>
    <row r="460" spans="1:28" ht="13.15" customHeight="1">
      <c r="A460" s="9">
        <f t="shared" si="146"/>
        <v>446</v>
      </c>
      <c r="B460" s="10">
        <f t="shared" si="138"/>
        <v>45716</v>
      </c>
      <c r="C460" s="9">
        <f t="shared" si="139"/>
        <v>842</v>
      </c>
      <c r="D460" s="8">
        <f t="shared" si="150"/>
        <v>2067</v>
      </c>
      <c r="E460" s="4">
        <f t="shared" si="131"/>
        <v>766</v>
      </c>
      <c r="F460" s="4">
        <f t="shared" si="132"/>
        <v>937</v>
      </c>
      <c r="G460" s="4">
        <f t="shared" si="133"/>
        <v>786</v>
      </c>
      <c r="H460" s="5">
        <f t="shared" si="134"/>
        <v>2143</v>
      </c>
      <c r="I460" s="5">
        <f t="shared" si="135"/>
        <v>1972</v>
      </c>
      <c r="J460" s="5">
        <f t="shared" si="136"/>
        <v>2123</v>
      </c>
      <c r="K460" s="5">
        <f t="shared" si="143"/>
        <v>3000</v>
      </c>
      <c r="L460" s="5">
        <f t="shared" si="144"/>
        <v>3000</v>
      </c>
      <c r="M460" s="5">
        <f t="shared" si="145"/>
        <v>3000</v>
      </c>
      <c r="N460" s="5">
        <f t="shared" si="140"/>
        <v>-857</v>
      </c>
      <c r="O460" s="5">
        <f t="shared" si="141"/>
        <v>-1028</v>
      </c>
      <c r="P460" s="5">
        <f t="shared" si="142"/>
        <v>-877</v>
      </c>
      <c r="Q460" s="4">
        <v>5</v>
      </c>
      <c r="R460" s="4">
        <v>8</v>
      </c>
      <c r="S460" s="4">
        <v>1</v>
      </c>
      <c r="T460" s="6">
        <f t="shared" si="137"/>
        <v>937</v>
      </c>
      <c r="U460" s="7">
        <f t="shared" si="148"/>
        <v>2323</v>
      </c>
      <c r="V460" s="7">
        <f t="shared" si="149"/>
        <v>1972</v>
      </c>
      <c r="W460" s="7">
        <f t="shared" si="147"/>
        <v>2613</v>
      </c>
      <c r="X460" s="6"/>
      <c r="Y460" s="5"/>
      <c r="Z460" s="5"/>
      <c r="AA460" s="5"/>
      <c r="AB460" s="5"/>
    </row>
    <row r="461" spans="1:28" ht="13.15" customHeight="1">
      <c r="A461" s="9">
        <f t="shared" si="146"/>
        <v>447</v>
      </c>
      <c r="B461" s="10">
        <f t="shared" si="138"/>
        <v>45717</v>
      </c>
      <c r="C461" s="9">
        <f t="shared" si="139"/>
        <v>842</v>
      </c>
      <c r="D461" s="8">
        <f t="shared" si="150"/>
        <v>2069</v>
      </c>
      <c r="E461" s="4">
        <f t="shared" si="131"/>
        <v>773</v>
      </c>
      <c r="F461" s="4">
        <f t="shared" si="132"/>
        <v>946</v>
      </c>
      <c r="G461" s="4">
        <f t="shared" si="133"/>
        <v>790</v>
      </c>
      <c r="H461" s="5">
        <f t="shared" si="134"/>
        <v>2138</v>
      </c>
      <c r="I461" s="5">
        <f t="shared" si="135"/>
        <v>1965</v>
      </c>
      <c r="J461" s="5">
        <f t="shared" si="136"/>
        <v>2121</v>
      </c>
      <c r="K461" s="5">
        <f t="shared" si="143"/>
        <v>3000</v>
      </c>
      <c r="L461" s="5">
        <f t="shared" si="144"/>
        <v>3000</v>
      </c>
      <c r="M461" s="5">
        <f t="shared" si="145"/>
        <v>3000</v>
      </c>
      <c r="N461" s="5">
        <f t="shared" si="140"/>
        <v>-862</v>
      </c>
      <c r="O461" s="5">
        <f t="shared" si="141"/>
        <v>-1035</v>
      </c>
      <c r="P461" s="5">
        <f t="shared" si="142"/>
        <v>-879</v>
      </c>
      <c r="Q461" s="4">
        <v>5</v>
      </c>
      <c r="R461" s="4">
        <v>7</v>
      </c>
      <c r="S461" s="4">
        <v>2</v>
      </c>
      <c r="T461" s="6">
        <f t="shared" si="137"/>
        <v>946</v>
      </c>
      <c r="U461" s="7">
        <f t="shared" si="148"/>
        <v>2318</v>
      </c>
      <c r="V461" s="7">
        <f t="shared" si="149"/>
        <v>1965</v>
      </c>
      <c r="W461" s="7">
        <f t="shared" si="147"/>
        <v>2611</v>
      </c>
      <c r="X461" s="6"/>
      <c r="Y461" s="5"/>
      <c r="Z461" s="5"/>
      <c r="AA461" s="5"/>
      <c r="AB461" s="5"/>
    </row>
    <row r="462" spans="1:28" ht="13.15" customHeight="1">
      <c r="A462" s="9">
        <f t="shared" si="146"/>
        <v>448</v>
      </c>
      <c r="B462" s="10">
        <f t="shared" si="138"/>
        <v>45718</v>
      </c>
      <c r="C462" s="9">
        <f t="shared" si="139"/>
        <v>842</v>
      </c>
      <c r="D462" s="8">
        <f t="shared" si="150"/>
        <v>2071</v>
      </c>
      <c r="E462" s="4">
        <f t="shared" ref="E462:E491" si="151">C462+D462-H462</f>
        <v>779</v>
      </c>
      <c r="F462" s="4">
        <f t="shared" ref="F462:F491" si="152">C462+D462-I462</f>
        <v>957</v>
      </c>
      <c r="G462" s="4">
        <f t="shared" ref="G462:G491" si="153">D462+C462-J462</f>
        <v>794</v>
      </c>
      <c r="H462" s="5">
        <f t="shared" ref="H462:H491" si="154">K462+N462</f>
        <v>2134</v>
      </c>
      <c r="I462" s="5">
        <f t="shared" ref="I462:I491" si="155">L462+O462</f>
        <v>1956</v>
      </c>
      <c r="J462" s="5">
        <f t="shared" ref="J462:J491" si="156">M462+P462</f>
        <v>2119</v>
      </c>
      <c r="K462" s="5">
        <f t="shared" si="143"/>
        <v>3000</v>
      </c>
      <c r="L462" s="5">
        <f t="shared" si="144"/>
        <v>3000</v>
      </c>
      <c r="M462" s="5">
        <f t="shared" si="145"/>
        <v>3000</v>
      </c>
      <c r="N462" s="5">
        <f t="shared" si="140"/>
        <v>-866</v>
      </c>
      <c r="O462" s="5">
        <f t="shared" si="141"/>
        <v>-1044</v>
      </c>
      <c r="P462" s="5">
        <f t="shared" si="142"/>
        <v>-881</v>
      </c>
      <c r="Q462" s="4">
        <v>4</v>
      </c>
      <c r="R462" s="4">
        <v>9</v>
      </c>
      <c r="S462" s="4">
        <v>2</v>
      </c>
      <c r="T462" s="6">
        <f t="shared" ref="T462:T491" si="157">D462+C462-V462</f>
        <v>957</v>
      </c>
      <c r="U462" s="7">
        <f t="shared" si="148"/>
        <v>2314</v>
      </c>
      <c r="V462" s="7">
        <f t="shared" si="149"/>
        <v>1956</v>
      </c>
      <c r="W462" s="7">
        <f t="shared" si="147"/>
        <v>2609</v>
      </c>
      <c r="X462" s="6"/>
      <c r="Y462" s="5"/>
      <c r="Z462" s="5"/>
      <c r="AA462" s="5"/>
      <c r="AB462" s="5"/>
    </row>
    <row r="463" spans="1:28" ht="13.15" customHeight="1">
      <c r="A463" s="9">
        <f t="shared" si="146"/>
        <v>449</v>
      </c>
      <c r="B463" s="10">
        <f t="shared" ref="B463:B491" si="158">B462+1</f>
        <v>45719</v>
      </c>
      <c r="C463" s="9">
        <f t="shared" ref="C463:C491" si="159">C462</f>
        <v>842</v>
      </c>
      <c r="D463" s="8">
        <f t="shared" si="150"/>
        <v>2073</v>
      </c>
      <c r="E463" s="4">
        <f t="shared" si="151"/>
        <v>784</v>
      </c>
      <c r="F463" s="4">
        <f t="shared" si="152"/>
        <v>967</v>
      </c>
      <c r="G463" s="4">
        <f t="shared" si="153"/>
        <v>799</v>
      </c>
      <c r="H463" s="5">
        <f t="shared" si="154"/>
        <v>2131</v>
      </c>
      <c r="I463" s="5">
        <f t="shared" si="155"/>
        <v>1948</v>
      </c>
      <c r="J463" s="5">
        <f t="shared" si="156"/>
        <v>2116</v>
      </c>
      <c r="K463" s="5">
        <f t="shared" si="143"/>
        <v>3000</v>
      </c>
      <c r="L463" s="5">
        <f t="shared" si="144"/>
        <v>3000</v>
      </c>
      <c r="M463" s="5">
        <f t="shared" si="145"/>
        <v>3000</v>
      </c>
      <c r="N463" s="5">
        <f t="shared" ref="N463:N491" si="160">N462-Q463</f>
        <v>-869</v>
      </c>
      <c r="O463" s="5">
        <f t="shared" ref="O463:O491" si="161">O462-R463</f>
        <v>-1052</v>
      </c>
      <c r="P463" s="5">
        <f t="shared" ref="P463:P491" si="162">P462-S463</f>
        <v>-884</v>
      </c>
      <c r="Q463" s="4">
        <v>3</v>
      </c>
      <c r="R463" s="4">
        <v>8</v>
      </c>
      <c r="S463" s="4">
        <v>3</v>
      </c>
      <c r="T463" s="6">
        <f t="shared" si="157"/>
        <v>967</v>
      </c>
      <c r="U463" s="7">
        <f t="shared" si="148"/>
        <v>2311</v>
      </c>
      <c r="V463" s="7">
        <f t="shared" si="149"/>
        <v>1948</v>
      </c>
      <c r="W463" s="7">
        <f t="shared" si="147"/>
        <v>2606</v>
      </c>
      <c r="X463" s="6"/>
      <c r="Y463" s="5"/>
      <c r="Z463" s="5"/>
      <c r="AA463" s="5"/>
      <c r="AB463" s="5"/>
    </row>
    <row r="464" spans="1:28" ht="13.15" customHeight="1">
      <c r="A464" s="9">
        <f t="shared" si="146"/>
        <v>450</v>
      </c>
      <c r="B464" s="10">
        <f t="shared" si="158"/>
        <v>45720</v>
      </c>
      <c r="C464" s="9">
        <f t="shared" si="159"/>
        <v>842</v>
      </c>
      <c r="D464" s="8">
        <f t="shared" si="150"/>
        <v>2075</v>
      </c>
      <c r="E464" s="4">
        <f t="shared" si="151"/>
        <v>788</v>
      </c>
      <c r="F464" s="4">
        <f t="shared" si="152"/>
        <v>977</v>
      </c>
      <c r="G464" s="4">
        <f t="shared" si="153"/>
        <v>802</v>
      </c>
      <c r="H464" s="5">
        <f t="shared" si="154"/>
        <v>2129</v>
      </c>
      <c r="I464" s="5">
        <f t="shared" si="155"/>
        <v>1940</v>
      </c>
      <c r="J464" s="5">
        <f t="shared" si="156"/>
        <v>2115</v>
      </c>
      <c r="K464" s="5">
        <f t="shared" si="143"/>
        <v>3000</v>
      </c>
      <c r="L464" s="5">
        <f t="shared" si="144"/>
        <v>3000</v>
      </c>
      <c r="M464" s="5">
        <f t="shared" si="145"/>
        <v>3000</v>
      </c>
      <c r="N464" s="5">
        <f t="shared" si="160"/>
        <v>-871</v>
      </c>
      <c r="O464" s="5">
        <f t="shared" si="161"/>
        <v>-1060</v>
      </c>
      <c r="P464" s="5">
        <f t="shared" si="162"/>
        <v>-885</v>
      </c>
      <c r="Q464" s="4">
        <v>2</v>
      </c>
      <c r="R464" s="4">
        <v>8</v>
      </c>
      <c r="S464" s="4">
        <v>1</v>
      </c>
      <c r="T464" s="6">
        <f t="shared" si="157"/>
        <v>977</v>
      </c>
      <c r="U464" s="7">
        <f t="shared" si="148"/>
        <v>2309</v>
      </c>
      <c r="V464" s="7">
        <f t="shared" si="149"/>
        <v>1940</v>
      </c>
      <c r="W464" s="7">
        <f t="shared" si="147"/>
        <v>2605</v>
      </c>
      <c r="X464" s="6"/>
      <c r="Y464" s="5"/>
      <c r="Z464" s="5"/>
      <c r="AA464" s="5"/>
      <c r="AB464" s="5"/>
    </row>
    <row r="465" spans="1:28" ht="13.15" customHeight="1">
      <c r="A465" s="9">
        <f t="shared" si="146"/>
        <v>451</v>
      </c>
      <c r="B465" s="10">
        <f t="shared" si="158"/>
        <v>45721</v>
      </c>
      <c r="C465" s="9">
        <f t="shared" si="159"/>
        <v>842</v>
      </c>
      <c r="D465" s="8">
        <f t="shared" si="150"/>
        <v>2077</v>
      </c>
      <c r="E465" s="4">
        <f t="shared" si="151"/>
        <v>794</v>
      </c>
      <c r="F465" s="4">
        <f t="shared" si="152"/>
        <v>986</v>
      </c>
      <c r="G465" s="4">
        <f t="shared" si="153"/>
        <v>806</v>
      </c>
      <c r="H465" s="5">
        <f t="shared" si="154"/>
        <v>2125</v>
      </c>
      <c r="I465" s="5">
        <f t="shared" si="155"/>
        <v>1933</v>
      </c>
      <c r="J465" s="5">
        <f t="shared" si="156"/>
        <v>2113</v>
      </c>
      <c r="K465" s="5">
        <f t="shared" si="143"/>
        <v>3000</v>
      </c>
      <c r="L465" s="5">
        <f t="shared" si="144"/>
        <v>3000</v>
      </c>
      <c r="M465" s="5">
        <f t="shared" si="145"/>
        <v>3000</v>
      </c>
      <c r="N465" s="5">
        <f t="shared" si="160"/>
        <v>-875</v>
      </c>
      <c r="O465" s="5">
        <f t="shared" si="161"/>
        <v>-1067</v>
      </c>
      <c r="P465" s="5">
        <f t="shared" si="162"/>
        <v>-887</v>
      </c>
      <c r="Q465" s="4">
        <v>4</v>
      </c>
      <c r="R465" s="4">
        <v>7</v>
      </c>
      <c r="S465" s="4">
        <v>2</v>
      </c>
      <c r="T465" s="6">
        <f t="shared" si="157"/>
        <v>986</v>
      </c>
      <c r="U465" s="7">
        <f t="shared" si="148"/>
        <v>2305</v>
      </c>
      <c r="V465" s="7">
        <f t="shared" si="149"/>
        <v>1933</v>
      </c>
      <c r="W465" s="7">
        <f t="shared" si="147"/>
        <v>2603</v>
      </c>
      <c r="X465" s="6"/>
      <c r="Y465" s="5"/>
      <c r="Z465" s="5"/>
      <c r="AA465" s="5"/>
      <c r="AB465" s="5"/>
    </row>
    <row r="466" spans="1:28" ht="13.15" customHeight="1">
      <c r="A466" s="9">
        <f t="shared" si="146"/>
        <v>452</v>
      </c>
      <c r="B466" s="10">
        <f t="shared" si="158"/>
        <v>45722</v>
      </c>
      <c r="C466" s="9">
        <f t="shared" si="159"/>
        <v>842</v>
      </c>
      <c r="D466" s="8">
        <f t="shared" si="150"/>
        <v>2079</v>
      </c>
      <c r="E466" s="4">
        <f t="shared" si="151"/>
        <v>799</v>
      </c>
      <c r="F466" s="4">
        <f t="shared" si="152"/>
        <v>995</v>
      </c>
      <c r="G466" s="4">
        <f t="shared" si="153"/>
        <v>810</v>
      </c>
      <c r="H466" s="5">
        <f t="shared" si="154"/>
        <v>2122</v>
      </c>
      <c r="I466" s="5">
        <f t="shared" si="155"/>
        <v>1926</v>
      </c>
      <c r="J466" s="5">
        <f t="shared" si="156"/>
        <v>2111</v>
      </c>
      <c r="K466" s="5">
        <f t="shared" si="143"/>
        <v>3000</v>
      </c>
      <c r="L466" s="5">
        <f t="shared" si="144"/>
        <v>3000</v>
      </c>
      <c r="M466" s="5">
        <f t="shared" si="145"/>
        <v>3000</v>
      </c>
      <c r="N466" s="5">
        <f t="shared" si="160"/>
        <v>-878</v>
      </c>
      <c r="O466" s="5">
        <f t="shared" si="161"/>
        <v>-1074</v>
      </c>
      <c r="P466" s="5">
        <f t="shared" si="162"/>
        <v>-889</v>
      </c>
      <c r="Q466" s="4">
        <v>3</v>
      </c>
      <c r="R466" s="4">
        <v>7</v>
      </c>
      <c r="S466" s="4">
        <v>2</v>
      </c>
      <c r="T466" s="6">
        <f t="shared" si="157"/>
        <v>995</v>
      </c>
      <c r="U466" s="7">
        <f t="shared" si="148"/>
        <v>2302</v>
      </c>
      <c r="V466" s="7">
        <f t="shared" si="149"/>
        <v>1926</v>
      </c>
      <c r="W466" s="7">
        <f t="shared" si="147"/>
        <v>2601</v>
      </c>
      <c r="X466" s="6"/>
      <c r="Y466" s="5"/>
      <c r="Z466" s="5"/>
      <c r="AA466" s="5"/>
      <c r="AB466" s="5"/>
    </row>
    <row r="467" spans="1:28" ht="13.15" customHeight="1">
      <c r="A467" s="9">
        <f t="shared" si="146"/>
        <v>453</v>
      </c>
      <c r="B467" s="10">
        <f t="shared" si="158"/>
        <v>45723</v>
      </c>
      <c r="C467" s="9">
        <f t="shared" si="159"/>
        <v>842</v>
      </c>
      <c r="D467" s="8">
        <f t="shared" si="150"/>
        <v>2081</v>
      </c>
      <c r="E467" s="4">
        <f t="shared" si="151"/>
        <v>805</v>
      </c>
      <c r="F467" s="4">
        <f t="shared" si="152"/>
        <v>1006</v>
      </c>
      <c r="G467" s="4">
        <f t="shared" si="153"/>
        <v>813</v>
      </c>
      <c r="H467" s="5">
        <f t="shared" si="154"/>
        <v>2118</v>
      </c>
      <c r="I467" s="5">
        <f t="shared" si="155"/>
        <v>1917</v>
      </c>
      <c r="J467" s="5">
        <f t="shared" si="156"/>
        <v>2110</v>
      </c>
      <c r="K467" s="5">
        <f t="shared" si="143"/>
        <v>3000</v>
      </c>
      <c r="L467" s="5">
        <f t="shared" si="144"/>
        <v>3000</v>
      </c>
      <c r="M467" s="5">
        <f t="shared" si="145"/>
        <v>3000</v>
      </c>
      <c r="N467" s="5">
        <f t="shared" si="160"/>
        <v>-882</v>
      </c>
      <c r="O467" s="5">
        <f t="shared" si="161"/>
        <v>-1083</v>
      </c>
      <c r="P467" s="5">
        <f t="shared" si="162"/>
        <v>-890</v>
      </c>
      <c r="Q467" s="4">
        <v>4</v>
      </c>
      <c r="R467" s="4">
        <v>9</v>
      </c>
      <c r="S467" s="4">
        <v>1</v>
      </c>
      <c r="T467" s="6">
        <f t="shared" si="157"/>
        <v>1006</v>
      </c>
      <c r="U467" s="7">
        <f t="shared" si="148"/>
        <v>2298</v>
      </c>
      <c r="V467" s="7">
        <f t="shared" si="149"/>
        <v>1917</v>
      </c>
      <c r="W467" s="7">
        <f t="shared" si="147"/>
        <v>2600</v>
      </c>
      <c r="X467" s="6"/>
      <c r="Y467" s="5"/>
      <c r="Z467" s="5"/>
      <c r="AA467" s="5"/>
      <c r="AB467" s="5"/>
    </row>
    <row r="468" spans="1:28" ht="13.15" customHeight="1">
      <c r="A468" s="9">
        <f t="shared" si="146"/>
        <v>454</v>
      </c>
      <c r="B468" s="10">
        <f t="shared" si="158"/>
        <v>45724</v>
      </c>
      <c r="C468" s="9">
        <f t="shared" si="159"/>
        <v>842</v>
      </c>
      <c r="D468" s="8">
        <f t="shared" si="150"/>
        <v>2083</v>
      </c>
      <c r="E468" s="4">
        <f t="shared" si="151"/>
        <v>814</v>
      </c>
      <c r="F468" s="4">
        <f t="shared" si="152"/>
        <v>1016</v>
      </c>
      <c r="G468" s="4">
        <f t="shared" si="153"/>
        <v>817</v>
      </c>
      <c r="H468" s="5">
        <f t="shared" si="154"/>
        <v>2111</v>
      </c>
      <c r="I468" s="5">
        <f t="shared" si="155"/>
        <v>1909</v>
      </c>
      <c r="J468" s="5">
        <f t="shared" si="156"/>
        <v>2108</v>
      </c>
      <c r="K468" s="5">
        <f t="shared" si="143"/>
        <v>3000</v>
      </c>
      <c r="L468" s="5">
        <f t="shared" si="144"/>
        <v>3000</v>
      </c>
      <c r="M468" s="5">
        <f t="shared" si="145"/>
        <v>3000</v>
      </c>
      <c r="N468" s="5">
        <f t="shared" si="160"/>
        <v>-889</v>
      </c>
      <c r="O468" s="5">
        <f t="shared" si="161"/>
        <v>-1091</v>
      </c>
      <c r="P468" s="5">
        <f t="shared" si="162"/>
        <v>-892</v>
      </c>
      <c r="Q468" s="4">
        <v>7</v>
      </c>
      <c r="R468" s="4">
        <v>8</v>
      </c>
      <c r="S468" s="4">
        <v>2</v>
      </c>
      <c r="T468" s="6">
        <f t="shared" si="157"/>
        <v>1016</v>
      </c>
      <c r="U468" s="7">
        <f t="shared" si="148"/>
        <v>2291</v>
      </c>
      <c r="V468" s="7">
        <f t="shared" si="149"/>
        <v>1909</v>
      </c>
      <c r="W468" s="7">
        <f t="shared" si="147"/>
        <v>2598</v>
      </c>
      <c r="X468" s="6"/>
      <c r="Y468" s="5"/>
      <c r="Z468" s="5"/>
      <c r="AA468" s="5"/>
      <c r="AB468" s="5"/>
    </row>
    <row r="469" spans="1:28" ht="13.15" customHeight="1">
      <c r="A469" s="9">
        <f t="shared" si="146"/>
        <v>455</v>
      </c>
      <c r="B469" s="10">
        <f t="shared" si="158"/>
        <v>45725</v>
      </c>
      <c r="C469" s="9">
        <f t="shared" si="159"/>
        <v>842</v>
      </c>
      <c r="D469" s="8">
        <f t="shared" si="150"/>
        <v>2085</v>
      </c>
      <c r="E469" s="4">
        <f t="shared" si="151"/>
        <v>821</v>
      </c>
      <c r="F469" s="4">
        <f t="shared" si="152"/>
        <v>1026</v>
      </c>
      <c r="G469" s="4">
        <f t="shared" si="153"/>
        <v>821</v>
      </c>
      <c r="H469" s="5">
        <f t="shared" si="154"/>
        <v>2106</v>
      </c>
      <c r="I469" s="5">
        <f t="shared" si="155"/>
        <v>1901</v>
      </c>
      <c r="J469" s="5">
        <f t="shared" si="156"/>
        <v>2106</v>
      </c>
      <c r="K469" s="5">
        <f t="shared" ref="K469:K491" si="163">K468</f>
        <v>3000</v>
      </c>
      <c r="L469" s="5">
        <f t="shared" ref="L469:L491" si="164">L468</f>
        <v>3000</v>
      </c>
      <c r="M469" s="5">
        <f t="shared" ref="M469:M491" si="165">M468</f>
        <v>3000</v>
      </c>
      <c r="N469" s="5">
        <f t="shared" si="160"/>
        <v>-894</v>
      </c>
      <c r="O469" s="5">
        <f t="shared" si="161"/>
        <v>-1099</v>
      </c>
      <c r="P469" s="5">
        <f t="shared" si="162"/>
        <v>-894</v>
      </c>
      <c r="Q469" s="4">
        <v>5</v>
      </c>
      <c r="R469" s="4">
        <v>8</v>
      </c>
      <c r="S469" s="4">
        <v>2</v>
      </c>
      <c r="T469" s="6">
        <f t="shared" si="157"/>
        <v>1026</v>
      </c>
      <c r="U469" s="7">
        <f t="shared" si="148"/>
        <v>2286</v>
      </c>
      <c r="V469" s="7">
        <f t="shared" si="149"/>
        <v>1901</v>
      </c>
      <c r="W469" s="7">
        <f t="shared" si="147"/>
        <v>2596</v>
      </c>
      <c r="X469" s="6"/>
      <c r="Y469" s="5"/>
      <c r="Z469" s="5"/>
      <c r="AA469" s="5"/>
      <c r="AB469" s="5"/>
    </row>
    <row r="470" spans="1:28" ht="13.15" customHeight="1">
      <c r="A470" s="9">
        <f t="shared" si="146"/>
        <v>456</v>
      </c>
      <c r="B470" s="10">
        <f t="shared" si="158"/>
        <v>45726</v>
      </c>
      <c r="C470" s="9">
        <f t="shared" si="159"/>
        <v>842</v>
      </c>
      <c r="D470" s="8">
        <f t="shared" si="150"/>
        <v>2087</v>
      </c>
      <c r="E470" s="4">
        <f t="shared" si="151"/>
        <v>828</v>
      </c>
      <c r="F470" s="4">
        <f t="shared" si="152"/>
        <v>1035</v>
      </c>
      <c r="G470" s="4">
        <f t="shared" si="153"/>
        <v>825</v>
      </c>
      <c r="H470" s="5">
        <f t="shared" si="154"/>
        <v>2101</v>
      </c>
      <c r="I470" s="5">
        <f t="shared" si="155"/>
        <v>1894</v>
      </c>
      <c r="J470" s="5">
        <f t="shared" si="156"/>
        <v>2104</v>
      </c>
      <c r="K470" s="5">
        <f t="shared" si="163"/>
        <v>3000</v>
      </c>
      <c r="L470" s="5">
        <f t="shared" si="164"/>
        <v>3000</v>
      </c>
      <c r="M470" s="5">
        <f t="shared" si="165"/>
        <v>3000</v>
      </c>
      <c r="N470" s="5">
        <f t="shared" si="160"/>
        <v>-899</v>
      </c>
      <c r="O470" s="5">
        <f t="shared" si="161"/>
        <v>-1106</v>
      </c>
      <c r="P470" s="5">
        <f t="shared" si="162"/>
        <v>-896</v>
      </c>
      <c r="Q470" s="4">
        <v>5</v>
      </c>
      <c r="R470" s="4">
        <v>7</v>
      </c>
      <c r="S470" s="4">
        <v>2</v>
      </c>
      <c r="T470" s="6">
        <f t="shared" si="157"/>
        <v>1035</v>
      </c>
      <c r="U470" s="7">
        <f t="shared" si="148"/>
        <v>2281</v>
      </c>
      <c r="V470" s="7">
        <f t="shared" si="149"/>
        <v>1894</v>
      </c>
      <c r="W470" s="7">
        <f t="shared" si="147"/>
        <v>2594</v>
      </c>
      <c r="X470" s="6"/>
      <c r="Y470" s="5"/>
      <c r="Z470" s="5"/>
      <c r="AA470" s="5"/>
      <c r="AB470" s="5"/>
    </row>
    <row r="471" spans="1:28" ht="13.15" customHeight="1">
      <c r="A471" s="9">
        <f t="shared" ref="A471:A491" si="166">+A470+1</f>
        <v>457</v>
      </c>
      <c r="B471" s="10">
        <f t="shared" si="158"/>
        <v>45727</v>
      </c>
      <c r="C471" s="9">
        <f t="shared" si="159"/>
        <v>842</v>
      </c>
      <c r="D471" s="8">
        <f t="shared" si="150"/>
        <v>2089</v>
      </c>
      <c r="E471" s="4">
        <f t="shared" si="151"/>
        <v>834</v>
      </c>
      <c r="F471" s="4">
        <f t="shared" si="152"/>
        <v>1044</v>
      </c>
      <c r="G471" s="4">
        <f t="shared" si="153"/>
        <v>829</v>
      </c>
      <c r="H471" s="5">
        <f t="shared" si="154"/>
        <v>2097</v>
      </c>
      <c r="I471" s="5">
        <f t="shared" si="155"/>
        <v>1887</v>
      </c>
      <c r="J471" s="5">
        <f t="shared" si="156"/>
        <v>2102</v>
      </c>
      <c r="K471" s="5">
        <f t="shared" si="163"/>
        <v>3000</v>
      </c>
      <c r="L471" s="5">
        <f t="shared" si="164"/>
        <v>3000</v>
      </c>
      <c r="M471" s="5">
        <f t="shared" si="165"/>
        <v>3000</v>
      </c>
      <c r="N471" s="5">
        <f t="shared" si="160"/>
        <v>-903</v>
      </c>
      <c r="O471" s="5">
        <f t="shared" si="161"/>
        <v>-1113</v>
      </c>
      <c r="P471" s="5">
        <f t="shared" si="162"/>
        <v>-898</v>
      </c>
      <c r="Q471" s="4">
        <v>4</v>
      </c>
      <c r="R471" s="4">
        <v>7</v>
      </c>
      <c r="S471" s="4">
        <v>2</v>
      </c>
      <c r="T471" s="6">
        <f t="shared" si="157"/>
        <v>1044</v>
      </c>
      <c r="U471" s="7">
        <f t="shared" si="148"/>
        <v>2277</v>
      </c>
      <c r="V471" s="7">
        <f t="shared" si="149"/>
        <v>1887</v>
      </c>
      <c r="W471" s="7">
        <f t="shared" si="147"/>
        <v>2592</v>
      </c>
      <c r="X471" s="6"/>
      <c r="Y471" s="5"/>
      <c r="Z471" s="5"/>
      <c r="AA471" s="5"/>
      <c r="AB471" s="5"/>
    </row>
    <row r="472" spans="1:28" ht="13.15" customHeight="1">
      <c r="A472" s="9">
        <f t="shared" si="166"/>
        <v>458</v>
      </c>
      <c r="B472" s="10">
        <f t="shared" si="158"/>
        <v>45728</v>
      </c>
      <c r="C472" s="9">
        <f t="shared" si="159"/>
        <v>842</v>
      </c>
      <c r="D472" s="8">
        <f t="shared" si="150"/>
        <v>2091</v>
      </c>
      <c r="E472" s="4">
        <f t="shared" si="151"/>
        <v>839</v>
      </c>
      <c r="F472" s="4">
        <f t="shared" si="152"/>
        <v>1052</v>
      </c>
      <c r="G472" s="4">
        <f t="shared" si="153"/>
        <v>832</v>
      </c>
      <c r="H472" s="5">
        <f t="shared" si="154"/>
        <v>2094</v>
      </c>
      <c r="I472" s="5">
        <f t="shared" si="155"/>
        <v>1881</v>
      </c>
      <c r="J472" s="5">
        <f t="shared" si="156"/>
        <v>2101</v>
      </c>
      <c r="K472" s="5">
        <f t="shared" si="163"/>
        <v>3000</v>
      </c>
      <c r="L472" s="5">
        <f t="shared" si="164"/>
        <v>3000</v>
      </c>
      <c r="M472" s="5">
        <f t="shared" si="165"/>
        <v>3000</v>
      </c>
      <c r="N472" s="5">
        <f t="shared" si="160"/>
        <v>-906</v>
      </c>
      <c r="O472" s="5">
        <f t="shared" si="161"/>
        <v>-1119</v>
      </c>
      <c r="P472" s="5">
        <f t="shared" si="162"/>
        <v>-899</v>
      </c>
      <c r="Q472" s="4">
        <v>3</v>
      </c>
      <c r="R472" s="4">
        <v>6</v>
      </c>
      <c r="S472" s="4">
        <v>1</v>
      </c>
      <c r="T472" s="6">
        <f t="shared" si="157"/>
        <v>1052</v>
      </c>
      <c r="U472" s="7">
        <f t="shared" si="148"/>
        <v>2274</v>
      </c>
      <c r="V472" s="7">
        <f t="shared" si="149"/>
        <v>1881</v>
      </c>
      <c r="W472" s="7">
        <f t="shared" si="147"/>
        <v>2591</v>
      </c>
      <c r="X472" s="6"/>
      <c r="Y472" s="5"/>
      <c r="Z472" s="5"/>
      <c r="AA472" s="5"/>
      <c r="AB472" s="5"/>
    </row>
    <row r="473" spans="1:28" ht="13.15" customHeight="1">
      <c r="A473" s="9">
        <f t="shared" si="166"/>
        <v>459</v>
      </c>
      <c r="B473" s="10">
        <f t="shared" si="158"/>
        <v>45729</v>
      </c>
      <c r="C473" s="9">
        <f t="shared" si="159"/>
        <v>842</v>
      </c>
      <c r="D473" s="8">
        <f t="shared" si="150"/>
        <v>2093</v>
      </c>
      <c r="E473" s="4">
        <f t="shared" si="151"/>
        <v>843</v>
      </c>
      <c r="F473" s="4">
        <f t="shared" si="152"/>
        <v>1062</v>
      </c>
      <c r="G473" s="4">
        <f t="shared" si="153"/>
        <v>836</v>
      </c>
      <c r="H473" s="5">
        <f t="shared" si="154"/>
        <v>2092</v>
      </c>
      <c r="I473" s="5">
        <f t="shared" si="155"/>
        <v>1873</v>
      </c>
      <c r="J473" s="5">
        <f t="shared" si="156"/>
        <v>2099</v>
      </c>
      <c r="K473" s="5">
        <f t="shared" si="163"/>
        <v>3000</v>
      </c>
      <c r="L473" s="5">
        <f t="shared" si="164"/>
        <v>3000</v>
      </c>
      <c r="M473" s="5">
        <f t="shared" si="165"/>
        <v>3000</v>
      </c>
      <c r="N473" s="5">
        <f t="shared" si="160"/>
        <v>-908</v>
      </c>
      <c r="O473" s="5">
        <f t="shared" si="161"/>
        <v>-1127</v>
      </c>
      <c r="P473" s="5">
        <f t="shared" si="162"/>
        <v>-901</v>
      </c>
      <c r="Q473" s="4">
        <v>2</v>
      </c>
      <c r="R473" s="4">
        <v>8</v>
      </c>
      <c r="S473" s="4">
        <v>2</v>
      </c>
      <c r="T473" s="6">
        <f t="shared" si="157"/>
        <v>1062</v>
      </c>
      <c r="U473" s="7">
        <f t="shared" si="148"/>
        <v>2272</v>
      </c>
      <c r="V473" s="7">
        <f t="shared" si="149"/>
        <v>1873</v>
      </c>
      <c r="W473" s="7">
        <f t="shared" si="147"/>
        <v>2589</v>
      </c>
      <c r="X473" s="6"/>
      <c r="Y473" s="5"/>
      <c r="Z473" s="5"/>
      <c r="AA473" s="5"/>
      <c r="AB473" s="5"/>
    </row>
    <row r="474" spans="1:28" ht="13.15" customHeight="1">
      <c r="A474" s="9">
        <f t="shared" si="166"/>
        <v>460</v>
      </c>
      <c r="B474" s="10">
        <f t="shared" si="158"/>
        <v>45730</v>
      </c>
      <c r="C474" s="9">
        <f t="shared" si="159"/>
        <v>842</v>
      </c>
      <c r="D474" s="8">
        <f t="shared" si="150"/>
        <v>2095</v>
      </c>
      <c r="E474" s="4">
        <f t="shared" si="151"/>
        <v>849</v>
      </c>
      <c r="F474" s="4">
        <f t="shared" si="152"/>
        <v>1071</v>
      </c>
      <c r="G474" s="4">
        <f t="shared" si="153"/>
        <v>839</v>
      </c>
      <c r="H474" s="5">
        <f t="shared" si="154"/>
        <v>2088</v>
      </c>
      <c r="I474" s="5">
        <f t="shared" si="155"/>
        <v>1866</v>
      </c>
      <c r="J474" s="5">
        <f t="shared" si="156"/>
        <v>2098</v>
      </c>
      <c r="K474" s="5">
        <f t="shared" si="163"/>
        <v>3000</v>
      </c>
      <c r="L474" s="5">
        <f t="shared" si="164"/>
        <v>3000</v>
      </c>
      <c r="M474" s="5">
        <f t="shared" si="165"/>
        <v>3000</v>
      </c>
      <c r="N474" s="5">
        <f t="shared" si="160"/>
        <v>-912</v>
      </c>
      <c r="O474" s="5">
        <f t="shared" si="161"/>
        <v>-1134</v>
      </c>
      <c r="P474" s="5">
        <f t="shared" si="162"/>
        <v>-902</v>
      </c>
      <c r="Q474" s="4">
        <v>4</v>
      </c>
      <c r="R474" s="4">
        <v>7</v>
      </c>
      <c r="S474" s="4">
        <v>1</v>
      </c>
      <c r="T474" s="6">
        <f t="shared" si="157"/>
        <v>1071</v>
      </c>
      <c r="U474" s="7">
        <f t="shared" si="148"/>
        <v>2268</v>
      </c>
      <c r="V474" s="7">
        <f t="shared" si="149"/>
        <v>1866</v>
      </c>
      <c r="W474" s="7">
        <f t="shared" si="147"/>
        <v>2588</v>
      </c>
      <c r="X474" s="6"/>
      <c r="Y474" s="5"/>
      <c r="Z474" s="5"/>
      <c r="AA474" s="5"/>
      <c r="AB474" s="5"/>
    </row>
    <row r="475" spans="1:28" ht="13.15" customHeight="1">
      <c r="A475" s="9">
        <f t="shared" si="166"/>
        <v>461</v>
      </c>
      <c r="B475" s="10">
        <f t="shared" si="158"/>
        <v>45731</v>
      </c>
      <c r="C475" s="9">
        <f t="shared" si="159"/>
        <v>842</v>
      </c>
      <c r="D475" s="8">
        <f t="shared" si="150"/>
        <v>2097</v>
      </c>
      <c r="E475" s="4">
        <f t="shared" si="151"/>
        <v>854</v>
      </c>
      <c r="F475" s="4">
        <f t="shared" si="152"/>
        <v>1082</v>
      </c>
      <c r="G475" s="4">
        <f t="shared" si="153"/>
        <v>842</v>
      </c>
      <c r="H475" s="5">
        <f t="shared" si="154"/>
        <v>2085</v>
      </c>
      <c r="I475" s="5">
        <f t="shared" si="155"/>
        <v>1857</v>
      </c>
      <c r="J475" s="5">
        <f t="shared" si="156"/>
        <v>2097</v>
      </c>
      <c r="K475" s="5">
        <f t="shared" si="163"/>
        <v>3000</v>
      </c>
      <c r="L475" s="5">
        <f t="shared" si="164"/>
        <v>3000</v>
      </c>
      <c r="M475" s="5">
        <f t="shared" si="165"/>
        <v>3000</v>
      </c>
      <c r="N475" s="5">
        <f t="shared" si="160"/>
        <v>-915</v>
      </c>
      <c r="O475" s="5">
        <f t="shared" si="161"/>
        <v>-1143</v>
      </c>
      <c r="P475" s="5">
        <f t="shared" si="162"/>
        <v>-903</v>
      </c>
      <c r="Q475" s="4">
        <v>3</v>
      </c>
      <c r="R475" s="4">
        <v>9</v>
      </c>
      <c r="S475" s="4">
        <v>1</v>
      </c>
      <c r="T475" s="6">
        <f t="shared" si="157"/>
        <v>1082</v>
      </c>
      <c r="U475" s="7">
        <f t="shared" si="148"/>
        <v>2265</v>
      </c>
      <c r="V475" s="7">
        <f t="shared" si="149"/>
        <v>1857</v>
      </c>
      <c r="W475" s="7">
        <f t="shared" si="147"/>
        <v>2587</v>
      </c>
      <c r="X475" s="6"/>
      <c r="Y475" s="5"/>
      <c r="Z475" s="5"/>
      <c r="AA475" s="5"/>
      <c r="AB475" s="5"/>
    </row>
    <row r="476" spans="1:28" ht="13.15" customHeight="1">
      <c r="A476" s="9">
        <f t="shared" si="166"/>
        <v>462</v>
      </c>
      <c r="B476" s="10">
        <f t="shared" si="158"/>
        <v>45732</v>
      </c>
      <c r="C476" s="9">
        <f t="shared" si="159"/>
        <v>842</v>
      </c>
      <c r="D476" s="8">
        <f t="shared" si="150"/>
        <v>2099</v>
      </c>
      <c r="E476" s="4">
        <f t="shared" si="151"/>
        <v>858</v>
      </c>
      <c r="F476" s="4">
        <f t="shared" si="152"/>
        <v>1092</v>
      </c>
      <c r="G476" s="4">
        <f t="shared" si="153"/>
        <v>847</v>
      </c>
      <c r="H476" s="5">
        <f t="shared" si="154"/>
        <v>2083</v>
      </c>
      <c r="I476" s="5">
        <f t="shared" si="155"/>
        <v>1849</v>
      </c>
      <c r="J476" s="5">
        <f t="shared" si="156"/>
        <v>2094</v>
      </c>
      <c r="K476" s="5">
        <f t="shared" si="163"/>
        <v>3000</v>
      </c>
      <c r="L476" s="5">
        <f t="shared" si="164"/>
        <v>3000</v>
      </c>
      <c r="M476" s="5">
        <f t="shared" si="165"/>
        <v>3000</v>
      </c>
      <c r="N476" s="5">
        <f t="shared" si="160"/>
        <v>-917</v>
      </c>
      <c r="O476" s="5">
        <f t="shared" si="161"/>
        <v>-1151</v>
      </c>
      <c r="P476" s="5">
        <f t="shared" si="162"/>
        <v>-906</v>
      </c>
      <c r="Q476" s="4">
        <v>2</v>
      </c>
      <c r="R476" s="4">
        <v>8</v>
      </c>
      <c r="S476" s="4">
        <v>3</v>
      </c>
      <c r="T476" s="6">
        <f t="shared" si="157"/>
        <v>1092</v>
      </c>
      <c r="U476" s="7">
        <f t="shared" si="148"/>
        <v>2263</v>
      </c>
      <c r="V476" s="7">
        <f t="shared" si="149"/>
        <v>1849</v>
      </c>
      <c r="W476" s="7">
        <f t="shared" si="147"/>
        <v>2584</v>
      </c>
      <c r="X476" s="6"/>
      <c r="Y476" s="5"/>
      <c r="Z476" s="5"/>
      <c r="AA476" s="5"/>
      <c r="AB476" s="5"/>
    </row>
    <row r="477" spans="1:28" ht="13.15" customHeight="1">
      <c r="A477" s="9">
        <f t="shared" si="166"/>
        <v>463</v>
      </c>
      <c r="B477" s="10">
        <f t="shared" si="158"/>
        <v>45733</v>
      </c>
      <c r="C477" s="9">
        <f t="shared" si="159"/>
        <v>842</v>
      </c>
      <c r="D477" s="8">
        <f t="shared" si="150"/>
        <v>2101</v>
      </c>
      <c r="E477" s="4">
        <f t="shared" si="151"/>
        <v>864</v>
      </c>
      <c r="F477" s="4">
        <f t="shared" si="152"/>
        <v>1101</v>
      </c>
      <c r="G477" s="4">
        <f t="shared" si="153"/>
        <v>850</v>
      </c>
      <c r="H477" s="5">
        <f t="shared" si="154"/>
        <v>2079</v>
      </c>
      <c r="I477" s="5">
        <f t="shared" si="155"/>
        <v>1842</v>
      </c>
      <c r="J477" s="5">
        <f t="shared" si="156"/>
        <v>2093</v>
      </c>
      <c r="K477" s="5">
        <f t="shared" si="163"/>
        <v>3000</v>
      </c>
      <c r="L477" s="5">
        <f t="shared" si="164"/>
        <v>3000</v>
      </c>
      <c r="M477" s="5">
        <f t="shared" si="165"/>
        <v>3000</v>
      </c>
      <c r="N477" s="5">
        <f t="shared" si="160"/>
        <v>-921</v>
      </c>
      <c r="O477" s="5">
        <f t="shared" si="161"/>
        <v>-1158</v>
      </c>
      <c r="P477" s="5">
        <f t="shared" si="162"/>
        <v>-907</v>
      </c>
      <c r="Q477" s="4">
        <v>4</v>
      </c>
      <c r="R477" s="4">
        <v>7</v>
      </c>
      <c r="S477" s="4">
        <v>1</v>
      </c>
      <c r="T477" s="6">
        <f t="shared" si="157"/>
        <v>1101</v>
      </c>
      <c r="U477" s="7">
        <f t="shared" si="148"/>
        <v>2259</v>
      </c>
      <c r="V477" s="7">
        <f t="shared" si="149"/>
        <v>1842</v>
      </c>
      <c r="W477" s="7">
        <f t="shared" si="147"/>
        <v>2583</v>
      </c>
      <c r="X477" s="6"/>
      <c r="Y477" s="5"/>
      <c r="Z477" s="5"/>
      <c r="AA477" s="5"/>
      <c r="AB477" s="5"/>
    </row>
    <row r="478" spans="1:28" ht="13.15" customHeight="1">
      <c r="A478" s="9">
        <f t="shared" si="166"/>
        <v>464</v>
      </c>
      <c r="B478" s="10">
        <f t="shared" si="158"/>
        <v>45734</v>
      </c>
      <c r="C478" s="9">
        <f t="shared" si="159"/>
        <v>842</v>
      </c>
      <c r="D478" s="8">
        <f t="shared" si="150"/>
        <v>2103</v>
      </c>
      <c r="E478" s="4">
        <f t="shared" si="151"/>
        <v>868</v>
      </c>
      <c r="F478" s="4">
        <f t="shared" si="152"/>
        <v>1110</v>
      </c>
      <c r="G478" s="4">
        <f t="shared" si="153"/>
        <v>854</v>
      </c>
      <c r="H478" s="5">
        <f t="shared" si="154"/>
        <v>2077</v>
      </c>
      <c r="I478" s="5">
        <f t="shared" si="155"/>
        <v>1835</v>
      </c>
      <c r="J478" s="5">
        <f t="shared" si="156"/>
        <v>2091</v>
      </c>
      <c r="K478" s="5">
        <f t="shared" si="163"/>
        <v>3000</v>
      </c>
      <c r="L478" s="5">
        <f t="shared" si="164"/>
        <v>3000</v>
      </c>
      <c r="M478" s="5">
        <f t="shared" si="165"/>
        <v>3000</v>
      </c>
      <c r="N478" s="5">
        <f t="shared" si="160"/>
        <v>-923</v>
      </c>
      <c r="O478" s="5">
        <f t="shared" si="161"/>
        <v>-1165</v>
      </c>
      <c r="P478" s="5">
        <f t="shared" si="162"/>
        <v>-909</v>
      </c>
      <c r="Q478" s="4">
        <v>2</v>
      </c>
      <c r="R478" s="4">
        <v>7</v>
      </c>
      <c r="S478" s="4">
        <v>2</v>
      </c>
      <c r="T478" s="6">
        <f t="shared" si="157"/>
        <v>1110</v>
      </c>
      <c r="U478" s="7">
        <f t="shared" si="148"/>
        <v>2257</v>
      </c>
      <c r="V478" s="7">
        <f t="shared" si="149"/>
        <v>1835</v>
      </c>
      <c r="W478" s="7">
        <f t="shared" si="147"/>
        <v>2581</v>
      </c>
      <c r="X478" s="6"/>
      <c r="Y478" s="5"/>
      <c r="Z478" s="5"/>
      <c r="AA478" s="5"/>
      <c r="AB478" s="5"/>
    </row>
    <row r="479" spans="1:28" ht="13.15" customHeight="1">
      <c r="A479" s="9">
        <f t="shared" si="166"/>
        <v>465</v>
      </c>
      <c r="B479" s="10">
        <f t="shared" si="158"/>
        <v>45735</v>
      </c>
      <c r="C479" s="9">
        <f t="shared" si="159"/>
        <v>842</v>
      </c>
      <c r="D479" s="8">
        <f t="shared" si="150"/>
        <v>2105</v>
      </c>
      <c r="E479" s="4">
        <f t="shared" si="151"/>
        <v>875</v>
      </c>
      <c r="F479" s="4">
        <f t="shared" si="152"/>
        <v>1119</v>
      </c>
      <c r="G479" s="4">
        <f t="shared" si="153"/>
        <v>857</v>
      </c>
      <c r="H479" s="5">
        <f t="shared" si="154"/>
        <v>2072</v>
      </c>
      <c r="I479" s="5">
        <f t="shared" si="155"/>
        <v>1828</v>
      </c>
      <c r="J479" s="5">
        <f t="shared" si="156"/>
        <v>2090</v>
      </c>
      <c r="K479" s="5">
        <f t="shared" si="163"/>
        <v>3000</v>
      </c>
      <c r="L479" s="5">
        <f t="shared" si="164"/>
        <v>3000</v>
      </c>
      <c r="M479" s="5">
        <f t="shared" si="165"/>
        <v>3000</v>
      </c>
      <c r="N479" s="5">
        <f t="shared" si="160"/>
        <v>-928</v>
      </c>
      <c r="O479" s="5">
        <f t="shared" si="161"/>
        <v>-1172</v>
      </c>
      <c r="P479" s="5">
        <f t="shared" si="162"/>
        <v>-910</v>
      </c>
      <c r="Q479" s="4">
        <v>5</v>
      </c>
      <c r="R479" s="4">
        <v>7</v>
      </c>
      <c r="S479" s="4">
        <v>1</v>
      </c>
      <c r="T479" s="6">
        <f t="shared" si="157"/>
        <v>1119</v>
      </c>
      <c r="U479" s="7">
        <f t="shared" si="148"/>
        <v>2252</v>
      </c>
      <c r="V479" s="7">
        <f t="shared" si="149"/>
        <v>1828</v>
      </c>
      <c r="W479" s="7">
        <f t="shared" si="147"/>
        <v>2580</v>
      </c>
      <c r="X479" s="6"/>
      <c r="Y479" s="5"/>
      <c r="Z479" s="5"/>
      <c r="AA479" s="5"/>
      <c r="AB479" s="5"/>
    </row>
    <row r="480" spans="1:28" ht="13.15" customHeight="1">
      <c r="A480" s="9">
        <f t="shared" si="166"/>
        <v>466</v>
      </c>
      <c r="B480" s="10">
        <f t="shared" si="158"/>
        <v>45736</v>
      </c>
      <c r="C480" s="9">
        <f t="shared" si="159"/>
        <v>842</v>
      </c>
      <c r="D480" s="8">
        <f t="shared" si="150"/>
        <v>2107</v>
      </c>
      <c r="E480" s="4">
        <f t="shared" si="151"/>
        <v>882</v>
      </c>
      <c r="F480" s="4">
        <f t="shared" si="152"/>
        <v>1126</v>
      </c>
      <c r="G480" s="4">
        <f t="shared" si="153"/>
        <v>861</v>
      </c>
      <c r="H480" s="5">
        <f t="shared" si="154"/>
        <v>2067</v>
      </c>
      <c r="I480" s="5">
        <f t="shared" si="155"/>
        <v>1823</v>
      </c>
      <c r="J480" s="5">
        <f t="shared" si="156"/>
        <v>2088</v>
      </c>
      <c r="K480" s="5">
        <f t="shared" si="163"/>
        <v>3000</v>
      </c>
      <c r="L480" s="5">
        <f t="shared" si="164"/>
        <v>3000</v>
      </c>
      <c r="M480" s="5">
        <f t="shared" si="165"/>
        <v>3000</v>
      </c>
      <c r="N480" s="5">
        <f t="shared" si="160"/>
        <v>-933</v>
      </c>
      <c r="O480" s="5">
        <f t="shared" si="161"/>
        <v>-1177</v>
      </c>
      <c r="P480" s="5">
        <f t="shared" si="162"/>
        <v>-912</v>
      </c>
      <c r="Q480" s="4">
        <v>5</v>
      </c>
      <c r="R480" s="4">
        <v>5</v>
      </c>
      <c r="S480" s="4">
        <v>2</v>
      </c>
      <c r="T480" s="6">
        <f t="shared" si="157"/>
        <v>1126</v>
      </c>
      <c r="U480" s="7">
        <f t="shared" si="148"/>
        <v>2247</v>
      </c>
      <c r="V480" s="7">
        <f t="shared" si="149"/>
        <v>1823</v>
      </c>
      <c r="W480" s="7">
        <f t="shared" ref="W480:W491" si="167">W479+$X480*1000-S480</f>
        <v>2578</v>
      </c>
      <c r="X480" s="6"/>
      <c r="Y480" s="5"/>
      <c r="Z480" s="5"/>
      <c r="AA480" s="5"/>
      <c r="AB480" s="5"/>
    </row>
    <row r="481" spans="1:28" ht="13.15" customHeight="1">
      <c r="A481" s="9">
        <f t="shared" si="166"/>
        <v>467</v>
      </c>
      <c r="B481" s="10">
        <f t="shared" si="158"/>
        <v>45737</v>
      </c>
      <c r="C481" s="9">
        <f t="shared" si="159"/>
        <v>842</v>
      </c>
      <c r="D481" s="8">
        <f t="shared" si="150"/>
        <v>2109</v>
      </c>
      <c r="E481" s="4">
        <f t="shared" si="151"/>
        <v>888</v>
      </c>
      <c r="F481" s="4">
        <f t="shared" si="152"/>
        <v>1133</v>
      </c>
      <c r="G481" s="4">
        <f t="shared" si="153"/>
        <v>865</v>
      </c>
      <c r="H481" s="5">
        <f t="shared" si="154"/>
        <v>2063</v>
      </c>
      <c r="I481" s="5">
        <f t="shared" si="155"/>
        <v>1818</v>
      </c>
      <c r="J481" s="5">
        <f t="shared" si="156"/>
        <v>2086</v>
      </c>
      <c r="K481" s="5">
        <f t="shared" si="163"/>
        <v>3000</v>
      </c>
      <c r="L481" s="5">
        <f t="shared" si="164"/>
        <v>3000</v>
      </c>
      <c r="M481" s="5">
        <f t="shared" si="165"/>
        <v>3000</v>
      </c>
      <c r="N481" s="5">
        <f t="shared" si="160"/>
        <v>-937</v>
      </c>
      <c r="O481" s="5">
        <f t="shared" si="161"/>
        <v>-1182</v>
      </c>
      <c r="P481" s="5">
        <f t="shared" si="162"/>
        <v>-914</v>
      </c>
      <c r="Q481" s="4">
        <v>4</v>
      </c>
      <c r="R481" s="4">
        <v>5</v>
      </c>
      <c r="S481" s="4">
        <v>2</v>
      </c>
      <c r="T481" s="6">
        <f t="shared" si="157"/>
        <v>1133</v>
      </c>
      <c r="U481" s="7">
        <f t="shared" si="148"/>
        <v>2243</v>
      </c>
      <c r="V481" s="7">
        <f t="shared" si="149"/>
        <v>1818</v>
      </c>
      <c r="W481" s="7">
        <f t="shared" si="167"/>
        <v>2576</v>
      </c>
      <c r="X481" s="6"/>
      <c r="Y481" s="5"/>
      <c r="Z481" s="5"/>
      <c r="AA481" s="5"/>
      <c r="AB481" s="5"/>
    </row>
    <row r="482" spans="1:28" ht="13.15" customHeight="1">
      <c r="A482" s="9">
        <f t="shared" si="166"/>
        <v>468</v>
      </c>
      <c r="B482" s="10">
        <f t="shared" si="158"/>
        <v>45738</v>
      </c>
      <c r="C482" s="9">
        <f t="shared" si="159"/>
        <v>842</v>
      </c>
      <c r="D482" s="8">
        <f t="shared" si="150"/>
        <v>2111</v>
      </c>
      <c r="E482" s="4">
        <f t="shared" si="151"/>
        <v>893</v>
      </c>
      <c r="F482" s="4">
        <f t="shared" si="152"/>
        <v>1142</v>
      </c>
      <c r="G482" s="4">
        <f t="shared" si="153"/>
        <v>870</v>
      </c>
      <c r="H482" s="5">
        <f t="shared" si="154"/>
        <v>2060</v>
      </c>
      <c r="I482" s="5">
        <f t="shared" si="155"/>
        <v>1811</v>
      </c>
      <c r="J482" s="5">
        <f t="shared" si="156"/>
        <v>2083</v>
      </c>
      <c r="K482" s="5">
        <f t="shared" si="163"/>
        <v>3000</v>
      </c>
      <c r="L482" s="5">
        <f t="shared" si="164"/>
        <v>3000</v>
      </c>
      <c r="M482" s="5">
        <f t="shared" si="165"/>
        <v>3000</v>
      </c>
      <c r="N482" s="5">
        <f t="shared" si="160"/>
        <v>-940</v>
      </c>
      <c r="O482" s="5">
        <f t="shared" si="161"/>
        <v>-1189</v>
      </c>
      <c r="P482" s="5">
        <f t="shared" si="162"/>
        <v>-917</v>
      </c>
      <c r="Q482" s="4">
        <v>3</v>
      </c>
      <c r="R482" s="4">
        <v>7</v>
      </c>
      <c r="S482" s="4">
        <v>3</v>
      </c>
      <c r="T482" s="6">
        <f t="shared" si="157"/>
        <v>1142</v>
      </c>
      <c r="U482" s="7">
        <f t="shared" si="148"/>
        <v>2240</v>
      </c>
      <c r="V482" s="7">
        <f t="shared" si="149"/>
        <v>1811</v>
      </c>
      <c r="W482" s="7">
        <f t="shared" si="167"/>
        <v>2573</v>
      </c>
      <c r="X482" s="6"/>
      <c r="Y482" s="5"/>
      <c r="Z482" s="5"/>
      <c r="AA482" s="5"/>
      <c r="AB482" s="5"/>
    </row>
    <row r="483" spans="1:28" ht="13.15" customHeight="1">
      <c r="A483" s="9">
        <f t="shared" si="166"/>
        <v>469</v>
      </c>
      <c r="B483" s="10">
        <f t="shared" si="158"/>
        <v>45739</v>
      </c>
      <c r="C483" s="9">
        <f t="shared" si="159"/>
        <v>842</v>
      </c>
      <c r="D483" s="8">
        <f t="shared" si="150"/>
        <v>2113</v>
      </c>
      <c r="E483" s="4">
        <f t="shared" si="151"/>
        <v>897</v>
      </c>
      <c r="F483" s="4">
        <f t="shared" si="152"/>
        <v>1148</v>
      </c>
      <c r="G483" s="4">
        <f t="shared" si="153"/>
        <v>873</v>
      </c>
      <c r="H483" s="5">
        <f t="shared" si="154"/>
        <v>2058</v>
      </c>
      <c r="I483" s="5">
        <f t="shared" si="155"/>
        <v>1807</v>
      </c>
      <c r="J483" s="5">
        <f t="shared" si="156"/>
        <v>2082</v>
      </c>
      <c r="K483" s="5">
        <f t="shared" si="163"/>
        <v>3000</v>
      </c>
      <c r="L483" s="5">
        <f t="shared" si="164"/>
        <v>3000</v>
      </c>
      <c r="M483" s="5">
        <f t="shared" si="165"/>
        <v>3000</v>
      </c>
      <c r="N483" s="5">
        <f t="shared" si="160"/>
        <v>-942</v>
      </c>
      <c r="O483" s="5">
        <f t="shared" si="161"/>
        <v>-1193</v>
      </c>
      <c r="P483" s="5">
        <f t="shared" si="162"/>
        <v>-918</v>
      </c>
      <c r="Q483" s="4">
        <v>2</v>
      </c>
      <c r="R483" s="4">
        <v>4</v>
      </c>
      <c r="S483" s="4">
        <v>1</v>
      </c>
      <c r="T483" s="6">
        <f t="shared" si="157"/>
        <v>1148</v>
      </c>
      <c r="U483" s="7">
        <f t="shared" si="148"/>
        <v>2238</v>
      </c>
      <c r="V483" s="7">
        <f t="shared" si="149"/>
        <v>1807</v>
      </c>
      <c r="W483" s="7">
        <f t="shared" si="167"/>
        <v>2572</v>
      </c>
      <c r="X483" s="6"/>
      <c r="Y483" s="5"/>
      <c r="Z483" s="5"/>
      <c r="AA483" s="5"/>
      <c r="AB483" s="5"/>
    </row>
    <row r="484" spans="1:28" ht="13.15" customHeight="1">
      <c r="A484" s="9">
        <f t="shared" si="166"/>
        <v>470</v>
      </c>
      <c r="B484" s="10">
        <f t="shared" si="158"/>
        <v>45740</v>
      </c>
      <c r="C484" s="9">
        <f t="shared" si="159"/>
        <v>842</v>
      </c>
      <c r="D484" s="8">
        <f t="shared" si="150"/>
        <v>2115</v>
      </c>
      <c r="E484" s="4">
        <f t="shared" si="151"/>
        <v>903</v>
      </c>
      <c r="F484" s="4">
        <f t="shared" si="152"/>
        <v>1154</v>
      </c>
      <c r="G484" s="4">
        <f t="shared" si="153"/>
        <v>877</v>
      </c>
      <c r="H484" s="5">
        <f t="shared" si="154"/>
        <v>2054</v>
      </c>
      <c r="I484" s="5">
        <f t="shared" si="155"/>
        <v>1803</v>
      </c>
      <c r="J484" s="5">
        <f t="shared" si="156"/>
        <v>2080</v>
      </c>
      <c r="K484" s="5">
        <f t="shared" si="163"/>
        <v>3000</v>
      </c>
      <c r="L484" s="5">
        <f t="shared" si="164"/>
        <v>3000</v>
      </c>
      <c r="M484" s="5">
        <f t="shared" si="165"/>
        <v>3000</v>
      </c>
      <c r="N484" s="5">
        <f t="shared" si="160"/>
        <v>-946</v>
      </c>
      <c r="O484" s="5">
        <f t="shared" si="161"/>
        <v>-1197</v>
      </c>
      <c r="P484" s="5">
        <f t="shared" si="162"/>
        <v>-920</v>
      </c>
      <c r="Q484" s="4">
        <v>4</v>
      </c>
      <c r="R484" s="4">
        <v>4</v>
      </c>
      <c r="S484" s="4">
        <v>2</v>
      </c>
      <c r="T484" s="6">
        <f t="shared" si="157"/>
        <v>1154</v>
      </c>
      <c r="U484" s="7">
        <f t="shared" si="148"/>
        <v>2234</v>
      </c>
      <c r="V484" s="7">
        <f t="shared" si="149"/>
        <v>1803</v>
      </c>
      <c r="W484" s="7">
        <f t="shared" si="167"/>
        <v>2570</v>
      </c>
      <c r="X484" s="6"/>
      <c r="Y484" s="5"/>
      <c r="Z484" s="5"/>
      <c r="AA484" s="5"/>
      <c r="AB484" s="5"/>
    </row>
    <row r="485" spans="1:28" ht="13.15" customHeight="1">
      <c r="A485" s="9">
        <f t="shared" si="166"/>
        <v>471</v>
      </c>
      <c r="B485" s="10">
        <f t="shared" si="158"/>
        <v>45741</v>
      </c>
      <c r="C485" s="9">
        <f t="shared" si="159"/>
        <v>842</v>
      </c>
      <c r="D485" s="8">
        <f t="shared" si="150"/>
        <v>2117</v>
      </c>
      <c r="E485" s="4">
        <f t="shared" si="151"/>
        <v>908</v>
      </c>
      <c r="F485" s="4">
        <f t="shared" si="152"/>
        <v>1161</v>
      </c>
      <c r="G485" s="4">
        <f t="shared" si="153"/>
        <v>881</v>
      </c>
      <c r="H485" s="5">
        <f t="shared" si="154"/>
        <v>2051</v>
      </c>
      <c r="I485" s="5">
        <f t="shared" si="155"/>
        <v>1798</v>
      </c>
      <c r="J485" s="5">
        <f t="shared" si="156"/>
        <v>2078</v>
      </c>
      <c r="K485" s="5">
        <f t="shared" si="163"/>
        <v>3000</v>
      </c>
      <c r="L485" s="5">
        <f t="shared" si="164"/>
        <v>3000</v>
      </c>
      <c r="M485" s="5">
        <f t="shared" si="165"/>
        <v>3000</v>
      </c>
      <c r="N485" s="5">
        <f t="shared" si="160"/>
        <v>-949</v>
      </c>
      <c r="O485" s="5">
        <f t="shared" si="161"/>
        <v>-1202</v>
      </c>
      <c r="P485" s="5">
        <f t="shared" si="162"/>
        <v>-922</v>
      </c>
      <c r="Q485" s="4">
        <v>3</v>
      </c>
      <c r="R485" s="4">
        <v>5</v>
      </c>
      <c r="S485" s="4">
        <v>2</v>
      </c>
      <c r="T485" s="6">
        <f t="shared" si="157"/>
        <v>1161</v>
      </c>
      <c r="U485" s="7">
        <f t="shared" si="148"/>
        <v>2231</v>
      </c>
      <c r="V485" s="7">
        <f t="shared" si="149"/>
        <v>1798</v>
      </c>
      <c r="W485" s="7">
        <f t="shared" si="167"/>
        <v>2568</v>
      </c>
      <c r="X485" s="6"/>
      <c r="Y485" s="5"/>
      <c r="Z485" s="5"/>
      <c r="AA485" s="5"/>
      <c r="AB485" s="5"/>
    </row>
    <row r="486" spans="1:28" ht="13.15" customHeight="1">
      <c r="A486" s="9">
        <f t="shared" si="166"/>
        <v>472</v>
      </c>
      <c r="B486" s="10">
        <f t="shared" si="158"/>
        <v>45742</v>
      </c>
      <c r="C486" s="9">
        <f t="shared" si="159"/>
        <v>842</v>
      </c>
      <c r="D486" s="8">
        <f t="shared" si="150"/>
        <v>2119</v>
      </c>
      <c r="E486" s="4">
        <f t="shared" si="151"/>
        <v>914</v>
      </c>
      <c r="F486" s="4">
        <f t="shared" si="152"/>
        <v>1167</v>
      </c>
      <c r="G486" s="4">
        <f t="shared" si="153"/>
        <v>884</v>
      </c>
      <c r="H486" s="5">
        <f t="shared" si="154"/>
        <v>2047</v>
      </c>
      <c r="I486" s="5">
        <f t="shared" si="155"/>
        <v>1794</v>
      </c>
      <c r="J486" s="5">
        <f t="shared" si="156"/>
        <v>2077</v>
      </c>
      <c r="K486" s="5">
        <f t="shared" si="163"/>
        <v>3000</v>
      </c>
      <c r="L486" s="5">
        <f t="shared" si="164"/>
        <v>3000</v>
      </c>
      <c r="M486" s="5">
        <f t="shared" si="165"/>
        <v>3000</v>
      </c>
      <c r="N486" s="5">
        <f t="shared" si="160"/>
        <v>-953</v>
      </c>
      <c r="O486" s="5">
        <f t="shared" si="161"/>
        <v>-1206</v>
      </c>
      <c r="P486" s="5">
        <f t="shared" si="162"/>
        <v>-923</v>
      </c>
      <c r="Q486" s="4">
        <v>4</v>
      </c>
      <c r="R486" s="4">
        <v>4</v>
      </c>
      <c r="S486" s="4">
        <v>1</v>
      </c>
      <c r="T486" s="6">
        <f t="shared" si="157"/>
        <v>1167</v>
      </c>
      <c r="U486" s="7">
        <f t="shared" ref="U486:U491" si="168">U485+$X486*1000-Q486</f>
        <v>2227</v>
      </c>
      <c r="V486" s="7">
        <f t="shared" ref="V486:V491" si="169">V485+$X486*1000-R486</f>
        <v>1794</v>
      </c>
      <c r="W486" s="7">
        <f t="shared" si="167"/>
        <v>2567</v>
      </c>
      <c r="X486" s="6"/>
      <c r="Y486" s="5"/>
      <c r="Z486" s="5"/>
      <c r="AA486" s="5"/>
      <c r="AB486" s="5"/>
    </row>
    <row r="487" spans="1:28" ht="13.15" customHeight="1">
      <c r="A487" s="9">
        <f t="shared" si="166"/>
        <v>473</v>
      </c>
      <c r="B487" s="10">
        <f t="shared" si="158"/>
        <v>45743</v>
      </c>
      <c r="C487" s="9">
        <f t="shared" si="159"/>
        <v>842</v>
      </c>
      <c r="D487" s="8">
        <f t="shared" si="150"/>
        <v>2121</v>
      </c>
      <c r="E487" s="4">
        <f t="shared" si="151"/>
        <v>918</v>
      </c>
      <c r="F487" s="4">
        <f t="shared" si="152"/>
        <v>1173</v>
      </c>
      <c r="G487" s="4">
        <f t="shared" si="153"/>
        <v>888</v>
      </c>
      <c r="H487" s="5">
        <f t="shared" si="154"/>
        <v>2045</v>
      </c>
      <c r="I487" s="5">
        <f t="shared" si="155"/>
        <v>1790</v>
      </c>
      <c r="J487" s="5">
        <f t="shared" si="156"/>
        <v>2075</v>
      </c>
      <c r="K487" s="5">
        <f t="shared" si="163"/>
        <v>3000</v>
      </c>
      <c r="L487" s="5">
        <f t="shared" si="164"/>
        <v>3000</v>
      </c>
      <c r="M487" s="5">
        <f t="shared" si="165"/>
        <v>3000</v>
      </c>
      <c r="N487" s="5">
        <f t="shared" si="160"/>
        <v>-955</v>
      </c>
      <c r="O487" s="5">
        <f t="shared" si="161"/>
        <v>-1210</v>
      </c>
      <c r="P487" s="5">
        <f t="shared" si="162"/>
        <v>-925</v>
      </c>
      <c r="Q487" s="4">
        <v>2</v>
      </c>
      <c r="R487" s="4">
        <v>4</v>
      </c>
      <c r="S487" s="4">
        <v>2</v>
      </c>
      <c r="T487" s="6">
        <f t="shared" si="157"/>
        <v>1173</v>
      </c>
      <c r="U487" s="7">
        <f t="shared" si="168"/>
        <v>2225</v>
      </c>
      <c r="V487" s="7">
        <f t="shared" si="169"/>
        <v>1790</v>
      </c>
      <c r="W487" s="7">
        <f t="shared" si="167"/>
        <v>2565</v>
      </c>
      <c r="X487" s="6"/>
      <c r="Y487" s="5"/>
      <c r="Z487" s="5"/>
      <c r="AA487" s="5"/>
      <c r="AB487" s="5"/>
    </row>
    <row r="488" spans="1:28" ht="13.15" customHeight="1">
      <c r="A488" s="9">
        <f t="shared" si="166"/>
        <v>474</v>
      </c>
      <c r="B488" s="10">
        <f t="shared" si="158"/>
        <v>45744</v>
      </c>
      <c r="C488" s="9">
        <f t="shared" si="159"/>
        <v>842</v>
      </c>
      <c r="D488" s="8">
        <f t="shared" si="150"/>
        <v>2123</v>
      </c>
      <c r="E488" s="4">
        <f t="shared" si="151"/>
        <v>925</v>
      </c>
      <c r="F488" s="4">
        <f t="shared" si="152"/>
        <v>1178</v>
      </c>
      <c r="G488" s="4">
        <f t="shared" si="153"/>
        <v>892</v>
      </c>
      <c r="H488" s="5">
        <f t="shared" si="154"/>
        <v>2040</v>
      </c>
      <c r="I488" s="5">
        <f t="shared" si="155"/>
        <v>1787</v>
      </c>
      <c r="J488" s="5">
        <f t="shared" si="156"/>
        <v>2073</v>
      </c>
      <c r="K488" s="5">
        <f t="shared" si="163"/>
        <v>3000</v>
      </c>
      <c r="L488" s="5">
        <f t="shared" si="164"/>
        <v>3000</v>
      </c>
      <c r="M488" s="5">
        <f t="shared" si="165"/>
        <v>3000</v>
      </c>
      <c r="N488" s="5">
        <f t="shared" si="160"/>
        <v>-960</v>
      </c>
      <c r="O488" s="5">
        <f t="shared" si="161"/>
        <v>-1213</v>
      </c>
      <c r="P488" s="5">
        <f t="shared" si="162"/>
        <v>-927</v>
      </c>
      <c r="Q488" s="4">
        <v>5</v>
      </c>
      <c r="R488" s="4">
        <v>3</v>
      </c>
      <c r="S488" s="4">
        <v>2</v>
      </c>
      <c r="T488" s="6">
        <f t="shared" si="157"/>
        <v>1178</v>
      </c>
      <c r="U488" s="7">
        <f t="shared" si="168"/>
        <v>2220</v>
      </c>
      <c r="V488" s="7">
        <f t="shared" si="169"/>
        <v>1787</v>
      </c>
      <c r="W488" s="7">
        <f t="shared" si="167"/>
        <v>2563</v>
      </c>
      <c r="X488" s="6"/>
      <c r="Y488" s="5"/>
      <c r="Z488" s="5"/>
      <c r="AA488" s="5"/>
      <c r="AB488" s="5"/>
    </row>
    <row r="489" spans="1:28" ht="13.15" customHeight="1">
      <c r="A489" s="9">
        <f t="shared" si="166"/>
        <v>475</v>
      </c>
      <c r="B489" s="10">
        <f t="shared" si="158"/>
        <v>45745</v>
      </c>
      <c r="C489" s="9">
        <f t="shared" si="159"/>
        <v>842</v>
      </c>
      <c r="D489" s="8">
        <f t="shared" si="150"/>
        <v>2125</v>
      </c>
      <c r="E489" s="4">
        <f t="shared" si="151"/>
        <v>930</v>
      </c>
      <c r="F489" s="4">
        <f t="shared" si="152"/>
        <v>1183</v>
      </c>
      <c r="G489" s="4">
        <f t="shared" si="153"/>
        <v>896</v>
      </c>
      <c r="H489" s="5">
        <f t="shared" si="154"/>
        <v>2037</v>
      </c>
      <c r="I489" s="5">
        <f t="shared" si="155"/>
        <v>1784</v>
      </c>
      <c r="J489" s="5">
        <f t="shared" si="156"/>
        <v>2071</v>
      </c>
      <c r="K489" s="5">
        <f t="shared" si="163"/>
        <v>3000</v>
      </c>
      <c r="L489" s="5">
        <f t="shared" si="164"/>
        <v>3000</v>
      </c>
      <c r="M489" s="5">
        <f t="shared" si="165"/>
        <v>3000</v>
      </c>
      <c r="N489" s="5">
        <f t="shared" si="160"/>
        <v>-963</v>
      </c>
      <c r="O489" s="5">
        <f t="shared" si="161"/>
        <v>-1216</v>
      </c>
      <c r="P489" s="5">
        <f t="shared" si="162"/>
        <v>-929</v>
      </c>
      <c r="Q489" s="4">
        <v>3</v>
      </c>
      <c r="R489" s="4">
        <v>3</v>
      </c>
      <c r="S489" s="4">
        <v>2</v>
      </c>
      <c r="T489" s="6">
        <f t="shared" si="157"/>
        <v>1183</v>
      </c>
      <c r="U489" s="7">
        <f t="shared" si="168"/>
        <v>2217</v>
      </c>
      <c r="V489" s="7">
        <f t="shared" si="169"/>
        <v>1784</v>
      </c>
      <c r="W489" s="7">
        <f t="shared" si="167"/>
        <v>2561</v>
      </c>
      <c r="X489" s="6"/>
      <c r="Y489" s="5"/>
      <c r="Z489" s="5"/>
      <c r="AA489" s="5"/>
      <c r="AB489" s="5"/>
    </row>
    <row r="490" spans="1:28" ht="13.15" customHeight="1">
      <c r="A490" s="9">
        <f t="shared" si="166"/>
        <v>476</v>
      </c>
      <c r="B490" s="10">
        <f t="shared" si="158"/>
        <v>45746</v>
      </c>
      <c r="C490" s="9">
        <f t="shared" si="159"/>
        <v>842</v>
      </c>
      <c r="D490" s="8">
        <f t="shared" si="150"/>
        <v>2127</v>
      </c>
      <c r="E490" s="4">
        <f t="shared" si="151"/>
        <v>936</v>
      </c>
      <c r="F490" s="4">
        <f t="shared" si="152"/>
        <v>1189</v>
      </c>
      <c r="G490" s="4">
        <f t="shared" si="153"/>
        <v>900</v>
      </c>
      <c r="H490" s="5">
        <f t="shared" si="154"/>
        <v>2033</v>
      </c>
      <c r="I490" s="5">
        <f t="shared" si="155"/>
        <v>1780</v>
      </c>
      <c r="J490" s="5">
        <f t="shared" si="156"/>
        <v>2069</v>
      </c>
      <c r="K490" s="5">
        <f t="shared" si="163"/>
        <v>3000</v>
      </c>
      <c r="L490" s="5">
        <f t="shared" si="164"/>
        <v>3000</v>
      </c>
      <c r="M490" s="5">
        <f t="shared" si="165"/>
        <v>3000</v>
      </c>
      <c r="N490" s="5">
        <f t="shared" si="160"/>
        <v>-967</v>
      </c>
      <c r="O490" s="5">
        <f t="shared" si="161"/>
        <v>-1220</v>
      </c>
      <c r="P490" s="5">
        <f t="shared" si="162"/>
        <v>-931</v>
      </c>
      <c r="Q490" s="4">
        <v>4</v>
      </c>
      <c r="R490" s="4">
        <v>4</v>
      </c>
      <c r="S490" s="4">
        <v>2</v>
      </c>
      <c r="T490" s="6">
        <f t="shared" si="157"/>
        <v>1189</v>
      </c>
      <c r="U490" s="7">
        <f t="shared" si="168"/>
        <v>2213</v>
      </c>
      <c r="V490" s="7">
        <f t="shared" si="169"/>
        <v>1780</v>
      </c>
      <c r="W490" s="7">
        <f t="shared" si="167"/>
        <v>2559</v>
      </c>
      <c r="X490" s="6"/>
      <c r="Y490" s="5"/>
      <c r="Z490" s="5"/>
      <c r="AA490" s="5"/>
      <c r="AB490" s="5"/>
    </row>
    <row r="491" spans="1:28" ht="13.15" customHeight="1">
      <c r="A491" s="9">
        <f t="shared" si="166"/>
        <v>477</v>
      </c>
      <c r="B491" s="10">
        <f t="shared" si="158"/>
        <v>45747</v>
      </c>
      <c r="C491" s="9">
        <f t="shared" si="159"/>
        <v>842</v>
      </c>
      <c r="D491" s="8">
        <f t="shared" si="150"/>
        <v>2129</v>
      </c>
      <c r="E491" s="4">
        <f t="shared" si="151"/>
        <v>941</v>
      </c>
      <c r="F491" s="4">
        <f t="shared" si="152"/>
        <v>1194</v>
      </c>
      <c r="G491" s="4">
        <f t="shared" si="153"/>
        <v>906</v>
      </c>
      <c r="H491" s="5">
        <f t="shared" si="154"/>
        <v>2030</v>
      </c>
      <c r="I491" s="5">
        <f t="shared" si="155"/>
        <v>1777</v>
      </c>
      <c r="J491" s="5">
        <f t="shared" si="156"/>
        <v>2065</v>
      </c>
      <c r="K491" s="5">
        <f t="shared" si="163"/>
        <v>3000</v>
      </c>
      <c r="L491" s="5">
        <f t="shared" si="164"/>
        <v>3000</v>
      </c>
      <c r="M491" s="5">
        <f t="shared" si="165"/>
        <v>3000</v>
      </c>
      <c r="N491" s="5">
        <f t="shared" si="160"/>
        <v>-970</v>
      </c>
      <c r="O491" s="5">
        <f t="shared" si="161"/>
        <v>-1223</v>
      </c>
      <c r="P491" s="5">
        <f t="shared" si="162"/>
        <v>-935</v>
      </c>
      <c r="Q491" s="4">
        <v>3</v>
      </c>
      <c r="R491" s="4">
        <v>3</v>
      </c>
      <c r="S491" s="4">
        <v>4</v>
      </c>
      <c r="T491" s="6">
        <f t="shared" si="157"/>
        <v>1194</v>
      </c>
      <c r="U491" s="7">
        <f t="shared" si="168"/>
        <v>2210</v>
      </c>
      <c r="V491" s="7">
        <f t="shared" si="169"/>
        <v>1777</v>
      </c>
      <c r="W491" s="7">
        <f t="shared" si="167"/>
        <v>2555</v>
      </c>
      <c r="X491" s="6"/>
      <c r="Y491" s="5"/>
      <c r="Z491" s="5"/>
      <c r="AA491" s="5"/>
      <c r="AB491" s="5"/>
    </row>
    <row r="492" spans="1:28" ht="13.15" customHeight="1">
      <c r="A492" s="9">
        <f t="shared" ref="A492:A500" si="170">+A491+1</f>
        <v>478</v>
      </c>
      <c r="B492" s="10">
        <f t="shared" ref="B492:B500" si="171">B491+1</f>
        <v>45748</v>
      </c>
      <c r="C492" s="9">
        <f t="shared" ref="C492:C500" si="172">C491</f>
        <v>842</v>
      </c>
      <c r="D492" s="8">
        <f t="shared" ref="D492:D500" si="173">D491+2</f>
        <v>2131</v>
      </c>
      <c r="E492" s="4">
        <f t="shared" ref="E492:E500" si="174">C492+D492-H492</f>
        <v>943</v>
      </c>
      <c r="F492" s="4">
        <f t="shared" ref="F492:F500" si="175">C492+D492-I492</f>
        <v>1203</v>
      </c>
      <c r="G492" s="4">
        <f t="shared" ref="G492:G500" si="176">D492+C492-J492</f>
        <v>908</v>
      </c>
      <c r="H492" s="5">
        <f t="shared" ref="H492:H500" si="177">K492+N492</f>
        <v>2030</v>
      </c>
      <c r="I492" s="5">
        <f t="shared" ref="I492:I500" si="178">L492+O492</f>
        <v>1770</v>
      </c>
      <c r="J492" s="5">
        <f t="shared" ref="J492:J500" si="179">M492+P492</f>
        <v>2065</v>
      </c>
      <c r="K492" s="5">
        <f t="shared" ref="K492:K500" si="180">K491</f>
        <v>3000</v>
      </c>
      <c r="L492" s="5">
        <f t="shared" ref="L492:L500" si="181">L491</f>
        <v>3000</v>
      </c>
      <c r="M492" s="5">
        <f t="shared" ref="M492:M500" si="182">M491</f>
        <v>3000</v>
      </c>
      <c r="N492" s="5">
        <f t="shared" ref="N492:N500" si="183">N491-Q492</f>
        <v>-970</v>
      </c>
      <c r="O492" s="5">
        <f t="shared" ref="O492:O500" si="184">O491-R492</f>
        <v>-1230</v>
      </c>
      <c r="P492" s="5">
        <f t="shared" ref="P492:P500" si="185">P491-S492</f>
        <v>-935</v>
      </c>
      <c r="Q492" s="4">
        <v>0</v>
      </c>
      <c r="R492" s="4">
        <v>7</v>
      </c>
      <c r="S492" s="4">
        <v>0</v>
      </c>
      <c r="T492" s="6">
        <f t="shared" ref="T492:T500" si="186">D492+C492-V492</f>
        <v>1203</v>
      </c>
      <c r="U492" s="7">
        <f t="shared" ref="U492:U500" si="187">U491+$X492*1000-Q492</f>
        <v>2210</v>
      </c>
      <c r="V492" s="7">
        <f t="shared" ref="V492:V500" si="188">V491+$X492*1000-R492</f>
        <v>1770</v>
      </c>
      <c r="W492" s="7">
        <f t="shared" ref="W492:W500" si="189">W491+$X492*1000-S492</f>
        <v>2555</v>
      </c>
      <c r="X492" s="6"/>
      <c r="Y492" s="5"/>
      <c r="Z492" s="5"/>
      <c r="AA492" s="5"/>
      <c r="AB492" s="5"/>
    </row>
    <row r="493" spans="1:28" ht="13.15" customHeight="1">
      <c r="A493" s="9">
        <f t="shared" si="170"/>
        <v>479</v>
      </c>
      <c r="B493" s="10">
        <f t="shared" si="171"/>
        <v>45749</v>
      </c>
      <c r="C493" s="9">
        <f t="shared" si="172"/>
        <v>842</v>
      </c>
      <c r="D493" s="8">
        <f t="shared" si="173"/>
        <v>2133</v>
      </c>
      <c r="E493" s="4">
        <f t="shared" si="174"/>
        <v>945</v>
      </c>
      <c r="F493" s="4">
        <f t="shared" si="175"/>
        <v>1210</v>
      </c>
      <c r="G493" s="4">
        <f t="shared" si="176"/>
        <v>910</v>
      </c>
      <c r="H493" s="5">
        <f t="shared" si="177"/>
        <v>2030</v>
      </c>
      <c r="I493" s="5">
        <f t="shared" si="178"/>
        <v>1765</v>
      </c>
      <c r="J493" s="5">
        <f t="shared" si="179"/>
        <v>2065</v>
      </c>
      <c r="K493" s="5">
        <f t="shared" si="180"/>
        <v>3000</v>
      </c>
      <c r="L493" s="5">
        <f t="shared" si="181"/>
        <v>3000</v>
      </c>
      <c r="M493" s="5">
        <f t="shared" si="182"/>
        <v>3000</v>
      </c>
      <c r="N493" s="5">
        <f t="shared" si="183"/>
        <v>-970</v>
      </c>
      <c r="O493" s="5">
        <f t="shared" si="184"/>
        <v>-1235</v>
      </c>
      <c r="P493" s="5">
        <f t="shared" si="185"/>
        <v>-935</v>
      </c>
      <c r="Q493" s="4">
        <v>0</v>
      </c>
      <c r="R493" s="4">
        <v>5</v>
      </c>
      <c r="S493" s="4">
        <v>0</v>
      </c>
      <c r="T493" s="6">
        <f t="shared" si="186"/>
        <v>1210</v>
      </c>
      <c r="U493" s="7">
        <f t="shared" si="187"/>
        <v>2210</v>
      </c>
      <c r="V493" s="7">
        <f t="shared" si="188"/>
        <v>1765</v>
      </c>
      <c r="W493" s="7">
        <f t="shared" si="189"/>
        <v>2555</v>
      </c>
      <c r="X493" s="6"/>
      <c r="Y493" s="5"/>
      <c r="Z493" s="5"/>
      <c r="AA493" s="5"/>
      <c r="AB493" s="5"/>
    </row>
    <row r="494" spans="1:28" ht="13.15" customHeight="1">
      <c r="A494" s="9">
        <f t="shared" si="170"/>
        <v>480</v>
      </c>
      <c r="B494" s="10">
        <f t="shared" si="171"/>
        <v>45750</v>
      </c>
      <c r="C494" s="9">
        <f t="shared" si="172"/>
        <v>842</v>
      </c>
      <c r="D494" s="8">
        <f t="shared" si="173"/>
        <v>2135</v>
      </c>
      <c r="E494" s="4">
        <f t="shared" si="174"/>
        <v>947</v>
      </c>
      <c r="F494" s="4">
        <f t="shared" si="175"/>
        <v>1217</v>
      </c>
      <c r="G494" s="4">
        <f t="shared" si="176"/>
        <v>912</v>
      </c>
      <c r="H494" s="5">
        <f t="shared" si="177"/>
        <v>2030</v>
      </c>
      <c r="I494" s="5">
        <f t="shared" si="178"/>
        <v>1760</v>
      </c>
      <c r="J494" s="5">
        <f t="shared" si="179"/>
        <v>2065</v>
      </c>
      <c r="K494" s="5">
        <f t="shared" si="180"/>
        <v>3000</v>
      </c>
      <c r="L494" s="5">
        <f t="shared" si="181"/>
        <v>3000</v>
      </c>
      <c r="M494" s="5">
        <f t="shared" si="182"/>
        <v>3000</v>
      </c>
      <c r="N494" s="5">
        <f t="shared" si="183"/>
        <v>-970</v>
      </c>
      <c r="O494" s="5">
        <f t="shared" si="184"/>
        <v>-1240</v>
      </c>
      <c r="P494" s="5">
        <f t="shared" si="185"/>
        <v>-935</v>
      </c>
      <c r="Q494" s="4">
        <v>0</v>
      </c>
      <c r="R494" s="4">
        <v>5</v>
      </c>
      <c r="S494" s="4">
        <v>0</v>
      </c>
      <c r="T494" s="6">
        <f t="shared" si="186"/>
        <v>1217</v>
      </c>
      <c r="U494" s="7">
        <f t="shared" si="187"/>
        <v>2210</v>
      </c>
      <c r="V494" s="7">
        <f t="shared" si="188"/>
        <v>1760</v>
      </c>
      <c r="W494" s="7">
        <f t="shared" si="189"/>
        <v>2555</v>
      </c>
      <c r="X494" s="6"/>
      <c r="Y494" s="5"/>
      <c r="Z494" s="5"/>
      <c r="AA494" s="5"/>
      <c r="AB494" s="5"/>
    </row>
    <row r="495" spans="1:28" ht="13.15" customHeight="1">
      <c r="A495" s="9">
        <f t="shared" si="170"/>
        <v>481</v>
      </c>
      <c r="B495" s="10">
        <f t="shared" si="171"/>
        <v>45751</v>
      </c>
      <c r="C495" s="9">
        <f t="shared" si="172"/>
        <v>842</v>
      </c>
      <c r="D495" s="8">
        <f t="shared" si="173"/>
        <v>2137</v>
      </c>
      <c r="E495" s="4">
        <f t="shared" si="174"/>
        <v>949</v>
      </c>
      <c r="F495" s="4">
        <f t="shared" si="175"/>
        <v>1226</v>
      </c>
      <c r="G495" s="4">
        <f t="shared" si="176"/>
        <v>914</v>
      </c>
      <c r="H495" s="5">
        <f t="shared" si="177"/>
        <v>2030</v>
      </c>
      <c r="I495" s="5">
        <f t="shared" si="178"/>
        <v>1753</v>
      </c>
      <c r="J495" s="5">
        <f t="shared" si="179"/>
        <v>2065</v>
      </c>
      <c r="K495" s="5">
        <f t="shared" si="180"/>
        <v>3000</v>
      </c>
      <c r="L495" s="5">
        <f t="shared" si="181"/>
        <v>3000</v>
      </c>
      <c r="M495" s="5">
        <f t="shared" si="182"/>
        <v>3000</v>
      </c>
      <c r="N495" s="5">
        <f t="shared" si="183"/>
        <v>-970</v>
      </c>
      <c r="O495" s="5">
        <f t="shared" si="184"/>
        <v>-1247</v>
      </c>
      <c r="P495" s="5">
        <f t="shared" si="185"/>
        <v>-935</v>
      </c>
      <c r="Q495" s="4">
        <v>0</v>
      </c>
      <c r="R495" s="4">
        <v>7</v>
      </c>
      <c r="S495" s="4">
        <v>0</v>
      </c>
      <c r="T495" s="6">
        <f t="shared" si="186"/>
        <v>1226</v>
      </c>
      <c r="U495" s="7">
        <f t="shared" si="187"/>
        <v>2210</v>
      </c>
      <c r="V495" s="7">
        <f t="shared" si="188"/>
        <v>1753</v>
      </c>
      <c r="W495" s="7">
        <f t="shared" si="189"/>
        <v>2555</v>
      </c>
      <c r="X495" s="6"/>
      <c r="Y495" s="5"/>
      <c r="Z495" s="5"/>
      <c r="AA495" s="5"/>
      <c r="AB495" s="5"/>
    </row>
    <row r="496" spans="1:28" ht="13.15" customHeight="1">
      <c r="A496" s="9">
        <f t="shared" si="170"/>
        <v>482</v>
      </c>
      <c r="B496" s="10">
        <f t="shared" si="171"/>
        <v>45752</v>
      </c>
      <c r="C496" s="9">
        <f t="shared" si="172"/>
        <v>842</v>
      </c>
      <c r="D496" s="8">
        <f t="shared" si="173"/>
        <v>2139</v>
      </c>
      <c r="E496" s="4">
        <f t="shared" si="174"/>
        <v>951</v>
      </c>
      <c r="F496" s="4">
        <f t="shared" si="175"/>
        <v>1232</v>
      </c>
      <c r="G496" s="4">
        <f t="shared" si="176"/>
        <v>916</v>
      </c>
      <c r="H496" s="5">
        <f t="shared" si="177"/>
        <v>2030</v>
      </c>
      <c r="I496" s="5">
        <f t="shared" si="178"/>
        <v>1749</v>
      </c>
      <c r="J496" s="5">
        <f t="shared" si="179"/>
        <v>2065</v>
      </c>
      <c r="K496" s="5">
        <f t="shared" si="180"/>
        <v>3000</v>
      </c>
      <c r="L496" s="5">
        <f t="shared" si="181"/>
        <v>3000</v>
      </c>
      <c r="M496" s="5">
        <f t="shared" si="182"/>
        <v>3000</v>
      </c>
      <c r="N496" s="5">
        <f t="shared" si="183"/>
        <v>-970</v>
      </c>
      <c r="O496" s="5">
        <f t="shared" si="184"/>
        <v>-1251</v>
      </c>
      <c r="P496" s="5">
        <f t="shared" si="185"/>
        <v>-935</v>
      </c>
      <c r="Q496" s="4">
        <v>0</v>
      </c>
      <c r="R496" s="4">
        <v>4</v>
      </c>
      <c r="S496" s="4">
        <v>0</v>
      </c>
      <c r="T496" s="6">
        <f t="shared" si="186"/>
        <v>1232</v>
      </c>
      <c r="U496" s="7">
        <f t="shared" si="187"/>
        <v>2210</v>
      </c>
      <c r="V496" s="7">
        <f t="shared" si="188"/>
        <v>1749</v>
      </c>
      <c r="W496" s="7">
        <f t="shared" si="189"/>
        <v>2555</v>
      </c>
      <c r="X496" s="6"/>
      <c r="Y496" s="5"/>
      <c r="Z496" s="5"/>
      <c r="AA496" s="5"/>
      <c r="AB496" s="5"/>
    </row>
    <row r="497" spans="1:28" ht="13.15" customHeight="1">
      <c r="A497" s="9">
        <f t="shared" si="170"/>
        <v>483</v>
      </c>
      <c r="B497" s="10">
        <f t="shared" si="171"/>
        <v>45753</v>
      </c>
      <c r="C497" s="9">
        <f t="shared" si="172"/>
        <v>842</v>
      </c>
      <c r="D497" s="8">
        <f t="shared" si="173"/>
        <v>2141</v>
      </c>
      <c r="E497" s="4">
        <f t="shared" si="174"/>
        <v>953</v>
      </c>
      <c r="F497" s="4">
        <f t="shared" si="175"/>
        <v>1238</v>
      </c>
      <c r="G497" s="4">
        <f t="shared" si="176"/>
        <v>918</v>
      </c>
      <c r="H497" s="5">
        <f t="shared" si="177"/>
        <v>2030</v>
      </c>
      <c r="I497" s="5">
        <f t="shared" si="178"/>
        <v>1745</v>
      </c>
      <c r="J497" s="5">
        <f t="shared" si="179"/>
        <v>2065</v>
      </c>
      <c r="K497" s="5">
        <f t="shared" si="180"/>
        <v>3000</v>
      </c>
      <c r="L497" s="5">
        <f t="shared" si="181"/>
        <v>3000</v>
      </c>
      <c r="M497" s="5">
        <f t="shared" si="182"/>
        <v>3000</v>
      </c>
      <c r="N497" s="5">
        <f t="shared" si="183"/>
        <v>-970</v>
      </c>
      <c r="O497" s="5">
        <f t="shared" si="184"/>
        <v>-1255</v>
      </c>
      <c r="P497" s="5">
        <f t="shared" si="185"/>
        <v>-935</v>
      </c>
      <c r="Q497" s="4">
        <v>0</v>
      </c>
      <c r="R497" s="4">
        <v>4</v>
      </c>
      <c r="S497" s="4">
        <v>0</v>
      </c>
      <c r="T497" s="6">
        <f t="shared" si="186"/>
        <v>1238</v>
      </c>
      <c r="U497" s="7">
        <f t="shared" si="187"/>
        <v>2210</v>
      </c>
      <c r="V497" s="7">
        <f t="shared" si="188"/>
        <v>1745</v>
      </c>
      <c r="W497" s="7">
        <f t="shared" si="189"/>
        <v>2555</v>
      </c>
      <c r="X497" s="6"/>
      <c r="Y497" s="5"/>
      <c r="Z497" s="5"/>
      <c r="AA497" s="5"/>
      <c r="AB497" s="5"/>
    </row>
    <row r="498" spans="1:28" ht="13.15" customHeight="1">
      <c r="A498" s="9">
        <f t="shared" si="170"/>
        <v>484</v>
      </c>
      <c r="B498" s="10">
        <f t="shared" si="171"/>
        <v>45754</v>
      </c>
      <c r="C498" s="9">
        <f t="shared" si="172"/>
        <v>842</v>
      </c>
      <c r="D498" s="8">
        <f t="shared" si="173"/>
        <v>2143</v>
      </c>
      <c r="E498" s="4">
        <f t="shared" si="174"/>
        <v>955</v>
      </c>
      <c r="F498" s="4">
        <f t="shared" si="175"/>
        <v>1245</v>
      </c>
      <c r="G498" s="4">
        <f t="shared" si="176"/>
        <v>920</v>
      </c>
      <c r="H498" s="5">
        <f t="shared" si="177"/>
        <v>2030</v>
      </c>
      <c r="I498" s="5">
        <f t="shared" si="178"/>
        <v>1740</v>
      </c>
      <c r="J498" s="5">
        <f t="shared" si="179"/>
        <v>2065</v>
      </c>
      <c r="K498" s="5">
        <f t="shared" si="180"/>
        <v>3000</v>
      </c>
      <c r="L498" s="5">
        <f t="shared" si="181"/>
        <v>3000</v>
      </c>
      <c r="M498" s="5">
        <f t="shared" si="182"/>
        <v>3000</v>
      </c>
      <c r="N498" s="5">
        <f t="shared" si="183"/>
        <v>-970</v>
      </c>
      <c r="O498" s="5">
        <f t="shared" si="184"/>
        <v>-1260</v>
      </c>
      <c r="P498" s="5">
        <f t="shared" si="185"/>
        <v>-935</v>
      </c>
      <c r="Q498" s="4">
        <v>0</v>
      </c>
      <c r="R498" s="4">
        <v>5</v>
      </c>
      <c r="S498" s="4">
        <v>0</v>
      </c>
      <c r="T498" s="6">
        <f t="shared" si="186"/>
        <v>1245</v>
      </c>
      <c r="U498" s="7">
        <f t="shared" si="187"/>
        <v>2210</v>
      </c>
      <c r="V498" s="7">
        <f t="shared" si="188"/>
        <v>1740</v>
      </c>
      <c r="W498" s="7">
        <f t="shared" si="189"/>
        <v>2555</v>
      </c>
      <c r="X498" s="6"/>
      <c r="Y498" s="5"/>
      <c r="Z498" s="5"/>
      <c r="AA498" s="5"/>
      <c r="AB498" s="5"/>
    </row>
    <row r="499" spans="1:28" ht="13.15" customHeight="1">
      <c r="A499" s="9">
        <f t="shared" si="170"/>
        <v>485</v>
      </c>
      <c r="B499" s="10">
        <f t="shared" si="171"/>
        <v>45755</v>
      </c>
      <c r="C499" s="9">
        <f t="shared" si="172"/>
        <v>842</v>
      </c>
      <c r="D499" s="8">
        <f t="shared" si="173"/>
        <v>2145</v>
      </c>
      <c r="E499" s="4">
        <f t="shared" si="174"/>
        <v>957</v>
      </c>
      <c r="F499" s="4">
        <f t="shared" si="175"/>
        <v>1251</v>
      </c>
      <c r="G499" s="4">
        <f t="shared" si="176"/>
        <v>922</v>
      </c>
      <c r="H499" s="5">
        <f t="shared" si="177"/>
        <v>2030</v>
      </c>
      <c r="I499" s="5">
        <f t="shared" si="178"/>
        <v>1736</v>
      </c>
      <c r="J499" s="5">
        <f t="shared" si="179"/>
        <v>2065</v>
      </c>
      <c r="K499" s="5">
        <f t="shared" si="180"/>
        <v>3000</v>
      </c>
      <c r="L499" s="5">
        <f t="shared" si="181"/>
        <v>3000</v>
      </c>
      <c r="M499" s="5">
        <f t="shared" si="182"/>
        <v>3000</v>
      </c>
      <c r="N499" s="5">
        <f t="shared" si="183"/>
        <v>-970</v>
      </c>
      <c r="O499" s="5">
        <f t="shared" si="184"/>
        <v>-1264</v>
      </c>
      <c r="P499" s="5">
        <f t="shared" si="185"/>
        <v>-935</v>
      </c>
      <c r="Q499" s="4">
        <v>0</v>
      </c>
      <c r="R499" s="4">
        <v>4</v>
      </c>
      <c r="S499" s="4">
        <v>0</v>
      </c>
      <c r="T499" s="6">
        <f t="shared" si="186"/>
        <v>1251</v>
      </c>
      <c r="U499" s="7">
        <f t="shared" si="187"/>
        <v>2210</v>
      </c>
      <c r="V499" s="7">
        <f t="shared" si="188"/>
        <v>1736</v>
      </c>
      <c r="W499" s="7">
        <f t="shared" si="189"/>
        <v>2555</v>
      </c>
      <c r="X499" s="6"/>
      <c r="Y499" s="5"/>
      <c r="Z499" s="5"/>
      <c r="AA499" s="5"/>
      <c r="AB499" s="5"/>
    </row>
    <row r="500" spans="1:28" ht="13.15" customHeight="1">
      <c r="A500" s="9">
        <f t="shared" si="170"/>
        <v>486</v>
      </c>
      <c r="B500" s="10">
        <f t="shared" si="171"/>
        <v>45756</v>
      </c>
      <c r="C500" s="9">
        <f t="shared" si="172"/>
        <v>842</v>
      </c>
      <c r="D500" s="8">
        <f t="shared" si="173"/>
        <v>2147</v>
      </c>
      <c r="E500" s="4">
        <f t="shared" si="174"/>
        <v>959</v>
      </c>
      <c r="F500" s="4">
        <f t="shared" si="175"/>
        <v>1263</v>
      </c>
      <c r="G500" s="4">
        <f t="shared" si="176"/>
        <v>924</v>
      </c>
      <c r="H500" s="5">
        <f t="shared" si="177"/>
        <v>2030</v>
      </c>
      <c r="I500" s="5">
        <f t="shared" si="178"/>
        <v>1726</v>
      </c>
      <c r="J500" s="5">
        <f t="shared" si="179"/>
        <v>2065</v>
      </c>
      <c r="K500" s="5">
        <f t="shared" si="180"/>
        <v>3000</v>
      </c>
      <c r="L500" s="5">
        <f t="shared" si="181"/>
        <v>3000</v>
      </c>
      <c r="M500" s="5">
        <f t="shared" si="182"/>
        <v>3000</v>
      </c>
      <c r="N500" s="5">
        <f t="shared" si="183"/>
        <v>-970</v>
      </c>
      <c r="O500" s="5">
        <f t="shared" si="184"/>
        <v>-1274</v>
      </c>
      <c r="P500" s="5">
        <f t="shared" si="185"/>
        <v>-935</v>
      </c>
      <c r="Q500" s="4">
        <v>0</v>
      </c>
      <c r="R500" s="4">
        <v>10</v>
      </c>
      <c r="S500" s="4">
        <v>0</v>
      </c>
      <c r="T500" s="6">
        <f t="shared" si="186"/>
        <v>1263</v>
      </c>
      <c r="U500" s="7">
        <f t="shared" si="187"/>
        <v>2210</v>
      </c>
      <c r="V500" s="7">
        <f t="shared" si="188"/>
        <v>1726</v>
      </c>
      <c r="W500" s="7">
        <f t="shared" si="189"/>
        <v>2555</v>
      </c>
      <c r="X500" s="6"/>
      <c r="Y500" s="5"/>
      <c r="Z500" s="5"/>
      <c r="AA500" s="5"/>
      <c r="AB500" s="5"/>
    </row>
    <row r="501" spans="1:28" ht="13.15" customHeight="1">
      <c r="A501" s="9">
        <f t="shared" ref="A501:A516" si="190">+A500+1</f>
        <v>487</v>
      </c>
      <c r="B501" s="10">
        <f t="shared" ref="B501:B512" si="191">B500+1</f>
        <v>45757</v>
      </c>
      <c r="C501" s="9">
        <f t="shared" ref="C501:C516" si="192">C500</f>
        <v>842</v>
      </c>
      <c r="D501" s="8">
        <f t="shared" ref="D501:D516" si="193">D500+2</f>
        <v>2149</v>
      </c>
      <c r="E501" s="4">
        <f t="shared" ref="E501:E516" si="194">C501+D501-H501</f>
        <v>961</v>
      </c>
      <c r="F501" s="4">
        <f t="shared" ref="F501:F516" si="195">C501+D501-I501</f>
        <v>1275</v>
      </c>
      <c r="G501" s="4">
        <f t="shared" ref="G501:G516" si="196">D501+C501-J501</f>
        <v>926</v>
      </c>
      <c r="H501" s="5">
        <f t="shared" ref="H501:H516" si="197">K501+N501</f>
        <v>2030</v>
      </c>
      <c r="I501" s="5">
        <f t="shared" ref="I501:I516" si="198">L501+O501</f>
        <v>1716</v>
      </c>
      <c r="J501" s="5">
        <f t="shared" ref="J501:J516" si="199">M501+P501</f>
        <v>2065</v>
      </c>
      <c r="K501" s="5">
        <f t="shared" ref="K501:K516" si="200">K500</f>
        <v>3000</v>
      </c>
      <c r="L501" s="5">
        <f t="shared" ref="L501:L516" si="201">L500</f>
        <v>3000</v>
      </c>
      <c r="M501" s="5">
        <f t="shared" ref="M501:M516" si="202">M500</f>
        <v>3000</v>
      </c>
      <c r="N501" s="5">
        <f t="shared" ref="N501:N516" si="203">N500-Q501</f>
        <v>-970</v>
      </c>
      <c r="O501" s="5">
        <f t="shared" ref="O501:O516" si="204">O500-R501</f>
        <v>-1284</v>
      </c>
      <c r="P501" s="5">
        <f t="shared" ref="P501:P516" si="205">P500-S501</f>
        <v>-935</v>
      </c>
      <c r="Q501" s="4">
        <v>0</v>
      </c>
      <c r="R501" s="4">
        <v>10</v>
      </c>
      <c r="S501" s="4">
        <v>0</v>
      </c>
      <c r="T501" s="6">
        <f t="shared" ref="T501:T516" si="206">D501+C501-V501</f>
        <v>1275</v>
      </c>
      <c r="U501" s="7">
        <f t="shared" ref="U501:U516" si="207">U500+$X501*1000-Q501</f>
        <v>2210</v>
      </c>
      <c r="V501" s="7">
        <f t="shared" ref="V501:V516" si="208">V500+$X501*1000-R501</f>
        <v>1716</v>
      </c>
      <c r="W501" s="7">
        <f t="shared" ref="W501:W516" si="209">W500+$X501*1000-S501</f>
        <v>2555</v>
      </c>
      <c r="X501" s="6"/>
      <c r="Y501" s="5"/>
      <c r="Z501" s="5"/>
      <c r="AA501" s="5"/>
      <c r="AB501" s="5"/>
    </row>
    <row r="502" spans="1:28" ht="13.15" customHeight="1">
      <c r="A502" s="9">
        <f t="shared" si="190"/>
        <v>488</v>
      </c>
      <c r="B502" s="10">
        <f t="shared" si="191"/>
        <v>45758</v>
      </c>
      <c r="C502" s="9">
        <f t="shared" si="192"/>
        <v>842</v>
      </c>
      <c r="D502" s="8">
        <f t="shared" si="193"/>
        <v>2151</v>
      </c>
      <c r="E502" s="4">
        <f t="shared" si="194"/>
        <v>963</v>
      </c>
      <c r="F502" s="4">
        <f t="shared" si="195"/>
        <v>1287</v>
      </c>
      <c r="G502" s="4">
        <f t="shared" si="196"/>
        <v>928</v>
      </c>
      <c r="H502" s="5">
        <f t="shared" si="197"/>
        <v>2030</v>
      </c>
      <c r="I502" s="5">
        <f t="shared" si="198"/>
        <v>1706</v>
      </c>
      <c r="J502" s="5">
        <f t="shared" si="199"/>
        <v>2065</v>
      </c>
      <c r="K502" s="5">
        <f t="shared" si="200"/>
        <v>3000</v>
      </c>
      <c r="L502" s="5">
        <f t="shared" si="201"/>
        <v>3000</v>
      </c>
      <c r="M502" s="5">
        <f t="shared" si="202"/>
        <v>3000</v>
      </c>
      <c r="N502" s="5">
        <f t="shared" si="203"/>
        <v>-970</v>
      </c>
      <c r="O502" s="5">
        <f t="shared" si="204"/>
        <v>-1294</v>
      </c>
      <c r="P502" s="5">
        <f t="shared" si="205"/>
        <v>-935</v>
      </c>
      <c r="Q502" s="4">
        <v>0</v>
      </c>
      <c r="R502" s="4">
        <v>10</v>
      </c>
      <c r="S502" s="4">
        <v>0</v>
      </c>
      <c r="T502" s="6">
        <f t="shared" si="206"/>
        <v>1287</v>
      </c>
      <c r="U502" s="7">
        <f t="shared" si="207"/>
        <v>2210</v>
      </c>
      <c r="V502" s="7">
        <f t="shared" si="208"/>
        <v>1706</v>
      </c>
      <c r="W502" s="7">
        <f t="shared" si="209"/>
        <v>2555</v>
      </c>
      <c r="X502" s="6"/>
      <c r="Y502" s="5"/>
      <c r="Z502" s="5"/>
      <c r="AA502" s="5"/>
      <c r="AB502" s="5"/>
    </row>
    <row r="503" spans="1:28" ht="13.15" customHeight="1">
      <c r="A503" s="9">
        <f t="shared" si="190"/>
        <v>489</v>
      </c>
      <c r="B503" s="10">
        <f t="shared" si="191"/>
        <v>45759</v>
      </c>
      <c r="C503" s="9">
        <f t="shared" si="192"/>
        <v>842</v>
      </c>
      <c r="D503" s="8">
        <f t="shared" si="193"/>
        <v>2153</v>
      </c>
      <c r="E503" s="4">
        <f t="shared" si="194"/>
        <v>965</v>
      </c>
      <c r="F503" s="4">
        <f t="shared" si="195"/>
        <v>1296</v>
      </c>
      <c r="G503" s="4">
        <f t="shared" si="196"/>
        <v>930</v>
      </c>
      <c r="H503" s="5">
        <f t="shared" si="197"/>
        <v>2030</v>
      </c>
      <c r="I503" s="5">
        <f t="shared" si="198"/>
        <v>1699</v>
      </c>
      <c r="J503" s="5">
        <f t="shared" si="199"/>
        <v>2065</v>
      </c>
      <c r="K503" s="5">
        <f t="shared" si="200"/>
        <v>3000</v>
      </c>
      <c r="L503" s="5">
        <f t="shared" si="201"/>
        <v>3000</v>
      </c>
      <c r="M503" s="5">
        <f t="shared" si="202"/>
        <v>3000</v>
      </c>
      <c r="N503" s="5">
        <f t="shared" si="203"/>
        <v>-970</v>
      </c>
      <c r="O503" s="5">
        <f t="shared" si="204"/>
        <v>-1301</v>
      </c>
      <c r="P503" s="5">
        <f t="shared" si="205"/>
        <v>-935</v>
      </c>
      <c r="Q503" s="4">
        <v>0</v>
      </c>
      <c r="R503" s="4">
        <v>7</v>
      </c>
      <c r="S503" s="4">
        <v>0</v>
      </c>
      <c r="T503" s="6">
        <f t="shared" si="206"/>
        <v>1076</v>
      </c>
      <c r="U503" s="7">
        <f t="shared" si="207"/>
        <v>2430</v>
      </c>
      <c r="V503" s="7">
        <f t="shared" si="208"/>
        <v>1919</v>
      </c>
      <c r="W503" s="7">
        <f t="shared" si="209"/>
        <v>2775</v>
      </c>
      <c r="X503" s="13">
        <v>0.22</v>
      </c>
      <c r="Y503" s="5"/>
      <c r="Z503" s="5"/>
      <c r="AA503" s="5"/>
      <c r="AB503" s="5" t="s">
        <v>43</v>
      </c>
    </row>
    <row r="504" spans="1:28" ht="13.15" customHeight="1">
      <c r="A504" s="9">
        <f t="shared" si="190"/>
        <v>490</v>
      </c>
      <c r="B504" s="10">
        <f t="shared" si="191"/>
        <v>45760</v>
      </c>
      <c r="C504" s="9">
        <f t="shared" si="192"/>
        <v>842</v>
      </c>
      <c r="D504" s="8">
        <f t="shared" si="193"/>
        <v>2155</v>
      </c>
      <c r="E504" s="4">
        <f t="shared" si="194"/>
        <v>967</v>
      </c>
      <c r="F504" s="4">
        <f t="shared" si="195"/>
        <v>1308</v>
      </c>
      <c r="G504" s="4">
        <f t="shared" si="196"/>
        <v>932</v>
      </c>
      <c r="H504" s="5">
        <f t="shared" si="197"/>
        <v>2030</v>
      </c>
      <c r="I504" s="5">
        <f t="shared" si="198"/>
        <v>1689</v>
      </c>
      <c r="J504" s="5">
        <f t="shared" si="199"/>
        <v>2065</v>
      </c>
      <c r="K504" s="5">
        <f t="shared" si="200"/>
        <v>3000</v>
      </c>
      <c r="L504" s="5">
        <f t="shared" si="201"/>
        <v>3000</v>
      </c>
      <c r="M504" s="5">
        <f t="shared" si="202"/>
        <v>3000</v>
      </c>
      <c r="N504" s="5">
        <f t="shared" si="203"/>
        <v>-970</v>
      </c>
      <c r="O504" s="5">
        <f t="shared" si="204"/>
        <v>-1311</v>
      </c>
      <c r="P504" s="5">
        <f t="shared" si="205"/>
        <v>-935</v>
      </c>
      <c r="Q504" s="4">
        <v>0</v>
      </c>
      <c r="R504" s="4">
        <v>10</v>
      </c>
      <c r="S504" s="4">
        <v>0</v>
      </c>
      <c r="T504" s="6">
        <f t="shared" si="206"/>
        <v>1088</v>
      </c>
      <c r="U504" s="7">
        <f t="shared" si="207"/>
        <v>2430</v>
      </c>
      <c r="V504" s="7">
        <f t="shared" si="208"/>
        <v>1909</v>
      </c>
      <c r="W504" s="7">
        <f t="shared" si="209"/>
        <v>2775</v>
      </c>
      <c r="X504" s="6"/>
      <c r="Y504" s="5"/>
      <c r="Z504" s="5"/>
      <c r="AA504" s="5"/>
      <c r="AB504" s="5"/>
    </row>
    <row r="505" spans="1:28" ht="13.15" customHeight="1">
      <c r="A505" s="9">
        <f t="shared" si="190"/>
        <v>491</v>
      </c>
      <c r="B505" s="10">
        <f t="shared" si="191"/>
        <v>45761</v>
      </c>
      <c r="C505" s="9">
        <f t="shared" si="192"/>
        <v>842</v>
      </c>
      <c r="D505" s="8">
        <f t="shared" si="193"/>
        <v>2157</v>
      </c>
      <c r="E505" s="4">
        <f t="shared" si="194"/>
        <v>969</v>
      </c>
      <c r="F505" s="4">
        <f t="shared" si="195"/>
        <v>1320</v>
      </c>
      <c r="G505" s="4">
        <f t="shared" si="196"/>
        <v>934</v>
      </c>
      <c r="H505" s="5">
        <f t="shared" si="197"/>
        <v>2030</v>
      </c>
      <c r="I505" s="5">
        <f t="shared" si="198"/>
        <v>1679</v>
      </c>
      <c r="J505" s="5">
        <f t="shared" si="199"/>
        <v>2065</v>
      </c>
      <c r="K505" s="5">
        <f t="shared" si="200"/>
        <v>3000</v>
      </c>
      <c r="L505" s="5">
        <f t="shared" si="201"/>
        <v>3000</v>
      </c>
      <c r="M505" s="5">
        <f t="shared" si="202"/>
        <v>3000</v>
      </c>
      <c r="N505" s="5">
        <f t="shared" si="203"/>
        <v>-970</v>
      </c>
      <c r="O505" s="5">
        <f t="shared" si="204"/>
        <v>-1321</v>
      </c>
      <c r="P505" s="5">
        <f t="shared" si="205"/>
        <v>-935</v>
      </c>
      <c r="Q505" s="4">
        <v>0</v>
      </c>
      <c r="R505" s="4">
        <v>10</v>
      </c>
      <c r="S505" s="4">
        <v>0</v>
      </c>
      <c r="T505" s="6">
        <f t="shared" si="206"/>
        <v>1100</v>
      </c>
      <c r="U505" s="7">
        <f t="shared" si="207"/>
        <v>2430</v>
      </c>
      <c r="V505" s="7">
        <f t="shared" si="208"/>
        <v>1899</v>
      </c>
      <c r="W505" s="7">
        <f t="shared" si="209"/>
        <v>2775</v>
      </c>
      <c r="X505" s="6"/>
      <c r="Y505" s="5"/>
      <c r="Z505" s="5"/>
      <c r="AA505" s="5"/>
      <c r="AB505" s="5"/>
    </row>
    <row r="506" spans="1:28" ht="13.15" customHeight="1">
      <c r="A506" s="9">
        <f t="shared" si="190"/>
        <v>492</v>
      </c>
      <c r="B506" s="10">
        <f t="shared" si="191"/>
        <v>45762</v>
      </c>
      <c r="C506" s="9">
        <f t="shared" si="192"/>
        <v>842</v>
      </c>
      <c r="D506" s="8">
        <f t="shared" si="193"/>
        <v>2159</v>
      </c>
      <c r="E506" s="4">
        <f t="shared" si="194"/>
        <v>971</v>
      </c>
      <c r="F506" s="4">
        <f t="shared" si="195"/>
        <v>1330</v>
      </c>
      <c r="G506" s="4">
        <f t="shared" si="196"/>
        <v>936</v>
      </c>
      <c r="H506" s="5">
        <f t="shared" si="197"/>
        <v>2030</v>
      </c>
      <c r="I506" s="5">
        <f t="shared" si="198"/>
        <v>1671</v>
      </c>
      <c r="J506" s="5">
        <f t="shared" si="199"/>
        <v>2065</v>
      </c>
      <c r="K506" s="5">
        <f t="shared" si="200"/>
        <v>3000</v>
      </c>
      <c r="L506" s="5">
        <f t="shared" si="201"/>
        <v>3000</v>
      </c>
      <c r="M506" s="5">
        <f t="shared" si="202"/>
        <v>3000</v>
      </c>
      <c r="N506" s="5">
        <f t="shared" si="203"/>
        <v>-970</v>
      </c>
      <c r="O506" s="5">
        <f t="shared" si="204"/>
        <v>-1329</v>
      </c>
      <c r="P506" s="5">
        <f t="shared" si="205"/>
        <v>-935</v>
      </c>
      <c r="Q506" s="4">
        <v>0</v>
      </c>
      <c r="R506" s="4">
        <v>8</v>
      </c>
      <c r="S506" s="4">
        <v>0</v>
      </c>
      <c r="T506" s="6">
        <f t="shared" si="206"/>
        <v>810</v>
      </c>
      <c r="U506" s="7">
        <f t="shared" si="207"/>
        <v>2730</v>
      </c>
      <c r="V506" s="7">
        <f t="shared" si="208"/>
        <v>2191</v>
      </c>
      <c r="W506" s="7">
        <f t="shared" si="209"/>
        <v>3075</v>
      </c>
      <c r="X506" s="13">
        <v>0.3</v>
      </c>
      <c r="Y506" s="5"/>
      <c r="Z506" s="5"/>
      <c r="AA506" s="5"/>
      <c r="AB506" s="5" t="s">
        <v>44</v>
      </c>
    </row>
    <row r="507" spans="1:28" ht="13.15" customHeight="1">
      <c r="A507" s="9">
        <f t="shared" si="190"/>
        <v>493</v>
      </c>
      <c r="B507" s="10">
        <f t="shared" si="191"/>
        <v>45763</v>
      </c>
      <c r="C507" s="9">
        <f t="shared" si="192"/>
        <v>842</v>
      </c>
      <c r="D507" s="8">
        <f t="shared" si="193"/>
        <v>2161</v>
      </c>
      <c r="E507" s="4">
        <f t="shared" si="194"/>
        <v>973</v>
      </c>
      <c r="F507" s="4">
        <f t="shared" si="195"/>
        <v>1342</v>
      </c>
      <c r="G507" s="4">
        <f t="shared" si="196"/>
        <v>938</v>
      </c>
      <c r="H507" s="5">
        <f t="shared" si="197"/>
        <v>2030</v>
      </c>
      <c r="I507" s="5">
        <f t="shared" si="198"/>
        <v>1661</v>
      </c>
      <c r="J507" s="5">
        <f t="shared" si="199"/>
        <v>2065</v>
      </c>
      <c r="K507" s="5">
        <f t="shared" si="200"/>
        <v>3000</v>
      </c>
      <c r="L507" s="5">
        <f t="shared" si="201"/>
        <v>3000</v>
      </c>
      <c r="M507" s="5">
        <f t="shared" si="202"/>
        <v>3000</v>
      </c>
      <c r="N507" s="5">
        <f t="shared" si="203"/>
        <v>-970</v>
      </c>
      <c r="O507" s="5">
        <f t="shared" si="204"/>
        <v>-1339</v>
      </c>
      <c r="P507" s="5">
        <f t="shared" si="205"/>
        <v>-935</v>
      </c>
      <c r="Q507" s="4">
        <v>0</v>
      </c>
      <c r="R507" s="4">
        <v>10</v>
      </c>
      <c r="S507" s="4">
        <v>0</v>
      </c>
      <c r="T507" s="6">
        <f t="shared" si="206"/>
        <v>822</v>
      </c>
      <c r="U507" s="7">
        <f t="shared" si="207"/>
        <v>2730</v>
      </c>
      <c r="V507" s="7">
        <f t="shared" si="208"/>
        <v>2181</v>
      </c>
      <c r="W507" s="7">
        <f t="shared" si="209"/>
        <v>3075</v>
      </c>
      <c r="X507" s="6"/>
      <c r="Y507" s="5"/>
      <c r="Z507" s="5"/>
      <c r="AA507" s="5"/>
      <c r="AB507" s="5"/>
    </row>
    <row r="508" spans="1:28" ht="13.15" customHeight="1">
      <c r="A508" s="9">
        <f t="shared" si="190"/>
        <v>494</v>
      </c>
      <c r="B508" s="10">
        <f t="shared" si="191"/>
        <v>45764</v>
      </c>
      <c r="C508" s="9">
        <f t="shared" si="192"/>
        <v>842</v>
      </c>
      <c r="D508" s="8">
        <f t="shared" si="193"/>
        <v>2163</v>
      </c>
      <c r="E508" s="4">
        <f t="shared" si="194"/>
        <v>975</v>
      </c>
      <c r="F508" s="4">
        <f t="shared" si="195"/>
        <v>1354</v>
      </c>
      <c r="G508" s="4">
        <f t="shared" si="196"/>
        <v>940</v>
      </c>
      <c r="H508" s="5">
        <f t="shared" si="197"/>
        <v>2030</v>
      </c>
      <c r="I508" s="5">
        <f t="shared" si="198"/>
        <v>1651</v>
      </c>
      <c r="J508" s="5">
        <f t="shared" si="199"/>
        <v>2065</v>
      </c>
      <c r="K508" s="5">
        <f t="shared" si="200"/>
        <v>3000</v>
      </c>
      <c r="L508" s="5">
        <f t="shared" si="201"/>
        <v>3000</v>
      </c>
      <c r="M508" s="5">
        <f t="shared" si="202"/>
        <v>3000</v>
      </c>
      <c r="N508" s="5">
        <f t="shared" si="203"/>
        <v>-970</v>
      </c>
      <c r="O508" s="5">
        <f t="shared" si="204"/>
        <v>-1349</v>
      </c>
      <c r="P508" s="5">
        <f t="shared" si="205"/>
        <v>-935</v>
      </c>
      <c r="Q508" s="4">
        <v>0</v>
      </c>
      <c r="R508" s="4">
        <v>10</v>
      </c>
      <c r="S508" s="4">
        <v>0</v>
      </c>
      <c r="T508" s="6">
        <f t="shared" si="206"/>
        <v>834</v>
      </c>
      <c r="U508" s="7">
        <f t="shared" si="207"/>
        <v>2730</v>
      </c>
      <c r="V508" s="7">
        <f t="shared" si="208"/>
        <v>2171</v>
      </c>
      <c r="W508" s="7">
        <f t="shared" si="209"/>
        <v>3075</v>
      </c>
      <c r="X508" s="6"/>
      <c r="Y508" s="5"/>
      <c r="Z508" s="5"/>
      <c r="AA508" s="5"/>
      <c r="AB508" s="5"/>
    </row>
    <row r="509" spans="1:28" ht="13.15" customHeight="1">
      <c r="A509" s="9">
        <f t="shared" si="190"/>
        <v>495</v>
      </c>
      <c r="B509" s="10">
        <f t="shared" si="191"/>
        <v>45765</v>
      </c>
      <c r="C509" s="9">
        <f t="shared" si="192"/>
        <v>842</v>
      </c>
      <c r="D509" s="8">
        <f t="shared" si="193"/>
        <v>2165</v>
      </c>
      <c r="E509" s="4">
        <f t="shared" si="194"/>
        <v>977</v>
      </c>
      <c r="F509" s="4">
        <f t="shared" si="195"/>
        <v>1365</v>
      </c>
      <c r="G509" s="4">
        <f t="shared" si="196"/>
        <v>942</v>
      </c>
      <c r="H509" s="5">
        <f t="shared" si="197"/>
        <v>2030</v>
      </c>
      <c r="I509" s="5">
        <f t="shared" si="198"/>
        <v>1642</v>
      </c>
      <c r="J509" s="5">
        <f t="shared" si="199"/>
        <v>2065</v>
      </c>
      <c r="K509" s="5">
        <f t="shared" si="200"/>
        <v>3000</v>
      </c>
      <c r="L509" s="5">
        <f t="shared" si="201"/>
        <v>3000</v>
      </c>
      <c r="M509" s="5">
        <f t="shared" si="202"/>
        <v>3000</v>
      </c>
      <c r="N509" s="5">
        <f t="shared" si="203"/>
        <v>-970</v>
      </c>
      <c r="O509" s="5">
        <f t="shared" si="204"/>
        <v>-1358</v>
      </c>
      <c r="P509" s="5">
        <f t="shared" si="205"/>
        <v>-935</v>
      </c>
      <c r="Q509" s="4">
        <v>0</v>
      </c>
      <c r="R509" s="4">
        <v>9</v>
      </c>
      <c r="S509" s="4">
        <v>0</v>
      </c>
      <c r="T509" s="6">
        <f t="shared" si="206"/>
        <v>545</v>
      </c>
      <c r="U509" s="7">
        <f t="shared" si="207"/>
        <v>3030</v>
      </c>
      <c r="V509" s="7">
        <f t="shared" si="208"/>
        <v>2462</v>
      </c>
      <c r="W509" s="7">
        <f t="shared" si="209"/>
        <v>3375</v>
      </c>
      <c r="X509" s="13">
        <v>0.3</v>
      </c>
      <c r="Y509" s="5"/>
      <c r="Z509" s="5"/>
      <c r="AA509" s="5"/>
      <c r="AB509" s="5" t="s">
        <v>45</v>
      </c>
    </row>
    <row r="510" spans="1:28" ht="13.15" customHeight="1">
      <c r="A510" s="9">
        <f t="shared" si="190"/>
        <v>496</v>
      </c>
      <c r="B510" s="10">
        <f t="shared" si="191"/>
        <v>45766</v>
      </c>
      <c r="C510" s="9">
        <f t="shared" si="192"/>
        <v>842</v>
      </c>
      <c r="D510" s="8">
        <f t="shared" si="193"/>
        <v>2167</v>
      </c>
      <c r="E510" s="4">
        <f t="shared" si="194"/>
        <v>979</v>
      </c>
      <c r="F510" s="4">
        <f t="shared" si="195"/>
        <v>1375</v>
      </c>
      <c r="G510" s="4">
        <f t="shared" si="196"/>
        <v>944</v>
      </c>
      <c r="H510" s="5">
        <f t="shared" si="197"/>
        <v>2030</v>
      </c>
      <c r="I510" s="5">
        <f t="shared" si="198"/>
        <v>1634</v>
      </c>
      <c r="J510" s="5">
        <f t="shared" si="199"/>
        <v>2065</v>
      </c>
      <c r="K510" s="5">
        <f t="shared" si="200"/>
        <v>3000</v>
      </c>
      <c r="L510" s="5">
        <f t="shared" si="201"/>
        <v>3000</v>
      </c>
      <c r="M510" s="5">
        <f t="shared" si="202"/>
        <v>3000</v>
      </c>
      <c r="N510" s="5">
        <f t="shared" si="203"/>
        <v>-970</v>
      </c>
      <c r="O510" s="5">
        <f t="shared" si="204"/>
        <v>-1366</v>
      </c>
      <c r="P510" s="5">
        <f t="shared" si="205"/>
        <v>-935</v>
      </c>
      <c r="Q510" s="4">
        <v>0</v>
      </c>
      <c r="R510" s="4">
        <v>8</v>
      </c>
      <c r="S510" s="4">
        <v>0</v>
      </c>
      <c r="T510" s="6">
        <f t="shared" si="206"/>
        <v>555</v>
      </c>
      <c r="U510" s="7">
        <f t="shared" si="207"/>
        <v>3030</v>
      </c>
      <c r="V510" s="7">
        <f t="shared" si="208"/>
        <v>2454</v>
      </c>
      <c r="W510" s="7">
        <f t="shared" si="209"/>
        <v>3375</v>
      </c>
      <c r="X510" s="6"/>
      <c r="Y510" s="5"/>
      <c r="Z510" s="5"/>
      <c r="AA510" s="5"/>
      <c r="AB510" s="5"/>
    </row>
    <row r="511" spans="1:28" ht="13.15" customHeight="1">
      <c r="A511" s="9">
        <f t="shared" si="190"/>
        <v>497</v>
      </c>
      <c r="B511" s="10">
        <f t="shared" si="191"/>
        <v>45767</v>
      </c>
      <c r="C511" s="9">
        <f t="shared" si="192"/>
        <v>842</v>
      </c>
      <c r="D511" s="8">
        <f t="shared" si="193"/>
        <v>2169</v>
      </c>
      <c r="E511" s="4">
        <f t="shared" si="194"/>
        <v>981</v>
      </c>
      <c r="F511" s="4">
        <f t="shared" si="195"/>
        <v>1383</v>
      </c>
      <c r="G511" s="4">
        <f t="shared" si="196"/>
        <v>946</v>
      </c>
      <c r="H511" s="5">
        <f t="shared" si="197"/>
        <v>2030</v>
      </c>
      <c r="I511" s="5">
        <f t="shared" si="198"/>
        <v>1628</v>
      </c>
      <c r="J511" s="5">
        <f t="shared" si="199"/>
        <v>2065</v>
      </c>
      <c r="K511" s="5">
        <f t="shared" si="200"/>
        <v>3000</v>
      </c>
      <c r="L511" s="5">
        <f t="shared" si="201"/>
        <v>3000</v>
      </c>
      <c r="M511" s="5">
        <f t="shared" si="202"/>
        <v>3000</v>
      </c>
      <c r="N511" s="5">
        <f t="shared" si="203"/>
        <v>-970</v>
      </c>
      <c r="O511" s="5">
        <f t="shared" si="204"/>
        <v>-1372</v>
      </c>
      <c r="P511" s="5">
        <f t="shared" si="205"/>
        <v>-935</v>
      </c>
      <c r="Q511" s="4">
        <v>0</v>
      </c>
      <c r="R511" s="4">
        <v>6</v>
      </c>
      <c r="S511" s="4">
        <v>0</v>
      </c>
      <c r="T511" s="6">
        <f t="shared" si="206"/>
        <v>563</v>
      </c>
      <c r="U511" s="7">
        <f t="shared" si="207"/>
        <v>3030</v>
      </c>
      <c r="V511" s="7">
        <f t="shared" si="208"/>
        <v>2448</v>
      </c>
      <c r="W511" s="7">
        <f t="shared" si="209"/>
        <v>3375</v>
      </c>
      <c r="X511" s="6"/>
      <c r="Y511" s="5"/>
      <c r="Z511" s="5"/>
      <c r="AA511" s="5"/>
      <c r="AB511" s="5"/>
    </row>
    <row r="512" spans="1:28" s="55" customFormat="1" ht="13.15" customHeight="1">
      <c r="A512" s="50">
        <f t="shared" si="190"/>
        <v>498</v>
      </c>
      <c r="B512" s="51">
        <f t="shared" si="191"/>
        <v>45768</v>
      </c>
      <c r="C512" s="50">
        <f t="shared" si="192"/>
        <v>842</v>
      </c>
      <c r="D512" s="52">
        <f t="shared" si="193"/>
        <v>2171</v>
      </c>
      <c r="E512" s="53">
        <f t="shared" si="194"/>
        <v>983</v>
      </c>
      <c r="F512" s="53">
        <f t="shared" si="195"/>
        <v>1390</v>
      </c>
      <c r="G512" s="53">
        <f t="shared" si="196"/>
        <v>948</v>
      </c>
      <c r="H512" s="53">
        <f t="shared" si="197"/>
        <v>2030</v>
      </c>
      <c r="I512" s="53">
        <f t="shared" si="198"/>
        <v>1623</v>
      </c>
      <c r="J512" s="53">
        <f t="shared" si="199"/>
        <v>2065</v>
      </c>
      <c r="K512" s="53">
        <f t="shared" si="200"/>
        <v>3000</v>
      </c>
      <c r="L512" s="53">
        <f t="shared" si="201"/>
        <v>3000</v>
      </c>
      <c r="M512" s="53">
        <f t="shared" si="202"/>
        <v>3000</v>
      </c>
      <c r="N512" s="53">
        <f t="shared" si="203"/>
        <v>-970</v>
      </c>
      <c r="O512" s="53">
        <f t="shared" si="204"/>
        <v>-1377</v>
      </c>
      <c r="P512" s="53">
        <f t="shared" si="205"/>
        <v>-935</v>
      </c>
      <c r="Q512" s="53">
        <v>0</v>
      </c>
      <c r="R512" s="18">
        <v>5</v>
      </c>
      <c r="S512" s="53">
        <v>0</v>
      </c>
      <c r="T512" s="53">
        <f t="shared" si="206"/>
        <v>270</v>
      </c>
      <c r="U512" s="54">
        <f t="shared" si="207"/>
        <v>3330</v>
      </c>
      <c r="V512" s="54">
        <f t="shared" si="208"/>
        <v>2743</v>
      </c>
      <c r="W512" s="54">
        <f t="shared" si="209"/>
        <v>3675</v>
      </c>
      <c r="X512" s="65">
        <v>0.3</v>
      </c>
      <c r="Y512" s="53"/>
      <c r="Z512" s="53"/>
      <c r="AA512" s="53"/>
      <c r="AB512" s="53" t="s">
        <v>42</v>
      </c>
    </row>
    <row r="513" spans="1:28" ht="13.15" customHeight="1">
      <c r="A513" s="9">
        <f t="shared" si="190"/>
        <v>499</v>
      </c>
      <c r="B513" s="10">
        <f>B512+3</f>
        <v>45771</v>
      </c>
      <c r="C513" s="9">
        <f t="shared" si="192"/>
        <v>842</v>
      </c>
      <c r="D513" s="8">
        <f t="shared" si="193"/>
        <v>2173</v>
      </c>
      <c r="E513" s="4">
        <f t="shared" si="194"/>
        <v>1007</v>
      </c>
      <c r="F513" s="4">
        <f t="shared" si="195"/>
        <v>1412</v>
      </c>
      <c r="G513" s="4">
        <f t="shared" si="196"/>
        <v>967</v>
      </c>
      <c r="H513" s="5">
        <f t="shared" si="197"/>
        <v>2008</v>
      </c>
      <c r="I513" s="5">
        <f t="shared" si="198"/>
        <v>1603</v>
      </c>
      <c r="J513" s="5">
        <f t="shared" si="199"/>
        <v>2048</v>
      </c>
      <c r="K513" s="5">
        <f t="shared" si="200"/>
        <v>3000</v>
      </c>
      <c r="L513" s="5">
        <f t="shared" si="201"/>
        <v>3000</v>
      </c>
      <c r="M513" s="5">
        <f t="shared" si="202"/>
        <v>3000</v>
      </c>
      <c r="N513" s="5">
        <f t="shared" si="203"/>
        <v>-992</v>
      </c>
      <c r="O513" s="5">
        <f t="shared" si="204"/>
        <v>-1397</v>
      </c>
      <c r="P513" s="5">
        <f t="shared" si="205"/>
        <v>-952</v>
      </c>
      <c r="Q513" s="64">
        <v>22</v>
      </c>
      <c r="R513" s="4">
        <v>20</v>
      </c>
      <c r="S513" s="64">
        <v>17</v>
      </c>
      <c r="T513" s="6">
        <f t="shared" si="206"/>
        <v>292</v>
      </c>
      <c r="U513" s="7">
        <f t="shared" si="207"/>
        <v>3308</v>
      </c>
      <c r="V513" s="7">
        <f t="shared" si="208"/>
        <v>2723</v>
      </c>
      <c r="W513" s="7">
        <f t="shared" si="209"/>
        <v>3658</v>
      </c>
      <c r="X513" s="6"/>
      <c r="Y513" s="5"/>
      <c r="Z513" s="5"/>
      <c r="AA513" s="5"/>
      <c r="AB513" s="5"/>
    </row>
    <row r="514" spans="1:28" ht="13.15" customHeight="1">
      <c r="A514" s="9">
        <f t="shared" si="190"/>
        <v>500</v>
      </c>
      <c r="B514" s="10">
        <f>B513+4</f>
        <v>45775</v>
      </c>
      <c r="C514" s="9">
        <f t="shared" si="192"/>
        <v>842</v>
      </c>
      <c r="D514" s="8">
        <f t="shared" si="193"/>
        <v>2175</v>
      </c>
      <c r="E514" s="4">
        <f t="shared" si="194"/>
        <v>1034</v>
      </c>
      <c r="F514" s="4">
        <f t="shared" si="195"/>
        <v>1439</v>
      </c>
      <c r="G514" s="4">
        <f t="shared" si="196"/>
        <v>995</v>
      </c>
      <c r="H514" s="5">
        <f t="shared" si="197"/>
        <v>1983</v>
      </c>
      <c r="I514" s="5">
        <f t="shared" si="198"/>
        <v>1578</v>
      </c>
      <c r="J514" s="5">
        <f t="shared" si="199"/>
        <v>2022</v>
      </c>
      <c r="K514" s="5">
        <f t="shared" si="200"/>
        <v>3000</v>
      </c>
      <c r="L514" s="5">
        <f t="shared" si="201"/>
        <v>3000</v>
      </c>
      <c r="M514" s="5">
        <f t="shared" si="202"/>
        <v>3000</v>
      </c>
      <c r="N514" s="5">
        <f t="shared" si="203"/>
        <v>-1017</v>
      </c>
      <c r="O514" s="5">
        <f t="shared" si="204"/>
        <v>-1422</v>
      </c>
      <c r="P514" s="5">
        <f t="shared" si="205"/>
        <v>-978</v>
      </c>
      <c r="Q514" s="64">
        <v>25</v>
      </c>
      <c r="R514" s="4">
        <v>25</v>
      </c>
      <c r="S514" s="64">
        <v>26</v>
      </c>
      <c r="T514" s="6">
        <f t="shared" si="206"/>
        <v>319</v>
      </c>
      <c r="U514" s="7">
        <f t="shared" si="207"/>
        <v>3283</v>
      </c>
      <c r="V514" s="7">
        <f t="shared" si="208"/>
        <v>2698</v>
      </c>
      <c r="W514" s="7">
        <f t="shared" si="209"/>
        <v>3632</v>
      </c>
      <c r="X514" s="6"/>
      <c r="Y514" s="5"/>
      <c r="Z514" s="5"/>
      <c r="AA514" s="5"/>
      <c r="AB514" s="5"/>
    </row>
    <row r="515" spans="1:28" ht="13.15" customHeight="1">
      <c r="A515" s="9">
        <f t="shared" si="190"/>
        <v>501</v>
      </c>
      <c r="B515" s="10">
        <f>B514+3</f>
        <v>45778</v>
      </c>
      <c r="C515" s="9">
        <f t="shared" si="192"/>
        <v>842</v>
      </c>
      <c r="D515" s="8">
        <f t="shared" si="193"/>
        <v>2177</v>
      </c>
      <c r="E515" s="4">
        <f t="shared" si="194"/>
        <v>1058</v>
      </c>
      <c r="F515" s="4">
        <f t="shared" si="195"/>
        <v>1456</v>
      </c>
      <c r="G515" s="4">
        <f t="shared" si="196"/>
        <v>1015</v>
      </c>
      <c r="H515" s="5">
        <f t="shared" si="197"/>
        <v>1961</v>
      </c>
      <c r="I515" s="5">
        <f t="shared" si="198"/>
        <v>1563</v>
      </c>
      <c r="J515" s="5">
        <f t="shared" si="199"/>
        <v>2004</v>
      </c>
      <c r="K515" s="5">
        <f t="shared" si="200"/>
        <v>3000</v>
      </c>
      <c r="L515" s="5">
        <f t="shared" si="201"/>
        <v>3000</v>
      </c>
      <c r="M515" s="5">
        <f t="shared" si="202"/>
        <v>3000</v>
      </c>
      <c r="N515" s="5">
        <f t="shared" si="203"/>
        <v>-1039</v>
      </c>
      <c r="O515" s="5">
        <f t="shared" si="204"/>
        <v>-1437</v>
      </c>
      <c r="P515" s="5">
        <f t="shared" si="205"/>
        <v>-996</v>
      </c>
      <c r="Q515" s="64">
        <v>22</v>
      </c>
      <c r="R515" s="4">
        <v>15</v>
      </c>
      <c r="S515" s="64">
        <v>18</v>
      </c>
      <c r="T515" s="6">
        <f t="shared" si="206"/>
        <v>336</v>
      </c>
      <c r="U515" s="7">
        <f t="shared" si="207"/>
        <v>3261</v>
      </c>
      <c r="V515" s="7">
        <f t="shared" si="208"/>
        <v>2683</v>
      </c>
      <c r="W515" s="7">
        <f t="shared" si="209"/>
        <v>3614</v>
      </c>
      <c r="X515" s="6"/>
      <c r="Y515" s="5"/>
      <c r="Z515" s="5"/>
      <c r="AA515" s="5"/>
      <c r="AB515" s="5"/>
    </row>
    <row r="516" spans="1:28" s="60" customFormat="1" ht="13.15" customHeight="1">
      <c r="A516" s="57">
        <f t="shared" si="190"/>
        <v>502</v>
      </c>
      <c r="B516" s="56">
        <f>B515+4</f>
        <v>45782</v>
      </c>
      <c r="C516" s="57">
        <f t="shared" si="192"/>
        <v>842</v>
      </c>
      <c r="D516" s="58">
        <f t="shared" si="193"/>
        <v>2179</v>
      </c>
      <c r="E516" s="59">
        <f t="shared" si="194"/>
        <v>1090</v>
      </c>
      <c r="F516" s="59">
        <f t="shared" si="195"/>
        <v>1482</v>
      </c>
      <c r="G516" s="59">
        <f t="shared" si="196"/>
        <v>1039</v>
      </c>
      <c r="H516" s="59">
        <f t="shared" si="197"/>
        <v>1931</v>
      </c>
      <c r="I516" s="59">
        <f t="shared" si="198"/>
        <v>1539</v>
      </c>
      <c r="J516" s="59">
        <f t="shared" si="199"/>
        <v>1982</v>
      </c>
      <c r="K516" s="59">
        <f t="shared" si="200"/>
        <v>3000</v>
      </c>
      <c r="L516" s="59">
        <f t="shared" si="201"/>
        <v>3000</v>
      </c>
      <c r="M516" s="59">
        <f t="shared" si="202"/>
        <v>3000</v>
      </c>
      <c r="N516" s="59">
        <f t="shared" si="203"/>
        <v>-1069</v>
      </c>
      <c r="O516" s="59">
        <f t="shared" si="204"/>
        <v>-1461</v>
      </c>
      <c r="P516" s="59">
        <f t="shared" si="205"/>
        <v>-1018</v>
      </c>
      <c r="Q516" s="30">
        <v>30</v>
      </c>
      <c r="R516" s="59">
        <v>24</v>
      </c>
      <c r="S516" s="30">
        <v>22</v>
      </c>
      <c r="T516" s="59">
        <f t="shared" si="206"/>
        <v>362</v>
      </c>
      <c r="U516" s="17">
        <f t="shared" si="207"/>
        <v>3231</v>
      </c>
      <c r="V516" s="17">
        <f t="shared" si="208"/>
        <v>2659</v>
      </c>
      <c r="W516" s="17">
        <f t="shared" si="209"/>
        <v>3592</v>
      </c>
      <c r="X516" s="59"/>
      <c r="Y516" s="59"/>
      <c r="Z516" s="59"/>
      <c r="AA516" s="59"/>
      <c r="AB516" s="59"/>
    </row>
    <row r="517" spans="1:28" ht="13.15" customHeight="1">
      <c r="A517" s="9">
        <f t="shared" ref="A517:A530" si="210">+A516+1</f>
        <v>503</v>
      </c>
      <c r="B517" s="10">
        <f>B516+3</f>
        <v>45785</v>
      </c>
      <c r="C517" s="9">
        <f t="shared" ref="C517:C530" si="211">C516</f>
        <v>842</v>
      </c>
      <c r="D517" s="8">
        <f t="shared" ref="D517:D530" si="212">D516+2</f>
        <v>2181</v>
      </c>
      <c r="E517" s="4">
        <f t="shared" ref="E517:E528" si="213">C517+D517-H517</f>
        <v>1108</v>
      </c>
      <c r="F517" s="4">
        <f t="shared" ref="F517:F528" si="214">C517+D517-I517</f>
        <v>1496</v>
      </c>
      <c r="G517" s="4">
        <f t="shared" ref="G517:G528" si="215">D517+C517-J517</f>
        <v>1056</v>
      </c>
      <c r="H517" s="5">
        <f t="shared" ref="H517:H528" si="216">K517+N517</f>
        <v>1915</v>
      </c>
      <c r="I517" s="5">
        <f t="shared" ref="I517:I528" si="217">L517+O517</f>
        <v>1527</v>
      </c>
      <c r="J517" s="5">
        <f t="shared" ref="J517:J528" si="218">M517+P517</f>
        <v>1967</v>
      </c>
      <c r="K517" s="5">
        <f t="shared" ref="K517:K530" si="219">K516</f>
        <v>3000</v>
      </c>
      <c r="L517" s="5">
        <f t="shared" ref="L517:L530" si="220">L516</f>
        <v>3000</v>
      </c>
      <c r="M517" s="5">
        <f t="shared" ref="M517:M530" si="221">M516</f>
        <v>3000</v>
      </c>
      <c r="N517" s="5">
        <f t="shared" ref="N517:N528" si="222">N516-Q517</f>
        <v>-1085</v>
      </c>
      <c r="O517" s="5">
        <f t="shared" ref="O517:O528" si="223">O516-R517</f>
        <v>-1473</v>
      </c>
      <c r="P517" s="5">
        <f t="shared" ref="P517:P528" si="224">P516-S517</f>
        <v>-1033</v>
      </c>
      <c r="Q517" s="64">
        <v>16</v>
      </c>
      <c r="R517" s="4">
        <v>12</v>
      </c>
      <c r="S517" s="64">
        <v>15</v>
      </c>
      <c r="T517" s="6">
        <f t="shared" ref="T517:T528" si="225">D517+C517-V517</f>
        <v>376</v>
      </c>
      <c r="U517" s="7">
        <f t="shared" ref="U517:U528" si="226">U516+$X517*1000-Q517</f>
        <v>3215</v>
      </c>
      <c r="V517" s="7">
        <f t="shared" ref="V517:V528" si="227">V516+$X517*1000-R517</f>
        <v>2647</v>
      </c>
      <c r="W517" s="7">
        <f t="shared" ref="W517:W528" si="228">W516+$X517*1000-S517</f>
        <v>3577</v>
      </c>
      <c r="X517" s="6"/>
      <c r="Y517" s="5"/>
      <c r="Z517" s="5"/>
      <c r="AA517" s="5"/>
      <c r="AB517" s="5"/>
    </row>
    <row r="518" spans="1:28" ht="13.15" customHeight="1">
      <c r="A518" s="9">
        <f t="shared" si="210"/>
        <v>504</v>
      </c>
      <c r="B518" s="10">
        <f>B517+4</f>
        <v>45789</v>
      </c>
      <c r="C518" s="9">
        <f t="shared" si="211"/>
        <v>842</v>
      </c>
      <c r="D518" s="8">
        <f t="shared" si="212"/>
        <v>2183</v>
      </c>
      <c r="E518" s="4">
        <f t="shared" si="213"/>
        <v>1136</v>
      </c>
      <c r="F518" s="4">
        <f t="shared" si="214"/>
        <v>1523</v>
      </c>
      <c r="G518" s="4">
        <f t="shared" si="215"/>
        <v>1078</v>
      </c>
      <c r="H518" s="5">
        <f t="shared" si="216"/>
        <v>1889</v>
      </c>
      <c r="I518" s="5">
        <f t="shared" si="217"/>
        <v>1502</v>
      </c>
      <c r="J518" s="5">
        <f t="shared" si="218"/>
        <v>1947</v>
      </c>
      <c r="K518" s="5">
        <f t="shared" si="219"/>
        <v>3000</v>
      </c>
      <c r="L518" s="5">
        <f t="shared" si="220"/>
        <v>3000</v>
      </c>
      <c r="M518" s="5">
        <f t="shared" si="221"/>
        <v>3000</v>
      </c>
      <c r="N518" s="5">
        <f t="shared" si="222"/>
        <v>-1111</v>
      </c>
      <c r="O518" s="5">
        <f t="shared" si="223"/>
        <v>-1498</v>
      </c>
      <c r="P518" s="5">
        <f t="shared" si="224"/>
        <v>-1053</v>
      </c>
      <c r="Q518" s="64">
        <v>26</v>
      </c>
      <c r="R518" s="4">
        <v>25</v>
      </c>
      <c r="S518" s="64">
        <v>20</v>
      </c>
      <c r="T518" s="6">
        <f t="shared" si="225"/>
        <v>403</v>
      </c>
      <c r="U518" s="7">
        <f t="shared" si="226"/>
        <v>3189</v>
      </c>
      <c r="V518" s="7">
        <f t="shared" si="227"/>
        <v>2622</v>
      </c>
      <c r="W518" s="7">
        <f t="shared" si="228"/>
        <v>3557</v>
      </c>
      <c r="X518" s="6"/>
      <c r="Y518" s="5"/>
      <c r="Z518" s="5"/>
      <c r="AA518" s="5"/>
      <c r="AB518" s="5"/>
    </row>
    <row r="519" spans="1:28" ht="13.15" customHeight="1">
      <c r="A519" s="9">
        <f t="shared" si="210"/>
        <v>505</v>
      </c>
      <c r="B519" s="10">
        <f>B518+3</f>
        <v>45792</v>
      </c>
      <c r="C519" s="9">
        <f t="shared" si="211"/>
        <v>842</v>
      </c>
      <c r="D519" s="8">
        <f t="shared" si="212"/>
        <v>2185</v>
      </c>
      <c r="E519" s="4">
        <f t="shared" si="213"/>
        <v>1150</v>
      </c>
      <c r="F519" s="4">
        <f t="shared" si="214"/>
        <v>1535</v>
      </c>
      <c r="G519" s="4">
        <f t="shared" si="215"/>
        <v>1090</v>
      </c>
      <c r="H519" s="5">
        <f t="shared" si="216"/>
        <v>1877</v>
      </c>
      <c r="I519" s="5">
        <f t="shared" si="217"/>
        <v>1492</v>
      </c>
      <c r="J519" s="5">
        <f t="shared" si="218"/>
        <v>1937</v>
      </c>
      <c r="K519" s="5">
        <f t="shared" si="219"/>
        <v>3000</v>
      </c>
      <c r="L519" s="5">
        <f t="shared" si="220"/>
        <v>3000</v>
      </c>
      <c r="M519" s="5">
        <f t="shared" si="221"/>
        <v>3000</v>
      </c>
      <c r="N519" s="5">
        <f t="shared" si="222"/>
        <v>-1123</v>
      </c>
      <c r="O519" s="5">
        <f t="shared" si="223"/>
        <v>-1508</v>
      </c>
      <c r="P519" s="5">
        <f t="shared" si="224"/>
        <v>-1063</v>
      </c>
      <c r="Q519" s="64">
        <v>12</v>
      </c>
      <c r="R519" s="4">
        <v>10</v>
      </c>
      <c r="S519" s="64">
        <v>10</v>
      </c>
      <c r="T519" s="6">
        <f t="shared" si="225"/>
        <v>415</v>
      </c>
      <c r="U519" s="7">
        <f t="shared" si="226"/>
        <v>3177</v>
      </c>
      <c r="V519" s="7">
        <f t="shared" si="227"/>
        <v>2612</v>
      </c>
      <c r="W519" s="7">
        <f t="shared" si="228"/>
        <v>3547</v>
      </c>
      <c r="X519" s="6"/>
      <c r="Y519" s="5"/>
      <c r="Z519" s="5"/>
      <c r="AA519" s="5"/>
      <c r="AB519" s="5"/>
    </row>
    <row r="520" spans="1:28" s="60" customFormat="1" ht="13.15" customHeight="1">
      <c r="A520" s="57">
        <f t="shared" si="210"/>
        <v>506</v>
      </c>
      <c r="B520" s="56">
        <f>B519+4</f>
        <v>45796</v>
      </c>
      <c r="C520" s="57">
        <f t="shared" si="211"/>
        <v>842</v>
      </c>
      <c r="D520" s="58">
        <f t="shared" si="212"/>
        <v>2187</v>
      </c>
      <c r="E520" s="59">
        <f t="shared" si="213"/>
        <v>1174</v>
      </c>
      <c r="F520" s="59">
        <f t="shared" si="214"/>
        <v>1559</v>
      </c>
      <c r="G520" s="59">
        <f t="shared" si="215"/>
        <v>1111</v>
      </c>
      <c r="H520" s="59">
        <f t="shared" si="216"/>
        <v>1855</v>
      </c>
      <c r="I520" s="59">
        <f t="shared" si="217"/>
        <v>1470</v>
      </c>
      <c r="J520" s="59">
        <f t="shared" si="218"/>
        <v>1918</v>
      </c>
      <c r="K520" s="59">
        <f t="shared" si="219"/>
        <v>3000</v>
      </c>
      <c r="L520" s="59">
        <f t="shared" si="220"/>
        <v>3000</v>
      </c>
      <c r="M520" s="59">
        <f t="shared" si="221"/>
        <v>3000</v>
      </c>
      <c r="N520" s="59">
        <f t="shared" si="222"/>
        <v>-1145</v>
      </c>
      <c r="O520" s="59">
        <f t="shared" si="223"/>
        <v>-1530</v>
      </c>
      <c r="P520" s="59">
        <f t="shared" si="224"/>
        <v>-1082</v>
      </c>
      <c r="Q520" s="30">
        <v>22</v>
      </c>
      <c r="R520" s="59">
        <v>21.999999999999886</v>
      </c>
      <c r="S520" s="30">
        <v>19</v>
      </c>
      <c r="T520" s="59">
        <f t="shared" si="225"/>
        <v>439</v>
      </c>
      <c r="U520" s="17">
        <f t="shared" si="226"/>
        <v>3155</v>
      </c>
      <c r="V520" s="17">
        <f t="shared" si="227"/>
        <v>2590</v>
      </c>
      <c r="W520" s="17">
        <f t="shared" si="228"/>
        <v>3528</v>
      </c>
      <c r="X520" s="59"/>
      <c r="Y520" s="59"/>
      <c r="Z520" s="59"/>
      <c r="AA520" s="59"/>
      <c r="AB520" s="59"/>
    </row>
    <row r="521" spans="1:28" ht="13.15" customHeight="1">
      <c r="A521" s="9">
        <f t="shared" si="210"/>
        <v>507</v>
      </c>
      <c r="B521" s="10">
        <f>B520+7</f>
        <v>45803</v>
      </c>
      <c r="C521" s="9">
        <f t="shared" si="211"/>
        <v>842</v>
      </c>
      <c r="D521" s="8">
        <f t="shared" si="212"/>
        <v>2189</v>
      </c>
      <c r="E521" s="4">
        <f t="shared" si="213"/>
        <v>1201</v>
      </c>
      <c r="F521" s="4">
        <f t="shared" si="214"/>
        <v>1581</v>
      </c>
      <c r="G521" s="4">
        <f t="shared" si="215"/>
        <v>1137</v>
      </c>
      <c r="H521" s="5">
        <f t="shared" si="216"/>
        <v>1830</v>
      </c>
      <c r="I521" s="5">
        <f t="shared" si="217"/>
        <v>1450</v>
      </c>
      <c r="J521" s="5">
        <f t="shared" si="218"/>
        <v>1894</v>
      </c>
      <c r="K521" s="5">
        <f t="shared" si="219"/>
        <v>3000</v>
      </c>
      <c r="L521" s="5">
        <f t="shared" si="220"/>
        <v>3000</v>
      </c>
      <c r="M521" s="5">
        <f t="shared" si="221"/>
        <v>3000</v>
      </c>
      <c r="N521" s="5">
        <f t="shared" si="222"/>
        <v>-1170</v>
      </c>
      <c r="O521" s="5">
        <f t="shared" si="223"/>
        <v>-1550</v>
      </c>
      <c r="P521" s="5">
        <f t="shared" si="224"/>
        <v>-1106</v>
      </c>
      <c r="Q521" s="64">
        <v>25</v>
      </c>
      <c r="R521" s="4">
        <v>20.000000000000114</v>
      </c>
      <c r="S521" s="64">
        <v>24</v>
      </c>
      <c r="T521" s="6">
        <f t="shared" si="225"/>
        <v>461</v>
      </c>
      <c r="U521" s="7">
        <f t="shared" si="226"/>
        <v>3130</v>
      </c>
      <c r="V521" s="7">
        <f t="shared" si="227"/>
        <v>2570</v>
      </c>
      <c r="W521" s="7">
        <f t="shared" si="228"/>
        <v>3504</v>
      </c>
      <c r="X521" s="6"/>
      <c r="Y521" s="5"/>
      <c r="Z521" s="5"/>
      <c r="AA521" s="5"/>
      <c r="AB521" s="5"/>
    </row>
    <row r="522" spans="1:28" ht="13.15" customHeight="1">
      <c r="A522" s="9">
        <f t="shared" si="210"/>
        <v>508</v>
      </c>
      <c r="B522" s="10">
        <f t="shared" ref="B522:B530" si="229">B521+7</f>
        <v>45810</v>
      </c>
      <c r="C522" s="9">
        <f t="shared" si="211"/>
        <v>842</v>
      </c>
      <c r="D522" s="8">
        <f t="shared" si="212"/>
        <v>2191</v>
      </c>
      <c r="E522" s="4">
        <f t="shared" si="213"/>
        <v>1223</v>
      </c>
      <c r="F522" s="4">
        <f t="shared" si="214"/>
        <v>1601</v>
      </c>
      <c r="G522" s="4">
        <f t="shared" si="215"/>
        <v>1159</v>
      </c>
      <c r="H522" s="5">
        <f t="shared" si="216"/>
        <v>1810</v>
      </c>
      <c r="I522" s="5">
        <f t="shared" si="217"/>
        <v>1432</v>
      </c>
      <c r="J522" s="5">
        <f t="shared" si="218"/>
        <v>1874</v>
      </c>
      <c r="K522" s="5">
        <f t="shared" si="219"/>
        <v>3000</v>
      </c>
      <c r="L522" s="5">
        <f t="shared" si="220"/>
        <v>3000</v>
      </c>
      <c r="M522" s="5">
        <f t="shared" si="221"/>
        <v>3000</v>
      </c>
      <c r="N522" s="5">
        <f t="shared" si="222"/>
        <v>-1190</v>
      </c>
      <c r="O522" s="5">
        <f t="shared" si="223"/>
        <v>-1568</v>
      </c>
      <c r="P522" s="5">
        <f t="shared" si="224"/>
        <v>-1126</v>
      </c>
      <c r="Q522" s="64">
        <v>20</v>
      </c>
      <c r="R522" s="4">
        <v>18</v>
      </c>
      <c r="S522" s="64">
        <v>20</v>
      </c>
      <c r="T522" s="6">
        <f t="shared" si="225"/>
        <v>481</v>
      </c>
      <c r="U522" s="7">
        <f t="shared" si="226"/>
        <v>3110</v>
      </c>
      <c r="V522" s="7">
        <f t="shared" si="227"/>
        <v>2552</v>
      </c>
      <c r="W522" s="7">
        <f t="shared" si="228"/>
        <v>3484</v>
      </c>
      <c r="X522" s="6"/>
      <c r="Y522" s="5"/>
      <c r="Z522" s="5"/>
      <c r="AA522" s="5"/>
      <c r="AB522" s="5"/>
    </row>
    <row r="523" spans="1:28" ht="13.15" customHeight="1">
      <c r="A523" s="9">
        <f t="shared" si="210"/>
        <v>509</v>
      </c>
      <c r="B523" s="10">
        <f t="shared" si="229"/>
        <v>45817</v>
      </c>
      <c r="C523" s="9">
        <f t="shared" si="211"/>
        <v>842</v>
      </c>
      <c r="D523" s="8">
        <f t="shared" si="212"/>
        <v>2193</v>
      </c>
      <c r="E523" s="4">
        <f t="shared" si="213"/>
        <v>1240</v>
      </c>
      <c r="F523" s="4">
        <f t="shared" si="214"/>
        <v>1619</v>
      </c>
      <c r="G523" s="4">
        <f t="shared" si="215"/>
        <v>1181</v>
      </c>
      <c r="H523" s="5">
        <f t="shared" si="216"/>
        <v>1795</v>
      </c>
      <c r="I523" s="5">
        <f t="shared" si="217"/>
        <v>1416</v>
      </c>
      <c r="J523" s="5">
        <f t="shared" si="218"/>
        <v>1854</v>
      </c>
      <c r="K523" s="5">
        <f t="shared" si="219"/>
        <v>3000</v>
      </c>
      <c r="L523" s="5">
        <f t="shared" si="220"/>
        <v>3000</v>
      </c>
      <c r="M523" s="5">
        <f t="shared" si="221"/>
        <v>3000</v>
      </c>
      <c r="N523" s="5">
        <f t="shared" si="222"/>
        <v>-1205</v>
      </c>
      <c r="O523" s="5">
        <f t="shared" si="223"/>
        <v>-1584</v>
      </c>
      <c r="P523" s="5">
        <f t="shared" si="224"/>
        <v>-1146</v>
      </c>
      <c r="Q523" s="64">
        <v>15</v>
      </c>
      <c r="R523" s="4">
        <v>16</v>
      </c>
      <c r="S523" s="64">
        <v>20</v>
      </c>
      <c r="T523" s="6">
        <f t="shared" si="225"/>
        <v>499</v>
      </c>
      <c r="U523" s="7">
        <f t="shared" si="226"/>
        <v>3095</v>
      </c>
      <c r="V523" s="7">
        <f t="shared" si="227"/>
        <v>2536</v>
      </c>
      <c r="W523" s="7">
        <f t="shared" si="228"/>
        <v>3464</v>
      </c>
      <c r="X523" s="6"/>
      <c r="Y523" s="5"/>
      <c r="Z523" s="5"/>
      <c r="AA523" s="5"/>
      <c r="AB523" s="5"/>
    </row>
    <row r="524" spans="1:28" ht="13.15" customHeight="1">
      <c r="A524" s="9">
        <f t="shared" si="210"/>
        <v>510</v>
      </c>
      <c r="B524" s="10">
        <f t="shared" si="229"/>
        <v>45824</v>
      </c>
      <c r="C524" s="9">
        <f t="shared" si="211"/>
        <v>842</v>
      </c>
      <c r="D524" s="8">
        <f t="shared" si="212"/>
        <v>2195</v>
      </c>
      <c r="E524" s="4">
        <f t="shared" si="213"/>
        <v>1255</v>
      </c>
      <c r="F524" s="4">
        <f t="shared" si="214"/>
        <v>1637</v>
      </c>
      <c r="G524" s="4">
        <f t="shared" si="215"/>
        <v>1199</v>
      </c>
      <c r="H524" s="5">
        <f t="shared" si="216"/>
        <v>1782</v>
      </c>
      <c r="I524" s="5">
        <f t="shared" si="217"/>
        <v>1400</v>
      </c>
      <c r="J524" s="5">
        <f t="shared" si="218"/>
        <v>1838</v>
      </c>
      <c r="K524" s="5">
        <f t="shared" si="219"/>
        <v>3000</v>
      </c>
      <c r="L524" s="5">
        <f t="shared" si="220"/>
        <v>3000</v>
      </c>
      <c r="M524" s="5">
        <f t="shared" si="221"/>
        <v>3000</v>
      </c>
      <c r="N524" s="5">
        <f t="shared" si="222"/>
        <v>-1218</v>
      </c>
      <c r="O524" s="5">
        <f t="shared" si="223"/>
        <v>-1600</v>
      </c>
      <c r="P524" s="5">
        <f t="shared" si="224"/>
        <v>-1162</v>
      </c>
      <c r="Q524" s="64">
        <v>13</v>
      </c>
      <c r="R524" s="4">
        <v>16</v>
      </c>
      <c r="S524" s="64">
        <v>16</v>
      </c>
      <c r="T524" s="6">
        <f t="shared" si="225"/>
        <v>517</v>
      </c>
      <c r="U524" s="7">
        <f t="shared" si="226"/>
        <v>3082</v>
      </c>
      <c r="V524" s="7">
        <f t="shared" si="227"/>
        <v>2520</v>
      </c>
      <c r="W524" s="7">
        <f t="shared" si="228"/>
        <v>3448</v>
      </c>
      <c r="X524" s="6"/>
      <c r="Y524" s="5"/>
      <c r="Z524" s="5"/>
      <c r="AA524" s="5"/>
      <c r="AB524" s="5"/>
    </row>
    <row r="525" spans="1:28" ht="13.15" customHeight="1">
      <c r="A525" s="9">
        <f t="shared" si="210"/>
        <v>511</v>
      </c>
      <c r="B525" s="10">
        <f t="shared" si="229"/>
        <v>45831</v>
      </c>
      <c r="C525" s="9">
        <f t="shared" si="211"/>
        <v>842</v>
      </c>
      <c r="D525" s="8">
        <f t="shared" si="212"/>
        <v>2197</v>
      </c>
      <c r="E525" s="4">
        <f t="shared" si="213"/>
        <v>1269</v>
      </c>
      <c r="F525" s="4">
        <f t="shared" si="214"/>
        <v>1654</v>
      </c>
      <c r="G525" s="4">
        <f t="shared" si="215"/>
        <v>1217</v>
      </c>
      <c r="H525" s="5">
        <f t="shared" si="216"/>
        <v>1770</v>
      </c>
      <c r="I525" s="5">
        <f t="shared" si="217"/>
        <v>1385</v>
      </c>
      <c r="J525" s="5">
        <f t="shared" si="218"/>
        <v>1822</v>
      </c>
      <c r="K525" s="5">
        <f t="shared" si="219"/>
        <v>3000</v>
      </c>
      <c r="L525" s="5">
        <f t="shared" si="220"/>
        <v>3000</v>
      </c>
      <c r="M525" s="5">
        <f t="shared" si="221"/>
        <v>3000</v>
      </c>
      <c r="N525" s="5">
        <f t="shared" si="222"/>
        <v>-1230</v>
      </c>
      <c r="O525" s="5">
        <f t="shared" si="223"/>
        <v>-1615</v>
      </c>
      <c r="P525" s="5">
        <f t="shared" si="224"/>
        <v>-1178</v>
      </c>
      <c r="Q525" s="64">
        <v>12</v>
      </c>
      <c r="R525" s="4">
        <v>15</v>
      </c>
      <c r="S525" s="64">
        <v>16</v>
      </c>
      <c r="T525" s="6">
        <f t="shared" si="225"/>
        <v>534</v>
      </c>
      <c r="U525" s="7">
        <f t="shared" si="226"/>
        <v>3070</v>
      </c>
      <c r="V525" s="7">
        <f t="shared" si="227"/>
        <v>2505</v>
      </c>
      <c r="W525" s="7">
        <f t="shared" si="228"/>
        <v>3432</v>
      </c>
      <c r="X525" s="6"/>
      <c r="Y525" s="5"/>
      <c r="Z525" s="5"/>
      <c r="AA525" s="5"/>
      <c r="AB525" s="5"/>
    </row>
    <row r="526" spans="1:28" ht="13.15" customHeight="1">
      <c r="A526" s="9">
        <f t="shared" si="210"/>
        <v>512</v>
      </c>
      <c r="B526" s="10">
        <f t="shared" si="229"/>
        <v>45838</v>
      </c>
      <c r="C526" s="9">
        <f t="shared" si="211"/>
        <v>842</v>
      </c>
      <c r="D526" s="8">
        <f t="shared" si="212"/>
        <v>2199</v>
      </c>
      <c r="E526" s="4">
        <f t="shared" si="213"/>
        <v>1281</v>
      </c>
      <c r="F526" s="4">
        <f t="shared" si="214"/>
        <v>1671</v>
      </c>
      <c r="G526" s="4">
        <f t="shared" si="215"/>
        <v>1233</v>
      </c>
      <c r="H526" s="5">
        <f t="shared" si="216"/>
        <v>1760</v>
      </c>
      <c r="I526" s="5">
        <f t="shared" si="217"/>
        <v>1370</v>
      </c>
      <c r="J526" s="5">
        <f t="shared" si="218"/>
        <v>1808</v>
      </c>
      <c r="K526" s="5">
        <f t="shared" si="219"/>
        <v>3000</v>
      </c>
      <c r="L526" s="5">
        <f t="shared" si="220"/>
        <v>3000</v>
      </c>
      <c r="M526" s="5">
        <f t="shared" si="221"/>
        <v>3000</v>
      </c>
      <c r="N526" s="5">
        <f t="shared" si="222"/>
        <v>-1240</v>
      </c>
      <c r="O526" s="5">
        <f t="shared" si="223"/>
        <v>-1630</v>
      </c>
      <c r="P526" s="5">
        <f t="shared" si="224"/>
        <v>-1192</v>
      </c>
      <c r="Q526" s="64">
        <v>10</v>
      </c>
      <c r="R526" s="4">
        <v>15</v>
      </c>
      <c r="S526" s="64">
        <v>14</v>
      </c>
      <c r="T526" s="6">
        <f t="shared" si="225"/>
        <v>551</v>
      </c>
      <c r="U526" s="7">
        <f t="shared" si="226"/>
        <v>3060</v>
      </c>
      <c r="V526" s="7">
        <f t="shared" si="227"/>
        <v>2490</v>
      </c>
      <c r="W526" s="7">
        <f t="shared" si="228"/>
        <v>3418</v>
      </c>
      <c r="X526" s="6"/>
      <c r="Y526" s="5"/>
      <c r="Z526" s="5"/>
      <c r="AA526" s="5"/>
      <c r="AB526" s="5"/>
    </row>
    <row r="527" spans="1:28" ht="13.15" customHeight="1">
      <c r="A527" s="9">
        <f t="shared" si="210"/>
        <v>513</v>
      </c>
      <c r="B527" s="10">
        <f t="shared" si="229"/>
        <v>45845</v>
      </c>
      <c r="C527" s="9">
        <f t="shared" si="211"/>
        <v>842</v>
      </c>
      <c r="D527" s="8">
        <f t="shared" si="212"/>
        <v>2201</v>
      </c>
      <c r="E527" s="4">
        <f t="shared" si="213"/>
        <v>1293</v>
      </c>
      <c r="F527" s="4">
        <f t="shared" si="214"/>
        <v>1686</v>
      </c>
      <c r="G527" s="4">
        <f t="shared" si="215"/>
        <v>1247</v>
      </c>
      <c r="H527" s="5">
        <f t="shared" si="216"/>
        <v>1750</v>
      </c>
      <c r="I527" s="5">
        <f t="shared" si="217"/>
        <v>1357</v>
      </c>
      <c r="J527" s="5">
        <f t="shared" si="218"/>
        <v>1796</v>
      </c>
      <c r="K527" s="5">
        <f t="shared" si="219"/>
        <v>3000</v>
      </c>
      <c r="L527" s="5">
        <f t="shared" si="220"/>
        <v>3000</v>
      </c>
      <c r="M527" s="5">
        <f t="shared" si="221"/>
        <v>3000</v>
      </c>
      <c r="N527" s="5">
        <f t="shared" si="222"/>
        <v>-1250</v>
      </c>
      <c r="O527" s="5">
        <f t="shared" si="223"/>
        <v>-1643</v>
      </c>
      <c r="P527" s="5">
        <f t="shared" si="224"/>
        <v>-1204</v>
      </c>
      <c r="Q527" s="9">
        <v>10</v>
      </c>
      <c r="R527" s="4">
        <v>13</v>
      </c>
      <c r="S527" s="9">
        <v>12</v>
      </c>
      <c r="T527" s="6">
        <f t="shared" si="225"/>
        <v>566</v>
      </c>
      <c r="U527" s="7">
        <f t="shared" si="226"/>
        <v>3050</v>
      </c>
      <c r="V527" s="7">
        <f t="shared" si="227"/>
        <v>2477</v>
      </c>
      <c r="W527" s="7">
        <f t="shared" si="228"/>
        <v>3406</v>
      </c>
      <c r="X527" s="6"/>
      <c r="Y527" s="5"/>
      <c r="Z527" s="5"/>
      <c r="AA527" s="5"/>
      <c r="AB527" s="5"/>
    </row>
    <row r="528" spans="1:28" ht="13.15" customHeight="1">
      <c r="A528" s="9">
        <f t="shared" si="210"/>
        <v>514</v>
      </c>
      <c r="B528" s="10">
        <f t="shared" si="229"/>
        <v>45852</v>
      </c>
      <c r="C528" s="9">
        <f t="shared" si="211"/>
        <v>842</v>
      </c>
      <c r="D528" s="8">
        <f t="shared" si="212"/>
        <v>2203</v>
      </c>
      <c r="E528" s="4">
        <f t="shared" si="213"/>
        <v>1305</v>
      </c>
      <c r="F528" s="4">
        <f t="shared" si="214"/>
        <v>1700</v>
      </c>
      <c r="G528" s="4">
        <f t="shared" si="215"/>
        <v>1259</v>
      </c>
      <c r="H528" s="5">
        <f t="shared" si="216"/>
        <v>1740</v>
      </c>
      <c r="I528" s="5">
        <f t="shared" si="217"/>
        <v>1345</v>
      </c>
      <c r="J528" s="5">
        <f t="shared" si="218"/>
        <v>1786</v>
      </c>
      <c r="K528" s="5">
        <f t="shared" si="219"/>
        <v>3000</v>
      </c>
      <c r="L528" s="5">
        <f t="shared" si="220"/>
        <v>3000</v>
      </c>
      <c r="M528" s="5">
        <f t="shared" si="221"/>
        <v>3000</v>
      </c>
      <c r="N528" s="5">
        <f t="shared" si="222"/>
        <v>-1260</v>
      </c>
      <c r="O528" s="5">
        <f t="shared" si="223"/>
        <v>-1655</v>
      </c>
      <c r="P528" s="5">
        <f t="shared" si="224"/>
        <v>-1214</v>
      </c>
      <c r="Q528" s="64">
        <v>10</v>
      </c>
      <c r="R528" s="4">
        <v>12</v>
      </c>
      <c r="S528" s="64">
        <v>10</v>
      </c>
      <c r="T528" s="6">
        <f t="shared" si="225"/>
        <v>580</v>
      </c>
      <c r="U528" s="7">
        <f t="shared" si="226"/>
        <v>3040</v>
      </c>
      <c r="V528" s="7">
        <f t="shared" si="227"/>
        <v>2465</v>
      </c>
      <c r="W528" s="7">
        <f t="shared" si="228"/>
        <v>3396</v>
      </c>
      <c r="X528" s="6"/>
      <c r="Y528" s="5"/>
      <c r="Z528" s="5"/>
      <c r="AA528" s="5"/>
      <c r="AB528" s="5"/>
    </row>
    <row r="529" spans="1:28" ht="13.15" customHeight="1">
      <c r="A529" s="9">
        <f t="shared" si="210"/>
        <v>515</v>
      </c>
      <c r="B529" s="10">
        <f t="shared" si="229"/>
        <v>45859</v>
      </c>
      <c r="C529" s="9">
        <f t="shared" si="211"/>
        <v>842</v>
      </c>
      <c r="D529" s="8">
        <f t="shared" si="212"/>
        <v>2205</v>
      </c>
      <c r="E529" s="4">
        <f t="shared" ref="E529:E530" si="230">C529+D529-H529</f>
        <v>1316</v>
      </c>
      <c r="F529" s="4">
        <f t="shared" ref="F529:F530" si="231">C529+D529-I529</f>
        <v>1712</v>
      </c>
      <c r="G529" s="4">
        <f t="shared" ref="G529:G530" si="232">D529+C529-J529</f>
        <v>1271</v>
      </c>
      <c r="H529" s="5">
        <f t="shared" ref="H529:H530" si="233">K529+N529</f>
        <v>1731</v>
      </c>
      <c r="I529" s="5">
        <f t="shared" ref="I529:I530" si="234">L529+O529</f>
        <v>1335</v>
      </c>
      <c r="J529" s="5">
        <f t="shared" ref="J529:J530" si="235">M529+P529</f>
        <v>1776</v>
      </c>
      <c r="K529" s="5">
        <f t="shared" si="219"/>
        <v>3000</v>
      </c>
      <c r="L529" s="5">
        <f t="shared" si="220"/>
        <v>3000</v>
      </c>
      <c r="M529" s="5">
        <f t="shared" si="221"/>
        <v>3000</v>
      </c>
      <c r="N529" s="5">
        <f t="shared" ref="N529:N530" si="236">N528-Q529</f>
        <v>-1269</v>
      </c>
      <c r="O529" s="5">
        <f t="shared" ref="O529:O530" si="237">O528-R529</f>
        <v>-1665</v>
      </c>
      <c r="P529" s="5">
        <f t="shared" ref="P529:P530" si="238">P528-S529</f>
        <v>-1224</v>
      </c>
      <c r="Q529" s="64">
        <v>9</v>
      </c>
      <c r="R529" s="62">
        <v>10</v>
      </c>
      <c r="S529" s="64">
        <v>10</v>
      </c>
      <c r="T529" s="6">
        <f t="shared" ref="T529:T530" si="239">D529+C529-V529</f>
        <v>592</v>
      </c>
      <c r="U529" s="7">
        <f t="shared" ref="U529:U530" si="240">U528+$X529*1000-Q529</f>
        <v>3031</v>
      </c>
      <c r="V529" s="7">
        <f t="shared" ref="V529:V530" si="241">V528+$X529*1000-R529</f>
        <v>2455</v>
      </c>
      <c r="W529" s="7">
        <f t="shared" ref="W529:W530" si="242">W528+$X529*1000-S529</f>
        <v>3386</v>
      </c>
      <c r="X529" s="6"/>
      <c r="Y529" s="5"/>
      <c r="Z529" s="5"/>
      <c r="AA529" s="5"/>
      <c r="AB529" s="5"/>
    </row>
    <row r="530" spans="1:28" ht="13.15" customHeight="1">
      <c r="A530" s="9">
        <f t="shared" si="210"/>
        <v>516</v>
      </c>
      <c r="B530" s="10">
        <f t="shared" si="229"/>
        <v>45866</v>
      </c>
      <c r="C530" s="9">
        <f t="shared" si="211"/>
        <v>842</v>
      </c>
      <c r="D530" s="8">
        <f t="shared" si="212"/>
        <v>2207</v>
      </c>
      <c r="E530" s="4">
        <f t="shared" si="230"/>
        <v>1327</v>
      </c>
      <c r="F530" s="4">
        <f t="shared" si="231"/>
        <v>1724</v>
      </c>
      <c r="G530" s="4">
        <f t="shared" si="232"/>
        <v>1282</v>
      </c>
      <c r="H530" s="5">
        <f t="shared" si="233"/>
        <v>1722</v>
      </c>
      <c r="I530" s="5">
        <f t="shared" si="234"/>
        <v>1325</v>
      </c>
      <c r="J530" s="5">
        <f t="shared" si="235"/>
        <v>1767</v>
      </c>
      <c r="K530" s="5">
        <f t="shared" si="219"/>
        <v>3000</v>
      </c>
      <c r="L530" s="5">
        <f t="shared" si="220"/>
        <v>3000</v>
      </c>
      <c r="M530" s="5">
        <f t="shared" si="221"/>
        <v>3000</v>
      </c>
      <c r="N530" s="5">
        <f t="shared" si="236"/>
        <v>-1278</v>
      </c>
      <c r="O530" s="5">
        <f t="shared" si="237"/>
        <v>-1675</v>
      </c>
      <c r="P530" s="5">
        <f t="shared" si="238"/>
        <v>-1233</v>
      </c>
      <c r="Q530" s="64">
        <v>9</v>
      </c>
      <c r="R530" s="63">
        <v>10</v>
      </c>
      <c r="S530" s="64">
        <v>9</v>
      </c>
      <c r="T530" s="6">
        <f t="shared" si="239"/>
        <v>604</v>
      </c>
      <c r="U530" s="7">
        <f t="shared" si="240"/>
        <v>3022</v>
      </c>
      <c r="V530" s="7">
        <f t="shared" si="241"/>
        <v>2445</v>
      </c>
      <c r="W530" s="7">
        <f t="shared" si="242"/>
        <v>3377</v>
      </c>
      <c r="X530" s="6"/>
      <c r="Y530" s="5"/>
      <c r="Z530" s="5"/>
      <c r="AA530" s="5"/>
      <c r="AB530" s="5"/>
    </row>
    <row r="531" spans="1:28" ht="13.15" customHeight="1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</row>
    <row r="532" spans="1:28" ht="13.15" customHeight="1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</row>
    <row r="533" spans="1:28" ht="13.15" customHeight="1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>
        <v>-1278</v>
      </c>
      <c r="O533">
        <v>-1670</v>
      </c>
      <c r="P533">
        <v>-1224</v>
      </c>
      <c r="Q533" s="61">
        <f>N533-N530</f>
        <v>0</v>
      </c>
      <c r="R533" s="61">
        <f t="shared" ref="R533:S533" si="243">O533-O530</f>
        <v>5</v>
      </c>
      <c r="S533" s="61">
        <f t="shared" si="243"/>
        <v>9</v>
      </c>
      <c r="T533"/>
      <c r="U533"/>
      <c r="V533"/>
      <c r="W533"/>
      <c r="X533"/>
      <c r="Y533"/>
      <c r="Z533"/>
      <c r="AA533"/>
      <c r="AB533"/>
    </row>
    <row r="534" spans="1:28" ht="13.15" customHeight="1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</row>
    <row r="535" spans="1:28" ht="13.15" customHeight="1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</row>
  </sheetData>
  <mergeCells count="27">
    <mergeCell ref="H12:J12"/>
    <mergeCell ref="K12:M12"/>
    <mergeCell ref="A12:A13"/>
    <mergeCell ref="B12:B13"/>
    <mergeCell ref="C12:C13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433" max="16383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114+840</vt:lpstr>
      <vt:lpstr>'114+840'!Print_Area</vt:lpstr>
      <vt:lpstr>'114+840'!Print_Titles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2025-07-22T03:03:13Z</dcterms:created>
  <dcterms:modified xsi:type="dcterms:W3CDTF">2025-07-29T03:13:56Z</dcterms:modified>
</cp:coreProperties>
</file>