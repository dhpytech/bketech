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Vba\bketech\NHA THAU HAI DANG\Km114+220 - Km116+836\"/>
    </mc:Choice>
  </mc:AlternateContent>
  <xr:revisionPtr revIDLastSave="0" documentId="13_ncr:1_{3B899BD0-4B1A-4063-9043-24711899DD47}" xr6:coauthVersionLast="47" xr6:coauthVersionMax="47" xr10:uidLastSave="{00000000-0000-0000-0000-000000000000}"/>
  <bookViews>
    <workbookView xWindow="-8325" yWindow="-16320" windowWidth="29040" windowHeight="15720" xr2:uid="{0E953F2A-9C67-46F1-B5C3-87B3F5C7E4AD}"/>
  </bookViews>
  <sheets>
    <sheet name="114+220" sheetId="2" r:id="rId1"/>
  </sheets>
  <externalReferences>
    <externalReference r:id="rId2"/>
    <externalReference r:id="rId3"/>
    <externalReference r:id="rId4"/>
  </externalReferences>
  <definedNames>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tu4" hidden="1">{"'Sheet1'!$L$16"}</definedName>
    <definedName name="_________________________________________________________________________tu4" hidden="1">{"'Sheet1'!$L$16"}</definedName>
    <definedName name="_______________________________________________________________________tu4" hidden="1">{"'Sheet1'!$L$16"}</definedName>
    <definedName name="_____________________________________________________________________tu4" hidden="1">{"'Sheet1'!$L$16"}</definedName>
    <definedName name="___________________________________________________________________tu4" hidden="1">{"'Sheet1'!$L$16"}</definedName>
    <definedName name="_________________________________________________________________tu4" hidden="1">{"'Sheet1'!$L$16"}</definedName>
    <definedName name="_______________________________________________________________tu4" hidden="1">{"'Sheet1'!$L$16"}</definedName>
    <definedName name="_____________________________________________________________tu4" hidden="1">{"'Sheet1'!$L$16"}</definedName>
    <definedName name="___________________________________________________________tu4" hidden="1">{"'Sheet1'!$L$16"}</definedName>
    <definedName name="_________________________________________________________tu4" hidden="1">{"'Sheet1'!$L$16"}</definedName>
    <definedName name="_______________________________________________________tu4" hidden="1">{"'Sheet1'!$L$16"}</definedName>
    <definedName name="_____________________________________________________tu4" hidden="1">{"'Sheet1'!$L$16"}</definedName>
    <definedName name="___________________________________________________tu4" hidden="1">{"'Sheet1'!$L$16"}</definedName>
    <definedName name="_________________________________________________tu4" hidden="1">{"'Sheet1'!$L$16"}</definedName>
    <definedName name="_______________________________________________tu4" hidden="1">{"'Sheet1'!$L$16"}</definedName>
    <definedName name="_____________________________________________tu4" hidden="1">{"'Sheet1'!$L$16"}</definedName>
    <definedName name="___________________________________________tu4" hidden="1">{"'Sheet1'!$L$16"}</definedName>
    <definedName name="_________________________________________tu4" hidden="1">{"'Sheet1'!$L$16"}</definedName>
    <definedName name="_______________________________________tu4" hidden="1">{"'Sheet1'!$L$16"}</definedName>
    <definedName name="_____________________________________tu4" hidden="1">{"'Sheet1'!$L$16"}</definedName>
    <definedName name="___________________________________tu4" hidden="1">{"'Sheet1'!$L$16"}</definedName>
    <definedName name="__________________________________tu4" hidden="1">{"'Sheet1'!$L$16"}</definedName>
    <definedName name="_________________________________tu4" hidden="1">{"'Sheet1'!$L$16"}</definedName>
    <definedName name="_______________________________tu4" hidden="1">{"'Sheet1'!$L$16"}</definedName>
    <definedName name="_____________________________tu4" hidden="1">{"'Sheet1'!$L$16"}</definedName>
    <definedName name="___________________________tu4" hidden="1">{"'Sheet1'!$L$16"}</definedName>
    <definedName name="_________________________tu4" hidden="1">{"'Sheet1'!$L$16"}</definedName>
    <definedName name="________________________tu" hidden="1">{"'Sheet1'!$L$16"}</definedName>
    <definedName name="_______________________tu4" hidden="1">{"'Sheet1'!$L$16"}</definedName>
    <definedName name="______________________a1" hidden="1">{"'Sheet1'!$L$16"}</definedName>
    <definedName name="_____________________a1" hidden="1">{"'Sheet1'!$L$16"}</definedName>
    <definedName name="_____________________CN1" hidden="1">{"'Sheet1'!$L$16"}</definedName>
    <definedName name="_____________________tt3" hidden="1">{"'Sheet1'!$L$16"}</definedName>
    <definedName name="_____________________tu4"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SCL4" hidden="1">{"'Sheet1'!$L$16"}</definedName>
    <definedName name="____________________tt3" hidden="1">{"'Sheet1'!$L$16"}</definedName>
    <definedName name="___________________a1" hidden="1">{"'Sheet1'!$L$16"}</definedName>
    <definedName name="___________________BG12" hidden="1">{"'Sheet1'!$L$16"}</definedName>
    <definedName name="___________________cep1" hidden="1">{"'Sheet1'!$L$16"}</definedName>
    <definedName name="___________________CN1" hidden="1">{"'Sheet1'!$L$16"}</definedName>
    <definedName name="___________________Goi8" hidden="1">{"'Sheet1'!$L$16"}</definedName>
    <definedName name="___________________Lan1" hidden="1">{"'Sheet1'!$L$16"}</definedName>
    <definedName name="___________________LAN3" hidden="1">{"'Sheet1'!$L$16"}</definedName>
    <definedName name="___________________PA3" hidden="1">{"'Sheet1'!$L$16"}</definedName>
    <definedName name="___________________SCL4" hidden="1">{"'Sheet1'!$L$16"}</definedName>
    <definedName name="___________________tt3" hidden="1">{"'Sheet1'!$L$16"}</definedName>
    <definedName name="___________________tu4" hidden="1">{"'Sheet1'!$L$16"}</definedName>
    <definedName name="__________________a1" hidden="1">{"'Sheet1'!$L$16"}</definedName>
    <definedName name="__________________BG12" hidden="1">{"'Sheet1'!$L$16"}</definedName>
    <definedName name="__________________cep1"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Lan1" hidden="1">{"'Sheet1'!$L$16"}</definedName>
    <definedName name="__________________LAN3" hidden="1">{"'Sheet1'!$L$16"}</definedName>
    <definedName name="__________________MN2" hidden="1">{"'Sheet1'!$L$16"}</definedName>
    <definedName name="__________________PA3" hidden="1">{"'Sheet1'!$L$16"}</definedName>
    <definedName name="__________________SCL4" hidden="1">{"'Sheet1'!$L$16"}</definedName>
    <definedName name="__________________tb2" hidden="1">{"'Sheet1'!$L$16"}</definedName>
    <definedName name="__________________tt3" hidden="1">{"'Sheet1'!$L$16"}</definedName>
    <definedName name="__________________tu4" hidden="1">{"'Sheet1'!$L$16"}</definedName>
    <definedName name="_________________a1" hidden="1">{"'Sheet1'!$L$16"}</definedName>
    <definedName name="_________________a130" hidden="1">{"Offgrid",#N/A,FALSE,"OFFGRID";"Region",#N/A,FALSE,"REGION";"Offgrid -2",#N/A,FALSE,"OFFGRID";"WTP",#N/A,FALSE,"WTP";"WTP -2",#N/A,FALSE,"WTP";"Project",#N/A,FALSE,"PROJECT";"Summary -2",#N/A,FALSE,"SUMMARY"}</definedName>
    <definedName name="_________________a2" hidden="1">{"'Sheet1'!$L$16"}</definedName>
    <definedName name="_________________cep1" hidden="1">{"'Sheet1'!$L$16"}</definedName>
    <definedName name="_________________CN1" hidden="1">{"'Sheet1'!$L$16"}</definedName>
    <definedName name="_________________Goi8"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Lan1" hidden="1">{"'Sheet1'!$L$16"}</definedName>
    <definedName name="_________________LAN3" hidden="1">{"'Sheet1'!$L$16"}</definedName>
    <definedName name="_________________MN2" hidden="1">{"'Sheet1'!$L$16"}</definedName>
    <definedName name="_________________PA3" hidden="1">{"'Sheet1'!$L$16"}</definedName>
    <definedName name="_________________SCL4" hidden="1">{"'Sheet1'!$L$16"}</definedName>
    <definedName name="_________________tb2" hidden="1">{"'Sheet1'!$L$16"}</definedName>
    <definedName name="_________________tt3" hidden="1">{"'Sheet1'!$L$16"}</definedName>
    <definedName name="________________a1" hidden="1">{"'Sheet1'!$L$16"}</definedName>
    <definedName name="________________a130" hidden="1">{"Offgrid",#N/A,FALSE,"OFFGRID";"Region",#N/A,FALSE,"REGION";"Offgrid -2",#N/A,FALSE,"OFFGRID";"WTP",#N/A,FALSE,"WTP";"WTP -2",#N/A,FALSE,"WTP";"Project",#N/A,FALSE,"PROJECT";"Summary -2",#N/A,FALSE,"SUMMARY"}</definedName>
    <definedName name="________________a2" hidden="1">{"'Sheet1'!$L$16"}</definedName>
    <definedName name="________________BG12" hidden="1">{"'Sheet1'!$L$16"}</definedName>
    <definedName name="________________cep1" hidden="1">{"'Sheet1'!$L$16"}</definedName>
    <definedName name="________________CN1"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Lan1" hidden="1">{"'Sheet1'!$L$16"}</definedName>
    <definedName name="________________LAN3" hidden="1">{"'Sheet1'!$L$16"}</definedName>
    <definedName name="________________MN2" hidden="1">{"'Sheet1'!$L$16"}</definedName>
    <definedName name="________________PA3" hidden="1">{"'Sheet1'!$L$16"}</definedName>
    <definedName name="________________SCL4" hidden="1">{"'Sheet1'!$L$16"}</definedName>
    <definedName name="________________tb2" hidden="1">{"'Sheet1'!$L$16"}</definedName>
    <definedName name="________________tt3" hidden="1">{"'Sheet1'!$L$16"}</definedName>
    <definedName name="________________tu4" hidden="1">{"'Sheet1'!$L$16"}</definedName>
    <definedName name="_______________a1" hidden="1">{"'Sheet1'!$L$16"}</definedName>
    <definedName name="_______________a130" hidden="1">{"Offgrid",#N/A,FALSE,"OFFGRID";"Region",#N/A,FALSE,"REGION";"Offgrid -2",#N/A,FALSE,"OFFGRID";"WTP",#N/A,FALSE,"WTP";"WTP -2",#N/A,FALSE,"WTP";"Project",#N/A,FALSE,"PROJECT";"Summary -2",#N/A,FALSE,"SUMMARY"}</definedName>
    <definedName name="_______________a2" hidden="1">{"'Sheet1'!$L$16"}</definedName>
    <definedName name="_______________BG12" hidden="1">{"'Sheet1'!$L$16"}</definedName>
    <definedName name="_______________cep1" hidden="1">{"'Sheet1'!$L$16"}</definedName>
    <definedName name="_______________CN1"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Lan1" hidden="1">{"'Sheet1'!$L$16"}</definedName>
    <definedName name="_______________LAN3" hidden="1">{"'Sheet1'!$L$16"}</definedName>
    <definedName name="_______________MN2" hidden="1">{"'Sheet1'!$L$16"}</definedName>
    <definedName name="_______________PA3" hidden="1">{"'Sheet1'!$L$16"}</definedName>
    <definedName name="_______________SCL4" hidden="1">{"'Sheet1'!$L$16"}</definedName>
    <definedName name="_______________tb2" hidden="1">{"'Sheet1'!$L$16"}</definedName>
    <definedName name="_______________tt3" hidden="1">{"'Sheet1'!$L$16"}</definedName>
    <definedName name="_______________tu4" hidden="1">{"'Sheet1'!$L$16"}</definedName>
    <definedName name="_______________xlfn.BAHTTEXT" hidden="1">#NAME?</definedName>
    <definedName name="______________a1" hidden="1">{"'Sheet1'!$L$16"}</definedName>
    <definedName name="______________a130" hidden="1">{"Offgrid",#N/A,FALSE,"OFFGRID";"Region",#N/A,FALSE,"REGION";"Offgrid -2",#N/A,FALSE,"OFFGRID";"WTP",#N/A,FALSE,"WTP";"WTP -2",#N/A,FALSE,"WTP";"Project",#N/A,FALSE,"PROJECT";"Summary -2",#N/A,FALSE,"SUMMARY"}</definedName>
    <definedName name="______________a2" hidden="1">{"'Sheet1'!$L$16"}</definedName>
    <definedName name="______________BG12" hidden="1">{"'Sheet1'!$L$16"}</definedName>
    <definedName name="______________cep1" hidden="1">{"'Sheet1'!$L$16"}</definedName>
    <definedName name="______________CN1" hidden="1">{"'Sheet1'!$L$16"}</definedName>
    <definedName name="______________d1500"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y1" hidden="1">{"'Sheet1'!$L$16"}</definedName>
    <definedName name="______________Lan1" hidden="1">{"'Sheet1'!$L$16"}</definedName>
    <definedName name="______________LAN3" hidden="1">{"'Sheet1'!$L$16"}</definedName>
    <definedName name="______________MN2" hidden="1">{"'Sheet1'!$L$16"}</definedName>
    <definedName name="______________NSO2" hidden="1">{"'Sheet1'!$L$16"}</definedName>
    <definedName name="______________PA3" hidden="1">{"'Sheet1'!$L$16"}</definedName>
    <definedName name="______________SCL4" hidden="1">{"'Sheet1'!$L$16"}</definedName>
    <definedName name="______________tb2" hidden="1">{"'Sheet1'!$L$16"}</definedName>
    <definedName name="______________tt3" hidden="1">{"'Sheet1'!$L$16"}</definedName>
    <definedName name="______________xlfn.BAHTTEXT" hidden="1">#NAME?</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hidden="1">{"'Sheet1'!$L$16"}</definedName>
    <definedName name="_____________BG12" hidden="1">{"'Sheet1'!$L$16"}</definedName>
    <definedName name="_____________CN1" hidden="1">{"'Sheet1'!$L$16"}</definedName>
    <definedName name="_____________d1500"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y1" hidden="1">{"'Sheet1'!$L$16"}</definedName>
    <definedName name="_____________KL1048" hidden="1">{"'Sheet1'!$L$16"}</definedName>
    <definedName name="_____________Lan1" hidden="1">{"'Sheet1'!$L$16"}</definedName>
    <definedName name="_____________LAN3" hidden="1">{"'Sheet1'!$L$16"}</definedName>
    <definedName name="_____________NSO2" hidden="1">{"'Sheet1'!$L$16"}</definedName>
    <definedName name="_____________PA3" hidden="1">{"'Sheet1'!$L$16"}</definedName>
    <definedName name="_____________SCL4" hidden="1">{"'Sheet1'!$L$16"}</definedName>
    <definedName name="_____________tb2" hidden="1">{"'Sheet1'!$L$16"}</definedName>
    <definedName name="_____________tt3" hidden="1">{"'Sheet1'!$L$16"}</definedName>
    <definedName name="_____________tu4" hidden="1">{"'Sheet1'!$L$16"}</definedName>
    <definedName name="_____________xlfn.BAHTTEXT" hidden="1">#NAME?</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hidden="1">{"'Sheet1'!$L$16"}</definedName>
    <definedName name="____________BG12" hidden="1">{"'Sheet1'!$L$16"}</definedName>
    <definedName name="____________CN1" hidden="1">{"'Sheet1'!$L$16"}</definedName>
    <definedName name="____________d1500"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y1" hidden="1">{"'Sheet1'!$L$16"}</definedName>
    <definedName name="____________K146" hidden="1">{"'Sheet1'!$L$16"}</definedName>
    <definedName name="____________Lan1" hidden="1">{"'Sheet1'!$L$16"}</definedName>
    <definedName name="____________LAN3" hidden="1">{"'Sheet1'!$L$16"}</definedName>
    <definedName name="____________MN2" hidden="1">{"'Sheet1'!$L$16"}</definedName>
    <definedName name="____________NK5" hidden="1">{"'Sheet1'!$L$16"}</definedName>
    <definedName name="____________NSO2" hidden="1">{"'Sheet1'!$L$16"}</definedName>
    <definedName name="____________PA3" hidden="1">{"'Sheet1'!$L$16"}</definedName>
    <definedName name="____________SCL4" hidden="1">{"'Sheet1'!$L$16"}</definedName>
    <definedName name="____________tt3" hidden="1">{"'Sheet1'!$L$16"}</definedName>
    <definedName name="____________VLP2" hidden="1">{"'Sheet1'!$L$16"}</definedName>
    <definedName name="____________xlfn.BAHTTEXT" hidden="1">#NAME?</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1" hidden="1">{"'Sheet1'!$L$16"}</definedName>
    <definedName name="___________d1500" hidden="1">{"'Sheet1'!$L$16"}</definedName>
    <definedName name="___________D2" hidden="1">{"'Sheet1'!$L$16"}</definedName>
    <definedName name="___________GD1" hidden="1">{#N/A,#N/A,FALSE,"Chi tiÆt"}</definedName>
    <definedName name="___________GD2"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y1" hidden="1">{"'Sheet1'!$L$16"}</definedName>
    <definedName name="___________K146" hidden="1">{"'Sheet1'!$L$16"}</definedName>
    <definedName name="___________KL1048" hidden="1">{"'Sheet1'!$L$16"}</definedName>
    <definedName name="___________Lan1" hidden="1">{"'Sheet1'!$L$16"}</definedName>
    <definedName name="___________LAN3" hidden="1">{"'Sheet1'!$L$16"}</definedName>
    <definedName name="___________NSO2" hidden="1">{"'Sheet1'!$L$16"}</definedName>
    <definedName name="___________PA3" hidden="1">{"'Sheet1'!$L$16"}</definedName>
    <definedName name="___________pa4" hidden="1">{"'Sheet1'!$L$16"}</definedName>
    <definedName name="___________SCL4" hidden="1">{"'Sheet1'!$L$16"}</definedName>
    <definedName name="___________tb2" hidden="1">{"'Sheet1'!$L$16"}</definedName>
    <definedName name="___________tt3" hidden="1">{"'Sheet1'!$L$16"}</definedName>
    <definedName name="___________tu4" hidden="1">{"'Sheet1'!$L$16"}</definedName>
    <definedName name="___________xlfn.BAHTTEXT" hidden="1">#NAME?</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a3" hidden="1">{"'Sheet1'!$L$16"}</definedName>
    <definedName name="__________BG12" hidden="1">{"'Sheet1'!$L$16"}</definedName>
    <definedName name="__________CN1" hidden="1">{"'Sheet1'!$L$16"}</definedName>
    <definedName name="__________D1" hidden="1">{"'Sheet1'!$L$16"}</definedName>
    <definedName name="__________d1500" hidden="1">{"'Sheet1'!$L$16"}</definedName>
    <definedName name="__________D2" hidden="1">{"'Sheet1'!$L$16"}</definedName>
    <definedName name="__________GD1" hidden="1">{#N/A,#N/A,FALSE,"Chi tiÆt"}</definedName>
    <definedName name="__________GD2"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y1" hidden="1">{"'Sheet1'!$L$16"}</definedName>
    <definedName name="__________Lan1" hidden="1">{"'Sheet1'!$L$16"}</definedName>
    <definedName name="__________LAN3" hidden="1">{"'Sheet1'!$L$16"}</definedName>
    <definedName name="__________NSO2" hidden="1">{"'Sheet1'!$L$16"}</definedName>
    <definedName name="__________PA3" hidden="1">{"'Sheet1'!$L$16"}</definedName>
    <definedName name="__________pa4" hidden="1">{"'Sheet1'!$L$16"}</definedName>
    <definedName name="__________SCL4" hidden="1">{"'Sheet1'!$L$16"}</definedName>
    <definedName name="__________tb2" hidden="1">{"'Sheet1'!$L$16"}</definedName>
    <definedName name="__________tt3" hidden="1">{"'Sheet1'!$L$16"}</definedName>
    <definedName name="__________xlfn.BAHTTEXT" hidden="1">#NAME?</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a3" hidden="1">{"'Sheet1'!$L$16"}</definedName>
    <definedName name="_________BG12" hidden="1">{"'Sheet1'!$L$16"}</definedName>
    <definedName name="_________CN1" hidden="1">{"'Sheet1'!$L$16"}</definedName>
    <definedName name="_________d1500"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y1" hidden="1">{"'Sheet1'!$L$16"}</definedName>
    <definedName name="_________K146" hidden="1">{"'Sheet1'!$L$16"}</definedName>
    <definedName name="_________KL1048" hidden="1">{"'Sheet1'!$L$16"}</definedName>
    <definedName name="_________Lan1" hidden="1">{"'Sheet1'!$L$16"}</definedName>
    <definedName name="_________LAN3" hidden="1">{"'Sheet1'!$L$16"}</definedName>
    <definedName name="_________M2" hidden="1">{"'Sheet1'!$L$16"}</definedName>
    <definedName name="_________MCC3" hidden="1">{#N/A,#N/A,FALSE,"CCTV"}</definedName>
    <definedName name="_________NSO2" hidden="1">{"'Sheet1'!$L$16"}</definedName>
    <definedName name="_________PA3" hidden="1">{"'Sheet1'!$L$16"}</definedName>
    <definedName name="_________pa4" hidden="1">{"'Sheet1'!$L$16"}</definedName>
    <definedName name="_________SCL4" hidden="1">{"'Sheet1'!$L$16"}</definedName>
    <definedName name="_________tb2" hidden="1">{"'Sheet1'!$L$16"}</definedName>
    <definedName name="_________tt3" hidden="1">{"'Sheet1'!$L$16"}</definedName>
    <definedName name="_________tu4" hidden="1">{"'Sheet1'!$L$16"}</definedName>
    <definedName name="_________xlfn.BAHTTEXT" hidden="1">#NAME?</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3" hidden="1">{"'Sheet1'!$L$16"}</definedName>
    <definedName name="________BG12" hidden="1">{"'Sheet1'!$L$16"}</definedName>
    <definedName name="________CN1" hidden="1">{"'Sheet1'!$L$16"}</definedName>
    <definedName name="________D1" hidden="1">{"'Sheet1'!$L$16"}</definedName>
    <definedName name="________d1500" hidden="1">{"'Sheet1'!$L$16"}</definedName>
    <definedName name="________D2" hidden="1">{"'Sheet1'!$L$16"}</definedName>
    <definedName name="________GD1" hidden="1">{#N/A,#N/A,FALSE,"Chi tiÆt"}</definedName>
    <definedName name="________GD2"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y1" hidden="1">{"'Sheet1'!$L$16"}</definedName>
    <definedName name="________K146" hidden="1">{"'Sheet1'!$L$16"}</definedName>
    <definedName name="________key1" hidden="1">#REF!</definedName>
    <definedName name="________KL1048" hidden="1">{"'Sheet1'!$L$16"}</definedName>
    <definedName name="________Lan1" hidden="1">{"'Sheet1'!$L$16"}</definedName>
    <definedName name="________LAN3" hidden="1">{"'Sheet1'!$L$16"}</definedName>
    <definedName name="________MCC3" hidden="1">{#N/A,#N/A,FALSE,"CCTV"}</definedName>
    <definedName name="________NSO2" hidden="1">{"'Sheet1'!$L$16"}</definedName>
    <definedName name="________PA3" hidden="1">{"'Sheet1'!$L$16"}</definedName>
    <definedName name="________pa4" hidden="1">{"'Sheet1'!$L$16"}</definedName>
    <definedName name="________SCL4" hidden="1">{"'Sheet1'!$L$16"}</definedName>
    <definedName name="________tha1" hidden="1">{"'Sheet1'!$L$16"}</definedName>
    <definedName name="________tt3" hidden="1">{"'Sheet1'!$L$16"}</definedName>
    <definedName name="________tu4" hidden="1">{"'Sheet1'!$L$16"}</definedName>
    <definedName name="________xlfn.BAHTTEXT" hidden="1">#NAME?</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3" hidden="1">{"'Sheet1'!$L$16"}</definedName>
    <definedName name="_______BG12" hidden="1">{"'Sheet1'!$L$16"}</definedName>
    <definedName name="_______CN1" hidden="1">{"'Sheet1'!$L$16"}</definedName>
    <definedName name="_______d1500"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y1" hidden="1">{"'Sheet1'!$L$16"}</definedName>
    <definedName name="_______K146" hidden="1">{"'Sheet1'!$L$16"}</definedName>
    <definedName name="_______key2" hidden="1">#REF!</definedName>
    <definedName name="_______KL1048" hidden="1">{"'Sheet1'!$L$16"}</definedName>
    <definedName name="_______Lan1" hidden="1">{"'Sheet1'!$L$16"}</definedName>
    <definedName name="_______LAN3" hidden="1">{"'Sheet1'!$L$16"}</definedName>
    <definedName name="_______M2" hidden="1">{"'Sheet1'!$L$16"}</definedName>
    <definedName name="_______MCC3" hidden="1">{#N/A,#N/A,FALSE,"CCTV"}</definedName>
    <definedName name="_______NSO2" hidden="1">{"'Sheet1'!$L$16"}</definedName>
    <definedName name="_______PA3" hidden="1">{"'Sheet1'!$L$16"}</definedName>
    <definedName name="_______pa4" hidden="1">{"'Sheet1'!$L$16"}</definedName>
    <definedName name="_______SCL4" hidden="1">{"'Sheet1'!$L$16"}</definedName>
    <definedName name="_______tb2" hidden="1">{"'Sheet1'!$L$16"}</definedName>
    <definedName name="_______tha1" hidden="1">{"'Sheet1'!$L$16"}</definedName>
    <definedName name="_______tt3" hidden="1">{"'Sheet1'!$L$16"}</definedName>
    <definedName name="_______tu4" hidden="1">{"'Sheet1'!$L$16"}</definedName>
    <definedName name="_______xlfn.BAHTTEXT" hidden="1">#NAME?</definedName>
    <definedName name="______a1" hidden="1">{"'Sheet1'!$L$16"}</definedName>
    <definedName name="______a100"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3" hidden="1">{"'Sheet1'!$L$16"}</definedName>
    <definedName name="______BG12" hidden="1">{"'Sheet1'!$L$16"}</definedName>
    <definedName name="______CN1" hidden="1">{"'Sheet1'!$L$16"}</definedName>
    <definedName name="______D1" hidden="1">{"'Sheet1'!$L$16"}</definedName>
    <definedName name="______d1500" hidden="1">{"'Sheet1'!$L$16"}</definedName>
    <definedName name="______D2" hidden="1">{"'Sheet1'!$L$16"}</definedName>
    <definedName name="______GD1" hidden="1">{#N/A,#N/A,FALSE,"Chi tiÆt"}</definedName>
    <definedName name="______GD2" hidden="1">{"'Sheet1'!$L$16"}</definedName>
    <definedName name="______Goi8" hidden="1">{"'Sheet1'!$L$16"}</definedName>
    <definedName name="______h1" hidden="1">{"'Sheet1'!$L$16"}</definedName>
    <definedName name="______hu1" hidden="1">{"'Sheet1'!$L$16"}</definedName>
    <definedName name="______hu2" hidden="1">{"'Sheet1'!$L$16"}</definedName>
    <definedName name="______hu5" hidden="1">{"'Sheet1'!$L$16"}</definedName>
    <definedName name="______hu6" hidden="1">{"'Sheet1'!$L$16"}</definedName>
    <definedName name="______huy1" hidden="1">{"'Sheet1'!$L$16"}</definedName>
    <definedName name="______K146" hidden="1">{"'Sheet1'!$L$16"}</definedName>
    <definedName name="______key1" hidden="1">#REF!</definedName>
    <definedName name="______KL1048" hidden="1">{"'Sheet1'!$L$16"}</definedName>
    <definedName name="______Lan1" hidden="1">{"'Sheet1'!$L$16"}</definedName>
    <definedName name="______LAN3" hidden="1">{"'Sheet1'!$L$16"}</definedName>
    <definedName name="______lk2" hidden="1">{"'Sheet1'!$L$16"}</definedName>
    <definedName name="______m1233" hidden="1">{"'Sheet1'!$L$16"}</definedName>
    <definedName name="______MCC3" hidden="1">{#N/A,#N/A,FALSE,"CCTV"}</definedName>
    <definedName name="______NSO2" hidden="1">{"'Sheet1'!$L$16"}</definedName>
    <definedName name="______PA3" hidden="1">{"'Sheet1'!$L$16"}</definedName>
    <definedName name="______pa4" hidden="1">{"'Sheet1'!$L$16"}</definedName>
    <definedName name="______SCL4" hidden="1">{"'Sheet1'!$L$16"}</definedName>
    <definedName name="______tb2" hidden="1">{"'Sheet1'!$L$16"}</definedName>
    <definedName name="______tha1" hidden="1">{"'Sheet1'!$L$16"}</definedName>
    <definedName name="______TS2004" hidden="1">{"'Sheet1'!$L$16"}</definedName>
    <definedName name="______tt3" hidden="1">{"'Sheet1'!$L$16"}</definedName>
    <definedName name="______tu4" hidden="1">{"'Sheet1'!$L$16"}</definedName>
    <definedName name="______xlfn.BAHTTEXT" hidden="1">#NAME?</definedName>
    <definedName name="_____a1" hidden="1">{"'Sheet1'!$L$16"}</definedName>
    <definedName name="_____a100"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BG12" hidden="1">{"'Sheet1'!$L$16"}</definedName>
    <definedName name="_____CN1" hidden="1">{"'Sheet1'!$L$16"}</definedName>
    <definedName name="_____d1500" hidden="1">{"'Sheet1'!$L$16"}</definedName>
    <definedName name="_____DM24" hidden="1">{"'Sheet1'!$L$16"}</definedName>
    <definedName name="_____Goi8" hidden="1">{"'Sheet1'!$L$16"}</definedName>
    <definedName name="_____h1" hidden="1">{"'Sheet1'!$L$16"}</definedName>
    <definedName name="_____hu1" hidden="1">{"'Sheet1'!$L$16"}</definedName>
    <definedName name="_____hu2" hidden="1">{"'Sheet1'!$L$16"}</definedName>
    <definedName name="_____hu5" hidden="1">{"'Sheet1'!$L$16"}</definedName>
    <definedName name="_____hu6" hidden="1">{"'Sheet1'!$L$16"}</definedName>
    <definedName name="_____huy1" hidden="1">{"'Sheet1'!$L$16"}</definedName>
    <definedName name="_____key2" hidden="1">#REF!</definedName>
    <definedName name="_____KL1048" hidden="1">{"'Sheet1'!$L$16"}</definedName>
    <definedName name="_____Lan1" hidden="1">{"'Sheet1'!$L$16"}</definedName>
    <definedName name="_____LAN3" hidden="1">{"'Sheet1'!$L$16"}</definedName>
    <definedName name="_____lao2" hidden="1">{"'Sheet1'!$L$16"}</definedName>
    <definedName name="_____lk2" hidden="1">{"'Sheet1'!$L$16"}</definedName>
    <definedName name="_____m1233" hidden="1">{"'Sheet1'!$L$16"}</definedName>
    <definedName name="_____M2" hidden="1">{"'Sheet1'!$L$16"}</definedName>
    <definedName name="_____MCC3" hidden="1">{#N/A,#N/A,FALSE,"CCTV"}</definedName>
    <definedName name="_____NSO2" hidden="1">{"'Sheet1'!$L$16"}</definedName>
    <definedName name="_____PA3" hidden="1">{"'Sheet1'!$L$16"}</definedName>
    <definedName name="_____pa4" hidden="1">{"'Sheet1'!$L$16"}</definedName>
    <definedName name="_____SCL4" hidden="1">{"'Sheet1'!$L$16"}</definedName>
    <definedName name="_____tb2" hidden="1">{"'Sheet1'!$L$16"}</definedName>
    <definedName name="_____tha1" hidden="1">{"'Sheet1'!$L$16"}</definedName>
    <definedName name="_____TM2" hidden="1">{"'Sheet1'!$L$16"}</definedName>
    <definedName name="_____TS2004" hidden="1">{"'Sheet1'!$L$16"}</definedName>
    <definedName name="_____tt3" hidden="1">{"'Sheet1'!$L$16"}</definedName>
    <definedName name="_____tu4" hidden="1">{"'Sheet1'!$L$16"}</definedName>
    <definedName name="_____xlfn.BAHTTEXT" hidden="1">#NAME?</definedName>
    <definedName name="____a1" hidden="1">{"'Sheet1'!$L$16"}</definedName>
    <definedName name="____a100"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BG12" hidden="1">{"'Sheet1'!$L$16"}</definedName>
    <definedName name="____cep1" hidden="1">{"'Sheet1'!$L$16"}</definedName>
    <definedName name="____CN1" hidden="1">{"'Sheet1'!$L$16"}</definedName>
    <definedName name="____D1" hidden="1">{"'Sheet1'!$L$16"}</definedName>
    <definedName name="____d1500" hidden="1">{"'Sheet1'!$L$16"}</definedName>
    <definedName name="____D2" hidden="1">{"'Sheet1'!$L$16"}</definedName>
    <definedName name="____DM24" hidden="1">{"'Sheet1'!$L$16"}</definedName>
    <definedName name="____GD1" hidden="1">{#N/A,#N/A,FALSE,"Chi tiÆt"}</definedName>
    <definedName name="____GD2" hidden="1">{"'Sheet1'!$L$16"}</definedName>
    <definedName name="____Goi8"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key2" hidden="1">#REF!</definedName>
    <definedName name="____KL1048" hidden="1">{"'Sheet1'!$L$16"}</definedName>
    <definedName name="____Lan1" hidden="1">{"'Sheet1'!$L$16"}</definedName>
    <definedName name="____LAN3" hidden="1">{"'Sheet1'!$L$16"}</definedName>
    <definedName name="____lk2" hidden="1">{"'Sheet1'!$L$16"}</definedName>
    <definedName name="____m1233" hidden="1">{"'Sheet1'!$L$16"}</definedName>
    <definedName name="____M2" hidden="1">{"'Sheet1'!$L$16"}</definedName>
    <definedName name="____M36" hidden="1">{"'Sheet1'!$L$16"}</definedName>
    <definedName name="____m4" hidden="1">{"'Sheet1'!$L$16"}</definedName>
    <definedName name="____MCC3" hidden="1">{#N/A,#N/A,FALSE,"CCTV"}</definedName>
    <definedName name="____NSO2" hidden="1">{"'Sheet1'!$L$16"}</definedName>
    <definedName name="____PA3" hidden="1">{"'Sheet1'!$L$16"}</definedName>
    <definedName name="____pa4"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ql1" hidden="1">{"Offgrid",#N/A,FALSE,"OFFGRID";"Region",#N/A,FALSE,"REGION";"Offgrid -2",#N/A,FALSE,"OFFGRID";"WTP",#N/A,FALSE,"WTP";"WTP -2",#N/A,FALSE,"WTP";"Project",#N/A,FALSE,"PROJECT";"Summary -2",#N/A,FALSE,"SUMMARY"}</definedName>
    <definedName name="____SCL4" hidden="1">{"'Sheet1'!$L$16"}</definedName>
    <definedName name="____T10" hidden="1">{"'Sheet1'!$L$16"}</definedName>
    <definedName name="____tb2" hidden="1">{"'Sheet1'!$L$16"}</definedName>
    <definedName name="____tha1" hidden="1">{"'Sheet1'!$L$16"}</definedName>
    <definedName name="____tm1" hidden="1">{"'Sheet1'!$L$16"}</definedName>
    <definedName name="____TM2" hidden="1">{"'Sheet1'!$L$16"}</definedName>
    <definedName name="____TS2004" hidden="1">{"'Sheet1'!$L$16"}</definedName>
    <definedName name="____tt3" hidden="1">{"'Sheet1'!$L$16"}</definedName>
    <definedName name="____tu4" hidden="1">{"'Sheet1'!$L$16"}</definedName>
    <definedName name="____tu5" hidden="1">{"'Sheet1'!$L$16"}</definedName>
    <definedName name="____xlfn.BAHTTEXT" hidden="1">#NAME?</definedName>
    <definedName name="___a1" hidden="1">{"'Sheet1'!$L$16"}</definedName>
    <definedName name="___a100"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BG12" hidden="1">{"'Sheet1'!$L$16"}</definedName>
    <definedName name="___cep1" hidden="1">{"'Sheet1'!$L$16"}</definedName>
    <definedName name="___CN1" hidden="1">{"'Sheet1'!$L$16"}</definedName>
    <definedName name="___coc1000" hidden="1">{#N/A,#N/A,FALSE,"Chi tiÆt"}</definedName>
    <definedName name="___Coc39" hidden="1">{"'Sheet1'!$L$16"}</definedName>
    <definedName name="___Cty501" hidden="1">{"'Sheet1'!$L$16"}</definedName>
    <definedName name="___D1" hidden="1">{"'Sheet1'!$L$16"}</definedName>
    <definedName name="___d1500" hidden="1">{"'Sheet1'!$L$16"}</definedName>
    <definedName name="___D2" hidden="1">{"'Sheet1'!$L$16"}</definedName>
    <definedName name="___DM24" hidden="1">{"'Sheet1'!$L$16"}</definedName>
    <definedName name="___E1200" hidden="1">{"'Sheet1'!$L$16"}</definedName>
    <definedName name="___GD1" hidden="1">{#N/A,#N/A,FALSE,"Chi tiÆt"}</definedName>
    <definedName name="___GD2" hidden="1">{"'Sheet1'!$L$16"}</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y1" hidden="1">{"'Sheet1'!$L$16"}</definedName>
    <definedName name="___K146" hidden="1">{"'Sheet1'!$L$16"}</definedName>
    <definedName name="___key1" hidden="1">#REF!</definedName>
    <definedName name="___key2" hidden="1">#REF!</definedName>
    <definedName name="___KL1048" hidden="1">{"'Sheet1'!$L$16"}</definedName>
    <definedName name="___KL3" hidden="1">{"'Sheet1'!$L$16"}</definedName>
    <definedName name="___KM22" hidden="1">{"'Sheet1'!$L$16"}</definedName>
    <definedName name="___KM34" hidden="1">{"'Sheet1'!$L$16"}</definedName>
    <definedName name="___km51" hidden="1">{"'Sheet1'!$L$16"}</definedName>
    <definedName name="___Lan1" hidden="1">{"'Sheet1'!$L$16"}</definedName>
    <definedName name="___LAN3" hidden="1">{"'Sheet1'!$L$16"}</definedName>
    <definedName name="___lao2" hidden="1">{"'Sheet1'!$L$16"}</definedName>
    <definedName name="___lk2" hidden="1">{"'Sheet1'!$L$16"}</definedName>
    <definedName name="___m1233" hidden="1">{"'Sheet1'!$L$16"}</definedName>
    <definedName name="___M2" hidden="1">{"'Sheet1'!$L$16"}</definedName>
    <definedName name="___M36" hidden="1">{"'Sheet1'!$L$16"}</definedName>
    <definedName name="___MCC3" hidden="1">{#N/A,#N/A,FALSE,"CCTV"}</definedName>
    <definedName name="___moi2" hidden="1">{"'Sheet1'!$L$16"}</definedName>
    <definedName name="___NK5" hidden="1">{"'Sheet1'!$L$16"}</definedName>
    <definedName name="___NSO2" hidden="1">{"'Sheet1'!$L$16"}</definedName>
    <definedName name="___P3" hidden="1">{#N/A,#N/A,FALSE,"特殊室（ＢＱ表）"}</definedName>
    <definedName name="___PA3" hidden="1">{"'Sheet1'!$L$16"}</definedName>
    <definedName name="___pa4"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l1" hidden="1">{"Offgrid",#N/A,FALSE,"OFFGRID";"Region",#N/A,FALSE,"REGION";"Offgrid -2",#N/A,FALSE,"OFFGRID";"WTP",#N/A,FALSE,"WTP";"WTP -2",#N/A,FALSE,"WTP";"Project",#N/A,FALSE,"PROJECT";"Summary -2",#N/A,FALSE,"SUMMARY"}</definedName>
    <definedName name="___SCL4" hidden="1">{"'Sheet1'!$L$16"}</definedName>
    <definedName name="___sum1" hidden="1">#REF!</definedName>
    <definedName name="___tb2" hidden="1">{"'Sheet1'!$L$16"}</definedName>
    <definedName name="___td1" hidden="1">{"'Sheet1'!$L$16"}</definedName>
    <definedName name="___TD3" hidden="1">{"'Sheet1'!$L$16"}</definedName>
    <definedName name="___th1" hidden="1">{"Offgrid",#N/A,FALSE,"OFFGRID";"Region",#N/A,FALSE,"REGION";"Offgrid -2",#N/A,FALSE,"OFFGRID";"WTP",#N/A,FALSE,"WTP";"WTP -2",#N/A,FALSE,"WTP";"Project",#N/A,FALSE,"PROJECT";"Summary -2",#N/A,FALSE,"SUMMARY"}</definedName>
    <definedName name="___tha1" hidden="1">{"'Sheet1'!$L$16"}</definedName>
    <definedName name="___tm1" hidden="1">{"'Sheet1'!$L$16"}</definedName>
    <definedName name="___TM2" hidden="1">{"'Sheet1'!$L$16"}</definedName>
    <definedName name="___TS2004" hidden="1">{"'Sheet1'!$L$16"}</definedName>
    <definedName name="___tt3" hidden="1">{"'Sheet1'!$L$16"}</definedName>
    <definedName name="___tu4" hidden="1">{"'Sheet1'!$L$16"}</definedName>
    <definedName name="___tu5" hidden="1">{"'Sheet1'!$L$16"}</definedName>
    <definedName name="___VLP2" hidden="1">{"'Sheet1'!$L$16"}</definedName>
    <definedName name="___xlfn.BAHTTEXT" hidden="1">#NAME?</definedName>
    <definedName name="___z511" hidden="1">{"'Sheet1'!$L$16"}</definedName>
    <definedName name="__a1" hidden="1">{"'Sheet1'!$L$16"}</definedName>
    <definedName name="__a100"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3" hidden="1">{"'Sheet1'!$L$16"}</definedName>
    <definedName name="__A4" hidden="1">{"'Sheet1'!$L$16"}</definedName>
    <definedName name="__a9" hidden="1">{"'Sheet1'!$L$16"}</definedName>
    <definedName name="__B19" hidden="1">{"'Sheet1'!$L$16"}</definedName>
    <definedName name="__BG12" hidden="1">{"'Sheet1'!$L$16"}</definedName>
    <definedName name="__CD2" hidden="1">{"'Sheet1'!$L$16"}</definedName>
    <definedName name="__cep1" hidden="1">{"'Sheet1'!$L$16"}</definedName>
    <definedName name="__CN1" hidden="1">{"'Sheet1'!$L$16"}</definedName>
    <definedName name="__coc1000" hidden="1">{#N/A,#N/A,FALSE,"Chi tiÆt"}</definedName>
    <definedName name="__Coc39" hidden="1">{"'Sheet1'!$L$16"}</definedName>
    <definedName name="__Cty501" hidden="1">{"'Sheet1'!$L$16"}</definedName>
    <definedName name="__D1" hidden="1">{"'Sheet1'!$L$16"}</definedName>
    <definedName name="__d1500" hidden="1">{"'Sheet1'!$L$16"}</definedName>
    <definedName name="__D2" hidden="1">{"'Sheet1'!$L$16"}</definedName>
    <definedName name="__D41" hidden="1">{"'Sheet1'!$L$16"}</definedName>
    <definedName name="__D42" hidden="1">{"'Sheet1'!$L$16"}</definedName>
    <definedName name="__D6" hidden="1">{#N/A,#N/A,FALSE,"Chi tiÆt"}</definedName>
    <definedName name="__dao2" hidden="1">{"'Sheet1'!$L$16"}</definedName>
    <definedName name="__DM24" hidden="1">{"'Sheet1'!$L$16"}</definedName>
    <definedName name="__dt3" hidden="1">{"'Sheet1'!$L$16"}</definedName>
    <definedName name="__E1200" hidden="1">{"'Sheet1'!$L$16"}</definedName>
    <definedName name="__f5" hidden="1">{"'Sheet1'!$L$16"}</definedName>
    <definedName name="__GD1" hidden="1">{#N/A,#N/A,FALSE,"Chi tiÆt"}</definedName>
    <definedName name="__GD2" hidden="1">{"'Sheet1'!$L$16"}</definedName>
    <definedName name="__Goi8" hidden="1">{"'Sheet1'!$L$16"}</definedName>
    <definedName name="__h1" hidden="1">{"'Sheet1'!$L$16"}</definedName>
    <definedName name="__hh1219" hidden="1">{"'Sheet1'!$L$16"}</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27" hidden="1">{"'Sheet1'!$L$16"}</definedName>
    <definedName name="__key1" hidden="1">#REF!</definedName>
    <definedName name="__key2" hidden="1">#REF!</definedName>
    <definedName name="__KL1048" hidden="1">{"'Sheet1'!$L$16"}</definedName>
    <definedName name="__km03" hidden="1">{"'Sheet1'!$L$16"}</definedName>
    <definedName name="__KM22" hidden="1">{"'Sheet1'!$L$16"}</definedName>
    <definedName name="__KM34" hidden="1">{"'Sheet1'!$L$16"}</definedName>
    <definedName name="__km51" hidden="1">{"'Sheet1'!$L$16"}</definedName>
    <definedName name="__kom1" hidden="1">{"'Sheet1'!$L$16"}</definedName>
    <definedName name="__Lan1" hidden="1">{"'Sheet1'!$L$16"}</definedName>
    <definedName name="__LAN3" hidden="1">{"'Sheet1'!$L$16"}</definedName>
    <definedName name="__ld2" hidden="1">{"'Sheet1'!$L$16"}</definedName>
    <definedName name="__lk2" hidden="1">{"'Sheet1'!$L$16"}</definedName>
    <definedName name="__m1233" hidden="1">{"'Sheet1'!$L$16"}</definedName>
    <definedName name="__M2" hidden="1">{"'Sheet1'!$L$16"}</definedName>
    <definedName name="__M36" hidden="1">{"'Sheet1'!$L$16"}</definedName>
    <definedName name="__m4" hidden="1">{"'Sheet1'!$L$16"}</definedName>
    <definedName name="__MCC3" hidden="1">{#N/A,#N/A,FALSE,"CCTV"}</definedName>
    <definedName name="__moi2" hidden="1">{"'Sheet1'!$L$16"}</definedName>
    <definedName name="__MTL12" hidden="1">{"'Sheet1'!$L$16"}</definedName>
    <definedName name="__NCN15" hidden="1">{"'Sheet1'!$L$16"}</definedName>
    <definedName name="__NK5" hidden="1">{"'Sheet1'!$L$16"}</definedName>
    <definedName name="__NSO2" hidden="1">{"'Sheet1'!$L$16"}</definedName>
    <definedName name="__p06" hidden="1">{"'Sheet1'!$L$16"}</definedName>
    <definedName name="__PA3" hidden="1">{"'Sheet1'!$L$16"}</definedName>
    <definedName name="__pa4"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q3" hidden="1">#REF!</definedName>
    <definedName name="__pq4" hidden="1">#REF!</definedName>
    <definedName name="__ql1" hidden="1">{"Offgrid",#N/A,FALSE,"OFFGRID";"Region",#N/A,FALSE,"REGION";"Offgrid -2",#N/A,FALSE,"OFFGRID";"WTP",#N/A,FALSE,"WTP";"WTP -2",#N/A,FALSE,"WTP";"Project",#N/A,FALSE,"PROJECT";"Summary -2",#N/A,FALSE,"SUMMARY"}</definedName>
    <definedName name="__QLO7" hidden="1">#REF!</definedName>
    <definedName name="__SB22" hidden="1">{"'Sheet1'!$L$16"}</definedName>
    <definedName name="__SCL4" hidden="1">{"'Sheet1'!$L$16"}</definedName>
    <definedName name="__SS2" hidden="1">{"'Sheet1'!$L$16"}</definedName>
    <definedName name="__sum1" hidden="1">#REF!</definedName>
    <definedName name="__t1" hidden="1">{"'Sheet1'!$L$16"}</definedName>
    <definedName name="__T10" hidden="1">{"'Sheet1'!$L$16"}</definedName>
    <definedName name="__T7" hidden="1">{"'Sheet1'!$L$16"}</definedName>
    <definedName name="__t9" hidden="1">{#N/A,#N/A,FALSE,"Chi tiÆt"}</definedName>
    <definedName name="__td1" hidden="1">{"'Sheet1'!$L$16"}</definedName>
    <definedName name="__TD3" hidden="1">{"'Sheet1'!$L$16"}</definedName>
    <definedName name="__th1" hidden="1">{"Offgrid",#N/A,FALSE,"OFFGRID";"Region",#N/A,FALSE,"REGION";"Offgrid -2",#N/A,FALSE,"OFFGRID";"WTP",#N/A,FALSE,"WTP";"WTP -2",#N/A,FALSE,"WTP";"Project",#N/A,FALSE,"PROJECT";"Summary -2",#N/A,FALSE,"SUMMARY"}</definedName>
    <definedName name="__tha1" hidden="1">{"'Sheet1'!$L$16"}</definedName>
    <definedName name="__tm1" hidden="1">{"'Sheet1'!$L$16"}</definedName>
    <definedName name="__TM2" hidden="1">{"'Sheet1'!$L$16"}</definedName>
    <definedName name="__TO14" hidden="1">{"'Sheet1'!$L$16"}</definedName>
    <definedName name="__TS2004" hidden="1">{"'Sheet1'!$L$16"}</definedName>
    <definedName name="__tt3" hidden="1">{"'Sheet1'!$L$16"}</definedName>
    <definedName name="__TT31" hidden="1">{"'Sheet1'!$L$16"}</definedName>
    <definedName name="__tu4" hidden="1">{"'Sheet1'!$L$16"}</definedName>
    <definedName name="__tu5" hidden="1">{"'Sheet1'!$L$16"}</definedName>
    <definedName name="__VLP2" hidden="1">{"'Sheet1'!$L$16"}</definedName>
    <definedName name="__VTQ1" hidden="1">{"'Sheet1'!$L$16"}</definedName>
    <definedName name="__xlfn.BAHTTEXT" hidden="1">#NAME?</definedName>
    <definedName name="__z511" hidden="1">{"'Sheet1'!$L$16"}</definedName>
    <definedName name="_1__123Graph_A????_1" hidden="1">#REF!</definedName>
    <definedName name="_1__123Graph_Aｸﾞﾗﾌ_1" hidden="1">#REF!</definedName>
    <definedName name="_1_0ten_" hidden="1">#REF!</definedName>
    <definedName name="_10__123Graph_Aｸﾞﾗﾌ_2" hidden="1">#REF!</definedName>
    <definedName name="_10__123Graph_Aｸﾞﾗﾌ_5" hidden="1">#REF!</definedName>
    <definedName name="_10__123Graph_Xｸﾞﾗﾌ_5" hidden="1">#REF!</definedName>
    <definedName name="_10_0ten_" hidden="1">#REF!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3" hidden="1">#REF!</definedName>
    <definedName name="_11__123Graph_X????_1" hidden="1">#REF!</definedName>
    <definedName name="_112__123Graph_Xｸﾞﾗﾌ_5" hidden="1">#REF!</definedName>
    <definedName name="_116__123Graph_Xｸﾞﾗﾌ_1" hidden="1">#REF!</definedName>
    <definedName name="_11P3_" hidden="1">{#N/A,#N/A,FALSE,"特殊室（ＢＱ表）"}</definedName>
    <definedName name="_12__123Graph_A????_2" hidden="1">#REF!</definedName>
    <definedName name="_12__123Graph_Aｸﾞﾗﾌ_4" hidden="1">#REF!</definedName>
    <definedName name="_12__123Graph_X????_2" hidden="1">#REF!</definedName>
    <definedName name="_124__123Graph_Xｸﾞﾗﾌ_2" hidden="1">#REF!</definedName>
    <definedName name="_13__123Graph_Aｸﾞﾗﾌ_5" hidden="1">#REF!</definedName>
    <definedName name="_13__123Graph_X????_3" hidden="1">#REF!</definedName>
    <definedName name="_132__123Graph_Xｸﾞﾗﾌ_3" hidden="1">#REF!</definedName>
    <definedName name="_14__123Graph_X????_1" hidden="1">#REF!</definedName>
    <definedName name="_14__123Graph_X????_4" hidden="1">#REF!</definedName>
    <definedName name="_140__123Graph_Xｸﾞﾗﾌ_4" hidden="1">#REF!</definedName>
    <definedName name="_148__123Graph_Xｸﾞﾗﾌ_5" hidden="1">#REF!</definedName>
    <definedName name="_15__123Graph_X????_2" hidden="1">#REF!</definedName>
    <definedName name="_15__123Graph_X????_5" hidden="1">#REF!</definedName>
    <definedName name="_15_0xoa_" hidden="1">#REF!</definedName>
    <definedName name="_16__123Graph_X????_3" hidden="1">#REF!</definedName>
    <definedName name="_16__123Graph_Xｸﾞﾗﾌ_1" hidden="1">#REF!</definedName>
    <definedName name="_16_0xoa_" hidden="1">#REF!</definedName>
    <definedName name="_17__123Graph_A????_1" hidden="1">#REF!</definedName>
    <definedName name="_17__123Graph_A????_3" hidden="1">#REF!</definedName>
    <definedName name="_17__123Graph_X????_4" hidden="1">#REF!</definedName>
    <definedName name="_17__123Graph_Xｸﾞﾗﾌ_2" hidden="1">#REF!</definedName>
    <definedName name="_17a1_" hidden="1">{"'Sheet1'!$L$16"}</definedName>
    <definedName name="_18__123Graph_X????_5" hidden="1">#REF!</definedName>
    <definedName name="_18__123Graph_Xｸﾞﾗﾌ_3" hidden="1">#REF!</definedName>
    <definedName name="_19__123Graph_Xｸﾞﾗﾌ_1" hidden="1">#REF!</definedName>
    <definedName name="_19__123Graph_Xｸﾞﾗﾌ_4" hidden="1">#REF!</definedName>
    <definedName name="_1a1_" hidden="1">{"'Sheet1'!$L$16"}</definedName>
    <definedName name="_1P3_" hidden="1">{#N/A,#N/A,FALSE,"特殊室（ＢＱ表）"}</definedName>
    <definedName name="_2__123Graph_A????_2" hidden="1">#REF!</definedName>
    <definedName name="_2__123Graph_Aｸﾞﾗﾌ_2" hidden="1">#REF!</definedName>
    <definedName name="_2_0ten_" hidden="1">#REF!</definedName>
    <definedName name="_2_0xoa_" hidden="1">#REF!</definedName>
    <definedName name="_20__123Graph_Xｸﾞﾗﾌ_2" hidden="1">#REF!</definedName>
    <definedName name="_20__123Graph_Xｸﾞﾗﾌ_5" hidden="1">#REF!</definedName>
    <definedName name="_21__123Graph_A????_2" hidden="1">#REF!</definedName>
    <definedName name="_21__123Graph_Xｸﾞﾗﾌ_3" hidden="1">#REF!</definedName>
    <definedName name="_22__123Graph_A????_4" hidden="1">#REF!</definedName>
    <definedName name="_22__123Graph_Xｸﾞﾗﾌ_4" hidden="1">#REF!</definedName>
    <definedName name="_23__123Graph_A????_1" hidden="1">#REF!</definedName>
    <definedName name="_23__123Graph_Xｸﾞﾗﾌ_5" hidden="1">#REF!</definedName>
    <definedName name="_25__123Graph_A????_3" hidden="1">#REF!</definedName>
    <definedName name="_27__123Graph_A????_5" hidden="1">#REF!</definedName>
    <definedName name="_28__123Graph_A????_2" hidden="1">#REF!</definedName>
    <definedName name="_29__123Graph_A????_4" hidden="1">#REF!</definedName>
    <definedName name="_3__123Graph_A????_3" hidden="1">#REF!</definedName>
    <definedName name="_3__123Graph_Aｸﾞﾗﾌ_3" hidden="1">#REF!</definedName>
    <definedName name="_3_0ten_" hidden="1">#REF!</definedName>
    <definedName name="_33__123Graph_A????_3" hidden="1">#REF!</definedName>
    <definedName name="_33__123Graph_A????_5" hidden="1">#REF!</definedName>
    <definedName name="_33__123Graph_Aｸﾞﾗﾌ_1" hidden="1">#REF!</definedName>
    <definedName name="_38__123Graph_A????_4" hidden="1">#REF!</definedName>
    <definedName name="_38__123Graph_Aｸﾞﾗﾌ_1" hidden="1">#REF!</definedName>
    <definedName name="_39__123Graph_Aｸﾞﾗﾌ_2" hidden="1">#REF!</definedName>
    <definedName name="_4__123Graph_A????_1" hidden="1">#REF!</definedName>
    <definedName name="_4__123Graph_A????_4" hidden="1">#REF!</definedName>
    <definedName name="_4__123Graph_Aｸﾞﾗﾌ_4" hidden="1">#REF!</definedName>
    <definedName name="_4_0xoa_" hidden="1">#REF!</definedName>
    <definedName name="_43__123Graph_A????_5" hidden="1">#REF!</definedName>
    <definedName name="_43__123Graph_Aｸﾞﾗﾌ_2" hidden="1">#REF!</definedName>
    <definedName name="_45__123Graph_Aｸﾞﾗﾌ_3" hidden="1">#REF!</definedName>
    <definedName name="_48__123Graph_Aｸﾞﾗﾌ_3" hidden="1">#REF!</definedName>
    <definedName name="_5__123Graph_A????_2" hidden="1">#REF!</definedName>
    <definedName name="_5__123Graph_A????_5" hidden="1">#REF!</definedName>
    <definedName name="_5__123Graph_Aｸﾞﾗﾌ_5" hidden="1">#REF!</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__123Graph_A????_3" hidden="1">#REF!</definedName>
    <definedName name="_6__123Graph_Aｸﾞﾗﾌ_1" hidden="1">#REF!</definedName>
    <definedName name="_6__123Graph_Xｸﾞﾗﾌ_1" hidden="1">#REF!</definedName>
    <definedName name="_6_0ten_" hidden="1">#REF!</definedName>
    <definedName name="_6_0xoa_" hidden="1">#REF!</definedName>
    <definedName name="_62__123Graph_X????_1" hidden="1">#REF!</definedName>
    <definedName name="_66__123Graph_X????_2" hidden="1">#REF!</definedName>
    <definedName name="_67__123Graph_Aｸﾞﾗﾌ_3" hidden="1">#REF!</definedName>
    <definedName name="_67__123Graph_X????_2" hidden="1">#REF!</definedName>
    <definedName name="_7__123Graph_A????_1" hidden="1">#REF!</definedName>
    <definedName name="_7__123Graph_A????_4" hidden="1">#REF!</definedName>
    <definedName name="_7__123Graph_Aｸﾞﾗﾌ_2" hidden="1">#REF!</definedName>
    <definedName name="_7__123Graph_Xｸﾞﾗﾌ_2" hidden="1">#REF!</definedName>
    <definedName name="_7_0xoa_" hidden="1">#REF!</definedName>
    <definedName name="_70__123Graph_X????_3"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8__123Graph_A????_5" hidden="1">#REF!</definedName>
    <definedName name="_8__123Graph_Aｸﾞﾗﾌ_3" hidden="1">#REF!</definedName>
    <definedName name="_8__123Graph_Xｸﾞﾗﾌ_3" hidden="1">#REF!</definedName>
    <definedName name="_8_0ten_" hidden="1">#REF!</definedName>
    <definedName name="_82__123Graph_X????_5" hidden="1">#REF!</definedName>
    <definedName name="_83__123Graph_Aｸﾞﾗﾌ_5" hidden="1">#REF!</definedName>
    <definedName name="_83__123Graph_Xｸﾞﾗﾌ_1" hidden="1">#REF!</definedName>
    <definedName name="_84_0ten_" hidden="1">#REF!</definedName>
    <definedName name="_88__123Graph_X????_1" hidden="1">#REF!</definedName>
    <definedName name="_88__123Graph_Xｸﾞﾗﾌ_1" hidden="1">#REF!</definedName>
    <definedName name="_88__123Graph_Xｸﾞﾗﾌ_2" hidden="1">#REF!</definedName>
    <definedName name="_9__123Graph_Aｸﾞﾗﾌ_1" hidden="1">#REF!</definedName>
    <definedName name="_9__123Graph_Aｸﾞﾗﾌ_4" hidden="1">#REF!</definedName>
    <definedName name="_9__123Graph_Xｸﾞﾗﾌ_4" hidden="1">#REF!</definedName>
    <definedName name="_93__123Graph_X????_2" hidden="1">#REF!</definedName>
    <definedName name="_93__123Graph_Xｸﾞﾗﾌ_3" hidden="1">#REF!</definedName>
    <definedName name="_94__123Graph_Xｸﾞﾗﾌ_2" hidden="1">#REF!</definedName>
    <definedName name="_97_0xoa_" hidden="1">#REF!</definedName>
    <definedName name="_98__123Graph_X????_3" hidden="1">#REF!</definedName>
    <definedName name="_98__123Graph_Xｸﾞﾗﾌ_4" hidden="1">#REF!</definedName>
    <definedName name="_a1" hidden="1">{"'Sheet1'!$L$16"}</definedName>
    <definedName name="_a100" hidden="1">{"'Sheet1'!$L$16"}</definedName>
    <definedName name="_a129" hidden="1">{"Offgrid",#N/A,FALSE,"OFFGRID";"Region",#N/A,FALSE,"REGION";"Offgrid -2",#N/A,FALSE,"OFFGRID";"WTP",#N/A,FALSE,"WTP";"WTP -2",#N/A,FALSE,"WTP";"Project",#N/A,FALSE,"PROJECT";"Summary -2",#N/A,FALSE,"SUMMARY"}</definedName>
    <definedName name="_a129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21" hidden="1">{"'Sheet1'!$L$16"}</definedName>
    <definedName name="_a3" hidden="1">{"'Sheet1'!$L$16"}</definedName>
    <definedName name="_A4" hidden="1">{"'Sheet1'!$L$16"}</definedName>
    <definedName name="_a9" hidden="1">{"'Sheet1'!$L$16"}</definedName>
    <definedName name="_B19" hidden="1">{"'Sheet1'!$L$16"}</definedName>
    <definedName name="_ban2" hidden="1">{"'Sheet1'!$L$16"}</definedName>
    <definedName name="_BG12" hidden="1">{"'Sheet1'!$L$16"}</definedName>
    <definedName name="_bht4" hidden="1">{#N/A,#N/A,FALSE,"Chi tiÆt"}</definedName>
    <definedName name="_bht5" hidden="1">{#N/A,#N/A,FALSE,"Chi tiÆt"}</definedName>
    <definedName name="_bht6" hidden="1">{"'Sheet1'!$L$16"}</definedName>
    <definedName name="_Builtin0" hidden="1">#REF!</definedName>
    <definedName name="_Builtin155" hidden="1">#N/A</definedName>
    <definedName name="_CD2" hidden="1">{"'Sheet1'!$L$16"}</definedName>
    <definedName name="_cd20" hidden="1">{"'Sheet1'!$L$16"}</definedName>
    <definedName name="_cep1" hidden="1">{"'Sheet1'!$L$16"}</definedName>
    <definedName name="_CN1" hidden="1">{"'Sheet1'!$L$16"}</definedName>
    <definedName name="_coc1000" hidden="1">{#N/A,#N/A,FALSE,"Chi tiÆt"}</definedName>
    <definedName name="_Coc39" hidden="1">{"'Sheet1'!$L$16"}</definedName>
    <definedName name="_CT2" hidden="1">{"'Sheet1'!$L$16"}</definedName>
    <definedName name="_CT4" hidden="1">{"'Sheet1'!$L$16"}</definedName>
    <definedName name="_Cty501" hidden="1">{"'Sheet1'!$L$16"}</definedName>
    <definedName name="_cuu1" hidden="1">{"'Sheet1'!$L$16"}</definedName>
    <definedName name="_D1" hidden="1">{"'Sheet1'!$L$16"}</definedName>
    <definedName name="_d1500" hidden="1">{"'Sheet1'!$L$16"}</definedName>
    <definedName name="_D2" hidden="1">{"'Sheet1'!$L$16"}</definedName>
    <definedName name="_D5" hidden="1">{"Offgrid",#N/A,FALSE,"OFFGRID";"Region",#N/A,FALSE,"REGION";"Offgrid -2",#N/A,FALSE,"OFFGRID";"WTP",#N/A,FALSE,"WTP";"WTP -2",#N/A,FALSE,"WTP";"Project",#N/A,FALSE,"PROJECT";"Summary -2",#N/A,FALSE,"SUMMARY"}</definedName>
    <definedName name="_Dist_Bin" hidden="1">#REF!</definedName>
    <definedName name="_Dist_Values" hidden="1">#REF!</definedName>
    <definedName name="_DM24" hidden="1">{"'Sheet1'!$L$16"}</definedName>
    <definedName name="_dt1" hidden="1">{"'Sheet1'!$L$16"}</definedName>
    <definedName name="_dt3" hidden="1">{"'Sheet1'!$L$16"}</definedName>
    <definedName name="_E1200" hidden="1">{"'Sheet1'!$L$16"}</definedName>
    <definedName name="_f5" hidden="1">{"'Sheet1'!$L$16"}</definedName>
    <definedName name="_Fill" hidden="1">#REF!</definedName>
    <definedName name="_Fill1" hidden="1">#REF!</definedName>
    <definedName name="_Fill2" hidden="1">#REF!</definedName>
    <definedName name="_xlnm._FilterDatabase" hidden="1">#REF!</definedName>
    <definedName name="_GD1" hidden="1">{#N/A,#N/A,FALSE,"Chi tiÆt"}</definedName>
    <definedName name="_GD2" hidden="1">{"'Sheet1'!$L$16"}</definedName>
    <definedName name="_Goi8" hidden="1">{"'Sheet1'!$L$16"}</definedName>
    <definedName name="_h1" hidden="1">{"'Sheet1'!$L$16"}</definedName>
    <definedName name="_h111" hidden="1">{"'Sheet1'!$L$16"}</definedName>
    <definedName name="_hh1219" hidden="1">{"'Sheet1'!$L$16"}</definedName>
    <definedName name="_hu1" hidden="1">{"'Sheet1'!$L$16"}</definedName>
    <definedName name="_hu2" hidden="1">{"'Sheet1'!$L$16"}</definedName>
    <definedName name="_hu3"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K146" hidden="1">{"'Sheet1'!$L$16"}</definedName>
    <definedName name="_k27" hidden="1">{"'Sheet1'!$L$16"}</definedName>
    <definedName name="_k7" hidden="1">{"'Sheet1'!$L$16"}</definedName>
    <definedName name="_Key1" hidden="1">#REF!</definedName>
    <definedName name="_KEY11" hidden="1">#REF!</definedName>
    <definedName name="_KEY12" hidden="1">#REF!</definedName>
    <definedName name="_Key2" hidden="1">#REF!</definedName>
    <definedName name="_keydd" hidden="1">#REF!</definedName>
    <definedName name="_KH12" hidden="1">{#N/A,#N/A,FALSE,"Chi tiÆt"}</definedName>
    <definedName name="_kh41" hidden="1">{"'Sheet1'!$L$16"}</definedName>
    <definedName name="_KL1048" hidden="1">{"'Sheet1'!$L$16"}</definedName>
    <definedName name="_kl11" hidden="1">{"'Sheet1'!$L$16"}</definedName>
    <definedName name="_KL3" hidden="1">{"'Sheet1'!$L$16"}</definedName>
    <definedName name="_kl4" hidden="1">{"'Sheet1'!$L$16"}</definedName>
    <definedName name="_kl6" hidden="1">{"'Sheet1'!$L$16"}</definedName>
    <definedName name="_km03" hidden="1">{"'Sheet1'!$L$16"}</definedName>
    <definedName name="_km123" hidden="1">{"'Sheet1'!$L$16"}</definedName>
    <definedName name="_km124" hidden="1">{"'Sheet1'!$L$16"}</definedName>
    <definedName name="_KM22" hidden="1">{"'Sheet1'!$L$16"}</definedName>
    <definedName name="_kom1" hidden="1">{"'Sheet1'!$L$16"}</definedName>
    <definedName name="_Lan1" hidden="1">{"'Sheet1'!$L$16"}</definedName>
    <definedName name="_LAN3" hidden="1">{"'Sheet1'!$L$16"}</definedName>
    <definedName name="_lao2" hidden="1">{"'Sheet1'!$L$16"}</definedName>
    <definedName name="_lk2" hidden="1">{"'Sheet1'!$L$16"}</definedName>
    <definedName name="_m1233" hidden="1">{"'Sheet1'!$L$16"}</definedName>
    <definedName name="_M2" hidden="1">{"'Sheet1'!$L$16"}</definedName>
    <definedName name="_M36" hidden="1">{"'Sheet1'!$L$16"}</definedName>
    <definedName name="_m4" hidden="1">{"'Sheet1'!$L$16"}</definedName>
    <definedName name="_MatInverse_In" hidden="1">#REF!</definedName>
    <definedName name="_MCC3" hidden="1">{#N/A,#N/A,FALSE,"CCTV"}</definedName>
    <definedName name="_moi2" hidden="1">{"'Sheet1'!$L$16"}</definedName>
    <definedName name="_MTL12" hidden="1">{"'Sheet1'!$L$16"}</definedName>
    <definedName name="_NCN15" hidden="1">{"'Sheet1'!$L$16"}</definedName>
    <definedName name="_NK5" hidden="1">{"'Sheet1'!$L$16"}</definedName>
    <definedName name="_NO2" hidden="1">#REF!</definedName>
    <definedName name="_NSO2" hidden="1">{"'Sheet1'!$L$16"}</definedName>
    <definedName name="_NT2" hidden="1">{"'Sheet1'!$L$16"}</definedName>
    <definedName name="_Order1" hidden="1">255</definedName>
    <definedName name="_Order2" hidden="1">255</definedName>
    <definedName name="_p06" hidden="1">{"'Sheet1'!$L$16"}</definedName>
    <definedName name="_p1" hidden="1">{"'Sheet1'!$L$16"}</definedName>
    <definedName name="_P2" hidden="1">{"'Sheet1'!$L$16"}</definedName>
    <definedName name="_P3" hidden="1">{#N/A,#N/A,FALSE,"特殊室（ＢＱ表）"}</definedName>
    <definedName name="_PA1" hidden="1">{"'Sheet1'!$L$16"}</definedName>
    <definedName name="_PA3" hidden="1">{"'Sheet1'!$L$16"}</definedName>
    <definedName name="_pa4" hidden="1">{"'Sheet1'!$L$16"}</definedName>
    <definedName name="_Parse_In" hidden="1">#REF!</definedName>
    <definedName name="_Parse_Out" hidden="1">[1]Quantity!#REF!</definedName>
    <definedName name="_pl2" hidden="1">{"'Sheet1'!$L$16"}</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YC7" hidden="1">{"'Sheet1'!$L$16"}</definedName>
    <definedName name="_q1" hidden="1">{"'Sheet1'!$L$16"}</definedName>
    <definedName name="_q1300" hidden="1">{"Offgrid",#N/A,FALSE,"OFFGRID";"Region",#N/A,FALSE,"REGION";"Offgrid -2",#N/A,FALSE,"OFFGRID";"WTP",#N/A,FALSE,"WTP";"WTP -2",#N/A,FALSE,"WTP";"Project",#N/A,FALSE,"PROJECT";"Summary -2",#N/A,FALSE,"SUMMARY"}</definedName>
    <definedName name="_ql1" hidden="1">{"Offgrid",#N/A,FALSE,"OFFGRID";"Region",#N/A,FALSE,"REGION";"Offgrid -2",#N/A,FALSE,"OFFGRID";"WTP",#N/A,FALSE,"WTP";"WTP -2",#N/A,FALSE,"WTP";"Project",#N/A,FALSE,"PROJECT";"Summary -2",#N/A,FALSE,"SUMMARY"}</definedName>
    <definedName name="_QLO7" hidden="1">#REF!</definedName>
    <definedName name="_Regression_Int" hidden="1">1</definedName>
    <definedName name="_Regression_X" hidden="1">#REF!</definedName>
    <definedName name="_REV1" hidden="1">{#N/A,#N/A,TRUE,"Str.";#N/A,#N/A,TRUE,"Steel &amp; Roof";#N/A,#N/A,TRUE,"Arc.";#N/A,#N/A,TRUE,"Preliminary";#N/A,#N/A,TRUE,"Sum_Prelim"}</definedName>
    <definedName name="_SCL4" hidden="1">{"'Sheet1'!$L$16"}</definedName>
    <definedName name="_sd9" hidden="1">{"'Sheet1'!$L$16"}</definedName>
    <definedName name="_Sort" hidden="1">#REF!</definedName>
    <definedName name="_Sortmoi" hidden="1">#REF!</definedName>
    <definedName name="_sum1" hidden="1">#REF!</definedName>
    <definedName name="_SXT3" hidden="1">{#N/A,#N/A,FALSE,"Chi tiÆt"}</definedName>
    <definedName name="_sxt5" hidden="1">{"'Sheet1'!$L$16"}</definedName>
    <definedName name="_sxt6" hidden="1">{#N/A,#N/A,FALSE,"Chi tiÆt"}</definedName>
    <definedName name="_t1" hidden="1">{"'Sheet1'!$L$16"}</definedName>
    <definedName name="_T10" hidden="1">{"'Sheet1'!$L$16"}</definedName>
    <definedName name="_t11" hidden="1">{"'Sheet1'!$L$16"}</definedName>
    <definedName name="_t12" hidden="1">{#N/A,#N/A,FALSE,"Chi tiÆt"}</definedName>
    <definedName name="_T14" hidden="1">{"'Sheet1'!$L$16"}</definedName>
    <definedName name="_T17" hidden="1">{"'Sheet1'!$L$16"}</definedName>
    <definedName name="_T23" hidden="1">{"'Sheet1'!$L$16"}</definedName>
    <definedName name="_T3" hidden="1">{"'Sheet1'!$L$16"}</definedName>
    <definedName name="_T7" hidden="1">{"'Sheet1'!$L$16"}</definedName>
    <definedName name="_t9" hidden="1">{#N/A,#N/A,FALSE,"Chi tiÆt"}</definedName>
    <definedName name="_Table1_In1" hidden="1">#REF!</definedName>
    <definedName name="_Table1_Out" hidden="1">#REF!</definedName>
    <definedName name="_Table2_In1" hidden="1">#REF!</definedName>
    <definedName name="_Table2_Out" hidden="1">#REF!</definedName>
    <definedName name="_tb2" hidden="1">{"'Sheet1'!$L$16"}</definedName>
    <definedName name="_td1" hidden="1">{"'Sheet1'!$L$16"}</definedName>
    <definedName name="_TD3" hidden="1">{"'Sheet1'!$L$16"}</definedName>
    <definedName name="_TH02" hidden="1">{"'Sheet1'!$L$16"}</definedName>
    <definedName name="_TH20004" hidden="1">{"'Sheet1'!$L$16"}</definedName>
    <definedName name="_tha1" hidden="1">{"'Sheet1'!$L$16"}</definedName>
    <definedName name="_tm1" hidden="1">{"'Sheet1'!$L$16"}</definedName>
    <definedName name="_TM2" hidden="1">{"'Sheet1'!$L$16"}</definedName>
    <definedName name="_TO14" hidden="1">{"'Sheet1'!$L$16"}</definedName>
    <definedName name="_Tru21" hidden="1">{"'Sheet1'!$L$16"}</definedName>
    <definedName name="_TS2004" hidden="1">{"'Sheet1'!$L$16"}</definedName>
    <definedName name="_tt3" hidden="1">{"'Sheet1'!$L$16"}</definedName>
    <definedName name="_TT31" hidden="1">{"'Sheet1'!$L$16"}</definedName>
    <definedName name="_tu4" hidden="1">{"'Sheet1'!$L$16"}</definedName>
    <definedName name="_tu5"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P2" hidden="1">{"'Sheet1'!$L$16"}</definedName>
    <definedName name="_vpt5" hidden="1">{"'Sheet1'!$L$16"}</definedName>
    <definedName name="_vpt6"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z511" hidden="1">{"'Sheet1'!$L$16"}</definedName>
    <definedName name="¸df" hidden="1">#REF!</definedName>
    <definedName name="¸dfsad" hidden="1">#REF!</definedName>
    <definedName name="¸DFSDFGKLJKL" hidden="1">#REF!</definedName>
    <definedName name="¼QRWERQWR" hidden="1">#REF!</definedName>
    <definedName name="­234w4q324q32" hidden="1">#REF!</definedName>
    <definedName name="â" hidden="1">{"'Sheet1'!$L$16"}</definedName>
    <definedName name="ầ" hidden="1">{"'Sheet1'!$L$16"}</definedName>
    <definedName name="ằ" hidden="1">{"'Sheet1'!$L$16"}</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3rt" hidden="1">{"'Sheet1'!$L$16"}</definedName>
    <definedName name="aa" hidden="1">{"'Sheet1'!$L$16"}</definedName>
    <definedName name="aaaa" hidden="1">{"Offgrid",#N/A,FALSE,"OFFGRID";"Region",#N/A,FALSE,"REGION";"Offgrid -2",#N/A,FALSE,"OFFGRID";"WTP",#N/A,FALSE,"WTP";"WTP -2",#N/A,FALSE,"WTP";"Project",#N/A,FALSE,"PROJECT";"Summary -2",#N/A,FALSE,"SUMMARY"}</definedName>
    <definedName name="AAAAA" hidden="1">{0}</definedName>
    <definedName name="aaaaaa" hidden="1">{"Offgrid",#N/A,FALSE,"OFFGRID";"Region",#N/A,FALSE,"REGION";"Offgrid -2",#N/A,FALSE,"OFFGRID";"WTP",#N/A,FALSE,"WTP";"WTP -2",#N/A,FALSE,"WTP";"Project",#N/A,FALSE,"PROJECT";"Summary -2",#N/A,FALSE,"SUMMARY"}</definedName>
    <definedName name="aaaaaaaaa" hidden="1">{"'Sheet1'!$L$16"}</definedName>
    <definedName name="aaaaaaaaaaaaaaaa" hidden="1">{#N/A,#N/A,FALSE,"CCTV"}</definedName>
    <definedName name="aaaaaaaaaaaaaaaattttttttttt" hidden="1">{"'Sheet1'!$L$16"}</definedName>
    <definedName name="aaag" hidden="1">{#N/A,#N/A,TRUE,"SUM";#N/A,#N/A,TRUE,"EE";#N/A,#N/A,TRUE,"AC";#N/A,#N/A,TRUE,"SN"}</definedName>
    <definedName name="ÀASA" hidden="1">{"'Sheet1'!$L$16"}</definedName>
    <definedName name="aassa" hidden="1">{"'Sheet1'!$L$16"}</definedName>
    <definedName name="ABAB" hidden="1">{#N/A,#N/A,FALSE,"CCTV"}</definedName>
    <definedName name="abc" hidden="1">{"'Sheet1'!$L$16"}</definedName>
    <definedName name="ABCD" hidden="1">{"'Sheet1'!$L$16"}</definedName>
    <definedName name="abcvd" hidden="1">{"'Sheet1'!$L$16"}</definedName>
    <definedName name="AccessDatabase" hidden="1">"C:\My Documents\LeBinh\Xls\VP Cong ty\FORM.mdb"</definedName>
    <definedName name="Acell" hidden="1">INDIRECT(ADDRESS(ROW(),COLUMN()))</definedName>
    <definedName name="ACMV" hidden="1">{"'Sheet1'!$L$16"}</definedName>
    <definedName name="AD" hidden="1">#REF!</definedName>
    <definedName name="adada" hidden="1">{"'Sheet1'!$L$16"}</definedName>
    <definedName name="ADADADD" hidden="1">{"'Sheet1'!$L$16"}</definedName>
    <definedName name="adadqadwd" hidden="1">#REF!</definedName>
    <definedName name="ÁDAF" hidden="1">{"'Sheet1'!$L$16"}</definedName>
    <definedName name="adasasdda" hidden="1">#REF!</definedName>
    <definedName name="adc" hidden="1">{#N/A,#N/A,FALSE,"CCTV"}</definedName>
    <definedName name="adcfgf" hidden="1">{"'Sheet1'!$L$16"}</definedName>
    <definedName name="adddfdgfg" hidden="1">#REF!</definedName>
    <definedName name="ade" hidden="1">{#N/A,#N/A,FALSE,"Chi tiÆt"}</definedName>
    <definedName name="adfg" hidden="1">{"'Sheet1'!$L$16"}</definedName>
    <definedName name="adfgghgjkcvbcvb" hidden="1">#REF!</definedName>
    <definedName name="adfgsdfÎyttuiuiopiop" hidden="1">#REF!</definedName>
    <definedName name="ádgewekt" hidden="1">{0,0,0,0;0,0,0,0;0,0,0,0;0,0,0,0;0,0,0,0;0,0,0,0;0,0,0,0}</definedName>
    <definedName name="adrytsd" hidden="1">{"'Sheet1'!$L$16"}</definedName>
    <definedName name="ádsấ" hidden="1">{#N/A,#N/A,FALSE,"Tabelle2";#N/A,#N/A,FALSE,"Tabelle1"}</definedName>
    <definedName name="adsadsa" hidden="1">{#N/A,#N/A,TRUE,"CS&amp;SS(AG)";#N/A,#N/A,TRUE,"CS(UG)";#N/A,#N/A,TRUE,"CSCL(UG)";#N/A,#N/A,TRUE,"KYNAR";#N/A,#N/A,TRUE,"ALLOY904";#N/A,#N/A,TRUE,"TITANIUM";#N/A,#N/A,TRUE,"STMTRACE"}</definedName>
    <definedName name="adsadsads" hidden="1">#REF!</definedName>
    <definedName name="adsafdsgfg" hidden="1">#REF!</definedName>
    <definedName name="adsdghtyyuiui" hidden="1">#REF!</definedName>
    <definedName name="adsdsad" hidden="1">#REF!</definedName>
    <definedName name="advass" hidden="1">{"'Sheet1'!$L$16"}</definedName>
    <definedName name="ae" hidden="1">{"'Sheet1'!$L$16"}</definedName>
    <definedName name="aesde" hidden="1">{#N/A,#N/A,FALSE,"CCTV"}</definedName>
    <definedName name="aewewew" hidden="1">#REF!</definedName>
    <definedName name="AEWWQAFDASF" hidden="1">{"'Sheet1'!$L$16"}</definedName>
    <definedName name="af" hidden="1">{#N/A,#N/A,FALSE,"Chi tiÆt"}</definedName>
    <definedName name="âfA" hidden="1">{"'Sheet1'!$L$16"}</definedName>
    <definedName name="afaf" hidden="1">{"'Sheet1'!$L$16"}</definedName>
    <definedName name="afasfsagfas" hidden="1">{#N/A,#N/A,FALSE,"Chi tiÆt"}</definedName>
    <definedName name="afdf" hidden="1">{"'Sheet1'!$L$16"}</definedName>
    <definedName name="AFDFD" hidden="1">{#N/A,#N/A,FALSE,"Chi tiÆt"}</definedName>
    <definedName name="afggdgfgf" hidden="1">{"'Sheet1'!$L$16"}</definedName>
    <definedName name="ĂFRSGDF" hidden="1">{"'Sheet1'!$L$16"}</definedName>
    <definedName name="ăg" hidden="1">{"'Sheet1'!$L$16"}</definedName>
    <definedName name="AGE" hidden="1">{"'Sheet1'!$L$16"}</definedName>
    <definedName name="ầgfabg" hidden="1">#REF!</definedName>
    <definedName name="ẩgg" hidden="1">{"'Sheet1'!$L$16"}</definedName>
    <definedName name="ầgga" hidden="1">{"'Sheet1'!$L$16"}</definedName>
    <definedName name="ahtjht" hidden="1">{"'Sheet1'!$L$16"}</definedName>
    <definedName name="AÎTUYUYIOPUIOP" hidden="1">#REF!</definedName>
    <definedName name="akp" hidden="1">{"'Sheet1'!$L$16"}</definedName>
    <definedName name="amoi" hidden="1">{"'Sheet1'!$L$16"}</definedName>
    <definedName name="AN" hidden="1">{"'Sheet1'!$L$16"}</definedName>
    <definedName name="anh" hidden="1">{"'Sheet1'!$L$16"}</definedName>
    <definedName name="anh\" hidden="1">{"'Sheet1'!$L$16"}</definedName>
    <definedName name="anhdai" hidden="1">#REF!</definedName>
    <definedName name="anscount" hidden="1">8</definedName>
    <definedName name="Antoan" hidden="1">{"'Sheet1'!$L$16"}</definedName>
    <definedName name="aq" hidden="1">{"'Sheet1'!$L$16"}</definedName>
    <definedName name="Aqpl" hidden="1">{"'Sheet1'!$L$16"}</definedName>
    <definedName name="as" hidden="1">{"'Sheet1'!$L$16"}</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dasdasd" hidden="1">#REF!</definedName>
    <definedName name="asas" hidden="1">{#N/A,#N/A,FALSE,"Sheet2";#N/A,#N/A,FALSE,"Sheet4";#N/A,#N/A,FALSE,"Sheet6"}</definedName>
    <definedName name="ASD" hidden="1">{"'Sheet1'!$L$16"}</definedName>
    <definedName name="ASDAS" hidden="1">{"ECA Qtrs C",#N/A,TRUE,"ECA_Qtrs_C";"ECA Qtrs D",#N/A,TRUE,"ECA_Qtrs_D";"ECA Qtrs F",#N/A,TRUE,"ECA_Qtrs_F";"ECA Qtrs G",#N/A,TRUE,"ECA_Qtrs_G";"ECA SisterApt",#N/A,TRUE,"ECA_SisterApt";"ECA Nurses",#N/A,TRUE,"ECA_NursesHostel"}</definedName>
    <definedName name="ASDF" hidden="1">{#N/A,#N/A,FALSE,"CCTV"}</definedName>
    <definedName name="asdfg" hidden="1">{"'Sheet1'!$L$16"}</definedName>
    <definedName name="aserasdea" hidden="1">{"'Sheet1'!$L$16"}</definedName>
    <definedName name="ASEW" hidden="1">{"'Sheet1'!$L$16"}</definedName>
    <definedName name="asf" hidden="1">{"'Sheet1'!$L$16"}</definedName>
    <definedName name="asfsf" hidden="1">{"'Sheet1'!$L$16"}</definedName>
    <definedName name="asGDBhsN" hidden="1">{"'Sheet1'!$L$16"}</definedName>
    <definedName name="asq" hidden="1">{"'Sheet1'!$L$16"}</definedName>
    <definedName name="ASSSS" hidden="1">{"'Sheet1'!$L$16"}</definedName>
    <definedName name="asssss" hidden="1">{"'Sheet1'!$L$16"}</definedName>
    <definedName name="aswd" hidden="1">{"'Sheet1'!$L$16"}</definedName>
    <definedName name="AT" hidden="1">#REF!</definedName>
    <definedName name="ATGT" hidden="1">{"'Sheet1'!$L$16"}</definedName>
    <definedName name="atw" hidden="1">{"'Sheet1'!$L$16"}</definedName>
    <definedName name="b" hidden="1">{"'Sheet1'!$L$16"}</definedName>
    <definedName name="B6a" hidden="1">{"'Sheet1'!$L$16"}</definedName>
    <definedName name="bang" hidden="1">{#N/A,#N/A,FALSE,"BN (2)"}</definedName>
    <definedName name="bảng" hidden="1">{"'Sheet1'!$L$16"}</definedName>
    <definedName name="BanGiaoThong" hidden="1">{"'Sheet1'!$L$16"}</definedName>
    <definedName name="banGT11" hidden="1">{"'Sheet1'!$L$16"}</definedName>
    <definedName name="bangt12" hidden="1">{"'Sheet1'!$L$16"}</definedName>
    <definedName name="bangt14" hidden="1">{"'Sheet1'!$L$16"}</definedName>
    <definedName name="bangt15" hidden="1">{"'Sheet1'!$L$16"}</definedName>
    <definedName name="banQL" hidden="1">{"'Sheet1'!$L$16"}</definedName>
    <definedName name="BAVF" hidden="1">{"'Sheet1'!$L$16"}</definedName>
    <definedName name="BBB" hidden="1">{"'Sheet1'!$L$16"}</definedName>
    <definedName name="ｂｂｂ" hidden="1">{"'Sheet1'!$L$16"}</definedName>
    <definedName name="bbbb" hidden="1">{"Offgrid",#N/A,FALSE,"OFFGRID";"Region",#N/A,FALSE,"REGION";"Offgrid -2",#N/A,FALSE,"OFFGRID";"WTP",#N/A,FALSE,"WTP";"WTP -2",#N/A,FALSE,"WTP";"Project",#N/A,FALSE,"PROJECT";"Summary -2",#N/A,FALSE,"SUMMARY"}</definedName>
    <definedName name="ｂｂｂｂ" hidden="1">{"'Sheet1'!$L$16"}</definedName>
    <definedName name="ｂｂｂｂｂ" hidden="1">{"'Sheet1'!$L$16"}</definedName>
    <definedName name="BBgach" hidden="1">{"'Sheet1'!$L$16"}</definedName>
    <definedName name="bbntttttt" hidden="1">{"'Sheet1'!$L$16"}</definedName>
    <definedName name="bc" hidden="1">{"'Sheet1'!$L$16"}</definedName>
    <definedName name="BCTQ" hidden="1">{"'Sheet1'!$L$16"}</definedName>
    <definedName name="BDFBDFBDF" hidden="1">{"'Sheet1'!$L$16"}</definedName>
    <definedName name="BDGNDNGB" hidden="1">{"'Sheet1'!$L$16"}</definedName>
    <definedName name="bdv" hidden="1">{"'Sheet1'!$L$16"}</definedName>
    <definedName name="BFDBRBSD" hidden="1">{"NGUYEN QUI THIEP - Personal View",#N/A,FALSE,"XDCB.HT.FUR."}</definedName>
    <definedName name="BFG" hidden="1">#REF!</definedName>
    <definedName name="BFGBSF" hidden="1">#REF!</definedName>
    <definedName name="BFSBFD" hidden="1">{"'Sheet1'!$L$16"}</definedName>
    <definedName name="BG_Del" hidden="1">15</definedName>
    <definedName name="BG_Ins" hidden="1">4</definedName>
    <definedName name="BG_Mod" hidden="1">6</definedName>
    <definedName name="BGFNC" hidden="1">{"'Sheet1'!$L$16"}</definedName>
    <definedName name="Bgiang" hidden="1">{"'Sheet1'!$L$16"}</definedName>
    <definedName name="BGSFGSD" hidden="1">{"'Sheet1'!$L$16"}</definedName>
    <definedName name="bhfh" hidden="1">{"'Sheet1'!$L$16"}</definedName>
    <definedName name="BHLD" hidden="1">{"'Sheet1'!$L$16"}</definedName>
    <definedName name="BHLDq3" hidden="1">{"'Sheet1'!$L$16"}</definedName>
    <definedName name="Bhthang4" hidden="1">{#N/A,#N/A,FALSE,"Chi tiÆt"}</definedName>
    <definedName name="bhthang5" hidden="1">{#N/A,#N/A,FALSE,"Chi tiÆt"}</definedName>
    <definedName name="bhthang6" hidden="1">{"'Sheet1'!$L$16"}</definedName>
    <definedName name="BHXH" hidden="1">{"'Sheet1'!$L$16"}</definedName>
    <definedName name="BHYTQ3" hidden="1">{"'Sheet1'!$L$16"}</definedName>
    <definedName name="Bien" hidden="1">#REF!</definedName>
    <definedName name="Bien1" hidden="1">#REF!</definedName>
    <definedName name="BIGC" hidden="1">{#N/A,#N/A,TRUE,"Str.";#N/A,#N/A,TRUE,"Steel &amp; Roof";#N/A,#N/A,TRUE,"Arc.";#N/A,#N/A,TRUE,"Preliminary";#N/A,#N/A,TRUE,"Sum_Prelim"}</definedName>
    <definedName name="bilsukagc.hi" hidden="1">{"'Sheet1'!$L$16"}</definedName>
    <definedName name="Bin" hidden="1">{"'Sheet1'!$L$16"}</definedName>
    <definedName name="binh" hidden="1">{"'Sheet1'!$L$16"}</definedName>
    <definedName name="BKDV03" hidden="1">{"'Sheet1'!$L$16"}</definedName>
    <definedName name="BMS" hidden="1">{"'Sheet1'!$L$16"}</definedName>
    <definedName name="BOQA2" hidden="1">{"'Sheet1'!$L$16"}</definedName>
    <definedName name="BOQCongtruong" hidden="1">#REF!</definedName>
    <definedName name="bosung" hidden="1">{"'Sheet1'!$L$16"}</definedName>
    <definedName name="BREAK" hidden="1">{#N/A,#N/A,FALSE,"CCTV"}</definedName>
    <definedName name="BSA" hidden="1">{"'Sheet1'!$L$16"}</definedName>
    <definedName name="BSFSDBVSD" hidden="1">{"'Sheet1'!$L$16"}</definedName>
    <definedName name="BTH" hidden="1">{"'Sheet1'!$L$16"}</definedName>
    <definedName name="btl" hidden="1">{"'Sheet1'!$L$16"}</definedName>
    <definedName name="bvh" hidden="1">#REF!</definedName>
    <definedName name="bvhjggj" hidden="1">#REF!</definedName>
    <definedName name="BXBXCBC" hidden="1">{"'Sheet1'!$L$16"}</definedName>
    <definedName name="C.1" hidden="1">{"'Sheet1'!$L$16"}</definedName>
    <definedName name="c.BaMuoi" hidden="1">{"'Sheet1'!$L$16"}</definedName>
    <definedName name="C.MocTom" hidden="1">{"'Sheet1'!$L$16"}</definedName>
    <definedName name="CA" hidden="1">{#N/A,#N/A,TRUE,"SUM";#N/A,#N/A,TRUE,"EE";#N/A,#N/A,TRUE,"AC";#N/A,#N/A,TRUE,"SN"}</definedName>
    <definedName name="CẪ" hidden="1">{"'Sheet1'!$L$16"}</definedName>
    <definedName name="Cable" hidden="1">{"'Sheet1'!$L$16"}</definedName>
    <definedName name="cald" hidden="1">{#N/A,#N/A,FALSE,"CCTV"}</definedName>
    <definedName name="CaododayGa" hidden="1">{"'Sheet1'!$L$16"}</definedName>
    <definedName name="CARL" hidden="1">{#N/A,#N/A,FALSE,"CCTV"}</definedName>
    <definedName name="CARL1" hidden="1">{#N/A,#N/A,FALSE,"CCTV"}</definedName>
    <definedName name="CARL2" hidden="1">{#N/A,#N/A,FALSE,"CCTV"}</definedName>
    <definedName name="cbnnbn" hidden="1">{"'Sheet1'!$L$16"}</definedName>
    <definedName name="CBWorkbookPriority" hidden="1">-1807836116</definedName>
    <definedName name="ccc" hidden="1">{"'Sheet1'!$L$16"}</definedName>
    <definedName name="cccc" hidden="1">{#N/A,#N/A,TRUE,"SUM";#N/A,#N/A,TRUE,"EE";#N/A,#N/A,TRUE,"AC";#N/A,#N/A,TRUE,"SN"}</definedName>
    <definedName name="cds" hidden="1">#REF!</definedName>
    <definedName name="Celling" hidden="1">{"'Sheet1'!$L$16"}</definedName>
    <definedName name="CF1_a129" hidden="1">{"Offgrid",#N/A,FALSE,"OFFGRID";"Region",#N/A,FALSE,"REGION";"Offgrid -2",#N/A,FALSE,"OFFGRID";"WTP",#N/A,FALSE,"WTP";"WTP -2",#N/A,FALSE,"WTP";"Project",#N/A,FALSE,"PROJECT";"Summary -2",#N/A,FALSE,"SUMMARY"}</definedName>
    <definedName name="cfggcvdr" hidden="1">#REF!</definedName>
    <definedName name="cg" hidden="1">{"'Sheet1'!$L$16"}</definedName>
    <definedName name="cgdrte" hidden="1">#REF!</definedName>
    <definedName name="cgghh" hidden="1">{"'Sheet1'!$L$16"}</definedName>
    <definedName name="CHAIN" hidden="1">#REF!</definedName>
    <definedName name="Chdate" hidden="1">#REF!</definedName>
    <definedName name="chi" hidden="1">{"'Sheet1'!$L$16"}</definedName>
    <definedName name="chien" hidden="1">{"'Sheet1'!$L$16"}</definedName>
    <definedName name="chien1" hidden="1">{"'Sheet1'!$L$16"}</definedName>
    <definedName name="chietchai2" hidden="1">{"'Sheet1'!$L$16"}</definedName>
    <definedName name="chilk" hidden="1">{"'Sheet1'!$L$16"}</definedName>
    <definedName name="Chiphi" hidden="1">{"'Sheet1'!$L$16"}</definedName>
    <definedName name="chitiet3" hidden="1">{"'Sheet1'!$L$16"}</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cjh" hidden="1">#REF!</definedName>
    <definedName name="CMC" hidden="1">{"'Sheet1'!$L$16"}</definedName>
    <definedName name="CN6G" hidden="1">{"'Sheet1'!$L$16"}</definedName>
    <definedName name="Coc_60" hidden="1">{"'Sheet1'!$L$16"}</definedName>
    <definedName name="coccat" hidden="1">{"'Sheet1'!$L$16"}</definedName>
    <definedName name="cocly" hidden="1">{"'Sheet1'!$L$16"}</definedName>
    <definedName name="Code" hidden="1">#REF!</definedName>
    <definedName name="colo" hidden="1">{"'Sheet1'!$L$16"}</definedName>
    <definedName name="colo1" hidden="1">{"'Sheet1'!$L$16"}</definedName>
    <definedName name="column" hidden="1">#REF!</definedName>
    <definedName name="Company2013" hidden="1">#REF!</definedName>
    <definedName name="congB" hidden="1">{"'Sheet1'!$L$16"}</definedName>
    <definedName name="congca" hidden="1">{"'Sheet1'!$L$16"}</definedName>
    <definedName name="CONGPA1" hidden="1">{"'Sheet1'!$L$16"}</definedName>
    <definedName name="control" hidden="1">{"'Sheet1'!$L$16"}</definedName>
    <definedName name="coping" hidden="1">{"ECA Qtrs C",#N/A,TRUE,"ECA_Qtrs_C";"ECA Qtrs D",#N/A,TRUE,"ECA_Qtrs_D";"ECA Qtrs F",#N/A,TRUE,"ECA_Qtrs_F";"ECA Qtrs G",#N/A,TRUE,"ECA_Qtrs_G";"ECA SisterApt",#N/A,TRUE,"ECA_SisterApt";"ECA Nurses",#N/A,TRUE,"ECA_NursesHostel"}</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P" hidden="1">#REF!</definedName>
    <definedName name="CPM" hidden="1">{#N/A,#N/A,FALSE,"Chi tiÆt"}</definedName>
    <definedName name="CPVL" hidden="1">{"'Sheet1'!$L$16"}</definedName>
    <definedName name="CPXD" hidden="1">{"'Sheet1'!$L$16"}</definedName>
    <definedName name="csacc" hidden="1">{"'Sheet1'!$L$16"}</definedName>
    <definedName name="CSODJWO" hidden="1">{#N/A,#N/A,TRUE,"SUM";#N/A,#N/A,TRUE,"EE";#N/A,#N/A,TRUE,"AC";#N/A,#N/A,TRUE,"SN"}</definedName>
    <definedName name="ct" hidden="1">{"'Sheet1'!$L$16"}</definedName>
    <definedName name="ctbbt" hidden="1">{"'Sheet1'!$L$16"}</definedName>
    <definedName name="ctct" hidden="1">{"'Sheet1'!$L$16"}</definedName>
    <definedName name="CTCT1" hidden="1">{"'Sheet1'!$L$16"}</definedName>
    <definedName name="ctctct" hidden="1">{"'Sheet1'!$L$16"}</definedName>
    <definedName name="CTGS" hidden="1">{"'Sheet1'!$L$16"}</definedName>
    <definedName name="ctieu" hidden="1">{"'Sheet1'!$L$16"}</definedName>
    <definedName name="CTsu" hidden="1">{"'Sheet1'!$L$16"}</definedName>
    <definedName name="CTTC10nam" hidden="1">{"'Sheet1'!$L$16"}</definedName>
    <definedName name="cung" hidden="1">{"'Sheet1'!$L$16"}</definedName>
    <definedName name="Cuong" hidden="1">{"'Sheet1'!$L$16"}</definedName>
    <definedName name="CurDate" hidden="1">#REF!</definedName>
    <definedName name="cuu" hidden="1">{"'Sheet1'!$L$16"}</definedName>
    <definedName name="cv" hidden="1">{"'Sheet1'!$L$16"}</definedName>
    <definedName name="CVBCXBCV" hidden="1">{"'Sheet1'!$L$16"}</definedName>
    <definedName name="cvbcxbncvxfwettuy567567" hidden="1">#REF!</definedName>
    <definedName name="cvf" hidden="1">{"'Sheet1'!$L$16"}</definedName>
    <definedName name="cvfr" hidden="1">{"'Sheet1'!$L$16"}</definedName>
    <definedName name="cxcxcxc" hidden="1">#REF!</definedName>
    <definedName name="czxc" hidden="1">#REF!</definedName>
    <definedName name="đ" hidden="1">{"'Sheet1'!$L$16"}</definedName>
    <definedName name="Ð" hidden="1">{"'Sheet1'!$L$16"}</definedName>
    <definedName name="dµgdfgjhsdfgÎt123" hidden="1">#REF!</definedName>
    <definedName name="D1D" hidden="1">{"'Sheet1'!$L$16"}</definedName>
    <definedName name="D1DUONG" hidden="1">{#N/A,#N/A,FALSE,"Chi tiÆt"}</definedName>
    <definedName name="D1DUONG1" hidden="1">{#N/A,#N/A,FALSE,"Chi tiÆt"}</definedName>
    <definedName name="D3D" hidden="1">{"'Sheet1'!$L$16"}</definedName>
    <definedName name="dá" hidden="1">{"'Sheet1'!$L$16"}</definedName>
    <definedName name="dà" hidden="1">{"'Sheet1'!$L$16"}</definedName>
    <definedName name="ĐÁ" hidden="1">#REF!</definedName>
    <definedName name="đấ" hidden="1">{"'Sheet1'!$L$16"}</definedName>
    <definedName name="daas" hidden="1">#REF!</definedName>
    <definedName name="Dad" hidden="1">{"'Sheet1'!$L$16"}</definedName>
    <definedName name="dada" hidden="1">#REF!</definedName>
    <definedName name="dadada" hidden="1">#REF!</definedName>
    <definedName name="dấdassaszx" hidden="1">#REF!</definedName>
    <definedName name="dấdsaa" hidden="1">#REF!</definedName>
    <definedName name="dadsadasdsd" hidden="1">#REF!</definedName>
    <definedName name="dadsws" hidden="1">{"'Sheet1'!$L$16"}</definedName>
    <definedName name="dai" hidden="1">#REF!</definedName>
    <definedName name="DAMBIEN" hidden="1">{"'Sheet1'!$L$16"}</definedName>
    <definedName name="daomuong" hidden="1">{"'Sheet1'!$L$16"}</definedName>
    <definedName name="daøy" hidden="1">#REF!</definedName>
    <definedName name="das" hidden="1">#REF!</definedName>
    <definedName name="dasasasa" hidden="1">{"'Sheet1'!$L$16"}</definedName>
    <definedName name="DASDASDSADAS" hidden="1">{"'Sheet1'!$L$16"}</definedName>
    <definedName name="dasdsadsa" hidden="1">#REF!</definedName>
    <definedName name="dase" hidden="1">{#N/A,#N/A,FALSE,"CCTV"}</definedName>
    <definedName name="data1" hidden="1">#REF!</definedName>
    <definedName name="data2" hidden="1">#REF!</definedName>
    <definedName name="data3" hidden="1">#REF!</definedName>
    <definedName name="davdacsa" hidden="1">{"'Sheet1'!$L$16"}</definedName>
    <definedName name="DBSDVSDVS" hidden="1">{"'Sheet1'!$L$16"}</definedName>
    <definedName name="dcszcxzc" hidden="1">#REF!</definedName>
    <definedName name="dda" hidden="1">{"'Sheet1'!$L$16"}</definedName>
    <definedName name="ddaf" hidden="1">{"'Sheet1'!$L$16"}</definedName>
    <definedName name="ddamlot" hidden="1">{"'Sheet1'!$L$16"}</definedName>
    <definedName name="ddång" hidden="1">{"'Sheet1'!$L$16"}</definedName>
    <definedName name="ddc" hidden="1">{"'Sheet1'!$L$16"}</definedName>
    <definedName name="ddd" hidden="1">{"'Sheet1'!$L$16"}</definedName>
    <definedName name="DDDD" hidden="1">{"'Sheet1'!$L$16"}</definedName>
    <definedName name="ddddd" hidden="1">{"'Sheet1'!$L$16"}</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ddddddd" hidden="1">{"'Sheet1'!$L$16"}</definedName>
    <definedName name="dddddddddddddddddddd" hidden="1">{"'Sheet1'!$L$16"}</definedName>
    <definedName name="DDDDDDDDDDDDDDDDDDDDDDDDDDDDDDDDDDDD" hidden="1">#REF!</definedName>
    <definedName name="ddffsfd" hidden="1">#REF!</definedName>
    <definedName name="ddghhjjjj" hidden="1">#REF!</definedName>
    <definedName name="dÊd" hidden="1">#REF!</definedName>
    <definedName name="dede" hidden="1">{"'Sheet1'!$L$16"}</definedName>
    <definedName name="deedfsd" hidden="1">{"'Sheet1'!$L$16"}</definedName>
    <definedName name="deí" hidden="1">{"'Sheet1'!$L$16"}</definedName>
    <definedName name="del_tab" hidden="1">[2]Control!#REF!</definedName>
    <definedName name="delcode" hidden="1">[2]Control!#REF!</definedName>
    <definedName name="DenDK" hidden="1">{"'Sheet1'!$L$16"}</definedName>
    <definedName name="deviation" hidden="1">{#N/A,#N/A,FALSE,"CCTV"}</definedName>
    <definedName name="deweeeeeeeee" hidden="1">{"'Sheet1'!$L$16"}</definedName>
    <definedName name="DEWSLDW" hidden="1">{#N/A,#N/A,TRUE,"SUM";#N/A,#N/A,TRUE,"EE";#N/A,#N/A,TRUE,"AC";#N/A,#N/A,TRUE,"SN"}</definedName>
    <definedName name="dfầd" hidden="1">#REF!</definedName>
    <definedName name="dfầdfadfdsà" hidden="1">#REF!</definedName>
    <definedName name="DFADFDA" hidden="1">{"'Sheet1'!$L$16"}</definedName>
    <definedName name="dfaffffffffffffffffffffffff" hidden="1">#REF!</definedName>
    <definedName name="DFD" hidden="1">{"'Sheet1'!$L$16"}</definedName>
    <definedName name="DFDF" hidden="1">{"ECA Qtrs C",#N/A,TRUE,"ECA_Qtrs_C";"ECA Qtrs D",#N/A,TRUE,"ECA_Qtrs_D";"ECA Qtrs F",#N/A,TRUE,"ECA_Qtrs_F";"ECA Qtrs G",#N/A,TRUE,"ECA_Qtrs_G";"ECA SisterApt",#N/A,TRUE,"ECA_SisterApt";"ECA Nurses",#N/A,TRUE,"ECA_NursesHostel"}</definedName>
    <definedName name="dfdfd" hidden="1">{"'Sheet1'!$L$16"}</definedName>
    <definedName name="DFDFDS" hidden="1">{#N/A,#N/A,TRUE,"SUM";#N/A,#N/A,TRUE,"EE";#N/A,#N/A,TRUE,"AC";#N/A,#N/A,TRUE,"SN"}</definedName>
    <definedName name="DFDFSADFA" hidden="1">{"NGUYEN QUI THIEP - Personal View",#N/A,FALSE,"XDCB.HT.FUR."}</definedName>
    <definedName name="DFDFSDFSD" hidden="1">{#N/A,#N/A,TRUE,"SUM";#N/A,#N/A,TRUE,"EE";#N/A,#N/A,TRUE,"AC";#N/A,#N/A,TRUE,"SN"}</definedName>
    <definedName name="DFDSFA" hidden="1">{"'Sheet1'!$L$16"}</definedName>
    <definedName name="DFF" hidden="1">{#N/A,#N/A,TRUE,"SUM";#N/A,#N/A,TRUE,"EE";#N/A,#N/A,TRUE,"AC";#N/A,#N/A,TRUE,"SN"}</definedName>
    <definedName name="dfg" hidden="1">{"Offgrid",#N/A,FALSE,"OFFGRID";"Region",#N/A,FALSE,"REGION";"Offgrid -2",#N/A,FALSE,"OFFGRID";"WTP",#N/A,FALSE,"WTP";"WTP -2",#N/A,FALSE,"WTP";"Project",#N/A,FALSE,"PROJECT";"Summary -2",#N/A,FALSE,"SUMMARY"}</definedName>
    <definedName name="DFGASDFA" hidden="1">{"'Sheet1'!$L$16"}</definedName>
    <definedName name="dfgcvbxcv34467678" hidden="1">#REF!</definedName>
    <definedName name="dfgd" hidden="1">#REF!</definedName>
    <definedName name="dfgdfg" hidden="1">#REF!</definedName>
    <definedName name="dfgdfghgjghjxcvxcvb" hidden="1">#REF!</definedName>
    <definedName name="dfgdfs­ªrtruyûuiyi" hidden="1">#REF!</definedName>
    <definedName name="dfgfdg" hidden="1">{"'Sheet1'!$L$16"}</definedName>
    <definedName name="dfgfghghkhlvbcvbvn­3452345656876579" hidden="1">#REF!</definedName>
    <definedName name="dfgfjhq345568uyioôighj" hidden="1">#REF!</definedName>
    <definedName name="dfggfj" hidden="1">{0}</definedName>
    <definedName name="dfggg" hidden="1">{"'Sheet1'!$L$16"}</definedName>
    <definedName name="DFGHFSGFDS" hidden="1">{"'Sheet1'!$L$16"}</definedName>
    <definedName name="dfghrt" hidden="1">{"'Sheet1'!$L$16"}</definedName>
    <definedName name="dfgr" hidden="1">{"'Sheet1'!$L$16"}</definedName>
    <definedName name="dfgsÓtytyiyuouio" hidden="1">#REF!</definedName>
    <definedName name="dfh" hidden="1">{"'Sheet1'!$L$16"}</definedName>
    <definedName name="dfhf" hidden="1">{"'Sheet1'!$L$16"}</definedName>
    <definedName name="dfjsdhldfgkfd" hidden="1">{"'Sheet1'!$L$16"}</definedName>
    <definedName name="DFSDF" hidden="1">{"'Sheet1'!$L$16"}</definedName>
    <definedName name="dfsfsd" hidden="1">{"'Sheet1'!$L$16"}</definedName>
    <definedName name="dfsgsag" hidden="1">{"'Sheet1'!$L$16"}</definedName>
    <definedName name="dg" hidden="1">{"'Sheet1'!$L$16"}</definedName>
    <definedName name="DGCTmatcauviahe" hidden="1">{"'Sheet1'!$L$16"}</definedName>
    <definedName name="dgctp2" hidden="1">{"'Sheet1'!$L$16"}</definedName>
    <definedName name="dgdjdkgd" hidden="1">{#N/A,#N/A,FALSE,"CCTV"}</definedName>
    <definedName name="dgf" hidden="1">{"Offgrid",#N/A,FALSE,"OFFGRID";"Region",#N/A,FALSE,"REGION";"Offgrid -2",#N/A,FALSE,"OFFGRID";"WTP",#N/A,FALSE,"WTP";"WTP -2",#N/A,FALSE,"WTP";"Project",#N/A,FALSE,"PROJECT";"Summary -2",#N/A,FALSE,"SUMMARY"}</definedName>
    <definedName name="dgfdg" hidden="1">{"'Sheet1'!$L$16"}</definedName>
    <definedName name="dgfg" hidden="1">{"'Sheet1'!$L$16"}</definedName>
    <definedName name="dghdhdh" hidden="1">{"'Sheet1'!$L$16"}</definedName>
    <definedName name="dghgdf" hidden="1">{"'Sheet1'!$L$16"}</definedName>
    <definedName name="dghjyuk" hidden="1">{"'Sheet1'!$L$16"}</definedName>
    <definedName name="DGKL" hidden="1">#REF!</definedName>
    <definedName name="DGSEGWE" hidden="1">{"'Sheet1'!$L$16"}</definedName>
    <definedName name="đgsf" hidden="1">{"'Sheet1'!$L$16"}</definedName>
    <definedName name="dgsgsg" hidden="1">{"'Sheet1'!$L$16"}</definedName>
    <definedName name="dgvf" hidden="1">{"'Sheet1'!$L$16"}</definedName>
    <definedName name="DGWEHWR" hidden="1">{"'Sheet1'!$L$16"}</definedName>
    <definedName name="DHDFGSF" hidden="1">{"'Sheet1'!$L$16"}</definedName>
    <definedName name="đhf" hidden="1">{"'Sheet1'!$L$16"}</definedName>
    <definedName name="dhk" hidden="1">{"'Sheet1'!$L$16"}</definedName>
    <definedName name="DHSRHGR" hidden="1">{"'Sheet1'!$L$16"}</definedName>
    <definedName name="diengiai" hidden="1">{"'Sheet1'!$L$16"}</definedName>
    <definedName name="dim" hidden="1">{"'Sheet1'!$L$16"}</definedName>
    <definedName name="direct1" hidden="1">#REF!</definedName>
    <definedName name="Discount" hidden="1">#REF!</definedName>
    <definedName name="display_area_2" hidden="1">#REF!</definedName>
    <definedName name="djkgklsdfgj" hidden="1">{"'Sheet1'!$L$16"}</definedName>
    <definedName name="DMNB" hidden="1">{"'Sheet1'!$L$16"}</definedName>
    <definedName name="DN1_CT5" hidden="1">{"'Sheet1'!$L$16"}</definedName>
    <definedName name="DNTT" hidden="1">{"NGUYEN QUI THIEP - Personal View",#N/A,FALSE,"XDCB.HT.FUR."}</definedName>
    <definedName name="dntt10" hidden="1">{"'Sheet1'!$L$16"}</definedName>
    <definedName name="dntt9" hidden="1">{"'Sheet1'!$L$16"}</definedName>
    <definedName name="doll" hidden="1">{"'Sheet1'!$L$16"}</definedName>
    <definedName name="Domain" hidden="1">#REF!</definedName>
    <definedName name="dQlda_GdpVal" hidden="1">#N/A</definedName>
    <definedName name="dQlda_GtongVal" hidden="1">#N/A</definedName>
    <definedName name="dr" hidden="1">{"'Sheet1'!$L$16"}</definedName>
    <definedName name="dsa" hidden="1">{#N/A,#N/A,FALSE,"Chi tiÆt"}</definedName>
    <definedName name="dsadasdada" hidden="1">#REF!</definedName>
    <definedName name="dsadsadasdas" hidden="1">#REF!</definedName>
    <definedName name="dsafđgffd" hidden="1">#REF!</definedName>
    <definedName name="dsafefere" hidden="1">#REF!</definedName>
    <definedName name="dsasdasdasd" hidden="1">#REF!</definedName>
    <definedName name="dsd" hidden="1">{"'Sheet1'!$L$16"}</definedName>
    <definedName name="dsda" hidden="1">{"'Sheet1'!$L$16"}</definedName>
    <definedName name="dsds" hidden="1">{"'Sheet1'!$L$16"}</definedName>
    <definedName name="dse" hidden="1">{"'Sheet1'!$L$16"}</definedName>
    <definedName name="dsf" hidden="1">#REF!</definedName>
    <definedName name="dsfd" hidden="1">#REF!</definedName>
    <definedName name="dsfdd" hidden="1">#REF!</definedName>
    <definedName name="dsfdfgfgfg" hidden="1">#REF!</definedName>
    <definedName name="DSFDS" hidden="1">{"'Sheet1'!$L$16"}</definedName>
    <definedName name="dsfh" hidden="1">#REF!</definedName>
    <definedName name="dsfsdf" hidden="1">{"'Sheet1'!$L$16"}</definedName>
    <definedName name="dsgfhtyjjt" hidden="1">#REF!</definedName>
    <definedName name="DSGHJ" hidden="1">{"'Sheet1'!$L$16"}</definedName>
    <definedName name="dsgsdfgdfshfgh" hidden="1">{"'Sheet1'!$L$16"}</definedName>
    <definedName name="dsgsdg" hidden="1">{"'Sheet1'!$L$16"}</definedName>
    <definedName name="dsjk" hidden="1">{"'Sheet1'!$L$16"}</definedName>
    <definedName name="DSJKLDE" hidden="1">{#N/A,#N/A,TRUE,"SUM";#N/A,#N/A,TRUE,"EE";#N/A,#N/A,TRUE,"AC";#N/A,#N/A,TRUE,"SN"}</definedName>
    <definedName name="DTCamau" hidden="1">{"'Sheet1'!$L$16"}</definedName>
    <definedName name="DTCD" hidden="1">{"'Sheet1'!$L$16"}</definedName>
    <definedName name="DTCT" hidden="1">{"'Sheet1'!$L$16"}</definedName>
    <definedName name="dth" hidden="1">{"'Sheet1'!$L$16"}</definedName>
    <definedName name="dthft" hidden="1">{"'Sheet1'!$L$16"}</definedName>
    <definedName name="DTKT3" hidden="1">{"'Sheet1'!$L$16"}</definedName>
    <definedName name="DTMG_vumua" hidden="1">{#N/A,#N/A,FALSE,"Chi tiÆt"}</definedName>
    <definedName name="DTTK" hidden="1">{"'Sheet1'!$L$16"}</definedName>
    <definedName name="DTTVGM163" hidden="1">{"'Sheet1'!$L$16"}</definedName>
    <definedName name="Du" hidden="1">#REF!</definedName>
    <definedName name="duc" hidden="1">{"'Sheet1'!$L$16"}</definedName>
    <definedName name="duc0" hidden="1">{"'Sheet1'!$L$16"}</definedName>
    <definedName name="DucO" hidden="1">{"'Sheet1'!$L$16"}</definedName>
    <definedName name="DUCT" hidden="1">{#N/A,#N/A,FALSE,"Sheet1"}</definedName>
    <definedName name="dumbwaiter" hidden="1">{#N/A,#N/A,FALSE,"Sheet1";#N/A,#N/A,FALSE,"Sheet3";#N/A,#N/A,FALSE,"Sheet5"}</definedName>
    <definedName name="dung" hidden="1">{"'Sheet1'!$L$16"}</definedName>
    <definedName name="Duong1" hidden="1">{"'Sheet1'!$L$16"}</definedName>
    <definedName name="Duong10" hidden="1">{"'Sheet1'!$L$16"}</definedName>
    <definedName name="Duongnaco" hidden="1">{"'Sheet1'!$L$16"}</definedName>
    <definedName name="dutoanc2" hidden="1">{"'Sheet1'!$L$16"}</definedName>
    <definedName name="dutruchiphi" hidden="1">{"NGUYEN QUI THIEP - Personal View",#N/A,FALSE,"XDCB.HT.FUR."}</definedName>
    <definedName name="DUY" hidden="1">{"'Sheet1'!$L$16"}</definedName>
    <definedName name="DV" hidden="1">{"'Sheet1'!$L$16"}</definedName>
    <definedName name="DVGEWVBEW" hidden="1">{"'Sheet1'!$L$16"}</definedName>
    <definedName name="DWPRICE" hidden="1">'[3]114+220'!#REF!</definedName>
    <definedName name="dwqwq" hidden="1">#REF!</definedName>
    <definedName name="DX" hidden="1">{"'Sheet1'!$L$16"}</definedName>
    <definedName name="Dy" hidden="1">#REF!</definedName>
    <definedName name="dzfgdfg" hidden="1">{"'Sheet1'!$L$16"}</definedName>
    <definedName name="e" hidden="1">{"'Sheet1'!$L$16"}</definedName>
    <definedName name="Ẻ" hidden="1">#REF!</definedName>
    <definedName name="eaf" hidden="1">{"'Sheet1'!$L$16"}</definedName>
    <definedName name="EAWTKMSEKS" hidden="1">{"'Sheet1'!$L$16"}</definedName>
    <definedName name="ED" hidden="1">{#N/A,#N/A,FALSE,"CCTV"}</definedName>
    <definedName name="edds" hidden="1">#REF!</definedName>
    <definedName name="edwfrhjy" hidden="1">#REF!</definedName>
    <definedName name="edwtgfdsgf" hidden="1">{"'Sheet1'!$L$16"}</definedName>
    <definedName name="ee" hidden="1">{"'Sheet1'!$L$16"}</definedName>
    <definedName name="eee" hidden="1">#REF!</definedName>
    <definedName name="eeee" hidden="1">{"'Sheet1'!$L$16"}</definedName>
    <definedName name="eeeee" hidden="1">{#N/A,#N/A,TRUE,"SUM";#N/A,#N/A,TRUE,"EE";#N/A,#N/A,TRUE,"AC";#N/A,#N/A,TRUE,"SN"}</definedName>
    <definedName name="eef" hidden="1">{"'Sheet1'!$L$16"}</definedName>
    <definedName name="eerefdg" hidden="1">{#N/A,#N/A,FALSE,"CCTV"}</definedName>
    <definedName name="eïhd" hidden="1">{"'Sheet1'!$L$16"}</definedName>
    <definedName name="EK" hidden="1">#REF!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qewqeqweqw" hidden="1">{"'Sheet1'!$L$16"}</definedName>
    <definedName name="eqtrwy" hidden="1">{"'Sheet1'!$L$16"}</definedName>
    <definedName name="ÊR" hidden="1">{"'Sheet1'!$L$16"}</definedName>
    <definedName name="­erewarqewrqr" hidden="1">#REF!</definedName>
    <definedName name="errr" hidden="1">{"'Sheet1'!$L$16"}</definedName>
    <definedName name="ERT" hidden="1">{"'Sheet1'!$L$16"}</definedName>
    <definedName name="erw" hidden="1">{0,0,0,0;0,0,0,0;0,0,0,0;0,0,0,0;0,0,0,0;0,0,0,0;0,0,0,0}</definedName>
    <definedName name="ẺT" hidden="1">#REF!</definedName>
    <definedName name="etqgsg_đhs" hidden="1">{"'Sheet1'!$L$16"}</definedName>
    <definedName name="etuiuti" hidden="1">{"'Sheet1'!$L$16"}</definedName>
    <definedName name="ẺTWTW" hidden="1">{"'Sheet1'!$L$16"}</definedName>
    <definedName name="eûtheí" hidden="1">{"'Sheet1'!$L$16"}</definedName>
    <definedName name="ew" hidden="1">{"'Sheet1'!$L$16"}</definedName>
    <definedName name="EWEREWRE" hidden="1">{"'Sheet1'!$L$16"}</definedName>
    <definedName name="ẺWERWE" hidden="1">{"'Sheet1'!$L$16"}</definedName>
    <definedName name="ewewq" hidden="1">#REF!</definedName>
    <definedName name="ewrfqewrrefeqrftr" hidden="1">{"'Sheet1'!$L$16"}</definedName>
    <definedName name="ewrWRN" hidden="1">{"'Sheet1'!$L$16"}</definedName>
    <definedName name="ews" hidden="1">{0}</definedName>
    <definedName name="ExactAddinConnection" hidden="1">"200"</definedName>
    <definedName name="ExactAddinConnection.200" hidden="1">"MAYCHU2;200;yen;0"</definedName>
    <definedName name="ExactAddinReports" hidden="1">24</definedName>
    <definedName name="F15x30" hidden="1">{"'Sheet1'!$L$16"}</definedName>
    <definedName name="faaaaaf" hidden="1">{#N/A,#N/A,FALSE,"Sheet1"}</definedName>
    <definedName name="fáaafafaf" hidden="1">{"'Sheet1'!$L$16"}</definedName>
    <definedName name="FACTORY" hidden="1">{#N/A,#N/A,TRUE,"SUM";#N/A,#N/A,TRUE,"EE";#N/A,#N/A,TRUE,"AC";#N/A,#N/A,TRUE,"SN"}</definedName>
    <definedName name="faewewe" hidden="1">#REF!</definedName>
    <definedName name="FAFA" hidden="1">{"'Sheet1'!$L$16"}</definedName>
    <definedName name="FASFA" hidden="1">{"'Sheet1'!$L$16"}</definedName>
    <definedName name="fasfaga" hidden="1">{"'Sheet1'!$L$16"}</definedName>
    <definedName name="FBSEEBASD" hidden="1">{"'Sheet1'!$L$16"}</definedName>
    <definedName name="fÇ" hidden="1">{"'Sheet1'!$L$16"}</definedName>
    <definedName name="FCode" hidden="1">#REF!</definedName>
    <definedName name="fd" hidden="1">{"'Sheet1'!$L$16"}</definedName>
    <definedName name="fdf" hidden="1">{"'Sheet1'!$L$16"}</definedName>
    <definedName name="fdfd" hidden="1">{"'Sheet1'!$L$16"}</definedName>
    <definedName name="FDFDSF" hidden="1">{#N/A,#N/A,TRUE,"SUM";#N/A,#N/A,TRUE,"EE";#N/A,#N/A,TRUE,"AC";#N/A,#N/A,TRUE,"SN"}</definedName>
    <definedName name="fdfg" hidden="1">#REF!</definedName>
    <definedName name="fdfs" hidden="1">{#N/A,#N/A,TRUE,"SUM";#N/A,#N/A,TRUE,"EE";#N/A,#N/A,TRUE,"AC";#N/A,#N/A,TRUE,"SN"}</definedName>
    <definedName name="fdfs2" hidden="1">{#N/A,#N/A,TRUE,"SUM";#N/A,#N/A,TRUE,"EE";#N/A,#N/A,TRUE,"AC";#N/A,#N/A,TRUE,"SN"}</definedName>
    <definedName name="fdfsdfs" hidden="1">{#N/A,#N/A,TRUE,"SUM";#N/A,#N/A,TRUE,"EE";#N/A,#N/A,TRUE,"AC";#N/A,#N/A,TRUE,"SN"}</definedName>
    <definedName name="fdfsdfsdf" hidden="1">#REF!</definedName>
    <definedName name="fdfsf" hidden="1">{#N/A,#N/A,FALSE,"Chi tiÆt"}</definedName>
    <definedName name="fdg" hidden="1">{"'Sheet1'!$L$16"}</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h" hidden="1">{"'Sheet1'!$L$16"}</definedName>
    <definedName name="fdgsdf" hidden="1">{"'Sheet1'!$L$16"}</definedName>
    <definedName name="fdhfg" hidden="1">{0}</definedName>
    <definedName name="fđhh" hidden="1">{"'Sheet1'!$L$16"}</definedName>
    <definedName name="fdsf" hidden="1">{"'Sheet1'!$L$16"}</definedName>
    <definedName name="fdsfds" hidden="1">{"ECA Qtrs C",#N/A,TRUE,"ECA_Qtrs_C";"ECA Qtrs D",#N/A,TRUE,"ECA_Qtrs_D";"ECA Qtrs F",#N/A,TRUE,"ECA_Qtrs_F";"ECA Qtrs G",#N/A,TRUE,"ECA_Qtrs_G";"ECA SisterApt",#N/A,TRUE,"ECA_SisterApt";"ECA Nurses",#N/A,TRUE,"ECA_NursesHostel"}</definedName>
    <definedName name="fdsfdsfsdf" hidden="1">#REF!</definedName>
    <definedName name="fdsff" hidden="1">{"'Sheet1'!$L$16"}</definedName>
    <definedName name="fdsfsdfd" hidden="1">{"'Sheet1'!$L$16"}</definedName>
    <definedName name="fdsgds" hidden="1">{"'Sheet1'!$L$16"}</definedName>
    <definedName name="FEDSBSD" hidden="1">{"'Sheet1'!$L$16"}</definedName>
    <definedName name="fefrefewfe" hidden="1">#REF!</definedName>
    <definedName name="FERQAA" hidden="1">{"'Sheet1'!$L$16"}</definedName>
    <definedName name="fewfef" hidden="1">{"'Sheet1'!$L$16"}</definedName>
    <definedName name="ff" hidden="1">{"'Sheet1'!$L$16"}</definedName>
    <definedName name="ffdfd" hidden="1">#REF!</definedName>
    <definedName name="fff" hidden="1">{"'Sheet1'!$L$16"}</definedName>
    <definedName name="FFFF" hidden="1">{"'Sheet1'!$L$16"}</definedName>
    <definedName name="ffffd" hidden="1">{#N/A,#N/A,TRUE,"SUM";#N/A,#N/A,TRUE,"EE";#N/A,#N/A,TRUE,"AC";#N/A,#N/A,TRUE,"SN"}</definedName>
    <definedName name="ffffffff" hidden="1">#REF!</definedName>
    <definedName name="fffffffffffffff" hidden="1">{"'Sheet1'!$L$16"}</definedName>
    <definedName name="ffgf" hidden="1">{"'Sheet1'!$L$16"}</definedName>
    <definedName name="ffggggggfgf" hidden="1">{"'Sheet1'!$L$16"}</definedName>
    <definedName name="ffwf" hidden="1">#REF!</definedName>
    <definedName name="fg" hidden="1">{"'Sheet1'!$L$16"}</definedName>
    <definedName name="fgd" hidden="1">{"'Sheet1'!$L$16"}</definedName>
    <definedName name="fgdag" hidden="1">{"'Sheet1'!$L$16"}</definedName>
    <definedName name="FGDFHG" hidden="1">{"'Sheet1'!$L$16"}</definedName>
    <definedName name="FGF" hidden="1">{#N/A,#N/A,FALSE,"Sheet2";#N/A,#N/A,FALSE,"Sheet4";#N/A,#N/A,FALSE,"Sheet6"}</definedName>
    <definedName name="fgff" hidden="1">{#N/A,#N/A,TRUE,"SUM";#N/A,#N/A,TRUE,"EE";#N/A,#N/A,TRUE,"AC";#N/A,#N/A,TRUE,"SN"}</definedName>
    <definedName name="fgfh" hidden="1">#REF!</definedName>
    <definedName name="fgg" hidden="1">{"'Sheet1'!$L$16"}</definedName>
    <definedName name="fgh" hidden="1">{"'Sheet1'!$L$16"}</definedName>
    <definedName name="fghbys" hidden="1">#REF!</definedName>
    <definedName name="FGHDGFHDF" hidden="1">{"'Sheet1'!$L$16"}</definedName>
    <definedName name="FGHDGHD" hidden="1">{"'Sheet1'!$L$16"}</definedName>
    <definedName name="fghfd" hidden="1">{"Offgrid",#N/A,FALSE,"OFFGRID";"Region",#N/A,FALSE,"REGION";"Offgrid -2",#N/A,FALSE,"OFFGRID";"WTP",#N/A,FALSE,"WTP";"WTP -2",#N/A,FALSE,"WTP";"Project",#N/A,FALSE,"PROJECT";"Summary -2",#N/A,FALSE,"SUMMARY"}</definedName>
    <definedName name="fghfgh­Óyuiuiuivbnbvn" hidden="1">#REF!</definedName>
    <definedName name="fghfjrtytyuuyi" hidden="1">#REF!</definedName>
    <definedName name="fghg" hidden="1">{"'Sheet1'!$L$16"}</definedName>
    <definedName name="fghhk" hidden="1">{0}</definedName>
    <definedName name="FGHRGS" hidden="1">{"NGUYEN QUI THIEP - Personal View",#N/A,FALSE,"XDCB.HT.FUR."}</definedName>
    <definedName name="FGJ" hidden="1">#REF!</definedName>
    <definedName name="FGJFGH" hidden="1">{"'Sheet1'!$L$16"}</definedName>
    <definedName name="fgjj" hidden="1">{"'Sheet1'!$L$16"}</definedName>
    <definedName name="fgn" hidden="1">{"'Sheet1'!$L$16"}</definedName>
    <definedName name="FGNFGNFGNF" hidden="1">{"NGUYEN QUI THIEP - Personal View",#N/A,FALSE,"XDCB.HT.FUR."}</definedName>
    <definedName name="fh" hidden="1">{"'Sheet1'!$L$16"}</definedName>
    <definedName name="fhf" hidden="1">{"'Sheet1'!$L$16"}</definedName>
    <definedName name="fhhh" hidden="1">{"'Sheet1'!$L$16"}</definedName>
    <definedName name="FHJHJHG" hidden="1">{"'Sheet1'!$L$16"}</definedName>
    <definedName name="fhjjh" hidden="1">{"'Sheet1'!$L$16"}</definedName>
    <definedName name="fhk" hidden="1">{0}</definedName>
    <definedName name="FiLL" hidden="1">#REF!</definedName>
    <definedName name="FILLL" hidden="1">#REF!</definedName>
    <definedName name="fjgdhjkhikcvb2345" hidden="1">#REF!</definedName>
    <definedName name="fkgjk" hidden="1">{"'Sheet1'!$L$16"}</definedName>
    <definedName name="fldfángonh" hidden="1">{"'Sheet1'!$L$16"}</definedName>
    <definedName name="FOR" hidden="1">{#N/A,#N/A,FALSE,"CCTV"}</definedName>
    <definedName name="FORMAT" hidden="1">{#N/A,#N/A,FALSE,"CCTV"}</definedName>
    <definedName name="fr" hidden="1">{"'Sheet1'!$L$16"}</definedName>
    <definedName name="fre" hidden="1">{"'Sheet1'!$L$16"}</definedName>
    <definedName name="FRWDS" hidden="1">{"'Sheet1'!$L$16"}</definedName>
    <definedName name="fsa" hidden="1">{"'Sheet1'!$L$16"}</definedName>
    <definedName name="fsafsdfsd" hidden="1">{"'Sheet1'!$L$16"}</definedName>
    <definedName name="fsd" hidden="1">#REF!</definedName>
    <definedName name="fsdf" hidden="1">#REF!</definedName>
    <definedName name="fsdfdsf" hidden="1">{"'Sheet1'!$L$16"}</definedName>
    <definedName name="fsdfdssdgfsd" hidden="1">#REF!</definedName>
    <definedName name="fsdfsd" hidden="1">{#N/A,#N/A,FALSE,"Chi tiÆt"}</definedName>
    <definedName name="FSDFSDF" hidden="1">{#N/A,#N/A,TRUE,"SUM";#N/A,#N/A,TRUE,"EE";#N/A,#N/A,TRUE,"AC";#N/A,#N/A,TRUE,"SN"}</definedName>
    <definedName name="fsdfsdfsdfs" hidden="1">{"'Sheet1'!$L$16"}</definedName>
    <definedName name="fsdfsf" hidden="1">{"ECA Qtrs C",#N/A,TRUE,"ECA_Qtrs_C";"ECA Qtrs D",#N/A,TRUE,"ECA_Qtrs_D";"ECA Qtrs F",#N/A,TRUE,"ECA_Qtrs_F";"ECA Qtrs G",#N/A,TRUE,"ECA_Qtrs_G";"ECA SisterApt",#N/A,TRUE,"ECA_SisterApt";"ECA Nurses",#N/A,TRUE,"ECA_NursesHostel"}</definedName>
    <definedName name="fsf" hidden="1">{"'Sheet1'!$L$16"}</definedName>
    <definedName name="fsfds" hidden="1">#REF!</definedName>
    <definedName name="fsfs" hidden="1">{"'Sheet1'!$L$16"}</definedName>
    <definedName name="fsssfds" hidden="1">#REF!</definedName>
    <definedName name="ft" hidden="1">{"'Sheet1'!$L$16"}</definedName>
    <definedName name="fþh" hidden="1">#REF!</definedName>
    <definedName name="ftrjk" hidden="1">{"'Sheet1'!$L$16"}</definedName>
    <definedName name="function" hidden="1">{"'Sheet1'!$L$16"}</definedName>
    <definedName name="fwef" hidden="1">#REF!</definedName>
    <definedName name="FXBFXB" hidden="1">{"'Sheet1'!$L$16"}</definedName>
    <definedName name="fxdfhxc" hidden="1">{"'Sheet1'!$L$16"}</definedName>
    <definedName name="g" hidden="1">{"'Sheet1'!$L$16"}</definedName>
    <definedName name="ga" hidden="1">{"'Sheet1'!$L$16"}</definedName>
    <definedName name="gbb" hidden="1">{"'Sheet1'!$L$16"}</definedName>
    <definedName name="gcm" hidden="1">{"'Sheet1'!$L$16"}</definedName>
    <definedName name="gdafg" hidden="1">#REF!</definedName>
    <definedName name="gdd" hidden="1">#REF!</definedName>
    <definedName name="gdfgdfgdf" hidden="1">{"'Sheet1'!$L$16"}</definedName>
    <definedName name="GDFHGDFHFG" hidden="1">#REF!</definedName>
    <definedName name="gdg" hidden="1">{"'Sheet1'!$L$16"}</definedName>
    <definedName name="gdgdkdfkghlf" hidden="1">{"'Sheet1'!$L$16"}</definedName>
    <definedName name="gdhgh" hidden="1">{"'Sheet1'!$L$16"}</definedName>
    <definedName name="gdhgj" hidden="1">{"'Sheet1'!$L$16"}</definedName>
    <definedName name="gdret" hidden="1">{"'Sheet1'!$L$16"}</definedName>
    <definedName name="GDRFHDF" hidden="1">{"'Sheet1'!$L$16"}</definedName>
    <definedName name="GÈGEWG" hidden="1">{"'Sheet1'!$L$16"}</definedName>
    <definedName name="GEWGEW" hidden="1">{"'Sheet1'!$L$16"}</definedName>
    <definedName name="gf" hidden="1">{"'Sheet1'!$L$16"}</definedName>
    <definedName name="gfbb" hidden="1">{"'Sheet1'!$L$16"}</definedName>
    <definedName name="GFBV" hidden="1">{"'Sheet1'!$L$16"}</definedName>
    <definedName name="gfd" hidden="1">{"'Sheet1'!$L$16"}</definedName>
    <definedName name="gfdg" hidden="1">{"'Sheet1'!$L$16"}</definedName>
    <definedName name="gfdgd" hidden="1">#REF!</definedName>
    <definedName name="GFDHG" hidden="1">{"NGUYEN QUI THIEP - Personal View",#N/A,FALSE,"XDCB.HT.FUR."}</definedName>
    <definedName name="gfg" hidden="1">{"'Sheet1'!$L$16"}</definedName>
    <definedName name="gfgf" hidden="1">#REF!</definedName>
    <definedName name="gfgfghfh" hidden="1">#REF!</definedName>
    <definedName name="gfh" hidden="1">{#N/A,#N/A,FALSE,"Chi tiÆt"}</definedName>
    <definedName name="gfhgj" hidden="1">{0}</definedName>
    <definedName name="GFJHJ" hidden="1">{"'Sheet1'!$L$16"}</definedName>
    <definedName name="GFSDFSF" hidden="1">{"'Sheet1'!$L$16"}</definedName>
    <definedName name="GG" hidden="1">{#N/A,#N/A,TRUE,"SUM";#N/A,#N/A,TRUE,"EE";#N/A,#N/A,TRUE,"AC";#N/A,#N/A,TRUE,"SN"}</definedName>
    <definedName name="ggag" hidden="1">#REF!</definedName>
    <definedName name="ggdf" hidden="1">{"'Sheet1'!$L$16"}</definedName>
    <definedName name="ggf" hidden="1">{"'Sheet1'!$L$16"}</definedName>
    <definedName name="ggg" hidden="1">{"'Sheet1'!$L$16"}</definedName>
    <definedName name="GGGG" hidden="1">#REF!</definedName>
    <definedName name="GGGGG" hidden="1">{#N/A,#N/A,TRUE,"SUM";#N/A,#N/A,TRUE,"EE";#N/A,#N/A,TRUE,"AC";#N/A,#N/A,TRUE,"SN"}</definedName>
    <definedName name="gggggg" hidden="1">#REF!</definedName>
    <definedName name="ggggggggggggg" hidden="1">{"'Sheet1'!$L$16"}</definedName>
    <definedName name="gggggggggggggg" hidden="1">{"'Sheet1'!$L$16"}</definedName>
    <definedName name="ggggggggggggggg" hidden="1">{"'Sheet1'!$L$16"}</definedName>
    <definedName name="gggggggggggggggg" hidden="1">#REF!</definedName>
    <definedName name="ggggggggggggggggg" hidden="1">#REF!</definedName>
    <definedName name="gghh" hidden="1">{"'Sheet1'!$L$16"}</definedName>
    <definedName name="gghjh" hidden="1">{"'Sheet1'!$L$16"}</definedName>
    <definedName name="ggsf" hidden="1">#REF!</definedName>
    <definedName name="ggss" hidden="1">{"'Sheet1'!$L$16"}</definedName>
    <definedName name="gh" hidden="1">{"'Sheet1'!$L$16"}</definedName>
    <definedName name="GHDF" hidden="1">{"'Sheet1'!$L$16"}</definedName>
    <definedName name="ghdfghdfg" hidden="1">{"'Sheet1'!$L$16"}</definedName>
    <definedName name="ghdzsf" hidden="1">{"'Sheet1'!$L$16"}</definedName>
    <definedName name="ghfdyds" hidden="1">#REF!</definedName>
    <definedName name="ghfhgfh" hidden="1">{"'Sheet1'!$L$16"}</definedName>
    <definedName name="ghg" hidden="1">{"'Sheet1'!$L$16"}</definedName>
    <definedName name="ghgh" hidden="1">{"'Sheet1'!$L$16"}</definedName>
    <definedName name="GHGHF" hidden="1">#REF!</definedName>
    <definedName name="ghgj" hidden="1">{0}</definedName>
    <definedName name="ghgk" hidden="1">{0}</definedName>
    <definedName name="ghhh" hidden="1">{"'Sheet1'!$L$16"}</definedName>
    <definedName name="ghj" hidden="1">{"'Sheet1'!$L$16"}</definedName>
    <definedName name="ghjghjgh" hidden="1">#REF!</definedName>
    <definedName name="ghjgjkhjk" hidden="1">#REF!</definedName>
    <definedName name="ghjhgj" hidden="1">{"'Sheet1'!$L$16"}</definedName>
    <definedName name="GHJK" hidden="1">{"'Sheet1'!$L$16"}</definedName>
    <definedName name="ghm" hidden="1">{#N/A,#N/A,FALSE,"Sheet1";#N/A,#N/A,FALSE,"Sheet1";#N/A,#N/A,FALSE,"Sheet1"}</definedName>
    <definedName name="GHTY" hidden="1">#REF!</definedName>
    <definedName name="ghû" hidden="1">{"'Sheet1'!$L$16"}</definedName>
    <definedName name="gÎ" hidden="1">#REF!</definedName>
    <definedName name="gjgh" hidden="1">{"'Sheet1'!$L$16"}</definedName>
    <definedName name="gjh" hidden="1">{"'Sheet1'!$L$16"}</definedName>
    <definedName name="gjhg" hidden="1">{"'Sheet1'!$L$16"}</definedName>
    <definedName name="gjhhn" hidden="1">{"'Sheet1'!$L$16"}</definedName>
    <definedName name="gjhlk" hidden="1">{0}</definedName>
    <definedName name="GJKHJFG" hidden="1">{"'Sheet1'!$L$16"}</definedName>
    <definedName name="GJKHK" hidden="1">{"'Sheet1'!$L$16"}</definedName>
    <definedName name="gjkj" hidden="1">{"'Sheet1'!$L$16"}</definedName>
    <definedName name="gjrđjsjs" hidden="1">{"'Sheet1'!$L$16"}</definedName>
    <definedName name="GKGHJH" hidden="1">{#N/A,#N/A,FALSE,"Chi tiÆt"}</definedName>
    <definedName name="GKH" hidden="1">{#N/A,#N/A,FALSE,"Chi tiÆt"}</definedName>
    <definedName name="glhlhl" hidden="1">{"'Sheet1'!$L$16"}</definedName>
    <definedName name="glllhlh" hidden="1">{"'Sheet1'!$L$16"}</definedName>
    <definedName name="GNCBN" hidden="1">{"NGUYEN QUI THIEP - Personal View",#N/A,FALSE,"XDCB.HT.FUR."}</definedName>
    <definedName name="gndfd" hidden="1">{"'Sheet1'!$L$16"}</definedName>
    <definedName name="GNFKD" hidden="1">{#N/A,#N/A,TRUE,"SUM";#N/A,#N/A,TRUE,"EE";#N/A,#N/A,TRUE,"AC";#N/A,#N/A,TRUE,"SN"}</definedName>
    <definedName name="GREG4E" hidden="1">{"'Sheet1'!$L$16"}</definedName>
    <definedName name="grew" hidden="1">#REF!</definedName>
    <definedName name="grgr" hidden="1">#REF!</definedName>
    <definedName name="GSGSD" hidden="1">{"'Sheet1'!$L$16"}</definedName>
    <definedName name="gteyhưez" hidden="1">{"'Sheet1'!$L$16"}</definedName>
    <definedName name="GTM" hidden="1">{"'Sheet1'!$L$16"}</definedName>
    <definedName name="GTOTAL" hidden="1">{"'Sheet1'!$L$16"}</definedName>
    <definedName name="gtrfxjmjl" hidden="1">{"'Sheet1'!$L$16"}</definedName>
    <definedName name="GƯEGWEGED" hidden="1">{"'Sheet1'!$L$16"}</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hidden="1">{"'Sheet1'!$L$16"}</definedName>
    <definedName name="h_xoa" hidden="1">{"'Sheet1'!$L$16"}</definedName>
    <definedName name="h_xoa2" hidden="1">{"'Sheet1'!$L$16"}</definedName>
    <definedName name="h_xoa3" hidden="1">{"'Sheet1'!$L$16"}</definedName>
    <definedName name="hah" hidden="1">{"'Sheet1'!$L$16"}</definedName>
    <definedName name="hai" hidden="1">{"'Sheet1'!$L$16"}</definedName>
    <definedName name="halong" hidden="1">{"'Sheet1'!$L$16"}</definedName>
    <definedName name="HAMTIEØN" hidden="1">{"'Sheet1'!$L$16"}</definedName>
    <definedName name="han" hidden="1">#REF!</definedName>
    <definedName name="Hanh" hidden="1">{"'Sheet1'!$L$16"}</definedName>
    <definedName name="HAO" hidden="1">{#N/A,#N/A,FALSE,"Sheet1"}</definedName>
    <definedName name="haq" hidden="1">{"'Sheet1'!$L$16"}</definedName>
    <definedName name="HCBA" hidden="1">{"'Sheet1'!$L$16"}</definedName>
    <definedName name="HCBE" hidden="1">{"'Sheet1'!$L$16"}</definedName>
    <definedName name="HCBN" hidden="1">{"'Sheet1'!$L$16"}</definedName>
    <definedName name="hchdsvf" hidden="1">{"'Sheet1'!$L$16"}</definedName>
    <definedName name="HCNA" hidden="1">{"'Sheet1'!$L$16"}</definedName>
    <definedName name="HDFGHFD" hidden="1">{"'Sheet1'!$L$16"}</definedName>
    <definedName name="hdfhf" hidden="1">{"'Sheet1'!$L$16"}</definedName>
    <definedName name="hee_opjg" hidden="1">{"'Sheet1'!$L$16"}</definedName>
    <definedName name="HEHA" hidden="1">{"'Sheet1'!$L$16"}</definedName>
    <definedName name="HẺHRE" hidden="1">{#N/A,#N/A,FALSE,"Chi tiÆt"}</definedName>
    <definedName name="HETH" hidden="1">{"'Sheet1'!$L$16"}</definedName>
    <definedName name="hethongthoatnuocngoainha" hidden="1">#REF!</definedName>
    <definedName name="hẻy" hidden="1">{"'Sheet1'!$L$16"}</definedName>
    <definedName name="hfgh" hidden="1">{"'Sheet1'!$L$16"}</definedName>
    <definedName name="HFGHFGHDG" hidden="1">{"'Sheet1'!$L$16"}</definedName>
    <definedName name="hfgsdf" hidden="1">{"'Sheet1'!$L$16"}</definedName>
    <definedName name="hfhrfhf" hidden="1">{"'Sheet1'!$L$16"}</definedName>
    <definedName name="hfjjgjgjg" hidden="1">{"'Sheet1'!$L$16"}</definedName>
    <definedName name="hfvg" hidden="1">{"'Sheet1'!$L$16"}</definedName>
    <definedName name="hg" hidden="1">{"'Sheet1'!$L$16"}</definedName>
    <definedName name="HGDHDFG" hidden="1">{"'Sheet1'!$L$16"}</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 hidden="1">{"'Sheet1'!$L$16"}</definedName>
    <definedName name="hggg" hidden="1">{"'Sheet1'!$L$16"}</definedName>
    <definedName name="hgggggggggggggg" hidden="1">{"'Sheet1'!$L$16"}</definedName>
    <definedName name="hggjgjh" hidden="1">#REF!</definedName>
    <definedName name="hgh" hidden="1">{"'Sheet1'!$L$16"}</definedName>
    <definedName name="hghg" hidden="1">#REF!</definedName>
    <definedName name="hght" hidden="1">{"'Sheet1'!$L$16"}</definedName>
    <definedName name="hgj" hidden="1">{#N/A,#N/A,FALSE,"Chi tiÆt"}</definedName>
    <definedName name="hgjhkh" hidden="1">{"'Sheet1'!$L$16"}</definedName>
    <definedName name="hgre_zdfhgfd" hidden="1">{"'Sheet1'!$L$16"}</definedName>
    <definedName name="hgtgftryt" hidden="1">{"'Sheet1'!$L$16"}</definedName>
    <definedName name="hhb" hidden="1">{"'Sheet1'!$L$16"}</definedName>
    <definedName name="hhgggggg" hidden="1">{"'Sheet1'!$L$16"}</definedName>
    <definedName name="hhh" hidden="1">{"'Sheet1'!$L$16"}</definedName>
    <definedName name="hhhhh" hidden="1">#REF!</definedName>
    <definedName name="HHHHHH" hidden="1">{#N/A,#N/A,TRUE,"SUM";#N/A,#N/A,TRUE,"EE";#N/A,#N/A,TRUE,"AC";#N/A,#N/A,TRUE,"SN"}</definedName>
    <definedName name="hhhhhhhhh" hidden="1">{"'Sheet1'!$L$16"}</definedName>
    <definedName name="hhhhhhhhhhhhhhhh" hidden="1">{"'Sheet1'!$L$16"}</definedName>
    <definedName name="hhhhhhhhhhhhhhhhhhhh" hidden="1">{"'Sheet1'!$L$16"}</definedName>
    <definedName name="hhhhhu" hidden="1">{"'Sheet1'!$L$16"}</definedName>
    <definedName name="hhhlll" hidden="1">{"'Sheet1'!$L$16"}</definedName>
    <definedName name="hhjj" hidden="1">{"'Sheet1'!$L$16"}</definedName>
    <definedName name="hhkl" hidden="1">{"'Sheet1'!$L$16"}</definedName>
    <definedName name="HiddenRows" hidden="1">#REF!</definedName>
    <definedName name="hiep" hidden="1">{"'Sheet1'!$L$16"}</definedName>
    <definedName name="hiept2" hidden="1">{"'Sheet1'!$L$16"}</definedName>
    <definedName name="hj" hidden="1">{"'Sheet1'!$L$16"}</definedName>
    <definedName name="HJFGHGDH" hidden="1">{"NGUYEN QUI THIEP - Personal View",#N/A,FALSE,"XDCB.HT.FUR."}</definedName>
    <definedName name="HJGH" hidden="1">#REF!</definedName>
    <definedName name="hjh" hidden="1">{"'Sheet1'!$L$16"}</definedName>
    <definedName name="HJHH" hidden="1">{"ECA Qtrs C",#N/A,TRUE,"ECA_Qtrs_C";"ECA Qtrs D",#N/A,TRUE,"ECA_Qtrs_D";"ECA Qtrs F",#N/A,TRUE,"ECA_Qtrs_F";"ECA Qtrs G",#N/A,TRUE,"ECA_Qtrs_G";"ECA SisterApt",#N/A,TRUE,"ECA_SisterApt";"ECA Nurses",#N/A,TRUE,"ECA_NursesHostel"}</definedName>
    <definedName name="HJHHJHHHJ" hidden="1">{"'Sheet1'!$L$16"}</definedName>
    <definedName name="hjhj" hidden="1">{#N/A,#N/A,FALSE,"Chi tiÆt"}</definedName>
    <definedName name="HJJ" hidden="1">'[3]114+220'!#REF!</definedName>
    <definedName name="hjjkl" hidden="1">{"'Sheet1'!$L$16"}</definedName>
    <definedName name="hjjpu" hidden="1">{"'Sheet1'!$L$16"}</definedName>
    <definedName name="hjjþu" hidden="1">{"'Sheet1'!$L$16"}</definedName>
    <definedName name="hjk" hidden="1">{"'Sheet1'!$L$16"}</definedName>
    <definedName name="hjkfy" hidden="1">#REF!</definedName>
    <definedName name="hjkk" hidden="1">{"'Sheet1'!$L$16"}</definedName>
    <definedName name="hjkl" hidden="1">{"'Sheet1'!$L$16"}</definedName>
    <definedName name="hjkrtyyui" hidden="1">#REF!</definedName>
    <definedName name="HJTHE" hidden="1">{"'Sheet1'!$L$16"}</definedName>
    <definedName name="hjuk" hidden="1">{"'Sheet1'!$L$16"}</definedName>
    <definedName name="hkhkllkjkl" hidden="1">{"'Sheet1'!$L$16"}</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kfd" hidden="1">{"'Sheet1'!$L$16"}</definedName>
    <definedName name="hklhj" hidden="1">{"'Sheet1'!$L$16"}</definedName>
    <definedName name="hllgljl" hidden="1">{"'Sheet1'!$L$16"}</definedName>
    <definedName name="HMFDFG" hidden="1">{"'Sheet1'!$L$16"}</definedName>
    <definedName name="HMFGMFG" hidden="1">{"'Sheet1'!$L$16"}</definedName>
    <definedName name="hmy" hidden="1">{"'Sheet1'!$L$16"}</definedName>
    <definedName name="hoa" hidden="1">{"'Sheet1'!$L$16"}</definedName>
    <definedName name="hoan" hidden="1">{"'Sheet1'!$L$16"}</definedName>
    <definedName name="hoan1" hidden="1">{"'Sheet1'!$L$16"}</definedName>
    <definedName name="hodaoG11" hidden="1">{"'Sheet1'!$L$16"}</definedName>
    <definedName name="hong" hidden="1">{"'Sheet1'!$L$16"}</definedName>
    <definedName name="hp" hidden="1">{"'Sheet1'!$L$16"}</definedName>
    <definedName name="HREHRE" hidden="1">{"'Sheet1'!$L$16"}</definedName>
    <definedName name="hsfhfjh" hidden="1">#REF!</definedName>
    <definedName name="hsruj" hidden="1">{"'Sheet1'!$L$16"}</definedName>
    <definedName name="hsss" hidden="1">{"'Sheet1'!$L$16"}</definedName>
    <definedName name="hsu" hidden="1">{"'Sheet1'!$L$16"}</definedName>
    <definedName name="hte" hidden="1">{"'Sheet1'!$L$16"}</definedName>
    <definedName name="htfrju" hidden="1">{"'Sheet1'!$L$16"}</definedName>
    <definedName name="hþ" hidden="1">{"'Sheet1'!$L$16"}</definedName>
    <definedName name="HTHTR" hidden="1">{"'Sheet1'!$L$16"}</definedName>
    <definedName name="hþwr" hidden="1">{"'Sheet1'!$L$16"}</definedName>
    <definedName name="htlm" hidden="1">{"'Sheet1'!$L$16"}</definedName>
    <definedName name="htlm1" hidden="1">{"'Sheet1'!$L$16"}</definedName>
    <definedName name="html" hidden="1">{"'Sheet1'!$L$16"}</definedName>
    <definedName name="HTML_C"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1" hidden="1">{"'Sheet1'!$L$16"}</definedName>
    <definedName name="HTML_Controlmoi" hidden="1">{"'Sheet1'!$L$16"}</definedName>
    <definedName name="HTML_D"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2" hidden="1">{"'Sheet1'!$L$16"}</definedName>
    <definedName name="HTMLcpnmtrol" hidden="1">{"'Sheet1'!$L$16"}</definedName>
    <definedName name="htmll" hidden="1">{"'Sheet1'!$L$16"}</definedName>
    <definedName name="HTMLmoi" hidden="1">{"'Sheet1'!$L$16"}</definedName>
    <definedName name="htrdi" hidden="1">{"'Sheet1'!$L$16"}</definedName>
    <definedName name="htrhrt" hidden="1">{"'Sheet1'!$L$16"}</definedName>
    <definedName name="hu"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{"'Sheet1'!$L$16"}</definedName>
    <definedName name="hung118" hidden="1">{"'Sheet1'!$L$16"}</definedName>
    <definedName name="hung3" hidden="1">{"'Sheet1'!$L$16"}</definedName>
    <definedName name="huong" hidden="1">{"'Sheet1'!$L$16"}</definedName>
    <definedName name="huu" hidden="1">{"'Sheet1'!$L$16"}</definedName>
    <definedName name="huuu" hidden="1">{"'Sheet1'!$L$16"}</definedName>
    <definedName name="huy" hidden="1">{"'Sheet1'!$L$16"}</definedName>
    <definedName name="huy_1" hidden="1">{"'Sheet1'!$L$16"}</definedName>
    <definedName name="huy_xoa" hidden="1">{"'Sheet1'!$L$16"}</definedName>
    <definedName name="huy_xoa2" hidden="1">{"'Sheet1'!$L$16"}</definedName>
    <definedName name="huy1moi" hidden="1">{"'Sheet1'!$L$16"}</definedName>
    <definedName name="huyen" hidden="1">{"'Sheet1'!$L$16"}</definedName>
    <definedName name="huyhu" hidden="1">{"'Sheet1'!$L$16"}</definedName>
    <definedName name="huymoi" hidden="1">{"'Sheet1'!$L$16"}</definedName>
    <definedName name="huynh76" hidden="1">{"'Sheet1'!$L$16"}</definedName>
    <definedName name="HUYØ" hidden="1">{"'Sheet1'!$L$16"}</definedName>
    <definedName name="hy" hidden="1">{"'Sheet1'!$L$16"}</definedName>
    <definedName name="hy." hidden="1">{"'Sheet1'!$L$16"}</definedName>
    <definedName name="I" hidden="1">#REF!</definedName>
    <definedName name="Ìag" hidden="1">{"'Sheet1'!$L$16"}</definedName>
    <definedName name="Îe" hidden="1">{"Offgrid",#N/A,FALSE,"OFFGRID";"Region",#N/A,FALSE,"REGION";"Offgrid -2",#N/A,FALSE,"OFFGRID";"WTP",#N/A,FALSE,"WTP";"WTP -2",#N/A,FALSE,"WTP";"Project",#N/A,FALSE,"PROJECT";"Summary -2",#N/A,FALSE,"SUMMARY"}</definedName>
    <definedName name="iEN" hidden="1">{"'Sheet1'!$L$16"}</definedName>
    <definedName name="ïgvghj" hidden="1">{"'Sheet1'!$L$16"}</definedName>
    <definedName name="III" hidden="1">{"'Sheet1'!$L$16"}</definedName>
    <definedName name="ijhgfddffth" hidden="1">{"'Sheet1'!$L$16"}</definedName>
    <definedName name="ik" hidden="1">{"'Sheet1'!$L$16"}</definedName>
    <definedName name="INDIRECT_COST" hidden="1">#REF!</definedName>
    <definedName name="ioi" hidden="1">{"'Sheet1'!$L$16"}</definedName>
    <definedName name="ipoi" hidden="1">{"'Sheet1'!$L$16"}</definedName>
    <definedName name="it" hidden="1">{"'Sheet1'!$L$16"}</definedName>
    <definedName name="­Îtfyuh678" hidden="1">#REF!</definedName>
    <definedName name="ịth" hidden="1">{"'Sheet1'!$L$16"}</definedName>
    <definedName name="iuliupoui" hidden="1">{"'Sheet1'!$L$16"}</definedName>
    <definedName name="iwer" hidden="1">{"'Sheet1'!$L$16"}</definedName>
    <definedName name="iylryi" hidden="1">{"'Sheet1'!$L$16"}</definedName>
    <definedName name="J" hidden="1">#REF!</definedName>
    <definedName name="jæít" hidden="1">{"'Sheet1'!$L$16"}</definedName>
    <definedName name="JDFHDH" hidden="1">{"'Sheet1'!$L$16"}</definedName>
    <definedName name="JDJDJ" hidden="1">{"Offgrid",#N/A,FALSE,"OFFGRID";"Region",#N/A,FALSE,"REGION";"Offgrid -2",#N/A,FALSE,"OFFGRID";"WTP",#N/A,FALSE,"WTP";"WTP -2",#N/A,FALSE,"WTP";"Project",#N/A,FALSE,"PROJECT";"Summary -2",#N/A,FALSE,"SUMMARY"}</definedName>
    <definedName name="jdk" hidden="1">{"'Sheet1'!$L$16"}</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dhj" hidden="1">#REF!</definedName>
    <definedName name="jggui78" hidden="1">{"'Sheet1'!$L$16"}</definedName>
    <definedName name="JGHJFHJJ" hidden="1">{"'Sheet1'!$L$16"}</definedName>
    <definedName name="jght" hidden="1">{"'Sheet1'!$L$16"}</definedName>
    <definedName name="JH" hidden="1">{"'Sheet1'!$L$16"}</definedName>
    <definedName name="jh." hidden="1">{"'Sheet1'!$L$16"}</definedName>
    <definedName name="jhfgh" hidden="1">{0,0,0,0;0,0,0,0;0,0,0,0;0,0,0,0;0,0,0,0;0,0,0,0;0,0,0,0}</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 hidden="1">{"'Sheet1'!$L$16"}</definedName>
    <definedName name="jhk" hidden="1">{"'Sheet1'!$L$16"}</definedName>
    <definedName name="jhkj" hidden="1">{#N/A,#N/A,FALSE,"Chi tiÆt"}</definedName>
    <definedName name="jhn" hidden="1">{"'Sheet1'!$L$16"}</definedName>
    <definedName name="jjj" hidden="1">{#N/A,#N/A,FALSE,"Sheet1"}</definedName>
    <definedName name="jjjjj" hidden="1">{"'Sheet1'!$L$16"}</definedName>
    <definedName name="jjjjjjj" hidden="1">{"'Sheet1'!$L$16"}</definedName>
    <definedName name="jjjjjjjjj" hidden="1">{0}</definedName>
    <definedName name="jjjjjjjjjjjjj" hidden="1">{"'Sheet1'!$L$16"}</definedName>
    <definedName name="JJJJJJJJJJJJJJJJJJJJ" hidden="1">#REF!</definedName>
    <definedName name="jjkk" hidden="1">{"'Sheet1'!$L$16"}</definedName>
    <definedName name="JKDFSJCSDKJ" hidden="1">{#N/A,#N/A,TRUE,"SUM";#N/A,#N/A,TRUE,"EE";#N/A,#N/A,TRUE,"AC";#N/A,#N/A,TRUE,"SN"}</definedName>
    <definedName name="jkgjkhk"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ij7899" hidden="1">{"'Sheet1'!$L$16"}</definedName>
    <definedName name="jkjhk" hidden="1">{"'Sheet1'!$L$16"}</definedName>
    <definedName name="JKJK" hidden="1">{"'Sheet1'!$L$16"}</definedName>
    <definedName name="jkjkj" hidden="1">{"'Sheet1'!$L$16"}</definedName>
    <definedName name="jkkk" hidden="1">{"'Sheet1'!$L$16"}</definedName>
    <definedName name="jkl" hidden="1">{"'Sheet1'!$L$16"}</definedName>
    <definedName name="jkljk" hidden="1">{"'Sheet1'!$L$16"}</definedName>
    <definedName name="jkljkl" hidden="1">#REF!</definedName>
    <definedName name="JLJKL" hidden="1">{"'Sheet1'!$L$16"}</definedName>
    <definedName name="jljl" hidden="1">{"'Sheet1'!$L$16"}</definedName>
    <definedName name="jo" hidden="1">{"'Sheet1'!$L$16"}</definedName>
    <definedName name="jrd" hidden="1">{"'Sheet1'!$L$16"}</definedName>
    <definedName name="JRY" hidden="1">{"'Sheet1'!$L$16"}</definedName>
    <definedName name="jsdh" hidden="1">{"'Sheet1'!$L$16"}</definedName>
    <definedName name="jsdjs" hidden="1">{"'Sheet1'!$L$16"}</definedName>
    <definedName name="jsryj" hidden="1">{"'Sheet1'!$L$16"}</definedName>
    <definedName name="jt" hidden="1">{"'Sheet1'!$L$16"}</definedName>
    <definedName name="JTDEYW" hidden="1">{"'Sheet1'!$L$16"}</definedName>
    <definedName name="jtru" hidden="1">{"'Sheet1'!$L$16"}</definedName>
    <definedName name="jtyk" hidden="1">{"'Sheet1'!$L$16"}</definedName>
    <definedName name="jufyk" hidden="1">{"'Sheet1'!$L$16"}</definedName>
    <definedName name="JYJYTJYT" hidden="1">{"NGUYEN QUI THIEP - Personal View",#N/A,FALSE,"XDCB.HT.FUR."}</definedName>
    <definedName name="jyu" hidden="1">{"'Sheet1'!$L$16"}</definedName>
    <definedName name="jyuk" hidden="1">{"'Sheet1'!$L$16"}</definedName>
    <definedName name="jýỵy" hidden="1">{"'Sheet1'!$L$16"}</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b" hidden="1">{"'Sheet1'!$L$16"}</definedName>
    <definedName name="KCThep" hidden="1">{"'Sheet1'!$L$16"}</definedName>
    <definedName name="kdkk" hidden="1">{"'Sheet1'!$L$16"}</definedName>
    <definedName name="ke" hidden="1">#REF!</definedName>
    <definedName name="kehoachkhoiluong05" hidden="1">{"'Sheet1'!$L$16"}</definedName>
    <definedName name="kfrl" hidden="1">{"'Sheet1'!$L$16"}</definedName>
    <definedName name="KFTCGN" hidden="1">{"'Sheet1'!$L$16"}</definedName>
    <definedName name="kg_m2" hidden="1">#REF!</definedName>
    <definedName name="khang" hidden="1">{"'Sheet1'!$L$16"}</definedName>
    <definedName name="khanh" hidden="1">{"'Sheet1'!$L$16"}</definedName>
    <definedName name="KHANHKHUNG" hidden="1">{"'Sheet1'!$L$16"}</definedName>
    <definedName name="KHBTsua" hidden="1">{"'Sheet1'!$L$16"}</definedName>
    <definedName name="khin" hidden="1">{"'Sheet1'!$L$16"}</definedName>
    <definedName name="KHJ" hidden="1">#REF!</definedName>
    <definedName name="khkh" hidden="1">{"'Sheet1'!$L$16"}</definedName>
    <definedName name="khkttt" hidden="1">{"'Sheet1'!$L$16"}</definedName>
    <definedName name="KhongCT" hidden="1">{"'Sheet1'!$L$16"}</definedName>
    <definedName name="khongtruotgia" hidden="1">{"'Sheet1'!$L$16"}</definedName>
    <definedName name="khuyen" hidden="1">{"'Sheet1'!$L$16"}</definedName>
    <definedName name="ki" hidden="1">{"'Sheet1'!$L$16"}</definedName>
    <definedName name="kiyddfdr" hidden="1">{"'Sheet1'!$L$16"}</definedName>
    <definedName name="kjhh2" hidden="1">{"'Sheet1'!$L$16"}</definedName>
    <definedName name="kjjkjgg" hidden="1">{"'Sheet1'!$L$16"}</definedName>
    <definedName name="kjjlll" hidden="1">{"'Sheet1'!$L$16"}</definedName>
    <definedName name="kjk" hidden="1">{"'Sheet1'!$L$16"}</definedName>
    <definedName name="KJYJ" hidden="1">#REF!</definedName>
    <definedName name="kkgdss" hidden="1">{"'Sheet1'!$L$16"}</definedName>
    <definedName name="kkk" hidden="1">{#N/A,#N/A,FALSE,"特殊室（ＢＱ表）"}</definedName>
    <definedName name="ｋｋｋ" hidden="1">{"'Sheet1'!$L$16"}</definedName>
    <definedName name="kkkk" hidden="1">{"'Sheet1'!$L$16"}</definedName>
    <definedName name="kkkkk" hidden="1">{"'Sheet1'!$L$16"}</definedName>
    <definedName name="kkkkkkkkkk" hidden="1">{0}</definedName>
    <definedName name="kkkl" hidden="1">{"'Sheet1'!$L$16"}</definedName>
    <definedName name="kkl" hidden="1">{"'Sheet1'!$L$16"}</definedName>
    <definedName name="kkll" hidden="1">{"'Sheet1'!$L$16"}</definedName>
    <definedName name="kklll" hidden="1">{"'Sheet1'!$L$16"}</definedName>
    <definedName name="kks.t10" hidden="1">{"'Sheet1'!$L$16"}</definedName>
    <definedName name="KKS.T12" hidden="1">{"'Sheet1'!$L$16"}</definedName>
    <definedName name="KL_Cong" hidden="1">{"'Sheet1'!$L$16"}</definedName>
    <definedName name="klcn2" hidden="1">{"'Sheet1'!$L$16"}</definedName>
    <definedName name="KLDDII" hidden="1">{#N/A,#N/A,FALSE,"Sheet1"}</definedName>
    <definedName name="KLduonggiaods" hidden="1">{"'Sheet1'!$L$16"}</definedName>
    <definedName name="klhkl" hidden="1">{#N/A,#N/A,FALSE,"CCTV"}</definedName>
    <definedName name="klkkj" hidden="1">{"'Sheet1'!$L$16"}</definedName>
    <definedName name="klkklk" hidden="1">{#N/A,#N/A,FALSE,"Sheet1";#N/A,#N/A,FALSE,"Sheet3";#N/A,#N/A,FALSE,"Sheet5"}</definedName>
    <definedName name="KLLT" hidden="1">#REF!</definedName>
    <definedName name="klm" hidden="1">{"'Sheet1'!$L$16"}</definedName>
    <definedName name="klmoithau" hidden="1">{"Offgrid",#N/A,FALSE,"OFFGRID";"Region",#N/A,FALSE,"REGION";"Offgrid -2",#N/A,FALSE,"OFFGRID";"WTP",#N/A,FALSE,"WTP";"WTP -2",#N/A,FALSE,"WTP";"Project",#N/A,FALSE,"PROJECT";"Summary -2",#N/A,FALSE,"SUMMARY"}</definedName>
    <definedName name="klmt" hidden="1">{"'Sheet1'!$L$16"}</definedName>
    <definedName name="kltn3" hidden="1">{"'Sheet1'!$L$16"}</definedName>
    <definedName name="Km" hidden="1">{"'Sheet1'!$L$16"}</definedName>
    <definedName name="KNDAT_CHUA_SU_DUNG" hidden="1">#REF!</definedName>
    <definedName name="KP_DBGT_Dang" hidden="1">{"'Sheet1'!$L$16"}</definedName>
    <definedName name="ks" hidden="1">{"'Sheet1'!$L$16"}</definedName>
    <definedName name="ksbn" hidden="1">{"'Sheet1'!$L$16"}</definedName>
    <definedName name="KSDA" hidden="1">{"'Sheet1'!$L$16"}</definedName>
    <definedName name="kshn" hidden="1">{"'Sheet1'!$L$16"}</definedName>
    <definedName name="ksls" hidden="1">{"'Sheet1'!$L$16"}</definedName>
    <definedName name="kstk2" hidden="1">{"'Sheet1'!$L$16"}</definedName>
    <definedName name="KUK" hidden="1">#REF!</definedName>
    <definedName name="kukek" hidden="1">{"'Sheet1'!$L$16"}</definedName>
    <definedName name="kuklk" hidden="1">{"'Sheet1'!$L$16"}</definedName>
    <definedName name="kutkuk" hidden="1">{"'Sheet1'!$L$16"}</definedName>
    <definedName name="Kye" hidden="1">#REF!</definedName>
    <definedName name="kyk" hidden="1">#REF!</definedName>
    <definedName name="KYUKGH" hidden="1">{"'Sheet1'!$L$16"}</definedName>
    <definedName name="Lai" hidden="1">{"'Sheet1'!$L$16"}</definedName>
    <definedName name="lam" hidden="1">{"'Sheet1'!$L$16"}</definedName>
    <definedName name="lamduong1" hidden="1">{"'Sheet1'!$L$16"}</definedName>
    <definedName name="langson" hidden="1">{"'Sheet1'!$L$16"}</definedName>
    <definedName name="latxay" hidden="1">{"'Sheet1'!$L$16"}</definedName>
    <definedName name="l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ieu" hidden="1">{"'Sheet1'!$L$16"}</definedName>
    <definedName name="lïhïe" hidden="1">{"'Sheet1'!$L$16"}</definedName>
    <definedName name="limcount" hidden="1">13</definedName>
    <definedName name="linh" hidden="1">{"'Sheet1'!$L$16"}</definedName>
    <definedName name="LINHTINH" hidden="1">{"'Sheet1'!$L$16"}</definedName>
    <definedName name="ljh" hidden="1">{#N/A,#N/A,FALSE,"Chi tiÆt"}</definedName>
    <definedName name="ljhghg" hidden="1">{"'Sheet1'!$L$16"}</definedName>
    <definedName name="LJHMN" hidden="1">{"'Sheet1'!$L$16"}</definedName>
    <definedName name="ljj" hidden="1">{"'Sheet1'!$L$16"}</definedName>
    <definedName name="ljkhg" hidden="1">{"'Sheet1'!$L$16"}</definedName>
    <definedName name="ljkl" hidden="1">{"'Sheet1'!$L$16"}</definedName>
    <definedName name="ljklk" hidden="1">{"'Sheet1'!$L$16"}</definedName>
    <definedName name="LJL" hidden="1">{#N/A,#N/A,FALSE,"Chi tiÆt"}</definedName>
    <definedName name="lk" hidden="1">{"'Sheet1'!$L$16"}</definedName>
    <definedName name="lkjg" hidden="1">{"'Sheet1'!$L$16"}</definedName>
    <definedName name="lkklll" hidden="1">{"'Sheet1'!$L$16"}</definedName>
    <definedName name="lkl" hidden="1">{#N/A,#N/A,FALSE,"Chi tiÆt"}</definedName>
    <definedName name="lklkhh" hidden="1">{"'Sheet1'!$L$16"}</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l" hidden="1">{#N/A,#N/A,FALSE,"特殊室（ＢＱ表）"}</definedName>
    <definedName name="lllj" hidden="1">{"'Sheet1'!$L$16"}</definedName>
    <definedName name="llllllllll" hidden="1">{0}</definedName>
    <definedName name="lllllllllllllllllllllllll" hidden="1">{0}</definedName>
    <definedName name="lmn" hidden="1">{"'Sheet1'!$L$16"}</definedName>
    <definedName name="lôa33BT5" hidden="1">{"'Sheet1'!$L$16"}</definedName>
    <definedName name="loan" hidden="1">{"Offgrid",#N/A,FALSE,"OFFGRID";"Region",#N/A,FALSE,"REGION";"Offgrid -2",#N/A,FALSE,"OFFGRID";"WTP",#N/A,FALSE,"WTP";"WTP -2",#N/A,FALSE,"WTP";"Project",#N/A,FALSE,"PROJECT";"Summary -2",#N/A,FALSE,"SUMMARY"}</definedName>
    <definedName name="LOCO" hidden="1">{"'Sheet1'!$L$16"}</definedName>
    <definedName name="LOCO2" hidden="1">{"'Sheet1'!$L$16"}</definedName>
    <definedName name="lon" hidden="1">{"'Sheet1'!$L$16"}</definedName>
    <definedName name="Long" hidden="1">{"'Sheet1'!$L$16"}</definedName>
    <definedName name="luan" hidden="1">{"'Sheet1'!$L$16"}</definedName>
    <definedName name="luc" hidden="1">{"'Sheet1'!$L$16"}</definedName>
    <definedName name="luong" hidden="1">{"'Sheet1'!$L$16"}</definedName>
    <definedName name="M" hidden="1">#REF!</definedName>
    <definedName name="M10." hidden="1">{"'Sheet1'!$L$16"}</definedName>
    <definedName name="mäc" hidden="1">{"'Sheet1'!$L$16"}</definedName>
    <definedName name="mai" hidden="1">{"'Sheet1'!$L$16"}</definedName>
    <definedName name="man_sched" hidden="1">{"'Sheet1'!$L$16"}</definedName>
    <definedName name="MANH" hidden="1">{"'Sheet1'!$L$16"}</definedName>
    <definedName name="matbang" hidden="1">{"'Sheet1'!$L$16"}</definedName>
    <definedName name="MAU" hidden="1">{"'Sheet1'!$L$16"}</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FGND" hidden="1">{"'Sheet1'!$L$16"}</definedName>
    <definedName name="MFHMFGNG" hidden="1">{"'Sheet1'!$L$16"}</definedName>
    <definedName name="mh" hidden="1">{"'Sheet1'!$L$16"}</definedName>
    <definedName name="minh" hidden="1">{"'Sheet1'!$L$16"}</definedName>
    <definedName name="miyu" hidden="1">{"'Sheet1'!$L$16"}</definedName>
    <definedName name="mjh" hidden="1">{"'Sheet1'!$L$16"}</definedName>
    <definedName name="ｍｍｍ" hidden="1">{"'Sheet1'!$L$16"}</definedName>
    <definedName name="ｍｍｍｍ" hidden="1">{"'Sheet1'!$L$16"}</definedName>
    <definedName name="mmmmmmmmm" hidden="1">{0}</definedName>
    <definedName name="mo" hidden="1">{"'Sheet1'!$L$16"}</definedName>
    <definedName name="moi" hidden="1">{"'Sheet1'!$L$16"}</definedName>
    <definedName name="MTYMYTMY" hidden="1">{"'Sheet1'!$L$16"}</definedName>
    <definedName name="MV" hidden="1">{#N/A,#N/A,FALSE,"Sheet1";#N/A,#N/A,FALSE,"Sheet3";#N/A,#N/A,FALSE,"Sheet5"}</definedName>
    <definedName name="mvac" hidden="1">{"'Sheet1'!$L$16"}</definedName>
    <definedName name="MVBNMVB" hidden="1">{"NGUYEN QUI THIEP - Personal View",#N/A,FALSE,"XDCB.HT.FUR."}</definedName>
    <definedName name="my" hidden="1">{"'Sheet1'!$L$16"}</definedName>
    <definedName name="n" hidden="1">{"'Sheet1'!$L$16"}</definedName>
    <definedName name="Na" hidden="1">{"'Sheet1'!$L$16"}</definedName>
    <definedName name="nam" hidden="1">{"'Sheet1'!$L$16"}</definedName>
    <definedName name="NAME" hidden="1">{#N/A,#N/A,TRUE,"SUM";#N/A,#N/A,TRUE,"EE";#N/A,#N/A,TRUE,"AC";#N/A,#N/A,TRUE,"SN"}</definedName>
    <definedName name="name_gia" hidden="1">[2]Control!#REF!</definedName>
    <definedName name="name3" hidden="1">#REF!</definedName>
    <definedName name="NB" hidden="1">{#N/A,#N/A,FALSE,"Sheet2";#N/A,#N/A,FALSE,"Sheet4";#N/A,#N/A,FALSE,"Sheet6"}</definedName>
    <definedName name="nbfđ" hidden="1">{"'Sheet1'!$L$16"}</definedName>
    <definedName name="nbv" hidden="1">{"'Sheet1'!$L$16"}</definedName>
    <definedName name="NCVBXVCB" hidden="1">{"'Sheet1'!$L$16"}</definedName>
    <definedName name="NDF" hidden="1">#REF!</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W" hidden="1">{#N/A,#N/A,FALSE,"Chi tiÆt"}</definedName>
    <definedName name="NEWNAME" hidden="1">{#N/A,#N/A,FALSE,"CCTV"}</definedName>
    <definedName name="NF" hidden="1">#REF!</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g" hidden="1">{"'Sheet1'!$L$16"}</definedName>
    <definedName name="ngan" hidden="1">{"'Sheet1'!$L$16"}</definedName>
    <definedName name="ngay14" hidden="1">{"'Sheet1'!$L$16"}</definedName>
    <definedName name="NGFN" hidden="1">{"'Sheet1'!$L$16"}</definedName>
    <definedName name="NGHETINH1" hidden="1">{"'Sheet1'!$L$16"}</definedName>
    <definedName name="nghgh" hidden="1">{"'Sheet1'!$L$16"}</definedName>
    <definedName name="ngljlj" hidden="1">{"'Sheet1'!$L$16"}</definedName>
    <definedName name="ngu" hidden="1">{"'Sheet1'!$L$16"}</definedName>
    <definedName name="NguyenDiep" hidden="1">{"'Sheet1'!$L$16"}</definedName>
    <definedName name="NHANH2_CG4" hidden="1">{"'Sheet1'!$L$16"}</definedName>
    <definedName name="nhanuoc" hidden="1">{"'Sheet1'!$L$16"}</definedName>
    <definedName name="nhappppppppp" hidden="1">{"'Sheet1'!$L$16"}</definedName>
    <definedName name="nharac" hidden="1">{#N/A,#N/A,FALSE,"Chi tiÆt"}</definedName>
    <definedName name="Nhiem" hidden="1">{"'Sheet1'!$L$16"}</definedName>
    <definedName name="NHTTCT" hidden="1">{"'Sheet1'!$L$16"}</definedName>
    <definedName name="NNL" hidden="1">{"'boi duong nang nhoc'!$A$1"}</definedName>
    <definedName name="nnn" hidden="1">{"'Sheet1'!$L$16"}</definedName>
    <definedName name="nnnnn" hidden="1">{"'Sheet1'!$L$16"}</definedName>
    <definedName name="nnnnnnnnnnnnnn" hidden="1">{0}</definedName>
    <definedName name="No.10" hidden="1">{"'Sheet1'!$L$16"}</definedName>
    <definedName name="No.9" hidden="1">{"'Sheet1'!$L$16"}</definedName>
    <definedName name="NRBFD" hidden="1">{"'Sheet1'!$L$16"}</definedName>
    <definedName name="NRMTYM" hidden="1">{"NGUYEN QUI THIEP - Personal View",#N/A,FALSE,"XDCB.HT.FUR."}</definedName>
    <definedName name="NRNRD" hidden="1">{"'Sheet1'!$L$16"}</definedName>
    <definedName name="NTB" hidden="1">{#N/A,#N/A,FALSE,"Chi tiÆt"}</definedName>
    <definedName name="NUOCHKHOAN" hidden="1">{"'Sheet1'!$L$16"}</definedName>
    <definedName name="NUOCHKHOANMOI" hidden="1">{"'Sheet1'!$L$16"}</definedName>
    <definedName name="NUTGIAOK22" hidden="1">{#N/A,#N/A,FALSE,"Sheet1";#N/A,#N/A,FALSE,"Sheet1";#N/A,#N/A,FALSE,"Sheet1"}</definedName>
    <definedName name="NVBNBNV" hidden="1">{#N/A,#N/A,FALSE,"Chi tiÆt"}</definedName>
    <definedName name="NVCB" hidden="1">{"'Sheet1'!$L$16"}</definedName>
    <definedName name="o" hidden="1">{"'Sheet1'!$L$16"}</definedName>
    <definedName name="oa" hidden="1">#REF!</definedName>
    <definedName name="oanh" hidden="1">{"'Sheet1'!$L$16"}</definedName>
    <definedName name="öªttyty568" hidden="1">#REF!</definedName>
    <definedName name="OC" hidden="1">{"'Sheet1'!$L$16"}</definedName>
    <definedName name="öe" hidden="1">{"'Sheet1'!$L$16"}</definedName>
    <definedName name="OIJYED" hidden="1">{"'Sheet1'!$L$16"}</definedName>
    <definedName name="ok" hidden="1">{"'Sheet1'!$L$16"}</definedName>
    <definedName name="okei" hidden="1">{"'Sheet1'!$L$16"}</definedName>
    <definedName name="opy3kl" hidden="1">{"'Sheet1'!$L$16"}</definedName>
    <definedName name="opykl" hidden="1">{"'Sheet1'!$L$16"}</definedName>
    <definedName name="öqw" hidden="1">{"'Sheet1'!$L$16"}</definedName>
    <definedName name="OrderTable" hidden="1">#REF!</definedName>
    <definedName name="ouioyoigoigyiyugi" hidden="1">#REF!</definedName>
    <definedName name="PA1.2" hidden="1">{"'Sheet1'!$L$16"}</definedName>
    <definedName name="PAIII_" hidden="1">{"'Sheet1'!$L$16"}</definedName>
    <definedName name="Panel" hidden="1">{#N/A,#N/A,TRUE,"SUM";#N/A,#N/A,TRUE,"EE";#N/A,#N/A,TRUE,"AC";#N/A,#N/A,TRUE,"SN"}</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h" hidden="1">{"'Sheet1'!$L$16"}</definedName>
    <definedName name="phai" hidden="1">{"'Sheet1'!$L$16"}</definedName>
    <definedName name="phantich3" hidden="1">{"'Sheet1'!$L$16"}</definedName>
    <definedName name="phñto2" hidden="1">{"'Sheet1'!$L$16"}</definedName>
    <definedName name="phongve12KmTN" hidden="1">{"'Sheet1'!$L$16"}</definedName>
    <definedName name="phongve12KmTN1" hidden="1">{"'Sheet1'!$L$16"}</definedName>
    <definedName name="Phßng" hidden="1">{"'Sheet1'!$L$16"}</definedName>
    <definedName name="phuluc" hidden="1">{"'Sheet1'!$L$16"}</definedName>
    <definedName name="phuluc2" hidden="1">{"'Sheet1'!$L$16"}</definedName>
    <definedName name="phuoc" hidden="1">{"'Sheet1'!$L$16"}</definedName>
    <definedName name="Phuong" hidden="1">{"'Sheet1'!$L$16"}</definedName>
    <definedName name="Pipe" hidden="1">{#N/A,#N/A,FALSE,"CCTV"}</definedName>
    <definedName name="PKTN." hidden="1">{"'Sheet1'!$L$16"}</definedName>
    <definedName name="PL" hidden="1">{"'Sheet1'!$L$16"}</definedName>
    <definedName name="plkl" hidden="1">{"'Sheet1'!$L$16"}</definedName>
    <definedName name="PLL" hidden="1">{"'Sheet1'!$L$16"}</definedName>
    <definedName name="PlucBcaoTD" hidden="1">{"'Sheet1'!$L$16"}</definedName>
    <definedName name="PMS" hidden="1">{"'Sheet1'!$L$16"}</definedName>
    <definedName name="po" hidden="1">{"'Sheet1'!$L$16"}</definedName>
    <definedName name="pope" hidden="1">{"'Sheet1'!$L$16"}</definedName>
    <definedName name="Port1" hidden="1">{#N/A,#N/A,FALSE,"特殊室（ＢＱ表）"}</definedName>
    <definedName name="port11" hidden="1">{#N/A,#N/A,FALSE,"特殊室（ＢＱ表）"}</definedName>
    <definedName name="pp" hidden="1">{#N/A,#N/A,FALSE,"OUTPUT SHEET "}</definedName>
    <definedName name="PPPP" hidden="1">{"'Sheet1'!$L$16"}</definedName>
    <definedName name="ｐｐｐｐ" hidden="1">{"'Sheet1'!$L$16"}</definedName>
    <definedName name="preparation" hidden="1">{"'Sheet1'!$L$16"}</definedName>
    <definedName name="pri" hidden="1">{#N/A,#N/A,TRUE,"Str.";#N/A,#N/A,TRUE,"Steel &amp; Roof";#N/A,#N/A,TRUE,"Arc.";#N/A,#N/A,TRUE,"Preliminary";#N/A,#N/A,TRUE,"Sum_Prelim"}</definedName>
    <definedName name="_xlnm.Print_Area" localSheetId="0">'114+220'!$A$2:$AB$828</definedName>
    <definedName name="_xlnm.Print_Titles" localSheetId="0">'114+220'!$12:$13</definedName>
    <definedName name="ProdForm" hidden="1">#REF!</definedName>
    <definedName name="prodForm1" hidden="1">#REF!</definedName>
    <definedName name="Product" hidden="1">#REF!</definedName>
    <definedName name="PS" hidden="1">{"'Sheet1'!$L$16"}</definedName>
    <definedName name="psm" hidden="1">{"'Sheet1'!$L$16"}</definedName>
    <definedName name="pst" hidden="1">{"'Sheet1'!$L$16"}</definedName>
    <definedName name="pth" hidden="1">{"'Sheet1'!$L$16"}</definedName>
    <definedName name="ptich3" hidden="1">{"'Sheet1'!$L$16"}</definedName>
    <definedName name="ptvtgiam" hidden="1">{"'Sheet1'!$L$16"}</definedName>
    <definedName name="q" hidden="1">{"'Sheet1'!$L$16"}</definedName>
    <definedName name="QA" hidden="1">{"'Sheet1'!$L$16"}</definedName>
    <definedName name="qd10_gt" hidden="1">{"'Sheet1'!$L$16"}</definedName>
    <definedName name="qd10_gt1" hidden="1">{"'Sheet1'!$L$16"}</definedName>
    <definedName name="qềqg" hidden="1">{"'Sheet1'!$L$16"}</definedName>
    <definedName name="q­ewrtti" hidden="1">#REF!</definedName>
    <definedName name="QGFADB" hidden="1">{"'Sheet1'!$L$16"}</definedName>
    <definedName name="qncjstkdehdwhrud" hidden="1">{#N/A,#N/A,TRUE,"1";#N/A,#N/A,TRUE,"2";#N/A,#N/A,TRUE,"3";#N/A,#N/A,TRUE,"4";#N/A,#N/A,TRUE,"5";#N/A,#N/A,TRUE,"6";#N/A,#N/A,TRUE,"7"}</definedName>
    <definedName name="qöeqwerqwereq" hidden="1">#REF!</definedName>
    <definedName name="qqq" hidden="1">{"'Sheet1'!$L$16"}</definedName>
    <definedName name="ｑｑｑ" hidden="1">{"'Sheet1'!$L$16"}</definedName>
    <definedName name="ｑｑｑｑ" hidden="1">{"'Sheet1'!$L$16"}</definedName>
    <definedName name="qqqqqqqq" hidden="1">{"'Sheet1'!$L$16"}</definedName>
    <definedName name="qrw" hidden="1">{#N/A,#N/A,FALSE,"Sheet2";#N/A,#N/A,FALSE,"Sheet4";#N/A,#N/A,FALSE,"Sheet6"}</definedName>
    <definedName name="qt" hidden="1">{"'Sheet1'!$L$16"}</definedName>
    <definedName name="qtrwey" hidden="1">{"'Sheet1'!$L$16"}</definedName>
    <definedName name="quan" hidden="1">{"'Sheet1'!$L$16"}</definedName>
    <definedName name="quan.P12" hidden="1">{"'Sheet1'!$L$16"}</definedName>
    <definedName name="quang" hidden="1">{"'Sheet1'!$L$16"}</definedName>
    <definedName name="quang03" hidden="1">{"'Sheet1'!$L$16"}</definedName>
    <definedName name="QUATANG" hidden="1">{"'Sheet1'!$L$16"}</definedName>
    <definedName name="qưdqưdqưd" hidden="1">{"'Sheet1'!$L$16"}</definedName>
    <definedName name="qưqw" hidden="1">#REF!</definedName>
    <definedName name="Quynh20" hidden="1">{"'Sheet1'!$L$16"}</definedName>
    <definedName name="qw" hidden="1">{#N/A,#N/A,FALSE,"단가표지"}</definedName>
    <definedName name="qwaz" hidden="1">{"'Sheet1'!$L$16"}</definedName>
    <definedName name="qwdd" hidden="1">{"'Sheet1'!$L$16"}</definedName>
    <definedName name="QWEQW" hidden="1">#REF!</definedName>
    <definedName name="qwer" hidden="1">{"'Sheet1'!$L$16"}</definedName>
    <definedName name="qwertet" hidden="1">{"'Sheet1'!$L$16"}</definedName>
    <definedName name="qwwqe" hidden="1">{"'Sheet1'!$L$16"}</definedName>
    <definedName name="ranh" hidden="1">{"'Sheet1'!$L$16"}</definedName>
    <definedName name="Ranhphancach" hidden="1">{"'Sheet1'!$L$16"}</definedName>
    <definedName name="ranhtrai" hidden="1">{"'Sheet1'!$L$16"}</definedName>
    <definedName name="Ranhxay" hidden="1">{"'Sheet1'!$L$16"}</definedName>
    <definedName name="rbsr" hidden="1">{"'Sheet1'!$L$16"}</definedName>
    <definedName name="RCArea" hidden="1">#REF!</definedName>
    <definedName name="rd" hidden="1">{"'Sheet1'!$L$16"}</definedName>
    <definedName name="_xlnm.Recorder" hidden="1">#REF!</definedName>
    <definedName name="report1" hidden="1">{#N/A,#N/A,FALSE,"特殊室（ＢＱ表）"}</definedName>
    <definedName name="report2" hidden="1">{#N/A,#N/A,FALSE,"特殊室（ＢＱ表）"}</definedName>
    <definedName name="rer" hidden="1">{"Offgrid",#N/A,FALSE,"OFFGRID";"Region",#N/A,FALSE,"REGION";"Offgrid -2",#N/A,FALSE,"OFFGRID";"WTP",#N/A,FALSE,"WTP";"WTP -2",#N/A,FALSE,"WTP";"Project",#N/A,FALSE,"PROJECT";"Summary -2",#N/A,FALSE,"SUMMARY"}</definedName>
    <definedName name="rertete" hidden="1">{"Offgrid",#N/A,FALSE,"OFFGRID";"Region",#N/A,FALSE,"REGION";"Offgrid -2",#N/A,FALSE,"OFFGRID";"WTP",#N/A,FALSE,"WTP";"WTP -2",#N/A,FALSE,"WTP";"Project",#N/A,FALSE,"PROJECT";"Summary -2",#N/A,FALSE,"SUMMARY"}</definedName>
    <definedName name="rêrwerrwererew" hidden="1">#REF!</definedName>
    <definedName name="Result21" hidden="1">{"'Sheet1'!$L$16"}</definedName>
    <definedName name="rett" hidden="1">{"'Sheet1'!$L$16"}</definedName>
    <definedName name="rewr" hidden="1">{"'Sheet1'!$L$16"}</definedName>
    <definedName name="rgdf" hidden="1">{"'Sheet1'!$L$16"}</definedName>
    <definedName name="rggsg" hidden="1">{"'Sheet1'!$L$16"}</definedName>
    <definedName name="rhgrs" hidden="1">{"'Sheet1'!$L$16"}</definedName>
    <definedName name="RHODIA" hidden="1">{"'DocTypeCode'!$A$142:$A$226"}</definedName>
    <definedName name="rits" hidden="1">{"'Sheet1'!$L$16"}</definedName>
    <definedName name="rkd" hidden="1">{#N/A,#N/A,FALSE,"CCTV"}</definedName>
    <definedName name="rnhum" hidden="1">{"'Sheet1'!$L$16"}</definedName>
    <definedName name="Road" hidden="1">{"'Sheet1'!$L$16"}</definedName>
    <definedName name="Roundabout2030" hidden="1">{"'Sheet1'!$L$16"}</definedName>
    <definedName name="row" hidden="1">#REF!</definedName>
    <definedName name="RPLA" hidden="1">{"'Sheet1'!$L$16"}</definedName>
    <definedName name="rr" hidden="1">{"'Sheet1'!$L$16"}</definedName>
    <definedName name="rrr" hidden="1">{"'Sheet1'!$L$16"}</definedName>
    <definedName name="rrrr" hidden="1">{"'Sheet1'!$L$16"}</definedName>
    <definedName name="ｒｒｒｒ" hidden="1">{"'Sheet1'!$L$16"}</definedName>
    <definedName name="rsls" hidden="1">{"'Sheet1'!$L$16"}</definedName>
    <definedName name="rtÎ" hidden="1">{#N/A,#N/A,FALSE,"Chi tiÆt"}</definedName>
    <definedName name="RTJR" hidden="1">{"'Sheet1'!$L$16"}</definedName>
    <definedName name="rtr" hidden="1">{"'Sheet1'!$L$16"}</definedName>
    <definedName name="RTWR" hidden="1">{"'Sheet1'!$L$16"}</definedName>
    <definedName name="rtyrtyt" hidden="1">#REF!</definedName>
    <definedName name="rtytiu×ghfgh" hidden="1">#REF!</definedName>
    <definedName name="rtytry" hidden="1">#REF!</definedName>
    <definedName name="rtytyïgh­345w567hj" hidden="1">#REF!</definedName>
    <definedName name="RỬ" hidden="1">#REF!</definedName>
    <definedName name="RƯET" hidden="1">{"'Sheet1'!$L$16"}</definedName>
    <definedName name="RƯT4WTW" hidden="1">{"'Sheet1'!$L$16"}</definedName>
    <definedName name="ruteyiuyui456467" hidden="1">#REF!</definedName>
    <definedName name="ry" hidden="1">{"'Sheet1'!$L$16"}</definedName>
    <definedName name="sa" hidden="1">{"'Sheet1'!$L$16"}</definedName>
    <definedName name="sa?fà" hidden="1">{"'Sheet1'!$L$16"}</definedName>
    <definedName name="saa" hidden="1">{#N/A,#N/A,FALSE,"Sheet2";#N/A,#N/A,FALSE,"Sheet4";#N/A,#N/A,FALSE,"Sheet6"}</definedName>
    <definedName name="saas" hidden="1">#REF!</definedName>
    <definedName name="sach" hidden="1">{"'Sheet1'!$L$16"}</definedName>
    <definedName name="sad" hidden="1">{"'Sheet1'!$L$16"}</definedName>
    <definedName name="sadasdadsad" hidden="1">#REF!</definedName>
    <definedName name="sadasdasda" hidden="1">#REF!</definedName>
    <definedName name="sadSa" hidden="1">{#N/A,#N/A,FALSE,"Chi tiÆt"}</definedName>
    <definedName name="sadsad" hidden="1">#REF!</definedName>
    <definedName name="sadsgfjhkhluiluil" hidden="1">#REF!</definedName>
    <definedName name="sagawa" hidden="1">#REF!</definedName>
    <definedName name="sahdfjdgjds" hidden="1">{"'Sheet1'!$L$16"}</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asas" hidden="1">{"'Sheet1'!$L$16"}</definedName>
    <definedName name="SBSDGBRS" hidden="1">{"'Sheet1'!$L$16"}</definedName>
    <definedName name="scẪ" hidden="1">{"'Sheet1'!$L$16"}</definedName>
    <definedName name="scÂC" hidden="1">{"'Sheet1'!$L$16"}</definedName>
    <definedName name="schedule" hidden="1">{"'Sheet1'!$L$16"}</definedName>
    <definedName name="sCol" hidden="1">zIsDgiaCTiet_Gia.VTu*2+3</definedName>
    <definedName name="SD" hidden="1">{"'ELEC'!$A$2:$H$216","'ELEC'!$C$2:$D$2"}</definedName>
    <definedName name="sdcsd" hidden="1">{"'Sheet1'!$L$16"}</definedName>
    <definedName name="sdd" hidden="1">{"'Sheet1'!$L$16"}</definedName>
    <definedName name="sdf" hidden="1">{"'Sheet1'!$L$16"}</definedName>
    <definedName name="sđfá" hidden="1">{"'Sheet1'!$L$16"}</definedName>
    <definedName name="sdfasd" hidden="1">{0}</definedName>
    <definedName name="SDFASFSA" hidden="1">{"'Sheet1'!$L$16"}</definedName>
    <definedName name="sdfastgawtwqetr" hidden="1">#REF!</definedName>
    <definedName name="sdfcvbkytw34576578" hidden="1">#REF!</definedName>
    <definedName name="sdfd" hidden="1">{"'Sheet1'!$L$16"}</definedName>
    <definedName name="sdfda" hidden="1">{"'Sheet1'!$L$16"}</definedName>
    <definedName name="sdfdf" hidden="1">#REF!</definedName>
    <definedName name="sdfdfghfjhghjkhjk" hidden="1">#REF!</definedName>
    <definedName name="sdfdsf" hidden="1">{#N/A,#N/A,FALSE,"Chi tiÆt"}</definedName>
    <definedName name="sdfdsfdsf" hidden="1">#REF!</definedName>
    <definedName name="sdfg­ªtyeutui" hidden="1">#REF!</definedName>
    <definedName name="SDFGRB" hidden="1">#REF!</definedName>
    <definedName name="sđfgs" hidden="1">{"'Sheet1'!$L$16"}</definedName>
    <definedName name="sdfÎge" hidden="1">{"'Sheet1'!$L$16"}</definedName>
    <definedName name="sdfsdf" hidden="1">{"'Sheet1'!$L$16"}</definedName>
    <definedName name="sdfsdfsd" hidden="1">{"'Sheet1'!$L$16"}</definedName>
    <definedName name="sdfsdfsfsd" hidden="1">{"'Sheet1'!$L$16"}</definedName>
    <definedName name="SDFSDGD" hidden="1">{"'Sheet1'!$L$16"}</definedName>
    <definedName name="SDFSDGF" hidden="1">{"'Sheet1'!$L$16"}</definedName>
    <definedName name="SDFSE" hidden="1">{"'Sheet1'!$L$16"}</definedName>
    <definedName name="SDG" hidden="1">{"'Sheet1'!$L$16"}</definedName>
    <definedName name="sdgdsg" hidden="1">{"'Sheet1'!$L$16"}</definedName>
    <definedName name="sdgfjhfj" hidden="1">{"'Sheet1'!$L$16"}</definedName>
    <definedName name="SDGSDG" hidden="1">{"'Sheet1'!$L$16"}</definedName>
    <definedName name="SDGSDHET" hidden="1">{"'Sheet1'!$L$16"}</definedName>
    <definedName name="SDGWRSRWG" hidden="1">{"'Sheet1'!$L$16"}</definedName>
    <definedName name="sds" hidden="1">{"'Sheet1'!$L$16"}</definedName>
    <definedName name="sdsad" hidden="1">#REF!</definedName>
    <definedName name="sdsadasdasd" hidden="1">{#N/A,#N/A,TRUE,"BT M200 da 10x20"}</definedName>
    <definedName name="SDSD" hidden="1">{#N/A,#N/A,FALSE,"Sheet1";#N/A,#N/A,FALSE,"Sheet3";#N/A,#N/A,FALSE,"Sheet5"}</definedName>
    <definedName name="SDSDS" hidden="1">#REF!</definedName>
    <definedName name="SDSDSD" hidden="1">#REF!</definedName>
    <definedName name="sdsdwdwdd" hidden="1">#REF!</definedName>
    <definedName name="sdsf" hidden="1">#REF!</definedName>
    <definedName name="SDTB" hidden="1">#REF!</definedName>
    <definedName name="sdvcxvcvxc" hidden="1">#REF!</definedName>
    <definedName name="sdz" hidden="1">{"'Sheet1'!$L$16"}</definedName>
    <definedName name="SEC.C1" hidden="1">#REF!</definedName>
    <definedName name="seet2" hidden="1">{"'Sheet1'!$L$16"}</definedName>
    <definedName name="sẻewr" hidden="1">#REF!</definedName>
    <definedName name="SEGSD" hidden="1">{"NGUYEN QUI THIEP - Personal View",#N/A,FALSE,"XDCB.HT.FUR."}</definedName>
    <definedName name="sencount" hidden="1">1</definedName>
    <definedName name="seytru" hidden="1">{"'Sheet1'!$L$16"}</definedName>
    <definedName name="sf" hidden="1">{"'Sheet1'!$L$16"}</definedName>
    <definedName name="SFA" hidden="1">#REF!</definedName>
    <definedName name="SFasfa" hidden="1">{"'Sheet1'!$L$16"}</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hidden="1">{"'Sheet1'!$L$16"}</definedName>
    <definedName name="sfgjh" hidden="1">#REF!</definedName>
    <definedName name="sfs" hidden="1">#REF!</definedName>
    <definedName name="sfsd" hidden="1">{"'Sheet1'!$L$16"}</definedName>
    <definedName name="sfsdg" hidden="1">{"'Sheet1'!$L$16"}</definedName>
    <definedName name="sgfg" hidden="1">{#N/A,#N/A,FALSE,"Chi tiÆt"}</definedName>
    <definedName name="sgfhsdhe" hidden="1">{"'Sheet1'!$L$16"}</definedName>
    <definedName name="SGG" hidden="1">{"'Sheet1'!$L$16"}</definedName>
    <definedName name="sgjhk" hidden="1">{"'Sheet1'!$L$16"}</definedName>
    <definedName name="sgsdg" hidden="1">{"'Sheet1'!$L$16"}</definedName>
    <definedName name="sgsr" hidden="1">{"'Sheet1'!$L$16"}</definedName>
    <definedName name="shdf" hidden="1">#REF!</definedName>
    <definedName name="sheet" hidden="1">{"'Sheet1'!$L$16"}</definedName>
    <definedName name="sheet2" hidden="1">{"'Sheet1'!$L$16"}</definedName>
    <definedName name="sheet3" hidden="1">{"NGUYEN QUI THIEP - Personal View",#N/A,FALSE,"XDCB.HT.FUR."}</definedName>
    <definedName name="sheet4" hidden="1">{"NGUYEN QUI THIEP - Personal View",#N/A,FALSE,"XDCB.HT.FUR."}</definedName>
    <definedName name="Sheûet" hidden="1">{"'Sheet1'!$L$16"}</definedName>
    <definedName name="Sheûet_1" hidden="1">{"'Sheet1'!$L$16"}</definedName>
    <definedName name="shfgskfj" hidden="1">{"'Sheet1'!$L$16"}</definedName>
    <definedName name="SHGREGER" hidden="1">{"NGUYEN QUI THIEP - Personal View",#N/A,FALSE,"XDCB.HT.FUR."}</definedName>
    <definedName name="shsrhtr" hidden="1">{"'Sheet1'!$L$16"}</definedName>
    <definedName name="sÎee" hidden="1">{"'Sheet1'!$L$16"}</definedName>
    <definedName name="sinh" hidden="1">{"'Sheet1'!$L$16"}</definedName>
    <definedName name="sinh1" hidden="1">{"'Sheet1'!$L$16"}</definedName>
    <definedName name="SITE_EXPENSE" hidden="1">#REF!</definedName>
    <definedName name="site1" hidden="1">#REF!</definedName>
    <definedName name="SLT" hidden="1">{"'Sheet1'!$L$16"}</definedName>
    <definedName name="sodu" hidden="1">{"'Sheet1'!$L$16"}</definedName>
    <definedName name="Sosanh2" hidden="1">{"'Sheet1'!$L$16"}</definedName>
    <definedName name="SpecialPrice" hidden="1">#REF!</definedName>
    <definedName name="SRTWER" hidden="1">{"'Sheet1'!$L$16"}</definedName>
    <definedName name="srtynetu6e7u" hidden="1">{"'Sheet1'!$L$16"}</definedName>
    <definedName name="SS" hidden="1">{"'Sheet1'!$L$16"}</definedName>
    <definedName name="sss" hidden="1">{"'Sheet1'!$L$16"}</definedName>
    <definedName name="ssss" hidden="1">#REF!</definedName>
    <definedName name="ssssssss" hidden="1">{"Offgrid",#N/A,FALSE,"OFFGRID";"Region",#N/A,FALSE,"REGION";"Offgrid -2",#N/A,FALSE,"OFFGRID";"WTP",#N/A,FALSE,"WTP";"WTP -2",#N/A,FALSE,"WTP";"Project",#N/A,FALSE,"PROJECT";"Summary -2",#N/A,FALSE,"SUMMARY"}</definedName>
    <definedName name="STHHHH" hidden="1">{"'Sheet1'!$L$16"}</definedName>
    <definedName name="styb5y57u" hidden="1">{"'Sheet1'!$L$16"}</definedName>
    <definedName name="sumimasenn" hidden="1">{"'Sheet1'!$L$16"}</definedName>
    <definedName name="summar" hidden="1">{#N/A,#N/A,TRUE,"SUM";#N/A,#N/A,TRUE,"EE";#N/A,#N/A,TRUE,"AC";#N/A,#N/A,TRUE,"SN"}</definedName>
    <definedName name="SumNo.5" hidden="1">{"'Sheet1'!$L$16"}</definedName>
    <definedName name="SUOIDOI2" hidden="1">{"'Sheet1'!$L$16"}</definedName>
    <definedName name="T" hidden="1">#REF!</definedName>
    <definedName name="T.3" hidden="1">{"'Sheet1'!$L$16"}</definedName>
    <definedName name="T18TL2" hidden="1">{"'Sheet1'!$L$16"}</definedName>
    <definedName name="T1PC" hidden="1">{"'Sheet1'!$L$16"}</definedName>
    <definedName name="T7Q3" hidden="1">{"'Sheet1'!$L$16"}</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ang" hidden="1">{"'Sheet1'!$L$16"}</definedName>
    <definedName name="tbao" hidden="1">{"'Sheet1'!$L$16"}</definedName>
    <definedName name="TBC" hidden="1">{"'Sheet1'!$L$16"}</definedName>
    <definedName name="tbl_ProdInfo" hidden="1">#REF!</definedName>
    <definedName name="TBO장비기초단가" hidden="1">{"'Sheet1'!$L$16"}</definedName>
    <definedName name="TCC" hidden="1">{"'Sheet1'!$L$16"}</definedName>
    <definedName name="TCCQ" hidden="1">{"'Sheet1'!$L$16"}</definedName>
    <definedName name="TCCq3" hidden="1">{"'Sheet1'!$L$16"}</definedName>
    <definedName name="tecco" hidden="1">{"'Sheet1'!$L$16"}</definedName>
    <definedName name="technical" hidden="1">#REF!</definedName>
    <definedName name="ten_tab" hidden="1">[2]Control!#REF!</definedName>
    <definedName name="tetrwererw" hidden="1">#REF!</definedName>
    <definedName name="tfg" hidden="1">{"'Sheet1'!$L$16"}</definedName>
    <definedName name="tfgs" hidden="1">{"Offgrid",#N/A,FALSE,"OFFGRID";"Region",#N/A,FALSE,"REGION";"Offgrid -2",#N/A,FALSE,"OFFGRID";"WTP",#N/A,FALSE,"WTP";"WTP -2",#N/A,FALSE,"WTP";"Project",#N/A,FALSE,"PROJECT";"Summary -2",#N/A,FALSE,"SUMMARY"}</definedName>
    <definedName name="tghj" hidden="1">{"'Sheet1'!$L$16"}</definedName>
    <definedName name="tgưgz" hidden="1">{"'Sheet1'!$L$16"}</definedName>
    <definedName name="th.xls" hidden="1">{"'Sheet1'!$L$16"}</definedName>
    <definedName name="TH7SP" hidden="1">{"'Sheet1'!$L$16"}</definedName>
    <definedName name="tha" hidden="1">{"'Sheet1'!$L$16"}</definedName>
    <definedName name="THAERG" hidden="1">{"'Sheet1'!$L$16"}</definedName>
    <definedName name="thai" hidden="1">{"'Sheet1'!$L$16"}</definedName>
    <definedName name="Thang" hidden="1">{"'Sheet1'!$L$16"}</definedName>
    <definedName name="Thang1" hidden="1">{"'Sheet1'!$L$16"}</definedName>
    <definedName name="thang10" hidden="1">{"'Sheet1'!$L$16"}</definedName>
    <definedName name="thang10.d3" hidden="1">{"'Sheet1'!$L$16"}</definedName>
    <definedName name="Thang12" hidden="1">{"'Sheet1'!$L$16"}</definedName>
    <definedName name="Thang2" hidden="1">{"'Sheet1'!$L$16"}</definedName>
    <definedName name="THANH" hidden="1">{"'Sheet1'!$L$16"}</definedName>
    <definedName name="thao" hidden="1">{"'Sheet1'!$L$16"}</definedName>
    <definedName name="THC" hidden="1">{"'Sheet1'!$L$16"}</definedName>
    <definedName name="thcc" hidden="1">{"'Sheet1'!$L$16"}</definedName>
    <definedName name="THcong" hidden="1">{"'Sheet1'!$L$16"}</definedName>
    <definedName name="THCP2" hidden="1">{"'Sheet1'!$L$16"}</definedName>
    <definedName name="THCPCTD" hidden="1">{"'Sheet1'!$L$16"}</definedName>
    <definedName name="THCT" hidden="1">{"'Sheet1'!$L$16"}</definedName>
    <definedName name="them01" hidden="1">#REF!</definedName>
    <definedName name="Thepsan" hidden="1">{"'Sheet1'!$L$16"}</definedName>
    <definedName name="thepsan2" hidden="1">{"'Sheet1'!$L$16"}</definedName>
    <definedName name="THHD" hidden="1">{"'Sheet1'!$L$16"}</definedName>
    <definedName name="THHVT" hidden="1">{"'Sheet1'!$L$16"}</definedName>
    <definedName name="Thietbi" hidden="1">{"'Sheet1'!$L$16"}</definedName>
    <definedName name="thkl" hidden="1">#REF!</definedName>
    <definedName name="thkl2" hidden="1">{"'Sheet1'!$L$16"}</definedName>
    <definedName name="thkl3" hidden="1">{"'Sheet1'!$L$16"}</definedName>
    <definedName name="THKLPSM" hidden="1">{"'Sheet1'!$L$16"}</definedName>
    <definedName name="THKP" hidden="1">{"'Sheet1'!$L$16"}</definedName>
    <definedName name="THKP1" hidden="1">{"'Sheet1'!$L$16"}</definedName>
    <definedName name="THKP7YT" hidden="1">{"'Sheet1'!$L$16"}</definedName>
    <definedName name="THKPM8" hidden="1">{"'Sheet1'!$L$16"}</definedName>
    <definedName name="THLeloi" hidden="1">{"'Sheet1'!$L$16"}</definedName>
    <definedName name="THNgHue" hidden="1">{"'Sheet1'!$L$16"}</definedName>
    <definedName name="THNgThHoc" hidden="1">{"'Sheet1'!$L$16"}</definedName>
    <definedName name="THQT" hidden="1">{#N/A,#N/A,FALSE,"Chi tiÆt"}</definedName>
    <definedName name="thqtpsg" hidden="1">{"'Sheet1'!$L$16"}</definedName>
    <definedName name="THQuiCapChan" hidden="1">{"'Sheet1'!$L$16"}</definedName>
    <definedName name="thQuicaple" hidden="1">{"'Sheet1'!$L$16"}</definedName>
    <definedName name="THTranPhu" hidden="1">{"'Sheet1'!$L$16"}</definedName>
    <definedName name="thtyhyjyjyjyjjjyujyj" hidden="1">#REF!</definedName>
    <definedName name="thu" hidden="1">{"'Sheet1'!$L$16"}</definedName>
    <definedName name="Thuan" hidden="1">{"'Sheet1'!$L$16"}</definedName>
    <definedName name="thuû" hidden="1">{"'Sheet1'!$L$16"}</definedName>
    <definedName name="thuy" hidden="1">{"'Sheet1'!$L$16"}</definedName>
    <definedName name="thvlmoi" hidden="1">{"'Sheet1'!$L$16"}</definedName>
    <definedName name="thvlmoimoi" hidden="1">{"'Sheet1'!$L$16"}</definedName>
    <definedName name="THXD2" hidden="1">{"'Sheet1'!$L$16"}</definedName>
    <definedName name="TIENDOGIAINGAN" hidden="1">#REF!</definedName>
    <definedName name="tieude2" hidden="1">{"'Sheet1'!$L$16"}</definedName>
    <definedName name="TIM" hidden="1">{"'Sheet1'!$L$16"}</definedName>
    <definedName name="TINH" hidden="1">{#N/A,#N/A,FALSE,"CCTV"}</definedName>
    <definedName name="tinhlun" hidden="1">{"'Sheet1'!$L$16"}</definedName>
    <definedName name="tjhtrjntrsjnsr" hidden="1">{"'Sheet1'!$L$16"}</definedName>
    <definedName name="TKCT1" hidden="1">{"'Sheet1'!$L$16"}</definedName>
    <definedName name="TKHKIIKT30C1" hidden="1">{"'Sheet1'!$L$16"}</definedName>
    <definedName name="tlc" hidden="1">{"'Sheet1'!$L$16"}</definedName>
    <definedName name="TLP" hidden="1">{#N/A,#N/A,FALSE,"Chi tiÆt"}</definedName>
    <definedName name="TLPMG" hidden="1">{"'Sheet1'!$L$16"}</definedName>
    <definedName name="tLRANH1" hidden="1">{"'Sheet1'!$L$16"}</definedName>
    <definedName name="tls" hidden="1">{"'Sheet1'!$L$16"}</definedName>
    <definedName name="TLVL" hidden="1">{"'Sheet1'!$L$16"}</definedName>
    <definedName name="TM" hidden="1">{"'Sheet1'!$L$16"}</definedName>
    <definedName name="tnclt9.2" hidden="1">{"'Sheet1'!$L$16"}</definedName>
    <definedName name="to" hidden="1">{"'Sheet1'!$L$16"}</definedName>
    <definedName name="toan" hidden="1">{"'Sheet1'!$L$16"}</definedName>
    <definedName name="tong2" hidden="1">{"'Sheet1'!$L$16"}</definedName>
    <definedName name="tphuoc" hidden="1">{"'Sheet1'!$L$16"}</definedName>
    <definedName name="TR" hidden="1">#REF!</definedName>
    <definedName name="Tram" hidden="1">{"'Sheet1'!$L$16"}</definedName>
    <definedName name="trd" hidden="1">{"'Sheet1'!$L$16"}</definedName>
    <definedName name="TREIJ" hidden="1">#REF!</definedName>
    <definedName name="trgy" hidden="1">{"'Sheet1'!$L$16"}</definedName>
    <definedName name="TRHEH" hidden="1">{"'Sheet1'!$L$16"}</definedName>
    <definedName name="Trong" hidden="1">{"'Sheet1'!$L$16"}</definedName>
    <definedName name="trrh" hidden="1">{"'Sheet1'!$L$16"}</definedName>
    <definedName name="trtr" hidden="1">{"'Sheet1'!$L$16"}</definedName>
    <definedName name="TRUNGNGUYEN" hidden="1">{#N/A,#N/A,FALSE,"Chi tiÆt"}</definedName>
    <definedName name="Truong" hidden="1">{#N/A,#N/A,FALSE,"Chi tiÆt"}</definedName>
    <definedName name="TRY" hidden="1">#REF!</definedName>
    <definedName name="TTSC" hidden="1">{"'Sheet1'!$L$16"}</definedName>
    <definedName name="ttt" hidden="1">{"'Sheet1'!$L$16"}</definedName>
    <definedName name="ttttt" hidden="1">#REF!</definedName>
    <definedName name="ｔｔｔｔｔ" hidden="1">{"'Sheet1'!$L$16"}</definedName>
    <definedName name="TU" hidden="1">{"'Sheet1'!$L$16"}</definedName>
    <definedName name="tuam" hidden="1">{"'Sheet1'!$L$16"}</definedName>
    <definedName name="tuan" hidden="1">{"'Sheet1'!$L$16"}</definedName>
    <definedName name="tuan03" hidden="1">{"'Sheet1'!$L$16"}</definedName>
    <definedName name="tuan2" hidden="1">{"'Sheet1'!$L$16"}</definedName>
    <definedName name="tuan47" hidden="1">{"'Sheet1'!$L$16"}</definedName>
    <definedName name="tuan48" hidden="1">{"'Sheet1'!$L$16"}</definedName>
    <definedName name="Tuan49" hidden="1">{"'Sheet1'!$L$16"}</definedName>
    <definedName name="tuan52" hidden="1">{"'Sheet1'!$L$16"}</definedName>
    <definedName name="tuan53" hidden="1">{"'Sheet1'!$L$16"}</definedName>
    <definedName name="tuan55" hidden="1">{"'Sheet1'!$L$16"}</definedName>
    <definedName name="tuan57" hidden="1">{"'Sheet1'!$L$16"}</definedName>
    <definedName name="TUANKHANHTUYET45" hidden="1">{0}</definedName>
    <definedName name="TUKHKJT" hidden="1">{"'Sheet1'!$L$16"}</definedName>
    <definedName name="tuyen" hidden="1">{"'Sheet1'!$L$16"}</definedName>
    <definedName name="tuyennhanh" hidden="1">{"'Sheet1'!$L$16"}</definedName>
    <definedName name="tuyennhanh6" hidden="1">{"'Sheet1'!$L$16"}</definedName>
    <definedName name="tuynen" hidden="1">{"'Sheet1'!$L$16"}</definedName>
    <definedName name="ty" hidden="1">{"'Sheet1'!$L$16"}</definedName>
    <definedName name="tyu" hidden="1">{"'Sheet1'!$L$16"}</definedName>
    <definedName name="tyutuii" hidden="1">#REF!</definedName>
    <definedName name="tyututeyu" hidden="1">#REF!</definedName>
    <definedName name="ư" hidden="1">{"'Sheet1'!$L$16"}</definedName>
    <definedName name="ự" hidden="1">{"'Sheet1'!$L$16"}</definedName>
    <definedName name="ư3435" hidden="1">#REF!</definedName>
    <definedName name="uassw_sh" hidden="1">{"'Sheet1'!$L$16"}</definedName>
    <definedName name="UBDT" hidden="1">{"'Sheet1'!$L$16"}</definedName>
    <definedName name="Ud" hidden="1">#REF!</definedName>
    <definedName name="ừd" hidden="1">{"'Sheet1'!$L$16"}</definedName>
    <definedName name="úengg" hidden="1">{"'Sheet1'!$L$16"}</definedName>
    <definedName name="ƯERWER" hidden="1">{"'Sheet1'!$L$16"}</definedName>
    <definedName name="ưerwerewr" hidden="1">{"'Sheet1'!$L$16"}</definedName>
    <definedName name="ukluy" hidden="1">{"'Sheet1'!$L$16"}</definedName>
    <definedName name="UL"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k" hidden="1">{"'Sheet1'!$L$16"}</definedName>
    <definedName name="ủnt" hidden="1">{"'Sheet1'!$L$16"}</definedName>
    <definedName name="ưqwqewq" hidden="1">#REF!</definedName>
    <definedName name="UTWER" hidden="1">{"'Sheet1'!$L$16"}</definedName>
    <definedName name="UU" hidden="1">{"'Sheet1'!$L$16"}</definedName>
    <definedName name="Uy" hidden="1">#REF!</definedName>
    <definedName name="uyi" hidden="1">{"'Sheet1'!$L$16"}</definedName>
    <definedName name="ủytỉt" hidden="1">{"'Sheet1'!$L$16"}</definedName>
    <definedName name="uytjhtdjtj" hidden="1">{"'Sheet1'!$L$16"}</definedName>
    <definedName name="v" hidden="1">{"'Sheet1'!$L$16"}</definedName>
    <definedName name="V.clvl3" hidden="1">{"'Sheet1'!$L$16"}</definedName>
    <definedName name="V8.Refresh" hidden="1">{"NGUYEN QUI THIEP - Personal View",#N/A,FALSE,"XDCB.HT.FUR."}</definedName>
    <definedName name="VaDate" hidden="1">#REF!</definedName>
    <definedName name="vadvsa" hidden="1">{"'Sheet1'!$L$16"}</definedName>
    <definedName name="Valve" hidden="1">{"'Sheet1'!$L$16"}</definedName>
    <definedName name="van" hidden="1">{#N/A,#N/A,FALSE,"Chi tiÆt"}</definedName>
    <definedName name="Vanphong" hidden="1">{"'Sheet1'!$L$16"}</definedName>
    <definedName name="VarDate" hidden="1">#REF!</definedName>
    <definedName name="VATM" hidden="1">{"'Sheet1'!$L$16"}</definedName>
    <definedName name="vb" hidden="1">{"'Sheet1'!$L$16"}</definedName>
    <definedName name="vbc" hidden="1">{"'Sheet1'!$L$16"}</definedName>
    <definedName name="vc" hidden="1">{"'Sheet1'!$L$16"}</definedName>
    <definedName name="vcbo1" hidden="1">{"'Sheet1'!$L$16"}</definedName>
    <definedName name="vcoto" hidden="1">{"'Sheet1'!$L$16"}</definedName>
    <definedName name="VCVL" hidden="1">{"'Sheet1'!$L$16"}</definedName>
    <definedName name="vcxvxsdfd" hidden="1">#REF!</definedName>
    <definedName name="vdb" hidden="1">{"'Sheet1'!$L$16"}</definedName>
    <definedName name="VEN" hidden="1">{#N/A,#N/A,TRUE,"SUM";#N/A,#N/A,TRUE,"EE";#N/A,#N/A,TRUE,"AC";#N/A,#N/A,TRUE,"SN"}</definedName>
    <definedName name="vetbun" hidden="1">{"'Sheet1'!$L$16"}</definedName>
    <definedName name="vfdg" hidden="1">#REF!</definedName>
    <definedName name="vgb" hidden="1">{"'Sheet1'!$L$16"}</definedName>
    <definedName name="vgho" hidden="1">{"'Sheet1'!$L$16"}</definedName>
    <definedName name="vgxghhj" hidden="1">{"'Sheet1'!$L$16"}</definedName>
    <definedName name="viet" hidden="1">{"'Sheet1'!$L$16"}</definedName>
    <definedName name="vinavico" hidden="1">{"'Sheet1'!$L$16"}</definedName>
    <definedName name="vip" hidden="1">{"'Sheet1'!$L$16"}</definedName>
    <definedName name="vlct" hidden="1">{"'Sheet1'!$L$16"}</definedName>
    <definedName name="VLP" hidden="1">{"'Sheet1'!$L$16"}</definedName>
    <definedName name="vnd_list" hidden="1">{"một";"hai";"ba";"bốn";"năm";"sáu";"bảy";"tám";"chín";"mười";"mươi";"mốt";"lăm";"trăm";"nghìn";"triệu";"tỷ";"lẻ";"không trăm";"Bằng chử : "}</definedName>
    <definedName name="VOLTAGE" hidden="1">{#N/A,#N/A,FALSE,"Sheet1";#N/A,#N/A,FALSE,"Sheet3";#N/A,#N/A,FALSE,"Sheet5"}</definedName>
    <definedName name="VTPS_T" hidden="1">[2]THVATTU!#REF!</definedName>
    <definedName name="VTT" hidden="1">#REF!</definedName>
    <definedName name="vttc2" hidden="1">{#N/A,#N/A,FALSE,"Sheet1";#N/A,#N/A,FALSE,"Sheet1";#N/A,#N/A,FALSE,"Sheet1"}</definedName>
    <definedName name="vv" hidden="1">{"'Sheet1'!$L$16"}</definedName>
    <definedName name="vvb" hidden="1">#REF!</definedName>
    <definedName name="vvffg" hidden="1">#REF!</definedName>
    <definedName name="ｖｖｖ" hidden="1">{"'Sheet1'!$L$16"}</definedName>
    <definedName name="ｖｖｖｖｖ" hidden="1">{"'Sheet1'!$L$16"}</definedName>
    <definedName name="VVVVVV" hidden="1">{"'Sheet1'!$L$16"}</definedName>
    <definedName name="vvvvvvv" hidden="1">{#N/A,#N/A,FALSE,"Chi tiÆt"}</definedName>
    <definedName name="vvvvvvvvvvvvvv" hidden="1">{0}</definedName>
    <definedName name="vxfsđs" hidden="1">{"'Sheet1'!$L$16"}</definedName>
    <definedName name="VZDVA" hidden="1">{"'Sheet1'!$L$16"}</definedName>
    <definedName name="vzdxvd" hidden="1">{"'Sheet1'!$L$16"}</definedName>
    <definedName name="VZVZD" hidden="1">{"'Sheet1'!$L$16"}</definedName>
    <definedName name="VZVZXCZ" hidden="1">{"'Sheet1'!$L$16"}</definedName>
    <definedName name="waddwwqe" hidden="1">#REF!</definedName>
    <definedName name="wafef" hidden="1">{"'Sheet1'!$L$16"}</definedName>
    <definedName name="walkway" hidden="1">{"'Sheet1'!$L$16"}</definedName>
    <definedName name="wd" hidden="1">{"'Sheet1'!$L$16"}</definedName>
    <definedName name="werar" hidden="1">{"'Sheet1'!$L$16"}</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poi" hidden="1">{"'Sheet1'!$L$16"}</definedName>
    <definedName name="wis" hidden="1">#REF!</definedName>
    <definedName name="wjsr" hidden="1">#REF!</definedName>
    <definedName name="wm.조골재1" hidden="1">{#N/A,#N/A,FALSE,"조골재"}</definedName>
    <definedName name="WQ" hidden="1">{"'Sheet1'!$L$16"}</definedName>
    <definedName name="WRITE" hidden="1">{#N/A,#N/A,FALSE,"CCTV"}</definedName>
    <definedName name="WRN" hidden="1">{#N/A,#N/A,FALSE,"CCTV"}</definedName>
    <definedName name="wrn.2번." hidden="1">{#N/A,#N/A,FALSE,"2~8번"}</definedName>
    <definedName name="wrn.97년._.사업계획._.및._.예산지침." hidden="1">{#N/A,#N/A,TRUE,"1";#N/A,#N/A,TRUE,"2";#N/A,#N/A,TRUE,"3";#N/A,#N/A,TRUE,"4";#N/A,#N/A,TRUE,"5";#N/A,#N/A,TRUE,"6";#N/A,#N/A,TRUE,"7"}</definedName>
    <definedName name="wrn.A." hidden="1">{#N/A,#N/A,TRUE,"SUM";#N/A,#N/A,TRUE,"EE";#N/A,#N/A,TRUE,"AC";#N/A,#N/A,TRUE,"SN"}</definedName>
    <definedName name="wrn.aaa" hidden="1">{#N/A,#N/A,FALSE,"Sheet1";#N/A,#N/A,FALSE,"Sheet1";#N/A,#N/A,FALSE,"Sheet1"}</definedName>
    <definedName name="wrn.aaa." hidden="1">{#N/A,#N/A,FALSE,"Sheet1";#N/A,#N/A,FALSE,"Sheet1";#N/A,#N/A,FALSE,"Sheet1"}</definedName>
    <definedName name="wrn.aaa.1" hidden="1">{#N/A,#N/A,FALSE,"Sheet1";#N/A,#N/A,FALSE,"Sheet1";#N/A,#N/A,FALSE,"Sheet1"}</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Che._.do._.duoc._.huong." hidden="1">{#N/A,#N/A,FALSE,"BN (2)"}</definedName>
    <definedName name="wrn.chi._.tiÆt." hidden="1">{#N/A,#N/A,FALSE,"Chi tiÆt"}</definedName>
    <definedName name="wrn.chi._.tiÆt._1" hidden="1">{#N/A,#N/A,FALSE,"Chi tiÆt"}</definedName>
    <definedName name="wrn.cong." hidden="1">{#N/A,#N/A,FALSE,"Sheet1"}</definedName>
    <definedName name="wrn.DIRLABR." hidden="1">{#N/A,#N/A,TRUE,"CS&amp;SS(AG)";#N/A,#N/A,TRUE,"CS(UG)";#N/A,#N/A,TRUE,"CSCL(UG)";#N/A,#N/A,TRUE,"KYNAR";#N/A,#N/A,TRUE,"ALLOY904";#N/A,#N/A,TRUE,"TITANIUM";#N/A,#N/A,TRUE,"STMTRACE"}</definedName>
    <definedName name="wrn.Du._.toan." hidden="1">{#N/A,#N/A,TRUE,"B";#N/A,#N/A,TRUE,"ND"}</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Giáy._.bao._.no." hidden="1">{#N/A,#N/A,FALSE,"BN"}</definedName>
    <definedName name="wrn.hgjh." hidden="1">{#N/A,#N/A,FALSE,"Sheet1"}</definedName>
    <definedName name="wrn.INDIRCOS." hidden="1">{#N/A,#N/A,TRUE,"FIELDOFF";#N/A,#N/A,TRUE,"SCAFF";#N/A,#N/A,TRUE,"CONSTEQP";#N/A,#N/A,TRUE,"FUELUBE";#N/A,#N/A,TRUE,"CONSUME";#N/A,#N/A,TRUE,"FIELDEXP";#N/A,#N/A,TRUE,"MANPLAN";#N/A,#N/A,TRUE,"EQPLAN"}</definedName>
    <definedName name="wrn.L." hidden="1">{#N/A,#N/A,FALSE,"Sheet2"}</definedName>
    <definedName name="wrn.mai._.khanh." hidden="1">{"NGUYEN QUI THIEP - Personal View",#N/A,FALSE,"XDCB.HT.FUR."}</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Print._.Output." hidden="1">{#N/A,#N/A,FALSE,"OUTPUT SHEET "}</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Site._.expenses." hidden="1">{#N/A,#N/A,FALSE,"Expenses";#N/A,#N/A,FALSE,"Expenses"}</definedName>
    <definedName name="wrn.vd." hidden="1">{#N/A,#N/A,TRUE,"BT M200 da 10x20"}</definedName>
    <definedName name="WRN.VOLTAGE." hidden="1">{#N/A,#N/A,FALSE,"Sheet2";#N/A,#N/A,FALSE,"Sheet4";#N/A,#N/A,FALSE,"Sheet6"}</definedName>
    <definedName name="wrn.Work._.Report." hidden="1">{"accomplishment",#N/A,FALSE,"Summary Week 3"}</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운반시간." hidden="1">{#N/A,#N/A,FALSE,"운반시간"}</definedName>
    <definedName name="wrn.이정표." hidden="1">{#N/A,#N/A,FALSE,"이정표"}</definedName>
    <definedName name="wrn.조골재." hidden="1">{#N/A,#N/A,FALSE,"조골재"}</definedName>
    <definedName name="wrn.진각빌딩." hidden="1">{#N/A,#N/A,FALSE,"품의서";#N/A,#N/A,FALSE,"견적실행대비분석표";#N/A,#N/A,FALSE,"공종별도급대비견적실행";#N/A,#N/A,FALSE,"외주공사 추정금액";#N/A,#N/A,FALSE,"공종별도급대비계약현황"}</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n_xoa2" hidden="1">{#N/A,#N/A,FALSE,"Chi tiÆt"}</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WE" hidden="1">{"'Sheet1'!$L$16"}</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{#N/A,#N/A,FALSE,"Sheet2";#N/A,#N/A,FALSE,"Sheet4";#N/A,#N/A,FALSE,"Sheet6"}</definedName>
    <definedName name="ｗｗ"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ｗｗｗｗ" hidden="1">{"'Sheet1'!$L$16"}</definedName>
    <definedName name="wwwwwww" hidden="1">{"Offgrid",#N/A,FALSE,"OFFGRID";"Region",#N/A,FALSE,"REGION";"Offgrid -2",#N/A,FALSE,"OFFGRID";"WTP",#N/A,FALSE,"WTP";"WTP -2",#N/A,FALSE,"WTP";"Project",#N/A,FALSE,"PROJECT";"Summary -2",#N/A,FALSE,"SUMMARY"}</definedName>
    <definedName name="wwwwwwwwwwwwwwwwwwwwwwwwwwwww" hidden="1">{"'Sheet1'!$L$16"}</definedName>
    <definedName name="XAY" hidden="1">{"'Sheet1'!$L$16"}</definedName>
    <definedName name="XCB" hidden="1">#REF!</definedName>
    <definedName name="xcvbfyôtui" hidden="1">#REF!</definedName>
    <definedName name="xddddd" hidden="1">{"'Sheet1'!$L$16"}</definedName>
    <definedName name="XDKT" hidden="1">{"NGUYEN QUI THIEP - Personal View",#N/A,FALSE,"XDCB.HT.FUR."}</definedName>
    <definedName name="Xeduc" hidden="1">{"'Sheet1'!$L$16"}</definedName>
    <definedName name="xekaman" hidden="1">{"'Sheet1'!$L$16"}</definedName>
    <definedName name="XFBDSBSB" hidden="1">{"'Sheet1'!$L$16"}</definedName>
    <definedName name="XFHGHTD" hidden="1">{"'Sheet1'!$L$16"}</definedName>
    <definedName name="xls" hidden="1">{"'Sheet1'!$L$16"}</definedName>
    <definedName name="xlttbninh" hidden="1">{"'Sheet1'!$L$16"}</definedName>
    <definedName name="XN908nam2003" hidden="1">{"'Sheet1'!$L$16"}</definedName>
    <definedName name="XNDMCV" hidden="1">#REF!</definedName>
    <definedName name="xoa_tab" hidden="1">[2]Control!#REF!</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UONG" hidden="1">{"'Sheet1'!$L$16"}</definedName>
    <definedName name="xvxcvxc" hidden="1">{"'Sheet1'!$L$16"}</definedName>
    <definedName name="xx" hidden="1">#REF!</definedName>
    <definedName name="xxx" hidden="1">#REF!</definedName>
    <definedName name="ｘｘｘ" hidden="1">{"'Sheet1'!$L$16"}</definedName>
    <definedName name="XXXAAAA" hidden="1">{"'Sheet1'!$L$16"}</definedName>
    <definedName name="ｘｘｘｘ" hidden="1">{"'Sheet1'!$L$16"}</definedName>
    <definedName name="ｘｘｘｘｘ" hidden="1">{"'Sheet1'!$L$16"}</definedName>
    <definedName name="xzfa" hidden="1">{"'Sheet1'!$L$16"}</definedName>
    <definedName name="Y" hidden="1">#REF!</definedName>
    <definedName name="Y5T45" hidden="1">{"'Sheet1'!$L$16"}</definedName>
    <definedName name="y6ytyjtyjytjtyj" hidden="1">#REF!</definedName>
    <definedName name="Yd" hidden="1">#REF!</definedName>
    <definedName name="ỳdhgg" hidden="1">{"'Sheet1'!$L$16"}</definedName>
    <definedName name="ỶE" hidden="1">#REF!</definedName>
    <definedName name="yen" hidden="1">{"'Sheet1'!$L$16"}</definedName>
    <definedName name="ýenda" hidden="1">{"'Sheet1'!$L$16"}</definedName>
    <definedName name="yeryt" hidden="1">{"'Sheet1'!$L$16"}</definedName>
    <definedName name="yeu" hidden="1">{"'Sheet1'!$L$16"}</definedName>
    <definedName name="yhhyhy" hidden="1">#REF!</definedName>
    <definedName name="YI7I" hidden="1">{"'Sheet1'!$L$16"}</definedName>
    <definedName name="yiuti" hidden="1">{"'Sheet1'!$L$16"}</definedName>
    <definedName name="YJ" hidden="1">#REF!</definedName>
    <definedName name="YSY" hidden="1">{#N/A,#N/A,FALSE,"Sheet2";#N/A,#N/A,FALSE,"Sheet4";#N/A,#N/A,FALSE,"Sheet6"}</definedName>
    <definedName name="ytri" hidden="1">{"'Sheet1'!$L$16"}</definedName>
    <definedName name="ytru" hidden="1">{"'Sheet1'!$L$16"}</definedName>
    <definedName name="Yu" hidden="1">#REF!</definedName>
    <definedName name="ỵu" hidden="1">{"'Sheet1'!$L$16"}</definedName>
    <definedName name="yuiyÎtdghgjkjgkl" hidden="1">#REF!</definedName>
    <definedName name="YUJYI" hidden="1">#REF!</definedName>
    <definedName name="yuo" hidden="1">#REF!</definedName>
    <definedName name="yyjy_ukyu" hidden="1">{"'Sheet1'!$L$16"}</definedName>
    <definedName name="ｙｙｙ" hidden="1">{"'Sheet1'!$L$16"}</definedName>
    <definedName name="yyyyy" hidden="1">{"'Sheet1'!$L$16"}</definedName>
    <definedName name="yyyyyyy" hidden="1">{"'Sheet1'!$L$16"}</definedName>
    <definedName name="Z_2BD578FA_E2CB_4B2F_9A88_B148DA6298A5_.wvu.Cols" hidden="1">#REF!</definedName>
    <definedName name="Z_2BD578FA_E2CB_4B2F_9A88_B148DA6298A5_.wvu.PrintArea" hidden="1">#REF!</definedName>
    <definedName name="Z_7D2E7434_5FC2_40F9_8019_5682C7C89786_.wvu.Rows" localSheetId="0" hidden="1">'114+220'!#REF!</definedName>
    <definedName name="Z_B6D82DE0_6701_11DA_9820_00304F1E4471_.wvu.Cols" hidden="1">#REF!</definedName>
    <definedName name="zcg" hidden="1">{"'Sheet1'!$L$16"}</definedName>
    <definedName name="zcgxf" hidden="1">{"'Sheet1'!$L$16"}</definedName>
    <definedName name="ZCZXC" hidden="1">{"'Sheet1'!$L$16"}</definedName>
    <definedName name="zdfer"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"True|False|False|False|False|False|False|True|True|True|True|True|True|True|True"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XzX" hidden="1">{"'Sheet1'!$L$16"}</definedName>
    <definedName name="ｚｚｚｚｚ" hidden="1">{"'Sheet1'!$L$16"}</definedName>
    <definedName name="ｚｚｚｚｚｚ" hidden="1">{"'Sheet1'!$L$16"}</definedName>
    <definedName name="zzzzzzzzzzz" hidden="1">{0,#N/A,FALSE,0;0,#N/A,FALSE,0;0,#N/A,FALSE,0;0,#N/A,FALSE,0;0,#N/A,FALSE,0;0,#N/A,FALSE,0;0,#N/A,FALSE,0}</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ㅈㅎ"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갑지" hidden="1">#REF!</definedName>
    <definedName name="건축비목집계" hidden="1">{#N/A,#N/A,FALSE,"표지"}</definedName>
    <definedName name="견적" hidden="1">{#N/A,#N/A,FALSE,"CCTV"}</definedName>
    <definedName name="견적2" hidden="1">{#N/A,#N/A,FALSE,"CCTV"}</definedName>
    <definedName name="견적SHEET" hidden="1">{#N/A,#N/A,FALSE,"CCTV"}</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 hidden="1">{#N/A,#N/A,FALSE,"Sheet1"}</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비" hidden="1">{#N/A,#N/A,FALSE,"전력간선"}</definedName>
    <definedName name="공사비분석"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hidden="1">{#N/A,#N/A,FALSE,"갑지";#N/A,#N/A,FALSE,"개요";#N/A,#N/A,FALSE,"비목별";#N/A,#N/A,FALSE,"건물별";#N/A,#N/A,FALSE,"기구표";#N/A,#N/A,FALSE,"직원투입"}</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계주차" hidden="1">{#N/A,#N/A,FALSE,"CCTV"}</definedName>
    <definedName name="ㄴㄱㄹ" hidden="1">#REF!</definedName>
    <definedName name="ㄴㄷㄹ" hidden="1">{#N/A,#N/A,FALSE,"Sheet1"}</definedName>
    <definedName name="ㄴㅁ" hidden="1">#REF!</definedName>
    <definedName name="내역산출근거" hidden="1">{#N/A,#N/A,TRUE,"1";#N/A,#N/A,TRUE,"2";#N/A,#N/A,TRUE,"3";#N/A,#N/A,TRUE,"4";#N/A,#N/A,TRUE,"5";#N/A,#N/A,TRUE,"6";#N/A,#N/A,TRUE,"7"}</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단ㄱ" hidden="1">{#N/A,#N/A,FALSE,"전력간선"}</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구연숩" hidden="1">{#N/A,#N/A,FALSE,"전력간선"}</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#REF!</definedName>
    <definedName name="ㄹ호" hidden="1">#REF!</definedName>
    <definedName name="래그" hidden="1">{#N/A,#N/A,FALSE,"CCTV"}</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ㄹ" hidden="1">{#N/A,#N/A,FALSE,"전력간선"}</definedName>
    <definedName name="ㅁㄻ" hidden="1">{#N/A,#N/A,FALSE,"Sheet1"}</definedName>
    <definedName name="ㅁㅁㅁ" hidden="1">#REF!</definedName>
    <definedName name="ㅁㅁㅁㅁㅁㅁ" hidden="1">#REF!</definedName>
    <definedName name="ㅁㅎㅁ" hidden="1">{#N/A,#N/A,FALSE,"Sheet1"}</definedName>
    <definedName name="모" hidden="1">{#N/A,#N/A,FALSE,"변경관리예산";#N/A,#N/A,FALSE,"변경장비예산";#N/A,#N/A,FALSE,"변경준설예산";#N/A,#N/A,FALSE,"변경철구예산"}</definedName>
    <definedName name="ㅂㅂ" hidden="1">{#N/A,#N/A,FALSE,"표지"}</definedName>
    <definedName name="ㅂㅈ" hidden="1">{#N/A,#N/A,TRUE,"1";#N/A,#N/A,TRUE,"2";#N/A,#N/A,TRUE,"3";#N/A,#N/A,TRUE,"4";#N/A,#N/A,TRUE,"5";#N/A,#N/A,TRUE,"6";#N/A,#N/A,TRUE,"7"}</definedName>
    <definedName name="바붕" hidden="1">{#N/A,#N/A,FALSE,"전력간선"}</definedName>
    <definedName name="배기덕트공사" hidden="1">{#N/A,#N/A,FALSE,"CCTV"}</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복지" hidden="1">#REF!</definedName>
    <definedName name="부대원본" hidden="1">{#N/A,#N/A,FALSE,"토공2"}</definedName>
    <definedName name="부천상동조경" hidden="1">{#N/A,#N/A,FALSE,"표지"}</definedName>
    <definedName name="분석변경" hidden="1">{#N/A,#N/A,FALSE,"변경관리예산";#N/A,#N/A,FALSE,"변경장비예산";#N/A,#N/A,FALSE,"변경준설예산";#N/A,#N/A,FALSE,"변경철구예산"}</definedName>
    <definedName name="사" hidden="1">#REF!</definedName>
    <definedName name="샘풀카피" hidden="1">{#N/A,#N/A,FALSE,"CCTV"}</definedName>
    <definedName name="샘플카피2" hidden="1">{#N/A,#N/A,FALSE,"CCTV"}</definedName>
    <definedName name="샘플카피3" hidden="1">{#N/A,#N/A,FALSE,"CCTV"}</definedName>
    <definedName name="석재받은의뢰업체" hidden="1">255</definedName>
    <definedName name="수" hidden="1">#REF!</definedName>
    <definedName name="수량산출근거" hidden="1">{#N/A,#N/A,FALSE,"표지"}</definedName>
    <definedName name="ㅇㄴㄹ" hidden="1">{#N/A,#N/A,FALSE,"Sheet1"}</definedName>
    <definedName name="ㅇㄴㄿ" hidden="1">{#N/A,#N/A,FALSE,"CCTV"}</definedName>
    <definedName name="ㅇㄹ" hidden="1">#REF!</definedName>
    <definedName name="ㅇㄹㄹ" hidden="1">#REF!</definedName>
    <definedName name="아싸" hidden="1">{#N/A,#N/A,FALSE,"CCTV"}</definedName>
    <definedName name="억이상" hidden="1">{#N/A,#N/A,FALSE,"2~8번"}</definedName>
    <definedName name="업체" hidden="1">#REF!</definedName>
    <definedName name="원가" hidden="1">{#N/A,#N/A,FALSE,"운반시간"}</definedName>
    <definedName name="의" hidden="1">{#N/A,#N/A,FALSE,"운반시간"}</definedName>
    <definedName name="이릉"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단가근거" hidden="1">#REF!</definedName>
    <definedName name="장비TBO" hidden="1">{"'Sheet1'!$L$16"}</definedName>
    <definedName name="전기산출" hidden="1">#REF!</definedName>
    <definedName name="전기산출내역" hidden="1">#REF!</definedName>
    <definedName name="조경공사" hidden="1">{#N/A,#N/A,FALSE,"표지"}</definedName>
    <definedName name="조경사본" hidden="1">{#N/A,#N/A,FALSE,"표지"}</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철근량" hidden="1">{#N/A,#N/A,FALSE,"전력간선"}</definedName>
    <definedName name="철콘부대외" hidden="1">{#N/A,#N/A,FALSE,"Sheet1"}</definedName>
    <definedName name="총공사비2" hidden="1">{#N/A,#N/A,FALSE,"전력간선"}</definedName>
    <definedName name="총괄제출2차" hidden="1">#REF!</definedName>
    <definedName name="추가옵션01" hidden="1">#REF!</definedName>
    <definedName name="켐온건축" hidden="1">{#N/A,#N/A,FALSE,"CCTV"}</definedName>
    <definedName name="토" hidden="1">#REF!</definedName>
    <definedName name="토목" hidden="1">{#N/A,#N/A,FALSE,"CCTV"}</definedName>
    <definedName name="토목설계" hidden="1">{#N/A,#N/A,FALSE,"골재소요량";#N/A,#N/A,FALSE,"골재소요량"}</definedName>
    <definedName name="팔" hidden="1">#REF!</definedName>
    <definedName name="평당견적" hidden="1">#REF!</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 hidden="1">#REF!</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実行" hidden="1">{"'Sheet1'!$L$16"}</definedName>
    <definedName name="岡田" hidden="1">{#N/A,#N/A,TRUE,"SUM";#N/A,#N/A,TRUE,"EE";#N/A,#N/A,TRUE,"AC";#N/A,#N/A,TRUE,"SN"}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76" i="2" l="1"/>
  <c r="B776" i="2"/>
  <c r="C776" i="2"/>
  <c r="D776" i="2"/>
  <c r="K776" i="2"/>
  <c r="L776" i="2"/>
  <c r="I776" i="2" s="1"/>
  <c r="M776" i="2"/>
  <c r="O776" i="2"/>
  <c r="F776" i="2" l="1"/>
  <c r="C1" i="2" l="1"/>
  <c r="D1" i="2" s="1"/>
  <c r="E1" i="2" s="1"/>
  <c r="F1" i="2"/>
  <c r="G1" i="2" s="1"/>
  <c r="H1" i="2" s="1"/>
  <c r="I1" i="2" s="1"/>
  <c r="J1" i="2" s="1"/>
  <c r="K1" i="2" s="1"/>
  <c r="L1" i="2" s="1"/>
  <c r="M1" i="2" s="1"/>
  <c r="N1" i="2" s="1"/>
  <c r="O1" i="2" s="1"/>
  <c r="P1" i="2" s="1"/>
  <c r="Q1" i="2" s="1"/>
  <c r="R1" i="2" s="1"/>
  <c r="S1" i="2" s="1"/>
  <c r="T1" i="2" s="1"/>
  <c r="U1" i="2" s="1"/>
  <c r="V1" i="2" s="1"/>
  <c r="W1" i="2" s="1"/>
  <c r="Y1" i="2" s="1"/>
  <c r="Z1" i="2" s="1"/>
  <c r="AA1" i="2" s="1"/>
  <c r="AB1" i="2" s="1"/>
  <c r="A4" i="2"/>
  <c r="I6" i="2"/>
  <c r="M9" i="2"/>
  <c r="M10" i="2"/>
  <c r="H14" i="2"/>
  <c r="E14" i="2" s="1"/>
  <c r="I14" i="2"/>
  <c r="F14" i="2" s="1"/>
  <c r="J14" i="2"/>
  <c r="G14" i="2" s="1"/>
  <c r="U14" i="2"/>
  <c r="V14" i="2"/>
  <c r="T14" i="2" s="1"/>
  <c r="W14" i="2"/>
  <c r="W15" i="2" s="1"/>
  <c r="W16" i="2" s="1"/>
  <c r="W17" i="2" s="1"/>
  <c r="W18" i="2" s="1"/>
  <c r="W19" i="2" s="1"/>
  <c r="W20" i="2" s="1"/>
  <c r="W21" i="2" s="1"/>
  <c r="W22" i="2" s="1"/>
  <c r="W23" i="2" s="1"/>
  <c r="W24" i="2" s="1"/>
  <c r="W25" i="2" s="1"/>
  <c r="W26" i="2" s="1"/>
  <c r="W27" i="2" s="1"/>
  <c r="W28" i="2" s="1"/>
  <c r="W29" i="2" s="1"/>
  <c r="W30" i="2" s="1"/>
  <c r="W31" i="2" s="1"/>
  <c r="W32" i="2" s="1"/>
  <c r="W33" i="2" s="1"/>
  <c r="W34" i="2" s="1"/>
  <c r="W35" i="2" s="1"/>
  <c r="W36" i="2" s="1"/>
  <c r="W37" i="2" s="1"/>
  <c r="W38" i="2" s="1"/>
  <c r="W39" i="2" s="1"/>
  <c r="W40" i="2" s="1"/>
  <c r="W41" i="2" s="1"/>
  <c r="W42" i="2" s="1"/>
  <c r="W43" i="2" s="1"/>
  <c r="W44" i="2" s="1"/>
  <c r="W45" i="2" s="1"/>
  <c r="W46" i="2" s="1"/>
  <c r="W47" i="2" s="1"/>
  <c r="W48" i="2" s="1"/>
  <c r="W49" i="2" s="1"/>
  <c r="W50" i="2" s="1"/>
  <c r="W51" i="2" s="1"/>
  <c r="W52" i="2" s="1"/>
  <c r="W53" i="2" s="1"/>
  <c r="W54" i="2" s="1"/>
  <c r="W55" i="2" s="1"/>
  <c r="W56" i="2" s="1"/>
  <c r="W57" i="2" s="1"/>
  <c r="W58" i="2" s="1"/>
  <c r="W59" i="2" s="1"/>
  <c r="W60" i="2" s="1"/>
  <c r="W61" i="2" s="1"/>
  <c r="W62" i="2" s="1"/>
  <c r="W63" i="2" s="1"/>
  <c r="W64" i="2" s="1"/>
  <c r="W65" i="2" s="1"/>
  <c r="W66" i="2" s="1"/>
  <c r="W67" i="2" s="1"/>
  <c r="W68" i="2" s="1"/>
  <c r="W69" i="2" s="1"/>
  <c r="W70" i="2" s="1"/>
  <c r="W71" i="2" s="1"/>
  <c r="W72" i="2" s="1"/>
  <c r="W73" i="2" s="1"/>
  <c r="W74" i="2" s="1"/>
  <c r="W75" i="2" s="1"/>
  <c r="W76" i="2" s="1"/>
  <c r="W77" i="2" s="1"/>
  <c r="W78" i="2" s="1"/>
  <c r="W79" i="2" s="1"/>
  <c r="W80" i="2" s="1"/>
  <c r="W81" i="2" s="1"/>
  <c r="W82" i="2" s="1"/>
  <c r="W83" i="2" s="1"/>
  <c r="W84" i="2" s="1"/>
  <c r="W85" i="2" s="1"/>
  <c r="W86" i="2" s="1"/>
  <c r="W87" i="2" s="1"/>
  <c r="W88" i="2" s="1"/>
  <c r="W89" i="2" s="1"/>
  <c r="W90" i="2" s="1"/>
  <c r="W91" i="2" s="1"/>
  <c r="W92" i="2" s="1"/>
  <c r="W93" i="2" s="1"/>
  <c r="W94" i="2" s="1"/>
  <c r="W95" i="2" s="1"/>
  <c r="W96" i="2" s="1"/>
  <c r="W97" i="2" s="1"/>
  <c r="W98" i="2" s="1"/>
  <c r="W99" i="2" s="1"/>
  <c r="W100" i="2" s="1"/>
  <c r="W101" i="2" s="1"/>
  <c r="W102" i="2" s="1"/>
  <c r="W103" i="2" s="1"/>
  <c r="W104" i="2" s="1"/>
  <c r="W105" i="2" s="1"/>
  <c r="W106" i="2" s="1"/>
  <c r="W107" i="2" s="1"/>
  <c r="W108" i="2" s="1"/>
  <c r="W109" i="2" s="1"/>
  <c r="W110" i="2" s="1"/>
  <c r="W111" i="2" s="1"/>
  <c r="W112" i="2" s="1"/>
  <c r="W113" i="2" s="1"/>
  <c r="W114" i="2" s="1"/>
  <c r="W115" i="2" s="1"/>
  <c r="W116" i="2" s="1"/>
  <c r="W117" i="2" s="1"/>
  <c r="W118" i="2" s="1"/>
  <c r="W119" i="2" s="1"/>
  <c r="W120" i="2" s="1"/>
  <c r="W121" i="2" s="1"/>
  <c r="W122" i="2" s="1"/>
  <c r="W123" i="2" s="1"/>
  <c r="W124" i="2" s="1"/>
  <c r="W125" i="2" s="1"/>
  <c r="W126" i="2" s="1"/>
  <c r="W127" i="2" s="1"/>
  <c r="W128" i="2" s="1"/>
  <c r="W129" i="2" s="1"/>
  <c r="W130" i="2" s="1"/>
  <c r="W131" i="2" s="1"/>
  <c r="W132" i="2" s="1"/>
  <c r="W133" i="2" s="1"/>
  <c r="W134" i="2" s="1"/>
  <c r="W135" i="2" s="1"/>
  <c r="W136" i="2" s="1"/>
  <c r="W137" i="2" s="1"/>
  <c r="W138" i="2" s="1"/>
  <c r="W139" i="2" s="1"/>
  <c r="W140" i="2" s="1"/>
  <c r="W141" i="2" s="1"/>
  <c r="W142" i="2" s="1"/>
  <c r="W143" i="2" s="1"/>
  <c r="W144" i="2" s="1"/>
  <c r="W145" i="2" s="1"/>
  <c r="W146" i="2" s="1"/>
  <c r="W147" i="2" s="1"/>
  <c r="W148" i="2" s="1"/>
  <c r="W149" i="2" s="1"/>
  <c r="W150" i="2" s="1"/>
  <c r="W151" i="2" s="1"/>
  <c r="W152" i="2" s="1"/>
  <c r="W153" i="2" s="1"/>
  <c r="W154" i="2" s="1"/>
  <c r="W155" i="2" s="1"/>
  <c r="W156" i="2" s="1"/>
  <c r="W157" i="2" s="1"/>
  <c r="W158" i="2" s="1"/>
  <c r="W159" i="2" s="1"/>
  <c r="W160" i="2" s="1"/>
  <c r="W161" i="2" s="1"/>
  <c r="W162" i="2" s="1"/>
  <c r="W163" i="2" s="1"/>
  <c r="W164" i="2" s="1"/>
  <c r="W165" i="2" s="1"/>
  <c r="W166" i="2" s="1"/>
  <c r="W167" i="2" s="1"/>
  <c r="W168" i="2" s="1"/>
  <c r="W169" i="2" s="1"/>
  <c r="W170" i="2" s="1"/>
  <c r="W171" i="2" s="1"/>
  <c r="W172" i="2" s="1"/>
  <c r="W173" i="2" s="1"/>
  <c r="W174" i="2" s="1"/>
  <c r="W175" i="2" s="1"/>
  <c r="W176" i="2" s="1"/>
  <c r="W177" i="2" s="1"/>
  <c r="W178" i="2" s="1"/>
  <c r="W179" i="2" s="1"/>
  <c r="W180" i="2" s="1"/>
  <c r="W181" i="2" s="1"/>
  <c r="W182" i="2" s="1"/>
  <c r="W183" i="2" s="1"/>
  <c r="W184" i="2" s="1"/>
  <c r="W185" i="2" s="1"/>
  <c r="W186" i="2" s="1"/>
  <c r="W187" i="2" s="1"/>
  <c r="W188" i="2" s="1"/>
  <c r="W189" i="2" s="1"/>
  <c r="W190" i="2" s="1"/>
  <c r="W191" i="2" s="1"/>
  <c r="W192" i="2" s="1"/>
  <c r="W193" i="2" s="1"/>
  <c r="W194" i="2" s="1"/>
  <c r="W195" i="2" s="1"/>
  <c r="W196" i="2" s="1"/>
  <c r="W197" i="2" s="1"/>
  <c r="W198" i="2" s="1"/>
  <c r="W199" i="2" s="1"/>
  <c r="W200" i="2" s="1"/>
  <c r="W201" i="2" s="1"/>
  <c r="W202" i="2" s="1"/>
  <c r="W203" i="2" s="1"/>
  <c r="W204" i="2" s="1"/>
  <c r="W205" i="2" s="1"/>
  <c r="W206" i="2" s="1"/>
  <c r="W207" i="2" s="1"/>
  <c r="W208" i="2" s="1"/>
  <c r="W209" i="2" s="1"/>
  <c r="W210" i="2" s="1"/>
  <c r="W211" i="2" s="1"/>
  <c r="W212" i="2" s="1"/>
  <c r="W213" i="2" s="1"/>
  <c r="W214" i="2" s="1"/>
  <c r="W215" i="2" s="1"/>
  <c r="W216" i="2" s="1"/>
  <c r="W217" i="2" s="1"/>
  <c r="W218" i="2" s="1"/>
  <c r="W219" i="2" s="1"/>
  <c r="W220" i="2" s="1"/>
  <c r="W221" i="2" s="1"/>
  <c r="W222" i="2" s="1"/>
  <c r="W223" i="2" s="1"/>
  <c r="W224" i="2" s="1"/>
  <c r="W225" i="2" s="1"/>
  <c r="W226" i="2" s="1"/>
  <c r="W227" i="2" s="1"/>
  <c r="W228" i="2" s="1"/>
  <c r="W229" i="2" s="1"/>
  <c r="W230" i="2" s="1"/>
  <c r="W231" i="2" s="1"/>
  <c r="W232" i="2" s="1"/>
  <c r="W233" i="2" s="1"/>
  <c r="W234" i="2" s="1"/>
  <c r="W235" i="2" s="1"/>
  <c r="W236" i="2" s="1"/>
  <c r="W237" i="2" s="1"/>
  <c r="W238" i="2" s="1"/>
  <c r="W239" i="2" s="1"/>
  <c r="W240" i="2" s="1"/>
  <c r="W241" i="2" s="1"/>
  <c r="W242" i="2" s="1"/>
  <c r="W243" i="2" s="1"/>
  <c r="W244" i="2" s="1"/>
  <c r="W245" i="2" s="1"/>
  <c r="W246" i="2" s="1"/>
  <c r="W247" i="2" s="1"/>
  <c r="W248" i="2" s="1"/>
  <c r="W249" i="2" s="1"/>
  <c r="W250" i="2" s="1"/>
  <c r="W251" i="2" s="1"/>
  <c r="W252" i="2" s="1"/>
  <c r="W253" i="2" s="1"/>
  <c r="W254" i="2" s="1"/>
  <c r="W255" i="2" s="1"/>
  <c r="W256" i="2" s="1"/>
  <c r="W257" i="2" s="1"/>
  <c r="W258" i="2" s="1"/>
  <c r="W259" i="2" s="1"/>
  <c r="W260" i="2" s="1"/>
  <c r="W261" i="2" s="1"/>
  <c r="W262" i="2" s="1"/>
  <c r="W263" i="2" s="1"/>
  <c r="W264" i="2" s="1"/>
  <c r="W265" i="2" s="1"/>
  <c r="W266" i="2" s="1"/>
  <c r="W267" i="2" s="1"/>
  <c r="W268" i="2" s="1"/>
  <c r="W269" i="2" s="1"/>
  <c r="W270" i="2" s="1"/>
  <c r="W271" i="2" s="1"/>
  <c r="W272" i="2" s="1"/>
  <c r="W273" i="2" s="1"/>
  <c r="W274" i="2" s="1"/>
  <c r="W275" i="2" s="1"/>
  <c r="W276" i="2" s="1"/>
  <c r="W277" i="2" s="1"/>
  <c r="W278" i="2" s="1"/>
  <c r="W279" i="2" s="1"/>
  <c r="W280" i="2" s="1"/>
  <c r="W281" i="2" s="1"/>
  <c r="W282" i="2" s="1"/>
  <c r="W283" i="2" s="1"/>
  <c r="W284" i="2" s="1"/>
  <c r="W285" i="2" s="1"/>
  <c r="W286" i="2" s="1"/>
  <c r="W287" i="2" s="1"/>
  <c r="W288" i="2" s="1"/>
  <c r="W289" i="2" s="1"/>
  <c r="W290" i="2" s="1"/>
  <c r="W291" i="2" s="1"/>
  <c r="W292" i="2" s="1"/>
  <c r="W293" i="2" s="1"/>
  <c r="W294" i="2" s="1"/>
  <c r="W295" i="2" s="1"/>
  <c r="W296" i="2" s="1"/>
  <c r="W297" i="2" s="1"/>
  <c r="W298" i="2" s="1"/>
  <c r="W299" i="2" s="1"/>
  <c r="W300" i="2" s="1"/>
  <c r="W301" i="2" s="1"/>
  <c r="W302" i="2" s="1"/>
  <c r="W303" i="2" s="1"/>
  <c r="W304" i="2" s="1"/>
  <c r="W305" i="2" s="1"/>
  <c r="W306" i="2" s="1"/>
  <c r="W307" i="2" s="1"/>
  <c r="W308" i="2" s="1"/>
  <c r="W309" i="2" s="1"/>
  <c r="W310" i="2" s="1"/>
  <c r="W311" i="2" s="1"/>
  <c r="W312" i="2" s="1"/>
  <c r="W313" i="2" s="1"/>
  <c r="W314" i="2" s="1"/>
  <c r="W315" i="2" s="1"/>
  <c r="W316" i="2" s="1"/>
  <c r="W317" i="2" s="1"/>
  <c r="W318" i="2" s="1"/>
  <c r="W319" i="2" s="1"/>
  <c r="W320" i="2" s="1"/>
  <c r="W321" i="2" s="1"/>
  <c r="W322" i="2" s="1"/>
  <c r="W323" i="2" s="1"/>
  <c r="W324" i="2" s="1"/>
  <c r="W325" i="2" s="1"/>
  <c r="W326" i="2" s="1"/>
  <c r="W327" i="2" s="1"/>
  <c r="W328" i="2" s="1"/>
  <c r="W329" i="2" s="1"/>
  <c r="W330" i="2" s="1"/>
  <c r="W331" i="2" s="1"/>
  <c r="W332" i="2" s="1"/>
  <c r="W333" i="2" s="1"/>
  <c r="W334" i="2" s="1"/>
  <c r="W335" i="2" s="1"/>
  <c r="W336" i="2" s="1"/>
  <c r="W337" i="2" s="1"/>
  <c r="W338" i="2" s="1"/>
  <c r="W339" i="2" s="1"/>
  <c r="W340" i="2" s="1"/>
  <c r="W341" i="2" s="1"/>
  <c r="W342" i="2" s="1"/>
  <c r="W343" i="2" s="1"/>
  <c r="W344" i="2" s="1"/>
  <c r="W345" i="2" s="1"/>
  <c r="W346" i="2" s="1"/>
  <c r="W347" i="2" s="1"/>
  <c r="W348" i="2" s="1"/>
  <c r="W349" i="2" s="1"/>
  <c r="W350" i="2" s="1"/>
  <c r="W351" i="2" s="1"/>
  <c r="W352" i="2" s="1"/>
  <c r="W353" i="2" s="1"/>
  <c r="W354" i="2" s="1"/>
  <c r="W355" i="2" s="1"/>
  <c r="W356" i="2" s="1"/>
  <c r="W357" i="2" s="1"/>
  <c r="W358" i="2" s="1"/>
  <c r="W359" i="2" s="1"/>
  <c r="W360" i="2" s="1"/>
  <c r="W361" i="2" s="1"/>
  <c r="W362" i="2" s="1"/>
  <c r="W363" i="2" s="1"/>
  <c r="W364" i="2" s="1"/>
  <c r="W365" i="2" s="1"/>
  <c r="W366" i="2" s="1"/>
  <c r="W367" i="2" s="1"/>
  <c r="W368" i="2" s="1"/>
  <c r="W369" i="2" s="1"/>
  <c r="W370" i="2" s="1"/>
  <c r="W371" i="2" s="1"/>
  <c r="W372" i="2" s="1"/>
  <c r="W373" i="2" s="1"/>
  <c r="W374" i="2" s="1"/>
  <c r="W375" i="2" s="1"/>
  <c r="W376" i="2" s="1"/>
  <c r="W377" i="2" s="1"/>
  <c r="W378" i="2" s="1"/>
  <c r="W379" i="2" s="1"/>
  <c r="W380" i="2" s="1"/>
  <c r="W381" i="2" s="1"/>
  <c r="W382" i="2" s="1"/>
  <c r="W383" i="2" s="1"/>
  <c r="W384" i="2" s="1"/>
  <c r="W385" i="2" s="1"/>
  <c r="W386" i="2" s="1"/>
  <c r="W387" i="2" s="1"/>
  <c r="W388" i="2" s="1"/>
  <c r="W389" i="2" s="1"/>
  <c r="W390" i="2" s="1"/>
  <c r="W391" i="2" s="1"/>
  <c r="W392" i="2" s="1"/>
  <c r="W393" i="2" s="1"/>
  <c r="W394" i="2" s="1"/>
  <c r="W395" i="2" s="1"/>
  <c r="W396" i="2" s="1"/>
  <c r="W397" i="2" s="1"/>
  <c r="W398" i="2" s="1"/>
  <c r="W399" i="2" s="1"/>
  <c r="W400" i="2" s="1"/>
  <c r="W401" i="2" s="1"/>
  <c r="W402" i="2" s="1"/>
  <c r="W403" i="2" s="1"/>
  <c r="W404" i="2" s="1"/>
  <c r="W405" i="2" s="1"/>
  <c r="W406" i="2" s="1"/>
  <c r="W407" i="2" s="1"/>
  <c r="W408" i="2" s="1"/>
  <c r="W409" i="2" s="1"/>
  <c r="W410" i="2" s="1"/>
  <c r="W411" i="2" s="1"/>
  <c r="W412" i="2" s="1"/>
  <c r="W413" i="2" s="1"/>
  <c r="W414" i="2" s="1"/>
  <c r="W415" i="2" s="1"/>
  <c r="W416" i="2" s="1"/>
  <c r="W417" i="2" s="1"/>
  <c r="W418" i="2" s="1"/>
  <c r="W419" i="2" s="1"/>
  <c r="W420" i="2" s="1"/>
  <c r="W421" i="2" s="1"/>
  <c r="W422" i="2" s="1"/>
  <c r="W423" i="2" s="1"/>
  <c r="W424" i="2" s="1"/>
  <c r="W425" i="2" s="1"/>
  <c r="W426" i="2" s="1"/>
  <c r="W427" i="2" s="1"/>
  <c r="W428" i="2" s="1"/>
  <c r="W429" i="2" s="1"/>
  <c r="W430" i="2" s="1"/>
  <c r="W431" i="2" s="1"/>
  <c r="W432" i="2" s="1"/>
  <c r="W433" i="2" s="1"/>
  <c r="W434" i="2" s="1"/>
  <c r="W435" i="2" s="1"/>
  <c r="W436" i="2" s="1"/>
  <c r="W437" i="2" s="1"/>
  <c r="W438" i="2" s="1"/>
  <c r="W439" i="2" s="1"/>
  <c r="W440" i="2" s="1"/>
  <c r="W441" i="2" s="1"/>
  <c r="W442" i="2" s="1"/>
  <c r="W443" i="2" s="1"/>
  <c r="W444" i="2" s="1"/>
  <c r="W445" i="2" s="1"/>
  <c r="W446" i="2" s="1"/>
  <c r="W447" i="2" s="1"/>
  <c r="W448" i="2" s="1"/>
  <c r="W449" i="2" s="1"/>
  <c r="W450" i="2" s="1"/>
  <c r="W451" i="2" s="1"/>
  <c r="W452" i="2" s="1"/>
  <c r="W453" i="2" s="1"/>
  <c r="W454" i="2" s="1"/>
  <c r="W455" i="2" s="1"/>
  <c r="W456" i="2" s="1"/>
  <c r="W457" i="2" s="1"/>
  <c r="W458" i="2" s="1"/>
  <c r="W459" i="2" s="1"/>
  <c r="W460" i="2" s="1"/>
  <c r="W461" i="2" s="1"/>
  <c r="W462" i="2" s="1"/>
  <c r="W463" i="2" s="1"/>
  <c r="W464" i="2" s="1"/>
  <c r="W465" i="2" s="1"/>
  <c r="W466" i="2" s="1"/>
  <c r="W467" i="2" s="1"/>
  <c r="W468" i="2" s="1"/>
  <c r="W469" i="2" s="1"/>
  <c r="W470" i="2" s="1"/>
  <c r="W471" i="2" s="1"/>
  <c r="W472" i="2" s="1"/>
  <c r="W473" i="2" s="1"/>
  <c r="W474" i="2" s="1"/>
  <c r="W475" i="2" s="1"/>
  <c r="W476" i="2" s="1"/>
  <c r="W477" i="2" s="1"/>
  <c r="W478" i="2" s="1"/>
  <c r="W479" i="2" s="1"/>
  <c r="W480" i="2" s="1"/>
  <c r="W481" i="2" s="1"/>
  <c r="W482" i="2" s="1"/>
  <c r="W483" i="2" s="1"/>
  <c r="W484" i="2" s="1"/>
  <c r="W485" i="2" s="1"/>
  <c r="W486" i="2" s="1"/>
  <c r="W487" i="2" s="1"/>
  <c r="W488" i="2" s="1"/>
  <c r="W489" i="2" s="1"/>
  <c r="W490" i="2" s="1"/>
  <c r="W491" i="2" s="1"/>
  <c r="W492" i="2" s="1"/>
  <c r="W493" i="2" s="1"/>
  <c r="W494" i="2" s="1"/>
  <c r="W495" i="2" s="1"/>
  <c r="W496" i="2" s="1"/>
  <c r="W497" i="2" s="1"/>
  <c r="W498" i="2" s="1"/>
  <c r="W499" i="2" s="1"/>
  <c r="W500" i="2" s="1"/>
  <c r="W501" i="2" s="1"/>
  <c r="W502" i="2" s="1"/>
  <c r="W503" i="2" s="1"/>
  <c r="W504" i="2" s="1"/>
  <c r="W505" i="2" s="1"/>
  <c r="W506" i="2" s="1"/>
  <c r="W507" i="2" s="1"/>
  <c r="W508" i="2" s="1"/>
  <c r="W509" i="2" s="1"/>
  <c r="W510" i="2" s="1"/>
  <c r="W511" i="2" s="1"/>
  <c r="W512" i="2" s="1"/>
  <c r="W513" i="2" s="1"/>
  <c r="W514" i="2" s="1"/>
  <c r="W515" i="2" s="1"/>
  <c r="W516" i="2" s="1"/>
  <c r="W517" i="2" s="1"/>
  <c r="W518" i="2" s="1"/>
  <c r="W519" i="2" s="1"/>
  <c r="W520" i="2" s="1"/>
  <c r="W521" i="2" s="1"/>
  <c r="W522" i="2" s="1"/>
  <c r="W523" i="2" s="1"/>
  <c r="W524" i="2" s="1"/>
  <c r="W525" i="2" s="1"/>
  <c r="W526" i="2" s="1"/>
  <c r="W527" i="2" s="1"/>
  <c r="W528" i="2" s="1"/>
  <c r="W529" i="2" s="1"/>
  <c r="W530" i="2" s="1"/>
  <c r="W531" i="2" s="1"/>
  <c r="W532" i="2" s="1"/>
  <c r="W533" i="2" s="1"/>
  <c r="W534" i="2" s="1"/>
  <c r="W535" i="2" s="1"/>
  <c r="W536" i="2" s="1"/>
  <c r="W537" i="2" s="1"/>
  <c r="W538" i="2" s="1"/>
  <c r="W539" i="2" s="1"/>
  <c r="W540" i="2" s="1"/>
  <c r="W541" i="2" s="1"/>
  <c r="W542" i="2" s="1"/>
  <c r="W543" i="2" s="1"/>
  <c r="W544" i="2" s="1"/>
  <c r="W545" i="2" s="1"/>
  <c r="W546" i="2" s="1"/>
  <c r="W547" i="2" s="1"/>
  <c r="W548" i="2" s="1"/>
  <c r="W549" i="2" s="1"/>
  <c r="W550" i="2" s="1"/>
  <c r="W551" i="2" s="1"/>
  <c r="W552" i="2" s="1"/>
  <c r="W553" i="2" s="1"/>
  <c r="W554" i="2" s="1"/>
  <c r="W555" i="2" s="1"/>
  <c r="W556" i="2" s="1"/>
  <c r="W557" i="2" s="1"/>
  <c r="W558" i="2" s="1"/>
  <c r="W559" i="2" s="1"/>
  <c r="W560" i="2" s="1"/>
  <c r="W561" i="2" s="1"/>
  <c r="W562" i="2" s="1"/>
  <c r="W563" i="2" s="1"/>
  <c r="W564" i="2" s="1"/>
  <c r="W565" i="2" s="1"/>
  <c r="W566" i="2" s="1"/>
  <c r="W567" i="2" s="1"/>
  <c r="W568" i="2" s="1"/>
  <c r="W569" i="2" s="1"/>
  <c r="W570" i="2" s="1"/>
  <c r="W571" i="2" s="1"/>
  <c r="W572" i="2" s="1"/>
  <c r="W573" i="2" s="1"/>
  <c r="W574" i="2" s="1"/>
  <c r="W575" i="2" s="1"/>
  <c r="W576" i="2" s="1"/>
  <c r="W577" i="2" s="1"/>
  <c r="W578" i="2" s="1"/>
  <c r="W579" i="2" s="1"/>
  <c r="W580" i="2" s="1"/>
  <c r="W581" i="2" s="1"/>
  <c r="W582" i="2" s="1"/>
  <c r="W583" i="2" s="1"/>
  <c r="W584" i="2" s="1"/>
  <c r="W585" i="2" s="1"/>
  <c r="W586" i="2" s="1"/>
  <c r="W587" i="2" s="1"/>
  <c r="W588" i="2" s="1"/>
  <c r="W589" i="2" s="1"/>
  <c r="W590" i="2" s="1"/>
  <c r="W591" i="2" s="1"/>
  <c r="W592" i="2" s="1"/>
  <c r="W593" i="2" s="1"/>
  <c r="W594" i="2" s="1"/>
  <c r="W595" i="2" s="1"/>
  <c r="W596" i="2" s="1"/>
  <c r="W597" i="2" s="1"/>
  <c r="W598" i="2" s="1"/>
  <c r="W599" i="2" s="1"/>
  <c r="W600" i="2" s="1"/>
  <c r="W601" i="2" s="1"/>
  <c r="W602" i="2" s="1"/>
  <c r="W603" i="2" s="1"/>
  <c r="W604" i="2" s="1"/>
  <c r="W605" i="2" s="1"/>
  <c r="W606" i="2" s="1"/>
  <c r="W607" i="2" s="1"/>
  <c r="W608" i="2" s="1"/>
  <c r="W609" i="2" s="1"/>
  <c r="W610" i="2" s="1"/>
  <c r="W611" i="2" s="1"/>
  <c r="W612" i="2" s="1"/>
  <c r="W613" i="2" s="1"/>
  <c r="W614" i="2" s="1"/>
  <c r="W615" i="2" s="1"/>
  <c r="W616" i="2" s="1"/>
  <c r="W617" i="2" s="1"/>
  <c r="W618" i="2" s="1"/>
  <c r="W619" i="2" s="1"/>
  <c r="W620" i="2" s="1"/>
  <c r="W621" i="2" s="1"/>
  <c r="W622" i="2" s="1"/>
  <c r="W623" i="2" s="1"/>
  <c r="W624" i="2" s="1"/>
  <c r="W625" i="2" s="1"/>
  <c r="W626" i="2" s="1"/>
  <c r="W627" i="2" s="1"/>
  <c r="W628" i="2" s="1"/>
  <c r="W629" i="2" s="1"/>
  <c r="W630" i="2" s="1"/>
  <c r="W631" i="2" s="1"/>
  <c r="W632" i="2" s="1"/>
  <c r="W633" i="2" s="1"/>
  <c r="W634" i="2" s="1"/>
  <c r="W635" i="2" s="1"/>
  <c r="W636" i="2" s="1"/>
  <c r="W637" i="2" s="1"/>
  <c r="W638" i="2" s="1"/>
  <c r="W639" i="2" s="1"/>
  <c r="W640" i="2" s="1"/>
  <c r="W641" i="2" s="1"/>
  <c r="W642" i="2" s="1"/>
  <c r="W643" i="2" s="1"/>
  <c r="W644" i="2" s="1"/>
  <c r="W645" i="2" s="1"/>
  <c r="W646" i="2" s="1"/>
  <c r="W647" i="2" s="1"/>
  <c r="W648" i="2" s="1"/>
  <c r="W649" i="2" s="1"/>
  <c r="W650" i="2" s="1"/>
  <c r="W651" i="2" s="1"/>
  <c r="W652" i="2" s="1"/>
  <c r="W653" i="2" s="1"/>
  <c r="W654" i="2" s="1"/>
  <c r="W655" i="2" s="1"/>
  <c r="W656" i="2" s="1"/>
  <c r="W657" i="2" s="1"/>
  <c r="W658" i="2" s="1"/>
  <c r="W659" i="2" s="1"/>
  <c r="W660" i="2" s="1"/>
  <c r="W661" i="2" s="1"/>
  <c r="W662" i="2" s="1"/>
  <c r="W663" i="2" s="1"/>
  <c r="W664" i="2" s="1"/>
  <c r="W665" i="2" s="1"/>
  <c r="W666" i="2" s="1"/>
  <c r="W667" i="2" s="1"/>
  <c r="W668" i="2" s="1"/>
  <c r="W669" i="2" s="1"/>
  <c r="W670" i="2" s="1"/>
  <c r="W671" i="2" s="1"/>
  <c r="W672" i="2" s="1"/>
  <c r="W673" i="2" s="1"/>
  <c r="W674" i="2" s="1"/>
  <c r="W675" i="2" s="1"/>
  <c r="W676" i="2" s="1"/>
  <c r="W677" i="2" s="1"/>
  <c r="W678" i="2" s="1"/>
  <c r="W679" i="2" s="1"/>
  <c r="W680" i="2" s="1"/>
  <c r="W681" i="2" s="1"/>
  <c r="W682" i="2" s="1"/>
  <c r="W683" i="2" s="1"/>
  <c r="W684" i="2" s="1"/>
  <c r="W685" i="2" s="1"/>
  <c r="W686" i="2" s="1"/>
  <c r="W687" i="2" s="1"/>
  <c r="W688" i="2" s="1"/>
  <c r="W689" i="2" s="1"/>
  <c r="W690" i="2" s="1"/>
  <c r="W691" i="2" s="1"/>
  <c r="W692" i="2" s="1"/>
  <c r="W693" i="2" s="1"/>
  <c r="W694" i="2" s="1"/>
  <c r="W695" i="2" s="1"/>
  <c r="W696" i="2" s="1"/>
  <c r="W697" i="2" s="1"/>
  <c r="W698" i="2" s="1"/>
  <c r="W699" i="2" s="1"/>
  <c r="W700" i="2" s="1"/>
  <c r="W701" i="2" s="1"/>
  <c r="W702" i="2" s="1"/>
  <c r="W703" i="2" s="1"/>
  <c r="W704" i="2" s="1"/>
  <c r="W705" i="2" s="1"/>
  <c r="W706" i="2" s="1"/>
  <c r="W707" i="2" s="1"/>
  <c r="W708" i="2" s="1"/>
  <c r="W709" i="2" s="1"/>
  <c r="W710" i="2" s="1"/>
  <c r="W711" i="2" s="1"/>
  <c r="W712" i="2" s="1"/>
  <c r="W713" i="2" s="1"/>
  <c r="W714" i="2" s="1"/>
  <c r="W715" i="2" s="1"/>
  <c r="W716" i="2" s="1"/>
  <c r="W717" i="2" s="1"/>
  <c r="W718" i="2" s="1"/>
  <c r="W719" i="2" s="1"/>
  <c r="W720" i="2" s="1"/>
  <c r="W721" i="2" s="1"/>
  <c r="W722" i="2" s="1"/>
  <c r="W723" i="2" s="1"/>
  <c r="W724" i="2" s="1"/>
  <c r="W725" i="2" s="1"/>
  <c r="W726" i="2" s="1"/>
  <c r="W727" i="2" s="1"/>
  <c r="W728" i="2" s="1"/>
  <c r="W729" i="2" s="1"/>
  <c r="W730" i="2" s="1"/>
  <c r="W731" i="2" s="1"/>
  <c r="W732" i="2" s="1"/>
  <c r="W733" i="2" s="1"/>
  <c r="W734" i="2" s="1"/>
  <c r="W735" i="2" s="1"/>
  <c r="W736" i="2" s="1"/>
  <c r="W737" i="2" s="1"/>
  <c r="W738" i="2" s="1"/>
  <c r="W739" i="2" s="1"/>
  <c r="W740" i="2" s="1"/>
  <c r="W741" i="2" s="1"/>
  <c r="W742" i="2" s="1"/>
  <c r="W743" i="2" s="1"/>
  <c r="W744" i="2" s="1"/>
  <c r="W745" i="2" s="1"/>
  <c r="W746" i="2" s="1"/>
  <c r="W747" i="2" s="1"/>
  <c r="W748" i="2" s="1"/>
  <c r="W749" i="2" s="1"/>
  <c r="W750" i="2" s="1"/>
  <c r="W751" i="2" s="1"/>
  <c r="W752" i="2" s="1"/>
  <c r="W753" i="2" s="1"/>
  <c r="W754" i="2" s="1"/>
  <c r="W755" i="2" s="1"/>
  <c r="W756" i="2" s="1"/>
  <c r="W757" i="2" s="1"/>
  <c r="W758" i="2" s="1"/>
  <c r="W759" i="2" s="1"/>
  <c r="W760" i="2" s="1"/>
  <c r="W761" i="2" s="1"/>
  <c r="W762" i="2" s="1"/>
  <c r="W763" i="2" s="1"/>
  <c r="W764" i="2" s="1"/>
  <c r="W765" i="2" s="1"/>
  <c r="W766" i="2" s="1"/>
  <c r="W767" i="2" s="1"/>
  <c r="W768" i="2" s="1"/>
  <c r="W769" i="2" s="1"/>
  <c r="W770" i="2" s="1"/>
  <c r="W771" i="2" s="1"/>
  <c r="W772" i="2" s="1"/>
  <c r="W773" i="2" s="1"/>
  <c r="W774" i="2" s="1"/>
  <c r="W775" i="2" s="1"/>
  <c r="W776" i="2" s="1"/>
  <c r="B15" i="2"/>
  <c r="C15" i="2"/>
  <c r="C16" i="2" s="1"/>
  <c r="D15" i="2"/>
  <c r="K15" i="2"/>
  <c r="L15" i="2"/>
  <c r="M15" i="2"/>
  <c r="J15" i="2" s="1"/>
  <c r="N15" i="2"/>
  <c r="N16" i="2" s="1"/>
  <c r="N17" i="2" s="1"/>
  <c r="O15" i="2"/>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P15" i="2"/>
  <c r="P16" i="2" s="1"/>
  <c r="D16" i="2"/>
  <c r="D17" i="2" s="1"/>
  <c r="L16" i="2"/>
  <c r="N18" i="2"/>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AB43" i="2"/>
  <c r="AB47" i="2" s="1"/>
  <c r="AB355" i="2"/>
  <c r="AB360" i="2" s="1"/>
  <c r="AB364" i="2" s="1"/>
  <c r="AB369" i="2" s="1"/>
  <c r="A507" i="2"/>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D544" i="2"/>
  <c r="D546" i="2"/>
  <c r="D547" i="2" s="1"/>
  <c r="G15" i="2" l="1"/>
  <c r="V15" i="2"/>
  <c r="T15" i="2" s="1"/>
  <c r="O720" i="2"/>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I15" i="2"/>
  <c r="F15" i="2" s="1"/>
  <c r="M16" i="2"/>
  <c r="M17" i="2" s="1"/>
  <c r="N775" i="2"/>
  <c r="N776" i="2" s="1"/>
  <c r="D548" i="2"/>
  <c r="H15" i="2"/>
  <c r="E15" i="2" s="1"/>
  <c r="K16" i="2"/>
  <c r="M18" i="2"/>
  <c r="I16" i="2"/>
  <c r="F16" i="2" s="1"/>
  <c r="L17" i="2"/>
  <c r="P17" i="2"/>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P132" i="2" s="1"/>
  <c r="P133" i="2" s="1"/>
  <c r="P134" i="2" s="1"/>
  <c r="P135" i="2" s="1"/>
  <c r="P136" i="2" s="1"/>
  <c r="P137" i="2" s="1"/>
  <c r="P138" i="2" s="1"/>
  <c r="P139" i="2" s="1"/>
  <c r="P140" i="2" s="1"/>
  <c r="P141" i="2" s="1"/>
  <c r="P142" i="2" s="1"/>
  <c r="P143" i="2" s="1"/>
  <c r="P144" i="2" s="1"/>
  <c r="P145" i="2" s="1"/>
  <c r="P146" i="2" s="1"/>
  <c r="P147" i="2" s="1"/>
  <c r="P148" i="2" s="1"/>
  <c r="P149" i="2" s="1"/>
  <c r="P150" i="2" s="1"/>
  <c r="P151" i="2" s="1"/>
  <c r="P152" i="2" s="1"/>
  <c r="P153" i="2" s="1"/>
  <c r="P154" i="2" s="1"/>
  <c r="P155" i="2" s="1"/>
  <c r="P156" i="2" s="1"/>
  <c r="P157" i="2" s="1"/>
  <c r="P158" i="2" s="1"/>
  <c r="P159" i="2" s="1"/>
  <c r="P160" i="2" s="1"/>
  <c r="P161" i="2" s="1"/>
  <c r="P162" i="2" s="1"/>
  <c r="P163" i="2" s="1"/>
  <c r="P164" i="2" s="1"/>
  <c r="P165" i="2" s="1"/>
  <c r="P166" i="2" s="1"/>
  <c r="P167" i="2" s="1"/>
  <c r="P168" i="2" s="1"/>
  <c r="P169" i="2" s="1"/>
  <c r="P170" i="2" s="1"/>
  <c r="P171" i="2" s="1"/>
  <c r="P172" i="2" s="1"/>
  <c r="P173" i="2" s="1"/>
  <c r="P174" i="2" s="1"/>
  <c r="P175" i="2" s="1"/>
  <c r="P176" i="2" s="1"/>
  <c r="P177" i="2" s="1"/>
  <c r="P178" i="2" s="1"/>
  <c r="P179" i="2" s="1"/>
  <c r="P180" i="2" s="1"/>
  <c r="P181" i="2" s="1"/>
  <c r="P182" i="2" s="1"/>
  <c r="P183" i="2" s="1"/>
  <c r="P184" i="2" s="1"/>
  <c r="P185" i="2" s="1"/>
  <c r="P186" i="2" s="1"/>
  <c r="P187" i="2" s="1"/>
  <c r="P188" i="2" s="1"/>
  <c r="P189" i="2" s="1"/>
  <c r="P190" i="2" s="1"/>
  <c r="P191" i="2" s="1"/>
  <c r="P192" i="2" s="1"/>
  <c r="P193" i="2" s="1"/>
  <c r="P194" i="2" s="1"/>
  <c r="P195" i="2" s="1"/>
  <c r="P196" i="2" s="1"/>
  <c r="P197" i="2" s="1"/>
  <c r="P198" i="2" s="1"/>
  <c r="P199" i="2" s="1"/>
  <c r="P200" i="2" s="1"/>
  <c r="P201" i="2" s="1"/>
  <c r="P202" i="2" s="1"/>
  <c r="P203" i="2" s="1"/>
  <c r="P204" i="2" s="1"/>
  <c r="P205" i="2" s="1"/>
  <c r="P206" i="2" s="1"/>
  <c r="P207" i="2" s="1"/>
  <c r="P208" i="2" s="1"/>
  <c r="P209" i="2" s="1"/>
  <c r="P210" i="2" s="1"/>
  <c r="P211" i="2" s="1"/>
  <c r="P212" i="2" s="1"/>
  <c r="P213" i="2" s="1"/>
  <c r="P214" i="2" s="1"/>
  <c r="P215" i="2" s="1"/>
  <c r="P216" i="2" s="1"/>
  <c r="P217" i="2" s="1"/>
  <c r="P218" i="2" s="1"/>
  <c r="P219" i="2" s="1"/>
  <c r="P220" i="2" s="1"/>
  <c r="P221" i="2" s="1"/>
  <c r="P222" i="2" s="1"/>
  <c r="P223" i="2" s="1"/>
  <c r="P224" i="2" s="1"/>
  <c r="P225" i="2" s="1"/>
  <c r="P226" i="2" s="1"/>
  <c r="P227" i="2" s="1"/>
  <c r="P228" i="2" s="1"/>
  <c r="P229" i="2" s="1"/>
  <c r="P230" i="2" s="1"/>
  <c r="P231" i="2" s="1"/>
  <c r="P232" i="2" s="1"/>
  <c r="P233" i="2" s="1"/>
  <c r="P234" i="2" s="1"/>
  <c r="P235" i="2" s="1"/>
  <c r="P236" i="2" s="1"/>
  <c r="P237" i="2" s="1"/>
  <c r="P238" i="2" s="1"/>
  <c r="P239" i="2" s="1"/>
  <c r="P240" i="2" s="1"/>
  <c r="P241" i="2" s="1"/>
  <c r="P242" i="2" s="1"/>
  <c r="P243" i="2" s="1"/>
  <c r="P244" i="2" s="1"/>
  <c r="P245" i="2" s="1"/>
  <c r="P246" i="2" s="1"/>
  <c r="P247" i="2" s="1"/>
  <c r="P248" i="2" s="1"/>
  <c r="P249" i="2" s="1"/>
  <c r="P250" i="2" s="1"/>
  <c r="P251" i="2" s="1"/>
  <c r="P252" i="2" s="1"/>
  <c r="P253" i="2" s="1"/>
  <c r="P254" i="2" s="1"/>
  <c r="P255" i="2" s="1"/>
  <c r="P256" i="2" s="1"/>
  <c r="P257" i="2" s="1"/>
  <c r="P258" i="2" s="1"/>
  <c r="P259" i="2" s="1"/>
  <c r="P260" i="2" s="1"/>
  <c r="P261" i="2" s="1"/>
  <c r="P262" i="2" s="1"/>
  <c r="P263" i="2" s="1"/>
  <c r="P264" i="2" s="1"/>
  <c r="P265" i="2" s="1"/>
  <c r="P266" i="2" s="1"/>
  <c r="P267" i="2" s="1"/>
  <c r="P268" i="2" s="1"/>
  <c r="P269" i="2" s="1"/>
  <c r="P270" i="2" s="1"/>
  <c r="P271" i="2" s="1"/>
  <c r="P272" i="2" s="1"/>
  <c r="P273" i="2" s="1"/>
  <c r="P274" i="2" s="1"/>
  <c r="P275" i="2" s="1"/>
  <c r="P276" i="2" s="1"/>
  <c r="P277" i="2" s="1"/>
  <c r="P278" i="2" s="1"/>
  <c r="P279" i="2" s="1"/>
  <c r="P280" i="2" s="1"/>
  <c r="P281" i="2" s="1"/>
  <c r="P282" i="2" s="1"/>
  <c r="P283" i="2" s="1"/>
  <c r="P284" i="2" s="1"/>
  <c r="P285" i="2" s="1"/>
  <c r="P286" i="2" s="1"/>
  <c r="P287" i="2" s="1"/>
  <c r="P288" i="2" s="1"/>
  <c r="P289" i="2" s="1"/>
  <c r="P290" i="2" s="1"/>
  <c r="P291" i="2" s="1"/>
  <c r="P292" i="2" s="1"/>
  <c r="P293" i="2" s="1"/>
  <c r="P294" i="2" s="1"/>
  <c r="P295" i="2" s="1"/>
  <c r="P296" i="2" s="1"/>
  <c r="P297" i="2" s="1"/>
  <c r="P298" i="2" s="1"/>
  <c r="P299" i="2" s="1"/>
  <c r="P300" i="2" s="1"/>
  <c r="P301" i="2" s="1"/>
  <c r="P302" i="2" s="1"/>
  <c r="P303" i="2" s="1"/>
  <c r="P304" i="2" s="1"/>
  <c r="P305" i="2" s="1"/>
  <c r="P306" i="2" s="1"/>
  <c r="P307" i="2" s="1"/>
  <c r="P308" i="2" s="1"/>
  <c r="P309" i="2" s="1"/>
  <c r="P310" i="2" s="1"/>
  <c r="P311" i="2" s="1"/>
  <c r="P312" i="2" s="1"/>
  <c r="P313" i="2" s="1"/>
  <c r="P314" i="2" s="1"/>
  <c r="P315" i="2" s="1"/>
  <c r="P316" i="2" s="1"/>
  <c r="P317" i="2" s="1"/>
  <c r="P318" i="2" s="1"/>
  <c r="P319" i="2" s="1"/>
  <c r="P320" i="2" s="1"/>
  <c r="P321" i="2" s="1"/>
  <c r="P322" i="2" s="1"/>
  <c r="P323" i="2" s="1"/>
  <c r="P324" i="2" s="1"/>
  <c r="P325" i="2" s="1"/>
  <c r="P326" i="2" s="1"/>
  <c r="P327" i="2" s="1"/>
  <c r="P328" i="2" s="1"/>
  <c r="P329" i="2" s="1"/>
  <c r="P330" i="2" s="1"/>
  <c r="P331" i="2" s="1"/>
  <c r="P332" i="2" s="1"/>
  <c r="P333" i="2" s="1"/>
  <c r="P334" i="2" s="1"/>
  <c r="P335" i="2" s="1"/>
  <c r="P336" i="2" s="1"/>
  <c r="P337" i="2" s="1"/>
  <c r="P338" i="2" s="1"/>
  <c r="P339" i="2" s="1"/>
  <c r="P340" i="2" s="1"/>
  <c r="P341" i="2" s="1"/>
  <c r="P342" i="2" s="1"/>
  <c r="P343" i="2" s="1"/>
  <c r="P344" i="2" s="1"/>
  <c r="P345" i="2" s="1"/>
  <c r="P346" i="2" s="1"/>
  <c r="P347" i="2" s="1"/>
  <c r="P348" i="2" s="1"/>
  <c r="P349" i="2" s="1"/>
  <c r="P350" i="2" s="1"/>
  <c r="P351" i="2" s="1"/>
  <c r="P352" i="2" s="1"/>
  <c r="P353" i="2" s="1"/>
  <c r="P354" i="2" s="1"/>
  <c r="P355" i="2" s="1"/>
  <c r="P356" i="2" s="1"/>
  <c r="P357" i="2" s="1"/>
  <c r="P358" i="2" s="1"/>
  <c r="P359" i="2" s="1"/>
  <c r="P360" i="2" s="1"/>
  <c r="P361" i="2" s="1"/>
  <c r="P362" i="2" s="1"/>
  <c r="P363" i="2" s="1"/>
  <c r="P364" i="2" s="1"/>
  <c r="P365" i="2" s="1"/>
  <c r="P366" i="2" s="1"/>
  <c r="P367" i="2" s="1"/>
  <c r="P368" i="2" s="1"/>
  <c r="P369" i="2" s="1"/>
  <c r="P370" i="2" s="1"/>
  <c r="P371" i="2" s="1"/>
  <c r="P372" i="2" s="1"/>
  <c r="P373" i="2" s="1"/>
  <c r="P374" i="2" s="1"/>
  <c r="P375" i="2" s="1"/>
  <c r="P376" i="2" s="1"/>
  <c r="P377" i="2" s="1"/>
  <c r="P378" i="2" s="1"/>
  <c r="P379" i="2" s="1"/>
  <c r="P380" i="2" s="1"/>
  <c r="P381" i="2" s="1"/>
  <c r="P382" i="2" s="1"/>
  <c r="P383" i="2" s="1"/>
  <c r="P384" i="2" s="1"/>
  <c r="P385" i="2" s="1"/>
  <c r="P386" i="2" s="1"/>
  <c r="P387" i="2" s="1"/>
  <c r="P388" i="2" s="1"/>
  <c r="P389" i="2" s="1"/>
  <c r="P390" i="2" s="1"/>
  <c r="P391" i="2" s="1"/>
  <c r="P392" i="2" s="1"/>
  <c r="P393" i="2" s="1"/>
  <c r="P394" i="2" s="1"/>
  <c r="P395" i="2" s="1"/>
  <c r="P396" i="2" s="1"/>
  <c r="P397" i="2" s="1"/>
  <c r="P398" i="2" s="1"/>
  <c r="P399" i="2" s="1"/>
  <c r="P400" i="2" s="1"/>
  <c r="P401" i="2" s="1"/>
  <c r="P402" i="2" s="1"/>
  <c r="P403" i="2" s="1"/>
  <c r="P404" i="2" s="1"/>
  <c r="P405" i="2" s="1"/>
  <c r="P406" i="2" s="1"/>
  <c r="P407" i="2" s="1"/>
  <c r="P408" i="2" s="1"/>
  <c r="P409" i="2" s="1"/>
  <c r="P410" i="2" s="1"/>
  <c r="P411" i="2" s="1"/>
  <c r="P412" i="2" s="1"/>
  <c r="P413" i="2" s="1"/>
  <c r="P414" i="2" s="1"/>
  <c r="P415" i="2" s="1"/>
  <c r="P416" i="2" s="1"/>
  <c r="P417" i="2" s="1"/>
  <c r="P418" i="2" s="1"/>
  <c r="P419" i="2" s="1"/>
  <c r="P420" i="2" s="1"/>
  <c r="P421" i="2" s="1"/>
  <c r="P422" i="2" s="1"/>
  <c r="P423" i="2" s="1"/>
  <c r="P424" i="2" s="1"/>
  <c r="P425" i="2" s="1"/>
  <c r="P426" i="2" s="1"/>
  <c r="P427" i="2" s="1"/>
  <c r="P428" i="2" s="1"/>
  <c r="P429" i="2" s="1"/>
  <c r="P430" i="2" s="1"/>
  <c r="P431" i="2" s="1"/>
  <c r="P432" i="2" s="1"/>
  <c r="P433" i="2" s="1"/>
  <c r="P434" i="2" s="1"/>
  <c r="P435" i="2" s="1"/>
  <c r="P436" i="2" s="1"/>
  <c r="P437" i="2" s="1"/>
  <c r="P438" i="2" s="1"/>
  <c r="P439" i="2" s="1"/>
  <c r="P440" i="2" s="1"/>
  <c r="P441" i="2" s="1"/>
  <c r="P442" i="2" s="1"/>
  <c r="P443" i="2" s="1"/>
  <c r="P444" i="2" s="1"/>
  <c r="P445" i="2" s="1"/>
  <c r="P446" i="2" s="1"/>
  <c r="P447" i="2" s="1"/>
  <c r="P448" i="2" s="1"/>
  <c r="P449" i="2" s="1"/>
  <c r="P450" i="2" s="1"/>
  <c r="P451" i="2" s="1"/>
  <c r="P452" i="2" s="1"/>
  <c r="P453" i="2" s="1"/>
  <c r="P454" i="2" s="1"/>
  <c r="P455" i="2" s="1"/>
  <c r="P456" i="2" s="1"/>
  <c r="P457" i="2" s="1"/>
  <c r="P458" i="2" s="1"/>
  <c r="P459" i="2" s="1"/>
  <c r="P460" i="2" s="1"/>
  <c r="P461" i="2" s="1"/>
  <c r="P462" i="2" s="1"/>
  <c r="P463" i="2" s="1"/>
  <c r="P464" i="2" s="1"/>
  <c r="P465" i="2" s="1"/>
  <c r="P466" i="2" s="1"/>
  <c r="P467" i="2" s="1"/>
  <c r="P468" i="2" s="1"/>
  <c r="P469" i="2" s="1"/>
  <c r="P470" i="2" s="1"/>
  <c r="P471" i="2" s="1"/>
  <c r="P472" i="2" s="1"/>
  <c r="P473" i="2" s="1"/>
  <c r="P474" i="2" s="1"/>
  <c r="P475" i="2" s="1"/>
  <c r="P476" i="2" s="1"/>
  <c r="P477" i="2" s="1"/>
  <c r="P478" i="2" s="1"/>
  <c r="P479" i="2" s="1"/>
  <c r="P480" i="2" s="1"/>
  <c r="P481" i="2" s="1"/>
  <c r="P482" i="2" s="1"/>
  <c r="P483" i="2" s="1"/>
  <c r="P484" i="2" s="1"/>
  <c r="P485" i="2" s="1"/>
  <c r="P486" i="2" s="1"/>
  <c r="P487" i="2" s="1"/>
  <c r="P488" i="2" s="1"/>
  <c r="P489" i="2" s="1"/>
  <c r="P490" i="2" s="1"/>
  <c r="P491" i="2" s="1"/>
  <c r="P492" i="2" s="1"/>
  <c r="P493" i="2" s="1"/>
  <c r="P494" i="2" s="1"/>
  <c r="P495" i="2" s="1"/>
  <c r="P496" i="2" s="1"/>
  <c r="P497" i="2" s="1"/>
  <c r="P498" i="2" s="1"/>
  <c r="P499" i="2" s="1"/>
  <c r="P500" i="2" s="1"/>
  <c r="P501" i="2" s="1"/>
  <c r="P502" i="2" s="1"/>
  <c r="P503" i="2" s="1"/>
  <c r="P504" i="2" s="1"/>
  <c r="P505" i="2" s="1"/>
  <c r="P506" i="2" s="1"/>
  <c r="P507" i="2" s="1"/>
  <c r="P508" i="2" s="1"/>
  <c r="P509" i="2" s="1"/>
  <c r="P510" i="2" s="1"/>
  <c r="P511" i="2" s="1"/>
  <c r="P512" i="2" s="1"/>
  <c r="P513" i="2" s="1"/>
  <c r="P514" i="2" s="1"/>
  <c r="P515" i="2" s="1"/>
  <c r="P516" i="2" s="1"/>
  <c r="P517" i="2" s="1"/>
  <c r="P518" i="2" s="1"/>
  <c r="P519" i="2" s="1"/>
  <c r="P520" i="2" s="1"/>
  <c r="P521" i="2" s="1"/>
  <c r="P522" i="2" s="1"/>
  <c r="P523" i="2" s="1"/>
  <c r="P524" i="2" s="1"/>
  <c r="P525" i="2" s="1"/>
  <c r="P526" i="2" s="1"/>
  <c r="P527" i="2" s="1"/>
  <c r="P528" i="2" s="1"/>
  <c r="P529" i="2" s="1"/>
  <c r="P530" i="2" s="1"/>
  <c r="P531" i="2" s="1"/>
  <c r="P532" i="2" s="1"/>
  <c r="P533" i="2" s="1"/>
  <c r="P534" i="2" s="1"/>
  <c r="P535" i="2" s="1"/>
  <c r="P536" i="2" s="1"/>
  <c r="P537" i="2" s="1"/>
  <c r="P538" i="2" s="1"/>
  <c r="P539" i="2" s="1"/>
  <c r="P540" i="2" s="1"/>
  <c r="P541" i="2" s="1"/>
  <c r="P542" i="2" s="1"/>
  <c r="P543" i="2" s="1"/>
  <c r="P544" i="2" s="1"/>
  <c r="P545" i="2" s="1"/>
  <c r="P546" i="2" s="1"/>
  <c r="P547" i="2" s="1"/>
  <c r="P548" i="2" s="1"/>
  <c r="P549" i="2" s="1"/>
  <c r="P550" i="2" s="1"/>
  <c r="P551" i="2" s="1"/>
  <c r="P552" i="2" s="1"/>
  <c r="P553" i="2" s="1"/>
  <c r="P554" i="2" s="1"/>
  <c r="P555" i="2" s="1"/>
  <c r="P556" i="2" s="1"/>
  <c r="P557" i="2" s="1"/>
  <c r="P558" i="2" s="1"/>
  <c r="P559" i="2" s="1"/>
  <c r="P560" i="2" s="1"/>
  <c r="P561" i="2" s="1"/>
  <c r="P562" i="2" s="1"/>
  <c r="P563" i="2" s="1"/>
  <c r="P564" i="2" s="1"/>
  <c r="P565" i="2" s="1"/>
  <c r="P566" i="2" s="1"/>
  <c r="P567" i="2" s="1"/>
  <c r="P568" i="2" s="1"/>
  <c r="P569" i="2" s="1"/>
  <c r="P570" i="2" s="1"/>
  <c r="P571" i="2" s="1"/>
  <c r="P572" i="2" s="1"/>
  <c r="P573" i="2" s="1"/>
  <c r="P574" i="2" s="1"/>
  <c r="P575" i="2" s="1"/>
  <c r="P576" i="2" s="1"/>
  <c r="P577" i="2" s="1"/>
  <c r="P578" i="2" s="1"/>
  <c r="P579" i="2" s="1"/>
  <c r="P580" i="2" s="1"/>
  <c r="P581" i="2" s="1"/>
  <c r="P582" i="2" s="1"/>
  <c r="P583" i="2" s="1"/>
  <c r="P584" i="2" s="1"/>
  <c r="P585" i="2" s="1"/>
  <c r="P586" i="2" s="1"/>
  <c r="P587" i="2" s="1"/>
  <c r="P588" i="2" s="1"/>
  <c r="P589" i="2" s="1"/>
  <c r="P590" i="2" s="1"/>
  <c r="P591" i="2" s="1"/>
  <c r="P592" i="2" s="1"/>
  <c r="P593" i="2" s="1"/>
  <c r="P594" i="2" s="1"/>
  <c r="P595" i="2" s="1"/>
  <c r="P596" i="2" s="1"/>
  <c r="P597" i="2" s="1"/>
  <c r="P598" i="2" s="1"/>
  <c r="P599" i="2" s="1"/>
  <c r="P600" i="2" s="1"/>
  <c r="P601" i="2" s="1"/>
  <c r="P602" i="2" s="1"/>
  <c r="P603" i="2" s="1"/>
  <c r="P604" i="2" s="1"/>
  <c r="P605" i="2" s="1"/>
  <c r="P606" i="2" s="1"/>
  <c r="P607" i="2" s="1"/>
  <c r="P608" i="2" s="1"/>
  <c r="P609" i="2" s="1"/>
  <c r="P610" i="2" s="1"/>
  <c r="P611" i="2" s="1"/>
  <c r="P612" i="2" s="1"/>
  <c r="P613" i="2" s="1"/>
  <c r="P614" i="2" s="1"/>
  <c r="P615" i="2" s="1"/>
  <c r="P616" i="2" s="1"/>
  <c r="P617" i="2" s="1"/>
  <c r="P618" i="2" s="1"/>
  <c r="P619" i="2" s="1"/>
  <c r="P620" i="2" s="1"/>
  <c r="P621" i="2" s="1"/>
  <c r="P622" i="2" s="1"/>
  <c r="P623" i="2" s="1"/>
  <c r="P624" i="2" s="1"/>
  <c r="P625" i="2" s="1"/>
  <c r="P626" i="2" s="1"/>
  <c r="P627" i="2" s="1"/>
  <c r="P628" i="2" s="1"/>
  <c r="P629" i="2" s="1"/>
  <c r="P630" i="2" s="1"/>
  <c r="P631" i="2" s="1"/>
  <c r="P632" i="2" s="1"/>
  <c r="P633" i="2" s="1"/>
  <c r="P634" i="2" s="1"/>
  <c r="P635" i="2" s="1"/>
  <c r="P636" i="2" s="1"/>
  <c r="P637" i="2" s="1"/>
  <c r="P638" i="2" s="1"/>
  <c r="P639" i="2" s="1"/>
  <c r="P640" i="2" s="1"/>
  <c r="P641" i="2" s="1"/>
  <c r="P642" i="2" s="1"/>
  <c r="P643" i="2" s="1"/>
  <c r="P644" i="2" s="1"/>
  <c r="P645" i="2" s="1"/>
  <c r="P646" i="2" s="1"/>
  <c r="P647" i="2" s="1"/>
  <c r="P648" i="2" s="1"/>
  <c r="P649" i="2" s="1"/>
  <c r="P650" i="2" s="1"/>
  <c r="P651" i="2" s="1"/>
  <c r="P652" i="2" s="1"/>
  <c r="P653" i="2" s="1"/>
  <c r="P654" i="2" s="1"/>
  <c r="P655" i="2" s="1"/>
  <c r="P656" i="2" s="1"/>
  <c r="P657" i="2" s="1"/>
  <c r="P658" i="2" s="1"/>
  <c r="P659" i="2" s="1"/>
  <c r="P660" i="2" s="1"/>
  <c r="P661" i="2" s="1"/>
  <c r="P662" i="2" s="1"/>
  <c r="P663" i="2" s="1"/>
  <c r="P664" i="2" s="1"/>
  <c r="P665" i="2" s="1"/>
  <c r="P666" i="2" s="1"/>
  <c r="P667" i="2" s="1"/>
  <c r="P668" i="2" s="1"/>
  <c r="P669" i="2" s="1"/>
  <c r="P670" i="2" s="1"/>
  <c r="P671" i="2" s="1"/>
  <c r="P672" i="2" s="1"/>
  <c r="P673" i="2" s="1"/>
  <c r="P674" i="2" s="1"/>
  <c r="P675" i="2" s="1"/>
  <c r="P676" i="2" s="1"/>
  <c r="P677" i="2" s="1"/>
  <c r="P678" i="2" s="1"/>
  <c r="P679" i="2" s="1"/>
  <c r="P680" i="2" s="1"/>
  <c r="P681" i="2" s="1"/>
  <c r="P682" i="2" s="1"/>
  <c r="P683" i="2" s="1"/>
  <c r="P684" i="2" s="1"/>
  <c r="P685" i="2" s="1"/>
  <c r="P686" i="2" s="1"/>
  <c r="P687" i="2" s="1"/>
  <c r="P688" i="2" s="1"/>
  <c r="P689" i="2" s="1"/>
  <c r="P690" i="2" s="1"/>
  <c r="P691" i="2" s="1"/>
  <c r="P692" i="2" s="1"/>
  <c r="P693" i="2" s="1"/>
  <c r="P694" i="2" s="1"/>
  <c r="P695" i="2" s="1"/>
  <c r="P696" i="2" s="1"/>
  <c r="P697" i="2" s="1"/>
  <c r="P698" i="2" s="1"/>
  <c r="P699" i="2" s="1"/>
  <c r="P700" i="2" s="1"/>
  <c r="P701" i="2" s="1"/>
  <c r="P702" i="2" s="1"/>
  <c r="P703" i="2" s="1"/>
  <c r="P704" i="2" s="1"/>
  <c r="P705" i="2" s="1"/>
  <c r="P706" i="2" s="1"/>
  <c r="P707" i="2" s="1"/>
  <c r="P708" i="2" s="1"/>
  <c r="P709" i="2" s="1"/>
  <c r="P710" i="2" s="1"/>
  <c r="P711" i="2" s="1"/>
  <c r="P712" i="2" s="1"/>
  <c r="P713" i="2" s="1"/>
  <c r="P714" i="2" s="1"/>
  <c r="P715" i="2" s="1"/>
  <c r="P716" i="2" s="1"/>
  <c r="P717" i="2" s="1"/>
  <c r="P718" i="2" s="1"/>
  <c r="P719" i="2" s="1"/>
  <c r="P720" i="2" s="1"/>
  <c r="P721" i="2" s="1"/>
  <c r="P722" i="2" s="1"/>
  <c r="P723" i="2" s="1"/>
  <c r="P724" i="2" s="1"/>
  <c r="P725" i="2" s="1"/>
  <c r="P726" i="2" s="1"/>
  <c r="P727" i="2" s="1"/>
  <c r="P728" i="2" s="1"/>
  <c r="P729" i="2" s="1"/>
  <c r="P730" i="2" s="1"/>
  <c r="P731" i="2" s="1"/>
  <c r="P732" i="2" s="1"/>
  <c r="P733" i="2" s="1"/>
  <c r="P734" i="2" s="1"/>
  <c r="P735" i="2" s="1"/>
  <c r="P736" i="2" s="1"/>
  <c r="P737" i="2" s="1"/>
  <c r="P738" i="2" s="1"/>
  <c r="P739" i="2" s="1"/>
  <c r="P740" i="2" s="1"/>
  <c r="P741" i="2" s="1"/>
  <c r="P742" i="2" s="1"/>
  <c r="P743" i="2" s="1"/>
  <c r="P744" i="2" s="1"/>
  <c r="P745" i="2" s="1"/>
  <c r="P746" i="2" s="1"/>
  <c r="P747" i="2" s="1"/>
  <c r="P748" i="2" s="1"/>
  <c r="P749" i="2" s="1"/>
  <c r="P750" i="2" s="1"/>
  <c r="P751" i="2" s="1"/>
  <c r="P752" i="2" s="1"/>
  <c r="P753" i="2" s="1"/>
  <c r="P754" i="2" s="1"/>
  <c r="P755" i="2" s="1"/>
  <c r="P756" i="2" s="1"/>
  <c r="P757" i="2" s="1"/>
  <c r="P758" i="2" s="1"/>
  <c r="P759" i="2" s="1"/>
  <c r="P760" i="2" s="1"/>
  <c r="P761" i="2" s="1"/>
  <c r="P762" i="2" s="1"/>
  <c r="P763" i="2" s="1"/>
  <c r="P764" i="2" s="1"/>
  <c r="P765" i="2" s="1"/>
  <c r="C17" i="2"/>
  <c r="B16" i="2"/>
  <c r="U15" i="2"/>
  <c r="U16" i="2" s="1"/>
  <c r="U17" i="2" s="1"/>
  <c r="U18" i="2" s="1"/>
  <c r="U19" i="2" s="1"/>
  <c r="U20" i="2" s="1"/>
  <c r="U21" i="2" s="1"/>
  <c r="U22" i="2" s="1"/>
  <c r="U23" i="2" s="1"/>
  <c r="U24" i="2" s="1"/>
  <c r="U25" i="2" s="1"/>
  <c r="U26" i="2" s="1"/>
  <c r="U27" i="2" s="1"/>
  <c r="U28" i="2" s="1"/>
  <c r="U29" i="2" s="1"/>
  <c r="U30" i="2" s="1"/>
  <c r="U31" i="2" s="1"/>
  <c r="U32" i="2" s="1"/>
  <c r="U33" i="2" s="1"/>
  <c r="U34" i="2" s="1"/>
  <c r="U35" i="2" s="1"/>
  <c r="U36" i="2" s="1"/>
  <c r="U37" i="2" s="1"/>
  <c r="U38" i="2" s="1"/>
  <c r="U39" i="2" s="1"/>
  <c r="U40" i="2" s="1"/>
  <c r="U41" i="2" s="1"/>
  <c r="U42" i="2" s="1"/>
  <c r="U43" i="2" s="1"/>
  <c r="U44" i="2" s="1"/>
  <c r="U45" i="2" s="1"/>
  <c r="U46" i="2" s="1"/>
  <c r="U47" i="2" s="1"/>
  <c r="U48" i="2" s="1"/>
  <c r="U49" i="2" s="1"/>
  <c r="U50" i="2" s="1"/>
  <c r="U51" i="2" s="1"/>
  <c r="U52" i="2" s="1"/>
  <c r="U53" i="2" s="1"/>
  <c r="U54" i="2" s="1"/>
  <c r="U55" i="2" s="1"/>
  <c r="U56" i="2" s="1"/>
  <c r="U57" i="2" s="1"/>
  <c r="U58" i="2" s="1"/>
  <c r="U59" i="2" s="1"/>
  <c r="U60" i="2" s="1"/>
  <c r="U61" i="2" s="1"/>
  <c r="U62" i="2" s="1"/>
  <c r="U63" i="2" s="1"/>
  <c r="U64" i="2" s="1"/>
  <c r="U65" i="2" s="1"/>
  <c r="U66" i="2" s="1"/>
  <c r="U67" i="2" s="1"/>
  <c r="U68" i="2" s="1"/>
  <c r="U69" i="2" s="1"/>
  <c r="U70" i="2" s="1"/>
  <c r="U71" i="2" s="1"/>
  <c r="U72" i="2" s="1"/>
  <c r="U73" i="2" s="1"/>
  <c r="U74" i="2" s="1"/>
  <c r="U75" i="2" s="1"/>
  <c r="U76" i="2" s="1"/>
  <c r="U77" i="2" s="1"/>
  <c r="U78" i="2" s="1"/>
  <c r="U79" i="2" s="1"/>
  <c r="U80" i="2" s="1"/>
  <c r="U81" i="2" s="1"/>
  <c r="U82" i="2" s="1"/>
  <c r="U83" i="2" s="1"/>
  <c r="U84" i="2" s="1"/>
  <c r="U85" i="2" s="1"/>
  <c r="U86" i="2" s="1"/>
  <c r="U87" i="2" s="1"/>
  <c r="U88" i="2" s="1"/>
  <c r="U89" i="2" s="1"/>
  <c r="U90" i="2" s="1"/>
  <c r="U91" i="2" s="1"/>
  <c r="U92" i="2" s="1"/>
  <c r="U93" i="2" s="1"/>
  <c r="U94" i="2" s="1"/>
  <c r="U95" i="2" s="1"/>
  <c r="U96" i="2" s="1"/>
  <c r="U97" i="2" s="1"/>
  <c r="U98" i="2" s="1"/>
  <c r="U99" i="2" s="1"/>
  <c r="U100" i="2" s="1"/>
  <c r="U101" i="2" s="1"/>
  <c r="U102" i="2" s="1"/>
  <c r="U103" i="2" s="1"/>
  <c r="U104" i="2" s="1"/>
  <c r="U105" i="2" s="1"/>
  <c r="U106" i="2" s="1"/>
  <c r="U107" i="2" s="1"/>
  <c r="U108" i="2" s="1"/>
  <c r="U109" i="2" s="1"/>
  <c r="U110" i="2" s="1"/>
  <c r="U111" i="2" s="1"/>
  <c r="U112" i="2" s="1"/>
  <c r="U113" i="2" s="1"/>
  <c r="U114" i="2" s="1"/>
  <c r="U115" i="2" s="1"/>
  <c r="U116" i="2" s="1"/>
  <c r="U117" i="2" s="1"/>
  <c r="U118" i="2" s="1"/>
  <c r="U119" i="2" s="1"/>
  <c r="U120" i="2" s="1"/>
  <c r="U121" i="2" s="1"/>
  <c r="U122" i="2" s="1"/>
  <c r="U123" i="2" s="1"/>
  <c r="U124" i="2" s="1"/>
  <c r="U125" i="2" s="1"/>
  <c r="U126" i="2" s="1"/>
  <c r="U127" i="2" s="1"/>
  <c r="U128" i="2" s="1"/>
  <c r="U129" i="2" s="1"/>
  <c r="U130" i="2" s="1"/>
  <c r="U131" i="2" s="1"/>
  <c r="U132" i="2" s="1"/>
  <c r="U133" i="2" s="1"/>
  <c r="U134" i="2" s="1"/>
  <c r="U135" i="2" s="1"/>
  <c r="U136" i="2" s="1"/>
  <c r="U137" i="2" s="1"/>
  <c r="U138" i="2" s="1"/>
  <c r="U139" i="2" s="1"/>
  <c r="U140" i="2" s="1"/>
  <c r="U141" i="2" s="1"/>
  <c r="U142" i="2" s="1"/>
  <c r="U143" i="2" s="1"/>
  <c r="U144" i="2" s="1"/>
  <c r="U145" i="2" s="1"/>
  <c r="U146" i="2" s="1"/>
  <c r="U147" i="2" s="1"/>
  <c r="U148" i="2" s="1"/>
  <c r="U149" i="2" s="1"/>
  <c r="U150" i="2" s="1"/>
  <c r="U151" i="2" s="1"/>
  <c r="U152" i="2" s="1"/>
  <c r="U153" i="2" s="1"/>
  <c r="U154" i="2" s="1"/>
  <c r="U155" i="2" s="1"/>
  <c r="U156" i="2" s="1"/>
  <c r="U157" i="2" s="1"/>
  <c r="U158" i="2" s="1"/>
  <c r="U159" i="2" s="1"/>
  <c r="U160" i="2" s="1"/>
  <c r="U161" i="2" s="1"/>
  <c r="U162" i="2" s="1"/>
  <c r="U163" i="2" s="1"/>
  <c r="U164" i="2" s="1"/>
  <c r="U165" i="2" s="1"/>
  <c r="U166" i="2" s="1"/>
  <c r="U167" i="2" s="1"/>
  <c r="U168" i="2" s="1"/>
  <c r="U169" i="2" s="1"/>
  <c r="U170" i="2" s="1"/>
  <c r="U171" i="2" s="1"/>
  <c r="U172" i="2" s="1"/>
  <c r="U173" i="2" s="1"/>
  <c r="U174" i="2" s="1"/>
  <c r="U175" i="2" s="1"/>
  <c r="U176" i="2" s="1"/>
  <c r="U177" i="2" s="1"/>
  <c r="U178" i="2" s="1"/>
  <c r="U179" i="2" s="1"/>
  <c r="U180" i="2" s="1"/>
  <c r="U181" i="2" s="1"/>
  <c r="U182" i="2" s="1"/>
  <c r="U183" i="2" s="1"/>
  <c r="U184" i="2" s="1"/>
  <c r="U185" i="2" s="1"/>
  <c r="U186" i="2" s="1"/>
  <c r="U187" i="2" s="1"/>
  <c r="U188" i="2" s="1"/>
  <c r="U189" i="2" s="1"/>
  <c r="U190" i="2" s="1"/>
  <c r="U191" i="2" s="1"/>
  <c r="U192" i="2" s="1"/>
  <c r="U193" i="2" s="1"/>
  <c r="U194" i="2" s="1"/>
  <c r="U195" i="2" s="1"/>
  <c r="U196" i="2" s="1"/>
  <c r="U197" i="2" s="1"/>
  <c r="U198" i="2" s="1"/>
  <c r="U199" i="2" s="1"/>
  <c r="U200" i="2" s="1"/>
  <c r="U201" i="2" s="1"/>
  <c r="U202" i="2" s="1"/>
  <c r="U203" i="2" s="1"/>
  <c r="U204" i="2" s="1"/>
  <c r="U205" i="2" s="1"/>
  <c r="U206" i="2" s="1"/>
  <c r="U207" i="2" s="1"/>
  <c r="U208" i="2" s="1"/>
  <c r="U209" i="2" s="1"/>
  <c r="U210" i="2" s="1"/>
  <c r="U211" i="2" s="1"/>
  <c r="U212" i="2" s="1"/>
  <c r="U213" i="2" s="1"/>
  <c r="U214" i="2" s="1"/>
  <c r="U215" i="2" s="1"/>
  <c r="U216" i="2" s="1"/>
  <c r="U217" i="2" s="1"/>
  <c r="U218" i="2" s="1"/>
  <c r="U219" i="2" s="1"/>
  <c r="U220" i="2" s="1"/>
  <c r="U221" i="2" s="1"/>
  <c r="U222" i="2" s="1"/>
  <c r="U223" i="2" s="1"/>
  <c r="U224" i="2" s="1"/>
  <c r="U225" i="2" s="1"/>
  <c r="U226" i="2" s="1"/>
  <c r="U227" i="2" s="1"/>
  <c r="U228" i="2" s="1"/>
  <c r="U229" i="2" s="1"/>
  <c r="U230" i="2" s="1"/>
  <c r="U231" i="2" s="1"/>
  <c r="U232" i="2" s="1"/>
  <c r="U233" i="2" s="1"/>
  <c r="U234" i="2" s="1"/>
  <c r="U235" i="2" s="1"/>
  <c r="U236" i="2" s="1"/>
  <c r="U237" i="2" s="1"/>
  <c r="U238" i="2" s="1"/>
  <c r="U239" i="2" s="1"/>
  <c r="U240" i="2" s="1"/>
  <c r="U241" i="2" s="1"/>
  <c r="U242" i="2" s="1"/>
  <c r="U243" i="2" s="1"/>
  <c r="U244" i="2" s="1"/>
  <c r="U245" i="2" s="1"/>
  <c r="U246" i="2" s="1"/>
  <c r="U247" i="2" s="1"/>
  <c r="U248" i="2" s="1"/>
  <c r="U249" i="2" s="1"/>
  <c r="U250" i="2" s="1"/>
  <c r="U251" i="2" s="1"/>
  <c r="U252" i="2" s="1"/>
  <c r="U253" i="2" s="1"/>
  <c r="U254" i="2" s="1"/>
  <c r="U255" i="2" s="1"/>
  <c r="U256" i="2" s="1"/>
  <c r="U257" i="2" s="1"/>
  <c r="U258" i="2" s="1"/>
  <c r="U259" i="2" s="1"/>
  <c r="U260" i="2" s="1"/>
  <c r="U261" i="2" s="1"/>
  <c r="U262" i="2" s="1"/>
  <c r="U263" i="2" s="1"/>
  <c r="U264" i="2" s="1"/>
  <c r="U265" i="2" s="1"/>
  <c r="U266" i="2" s="1"/>
  <c r="U267" i="2" s="1"/>
  <c r="U268" i="2" s="1"/>
  <c r="U269" i="2" s="1"/>
  <c r="U270" i="2" s="1"/>
  <c r="U271" i="2" s="1"/>
  <c r="U272" i="2" s="1"/>
  <c r="U273" i="2" s="1"/>
  <c r="U274" i="2" s="1"/>
  <c r="U275" i="2" s="1"/>
  <c r="U276" i="2" s="1"/>
  <c r="U277" i="2" s="1"/>
  <c r="U278" i="2" s="1"/>
  <c r="U279" i="2" s="1"/>
  <c r="U280" i="2" s="1"/>
  <c r="U281" i="2" s="1"/>
  <c r="U282" i="2" s="1"/>
  <c r="U283" i="2" s="1"/>
  <c r="U284" i="2" s="1"/>
  <c r="U285" i="2" s="1"/>
  <c r="U286" i="2" s="1"/>
  <c r="U287" i="2" s="1"/>
  <c r="U288" i="2" s="1"/>
  <c r="U289" i="2" s="1"/>
  <c r="U290" i="2" s="1"/>
  <c r="U291" i="2" s="1"/>
  <c r="U292" i="2" s="1"/>
  <c r="U293" i="2" s="1"/>
  <c r="U294" i="2" s="1"/>
  <c r="U295" i="2" s="1"/>
  <c r="U296" i="2" s="1"/>
  <c r="U297" i="2" s="1"/>
  <c r="U298" i="2" s="1"/>
  <c r="U299" i="2" s="1"/>
  <c r="U300" i="2" s="1"/>
  <c r="U301" i="2" s="1"/>
  <c r="U302" i="2" s="1"/>
  <c r="U303" i="2" s="1"/>
  <c r="U304" i="2" s="1"/>
  <c r="U305" i="2" s="1"/>
  <c r="U306" i="2" s="1"/>
  <c r="U307" i="2" s="1"/>
  <c r="U308" i="2" s="1"/>
  <c r="U309" i="2" s="1"/>
  <c r="U310" i="2" s="1"/>
  <c r="U311" i="2" s="1"/>
  <c r="U312" i="2" s="1"/>
  <c r="U313" i="2" s="1"/>
  <c r="U314" i="2" s="1"/>
  <c r="U315" i="2" s="1"/>
  <c r="U316" i="2" s="1"/>
  <c r="U317" i="2" s="1"/>
  <c r="U318" i="2" s="1"/>
  <c r="U319" i="2" s="1"/>
  <c r="U320" i="2" s="1"/>
  <c r="U321" i="2" s="1"/>
  <c r="U322" i="2" s="1"/>
  <c r="U323" i="2" s="1"/>
  <c r="U324" i="2" s="1"/>
  <c r="U325" i="2" s="1"/>
  <c r="U326" i="2" s="1"/>
  <c r="U327" i="2" s="1"/>
  <c r="U328" i="2" s="1"/>
  <c r="U329" i="2" s="1"/>
  <c r="U330" i="2" s="1"/>
  <c r="U331" i="2" s="1"/>
  <c r="U332" i="2" s="1"/>
  <c r="U333" i="2" s="1"/>
  <c r="U334" i="2" s="1"/>
  <c r="U335" i="2" s="1"/>
  <c r="U336" i="2" s="1"/>
  <c r="U337" i="2" s="1"/>
  <c r="U338" i="2" s="1"/>
  <c r="U339" i="2" s="1"/>
  <c r="U340" i="2" s="1"/>
  <c r="U341" i="2" s="1"/>
  <c r="U342" i="2" s="1"/>
  <c r="U343" i="2" s="1"/>
  <c r="U344" i="2" s="1"/>
  <c r="U345" i="2" s="1"/>
  <c r="U346" i="2" s="1"/>
  <c r="U347" i="2" s="1"/>
  <c r="U348" i="2" s="1"/>
  <c r="U349" i="2" s="1"/>
  <c r="U350" i="2" s="1"/>
  <c r="U351" i="2" s="1"/>
  <c r="U352" i="2" s="1"/>
  <c r="U353" i="2" s="1"/>
  <c r="U354" i="2" s="1"/>
  <c r="U355" i="2" s="1"/>
  <c r="U356" i="2" s="1"/>
  <c r="U357" i="2" s="1"/>
  <c r="U358" i="2" s="1"/>
  <c r="U359" i="2" s="1"/>
  <c r="U360" i="2" s="1"/>
  <c r="U361" i="2" s="1"/>
  <c r="U362" i="2" s="1"/>
  <c r="U363" i="2" s="1"/>
  <c r="U364" i="2" s="1"/>
  <c r="U365" i="2" s="1"/>
  <c r="U366" i="2" s="1"/>
  <c r="U367" i="2" s="1"/>
  <c r="U368" i="2" s="1"/>
  <c r="U369" i="2" s="1"/>
  <c r="U370" i="2" s="1"/>
  <c r="U371" i="2" s="1"/>
  <c r="U372" i="2" s="1"/>
  <c r="U373" i="2" s="1"/>
  <c r="U374" i="2" s="1"/>
  <c r="U375" i="2" s="1"/>
  <c r="U376" i="2" s="1"/>
  <c r="U377" i="2" s="1"/>
  <c r="U378" i="2" s="1"/>
  <c r="U379" i="2" s="1"/>
  <c r="U380" i="2" s="1"/>
  <c r="U381" i="2" s="1"/>
  <c r="U382" i="2" s="1"/>
  <c r="U383" i="2" s="1"/>
  <c r="U384" i="2" s="1"/>
  <c r="U385" i="2" s="1"/>
  <c r="U386" i="2" s="1"/>
  <c r="U387" i="2" s="1"/>
  <c r="U388" i="2" s="1"/>
  <c r="U389" i="2" s="1"/>
  <c r="U390" i="2" s="1"/>
  <c r="U391" i="2" s="1"/>
  <c r="U392" i="2" s="1"/>
  <c r="U393" i="2" s="1"/>
  <c r="U394" i="2" s="1"/>
  <c r="U395" i="2" s="1"/>
  <c r="U396" i="2" s="1"/>
  <c r="U397" i="2" s="1"/>
  <c r="U398" i="2" s="1"/>
  <c r="U399" i="2" s="1"/>
  <c r="U400" i="2" s="1"/>
  <c r="U401" i="2" s="1"/>
  <c r="U402" i="2" s="1"/>
  <c r="U403" i="2" s="1"/>
  <c r="U404" i="2" s="1"/>
  <c r="U405" i="2" s="1"/>
  <c r="U406" i="2" s="1"/>
  <c r="U407" i="2" s="1"/>
  <c r="U408" i="2" s="1"/>
  <c r="U409" i="2" s="1"/>
  <c r="U410" i="2" s="1"/>
  <c r="U411" i="2" s="1"/>
  <c r="U412" i="2" s="1"/>
  <c r="U413" i="2" s="1"/>
  <c r="U414" i="2" s="1"/>
  <c r="U415" i="2" s="1"/>
  <c r="U416" i="2" s="1"/>
  <c r="U417" i="2" s="1"/>
  <c r="U418" i="2" s="1"/>
  <c r="U419" i="2" s="1"/>
  <c r="U420" i="2" s="1"/>
  <c r="U421" i="2" s="1"/>
  <c r="U422" i="2" s="1"/>
  <c r="U423" i="2" s="1"/>
  <c r="U424" i="2" s="1"/>
  <c r="U425" i="2" s="1"/>
  <c r="U426" i="2" s="1"/>
  <c r="U427" i="2" s="1"/>
  <c r="U428" i="2" s="1"/>
  <c r="U429" i="2" s="1"/>
  <c r="U430" i="2" s="1"/>
  <c r="U431" i="2" s="1"/>
  <c r="U432" i="2" s="1"/>
  <c r="U433" i="2" s="1"/>
  <c r="U434" i="2" s="1"/>
  <c r="U435" i="2" s="1"/>
  <c r="U436" i="2" s="1"/>
  <c r="U437" i="2" s="1"/>
  <c r="U438" i="2" s="1"/>
  <c r="U439" i="2" s="1"/>
  <c r="U440" i="2" s="1"/>
  <c r="U441" i="2" s="1"/>
  <c r="U442" i="2" s="1"/>
  <c r="U443" i="2" s="1"/>
  <c r="U444" i="2" s="1"/>
  <c r="U445" i="2" s="1"/>
  <c r="U446" i="2" s="1"/>
  <c r="U447" i="2" s="1"/>
  <c r="U448" i="2" s="1"/>
  <c r="U449" i="2" s="1"/>
  <c r="U450" i="2" s="1"/>
  <c r="U451" i="2" s="1"/>
  <c r="U452" i="2" s="1"/>
  <c r="U453" i="2" s="1"/>
  <c r="U454" i="2" s="1"/>
  <c r="U455" i="2" s="1"/>
  <c r="U456" i="2" s="1"/>
  <c r="U457" i="2" s="1"/>
  <c r="U458" i="2" s="1"/>
  <c r="U459" i="2" s="1"/>
  <c r="U460" i="2" s="1"/>
  <c r="U461" i="2" s="1"/>
  <c r="U462" i="2" s="1"/>
  <c r="U463" i="2" s="1"/>
  <c r="U464" i="2" s="1"/>
  <c r="U465" i="2" s="1"/>
  <c r="U466" i="2" s="1"/>
  <c r="U467" i="2" s="1"/>
  <c r="U468" i="2" s="1"/>
  <c r="U469" i="2" s="1"/>
  <c r="U470" i="2" s="1"/>
  <c r="U471" i="2" s="1"/>
  <c r="U472" i="2" s="1"/>
  <c r="U473" i="2" s="1"/>
  <c r="U474" i="2" s="1"/>
  <c r="U475" i="2" s="1"/>
  <c r="U476" i="2" s="1"/>
  <c r="U477" i="2" s="1"/>
  <c r="U478" i="2" s="1"/>
  <c r="U479" i="2" s="1"/>
  <c r="U480" i="2" s="1"/>
  <c r="U481" i="2" s="1"/>
  <c r="U482" i="2" s="1"/>
  <c r="U483" i="2" s="1"/>
  <c r="U484" i="2" s="1"/>
  <c r="U485" i="2" s="1"/>
  <c r="U486" i="2" s="1"/>
  <c r="U487" i="2" s="1"/>
  <c r="U488" i="2" s="1"/>
  <c r="U489" i="2" s="1"/>
  <c r="U490" i="2" s="1"/>
  <c r="U491" i="2" s="1"/>
  <c r="U492" i="2" s="1"/>
  <c r="U493" i="2" s="1"/>
  <c r="U494" i="2" s="1"/>
  <c r="U495" i="2" s="1"/>
  <c r="U496" i="2" s="1"/>
  <c r="U497" i="2" s="1"/>
  <c r="U498" i="2" s="1"/>
  <c r="U499" i="2" s="1"/>
  <c r="U500" i="2" s="1"/>
  <c r="U501" i="2" s="1"/>
  <c r="U502" i="2" s="1"/>
  <c r="U503" i="2" s="1"/>
  <c r="U504" i="2" s="1"/>
  <c r="U505" i="2" s="1"/>
  <c r="U506" i="2" s="1"/>
  <c r="U507" i="2" s="1"/>
  <c r="U508" i="2" s="1"/>
  <c r="U509" i="2" s="1"/>
  <c r="U510" i="2" s="1"/>
  <c r="U511" i="2" s="1"/>
  <c r="U512" i="2" s="1"/>
  <c r="U513" i="2" s="1"/>
  <c r="U514" i="2" s="1"/>
  <c r="U515" i="2" s="1"/>
  <c r="U516" i="2" s="1"/>
  <c r="U517" i="2" s="1"/>
  <c r="U518" i="2" s="1"/>
  <c r="U519" i="2" s="1"/>
  <c r="U520" i="2" s="1"/>
  <c r="U521" i="2" s="1"/>
  <c r="U522" i="2" s="1"/>
  <c r="U523" i="2" s="1"/>
  <c r="U524" i="2" s="1"/>
  <c r="U525" i="2" s="1"/>
  <c r="U526" i="2" s="1"/>
  <c r="U527" i="2" s="1"/>
  <c r="U528" i="2" s="1"/>
  <c r="U529" i="2" s="1"/>
  <c r="U530" i="2" s="1"/>
  <c r="U531" i="2" s="1"/>
  <c r="U532" i="2" s="1"/>
  <c r="U533" i="2" s="1"/>
  <c r="U534" i="2" s="1"/>
  <c r="U535" i="2" s="1"/>
  <c r="U536" i="2" s="1"/>
  <c r="U537" i="2" s="1"/>
  <c r="U538" i="2" s="1"/>
  <c r="U539" i="2" s="1"/>
  <c r="U540" i="2" s="1"/>
  <c r="U541" i="2" s="1"/>
  <c r="U542" i="2" s="1"/>
  <c r="U543" i="2" s="1"/>
  <c r="U544" i="2" s="1"/>
  <c r="U545" i="2" s="1"/>
  <c r="U546" i="2" s="1"/>
  <c r="U547" i="2" s="1"/>
  <c r="U548" i="2" s="1"/>
  <c r="U549" i="2" s="1"/>
  <c r="U550" i="2" s="1"/>
  <c r="U551" i="2" s="1"/>
  <c r="U552" i="2" s="1"/>
  <c r="U553" i="2" s="1"/>
  <c r="U554" i="2" s="1"/>
  <c r="U555" i="2" s="1"/>
  <c r="U556" i="2" s="1"/>
  <c r="U557" i="2" s="1"/>
  <c r="U558" i="2" s="1"/>
  <c r="U559" i="2" s="1"/>
  <c r="U560" i="2" s="1"/>
  <c r="U561" i="2" s="1"/>
  <c r="U562" i="2" s="1"/>
  <c r="U563" i="2" s="1"/>
  <c r="U564" i="2" s="1"/>
  <c r="U565" i="2" s="1"/>
  <c r="U566" i="2" s="1"/>
  <c r="U567" i="2" s="1"/>
  <c r="U568" i="2" s="1"/>
  <c r="U569" i="2" s="1"/>
  <c r="U570" i="2" s="1"/>
  <c r="U571" i="2" s="1"/>
  <c r="U572" i="2" s="1"/>
  <c r="U573" i="2" s="1"/>
  <c r="U574" i="2" s="1"/>
  <c r="U575" i="2" s="1"/>
  <c r="U576" i="2" s="1"/>
  <c r="U577" i="2" s="1"/>
  <c r="U578" i="2" s="1"/>
  <c r="U579" i="2" s="1"/>
  <c r="U580" i="2" s="1"/>
  <c r="U581" i="2" s="1"/>
  <c r="U582" i="2" s="1"/>
  <c r="U583" i="2" s="1"/>
  <c r="U584" i="2" s="1"/>
  <c r="U585" i="2" s="1"/>
  <c r="U586" i="2" s="1"/>
  <c r="U587" i="2" s="1"/>
  <c r="U588" i="2" s="1"/>
  <c r="U589" i="2" s="1"/>
  <c r="U590" i="2" s="1"/>
  <c r="U591" i="2" s="1"/>
  <c r="U592" i="2" s="1"/>
  <c r="U593" i="2" s="1"/>
  <c r="U594" i="2" s="1"/>
  <c r="U595" i="2" s="1"/>
  <c r="U596" i="2" s="1"/>
  <c r="U597" i="2" s="1"/>
  <c r="U598" i="2" s="1"/>
  <c r="U599" i="2" s="1"/>
  <c r="U600" i="2" s="1"/>
  <c r="U601" i="2" s="1"/>
  <c r="U602" i="2" s="1"/>
  <c r="U603" i="2" s="1"/>
  <c r="U604" i="2" s="1"/>
  <c r="U605" i="2" s="1"/>
  <c r="U606" i="2" s="1"/>
  <c r="U607" i="2" s="1"/>
  <c r="U608" i="2" s="1"/>
  <c r="U609" i="2" s="1"/>
  <c r="U610" i="2" s="1"/>
  <c r="U611" i="2" s="1"/>
  <c r="U612" i="2" s="1"/>
  <c r="U613" i="2" s="1"/>
  <c r="U614" i="2" s="1"/>
  <c r="U615" i="2" s="1"/>
  <c r="U616" i="2" s="1"/>
  <c r="U617" i="2" s="1"/>
  <c r="U618" i="2" s="1"/>
  <c r="U619" i="2" s="1"/>
  <c r="U620" i="2" s="1"/>
  <c r="U621" i="2" s="1"/>
  <c r="U622" i="2" s="1"/>
  <c r="U623" i="2" s="1"/>
  <c r="U624" i="2" s="1"/>
  <c r="U625" i="2" s="1"/>
  <c r="U626" i="2" s="1"/>
  <c r="U627" i="2" s="1"/>
  <c r="U628" i="2" s="1"/>
  <c r="U629" i="2" s="1"/>
  <c r="U630" i="2" s="1"/>
  <c r="U631" i="2" s="1"/>
  <c r="U632" i="2" s="1"/>
  <c r="U633" i="2" s="1"/>
  <c r="U634" i="2" s="1"/>
  <c r="U635" i="2" s="1"/>
  <c r="U636" i="2" s="1"/>
  <c r="U637" i="2" s="1"/>
  <c r="U638" i="2" s="1"/>
  <c r="U639" i="2" s="1"/>
  <c r="U640" i="2" s="1"/>
  <c r="U641" i="2" s="1"/>
  <c r="U642" i="2" s="1"/>
  <c r="U643" i="2" s="1"/>
  <c r="U644" i="2" s="1"/>
  <c r="U645" i="2" s="1"/>
  <c r="U646" i="2" s="1"/>
  <c r="U647" i="2" s="1"/>
  <c r="U648" i="2" s="1"/>
  <c r="U649" i="2" s="1"/>
  <c r="U650" i="2" s="1"/>
  <c r="U651" i="2" s="1"/>
  <c r="U652" i="2" s="1"/>
  <c r="U653" i="2" s="1"/>
  <c r="U654" i="2" s="1"/>
  <c r="U655" i="2" s="1"/>
  <c r="U656" i="2" s="1"/>
  <c r="U657" i="2" s="1"/>
  <c r="U658" i="2" s="1"/>
  <c r="U659" i="2" s="1"/>
  <c r="U660" i="2" s="1"/>
  <c r="U661" i="2" s="1"/>
  <c r="U662" i="2" s="1"/>
  <c r="U663" i="2" s="1"/>
  <c r="U664" i="2" s="1"/>
  <c r="U665" i="2" s="1"/>
  <c r="U666" i="2" s="1"/>
  <c r="U667" i="2" s="1"/>
  <c r="U668" i="2" s="1"/>
  <c r="U669" i="2" s="1"/>
  <c r="U670" i="2" s="1"/>
  <c r="U671" i="2" s="1"/>
  <c r="U672" i="2" s="1"/>
  <c r="U673" i="2" s="1"/>
  <c r="U674" i="2" s="1"/>
  <c r="U675" i="2" s="1"/>
  <c r="U676" i="2" s="1"/>
  <c r="U677" i="2" s="1"/>
  <c r="U678" i="2" s="1"/>
  <c r="U679" i="2" s="1"/>
  <c r="U680" i="2" s="1"/>
  <c r="U681" i="2" s="1"/>
  <c r="U682" i="2" s="1"/>
  <c r="U683" i="2" s="1"/>
  <c r="U684" i="2" s="1"/>
  <c r="U685" i="2" s="1"/>
  <c r="U686" i="2" s="1"/>
  <c r="U687" i="2" s="1"/>
  <c r="U688" i="2" s="1"/>
  <c r="U689" i="2" s="1"/>
  <c r="U690" i="2" s="1"/>
  <c r="U691" i="2" s="1"/>
  <c r="U692" i="2" s="1"/>
  <c r="U693" i="2" s="1"/>
  <c r="U694" i="2" s="1"/>
  <c r="U695" i="2" s="1"/>
  <c r="U696" i="2" s="1"/>
  <c r="U697" i="2" s="1"/>
  <c r="U698" i="2" s="1"/>
  <c r="U699" i="2" s="1"/>
  <c r="U700" i="2" s="1"/>
  <c r="U701" i="2" s="1"/>
  <c r="U702" i="2" s="1"/>
  <c r="U703" i="2" s="1"/>
  <c r="U704" i="2" s="1"/>
  <c r="U705" i="2" s="1"/>
  <c r="U706" i="2" s="1"/>
  <c r="U707" i="2" s="1"/>
  <c r="U708" i="2" s="1"/>
  <c r="U709" i="2" s="1"/>
  <c r="U710" i="2" s="1"/>
  <c r="U711" i="2" s="1"/>
  <c r="U712" i="2" s="1"/>
  <c r="U713" i="2" s="1"/>
  <c r="U714" i="2" s="1"/>
  <c r="U715" i="2" s="1"/>
  <c r="U716" i="2" s="1"/>
  <c r="U717" i="2" s="1"/>
  <c r="U718" i="2" s="1"/>
  <c r="U719" i="2" s="1"/>
  <c r="U720" i="2" s="1"/>
  <c r="U721" i="2" s="1"/>
  <c r="U722" i="2" s="1"/>
  <c r="U723" i="2" s="1"/>
  <c r="U724" i="2" s="1"/>
  <c r="U725" i="2" s="1"/>
  <c r="U726" i="2" s="1"/>
  <c r="U727" i="2" s="1"/>
  <c r="U728" i="2" s="1"/>
  <c r="U729" i="2" s="1"/>
  <c r="U730" i="2" s="1"/>
  <c r="U731" i="2" s="1"/>
  <c r="U732" i="2" s="1"/>
  <c r="U733" i="2" s="1"/>
  <c r="U734" i="2" s="1"/>
  <c r="U735" i="2" s="1"/>
  <c r="U736" i="2" s="1"/>
  <c r="U737" i="2" s="1"/>
  <c r="U738" i="2" s="1"/>
  <c r="U739" i="2" s="1"/>
  <c r="U740" i="2" s="1"/>
  <c r="U741" i="2" s="1"/>
  <c r="U742" i="2" s="1"/>
  <c r="U743" i="2" s="1"/>
  <c r="U744" i="2" s="1"/>
  <c r="U745" i="2" s="1"/>
  <c r="U746" i="2" s="1"/>
  <c r="U747" i="2" s="1"/>
  <c r="U748" i="2" s="1"/>
  <c r="U749" i="2" s="1"/>
  <c r="U750" i="2" s="1"/>
  <c r="U751" i="2" s="1"/>
  <c r="U752" i="2" s="1"/>
  <c r="U753" i="2" s="1"/>
  <c r="U754" i="2" s="1"/>
  <c r="U755" i="2" s="1"/>
  <c r="U756" i="2" s="1"/>
  <c r="U757" i="2" s="1"/>
  <c r="U758" i="2" s="1"/>
  <c r="U759" i="2" s="1"/>
  <c r="U760" i="2" s="1"/>
  <c r="U761" i="2" s="1"/>
  <c r="U762" i="2" s="1"/>
  <c r="U763" i="2" s="1"/>
  <c r="D18" i="2"/>
  <c r="V16" i="2"/>
  <c r="V17" i="2" s="1"/>
  <c r="V18" i="2" s="1"/>
  <c r="V19" i="2" s="1"/>
  <c r="V20" i="2" s="1"/>
  <c r="V21" i="2" s="1"/>
  <c r="V22" i="2" s="1"/>
  <c r="V23" i="2" s="1"/>
  <c r="V24" i="2" s="1"/>
  <c r="V25" i="2" s="1"/>
  <c r="V26" i="2" s="1"/>
  <c r="V27" i="2" s="1"/>
  <c r="V28" i="2" s="1"/>
  <c r="V29" i="2" s="1"/>
  <c r="V30" i="2" s="1"/>
  <c r="V31" i="2" s="1"/>
  <c r="V32" i="2" s="1"/>
  <c r="V33" i="2" s="1"/>
  <c r="V34" i="2" s="1"/>
  <c r="V35" i="2" s="1"/>
  <c r="V36" i="2" s="1"/>
  <c r="V37" i="2" s="1"/>
  <c r="V38" i="2" s="1"/>
  <c r="V39" i="2" s="1"/>
  <c r="V40" i="2" s="1"/>
  <c r="V41" i="2" s="1"/>
  <c r="V42" i="2" s="1"/>
  <c r="V43" i="2" s="1"/>
  <c r="V44" i="2" s="1"/>
  <c r="V45" i="2" s="1"/>
  <c r="V46" i="2" s="1"/>
  <c r="V47" i="2" s="1"/>
  <c r="V48" i="2" s="1"/>
  <c r="V49" i="2" s="1"/>
  <c r="V50" i="2" s="1"/>
  <c r="V51" i="2" s="1"/>
  <c r="V52" i="2" s="1"/>
  <c r="V53" i="2" s="1"/>
  <c r="V54" i="2" s="1"/>
  <c r="V55" i="2" s="1"/>
  <c r="V56" i="2" s="1"/>
  <c r="V57" i="2" s="1"/>
  <c r="V58" i="2" s="1"/>
  <c r="V59" i="2" s="1"/>
  <c r="V60" i="2" s="1"/>
  <c r="V61" i="2" s="1"/>
  <c r="V62" i="2" s="1"/>
  <c r="V63" i="2" s="1"/>
  <c r="V64" i="2" s="1"/>
  <c r="V65" i="2" s="1"/>
  <c r="V66" i="2" s="1"/>
  <c r="V67" i="2" s="1"/>
  <c r="V68" i="2" s="1"/>
  <c r="V69" i="2" s="1"/>
  <c r="V70" i="2" s="1"/>
  <c r="V71" i="2" s="1"/>
  <c r="V72" i="2" s="1"/>
  <c r="V73" i="2" s="1"/>
  <c r="V74" i="2" s="1"/>
  <c r="V75" i="2" s="1"/>
  <c r="V76" i="2" s="1"/>
  <c r="V77" i="2" s="1"/>
  <c r="V78" i="2" s="1"/>
  <c r="V79" i="2" s="1"/>
  <c r="V80" i="2" s="1"/>
  <c r="V81" i="2" s="1"/>
  <c r="V82" i="2" s="1"/>
  <c r="V83" i="2" s="1"/>
  <c r="V84" i="2" s="1"/>
  <c r="V85" i="2" s="1"/>
  <c r="V86" i="2" s="1"/>
  <c r="V87" i="2" s="1"/>
  <c r="V88" i="2" s="1"/>
  <c r="V89" i="2" s="1"/>
  <c r="V90" i="2" s="1"/>
  <c r="V91" i="2" s="1"/>
  <c r="V92" i="2" s="1"/>
  <c r="V93" i="2" s="1"/>
  <c r="V94" i="2" s="1"/>
  <c r="V95" i="2" s="1"/>
  <c r="V96" i="2" s="1"/>
  <c r="V97" i="2" s="1"/>
  <c r="V98" i="2" s="1"/>
  <c r="V99" i="2" s="1"/>
  <c r="V100" i="2" s="1"/>
  <c r="V101" i="2" s="1"/>
  <c r="V102" i="2" s="1"/>
  <c r="V103" i="2" s="1"/>
  <c r="V104" i="2" s="1"/>
  <c r="V105" i="2" s="1"/>
  <c r="V106" i="2" s="1"/>
  <c r="V107" i="2" s="1"/>
  <c r="V108" i="2" s="1"/>
  <c r="V109" i="2" s="1"/>
  <c r="V110" i="2" s="1"/>
  <c r="V111" i="2" s="1"/>
  <c r="V112" i="2" s="1"/>
  <c r="V113" i="2" s="1"/>
  <c r="V114" i="2" s="1"/>
  <c r="V115" i="2" s="1"/>
  <c r="V116" i="2" s="1"/>
  <c r="V117" i="2" s="1"/>
  <c r="V118" i="2" s="1"/>
  <c r="V119" i="2" s="1"/>
  <c r="V120" i="2" s="1"/>
  <c r="V121" i="2" s="1"/>
  <c r="V122" i="2" s="1"/>
  <c r="V123" i="2" s="1"/>
  <c r="V124" i="2" s="1"/>
  <c r="V125" i="2" s="1"/>
  <c r="V126" i="2" s="1"/>
  <c r="V127" i="2" s="1"/>
  <c r="V128" i="2" s="1"/>
  <c r="V129" i="2" s="1"/>
  <c r="V130" i="2" s="1"/>
  <c r="V131" i="2" s="1"/>
  <c r="V132" i="2" s="1"/>
  <c r="V133" i="2" s="1"/>
  <c r="V134" i="2" s="1"/>
  <c r="V135" i="2" s="1"/>
  <c r="V136" i="2" s="1"/>
  <c r="V137" i="2" s="1"/>
  <c r="V138" i="2" s="1"/>
  <c r="V139" i="2" s="1"/>
  <c r="V140" i="2" s="1"/>
  <c r="V141" i="2" s="1"/>
  <c r="V142" i="2" s="1"/>
  <c r="V143" i="2" s="1"/>
  <c r="V144" i="2" s="1"/>
  <c r="V145" i="2" s="1"/>
  <c r="V146" i="2" s="1"/>
  <c r="V147" i="2" s="1"/>
  <c r="V148" i="2" s="1"/>
  <c r="V149" i="2" s="1"/>
  <c r="V150" i="2" s="1"/>
  <c r="V151" i="2" s="1"/>
  <c r="V152" i="2" s="1"/>
  <c r="V153" i="2" s="1"/>
  <c r="V154" i="2" s="1"/>
  <c r="V155" i="2" s="1"/>
  <c r="V156" i="2" s="1"/>
  <c r="V157" i="2" s="1"/>
  <c r="V158" i="2" s="1"/>
  <c r="V159" i="2" s="1"/>
  <c r="V160" i="2" s="1"/>
  <c r="V161" i="2" s="1"/>
  <c r="V162" i="2" s="1"/>
  <c r="V163" i="2" s="1"/>
  <c r="V164" i="2" s="1"/>
  <c r="V165" i="2" s="1"/>
  <c r="V166" i="2" s="1"/>
  <c r="V167" i="2" s="1"/>
  <c r="V168" i="2" s="1"/>
  <c r="V169" i="2" s="1"/>
  <c r="V170" i="2" s="1"/>
  <c r="V171" i="2" s="1"/>
  <c r="V172" i="2" s="1"/>
  <c r="V173" i="2" s="1"/>
  <c r="V174" i="2" s="1"/>
  <c r="V175" i="2" s="1"/>
  <c r="V176" i="2" s="1"/>
  <c r="V177" i="2" s="1"/>
  <c r="V178" i="2" s="1"/>
  <c r="V179" i="2" s="1"/>
  <c r="V180" i="2" s="1"/>
  <c r="V181" i="2" s="1"/>
  <c r="V182" i="2" s="1"/>
  <c r="V183" i="2" s="1"/>
  <c r="V184" i="2" s="1"/>
  <c r="V185" i="2" s="1"/>
  <c r="V186" i="2" s="1"/>
  <c r="V187" i="2" s="1"/>
  <c r="V188" i="2" s="1"/>
  <c r="V189" i="2" s="1"/>
  <c r="V190" i="2" s="1"/>
  <c r="V191" i="2" s="1"/>
  <c r="V192" i="2" s="1"/>
  <c r="V193" i="2" s="1"/>
  <c r="V194" i="2" s="1"/>
  <c r="V195" i="2" s="1"/>
  <c r="V196" i="2" s="1"/>
  <c r="V197" i="2" s="1"/>
  <c r="V198" i="2" s="1"/>
  <c r="V199" i="2" s="1"/>
  <c r="V200" i="2" s="1"/>
  <c r="V201" i="2" s="1"/>
  <c r="V202" i="2" s="1"/>
  <c r="V203" i="2" s="1"/>
  <c r="V204" i="2" s="1"/>
  <c r="V205" i="2" s="1"/>
  <c r="V206" i="2" s="1"/>
  <c r="V207" i="2" s="1"/>
  <c r="V208" i="2" s="1"/>
  <c r="V209" i="2" s="1"/>
  <c r="V210" i="2" s="1"/>
  <c r="V211" i="2" s="1"/>
  <c r="V212" i="2" s="1"/>
  <c r="V213" i="2" s="1"/>
  <c r="V214" i="2" s="1"/>
  <c r="V215" i="2" s="1"/>
  <c r="V216" i="2" s="1"/>
  <c r="V217" i="2" s="1"/>
  <c r="V218" i="2" s="1"/>
  <c r="V219" i="2" s="1"/>
  <c r="V220" i="2" s="1"/>
  <c r="V221" i="2" s="1"/>
  <c r="V222" i="2" s="1"/>
  <c r="V223" i="2" s="1"/>
  <c r="V224" i="2" s="1"/>
  <c r="V225" i="2" s="1"/>
  <c r="V226" i="2" s="1"/>
  <c r="V227" i="2" s="1"/>
  <c r="V228" i="2" s="1"/>
  <c r="V229" i="2" s="1"/>
  <c r="V230" i="2" s="1"/>
  <c r="V231" i="2" s="1"/>
  <c r="V232" i="2" s="1"/>
  <c r="V233" i="2" s="1"/>
  <c r="V234" i="2" s="1"/>
  <c r="V235" i="2" s="1"/>
  <c r="V236" i="2" s="1"/>
  <c r="V237" i="2" s="1"/>
  <c r="V238" i="2" s="1"/>
  <c r="V239" i="2" s="1"/>
  <c r="V240" i="2" s="1"/>
  <c r="V241" i="2" s="1"/>
  <c r="V242" i="2" s="1"/>
  <c r="V243" i="2" s="1"/>
  <c r="V244" i="2" s="1"/>
  <c r="V245" i="2" s="1"/>
  <c r="V246" i="2" s="1"/>
  <c r="V247" i="2" s="1"/>
  <c r="V248" i="2" s="1"/>
  <c r="V249" i="2" s="1"/>
  <c r="V250" i="2" s="1"/>
  <c r="V251" i="2" s="1"/>
  <c r="V252" i="2" s="1"/>
  <c r="V253" i="2" s="1"/>
  <c r="V254" i="2" s="1"/>
  <c r="V255" i="2" s="1"/>
  <c r="V256" i="2" s="1"/>
  <c r="V257" i="2" s="1"/>
  <c r="V258" i="2" s="1"/>
  <c r="V259" i="2" s="1"/>
  <c r="V260" i="2" s="1"/>
  <c r="V261" i="2" s="1"/>
  <c r="V262" i="2" s="1"/>
  <c r="V263" i="2" s="1"/>
  <c r="V264" i="2" s="1"/>
  <c r="V265" i="2" s="1"/>
  <c r="V266" i="2" s="1"/>
  <c r="V267" i="2" s="1"/>
  <c r="V268" i="2" s="1"/>
  <c r="V269" i="2" s="1"/>
  <c r="V270" i="2" s="1"/>
  <c r="V271" i="2" s="1"/>
  <c r="V272" i="2" s="1"/>
  <c r="V273" i="2" s="1"/>
  <c r="V274" i="2" s="1"/>
  <c r="V275" i="2" s="1"/>
  <c r="V276" i="2" s="1"/>
  <c r="V277" i="2" s="1"/>
  <c r="V278" i="2" s="1"/>
  <c r="V279" i="2" s="1"/>
  <c r="V280" i="2" s="1"/>
  <c r="V281" i="2" s="1"/>
  <c r="V282" i="2" s="1"/>
  <c r="V283" i="2" s="1"/>
  <c r="V284" i="2" s="1"/>
  <c r="V285" i="2" s="1"/>
  <c r="V286" i="2" s="1"/>
  <c r="V287" i="2" s="1"/>
  <c r="V288" i="2" s="1"/>
  <c r="V289" i="2" s="1"/>
  <c r="V290" i="2" s="1"/>
  <c r="V291" i="2" s="1"/>
  <c r="V292" i="2" s="1"/>
  <c r="V293" i="2" s="1"/>
  <c r="V294" i="2" s="1"/>
  <c r="V295" i="2" s="1"/>
  <c r="V296" i="2" s="1"/>
  <c r="V297" i="2" s="1"/>
  <c r="V298" i="2" s="1"/>
  <c r="V299" i="2" s="1"/>
  <c r="V300" i="2" s="1"/>
  <c r="V301" i="2" s="1"/>
  <c r="V302" i="2" s="1"/>
  <c r="V303" i="2" s="1"/>
  <c r="V304" i="2" s="1"/>
  <c r="V305" i="2" s="1"/>
  <c r="V306" i="2" s="1"/>
  <c r="V307" i="2" s="1"/>
  <c r="V308" i="2" s="1"/>
  <c r="V309" i="2" s="1"/>
  <c r="V310" i="2" s="1"/>
  <c r="V311" i="2" s="1"/>
  <c r="V312" i="2" s="1"/>
  <c r="V313" i="2" s="1"/>
  <c r="V314" i="2" s="1"/>
  <c r="V315" i="2" s="1"/>
  <c r="V316" i="2" s="1"/>
  <c r="V317" i="2" s="1"/>
  <c r="V318" i="2" s="1"/>
  <c r="V319" i="2" s="1"/>
  <c r="V320" i="2" s="1"/>
  <c r="V321" i="2" s="1"/>
  <c r="V322" i="2" s="1"/>
  <c r="V323" i="2" s="1"/>
  <c r="V324" i="2" s="1"/>
  <c r="V325" i="2" s="1"/>
  <c r="V326" i="2" s="1"/>
  <c r="V327" i="2" s="1"/>
  <c r="V328" i="2" s="1"/>
  <c r="V329" i="2" s="1"/>
  <c r="V330" i="2" s="1"/>
  <c r="V331" i="2" s="1"/>
  <c r="V332" i="2" s="1"/>
  <c r="V333" i="2" s="1"/>
  <c r="V334" i="2" s="1"/>
  <c r="V335" i="2" s="1"/>
  <c r="V336" i="2" s="1"/>
  <c r="V337" i="2" s="1"/>
  <c r="V338" i="2" s="1"/>
  <c r="V339" i="2" s="1"/>
  <c r="V340" i="2" s="1"/>
  <c r="V341" i="2" s="1"/>
  <c r="V342" i="2" s="1"/>
  <c r="V343" i="2" s="1"/>
  <c r="V344" i="2" s="1"/>
  <c r="V345" i="2" s="1"/>
  <c r="V346" i="2" s="1"/>
  <c r="V347" i="2" s="1"/>
  <c r="V348" i="2" s="1"/>
  <c r="V349" i="2" s="1"/>
  <c r="V350" i="2" s="1"/>
  <c r="V351" i="2" s="1"/>
  <c r="V352" i="2" s="1"/>
  <c r="V353" i="2" s="1"/>
  <c r="V354" i="2" s="1"/>
  <c r="V355" i="2" s="1"/>
  <c r="V356" i="2" s="1"/>
  <c r="V357" i="2" s="1"/>
  <c r="V358" i="2" s="1"/>
  <c r="V359" i="2" s="1"/>
  <c r="V360" i="2" s="1"/>
  <c r="V361" i="2" s="1"/>
  <c r="V362" i="2" s="1"/>
  <c r="V363" i="2" s="1"/>
  <c r="V364" i="2" s="1"/>
  <c r="V365" i="2" s="1"/>
  <c r="V366" i="2" s="1"/>
  <c r="V367" i="2" s="1"/>
  <c r="V368" i="2" s="1"/>
  <c r="V369" i="2" s="1"/>
  <c r="V370" i="2" s="1"/>
  <c r="V371" i="2" s="1"/>
  <c r="V372" i="2" s="1"/>
  <c r="V373" i="2" s="1"/>
  <c r="V374" i="2" s="1"/>
  <c r="V375" i="2" s="1"/>
  <c r="V376" i="2" s="1"/>
  <c r="V377" i="2" s="1"/>
  <c r="V378" i="2" s="1"/>
  <c r="V379" i="2" s="1"/>
  <c r="V380" i="2" s="1"/>
  <c r="V381" i="2" s="1"/>
  <c r="V382" i="2" s="1"/>
  <c r="V383" i="2" s="1"/>
  <c r="V384" i="2" s="1"/>
  <c r="V385" i="2" s="1"/>
  <c r="V386" i="2" s="1"/>
  <c r="V387" i="2" s="1"/>
  <c r="V388" i="2" s="1"/>
  <c r="V389" i="2" s="1"/>
  <c r="V390" i="2" s="1"/>
  <c r="V391" i="2" s="1"/>
  <c r="V392" i="2" s="1"/>
  <c r="V393" i="2" s="1"/>
  <c r="V394" i="2" s="1"/>
  <c r="V395" i="2" s="1"/>
  <c r="V396" i="2" s="1"/>
  <c r="V397" i="2" s="1"/>
  <c r="V398" i="2" s="1"/>
  <c r="V399" i="2" s="1"/>
  <c r="V400" i="2" s="1"/>
  <c r="V401" i="2" s="1"/>
  <c r="V402" i="2" s="1"/>
  <c r="V403" i="2" s="1"/>
  <c r="V404" i="2" s="1"/>
  <c r="V405" i="2" s="1"/>
  <c r="V406" i="2" s="1"/>
  <c r="V407" i="2" s="1"/>
  <c r="V408" i="2" s="1"/>
  <c r="V409" i="2" s="1"/>
  <c r="V410" i="2" s="1"/>
  <c r="V411" i="2" s="1"/>
  <c r="V412" i="2" s="1"/>
  <c r="V413" i="2" s="1"/>
  <c r="V414" i="2" s="1"/>
  <c r="V415" i="2" s="1"/>
  <c r="V416" i="2" s="1"/>
  <c r="V417" i="2" s="1"/>
  <c r="V418" i="2" s="1"/>
  <c r="V419" i="2" s="1"/>
  <c r="V420" i="2" s="1"/>
  <c r="V421" i="2" s="1"/>
  <c r="V422" i="2" s="1"/>
  <c r="V423" i="2" s="1"/>
  <c r="V424" i="2" s="1"/>
  <c r="V425" i="2" s="1"/>
  <c r="V426" i="2" s="1"/>
  <c r="V427" i="2" s="1"/>
  <c r="V428" i="2" s="1"/>
  <c r="V429" i="2" s="1"/>
  <c r="V430" i="2" s="1"/>
  <c r="V431" i="2" s="1"/>
  <c r="V432" i="2" s="1"/>
  <c r="V433" i="2" s="1"/>
  <c r="V434" i="2" s="1"/>
  <c r="V435" i="2" s="1"/>
  <c r="V436" i="2" s="1"/>
  <c r="V437" i="2" s="1"/>
  <c r="V438" i="2" s="1"/>
  <c r="V439" i="2" s="1"/>
  <c r="V440" i="2" s="1"/>
  <c r="V441" i="2" s="1"/>
  <c r="V442" i="2" s="1"/>
  <c r="V443" i="2" s="1"/>
  <c r="V444" i="2" s="1"/>
  <c r="V445" i="2" s="1"/>
  <c r="V446" i="2" s="1"/>
  <c r="V447" i="2" s="1"/>
  <c r="V448" i="2" s="1"/>
  <c r="V449" i="2" s="1"/>
  <c r="V450" i="2" s="1"/>
  <c r="V451" i="2" s="1"/>
  <c r="V452" i="2" s="1"/>
  <c r="V453" i="2" s="1"/>
  <c r="V454" i="2" s="1"/>
  <c r="V455" i="2" s="1"/>
  <c r="V456" i="2" s="1"/>
  <c r="V457" i="2" s="1"/>
  <c r="V458" i="2" s="1"/>
  <c r="V459" i="2" s="1"/>
  <c r="V460" i="2" s="1"/>
  <c r="V461" i="2" s="1"/>
  <c r="V462" i="2" s="1"/>
  <c r="V463" i="2" s="1"/>
  <c r="V464" i="2" s="1"/>
  <c r="V465" i="2" s="1"/>
  <c r="V466" i="2" s="1"/>
  <c r="V467" i="2" s="1"/>
  <c r="V468" i="2" s="1"/>
  <c r="V469" i="2" s="1"/>
  <c r="V470" i="2" s="1"/>
  <c r="V471" i="2" s="1"/>
  <c r="V472" i="2" s="1"/>
  <c r="V473" i="2" s="1"/>
  <c r="V474" i="2" s="1"/>
  <c r="V475" i="2" s="1"/>
  <c r="V476" i="2" s="1"/>
  <c r="V477" i="2" s="1"/>
  <c r="V478" i="2" s="1"/>
  <c r="V479" i="2" s="1"/>
  <c r="V480" i="2" s="1"/>
  <c r="V481" i="2" s="1"/>
  <c r="V482" i="2" s="1"/>
  <c r="V483" i="2" s="1"/>
  <c r="V484" i="2" s="1"/>
  <c r="V485" i="2" s="1"/>
  <c r="V486" i="2" s="1"/>
  <c r="V487" i="2" s="1"/>
  <c r="V488" i="2" s="1"/>
  <c r="V489" i="2" s="1"/>
  <c r="V490" i="2" s="1"/>
  <c r="V491" i="2" s="1"/>
  <c r="V492" i="2" s="1"/>
  <c r="V493" i="2" s="1"/>
  <c r="V494" i="2" s="1"/>
  <c r="V495" i="2" s="1"/>
  <c r="V496" i="2" s="1"/>
  <c r="V497" i="2" s="1"/>
  <c r="V498" i="2" s="1"/>
  <c r="V499" i="2" s="1"/>
  <c r="V500" i="2" s="1"/>
  <c r="V501" i="2" s="1"/>
  <c r="V502" i="2" s="1"/>
  <c r="V503" i="2" s="1"/>
  <c r="V504" i="2" s="1"/>
  <c r="V505" i="2" s="1"/>
  <c r="V506" i="2" s="1"/>
  <c r="V507" i="2" s="1"/>
  <c r="V508" i="2" s="1"/>
  <c r="V509" i="2" s="1"/>
  <c r="V510" i="2" s="1"/>
  <c r="V511" i="2" s="1"/>
  <c r="V512" i="2" s="1"/>
  <c r="V513" i="2" s="1"/>
  <c r="V514" i="2" s="1"/>
  <c r="V515" i="2" s="1"/>
  <c r="V516" i="2" s="1"/>
  <c r="V517" i="2" s="1"/>
  <c r="V518" i="2" s="1"/>
  <c r="V519" i="2" s="1"/>
  <c r="V520" i="2" s="1"/>
  <c r="V521" i="2" s="1"/>
  <c r="V522" i="2" s="1"/>
  <c r="V523" i="2" s="1"/>
  <c r="V524" i="2" s="1"/>
  <c r="V525" i="2" s="1"/>
  <c r="V526" i="2" s="1"/>
  <c r="V527" i="2" s="1"/>
  <c r="V528" i="2" s="1"/>
  <c r="V529" i="2" s="1"/>
  <c r="V530" i="2" s="1"/>
  <c r="V531" i="2" s="1"/>
  <c r="V532" i="2" s="1"/>
  <c r="V533" i="2" s="1"/>
  <c r="V534" i="2" s="1"/>
  <c r="V535" i="2" s="1"/>
  <c r="V536" i="2" s="1"/>
  <c r="V537" i="2" s="1"/>
  <c r="V538" i="2" s="1"/>
  <c r="V539" i="2" s="1"/>
  <c r="V540" i="2" s="1"/>
  <c r="V541" i="2" s="1"/>
  <c r="V542" i="2" s="1"/>
  <c r="V543" i="2" s="1"/>
  <c r="V544" i="2" s="1"/>
  <c r="V545" i="2" s="1"/>
  <c r="V546" i="2" s="1"/>
  <c r="V547" i="2" s="1"/>
  <c r="V548" i="2" s="1"/>
  <c r="V549" i="2" s="1"/>
  <c r="V550" i="2" s="1"/>
  <c r="V551" i="2" s="1"/>
  <c r="V552" i="2" s="1"/>
  <c r="V553" i="2" s="1"/>
  <c r="V554" i="2" s="1"/>
  <c r="V555" i="2" s="1"/>
  <c r="V556" i="2" s="1"/>
  <c r="V557" i="2" s="1"/>
  <c r="V558" i="2" s="1"/>
  <c r="V559" i="2" s="1"/>
  <c r="V560" i="2" s="1"/>
  <c r="V561" i="2" s="1"/>
  <c r="V562" i="2" s="1"/>
  <c r="V563" i="2" s="1"/>
  <c r="V564" i="2" s="1"/>
  <c r="V565" i="2" s="1"/>
  <c r="V566" i="2" s="1"/>
  <c r="V567" i="2" s="1"/>
  <c r="V568" i="2" s="1"/>
  <c r="V569" i="2" s="1"/>
  <c r="V570" i="2" s="1"/>
  <c r="V571" i="2" s="1"/>
  <c r="V572" i="2" s="1"/>
  <c r="V573" i="2" s="1"/>
  <c r="V574" i="2" s="1"/>
  <c r="V575" i="2" s="1"/>
  <c r="V576" i="2" s="1"/>
  <c r="V577" i="2" s="1"/>
  <c r="V578" i="2" s="1"/>
  <c r="V579" i="2" s="1"/>
  <c r="V580" i="2" s="1"/>
  <c r="V581" i="2" s="1"/>
  <c r="V582" i="2" s="1"/>
  <c r="V583" i="2" s="1"/>
  <c r="V584" i="2" s="1"/>
  <c r="V585" i="2" s="1"/>
  <c r="V586" i="2" s="1"/>
  <c r="V587" i="2" s="1"/>
  <c r="V588" i="2" s="1"/>
  <c r="V589" i="2" s="1"/>
  <c r="V590" i="2" s="1"/>
  <c r="V591" i="2" s="1"/>
  <c r="V592" i="2" s="1"/>
  <c r="V593" i="2" s="1"/>
  <c r="V594" i="2" s="1"/>
  <c r="V595" i="2" s="1"/>
  <c r="V596" i="2" s="1"/>
  <c r="V597" i="2" s="1"/>
  <c r="V598" i="2" s="1"/>
  <c r="V599" i="2" s="1"/>
  <c r="V600" i="2" s="1"/>
  <c r="V601" i="2" s="1"/>
  <c r="V602" i="2" s="1"/>
  <c r="V603" i="2" s="1"/>
  <c r="V604" i="2" s="1"/>
  <c r="V605" i="2" s="1"/>
  <c r="V606" i="2" s="1"/>
  <c r="V607" i="2" s="1"/>
  <c r="V608" i="2" s="1"/>
  <c r="V609" i="2" s="1"/>
  <c r="V610" i="2" s="1"/>
  <c r="V611" i="2" s="1"/>
  <c r="V612" i="2" s="1"/>
  <c r="V613" i="2" s="1"/>
  <c r="V614" i="2" s="1"/>
  <c r="V615" i="2" s="1"/>
  <c r="V616" i="2" s="1"/>
  <c r="V617" i="2" s="1"/>
  <c r="V618" i="2" s="1"/>
  <c r="V619" i="2" s="1"/>
  <c r="V620" i="2" s="1"/>
  <c r="V621" i="2" s="1"/>
  <c r="V622" i="2" s="1"/>
  <c r="V623" i="2" s="1"/>
  <c r="V624" i="2" s="1"/>
  <c r="V625" i="2" s="1"/>
  <c r="V626" i="2" s="1"/>
  <c r="V627" i="2" s="1"/>
  <c r="V628" i="2" s="1"/>
  <c r="V629" i="2" s="1"/>
  <c r="V630" i="2" s="1"/>
  <c r="V631" i="2" s="1"/>
  <c r="V632" i="2" s="1"/>
  <c r="V633" i="2" s="1"/>
  <c r="V634" i="2" s="1"/>
  <c r="V635" i="2" s="1"/>
  <c r="V636" i="2" s="1"/>
  <c r="V637" i="2" s="1"/>
  <c r="V638" i="2" s="1"/>
  <c r="V639" i="2" s="1"/>
  <c r="V640" i="2" s="1"/>
  <c r="V641" i="2" s="1"/>
  <c r="V642" i="2" s="1"/>
  <c r="V643" i="2" s="1"/>
  <c r="V644" i="2" s="1"/>
  <c r="V645" i="2" s="1"/>
  <c r="V646" i="2" s="1"/>
  <c r="V647" i="2" s="1"/>
  <c r="V648" i="2" s="1"/>
  <c r="V649" i="2" s="1"/>
  <c r="V650" i="2" s="1"/>
  <c r="V651" i="2" s="1"/>
  <c r="V652" i="2" s="1"/>
  <c r="V653" i="2" s="1"/>
  <c r="V654" i="2" s="1"/>
  <c r="V655" i="2" s="1"/>
  <c r="V656" i="2" s="1"/>
  <c r="V657" i="2" s="1"/>
  <c r="V658" i="2" s="1"/>
  <c r="V659" i="2" s="1"/>
  <c r="V660" i="2" s="1"/>
  <c r="V661" i="2" s="1"/>
  <c r="V662" i="2" s="1"/>
  <c r="V663" i="2" s="1"/>
  <c r="V664" i="2" s="1"/>
  <c r="V665" i="2" s="1"/>
  <c r="V666" i="2" s="1"/>
  <c r="V667" i="2" s="1"/>
  <c r="V668" i="2" s="1"/>
  <c r="V669" i="2" s="1"/>
  <c r="V670" i="2" s="1"/>
  <c r="V671" i="2" s="1"/>
  <c r="V672" i="2" s="1"/>
  <c r="V673" i="2" s="1"/>
  <c r="V674" i="2" s="1"/>
  <c r="V675" i="2" s="1"/>
  <c r="V676" i="2" s="1"/>
  <c r="V677" i="2" s="1"/>
  <c r="V678" i="2" s="1"/>
  <c r="V679" i="2" s="1"/>
  <c r="V680" i="2" s="1"/>
  <c r="V681" i="2" s="1"/>
  <c r="V682" i="2" s="1"/>
  <c r="V683" i="2" s="1"/>
  <c r="V684" i="2" s="1"/>
  <c r="V685" i="2" s="1"/>
  <c r="V686" i="2" s="1"/>
  <c r="V687" i="2" s="1"/>
  <c r="V688" i="2" s="1"/>
  <c r="V689" i="2" s="1"/>
  <c r="V690" i="2" s="1"/>
  <c r="V691" i="2" s="1"/>
  <c r="V692" i="2" s="1"/>
  <c r="V693" i="2" s="1"/>
  <c r="V694" i="2" s="1"/>
  <c r="V695" i="2" s="1"/>
  <c r="V696" i="2" s="1"/>
  <c r="V697" i="2" s="1"/>
  <c r="V698" i="2" s="1"/>
  <c r="V699" i="2" s="1"/>
  <c r="V700" i="2" s="1"/>
  <c r="V701" i="2" s="1"/>
  <c r="V702" i="2" s="1"/>
  <c r="V703" i="2" s="1"/>
  <c r="V704" i="2" s="1"/>
  <c r="V705" i="2" s="1"/>
  <c r="V706" i="2" s="1"/>
  <c r="V707" i="2" s="1"/>
  <c r="V708" i="2" s="1"/>
  <c r="V709" i="2" s="1"/>
  <c r="V710" i="2" s="1"/>
  <c r="V711" i="2" s="1"/>
  <c r="V712" i="2" s="1"/>
  <c r="V713" i="2" s="1"/>
  <c r="V714" i="2" s="1"/>
  <c r="V715" i="2" s="1"/>
  <c r="V716" i="2" s="1"/>
  <c r="V717" i="2" s="1"/>
  <c r="V718" i="2" s="1"/>
  <c r="V719" i="2" s="1"/>
  <c r="V720" i="2" s="1"/>
  <c r="V721" i="2" s="1"/>
  <c r="V722" i="2" s="1"/>
  <c r="V723" i="2" s="1"/>
  <c r="V724" i="2" s="1"/>
  <c r="V725" i="2" s="1"/>
  <c r="V726" i="2" s="1"/>
  <c r="V727" i="2" s="1"/>
  <c r="V728" i="2" s="1"/>
  <c r="V729" i="2" s="1"/>
  <c r="V730" i="2" s="1"/>
  <c r="V731" i="2" s="1"/>
  <c r="V732" i="2" s="1"/>
  <c r="V733" i="2" s="1"/>
  <c r="V734" i="2" s="1"/>
  <c r="V735" i="2" s="1"/>
  <c r="V736" i="2" s="1"/>
  <c r="V737" i="2" s="1"/>
  <c r="V738" i="2" s="1"/>
  <c r="V739" i="2" s="1"/>
  <c r="V740" i="2" s="1"/>
  <c r="V741" i="2" s="1"/>
  <c r="V742" i="2" s="1"/>
  <c r="V743" i="2" s="1"/>
  <c r="V744" i="2" s="1"/>
  <c r="V745" i="2" s="1"/>
  <c r="V746" i="2" s="1"/>
  <c r="V747" i="2" s="1"/>
  <c r="V748" i="2" s="1"/>
  <c r="V749" i="2" s="1"/>
  <c r="V750" i="2" s="1"/>
  <c r="V751" i="2" s="1"/>
  <c r="V752" i="2" s="1"/>
  <c r="V753" i="2" s="1"/>
  <c r="V754" i="2" s="1"/>
  <c r="V755" i="2" s="1"/>
  <c r="V756" i="2" s="1"/>
  <c r="V757" i="2" s="1"/>
  <c r="V758" i="2" s="1"/>
  <c r="V759" i="2" s="1"/>
  <c r="V760" i="2" s="1"/>
  <c r="V761" i="2" s="1"/>
  <c r="V762" i="2" s="1"/>
  <c r="V763" i="2" s="1"/>
  <c r="V764" i="2" s="1"/>
  <c r="V765" i="2" s="1"/>
  <c r="V766" i="2" s="1"/>
  <c r="V767" i="2" s="1"/>
  <c r="V768" i="2" s="1"/>
  <c r="V769" i="2" s="1"/>
  <c r="V770" i="2" s="1"/>
  <c r="V771" i="2" s="1"/>
  <c r="V772" i="2" s="1"/>
  <c r="V773" i="2" s="1"/>
  <c r="V774" i="2" s="1"/>
  <c r="V775" i="2" s="1"/>
  <c r="V776" i="2" s="1"/>
  <c r="T776" i="2" s="1"/>
  <c r="H776" i="2" l="1"/>
  <c r="E776" i="2" s="1"/>
  <c r="U764" i="2"/>
  <c r="U765" i="2" s="1"/>
  <c r="U766" i="2" s="1"/>
  <c r="U767" i="2" s="1"/>
  <c r="U768" i="2" s="1"/>
  <c r="U769" i="2" s="1"/>
  <c r="U770" i="2" s="1"/>
  <c r="U771" i="2" s="1"/>
  <c r="U772" i="2" s="1"/>
  <c r="U773" i="2" s="1"/>
  <c r="U774" i="2" s="1"/>
  <c r="U775" i="2" s="1"/>
  <c r="U776" i="2" s="1"/>
  <c r="J16" i="2"/>
  <c r="G16" i="2" s="1"/>
  <c r="P766" i="2"/>
  <c r="P767" i="2" s="1"/>
  <c r="P768" i="2" s="1"/>
  <c r="O742" i="2"/>
  <c r="J17" i="2"/>
  <c r="M19" i="2"/>
  <c r="J18" i="2"/>
  <c r="K17" i="2"/>
  <c r="H16" i="2"/>
  <c r="E16" i="2" s="1"/>
  <c r="C18" i="2"/>
  <c r="T18" i="2" s="1"/>
  <c r="T16" i="2"/>
  <c r="B17" i="2"/>
  <c r="T17" i="2"/>
  <c r="D549" i="2"/>
  <c r="D19" i="2"/>
  <c r="G17" i="2"/>
  <c r="L18" i="2"/>
  <c r="I17" i="2"/>
  <c r="F17" i="2" s="1"/>
  <c r="G18" i="2" l="1"/>
  <c r="P769" i="2"/>
  <c r="P770" i="2" s="1"/>
  <c r="P771" i="2" s="1"/>
  <c r="P772" i="2" s="1"/>
  <c r="P773" i="2" s="1"/>
  <c r="P774" i="2" s="1"/>
  <c r="P775" i="2" s="1"/>
  <c r="P776" i="2" s="1"/>
  <c r="O743" i="2"/>
  <c r="C19" i="2"/>
  <c r="L19" i="2"/>
  <c r="I18" i="2"/>
  <c r="F18" i="2" s="1"/>
  <c r="B18" i="2"/>
  <c r="T19" i="2"/>
  <c r="D20" i="2"/>
  <c r="K18" i="2"/>
  <c r="H17" i="2"/>
  <c r="E17" i="2" s="1"/>
  <c r="D550" i="2"/>
  <c r="M20" i="2"/>
  <c r="J19" i="2"/>
  <c r="G19" i="2" s="1"/>
  <c r="J776" i="2" l="1"/>
  <c r="G776" i="2" s="1"/>
  <c r="O744" i="2"/>
  <c r="D21" i="2"/>
  <c r="B19" i="2"/>
  <c r="I19" i="2"/>
  <c r="F19" i="2" s="1"/>
  <c r="L20" i="2"/>
  <c r="J20" i="2"/>
  <c r="M21" i="2"/>
  <c r="D551" i="2"/>
  <c r="K19" i="2"/>
  <c r="H18" i="2"/>
  <c r="E18" i="2" s="1"/>
  <c r="C20" i="2"/>
  <c r="O745" i="2" l="1"/>
  <c r="C21" i="2"/>
  <c r="J21" i="2"/>
  <c r="G21" i="2" s="1"/>
  <c r="M22" i="2"/>
  <c r="I20" i="2"/>
  <c r="F20" i="2" s="1"/>
  <c r="L21" i="2"/>
  <c r="G20" i="2"/>
  <c r="T20" i="2"/>
  <c r="D22" i="2"/>
  <c r="T21" i="2"/>
  <c r="K20" i="2"/>
  <c r="H19" i="2"/>
  <c r="E19" i="2" s="1"/>
  <c r="D552" i="2"/>
  <c r="B20" i="2"/>
  <c r="O746" i="2" l="1"/>
  <c r="B21" i="2"/>
  <c r="D553" i="2"/>
  <c r="M23" i="2"/>
  <c r="J22" i="2"/>
  <c r="D23" i="2"/>
  <c r="T22" i="2"/>
  <c r="K21" i="2"/>
  <c r="H20" i="2"/>
  <c r="E20" i="2" s="1"/>
  <c r="C22" i="2"/>
  <c r="L22" i="2"/>
  <c r="I21" i="2"/>
  <c r="F21" i="2" s="1"/>
  <c r="G22" i="2" l="1"/>
  <c r="O747" i="2"/>
  <c r="M24" i="2"/>
  <c r="J23" i="2"/>
  <c r="D554" i="2"/>
  <c r="D24" i="2"/>
  <c r="B22" i="2"/>
  <c r="K22" i="2"/>
  <c r="H21" i="2"/>
  <c r="E21" i="2" s="1"/>
  <c r="C23" i="2"/>
  <c r="L23" i="2"/>
  <c r="I22" i="2"/>
  <c r="F22" i="2" s="1"/>
  <c r="O748" i="2" l="1"/>
  <c r="B23" i="2"/>
  <c r="L24" i="2"/>
  <c r="I23" i="2"/>
  <c r="F23" i="2" s="1"/>
  <c r="C24" i="2"/>
  <c r="T24" i="2" s="1"/>
  <c r="D25" i="2"/>
  <c r="H22" i="2"/>
  <c r="E22" i="2" s="1"/>
  <c r="K23" i="2"/>
  <c r="G23" i="2"/>
  <c r="J24" i="2"/>
  <c r="M25" i="2"/>
  <c r="T23" i="2"/>
  <c r="D555" i="2"/>
  <c r="G24" i="2" l="1"/>
  <c r="O749" i="2"/>
  <c r="J25" i="2"/>
  <c r="M26" i="2"/>
  <c r="L25" i="2"/>
  <c r="I24" i="2"/>
  <c r="D26" i="2"/>
  <c r="D556" i="2"/>
  <c r="B24" i="2"/>
  <c r="H23" i="2"/>
  <c r="E23" i="2" s="1"/>
  <c r="K24" i="2"/>
  <c r="F24" i="2"/>
  <c r="C25" i="2"/>
  <c r="G25" i="2" s="1"/>
  <c r="O750" i="2" l="1"/>
  <c r="T25" i="2"/>
  <c r="K25" i="2"/>
  <c r="H24" i="2"/>
  <c r="E24" i="2" s="1"/>
  <c r="B25" i="2"/>
  <c r="D27" i="2"/>
  <c r="L26" i="2"/>
  <c r="I25" i="2"/>
  <c r="M27" i="2"/>
  <c r="J26" i="2"/>
  <c r="D557" i="2"/>
  <c r="C26" i="2"/>
  <c r="F25" i="2"/>
  <c r="O751" i="2" l="1"/>
  <c r="L27" i="2"/>
  <c r="I26" i="2"/>
  <c r="B26" i="2"/>
  <c r="C27" i="2"/>
  <c r="T27" i="2" s="1"/>
  <c r="F26" i="2"/>
  <c r="D558" i="2"/>
  <c r="D28" i="2"/>
  <c r="K26" i="2"/>
  <c r="H25" i="2"/>
  <c r="E25" i="2" s="1"/>
  <c r="M28" i="2"/>
  <c r="J27" i="2"/>
  <c r="G26" i="2"/>
  <c r="T26" i="2"/>
  <c r="O752" i="2" l="1"/>
  <c r="C28" i="2"/>
  <c r="D559" i="2"/>
  <c r="B27" i="2"/>
  <c r="M29" i="2"/>
  <c r="J28" i="2"/>
  <c r="G28" i="2" s="1"/>
  <c r="H26" i="2"/>
  <c r="E26" i="2" s="1"/>
  <c r="K27" i="2"/>
  <c r="I27" i="2"/>
  <c r="F27" i="2" s="1"/>
  <c r="L28" i="2"/>
  <c r="T28" i="2"/>
  <c r="D29" i="2"/>
  <c r="G27" i="2"/>
  <c r="O753" i="2" l="1"/>
  <c r="B28" i="2"/>
  <c r="H27" i="2"/>
  <c r="E27" i="2" s="1"/>
  <c r="K28" i="2"/>
  <c r="D30" i="2"/>
  <c r="D560" i="2"/>
  <c r="I28" i="2"/>
  <c r="F28" i="2" s="1"/>
  <c r="L29" i="2"/>
  <c r="C29" i="2"/>
  <c r="M30" i="2"/>
  <c r="J29" i="2"/>
  <c r="O754" i="2" l="1"/>
  <c r="B29" i="2"/>
  <c r="J30" i="2"/>
  <c r="M31" i="2"/>
  <c r="D561" i="2"/>
  <c r="C30" i="2"/>
  <c r="T29" i="2"/>
  <c r="D31" i="2"/>
  <c r="L30" i="2"/>
  <c r="I29" i="2"/>
  <c r="F29" i="2" s="1"/>
  <c r="G29" i="2"/>
  <c r="K29" i="2"/>
  <c r="H28" i="2"/>
  <c r="E28" i="2" s="1"/>
  <c r="G30" i="2" l="1"/>
  <c r="T30" i="2"/>
  <c r="O755" i="2"/>
  <c r="L31" i="2"/>
  <c r="I30" i="2"/>
  <c r="B30" i="2"/>
  <c r="T31" i="2"/>
  <c r="D32" i="2"/>
  <c r="K30" i="2"/>
  <c r="H29" i="2"/>
  <c r="E29" i="2" s="1"/>
  <c r="F30" i="2"/>
  <c r="C31" i="2"/>
  <c r="M32" i="2"/>
  <c r="J31" i="2"/>
  <c r="G31" i="2" s="1"/>
  <c r="D562" i="2"/>
  <c r="O756" i="2" l="1"/>
  <c r="K31" i="2"/>
  <c r="H30" i="2"/>
  <c r="E30" i="2" s="1"/>
  <c r="B31" i="2"/>
  <c r="F31" i="2"/>
  <c r="C32" i="2"/>
  <c r="T32" i="2" s="1"/>
  <c r="D33" i="2"/>
  <c r="D563" i="2"/>
  <c r="I31" i="2"/>
  <c r="L32" i="2"/>
  <c r="J32" i="2"/>
  <c r="M33" i="2"/>
  <c r="O757" i="2" l="1"/>
  <c r="J33" i="2"/>
  <c r="M34" i="2"/>
  <c r="B32" i="2"/>
  <c r="I32" i="2"/>
  <c r="F32" i="2" s="1"/>
  <c r="L33" i="2"/>
  <c r="G32" i="2"/>
  <c r="K32" i="2"/>
  <c r="H31" i="2"/>
  <c r="E31" i="2" s="1"/>
  <c r="D564" i="2"/>
  <c r="C33" i="2"/>
  <c r="G33" i="2" s="1"/>
  <c r="D34" i="2"/>
  <c r="T33" i="2" l="1"/>
  <c r="O758" i="2"/>
  <c r="K33" i="2"/>
  <c r="H32" i="2"/>
  <c r="E32" i="2" s="1"/>
  <c r="M35" i="2"/>
  <c r="J34" i="2"/>
  <c r="D565" i="2"/>
  <c r="D35" i="2"/>
  <c r="F33" i="2"/>
  <c r="C34" i="2"/>
  <c r="B33" i="2"/>
  <c r="L34" i="2"/>
  <c r="I33" i="2"/>
  <c r="O759" i="2" l="1"/>
  <c r="C35" i="2"/>
  <c r="T35" i="2"/>
  <c r="D36" i="2"/>
  <c r="M36" i="2"/>
  <c r="J35" i="2"/>
  <c r="T34" i="2"/>
  <c r="B34" i="2"/>
  <c r="G34" i="2"/>
  <c r="L35" i="2"/>
  <c r="I34" i="2"/>
  <c r="F34" i="2" s="1"/>
  <c r="K34" i="2"/>
  <c r="H33" i="2"/>
  <c r="E33" i="2" s="1"/>
  <c r="D566" i="2"/>
  <c r="O760" i="2" l="1"/>
  <c r="B35" i="2"/>
  <c r="L36" i="2"/>
  <c r="I35" i="2"/>
  <c r="F35" i="2" s="1"/>
  <c r="D567" i="2"/>
  <c r="J36" i="2"/>
  <c r="M37" i="2"/>
  <c r="C36" i="2"/>
  <c r="H34" i="2"/>
  <c r="E34" i="2" s="1"/>
  <c r="K35" i="2"/>
  <c r="T36" i="2"/>
  <c r="D37" i="2"/>
  <c r="G35" i="2"/>
  <c r="G36" i="2" l="1"/>
  <c r="O761" i="2"/>
  <c r="L37" i="2"/>
  <c r="I36" i="2"/>
  <c r="F36" i="2" s="1"/>
  <c r="D38" i="2"/>
  <c r="T37" i="2"/>
  <c r="C37" i="2"/>
  <c r="H35" i="2"/>
  <c r="E35" i="2" s="1"/>
  <c r="K36" i="2"/>
  <c r="J37" i="2"/>
  <c r="G37" i="2" s="1"/>
  <c r="M38" i="2"/>
  <c r="B36" i="2"/>
  <c r="D568" i="2"/>
  <c r="O762" i="2" l="1"/>
  <c r="O763" i="2" s="1"/>
  <c r="K37" i="2"/>
  <c r="H36" i="2"/>
  <c r="E36" i="2" s="1"/>
  <c r="D569" i="2"/>
  <c r="D39" i="2"/>
  <c r="M39" i="2"/>
  <c r="J38" i="2"/>
  <c r="C38" i="2"/>
  <c r="L38" i="2"/>
  <c r="I37" i="2"/>
  <c r="F37" i="2" s="1"/>
  <c r="B37" i="2"/>
  <c r="D570" i="2" l="1"/>
  <c r="M40" i="2"/>
  <c r="J39" i="2"/>
  <c r="C39" i="2"/>
  <c r="G39" i="2" s="1"/>
  <c r="F38" i="2"/>
  <c r="G38" i="2"/>
  <c r="T38" i="2"/>
  <c r="B38" i="2"/>
  <c r="L39" i="2"/>
  <c r="I38" i="2"/>
  <c r="K38" i="2"/>
  <c r="H37" i="2"/>
  <c r="E37" i="2" s="1"/>
  <c r="D40" i="2"/>
  <c r="T39" i="2" l="1"/>
  <c r="O764" i="2"/>
  <c r="C40" i="2"/>
  <c r="I39" i="2"/>
  <c r="F39" i="2" s="1"/>
  <c r="L40" i="2"/>
  <c r="B39" i="2"/>
  <c r="M41" i="2"/>
  <c r="J40" i="2"/>
  <c r="G40" i="2" s="1"/>
  <c r="D571" i="2"/>
  <c r="T40" i="2"/>
  <c r="D41" i="2"/>
  <c r="H38" i="2"/>
  <c r="E38" i="2" s="1"/>
  <c r="K39" i="2"/>
  <c r="O765" i="2" l="1"/>
  <c r="M42" i="2"/>
  <c r="J41" i="2"/>
  <c r="D572" i="2"/>
  <c r="H39" i="2"/>
  <c r="E39" i="2" s="1"/>
  <c r="K40" i="2"/>
  <c r="B40" i="2"/>
  <c r="D42" i="2"/>
  <c r="C41" i="2"/>
  <c r="I40" i="2"/>
  <c r="F40" i="2" s="1"/>
  <c r="L41" i="2"/>
  <c r="G41" i="2" l="1"/>
  <c r="O766" i="2"/>
  <c r="L42" i="2"/>
  <c r="I41" i="2"/>
  <c r="H40" i="2"/>
  <c r="E40" i="2" s="1"/>
  <c r="K41" i="2"/>
  <c r="T41" i="2"/>
  <c r="D573" i="2"/>
  <c r="D43" i="2"/>
  <c r="M43" i="2"/>
  <c r="J42" i="2"/>
  <c r="F41" i="2"/>
  <c r="C42" i="2"/>
  <c r="T42" i="2" s="1"/>
  <c r="B41" i="2"/>
  <c r="O767" i="2" l="1"/>
  <c r="K42" i="2"/>
  <c r="H41" i="2"/>
  <c r="E41" i="2" s="1"/>
  <c r="L43" i="2"/>
  <c r="I42" i="2"/>
  <c r="F42" i="2" s="1"/>
  <c r="J43" i="2"/>
  <c r="M44" i="2"/>
  <c r="C43" i="2"/>
  <c r="T43" i="2" s="1"/>
  <c r="D44" i="2"/>
  <c r="B42" i="2"/>
  <c r="G42" i="2"/>
  <c r="D574" i="2"/>
  <c r="G43" i="2" l="1"/>
  <c r="O768" i="2"/>
  <c r="D575" i="2"/>
  <c r="J44" i="2"/>
  <c r="M45" i="2"/>
  <c r="B43" i="2"/>
  <c r="L44" i="2"/>
  <c r="I43" i="2"/>
  <c r="F43" i="2" s="1"/>
  <c r="T44" i="2"/>
  <c r="D45" i="2"/>
  <c r="K43" i="2"/>
  <c r="H42" i="2"/>
  <c r="E42" i="2" s="1"/>
  <c r="C44" i="2"/>
  <c r="G44" i="2" l="1"/>
  <c r="O769" i="2"/>
  <c r="B44" i="2"/>
  <c r="M46" i="2"/>
  <c r="J45" i="2"/>
  <c r="D576" i="2"/>
  <c r="H43" i="2"/>
  <c r="E43" i="2" s="1"/>
  <c r="K44" i="2"/>
  <c r="C45" i="2"/>
  <c r="T45" i="2" s="1"/>
  <c r="D46" i="2"/>
  <c r="I44" i="2"/>
  <c r="F44" i="2" s="1"/>
  <c r="L45" i="2"/>
  <c r="G45" i="2" l="1"/>
  <c r="O770" i="2"/>
  <c r="M47" i="2"/>
  <c r="J46" i="2"/>
  <c r="B45" i="2"/>
  <c r="D577" i="2"/>
  <c r="D47" i="2"/>
  <c r="C46" i="2"/>
  <c r="G46" i="2" s="1"/>
  <c r="I45" i="2"/>
  <c r="F45" i="2" s="1"/>
  <c r="L46" i="2"/>
  <c r="H44" i="2"/>
  <c r="E44" i="2" s="1"/>
  <c r="K45" i="2"/>
  <c r="O771" i="2" l="1"/>
  <c r="H45" i="2"/>
  <c r="E45" i="2" s="1"/>
  <c r="K46" i="2"/>
  <c r="D578" i="2"/>
  <c r="B46" i="2"/>
  <c r="C47" i="2"/>
  <c r="F46" i="2"/>
  <c r="J47" i="2"/>
  <c r="M48" i="2"/>
  <c r="L47" i="2"/>
  <c r="I46" i="2"/>
  <c r="D48" i="2"/>
  <c r="T46" i="2"/>
  <c r="O772" i="2" l="1"/>
  <c r="C48" i="2"/>
  <c r="D579" i="2"/>
  <c r="G47" i="2"/>
  <c r="T47" i="2"/>
  <c r="B47" i="2"/>
  <c r="J48" i="2"/>
  <c r="M49" i="2"/>
  <c r="H46" i="2"/>
  <c r="E46" i="2" s="1"/>
  <c r="K47" i="2"/>
  <c r="T48" i="2"/>
  <c r="G48" i="2"/>
  <c r="D49" i="2"/>
  <c r="I47" i="2"/>
  <c r="F47" i="2" s="1"/>
  <c r="L48" i="2"/>
  <c r="O773" i="2" l="1"/>
  <c r="L49" i="2"/>
  <c r="I48" i="2"/>
  <c r="F48" i="2" s="1"/>
  <c r="D50" i="2"/>
  <c r="B48" i="2"/>
  <c r="K48" i="2"/>
  <c r="H47" i="2"/>
  <c r="E47" i="2" s="1"/>
  <c r="D580" i="2"/>
  <c r="J49" i="2"/>
  <c r="M50" i="2"/>
  <c r="C49" i="2"/>
  <c r="G49" i="2" l="1"/>
  <c r="O774" i="2"/>
  <c r="T49" i="2"/>
  <c r="D51" i="2"/>
  <c r="C50" i="2"/>
  <c r="T50" i="2" s="1"/>
  <c r="B49" i="2"/>
  <c r="D581" i="2"/>
  <c r="I49" i="2"/>
  <c r="F49" i="2" s="1"/>
  <c r="L50" i="2"/>
  <c r="M51" i="2"/>
  <c r="J50" i="2"/>
  <c r="H48" i="2"/>
  <c r="E48" i="2" s="1"/>
  <c r="K49" i="2"/>
  <c r="O775" i="2" l="1"/>
  <c r="H49" i="2"/>
  <c r="E49" i="2" s="1"/>
  <c r="K50" i="2"/>
  <c r="G50" i="2"/>
  <c r="D52" i="2"/>
  <c r="T51" i="2"/>
  <c r="M52" i="2"/>
  <c r="J51" i="2"/>
  <c r="C51" i="2"/>
  <c r="I50" i="2"/>
  <c r="F50" i="2" s="1"/>
  <c r="L51" i="2"/>
  <c r="B50" i="2"/>
  <c r="D582" i="2"/>
  <c r="G51" i="2" l="1"/>
  <c r="L52" i="2"/>
  <c r="I51" i="2"/>
  <c r="D53" i="2"/>
  <c r="D583" i="2"/>
  <c r="H50" i="2"/>
  <c r="E50" i="2" s="1"/>
  <c r="K51" i="2"/>
  <c r="J52" i="2"/>
  <c r="M53" i="2"/>
  <c r="B51" i="2"/>
  <c r="C52" i="2"/>
  <c r="F51" i="2"/>
  <c r="G52" i="2" l="1"/>
  <c r="T52" i="2"/>
  <c r="D54" i="2"/>
  <c r="C53" i="2"/>
  <c r="L53" i="2"/>
  <c r="I52" i="2"/>
  <c r="F52" i="2" s="1"/>
  <c r="D584" i="2"/>
  <c r="B52" i="2"/>
  <c r="M54" i="2"/>
  <c r="J53" i="2"/>
  <c r="H51" i="2"/>
  <c r="E51" i="2" s="1"/>
  <c r="K52" i="2"/>
  <c r="G53" i="2" l="1"/>
  <c r="C54" i="2"/>
  <c r="D55" i="2"/>
  <c r="T54" i="2"/>
  <c r="K53" i="2"/>
  <c r="H52" i="2"/>
  <c r="E52" i="2" s="1"/>
  <c r="T53" i="2"/>
  <c r="B53" i="2"/>
  <c r="I53" i="2"/>
  <c r="F53" i="2" s="1"/>
  <c r="L54" i="2"/>
  <c r="J54" i="2"/>
  <c r="G54" i="2" s="1"/>
  <c r="M55" i="2"/>
  <c r="D585" i="2"/>
  <c r="I54" i="2" l="1"/>
  <c r="L55" i="2"/>
  <c r="K54" i="2"/>
  <c r="H53" i="2"/>
  <c r="E53" i="2" s="1"/>
  <c r="D56" i="2"/>
  <c r="C55" i="2"/>
  <c r="F54" i="2"/>
  <c r="D586" i="2"/>
  <c r="B54" i="2"/>
  <c r="J55" i="2"/>
  <c r="M56" i="2"/>
  <c r="G55" i="2" l="1"/>
  <c r="D57" i="2"/>
  <c r="D587" i="2"/>
  <c r="T55" i="2"/>
  <c r="H54" i="2"/>
  <c r="E54" i="2" s="1"/>
  <c r="K55" i="2"/>
  <c r="M57" i="2"/>
  <c r="J56" i="2"/>
  <c r="I55" i="2"/>
  <c r="L56" i="2"/>
  <c r="F55" i="2"/>
  <c r="C56" i="2"/>
  <c r="B55" i="2"/>
  <c r="G56" i="2" l="1"/>
  <c r="D588" i="2"/>
  <c r="K56" i="2"/>
  <c r="H55" i="2"/>
  <c r="E55" i="2" s="1"/>
  <c r="T56" i="2"/>
  <c r="D58" i="2"/>
  <c r="M58" i="2"/>
  <c r="J57" i="2"/>
  <c r="B56" i="2"/>
  <c r="I56" i="2"/>
  <c r="F56" i="2" s="1"/>
  <c r="L57" i="2"/>
  <c r="C57" i="2"/>
  <c r="T57" i="2" s="1"/>
  <c r="G57" i="2" l="1"/>
  <c r="H56" i="2"/>
  <c r="E56" i="2" s="1"/>
  <c r="K57" i="2"/>
  <c r="D589" i="2"/>
  <c r="B57" i="2"/>
  <c r="L58" i="2"/>
  <c r="I57" i="2"/>
  <c r="F57" i="2" s="1"/>
  <c r="M59" i="2"/>
  <c r="J58" i="2"/>
  <c r="C58" i="2"/>
  <c r="T58" i="2" s="1"/>
  <c r="G58" i="2"/>
  <c r="D59" i="2"/>
  <c r="L59" i="2" l="1"/>
  <c r="I58" i="2"/>
  <c r="B58" i="2"/>
  <c r="D60" i="2"/>
  <c r="D590" i="2"/>
  <c r="H57" i="2"/>
  <c r="E57" i="2" s="1"/>
  <c r="K58" i="2"/>
  <c r="J59" i="2"/>
  <c r="M60" i="2"/>
  <c r="F58" i="2"/>
  <c r="C59" i="2"/>
  <c r="G59" i="2" l="1"/>
  <c r="K59" i="2"/>
  <c r="H58" i="2"/>
  <c r="E58" i="2" s="1"/>
  <c r="D61" i="2"/>
  <c r="D591" i="2"/>
  <c r="B59" i="2"/>
  <c r="I59" i="2"/>
  <c r="F59" i="2" s="1"/>
  <c r="L60" i="2"/>
  <c r="C60" i="2"/>
  <c r="T59" i="2"/>
  <c r="J60" i="2"/>
  <c r="M61" i="2"/>
  <c r="G60" i="2" l="1"/>
  <c r="K60" i="2"/>
  <c r="H59" i="2"/>
  <c r="E59" i="2" s="1"/>
  <c r="L61" i="2"/>
  <c r="I60" i="2"/>
  <c r="F60" i="2" s="1"/>
  <c r="B60" i="2"/>
  <c r="J61" i="2"/>
  <c r="M62" i="2"/>
  <c r="D62" i="2"/>
  <c r="G61" i="2"/>
  <c r="D592" i="2"/>
  <c r="C61" i="2"/>
  <c r="T60" i="2"/>
  <c r="T62" i="2" l="1"/>
  <c r="D63" i="2"/>
  <c r="B61" i="2"/>
  <c r="C62" i="2"/>
  <c r="T61" i="2"/>
  <c r="I61" i="2"/>
  <c r="F61" i="2" s="1"/>
  <c r="L62" i="2"/>
  <c r="M63" i="2"/>
  <c r="J62" i="2"/>
  <c r="D593" i="2"/>
  <c r="H60" i="2"/>
  <c r="E60" i="2" s="1"/>
  <c r="K61" i="2"/>
  <c r="C63" i="2" l="1"/>
  <c r="T63" i="2" s="1"/>
  <c r="K62" i="2"/>
  <c r="H61" i="2"/>
  <c r="E61" i="2" s="1"/>
  <c r="D594" i="2"/>
  <c r="M64" i="2"/>
  <c r="J63" i="2"/>
  <c r="B62" i="2"/>
  <c r="I62" i="2"/>
  <c r="F62" i="2" s="1"/>
  <c r="L63" i="2"/>
  <c r="G62" i="2"/>
  <c r="D64" i="2"/>
  <c r="G63" i="2" l="1"/>
  <c r="H62" i="2"/>
  <c r="E62" i="2" s="1"/>
  <c r="K63" i="2"/>
  <c r="J64" i="2"/>
  <c r="M65" i="2"/>
  <c r="L64" i="2"/>
  <c r="I63" i="2"/>
  <c r="D65" i="2"/>
  <c r="D595" i="2"/>
  <c r="C64" i="2"/>
  <c r="T64" i="2" s="1"/>
  <c r="F63" i="2"/>
  <c r="B63" i="2"/>
  <c r="G64" i="2" l="1"/>
  <c r="D596" i="2"/>
  <c r="B64" i="2"/>
  <c r="H63" i="2"/>
  <c r="E63" i="2" s="1"/>
  <c r="K64" i="2"/>
  <c r="D66" i="2"/>
  <c r="L65" i="2"/>
  <c r="I64" i="2"/>
  <c r="F64" i="2" s="1"/>
  <c r="C65" i="2"/>
  <c r="T65" i="2" s="1"/>
  <c r="J65" i="2"/>
  <c r="M66" i="2"/>
  <c r="G65" i="2" l="1"/>
  <c r="I65" i="2"/>
  <c r="L66" i="2"/>
  <c r="D597" i="2"/>
  <c r="F65" i="2"/>
  <c r="C66" i="2"/>
  <c r="J66" i="2"/>
  <c r="M67" i="2"/>
  <c r="K65" i="2"/>
  <c r="H64" i="2"/>
  <c r="E64" i="2" s="1"/>
  <c r="D67" i="2"/>
  <c r="B65" i="2"/>
  <c r="C67" i="2" l="1"/>
  <c r="F66" i="2"/>
  <c r="D598" i="2"/>
  <c r="G66" i="2"/>
  <c r="I66" i="2"/>
  <c r="L67" i="2"/>
  <c r="K66" i="2"/>
  <c r="H65" i="2"/>
  <c r="E65" i="2" s="1"/>
  <c r="T67" i="2"/>
  <c r="D68" i="2"/>
  <c r="J67" i="2"/>
  <c r="G67" i="2" s="1"/>
  <c r="M68" i="2"/>
  <c r="T66" i="2"/>
  <c r="B66" i="2"/>
  <c r="H66" i="2" l="1"/>
  <c r="E66" i="2" s="1"/>
  <c r="K67" i="2"/>
  <c r="D599" i="2"/>
  <c r="T68" i="2"/>
  <c r="D69" i="2"/>
  <c r="C68" i="2"/>
  <c r="B67" i="2"/>
  <c r="M69" i="2"/>
  <c r="J68" i="2"/>
  <c r="G68" i="2" s="1"/>
  <c r="I67" i="2"/>
  <c r="F67" i="2" s="1"/>
  <c r="L68" i="2"/>
  <c r="D70" i="2" l="1"/>
  <c r="H67" i="2"/>
  <c r="E67" i="2" s="1"/>
  <c r="K68" i="2"/>
  <c r="I68" i="2"/>
  <c r="F68" i="2" s="1"/>
  <c r="L69" i="2"/>
  <c r="D600" i="2"/>
  <c r="M70" i="2"/>
  <c r="J69" i="2"/>
  <c r="B68" i="2"/>
  <c r="C69" i="2"/>
  <c r="G69" i="2" l="1"/>
  <c r="H68" i="2"/>
  <c r="E68" i="2" s="1"/>
  <c r="K69" i="2"/>
  <c r="B69" i="2"/>
  <c r="T69" i="2"/>
  <c r="D601" i="2"/>
  <c r="D71" i="2"/>
  <c r="J70" i="2"/>
  <c r="M71" i="2"/>
  <c r="I69" i="2"/>
  <c r="F69" i="2" s="1"/>
  <c r="L70" i="2"/>
  <c r="C70" i="2"/>
  <c r="T70" i="2" s="1"/>
  <c r="D72" i="2" l="1"/>
  <c r="B70" i="2"/>
  <c r="C71" i="2"/>
  <c r="G70" i="2"/>
  <c r="L71" i="2"/>
  <c r="I70" i="2"/>
  <c r="F70" i="2" s="1"/>
  <c r="M72" i="2"/>
  <c r="J71" i="2"/>
  <c r="D602" i="2"/>
  <c r="H69" i="2"/>
  <c r="E69" i="2" s="1"/>
  <c r="K70" i="2"/>
  <c r="D603" i="2" l="1"/>
  <c r="C72" i="2"/>
  <c r="I71" i="2"/>
  <c r="F71" i="2" s="1"/>
  <c r="L72" i="2"/>
  <c r="B71" i="2"/>
  <c r="G71" i="2"/>
  <c r="T71" i="2"/>
  <c r="T72" i="2"/>
  <c r="D73" i="2"/>
  <c r="M73" i="2"/>
  <c r="J72" i="2"/>
  <c r="G72" i="2" s="1"/>
  <c r="K71" i="2"/>
  <c r="H70" i="2"/>
  <c r="E70" i="2" s="1"/>
  <c r="C73" i="2" l="1"/>
  <c r="T73" i="2" s="1"/>
  <c r="K72" i="2"/>
  <c r="H71" i="2"/>
  <c r="E71" i="2" s="1"/>
  <c r="B72" i="2"/>
  <c r="J73" i="2"/>
  <c r="G73" i="2" s="1"/>
  <c r="M74" i="2"/>
  <c r="D74" i="2"/>
  <c r="D604" i="2"/>
  <c r="L73" i="2"/>
  <c r="I72" i="2"/>
  <c r="F72" i="2" s="1"/>
  <c r="K73" i="2" l="1"/>
  <c r="H72" i="2"/>
  <c r="E72" i="2" s="1"/>
  <c r="I73" i="2"/>
  <c r="F73" i="2" s="1"/>
  <c r="L74" i="2"/>
  <c r="J74" i="2"/>
  <c r="M75" i="2"/>
  <c r="C74" i="2"/>
  <c r="G74" i="2"/>
  <c r="D75" i="2"/>
  <c r="B73" i="2"/>
  <c r="D605" i="2"/>
  <c r="K74" i="2" l="1"/>
  <c r="H73" i="2"/>
  <c r="E73" i="2" s="1"/>
  <c r="B74" i="2"/>
  <c r="C75" i="2"/>
  <c r="M76" i="2"/>
  <c r="J75" i="2"/>
  <c r="D606" i="2"/>
  <c r="I74" i="2"/>
  <c r="F74" i="2" s="1"/>
  <c r="L75" i="2"/>
  <c r="T75" i="2"/>
  <c r="D76" i="2"/>
  <c r="T74" i="2"/>
  <c r="C76" i="2" l="1"/>
  <c r="J76" i="2"/>
  <c r="G76" i="2" s="1"/>
  <c r="M77" i="2"/>
  <c r="B75" i="2"/>
  <c r="G75" i="2"/>
  <c r="H74" i="2"/>
  <c r="E74" i="2" s="1"/>
  <c r="K75" i="2"/>
  <c r="T76" i="2"/>
  <c r="D77" i="2"/>
  <c r="L76" i="2"/>
  <c r="I75" i="2"/>
  <c r="F75" i="2" s="1"/>
  <c r="D607" i="2"/>
  <c r="J77" i="2" l="1"/>
  <c r="M78" i="2"/>
  <c r="H75" i="2"/>
  <c r="E75" i="2" s="1"/>
  <c r="K76" i="2"/>
  <c r="B76" i="2"/>
  <c r="F76" i="2"/>
  <c r="C77" i="2"/>
  <c r="G77" i="2" s="1"/>
  <c r="L77" i="2"/>
  <c r="I76" i="2"/>
  <c r="D608" i="2"/>
  <c r="D78" i="2"/>
  <c r="T77" i="2"/>
  <c r="B77" i="2" l="1"/>
  <c r="K77" i="2"/>
  <c r="H76" i="2"/>
  <c r="E76" i="2" s="1"/>
  <c r="I77" i="2"/>
  <c r="F77" i="2" s="1"/>
  <c r="L78" i="2"/>
  <c r="M79" i="2"/>
  <c r="J78" i="2"/>
  <c r="D609" i="2"/>
  <c r="D79" i="2"/>
  <c r="C78" i="2"/>
  <c r="L79" i="2" l="1"/>
  <c r="I78" i="2"/>
  <c r="F78" i="2" s="1"/>
  <c r="D610" i="2"/>
  <c r="C79" i="2"/>
  <c r="T78" i="2"/>
  <c r="K78" i="2"/>
  <c r="H77" i="2"/>
  <c r="E77" i="2" s="1"/>
  <c r="G78" i="2"/>
  <c r="D80" i="2"/>
  <c r="T79" i="2"/>
  <c r="B78" i="2"/>
  <c r="J79" i="2"/>
  <c r="G79" i="2" s="1"/>
  <c r="M80" i="2"/>
  <c r="K79" i="2" l="1"/>
  <c r="H78" i="2"/>
  <c r="E78" i="2" s="1"/>
  <c r="M81" i="2"/>
  <c r="J80" i="2"/>
  <c r="B79" i="2"/>
  <c r="C80" i="2"/>
  <c r="T80" i="2" s="1"/>
  <c r="D81" i="2"/>
  <c r="D611" i="2"/>
  <c r="L80" i="2"/>
  <c r="I79" i="2"/>
  <c r="F79" i="2" s="1"/>
  <c r="G80" i="2" l="1"/>
  <c r="D612" i="2"/>
  <c r="K80" i="2"/>
  <c r="H79" i="2"/>
  <c r="E79" i="2" s="1"/>
  <c r="C81" i="2"/>
  <c r="T81" i="2" s="1"/>
  <c r="D82" i="2"/>
  <c r="J81" i="2"/>
  <c r="M82" i="2"/>
  <c r="I80" i="2"/>
  <c r="F80" i="2" s="1"/>
  <c r="L81" i="2"/>
  <c r="B80" i="2"/>
  <c r="G81" i="2" l="1"/>
  <c r="B81" i="2"/>
  <c r="K81" i="2"/>
  <c r="H80" i="2"/>
  <c r="E80" i="2" s="1"/>
  <c r="I81" i="2"/>
  <c r="F81" i="2" s="1"/>
  <c r="L82" i="2"/>
  <c r="D613" i="2"/>
  <c r="C82" i="2"/>
  <c r="D83" i="2"/>
  <c r="M83" i="2"/>
  <c r="J82" i="2"/>
  <c r="L83" i="2" l="1"/>
  <c r="I82" i="2"/>
  <c r="F82" i="2" s="1"/>
  <c r="M84" i="2"/>
  <c r="J83" i="2"/>
  <c r="G83" i="2" s="1"/>
  <c r="C83" i="2"/>
  <c r="K82" i="2"/>
  <c r="H81" i="2"/>
  <c r="E81" i="2" s="1"/>
  <c r="D84" i="2"/>
  <c r="T83" i="2"/>
  <c r="G82" i="2"/>
  <c r="T82" i="2"/>
  <c r="D614" i="2"/>
  <c r="B82" i="2"/>
  <c r="B83" i="2" l="1"/>
  <c r="K83" i="2"/>
  <c r="H82" i="2"/>
  <c r="E82" i="2" s="1"/>
  <c r="C84" i="2"/>
  <c r="G84" i="2" s="1"/>
  <c r="D615" i="2"/>
  <c r="T84" i="2"/>
  <c r="D85" i="2"/>
  <c r="I83" i="2"/>
  <c r="F83" i="2" s="1"/>
  <c r="L84" i="2"/>
  <c r="M85" i="2"/>
  <c r="J84" i="2"/>
  <c r="L85" i="2" l="1"/>
  <c r="I84" i="2"/>
  <c r="H83" i="2"/>
  <c r="E83" i="2" s="1"/>
  <c r="K84" i="2"/>
  <c r="D86" i="2"/>
  <c r="D616" i="2"/>
  <c r="B84" i="2"/>
  <c r="M86" i="2"/>
  <c r="J85" i="2"/>
  <c r="F84" i="2"/>
  <c r="C85" i="2"/>
  <c r="T85" i="2" s="1"/>
  <c r="G85" i="2" l="1"/>
  <c r="D87" i="2"/>
  <c r="K85" i="2"/>
  <c r="H84" i="2"/>
  <c r="E84" i="2" s="1"/>
  <c r="J86" i="2"/>
  <c r="M87" i="2"/>
  <c r="D617" i="2"/>
  <c r="B85" i="2"/>
  <c r="C86" i="2"/>
  <c r="T86" i="2" s="1"/>
  <c r="L86" i="2"/>
  <c r="I85" i="2"/>
  <c r="F85" i="2" s="1"/>
  <c r="G86" i="2" l="1"/>
  <c r="B86" i="2"/>
  <c r="D88" i="2"/>
  <c r="D618" i="2"/>
  <c r="L87" i="2"/>
  <c r="I86" i="2"/>
  <c r="F86" i="2" s="1"/>
  <c r="C87" i="2"/>
  <c r="M88" i="2"/>
  <c r="J87" i="2"/>
  <c r="K86" i="2"/>
  <c r="H85" i="2"/>
  <c r="E85" i="2" s="1"/>
  <c r="C88" i="2" l="1"/>
  <c r="L88" i="2"/>
  <c r="I87" i="2"/>
  <c r="F87" i="2" s="1"/>
  <c r="D89" i="2"/>
  <c r="T88" i="2"/>
  <c r="T87" i="2"/>
  <c r="D619" i="2"/>
  <c r="G87" i="2"/>
  <c r="B87" i="2"/>
  <c r="K87" i="2"/>
  <c r="H86" i="2"/>
  <c r="E86" i="2" s="1"/>
  <c r="J88" i="2"/>
  <c r="G88" i="2" s="1"/>
  <c r="M89" i="2"/>
  <c r="D90" i="2" l="1"/>
  <c r="D620" i="2"/>
  <c r="I88" i="2"/>
  <c r="F88" i="2" s="1"/>
  <c r="L89" i="2"/>
  <c r="C89" i="2"/>
  <c r="M90" i="2"/>
  <c r="J89" i="2"/>
  <c r="B88" i="2"/>
  <c r="K88" i="2"/>
  <c r="H87" i="2"/>
  <c r="E87" i="2" s="1"/>
  <c r="L90" i="2" l="1"/>
  <c r="I89" i="2"/>
  <c r="M91" i="2"/>
  <c r="J90" i="2"/>
  <c r="D621" i="2"/>
  <c r="H88" i="2"/>
  <c r="E88" i="2" s="1"/>
  <c r="K89" i="2"/>
  <c r="F89" i="2"/>
  <c r="C90" i="2"/>
  <c r="G90" i="2" s="1"/>
  <c r="D91" i="2"/>
  <c r="B89" i="2"/>
  <c r="G89" i="2"/>
  <c r="T89" i="2"/>
  <c r="T90" i="2" l="1"/>
  <c r="D622" i="2"/>
  <c r="B90" i="2"/>
  <c r="D92" i="2"/>
  <c r="C91" i="2"/>
  <c r="T91" i="2" s="1"/>
  <c r="M92" i="2"/>
  <c r="J91" i="2"/>
  <c r="L91" i="2"/>
  <c r="I90" i="2"/>
  <c r="F90" i="2" s="1"/>
  <c r="K90" i="2"/>
  <c r="H89" i="2"/>
  <c r="E89" i="2" s="1"/>
  <c r="G91" i="2" l="1"/>
  <c r="L92" i="2"/>
  <c r="I91" i="2"/>
  <c r="D93" i="2"/>
  <c r="B91" i="2"/>
  <c r="H90" i="2"/>
  <c r="E90" i="2" s="1"/>
  <c r="K91" i="2"/>
  <c r="M93" i="2"/>
  <c r="J92" i="2"/>
  <c r="D623" i="2"/>
  <c r="F91" i="2"/>
  <c r="C92" i="2"/>
  <c r="T92" i="2" s="1"/>
  <c r="K92" i="2" l="1"/>
  <c r="H91" i="2"/>
  <c r="E91" i="2" s="1"/>
  <c r="B92" i="2"/>
  <c r="D94" i="2"/>
  <c r="G92" i="2"/>
  <c r="J93" i="2"/>
  <c r="M94" i="2"/>
  <c r="D624" i="2"/>
  <c r="L93" i="2"/>
  <c r="I92" i="2"/>
  <c r="F92" i="2"/>
  <c r="C93" i="2"/>
  <c r="G93" i="2" s="1"/>
  <c r="M95" i="2" l="1"/>
  <c r="J94" i="2"/>
  <c r="D95" i="2"/>
  <c r="B93" i="2"/>
  <c r="K93" i="2"/>
  <c r="H92" i="2"/>
  <c r="E92" i="2" s="1"/>
  <c r="I93" i="2"/>
  <c r="L94" i="2"/>
  <c r="D625" i="2"/>
  <c r="C94" i="2"/>
  <c r="T94" i="2" s="1"/>
  <c r="F93" i="2"/>
  <c r="T93" i="2"/>
  <c r="D96" i="2" l="1"/>
  <c r="G94" i="2"/>
  <c r="K94" i="2"/>
  <c r="H93" i="2"/>
  <c r="E93" i="2" s="1"/>
  <c r="B94" i="2"/>
  <c r="M96" i="2"/>
  <c r="J95" i="2"/>
  <c r="C95" i="2"/>
  <c r="G95" i="2" s="1"/>
  <c r="D626" i="2"/>
  <c r="L95" i="2"/>
  <c r="I94" i="2"/>
  <c r="F94" i="2" s="1"/>
  <c r="M97" i="2" l="1"/>
  <c r="J96" i="2"/>
  <c r="T95" i="2"/>
  <c r="B95" i="2"/>
  <c r="D627" i="2"/>
  <c r="D97" i="2"/>
  <c r="I95" i="2"/>
  <c r="F95" i="2" s="1"/>
  <c r="L96" i="2"/>
  <c r="K95" i="2"/>
  <c r="H94" i="2"/>
  <c r="E94" i="2" s="1"/>
  <c r="C96" i="2"/>
  <c r="T96" i="2" s="1"/>
  <c r="G96" i="2" l="1"/>
  <c r="D98" i="2"/>
  <c r="M98" i="2"/>
  <c r="J97" i="2"/>
  <c r="D628" i="2"/>
  <c r="B96" i="2"/>
  <c r="L97" i="2"/>
  <c r="I96" i="2"/>
  <c r="F96" i="2"/>
  <c r="C97" i="2"/>
  <c r="G97" i="2" s="1"/>
  <c r="H95" i="2"/>
  <c r="E95" i="2" s="1"/>
  <c r="K96" i="2"/>
  <c r="L98" i="2" l="1"/>
  <c r="I97" i="2"/>
  <c r="J98" i="2"/>
  <c r="M99" i="2"/>
  <c r="B97" i="2"/>
  <c r="T97" i="2"/>
  <c r="D99" i="2"/>
  <c r="K97" i="2"/>
  <c r="H96" i="2"/>
  <c r="E96" i="2" s="1"/>
  <c r="F97" i="2"/>
  <c r="C98" i="2"/>
  <c r="D629" i="2"/>
  <c r="G98" i="2" l="1"/>
  <c r="M100" i="2"/>
  <c r="J99" i="2"/>
  <c r="C99" i="2"/>
  <c r="D630" i="2"/>
  <c r="T98" i="2"/>
  <c r="D100" i="2"/>
  <c r="K98" i="2"/>
  <c r="H97" i="2"/>
  <c r="E97" i="2" s="1"/>
  <c r="L99" i="2"/>
  <c r="I98" i="2"/>
  <c r="F98" i="2" s="1"/>
  <c r="B98" i="2"/>
  <c r="B99" i="2" l="1"/>
  <c r="C100" i="2"/>
  <c r="K99" i="2"/>
  <c r="H98" i="2"/>
  <c r="E98" i="2" s="1"/>
  <c r="D101" i="2"/>
  <c r="T100" i="2"/>
  <c r="L100" i="2"/>
  <c r="I99" i="2"/>
  <c r="F99" i="2" s="1"/>
  <c r="G99" i="2"/>
  <c r="T99" i="2"/>
  <c r="J100" i="2"/>
  <c r="G100" i="2" s="1"/>
  <c r="M101" i="2"/>
  <c r="D631" i="2"/>
  <c r="C101" i="2" l="1"/>
  <c r="M102" i="2"/>
  <c r="J101" i="2"/>
  <c r="B100" i="2"/>
  <c r="D102" i="2"/>
  <c r="D632" i="2"/>
  <c r="I100" i="2"/>
  <c r="F100" i="2" s="1"/>
  <c r="L101" i="2"/>
  <c r="K100" i="2"/>
  <c r="H99" i="2"/>
  <c r="E99" i="2" s="1"/>
  <c r="M103" i="2" l="1"/>
  <c r="J102" i="2"/>
  <c r="D633" i="2"/>
  <c r="C102" i="2"/>
  <c r="G102" i="2" s="1"/>
  <c r="G101" i="2"/>
  <c r="D103" i="2"/>
  <c r="T101" i="2"/>
  <c r="H100" i="2"/>
  <c r="E100" i="2" s="1"/>
  <c r="K101" i="2"/>
  <c r="B101" i="2"/>
  <c r="L102" i="2"/>
  <c r="I101" i="2"/>
  <c r="F101" i="2" s="1"/>
  <c r="L103" i="2" l="1"/>
  <c r="I102" i="2"/>
  <c r="C103" i="2"/>
  <c r="F102" i="2"/>
  <c r="B102" i="2"/>
  <c r="K102" i="2"/>
  <c r="H101" i="2"/>
  <c r="E101" i="2" s="1"/>
  <c r="D634" i="2"/>
  <c r="M104" i="2"/>
  <c r="J103" i="2"/>
  <c r="G103" i="2" s="1"/>
  <c r="T103" i="2"/>
  <c r="D104" i="2"/>
  <c r="T102" i="2"/>
  <c r="M105" i="2" l="1"/>
  <c r="J104" i="2"/>
  <c r="B103" i="2"/>
  <c r="D635" i="2"/>
  <c r="C104" i="2"/>
  <c r="T104" i="2" s="1"/>
  <c r="H102" i="2"/>
  <c r="E102" i="2" s="1"/>
  <c r="K103" i="2"/>
  <c r="D105" i="2"/>
  <c r="L104" i="2"/>
  <c r="I103" i="2"/>
  <c r="F103" i="2" s="1"/>
  <c r="G104" i="2" l="1"/>
  <c r="D636" i="2"/>
  <c r="K104" i="2"/>
  <c r="H103" i="2"/>
  <c r="E103" i="2" s="1"/>
  <c r="B104" i="2"/>
  <c r="L105" i="2"/>
  <c r="I104" i="2"/>
  <c r="J105" i="2"/>
  <c r="M106" i="2"/>
  <c r="F104" i="2"/>
  <c r="C105" i="2"/>
  <c r="T105" i="2" s="1"/>
  <c r="D106" i="2"/>
  <c r="G105" i="2" l="1"/>
  <c r="B105" i="2"/>
  <c r="K105" i="2"/>
  <c r="H104" i="2"/>
  <c r="E104" i="2" s="1"/>
  <c r="D107" i="2"/>
  <c r="D637" i="2"/>
  <c r="I105" i="2"/>
  <c r="F105" i="2" s="1"/>
  <c r="L106" i="2"/>
  <c r="M107" i="2"/>
  <c r="J106" i="2"/>
  <c r="C106" i="2"/>
  <c r="T106" i="2" s="1"/>
  <c r="G106" i="2" l="1"/>
  <c r="D638" i="2"/>
  <c r="C107" i="2"/>
  <c r="T107" i="2" s="1"/>
  <c r="D108" i="2"/>
  <c r="M108" i="2"/>
  <c r="J107" i="2"/>
  <c r="K106" i="2"/>
  <c r="H105" i="2"/>
  <c r="E105" i="2" s="1"/>
  <c r="L107" i="2"/>
  <c r="I106" i="2"/>
  <c r="F106" i="2" s="1"/>
  <c r="B106" i="2"/>
  <c r="C108" i="2" l="1"/>
  <c r="G107" i="2"/>
  <c r="T108" i="2"/>
  <c r="D109" i="2"/>
  <c r="D639" i="2"/>
  <c r="I107" i="2"/>
  <c r="F107" i="2" s="1"/>
  <c r="L108" i="2"/>
  <c r="K107" i="2"/>
  <c r="H106" i="2"/>
  <c r="E106" i="2" s="1"/>
  <c r="B107" i="2"/>
  <c r="M109" i="2"/>
  <c r="J108" i="2"/>
  <c r="G108" i="2" s="1"/>
  <c r="D110" i="2" l="1"/>
  <c r="F108" i="2"/>
  <c r="C109" i="2"/>
  <c r="H107" i="2"/>
  <c r="E107" i="2" s="1"/>
  <c r="K108" i="2"/>
  <c r="L109" i="2"/>
  <c r="I108" i="2"/>
  <c r="M110" i="2"/>
  <c r="J109" i="2"/>
  <c r="B108" i="2"/>
  <c r="D640" i="2"/>
  <c r="C110" i="2" l="1"/>
  <c r="D641" i="2"/>
  <c r="B109" i="2"/>
  <c r="J110" i="2"/>
  <c r="M111" i="2"/>
  <c r="T109" i="2"/>
  <c r="L110" i="2"/>
  <c r="I109" i="2"/>
  <c r="F109" i="2" s="1"/>
  <c r="D111" i="2"/>
  <c r="K109" i="2"/>
  <c r="H108" i="2"/>
  <c r="E108" i="2" s="1"/>
  <c r="G109" i="2"/>
  <c r="C111" i="2" l="1"/>
  <c r="M112" i="2"/>
  <c r="J111" i="2"/>
  <c r="B110" i="2"/>
  <c r="L111" i="2"/>
  <c r="I110" i="2"/>
  <c r="F110" i="2" s="1"/>
  <c r="K110" i="2"/>
  <c r="H109" i="2"/>
  <c r="E109" i="2" s="1"/>
  <c r="T110" i="2"/>
  <c r="D642" i="2"/>
  <c r="G110" i="2"/>
  <c r="D112" i="2"/>
  <c r="B111" i="2" l="1"/>
  <c r="C112" i="2"/>
  <c r="J112" i="2"/>
  <c r="G112" i="2" s="1"/>
  <c r="M113" i="2"/>
  <c r="D643" i="2"/>
  <c r="D113" i="2"/>
  <c r="T112" i="2"/>
  <c r="G111" i="2"/>
  <c r="T111" i="2"/>
  <c r="L112" i="2"/>
  <c r="I111" i="2"/>
  <c r="F111" i="2" s="1"/>
  <c r="K111" i="2"/>
  <c r="H110" i="2"/>
  <c r="E110" i="2" s="1"/>
  <c r="B112" i="2" l="1"/>
  <c r="D114" i="2"/>
  <c r="K112" i="2"/>
  <c r="H111" i="2"/>
  <c r="E111" i="2" s="1"/>
  <c r="D644" i="2"/>
  <c r="M114" i="2"/>
  <c r="J113" i="2"/>
  <c r="I112" i="2"/>
  <c r="F112" i="2" s="1"/>
  <c r="L113" i="2"/>
  <c r="C113" i="2"/>
  <c r="F113" i="2" l="1"/>
  <c r="C114" i="2"/>
  <c r="T114" i="2" s="1"/>
  <c r="H112" i="2"/>
  <c r="E112" i="2" s="1"/>
  <c r="K113" i="2"/>
  <c r="D115" i="2"/>
  <c r="G113" i="2"/>
  <c r="L114" i="2"/>
  <c r="I113" i="2"/>
  <c r="T113" i="2"/>
  <c r="B113" i="2"/>
  <c r="D645" i="2"/>
  <c r="M115" i="2"/>
  <c r="J114" i="2"/>
  <c r="G114" i="2" l="1"/>
  <c r="M116" i="2"/>
  <c r="J115" i="2"/>
  <c r="D646" i="2"/>
  <c r="L115" i="2"/>
  <c r="I114" i="2"/>
  <c r="F114" i="2" s="1"/>
  <c r="B114" i="2"/>
  <c r="D116" i="2"/>
  <c r="K114" i="2"/>
  <c r="H113" i="2"/>
  <c r="E113" i="2" s="1"/>
  <c r="C115" i="2"/>
  <c r="T115" i="2" s="1"/>
  <c r="D647" i="2" l="1"/>
  <c r="G115" i="2"/>
  <c r="M117" i="2"/>
  <c r="J116" i="2"/>
  <c r="D117" i="2"/>
  <c r="B115" i="2"/>
  <c r="C116" i="2"/>
  <c r="T116" i="2" s="1"/>
  <c r="H114" i="2"/>
  <c r="E114" i="2" s="1"/>
  <c r="K115" i="2"/>
  <c r="L116" i="2"/>
  <c r="I115" i="2"/>
  <c r="F115" i="2" s="1"/>
  <c r="D118" i="2" l="1"/>
  <c r="G116" i="2"/>
  <c r="J117" i="2"/>
  <c r="M118" i="2"/>
  <c r="D648" i="2"/>
  <c r="C117" i="2"/>
  <c r="L117" i="2"/>
  <c r="I116" i="2"/>
  <c r="F116" i="2" s="1"/>
  <c r="K116" i="2"/>
  <c r="H115" i="2"/>
  <c r="E115" i="2" s="1"/>
  <c r="B116" i="2"/>
  <c r="G117" i="2" l="1"/>
  <c r="B117" i="2"/>
  <c r="M119" i="2"/>
  <c r="J118" i="2"/>
  <c r="K117" i="2"/>
  <c r="H116" i="2"/>
  <c r="E116" i="2" s="1"/>
  <c r="C118" i="2"/>
  <c r="F117" i="2"/>
  <c r="T117" i="2"/>
  <c r="T118" i="2"/>
  <c r="G118" i="2"/>
  <c r="D119" i="2"/>
  <c r="I117" i="2"/>
  <c r="L118" i="2"/>
  <c r="D649" i="2"/>
  <c r="D650" i="2" l="1"/>
  <c r="L119" i="2"/>
  <c r="I118" i="2"/>
  <c r="F118" i="2" s="1"/>
  <c r="K118" i="2"/>
  <c r="H117" i="2"/>
  <c r="E117" i="2" s="1"/>
  <c r="C119" i="2"/>
  <c r="T119" i="2" s="1"/>
  <c r="M120" i="2"/>
  <c r="J119" i="2"/>
  <c r="B118" i="2"/>
  <c r="D120" i="2"/>
  <c r="G119" i="2"/>
  <c r="K119" i="2" l="1"/>
  <c r="H118" i="2"/>
  <c r="E118" i="2" s="1"/>
  <c r="I119" i="2"/>
  <c r="L120" i="2"/>
  <c r="D651" i="2"/>
  <c r="D121" i="2"/>
  <c r="M121" i="2"/>
  <c r="J120" i="2"/>
  <c r="B119" i="2"/>
  <c r="C120" i="2"/>
  <c r="G120" i="2" s="1"/>
  <c r="F119" i="2"/>
  <c r="T120" i="2" l="1"/>
  <c r="D122" i="2"/>
  <c r="D652" i="2"/>
  <c r="B120" i="2"/>
  <c r="M122" i="2"/>
  <c r="J121" i="2"/>
  <c r="L121" i="2"/>
  <c r="I120" i="2"/>
  <c r="H119" i="2"/>
  <c r="E119" i="2" s="1"/>
  <c r="K120" i="2"/>
  <c r="F120" i="2"/>
  <c r="C121" i="2"/>
  <c r="G121" i="2" l="1"/>
  <c r="D653" i="2"/>
  <c r="T121" i="2"/>
  <c r="D123" i="2"/>
  <c r="L122" i="2"/>
  <c r="I121" i="2"/>
  <c r="B121" i="2"/>
  <c r="F121" i="2"/>
  <c r="C122" i="2"/>
  <c r="T122" i="2" s="1"/>
  <c r="K121" i="2"/>
  <c r="H120" i="2"/>
  <c r="E120" i="2" s="1"/>
  <c r="J122" i="2"/>
  <c r="M123" i="2"/>
  <c r="G122" i="2" l="1"/>
  <c r="D124" i="2"/>
  <c r="L123" i="2"/>
  <c r="I122" i="2"/>
  <c r="F122" i="2" s="1"/>
  <c r="M124" i="2"/>
  <c r="J123" i="2"/>
  <c r="G123" i="2" s="1"/>
  <c r="K122" i="2"/>
  <c r="H121" i="2"/>
  <c r="E121" i="2" s="1"/>
  <c r="B122" i="2"/>
  <c r="C123" i="2"/>
  <c r="D654" i="2"/>
  <c r="J124" i="2" l="1"/>
  <c r="M125" i="2"/>
  <c r="K123" i="2"/>
  <c r="H122" i="2"/>
  <c r="E122" i="2" s="1"/>
  <c r="D125" i="2"/>
  <c r="L124" i="2"/>
  <c r="I123" i="2"/>
  <c r="F123" i="2"/>
  <c r="C124" i="2"/>
  <c r="T123" i="2"/>
  <c r="B123" i="2"/>
  <c r="D655" i="2"/>
  <c r="K124" i="2" l="1"/>
  <c r="H123" i="2"/>
  <c r="E123" i="2" s="1"/>
  <c r="C125" i="2"/>
  <c r="I124" i="2"/>
  <c r="F124" i="2" s="1"/>
  <c r="L125" i="2"/>
  <c r="T124" i="2"/>
  <c r="M126" i="2"/>
  <c r="J125" i="2"/>
  <c r="G125" i="2" s="1"/>
  <c r="B124" i="2"/>
  <c r="G124" i="2"/>
  <c r="T125" i="2"/>
  <c r="D126" i="2"/>
  <c r="D656" i="2"/>
  <c r="M127" i="2" l="1"/>
  <c r="J126" i="2"/>
  <c r="G126" i="2"/>
  <c r="D127" i="2"/>
  <c r="T126" i="2"/>
  <c r="L126" i="2"/>
  <c r="I125" i="2"/>
  <c r="F125" i="2" s="1"/>
  <c r="D657" i="2"/>
  <c r="C126" i="2"/>
  <c r="H124" i="2"/>
  <c r="E124" i="2" s="1"/>
  <c r="K125" i="2"/>
  <c r="B125" i="2"/>
  <c r="L127" i="2" l="1"/>
  <c r="I126" i="2"/>
  <c r="D128" i="2"/>
  <c r="B126" i="2"/>
  <c r="D658" i="2"/>
  <c r="K126" i="2"/>
  <c r="H125" i="2"/>
  <c r="E125" i="2" s="1"/>
  <c r="M128" i="2"/>
  <c r="J127" i="2"/>
  <c r="C127" i="2"/>
  <c r="T127" i="2" s="1"/>
  <c r="F126" i="2"/>
  <c r="G127" i="2" l="1"/>
  <c r="D129" i="2"/>
  <c r="H126" i="2"/>
  <c r="E126" i="2" s="1"/>
  <c r="K127" i="2"/>
  <c r="L128" i="2"/>
  <c r="I127" i="2"/>
  <c r="F127" i="2" s="1"/>
  <c r="D659" i="2"/>
  <c r="C128" i="2"/>
  <c r="T128" i="2" s="1"/>
  <c r="M129" i="2"/>
  <c r="J128" i="2"/>
  <c r="G128" i="2" s="1"/>
  <c r="B127" i="2"/>
  <c r="D660" i="2" l="1"/>
  <c r="K128" i="2"/>
  <c r="H127" i="2"/>
  <c r="E127" i="2" s="1"/>
  <c r="D130" i="2"/>
  <c r="B128" i="2"/>
  <c r="J129" i="2"/>
  <c r="M130" i="2"/>
  <c r="C129" i="2"/>
  <c r="T129" i="2" s="1"/>
  <c r="L129" i="2"/>
  <c r="I128" i="2"/>
  <c r="F128" i="2" s="1"/>
  <c r="G129" i="2" l="1"/>
  <c r="C130" i="2"/>
  <c r="I129" i="2"/>
  <c r="F129" i="2" s="1"/>
  <c r="L130" i="2"/>
  <c r="T130" i="2"/>
  <c r="D131" i="2"/>
  <c r="M131" i="2"/>
  <c r="J130" i="2"/>
  <c r="G130" i="2" s="1"/>
  <c r="D661" i="2"/>
  <c r="K129" i="2"/>
  <c r="H128" i="2"/>
  <c r="E128" i="2" s="1"/>
  <c r="B129" i="2"/>
  <c r="M132" i="2" l="1"/>
  <c r="J131" i="2"/>
  <c r="D132" i="2"/>
  <c r="B130" i="2"/>
  <c r="K130" i="2"/>
  <c r="H129" i="2"/>
  <c r="E129" i="2" s="1"/>
  <c r="L131" i="2"/>
  <c r="I130" i="2"/>
  <c r="F130" i="2" s="1"/>
  <c r="C131" i="2"/>
  <c r="G131" i="2" s="1"/>
  <c r="D662" i="2"/>
  <c r="T131" i="2" l="1"/>
  <c r="T132" i="2"/>
  <c r="D133" i="2"/>
  <c r="K131" i="2"/>
  <c r="H130" i="2"/>
  <c r="E130" i="2" s="1"/>
  <c r="C132" i="2"/>
  <c r="B131" i="2"/>
  <c r="M133" i="2"/>
  <c r="J132" i="2"/>
  <c r="G132" i="2" s="1"/>
  <c r="D663" i="2"/>
  <c r="I131" i="2"/>
  <c r="F131" i="2" s="1"/>
  <c r="L132" i="2"/>
  <c r="H131" i="2" l="1"/>
  <c r="E131" i="2" s="1"/>
  <c r="K132" i="2"/>
  <c r="D134" i="2"/>
  <c r="D664" i="2"/>
  <c r="M134" i="2"/>
  <c r="J133" i="2"/>
  <c r="B132" i="2"/>
  <c r="C133" i="2"/>
  <c r="L133" i="2"/>
  <c r="I132" i="2"/>
  <c r="F132" i="2" s="1"/>
  <c r="G133" i="2" l="1"/>
  <c r="T133" i="2"/>
  <c r="D665" i="2"/>
  <c r="D135" i="2"/>
  <c r="B133" i="2"/>
  <c r="K133" i="2"/>
  <c r="H132" i="2"/>
  <c r="E132" i="2" s="1"/>
  <c r="J134" i="2"/>
  <c r="M135" i="2"/>
  <c r="L134" i="2"/>
  <c r="I133" i="2"/>
  <c r="F133" i="2" s="1"/>
  <c r="C134" i="2"/>
  <c r="T134" i="2" s="1"/>
  <c r="G134" i="2" l="1"/>
  <c r="B134" i="2"/>
  <c r="D136" i="2"/>
  <c r="K134" i="2"/>
  <c r="H133" i="2"/>
  <c r="E133" i="2" s="1"/>
  <c r="C135" i="2"/>
  <c r="L135" i="2"/>
  <c r="I134" i="2"/>
  <c r="F134" i="2" s="1"/>
  <c r="D666" i="2"/>
  <c r="M136" i="2"/>
  <c r="J135" i="2"/>
  <c r="L136" i="2" l="1"/>
  <c r="I135" i="2"/>
  <c r="B135" i="2"/>
  <c r="F135" i="2"/>
  <c r="C136" i="2"/>
  <c r="J136" i="2"/>
  <c r="G136" i="2" s="1"/>
  <c r="M137" i="2"/>
  <c r="D137" i="2"/>
  <c r="T136" i="2"/>
  <c r="D667" i="2"/>
  <c r="G135" i="2"/>
  <c r="T135" i="2"/>
  <c r="K135" i="2"/>
  <c r="H134" i="2"/>
  <c r="E134" i="2" s="1"/>
  <c r="C137" i="2" l="1"/>
  <c r="B136" i="2"/>
  <c r="K136" i="2"/>
  <c r="H135" i="2"/>
  <c r="E135" i="2" s="1"/>
  <c r="I136" i="2"/>
  <c r="F136" i="2" s="1"/>
  <c r="L137" i="2"/>
  <c r="D668" i="2"/>
  <c r="D138" i="2"/>
  <c r="M138" i="2"/>
  <c r="J137" i="2"/>
  <c r="C138" i="2" l="1"/>
  <c r="L138" i="2"/>
  <c r="I137" i="2"/>
  <c r="F137" i="2" s="1"/>
  <c r="H136" i="2"/>
  <c r="E136" i="2" s="1"/>
  <c r="K137" i="2"/>
  <c r="D139" i="2"/>
  <c r="T138" i="2"/>
  <c r="B137" i="2"/>
  <c r="M139" i="2"/>
  <c r="J138" i="2"/>
  <c r="G138" i="2" s="1"/>
  <c r="G137" i="2"/>
  <c r="T137" i="2"/>
  <c r="D669" i="2"/>
  <c r="K138" i="2" l="1"/>
  <c r="H137" i="2"/>
  <c r="E137" i="2" s="1"/>
  <c r="D140" i="2"/>
  <c r="D670" i="2"/>
  <c r="L139" i="2"/>
  <c r="I138" i="2"/>
  <c r="F138" i="2" s="1"/>
  <c r="C139" i="2"/>
  <c r="M140" i="2"/>
  <c r="J139" i="2"/>
  <c r="B138" i="2"/>
  <c r="C140" i="2" l="1"/>
  <c r="T140" i="2" s="1"/>
  <c r="L140" i="2"/>
  <c r="I139" i="2"/>
  <c r="F139" i="2" s="1"/>
  <c r="B139" i="2"/>
  <c r="D671" i="2"/>
  <c r="D141" i="2"/>
  <c r="G139" i="2"/>
  <c r="T139" i="2"/>
  <c r="H138" i="2"/>
  <c r="E138" i="2" s="1"/>
  <c r="K139" i="2"/>
  <c r="M141" i="2"/>
  <c r="J140" i="2"/>
  <c r="G140" i="2" s="1"/>
  <c r="J141" i="2" l="1"/>
  <c r="M142" i="2"/>
  <c r="D142" i="2"/>
  <c r="C141" i="2"/>
  <c r="G141" i="2" s="1"/>
  <c r="D672" i="2"/>
  <c r="K140" i="2"/>
  <c r="H139" i="2"/>
  <c r="E139" i="2" s="1"/>
  <c r="B140" i="2"/>
  <c r="L141" i="2"/>
  <c r="I140" i="2"/>
  <c r="F140" i="2" s="1"/>
  <c r="T141" i="2" l="1"/>
  <c r="D143" i="2"/>
  <c r="K141" i="2"/>
  <c r="H140" i="2"/>
  <c r="E140" i="2" s="1"/>
  <c r="D673" i="2"/>
  <c r="M143" i="2"/>
  <c r="J142" i="2"/>
  <c r="I141" i="2"/>
  <c r="F141" i="2" s="1"/>
  <c r="L142" i="2"/>
  <c r="C142" i="2"/>
  <c r="T142" i="2" s="1"/>
  <c r="B141" i="2"/>
  <c r="G142" i="2" l="1"/>
  <c r="D144" i="2"/>
  <c r="K142" i="2"/>
  <c r="H141" i="2"/>
  <c r="E141" i="2" s="1"/>
  <c r="M144" i="2"/>
  <c r="J143" i="2"/>
  <c r="D674" i="2"/>
  <c r="B142" i="2"/>
  <c r="F142" i="2"/>
  <c r="C143" i="2"/>
  <c r="L143" i="2"/>
  <c r="I142" i="2"/>
  <c r="M145" i="2" l="1"/>
  <c r="J144" i="2"/>
  <c r="C144" i="2"/>
  <c r="G144" i="2" s="1"/>
  <c r="K143" i="2"/>
  <c r="H142" i="2"/>
  <c r="E142" i="2" s="1"/>
  <c r="I143" i="2"/>
  <c r="F143" i="2" s="1"/>
  <c r="L144" i="2"/>
  <c r="B143" i="2"/>
  <c r="T143" i="2"/>
  <c r="G143" i="2"/>
  <c r="T144" i="2"/>
  <c r="D145" i="2"/>
  <c r="D675" i="2"/>
  <c r="L145" i="2" l="1"/>
  <c r="I144" i="2"/>
  <c r="B144" i="2"/>
  <c r="H143" i="2"/>
  <c r="E143" i="2" s="1"/>
  <c r="K144" i="2"/>
  <c r="D146" i="2"/>
  <c r="D676" i="2"/>
  <c r="F144" i="2"/>
  <c r="C145" i="2"/>
  <c r="M146" i="2"/>
  <c r="J145" i="2"/>
  <c r="G145" i="2" l="1"/>
  <c r="D677" i="2"/>
  <c r="K145" i="2"/>
  <c r="H144" i="2"/>
  <c r="E144" i="2" s="1"/>
  <c r="C146" i="2"/>
  <c r="B145" i="2"/>
  <c r="L146" i="2"/>
  <c r="I145" i="2"/>
  <c r="F145" i="2" s="1"/>
  <c r="J146" i="2"/>
  <c r="G146" i="2" s="1"/>
  <c r="M147" i="2"/>
  <c r="D147" i="2"/>
  <c r="T146" i="2"/>
  <c r="T145" i="2"/>
  <c r="D148" i="2" l="1"/>
  <c r="C147" i="2"/>
  <c r="M148" i="2"/>
  <c r="J147" i="2"/>
  <c r="L147" i="2"/>
  <c r="I146" i="2"/>
  <c r="F146" i="2" s="1"/>
  <c r="D678" i="2"/>
  <c r="B146" i="2"/>
  <c r="K146" i="2"/>
  <c r="H145" i="2"/>
  <c r="E145" i="2" s="1"/>
  <c r="J148" i="2" l="1"/>
  <c r="M149" i="2"/>
  <c r="C148" i="2"/>
  <c r="T148" i="2" s="1"/>
  <c r="K147" i="2"/>
  <c r="H146" i="2"/>
  <c r="E146" i="2" s="1"/>
  <c r="D679" i="2"/>
  <c r="D149" i="2"/>
  <c r="G147" i="2"/>
  <c r="B147" i="2"/>
  <c r="T147" i="2"/>
  <c r="L148" i="2"/>
  <c r="I147" i="2"/>
  <c r="F147" i="2" s="1"/>
  <c r="G148" i="2" l="1"/>
  <c r="K148" i="2"/>
  <c r="H147" i="2"/>
  <c r="E147" i="2" s="1"/>
  <c r="C149" i="2"/>
  <c r="I148" i="2"/>
  <c r="F148" i="2" s="1"/>
  <c r="L149" i="2"/>
  <c r="T149" i="2"/>
  <c r="G149" i="2"/>
  <c r="D150" i="2"/>
  <c r="M150" i="2"/>
  <c r="J149" i="2"/>
  <c r="D680" i="2"/>
  <c r="B148" i="2"/>
  <c r="L150" i="2" l="1"/>
  <c r="I149" i="2"/>
  <c r="B149" i="2"/>
  <c r="D681" i="2"/>
  <c r="F149" i="2"/>
  <c r="C150" i="2"/>
  <c r="T150" i="2" s="1"/>
  <c r="M151" i="2"/>
  <c r="J150" i="2"/>
  <c r="H148" i="2"/>
  <c r="E148" i="2" s="1"/>
  <c r="K149" i="2"/>
  <c r="D151" i="2"/>
  <c r="B150" i="2" l="1"/>
  <c r="M152" i="2"/>
  <c r="J151" i="2"/>
  <c r="D152" i="2"/>
  <c r="D682" i="2"/>
  <c r="L151" i="2"/>
  <c r="I150" i="2"/>
  <c r="F150" i="2" s="1"/>
  <c r="C151" i="2"/>
  <c r="T151" i="2" s="1"/>
  <c r="G150" i="2"/>
  <c r="K150" i="2"/>
  <c r="H149" i="2"/>
  <c r="E149" i="2" s="1"/>
  <c r="D683" i="2" l="1"/>
  <c r="D153" i="2"/>
  <c r="G151" i="2"/>
  <c r="H150" i="2"/>
  <c r="E150" i="2" s="1"/>
  <c r="K151" i="2"/>
  <c r="C152" i="2"/>
  <c r="T152" i="2" s="1"/>
  <c r="M153" i="2"/>
  <c r="J152" i="2"/>
  <c r="G152" i="2" s="1"/>
  <c r="B151" i="2"/>
  <c r="L152" i="2"/>
  <c r="I151" i="2"/>
  <c r="F151" i="2" s="1"/>
  <c r="D154" i="2" l="1"/>
  <c r="L153" i="2"/>
  <c r="I152" i="2"/>
  <c r="F152" i="2" s="1"/>
  <c r="C153" i="2"/>
  <c r="B152" i="2"/>
  <c r="D684" i="2"/>
  <c r="J153" i="2"/>
  <c r="M154" i="2"/>
  <c r="K152" i="2"/>
  <c r="H151" i="2"/>
  <c r="E151" i="2" s="1"/>
  <c r="K153" i="2" l="1"/>
  <c r="H152" i="2"/>
  <c r="E152" i="2" s="1"/>
  <c r="C154" i="2"/>
  <c r="T154" i="2" s="1"/>
  <c r="D155" i="2"/>
  <c r="I153" i="2"/>
  <c r="F153" i="2" s="1"/>
  <c r="L154" i="2"/>
  <c r="M155" i="2"/>
  <c r="J154" i="2"/>
  <c r="G154" i="2" s="1"/>
  <c r="D685" i="2"/>
  <c r="B153" i="2"/>
  <c r="G153" i="2"/>
  <c r="T153" i="2"/>
  <c r="L155" i="2" l="1"/>
  <c r="I154" i="2"/>
  <c r="F154" i="2" s="1"/>
  <c r="D156" i="2"/>
  <c r="B154" i="2"/>
  <c r="D686" i="2"/>
  <c r="C155" i="2"/>
  <c r="M156" i="2"/>
  <c r="J155" i="2"/>
  <c r="K154" i="2"/>
  <c r="H153" i="2"/>
  <c r="E153" i="2" s="1"/>
  <c r="G155" i="2" l="1"/>
  <c r="D687" i="2"/>
  <c r="I155" i="2"/>
  <c r="L156" i="2"/>
  <c r="D157" i="2"/>
  <c r="B155" i="2"/>
  <c r="K155" i="2"/>
  <c r="H154" i="2"/>
  <c r="E154" i="2" s="1"/>
  <c r="M157" i="2"/>
  <c r="J156" i="2"/>
  <c r="C156" i="2"/>
  <c r="T156" i="2" s="1"/>
  <c r="F155" i="2"/>
  <c r="T155" i="2"/>
  <c r="D158" i="2" l="1"/>
  <c r="L157" i="2"/>
  <c r="I156" i="2"/>
  <c r="F156" i="2" s="1"/>
  <c r="G156" i="2"/>
  <c r="B156" i="2"/>
  <c r="D688" i="2"/>
  <c r="C157" i="2"/>
  <c r="H155" i="2"/>
  <c r="E155" i="2" s="1"/>
  <c r="K156" i="2"/>
  <c r="M158" i="2"/>
  <c r="J157" i="2"/>
  <c r="G157" i="2" l="1"/>
  <c r="D689" i="2"/>
  <c r="L158" i="2"/>
  <c r="I157" i="2"/>
  <c r="T157" i="2"/>
  <c r="B157" i="2"/>
  <c r="D159" i="2"/>
  <c r="T158" i="2"/>
  <c r="G158" i="2"/>
  <c r="J158" i="2"/>
  <c r="M159" i="2"/>
  <c r="K157" i="2"/>
  <c r="H156" i="2"/>
  <c r="E156" i="2" s="1"/>
  <c r="F157" i="2"/>
  <c r="C158" i="2"/>
  <c r="D160" i="2" l="1"/>
  <c r="B158" i="2"/>
  <c r="D690" i="2"/>
  <c r="M160" i="2"/>
  <c r="J159" i="2"/>
  <c r="K158" i="2"/>
  <c r="H157" i="2"/>
  <c r="E157" i="2" s="1"/>
  <c r="L159" i="2"/>
  <c r="I158" i="2"/>
  <c r="F158" i="2" s="1"/>
  <c r="C159" i="2"/>
  <c r="T159" i="2" s="1"/>
  <c r="D161" i="2" l="1"/>
  <c r="G159" i="2"/>
  <c r="L160" i="2"/>
  <c r="I159" i="2"/>
  <c r="F159" i="2" s="1"/>
  <c r="C160" i="2"/>
  <c r="T160" i="2" s="1"/>
  <c r="D691" i="2"/>
  <c r="J160" i="2"/>
  <c r="M161" i="2"/>
  <c r="K159" i="2"/>
  <c r="H158" i="2"/>
  <c r="E158" i="2" s="1"/>
  <c r="B159" i="2"/>
  <c r="K160" i="2" l="1"/>
  <c r="H159" i="2"/>
  <c r="E159" i="2" s="1"/>
  <c r="I160" i="2"/>
  <c r="L161" i="2"/>
  <c r="D692" i="2"/>
  <c r="G160" i="2"/>
  <c r="B160" i="2"/>
  <c r="M162" i="2"/>
  <c r="J161" i="2"/>
  <c r="D162" i="2"/>
  <c r="C161" i="2"/>
  <c r="T161" i="2" s="1"/>
  <c r="F160" i="2"/>
  <c r="G161" i="2" l="1"/>
  <c r="L162" i="2"/>
  <c r="I161" i="2"/>
  <c r="M163" i="2"/>
  <c r="J162" i="2"/>
  <c r="D163" i="2"/>
  <c r="B161" i="2"/>
  <c r="H160" i="2"/>
  <c r="E160" i="2" s="1"/>
  <c r="K161" i="2"/>
  <c r="D693" i="2"/>
  <c r="F161" i="2"/>
  <c r="C162" i="2"/>
  <c r="C163" i="2" l="1"/>
  <c r="L163" i="2"/>
  <c r="I162" i="2"/>
  <c r="F162" i="2" s="1"/>
  <c r="T163" i="2"/>
  <c r="D164" i="2"/>
  <c r="G162" i="2"/>
  <c r="B162" i="2"/>
  <c r="T162" i="2"/>
  <c r="D694" i="2"/>
  <c r="K162" i="2"/>
  <c r="H161" i="2"/>
  <c r="E161" i="2" s="1"/>
  <c r="M164" i="2"/>
  <c r="J163" i="2"/>
  <c r="G163" i="2" s="1"/>
  <c r="L164" i="2" l="1"/>
  <c r="I163" i="2"/>
  <c r="F163" i="2" s="1"/>
  <c r="D165" i="2"/>
  <c r="C164" i="2"/>
  <c r="T164" i="2" s="1"/>
  <c r="M165" i="2"/>
  <c r="J164" i="2"/>
  <c r="H162" i="2"/>
  <c r="E162" i="2" s="1"/>
  <c r="K163" i="2"/>
  <c r="B163" i="2"/>
  <c r="D695" i="2"/>
  <c r="C165" i="2" l="1"/>
  <c r="G164" i="2"/>
  <c r="L165" i="2"/>
  <c r="I164" i="2"/>
  <c r="F164" i="2" s="1"/>
  <c r="B164" i="2"/>
  <c r="K164" i="2"/>
  <c r="H163" i="2"/>
  <c r="E163" i="2" s="1"/>
  <c r="D696" i="2"/>
  <c r="J165" i="2"/>
  <c r="G165" i="2" s="1"/>
  <c r="M166" i="2"/>
  <c r="D166" i="2"/>
  <c r="T165" i="2"/>
  <c r="I165" i="2" l="1"/>
  <c r="L166" i="2"/>
  <c r="D167" i="2"/>
  <c r="M167" i="2"/>
  <c r="J166" i="2"/>
  <c r="D697" i="2"/>
  <c r="C166" i="2"/>
  <c r="F165" i="2"/>
  <c r="K165" i="2"/>
  <c r="H164" i="2"/>
  <c r="E164" i="2" s="1"/>
  <c r="B165" i="2"/>
  <c r="C167" i="2" l="1"/>
  <c r="D698" i="2"/>
  <c r="D168" i="2"/>
  <c r="G166" i="2"/>
  <c r="B166" i="2"/>
  <c r="T166" i="2"/>
  <c r="M168" i="2"/>
  <c r="J167" i="2"/>
  <c r="L167" i="2"/>
  <c r="I166" i="2"/>
  <c r="F166" i="2" s="1"/>
  <c r="K166" i="2"/>
  <c r="H165" i="2"/>
  <c r="E165" i="2" s="1"/>
  <c r="G167" i="2" l="1"/>
  <c r="T167" i="2"/>
  <c r="D169" i="2"/>
  <c r="D699" i="2"/>
  <c r="C168" i="2"/>
  <c r="T168" i="2" s="1"/>
  <c r="K167" i="2"/>
  <c r="H166" i="2"/>
  <c r="E166" i="2" s="1"/>
  <c r="I167" i="2"/>
  <c r="F167" i="2" s="1"/>
  <c r="L168" i="2"/>
  <c r="M169" i="2"/>
  <c r="J168" i="2"/>
  <c r="B167" i="2"/>
  <c r="G168" i="2" l="1"/>
  <c r="D170" i="2"/>
  <c r="M170" i="2"/>
  <c r="J169" i="2"/>
  <c r="L169" i="2"/>
  <c r="I168" i="2"/>
  <c r="F168" i="2" s="1"/>
  <c r="H167" i="2"/>
  <c r="E167" i="2" s="1"/>
  <c r="K168" i="2"/>
  <c r="C169" i="2"/>
  <c r="T169" i="2" s="1"/>
  <c r="D700" i="2"/>
  <c r="B168" i="2"/>
  <c r="L170" i="2" l="1"/>
  <c r="I169" i="2"/>
  <c r="F169" i="2" s="1"/>
  <c r="D701" i="2"/>
  <c r="J170" i="2"/>
  <c r="M171" i="2"/>
  <c r="C170" i="2"/>
  <c r="T170" i="2" s="1"/>
  <c r="D171" i="2"/>
  <c r="G169" i="2"/>
  <c r="B169" i="2"/>
  <c r="K169" i="2"/>
  <c r="H168" i="2"/>
  <c r="E168" i="2" s="1"/>
  <c r="G170" i="2" l="1"/>
  <c r="M172" i="2"/>
  <c r="J171" i="2"/>
  <c r="K170" i="2"/>
  <c r="H169" i="2"/>
  <c r="E169" i="2" s="1"/>
  <c r="B170" i="2"/>
  <c r="D702" i="2"/>
  <c r="L171" i="2"/>
  <c r="I170" i="2"/>
  <c r="F170" i="2" s="1"/>
  <c r="D172" i="2"/>
  <c r="C171" i="2"/>
  <c r="T171" i="2" s="1"/>
  <c r="K171" i="2" l="1"/>
  <c r="H170" i="2"/>
  <c r="E170" i="2" s="1"/>
  <c r="D173" i="2"/>
  <c r="G171" i="2"/>
  <c r="D703" i="2"/>
  <c r="J172" i="2"/>
  <c r="M173" i="2"/>
  <c r="L172" i="2"/>
  <c r="I171" i="2"/>
  <c r="F171" i="2" s="1"/>
  <c r="B171" i="2"/>
  <c r="C172" i="2"/>
  <c r="C173" i="2" l="1"/>
  <c r="G172" i="2"/>
  <c r="T172" i="2"/>
  <c r="D704" i="2"/>
  <c r="D174" i="2"/>
  <c r="M174" i="2"/>
  <c r="J173" i="2"/>
  <c r="B172" i="2"/>
  <c r="K172" i="2"/>
  <c r="H171" i="2"/>
  <c r="E171" i="2" s="1"/>
  <c r="I172" i="2"/>
  <c r="F172" i="2" s="1"/>
  <c r="L173" i="2"/>
  <c r="L174" i="2" l="1"/>
  <c r="I173" i="2"/>
  <c r="F173" i="2" s="1"/>
  <c r="D705" i="2"/>
  <c r="C174" i="2"/>
  <c r="G174" i="2" s="1"/>
  <c r="M175" i="2"/>
  <c r="J174" i="2"/>
  <c r="D175" i="2"/>
  <c r="H172" i="2"/>
  <c r="E172" i="2" s="1"/>
  <c r="K173" i="2"/>
  <c r="B173" i="2"/>
  <c r="G173" i="2"/>
  <c r="T173" i="2"/>
  <c r="T174" i="2" l="1"/>
  <c r="D176" i="2"/>
  <c r="D706" i="2"/>
  <c r="L175" i="2"/>
  <c r="I174" i="2"/>
  <c r="F174" i="2" s="1"/>
  <c r="M176" i="2"/>
  <c r="J175" i="2"/>
  <c r="K174" i="2"/>
  <c r="H173" i="2"/>
  <c r="E173" i="2" s="1"/>
  <c r="C175" i="2"/>
  <c r="G175" i="2" s="1"/>
  <c r="B174" i="2"/>
  <c r="D707" i="2" l="1"/>
  <c r="B175" i="2"/>
  <c r="D177" i="2"/>
  <c r="M177" i="2"/>
  <c r="J176" i="2"/>
  <c r="C176" i="2"/>
  <c r="T176" i="2" s="1"/>
  <c r="L176" i="2"/>
  <c r="I175" i="2"/>
  <c r="F175" i="2" s="1"/>
  <c r="T175" i="2"/>
  <c r="H174" i="2"/>
  <c r="E174" i="2" s="1"/>
  <c r="K175" i="2"/>
  <c r="G176" i="2" l="1"/>
  <c r="J177" i="2"/>
  <c r="M178" i="2"/>
  <c r="B176" i="2"/>
  <c r="D178" i="2"/>
  <c r="G177" i="2"/>
  <c r="L177" i="2"/>
  <c r="I176" i="2"/>
  <c r="D708" i="2"/>
  <c r="K176" i="2"/>
  <c r="H175" i="2"/>
  <c r="E175" i="2" s="1"/>
  <c r="F176" i="2"/>
  <c r="C177" i="2"/>
  <c r="T177" i="2" s="1"/>
  <c r="D179" i="2" l="1"/>
  <c r="B177" i="2"/>
  <c r="D709" i="2"/>
  <c r="M179" i="2"/>
  <c r="J178" i="2"/>
  <c r="C178" i="2"/>
  <c r="T178" i="2" s="1"/>
  <c r="K177" i="2"/>
  <c r="H176" i="2"/>
  <c r="E176" i="2" s="1"/>
  <c r="I177" i="2"/>
  <c r="F177" i="2" s="1"/>
  <c r="L178" i="2"/>
  <c r="D180" i="2" l="1"/>
  <c r="L179" i="2"/>
  <c r="I178" i="2"/>
  <c r="F178" i="2" s="1"/>
  <c r="M180" i="2"/>
  <c r="J179" i="2"/>
  <c r="D710" i="2"/>
  <c r="G178" i="2"/>
  <c r="K178" i="2"/>
  <c r="H177" i="2"/>
  <c r="E177" i="2" s="1"/>
  <c r="B178" i="2"/>
  <c r="C179" i="2"/>
  <c r="G179" i="2" l="1"/>
  <c r="M181" i="2"/>
  <c r="J180" i="2"/>
  <c r="I179" i="2"/>
  <c r="F179" i="2" s="1"/>
  <c r="L180" i="2"/>
  <c r="T179" i="2"/>
  <c r="T180" i="2"/>
  <c r="G180" i="2"/>
  <c r="D181" i="2"/>
  <c r="K179" i="2"/>
  <c r="H178" i="2"/>
  <c r="E178" i="2" s="1"/>
  <c r="B179" i="2"/>
  <c r="C180" i="2"/>
  <c r="D711" i="2"/>
  <c r="L181" i="2" l="1"/>
  <c r="I180" i="2"/>
  <c r="D712" i="2"/>
  <c r="F180" i="2"/>
  <c r="C181" i="2"/>
  <c r="T181" i="2" s="1"/>
  <c r="B180" i="2"/>
  <c r="H179" i="2"/>
  <c r="E179" i="2" s="1"/>
  <c r="K180" i="2"/>
  <c r="M182" i="2"/>
  <c r="J181" i="2"/>
  <c r="G181" i="2"/>
  <c r="D182" i="2"/>
  <c r="K181" i="2" l="1"/>
  <c r="H180" i="2"/>
  <c r="E180" i="2" s="1"/>
  <c r="B181" i="2"/>
  <c r="C182" i="2"/>
  <c r="D713" i="2"/>
  <c r="D183" i="2"/>
  <c r="T182" i="2"/>
  <c r="L182" i="2"/>
  <c r="I181" i="2"/>
  <c r="F181" i="2" s="1"/>
  <c r="J182" i="2"/>
  <c r="M183" i="2"/>
  <c r="G182" i="2" l="1"/>
  <c r="D714" i="2"/>
  <c r="C183" i="2"/>
  <c r="T183" i="2" s="1"/>
  <c r="D184" i="2"/>
  <c r="B182" i="2"/>
  <c r="K182" i="2"/>
  <c r="H181" i="2"/>
  <c r="E181" i="2" s="1"/>
  <c r="M184" i="2"/>
  <c r="J183" i="2"/>
  <c r="L183" i="2"/>
  <c r="I182" i="2"/>
  <c r="F182" i="2" s="1"/>
  <c r="D185" i="2" l="1"/>
  <c r="G183" i="2"/>
  <c r="C184" i="2"/>
  <c r="K183" i="2"/>
  <c r="H182" i="2"/>
  <c r="E182" i="2" s="1"/>
  <c r="D715" i="2"/>
  <c r="B183" i="2"/>
  <c r="L184" i="2"/>
  <c r="I183" i="2"/>
  <c r="F183" i="2" s="1"/>
  <c r="J184" i="2"/>
  <c r="M185" i="2"/>
  <c r="D716" i="2" l="1"/>
  <c r="C185" i="2"/>
  <c r="M186" i="2"/>
  <c r="J185" i="2"/>
  <c r="G185" i="2" s="1"/>
  <c r="G184" i="2"/>
  <c r="T184" i="2"/>
  <c r="T185" i="2"/>
  <c r="D186" i="2"/>
  <c r="I184" i="2"/>
  <c r="F184" i="2" s="1"/>
  <c r="L185" i="2"/>
  <c r="B184" i="2"/>
  <c r="K184" i="2"/>
  <c r="H183" i="2"/>
  <c r="E183" i="2" s="1"/>
  <c r="M187" i="2" l="1"/>
  <c r="J186" i="2"/>
  <c r="B185" i="2"/>
  <c r="L186" i="2"/>
  <c r="I185" i="2"/>
  <c r="F185" i="2" s="1"/>
  <c r="H184" i="2"/>
  <c r="E184" i="2" s="1"/>
  <c r="K185" i="2"/>
  <c r="C186" i="2"/>
  <c r="G186" i="2" s="1"/>
  <c r="D717" i="2"/>
  <c r="D187" i="2"/>
  <c r="T186" i="2"/>
  <c r="B186" i="2" l="1"/>
  <c r="D188" i="2"/>
  <c r="C187" i="2"/>
  <c r="D718" i="2"/>
  <c r="D719" i="2" s="1"/>
  <c r="K186" i="2"/>
  <c r="H185" i="2"/>
  <c r="E185" i="2" s="1"/>
  <c r="L187" i="2"/>
  <c r="I186" i="2"/>
  <c r="F186" i="2" s="1"/>
  <c r="M188" i="2"/>
  <c r="J187" i="2"/>
  <c r="D720" i="2" l="1"/>
  <c r="H186" i="2"/>
  <c r="E186" i="2" s="1"/>
  <c r="K187" i="2"/>
  <c r="M189" i="2"/>
  <c r="J188" i="2"/>
  <c r="C188" i="2"/>
  <c r="T188" i="2" s="1"/>
  <c r="D189" i="2"/>
  <c r="G187" i="2"/>
  <c r="T187" i="2"/>
  <c r="B187" i="2"/>
  <c r="L188" i="2"/>
  <c r="I187" i="2"/>
  <c r="F187" i="2" s="1"/>
  <c r="D721" i="2" l="1"/>
  <c r="G188" i="2"/>
  <c r="J189" i="2"/>
  <c r="M190" i="2"/>
  <c r="K188" i="2"/>
  <c r="H187" i="2"/>
  <c r="E187" i="2" s="1"/>
  <c r="L189" i="2"/>
  <c r="I188" i="2"/>
  <c r="F188" i="2" s="1"/>
  <c r="C189" i="2"/>
  <c r="B188" i="2"/>
  <c r="D190" i="2"/>
  <c r="D722" i="2" l="1"/>
  <c r="I189" i="2"/>
  <c r="L190" i="2"/>
  <c r="K189" i="2"/>
  <c r="H188" i="2"/>
  <c r="E188" i="2" s="1"/>
  <c r="M191" i="2"/>
  <c r="J190" i="2"/>
  <c r="C190" i="2"/>
  <c r="F189" i="2"/>
  <c r="G189" i="2"/>
  <c r="D191" i="2"/>
  <c r="T189" i="2"/>
  <c r="B189" i="2"/>
  <c r="D723" i="2" l="1"/>
  <c r="C191" i="2"/>
  <c r="T191" i="2" s="1"/>
  <c r="M192" i="2"/>
  <c r="J191" i="2"/>
  <c r="G190" i="2"/>
  <c r="B190" i="2"/>
  <c r="T190" i="2"/>
  <c r="L191" i="2"/>
  <c r="I190" i="2"/>
  <c r="F190" i="2" s="1"/>
  <c r="K190" i="2"/>
  <c r="H189" i="2"/>
  <c r="E189" i="2" s="1"/>
  <c r="D192" i="2"/>
  <c r="G191" i="2"/>
  <c r="D724" i="2" l="1"/>
  <c r="K191" i="2"/>
  <c r="H190" i="2"/>
  <c r="E190" i="2" s="1"/>
  <c r="J192" i="2"/>
  <c r="M193" i="2"/>
  <c r="C192" i="2"/>
  <c r="T192" i="2"/>
  <c r="G192" i="2"/>
  <c r="D193" i="2"/>
  <c r="I191" i="2"/>
  <c r="F191" i="2" s="1"/>
  <c r="L192" i="2"/>
  <c r="B191" i="2"/>
  <c r="D725" i="2" l="1"/>
  <c r="C193" i="2"/>
  <c r="T193" i="2" s="1"/>
  <c r="D194" i="2"/>
  <c r="M194" i="2"/>
  <c r="J193" i="2"/>
  <c r="H191" i="2"/>
  <c r="E191" i="2" s="1"/>
  <c r="K192" i="2"/>
  <c r="B192" i="2"/>
  <c r="L193" i="2"/>
  <c r="I192" i="2"/>
  <c r="F192" i="2" s="1"/>
  <c r="G193" i="2" l="1"/>
  <c r="D726" i="2"/>
  <c r="D195" i="2"/>
  <c r="C194" i="2"/>
  <c r="J194" i="2"/>
  <c r="M195" i="2"/>
  <c r="K193" i="2"/>
  <c r="H192" i="2"/>
  <c r="E192" i="2" s="1"/>
  <c r="B193" i="2"/>
  <c r="I193" i="2"/>
  <c r="F193" i="2" s="1"/>
  <c r="L194" i="2"/>
  <c r="D727" i="2" l="1"/>
  <c r="K194" i="2"/>
  <c r="H193" i="2"/>
  <c r="E193" i="2" s="1"/>
  <c r="M196" i="2"/>
  <c r="J195" i="2"/>
  <c r="C195" i="2"/>
  <c r="G195" i="2" s="1"/>
  <c r="F194" i="2"/>
  <c r="L195" i="2"/>
  <c r="I194" i="2"/>
  <c r="G194" i="2"/>
  <c r="T194" i="2"/>
  <c r="D196" i="2"/>
  <c r="B194" i="2"/>
  <c r="T195" i="2" l="1"/>
  <c r="D728" i="2"/>
  <c r="B195" i="2"/>
  <c r="C196" i="2"/>
  <c r="T196" i="2" s="1"/>
  <c r="D197" i="2"/>
  <c r="M197" i="2"/>
  <c r="J196" i="2"/>
  <c r="H194" i="2"/>
  <c r="E194" i="2" s="1"/>
  <c r="K195" i="2"/>
  <c r="L196" i="2"/>
  <c r="I195" i="2"/>
  <c r="F195" i="2" s="1"/>
  <c r="G196" i="2" l="1"/>
  <c r="D729" i="2"/>
  <c r="F196" i="2"/>
  <c r="C197" i="2"/>
  <c r="G197" i="2" s="1"/>
  <c r="D198" i="2"/>
  <c r="I196" i="2"/>
  <c r="L197" i="2"/>
  <c r="K196" i="2"/>
  <c r="H195" i="2"/>
  <c r="E195" i="2" s="1"/>
  <c r="B196" i="2"/>
  <c r="M198" i="2"/>
  <c r="J197" i="2"/>
  <c r="T197" i="2" l="1"/>
  <c r="D730" i="2"/>
  <c r="C198" i="2"/>
  <c r="T198" i="2" s="1"/>
  <c r="J198" i="2"/>
  <c r="M199" i="2"/>
  <c r="H196" i="2"/>
  <c r="E196" i="2" s="1"/>
  <c r="K197" i="2"/>
  <c r="B197" i="2"/>
  <c r="L198" i="2"/>
  <c r="I197" i="2"/>
  <c r="F197" i="2" s="1"/>
  <c r="G198" i="2"/>
  <c r="D199" i="2"/>
  <c r="D731" i="2" l="1"/>
  <c r="K198" i="2"/>
  <c r="H197" i="2"/>
  <c r="E197" i="2" s="1"/>
  <c r="L199" i="2"/>
  <c r="I198" i="2"/>
  <c r="F198" i="2" s="1"/>
  <c r="M200" i="2"/>
  <c r="J199" i="2"/>
  <c r="D200" i="2"/>
  <c r="C199" i="2"/>
  <c r="T199" i="2" s="1"/>
  <c r="B198" i="2"/>
  <c r="D732" i="2" l="1"/>
  <c r="M201" i="2"/>
  <c r="J200" i="2"/>
  <c r="C200" i="2"/>
  <c r="T200" i="2" s="1"/>
  <c r="L200" i="2"/>
  <c r="I199" i="2"/>
  <c r="F199" i="2" s="1"/>
  <c r="K199" i="2"/>
  <c r="H198" i="2"/>
  <c r="E198" i="2" s="1"/>
  <c r="G199" i="2"/>
  <c r="B199" i="2"/>
  <c r="D201" i="2"/>
  <c r="D733" i="2" l="1"/>
  <c r="G200" i="2"/>
  <c r="J201" i="2"/>
  <c r="M202" i="2"/>
  <c r="L201" i="2"/>
  <c r="I200" i="2"/>
  <c r="F200" i="2" s="1"/>
  <c r="C201" i="2"/>
  <c r="T201" i="2" s="1"/>
  <c r="D202" i="2"/>
  <c r="B200" i="2"/>
  <c r="K200" i="2"/>
  <c r="H199" i="2"/>
  <c r="E199" i="2" s="1"/>
  <c r="G201" i="2" l="1"/>
  <c r="D734" i="2"/>
  <c r="I201" i="2"/>
  <c r="L202" i="2"/>
  <c r="B201" i="2"/>
  <c r="D203" i="2"/>
  <c r="M203" i="2"/>
  <c r="J202" i="2"/>
  <c r="C202" i="2"/>
  <c r="T202" i="2" s="1"/>
  <c r="F201" i="2"/>
  <c r="H200" i="2"/>
  <c r="E200" i="2" s="1"/>
  <c r="K201" i="2"/>
  <c r="G202" i="2" l="1"/>
  <c r="D735" i="2"/>
  <c r="B202" i="2"/>
  <c r="L203" i="2"/>
  <c r="I202" i="2"/>
  <c r="F202" i="2" s="1"/>
  <c r="M204" i="2"/>
  <c r="J203" i="2"/>
  <c r="D204" i="2"/>
  <c r="K202" i="2"/>
  <c r="H201" i="2"/>
  <c r="E201" i="2" s="1"/>
  <c r="C203" i="2"/>
  <c r="T203" i="2" s="1"/>
  <c r="G203" i="2" l="1"/>
  <c r="D736" i="2"/>
  <c r="J204" i="2"/>
  <c r="M205" i="2"/>
  <c r="L204" i="2"/>
  <c r="I203" i="2"/>
  <c r="F203" i="2" s="1"/>
  <c r="C204" i="2"/>
  <c r="B203" i="2"/>
  <c r="T204" i="2"/>
  <c r="G204" i="2"/>
  <c r="D205" i="2"/>
  <c r="K203" i="2"/>
  <c r="H202" i="2"/>
  <c r="E202" i="2" s="1"/>
  <c r="D737" i="2" l="1"/>
  <c r="B204" i="2"/>
  <c r="H203" i="2"/>
  <c r="E203" i="2" s="1"/>
  <c r="K204" i="2"/>
  <c r="L205" i="2"/>
  <c r="I204" i="2"/>
  <c r="F204" i="2" s="1"/>
  <c r="M206" i="2"/>
  <c r="J205" i="2"/>
  <c r="C205" i="2"/>
  <c r="T205" i="2" s="1"/>
  <c r="D206" i="2"/>
  <c r="D738" i="2" l="1"/>
  <c r="G205" i="2"/>
  <c r="K205" i="2"/>
  <c r="H204" i="2"/>
  <c r="E204" i="2" s="1"/>
  <c r="B205" i="2"/>
  <c r="C206" i="2"/>
  <c r="D207" i="2"/>
  <c r="T206" i="2"/>
  <c r="J206" i="2"/>
  <c r="G206" i="2" s="1"/>
  <c r="M207" i="2"/>
  <c r="I205" i="2"/>
  <c r="F205" i="2" s="1"/>
  <c r="L206" i="2"/>
  <c r="D739" i="2" l="1"/>
  <c r="D208" i="2"/>
  <c r="K206" i="2"/>
  <c r="H205" i="2"/>
  <c r="E205" i="2" s="1"/>
  <c r="C207" i="2"/>
  <c r="T207" i="2" s="1"/>
  <c r="B206" i="2"/>
  <c r="L207" i="2"/>
  <c r="I206" i="2"/>
  <c r="F206" i="2" s="1"/>
  <c r="M208" i="2"/>
  <c r="J207" i="2"/>
  <c r="G207" i="2" l="1"/>
  <c r="D740" i="2"/>
  <c r="M209" i="2"/>
  <c r="J208" i="2"/>
  <c r="L208" i="2"/>
  <c r="I207" i="2"/>
  <c r="F207" i="2" s="1"/>
  <c r="H206" i="2"/>
  <c r="E206" i="2" s="1"/>
  <c r="K207" i="2"/>
  <c r="D209" i="2"/>
  <c r="T208" i="2"/>
  <c r="B207" i="2"/>
  <c r="C208" i="2"/>
  <c r="D741" i="2" l="1"/>
  <c r="K208" i="2"/>
  <c r="H207" i="2"/>
  <c r="E207" i="2" s="1"/>
  <c r="M210" i="2"/>
  <c r="J209" i="2"/>
  <c r="I208" i="2"/>
  <c r="F208" i="2" s="1"/>
  <c r="L209" i="2"/>
  <c r="C209" i="2"/>
  <c r="T209" i="2" s="1"/>
  <c r="B208" i="2"/>
  <c r="D210" i="2"/>
  <c r="G208" i="2"/>
  <c r="G209" i="2" l="1"/>
  <c r="D742" i="2"/>
  <c r="C210" i="2"/>
  <c r="L210" i="2"/>
  <c r="I209" i="2"/>
  <c r="F209" i="2" s="1"/>
  <c r="G210" i="2"/>
  <c r="D211" i="2"/>
  <c r="T210" i="2"/>
  <c r="J210" i="2"/>
  <c r="M211" i="2"/>
  <c r="H208" i="2"/>
  <c r="E208" i="2" s="1"/>
  <c r="K209" i="2"/>
  <c r="B209" i="2"/>
  <c r="D743" i="2" l="1"/>
  <c r="D212" i="2"/>
  <c r="B210" i="2"/>
  <c r="L211" i="2"/>
  <c r="I210" i="2"/>
  <c r="C211" i="2"/>
  <c r="T211" i="2" s="1"/>
  <c r="F210" i="2"/>
  <c r="J211" i="2"/>
  <c r="M212" i="2"/>
  <c r="K210" i="2"/>
  <c r="H209" i="2"/>
  <c r="E209" i="2" s="1"/>
  <c r="D744" i="2" l="1"/>
  <c r="G211" i="2"/>
  <c r="D213" i="2"/>
  <c r="K211" i="2"/>
  <c r="H210" i="2"/>
  <c r="E210" i="2" s="1"/>
  <c r="C212" i="2"/>
  <c r="T212" i="2" s="1"/>
  <c r="B211" i="2"/>
  <c r="M213" i="2"/>
  <c r="J212" i="2"/>
  <c r="I211" i="2"/>
  <c r="F211" i="2" s="1"/>
  <c r="L212" i="2"/>
  <c r="D745" i="2" l="1"/>
  <c r="L213" i="2"/>
  <c r="I212" i="2"/>
  <c r="F212" i="2" s="1"/>
  <c r="K212" i="2"/>
  <c r="H211" i="2"/>
  <c r="E211" i="2" s="1"/>
  <c r="D214" i="2"/>
  <c r="G212" i="2"/>
  <c r="J213" i="2"/>
  <c r="M214" i="2"/>
  <c r="B212" i="2"/>
  <c r="C213" i="2"/>
  <c r="G213" i="2" s="1"/>
  <c r="D746" i="2" l="1"/>
  <c r="H212" i="2"/>
  <c r="E212" i="2" s="1"/>
  <c r="K213" i="2"/>
  <c r="I213" i="2"/>
  <c r="F213" i="2" s="1"/>
  <c r="L214" i="2"/>
  <c r="M215" i="2"/>
  <c r="J214" i="2"/>
  <c r="B213" i="2"/>
  <c r="C214" i="2"/>
  <c r="T214" i="2" s="1"/>
  <c r="D215" i="2"/>
  <c r="T213" i="2"/>
  <c r="G214" i="2" l="1"/>
  <c r="D747" i="2"/>
  <c r="M216" i="2"/>
  <c r="J215" i="2"/>
  <c r="L215" i="2"/>
  <c r="I214" i="2"/>
  <c r="K214" i="2"/>
  <c r="H213" i="2"/>
  <c r="E213" i="2" s="1"/>
  <c r="D216" i="2"/>
  <c r="G215" i="2"/>
  <c r="F214" i="2"/>
  <c r="C215" i="2"/>
  <c r="T215" i="2" s="1"/>
  <c r="B214" i="2"/>
  <c r="D748" i="2" l="1"/>
  <c r="K215" i="2"/>
  <c r="H214" i="2"/>
  <c r="E214" i="2" s="1"/>
  <c r="D217" i="2"/>
  <c r="B215" i="2"/>
  <c r="M217" i="2"/>
  <c r="J216" i="2"/>
  <c r="C216" i="2"/>
  <c r="L216" i="2"/>
  <c r="I215" i="2"/>
  <c r="F215" i="2" s="1"/>
  <c r="G216" i="2" l="1"/>
  <c r="D749" i="2"/>
  <c r="M218" i="2"/>
  <c r="J217" i="2"/>
  <c r="H215" i="2"/>
  <c r="E215" i="2" s="1"/>
  <c r="K216" i="2"/>
  <c r="L217" i="2"/>
  <c r="I216" i="2"/>
  <c r="F216" i="2" s="1"/>
  <c r="B216" i="2"/>
  <c r="C217" i="2"/>
  <c r="T217" i="2" s="1"/>
  <c r="D218" i="2"/>
  <c r="T216" i="2"/>
  <c r="G217" i="2" l="1"/>
  <c r="D750" i="2"/>
  <c r="I217" i="2"/>
  <c r="L218" i="2"/>
  <c r="B217" i="2"/>
  <c r="K217" i="2"/>
  <c r="H216" i="2"/>
  <c r="E216" i="2" s="1"/>
  <c r="J218" i="2"/>
  <c r="M219" i="2"/>
  <c r="D219" i="2"/>
  <c r="F217" i="2"/>
  <c r="C218" i="2"/>
  <c r="D751" i="2" l="1"/>
  <c r="M220" i="2"/>
  <c r="J219" i="2"/>
  <c r="G219" i="2" s="1"/>
  <c r="C219" i="2"/>
  <c r="K218" i="2"/>
  <c r="H217" i="2"/>
  <c r="E217" i="2" s="1"/>
  <c r="G218" i="2"/>
  <c r="B218" i="2"/>
  <c r="T218" i="2"/>
  <c r="T219" i="2"/>
  <c r="D220" i="2"/>
  <c r="I218" i="2"/>
  <c r="F218" i="2" s="1"/>
  <c r="L219" i="2"/>
  <c r="D752" i="2" l="1"/>
  <c r="B219" i="2"/>
  <c r="M221" i="2"/>
  <c r="J220" i="2"/>
  <c r="H218" i="2"/>
  <c r="E218" i="2" s="1"/>
  <c r="K219" i="2"/>
  <c r="C220" i="2"/>
  <c r="T220" i="2" s="1"/>
  <c r="L220" i="2"/>
  <c r="I219" i="2"/>
  <c r="F219" i="2" s="1"/>
  <c r="D221" i="2"/>
  <c r="G220" i="2" l="1"/>
  <c r="D753" i="2"/>
  <c r="K220" i="2"/>
  <c r="H219" i="2"/>
  <c r="E219" i="2" s="1"/>
  <c r="T221" i="2"/>
  <c r="D222" i="2"/>
  <c r="J221" i="2"/>
  <c r="M222" i="2"/>
  <c r="I220" i="2"/>
  <c r="F220" i="2" s="1"/>
  <c r="L221" i="2"/>
  <c r="B220" i="2"/>
  <c r="C221" i="2"/>
  <c r="G221" i="2" s="1"/>
  <c r="D754" i="2" l="1"/>
  <c r="D223" i="2"/>
  <c r="C222" i="2"/>
  <c r="I221" i="2"/>
  <c r="F221" i="2" s="1"/>
  <c r="L222" i="2"/>
  <c r="B221" i="2"/>
  <c r="H220" i="2"/>
  <c r="E220" i="2" s="1"/>
  <c r="K221" i="2"/>
  <c r="J222" i="2"/>
  <c r="M223" i="2"/>
  <c r="D755" i="2" l="1"/>
  <c r="I222" i="2"/>
  <c r="F222" i="2" s="1"/>
  <c r="L223" i="2"/>
  <c r="D224" i="2"/>
  <c r="H221" i="2"/>
  <c r="E221" i="2" s="1"/>
  <c r="K222" i="2"/>
  <c r="C223" i="2"/>
  <c r="T222" i="2"/>
  <c r="G222" i="2"/>
  <c r="B222" i="2"/>
  <c r="M224" i="2"/>
  <c r="J223" i="2"/>
  <c r="D756" i="2" l="1"/>
  <c r="L224" i="2"/>
  <c r="I223" i="2"/>
  <c r="F223" i="2" s="1"/>
  <c r="J224" i="2"/>
  <c r="M225" i="2"/>
  <c r="B223" i="2"/>
  <c r="C224" i="2"/>
  <c r="T224" i="2" s="1"/>
  <c r="K223" i="2"/>
  <c r="H222" i="2"/>
  <c r="E222" i="2" s="1"/>
  <c r="G223" i="2"/>
  <c r="T223" i="2"/>
  <c r="D225" i="2"/>
  <c r="G224" i="2" l="1"/>
  <c r="D757" i="2"/>
  <c r="M226" i="2"/>
  <c r="J225" i="2"/>
  <c r="G225" i="2" s="1"/>
  <c r="L225" i="2"/>
  <c r="I224" i="2"/>
  <c r="F224" i="2" s="1"/>
  <c r="C225" i="2"/>
  <c r="T225" i="2"/>
  <c r="D226" i="2"/>
  <c r="B224" i="2"/>
  <c r="K224" i="2"/>
  <c r="H223" i="2"/>
  <c r="E223" i="2" s="1"/>
  <c r="D758" i="2" l="1"/>
  <c r="I225" i="2"/>
  <c r="L226" i="2"/>
  <c r="K225" i="2"/>
  <c r="H224" i="2"/>
  <c r="E224" i="2" s="1"/>
  <c r="B225" i="2"/>
  <c r="D227" i="2"/>
  <c r="M227" i="2"/>
  <c r="J226" i="2"/>
  <c r="F225" i="2"/>
  <c r="C226" i="2"/>
  <c r="G226" i="2" l="1"/>
  <c r="D759" i="2"/>
  <c r="K226" i="2"/>
  <c r="H225" i="2"/>
  <c r="E225" i="2" s="1"/>
  <c r="D228" i="2"/>
  <c r="C227" i="2"/>
  <c r="T227" i="2" s="1"/>
  <c r="T226" i="2"/>
  <c r="B226" i="2"/>
  <c r="M228" i="2"/>
  <c r="J227" i="2"/>
  <c r="L227" i="2"/>
  <c r="I226" i="2"/>
  <c r="F226" i="2" s="1"/>
  <c r="G227" i="2" l="1"/>
  <c r="D760" i="2"/>
  <c r="D229" i="2"/>
  <c r="B227" i="2"/>
  <c r="K227" i="2"/>
  <c r="H226" i="2"/>
  <c r="E226" i="2" s="1"/>
  <c r="L228" i="2"/>
  <c r="I227" i="2"/>
  <c r="F227" i="2" s="1"/>
  <c r="M229" i="2"/>
  <c r="J228" i="2"/>
  <c r="C228" i="2"/>
  <c r="G228" i="2" l="1"/>
  <c r="D761" i="2"/>
  <c r="M230" i="2"/>
  <c r="J229" i="2"/>
  <c r="H227" i="2"/>
  <c r="E227" i="2" s="1"/>
  <c r="K228" i="2"/>
  <c r="C229" i="2"/>
  <c r="B228" i="2"/>
  <c r="L229" i="2"/>
  <c r="I228" i="2"/>
  <c r="F228" i="2" s="1"/>
  <c r="G229" i="2"/>
  <c r="D230" i="2"/>
  <c r="T229" i="2"/>
  <c r="T228" i="2"/>
  <c r="D762" i="2" l="1"/>
  <c r="K229" i="2"/>
  <c r="H228" i="2"/>
  <c r="E228" i="2" s="1"/>
  <c r="L230" i="2"/>
  <c r="I229" i="2"/>
  <c r="B229" i="2"/>
  <c r="M231" i="2"/>
  <c r="J230" i="2"/>
  <c r="C230" i="2"/>
  <c r="T230" i="2" s="1"/>
  <c r="F229" i="2"/>
  <c r="D231" i="2"/>
  <c r="G230" i="2" l="1"/>
  <c r="D763" i="2"/>
  <c r="M232" i="2"/>
  <c r="J231" i="2"/>
  <c r="B230" i="2"/>
  <c r="L231" i="2"/>
  <c r="I230" i="2"/>
  <c r="F230" i="2" s="1"/>
  <c r="D232" i="2"/>
  <c r="H229" i="2"/>
  <c r="E229" i="2" s="1"/>
  <c r="K230" i="2"/>
  <c r="C231" i="2"/>
  <c r="T231" i="2" s="1"/>
  <c r="G231" i="2" l="1"/>
  <c r="D764" i="2"/>
  <c r="B231" i="2"/>
  <c r="K231" i="2"/>
  <c r="H230" i="2"/>
  <c r="E230" i="2" s="1"/>
  <c r="D233" i="2"/>
  <c r="J232" i="2"/>
  <c r="M233" i="2"/>
  <c r="L232" i="2"/>
  <c r="I231" i="2"/>
  <c r="F231" i="2"/>
  <c r="C232" i="2"/>
  <c r="G232" i="2" l="1"/>
  <c r="D765" i="2"/>
  <c r="T232" i="2"/>
  <c r="D234" i="2"/>
  <c r="L233" i="2"/>
  <c r="I232" i="2"/>
  <c r="F232" i="2" s="1"/>
  <c r="K232" i="2"/>
  <c r="H231" i="2"/>
  <c r="E231" i="2" s="1"/>
  <c r="C233" i="2"/>
  <c r="T233" i="2" s="1"/>
  <c r="B232" i="2"/>
  <c r="M234" i="2"/>
  <c r="J233" i="2"/>
  <c r="G233" i="2" s="1"/>
  <c r="D766" i="2" l="1"/>
  <c r="L234" i="2"/>
  <c r="I233" i="2"/>
  <c r="K233" i="2"/>
  <c r="H232" i="2"/>
  <c r="E232" i="2" s="1"/>
  <c r="B233" i="2"/>
  <c r="D235" i="2"/>
  <c r="F233" i="2"/>
  <c r="C234" i="2"/>
  <c r="T234" i="2" s="1"/>
  <c r="M235" i="2"/>
  <c r="J234" i="2"/>
  <c r="D767" i="2" l="1"/>
  <c r="G234" i="2"/>
  <c r="M236" i="2"/>
  <c r="J235" i="2"/>
  <c r="D236" i="2"/>
  <c r="B234" i="2"/>
  <c r="C235" i="2"/>
  <c r="T235" i="2" s="1"/>
  <c r="K234" i="2"/>
  <c r="H233" i="2"/>
  <c r="E233" i="2" s="1"/>
  <c r="I234" i="2"/>
  <c r="F234" i="2" s="1"/>
  <c r="L235" i="2"/>
  <c r="D768" i="2" l="1"/>
  <c r="D237" i="2"/>
  <c r="L236" i="2"/>
  <c r="I235" i="2"/>
  <c r="F235" i="2" s="1"/>
  <c r="G235" i="2"/>
  <c r="C236" i="2"/>
  <c r="B235" i="2"/>
  <c r="M237" i="2"/>
  <c r="J236" i="2"/>
  <c r="H234" i="2"/>
  <c r="E234" i="2" s="1"/>
  <c r="K235" i="2"/>
  <c r="G236" i="2" l="1"/>
  <c r="D769" i="2"/>
  <c r="T236" i="2"/>
  <c r="D238" i="2"/>
  <c r="L237" i="2"/>
  <c r="I236" i="2"/>
  <c r="F236" i="2" s="1"/>
  <c r="C237" i="2"/>
  <c r="M238" i="2"/>
  <c r="J237" i="2"/>
  <c r="K236" i="2"/>
  <c r="H235" i="2"/>
  <c r="E235" i="2" s="1"/>
  <c r="B236" i="2"/>
  <c r="D770" i="2" l="1"/>
  <c r="C238" i="2"/>
  <c r="L238" i="2"/>
  <c r="I237" i="2"/>
  <c r="F237" i="2" s="1"/>
  <c r="G237" i="2"/>
  <c r="M239" i="2"/>
  <c r="J238" i="2"/>
  <c r="G238" i="2" s="1"/>
  <c r="T237" i="2"/>
  <c r="T238" i="2"/>
  <c r="D239" i="2"/>
  <c r="B237" i="2"/>
  <c r="K237" i="2"/>
  <c r="H236" i="2"/>
  <c r="E236" i="2" s="1"/>
  <c r="D771" i="2" l="1"/>
  <c r="J239" i="2"/>
  <c r="M240" i="2"/>
  <c r="D240" i="2"/>
  <c r="T239" i="2"/>
  <c r="L239" i="2"/>
  <c r="I238" i="2"/>
  <c r="F238" i="2" s="1"/>
  <c r="K238" i="2"/>
  <c r="H237" i="2"/>
  <c r="E237" i="2" s="1"/>
  <c r="C239" i="2"/>
  <c r="B238" i="2"/>
  <c r="D772" i="2" l="1"/>
  <c r="D241" i="2"/>
  <c r="M241" i="2"/>
  <c r="J240" i="2"/>
  <c r="C240" i="2"/>
  <c r="T240" i="2" s="1"/>
  <c r="K239" i="2"/>
  <c r="H238" i="2"/>
  <c r="E238" i="2" s="1"/>
  <c r="B239" i="2"/>
  <c r="I239" i="2"/>
  <c r="F239" i="2" s="1"/>
  <c r="L240" i="2"/>
  <c r="G239" i="2"/>
  <c r="G240" i="2" l="1"/>
  <c r="D773" i="2"/>
  <c r="K240" i="2"/>
  <c r="H239" i="2"/>
  <c r="E239" i="2" s="1"/>
  <c r="M242" i="2"/>
  <c r="J241" i="2"/>
  <c r="D242" i="2"/>
  <c r="B240" i="2"/>
  <c r="L241" i="2"/>
  <c r="I240" i="2"/>
  <c r="F240" i="2" s="1"/>
  <c r="C241" i="2"/>
  <c r="G241" i="2" s="1"/>
  <c r="D774" i="2" l="1"/>
  <c r="M243" i="2"/>
  <c r="J242" i="2"/>
  <c r="F241" i="2"/>
  <c r="C242" i="2"/>
  <c r="K241" i="2"/>
  <c r="H240" i="2"/>
  <c r="E240" i="2" s="1"/>
  <c r="B241" i="2"/>
  <c r="L242" i="2"/>
  <c r="I241" i="2"/>
  <c r="T241" i="2"/>
  <c r="D243" i="2"/>
  <c r="D775" i="2" l="1"/>
  <c r="C243" i="2"/>
  <c r="T243" i="2"/>
  <c r="D244" i="2"/>
  <c r="G242" i="2"/>
  <c r="T242" i="2"/>
  <c r="L243" i="2"/>
  <c r="I242" i="2"/>
  <c r="F242" i="2" s="1"/>
  <c r="B242" i="2"/>
  <c r="J243" i="2"/>
  <c r="M244" i="2"/>
  <c r="H241" i="2"/>
  <c r="E241" i="2" s="1"/>
  <c r="K242" i="2"/>
  <c r="C244" i="2" l="1"/>
  <c r="L244" i="2"/>
  <c r="I243" i="2"/>
  <c r="F243" i="2" s="1"/>
  <c r="J244" i="2"/>
  <c r="G244" i="2" s="1"/>
  <c r="M245" i="2"/>
  <c r="B243" i="2"/>
  <c r="K243" i="2"/>
  <c r="H242" i="2"/>
  <c r="E242" i="2" s="1"/>
  <c r="D245" i="2"/>
  <c r="G243" i="2"/>
  <c r="M246" i="2" l="1"/>
  <c r="J245" i="2"/>
  <c r="L245" i="2"/>
  <c r="I244" i="2"/>
  <c r="F244" i="2" s="1"/>
  <c r="K244" i="2"/>
  <c r="H243" i="2"/>
  <c r="E243" i="2" s="1"/>
  <c r="C245" i="2"/>
  <c r="G245" i="2" s="1"/>
  <c r="B244" i="2"/>
  <c r="T244" i="2"/>
  <c r="D246" i="2"/>
  <c r="K245" i="2" l="1"/>
  <c r="H244" i="2"/>
  <c r="E244" i="2" s="1"/>
  <c r="B245" i="2"/>
  <c r="C246" i="2"/>
  <c r="F245" i="2"/>
  <c r="T245" i="2"/>
  <c r="L246" i="2"/>
  <c r="I245" i="2"/>
  <c r="M247" i="2"/>
  <c r="J246" i="2"/>
  <c r="G246" i="2"/>
  <c r="T246" i="2"/>
  <c r="D247" i="2"/>
  <c r="C247" i="2" l="1"/>
  <c r="B246" i="2"/>
  <c r="M248" i="2"/>
  <c r="J247" i="2"/>
  <c r="I246" i="2"/>
  <c r="F246" i="2" s="1"/>
  <c r="L247" i="2"/>
  <c r="T247" i="2"/>
  <c r="G247" i="2"/>
  <c r="D248" i="2"/>
  <c r="H245" i="2"/>
  <c r="E245" i="2" s="1"/>
  <c r="K246" i="2"/>
  <c r="D249" i="2" l="1"/>
  <c r="L248" i="2"/>
  <c r="I247" i="2"/>
  <c r="M249" i="2"/>
  <c r="J248" i="2"/>
  <c r="B247" i="2"/>
  <c r="F247" i="2"/>
  <c r="C248" i="2"/>
  <c r="H246" i="2"/>
  <c r="E246" i="2" s="1"/>
  <c r="K247" i="2"/>
  <c r="B248" i="2" l="1"/>
  <c r="C249" i="2"/>
  <c r="M250" i="2"/>
  <c r="J249" i="2"/>
  <c r="K248" i="2"/>
  <c r="H247" i="2"/>
  <c r="E247" i="2" s="1"/>
  <c r="L249" i="2"/>
  <c r="I248" i="2"/>
  <c r="F248" i="2" s="1"/>
  <c r="T248" i="2"/>
  <c r="D250" i="2"/>
  <c r="G248" i="2"/>
  <c r="M251" i="2" l="1"/>
  <c r="J250" i="2"/>
  <c r="D251" i="2"/>
  <c r="L250" i="2"/>
  <c r="I249" i="2"/>
  <c r="F249" i="2"/>
  <c r="C250" i="2"/>
  <c r="B249" i="2"/>
  <c r="G249" i="2"/>
  <c r="T249" i="2"/>
  <c r="K249" i="2"/>
  <c r="H248" i="2"/>
  <c r="E248" i="2" s="1"/>
  <c r="C251" i="2" l="1"/>
  <c r="K250" i="2"/>
  <c r="H249" i="2"/>
  <c r="E249" i="2" s="1"/>
  <c r="I250" i="2"/>
  <c r="F250" i="2" s="1"/>
  <c r="L251" i="2"/>
  <c r="G250" i="2"/>
  <c r="J251" i="2"/>
  <c r="G251" i="2" s="1"/>
  <c r="M252" i="2"/>
  <c r="D252" i="2"/>
  <c r="T251" i="2"/>
  <c r="T250" i="2"/>
  <c r="B250" i="2"/>
  <c r="B251" i="2" l="1"/>
  <c r="I251" i="2"/>
  <c r="F251" i="2" s="1"/>
  <c r="L252" i="2"/>
  <c r="K251" i="2"/>
  <c r="H250" i="2"/>
  <c r="E250" i="2" s="1"/>
  <c r="C252" i="2"/>
  <c r="D253" i="2"/>
  <c r="T252" i="2"/>
  <c r="M253" i="2"/>
  <c r="J252" i="2"/>
  <c r="G252" i="2" s="1"/>
  <c r="D254" i="2" l="1"/>
  <c r="C253" i="2"/>
  <c r="B252" i="2"/>
  <c r="H251" i="2"/>
  <c r="E251" i="2" s="1"/>
  <c r="K252" i="2"/>
  <c r="L253" i="2"/>
  <c r="I252" i="2"/>
  <c r="F252" i="2" s="1"/>
  <c r="M254" i="2"/>
  <c r="J253" i="2"/>
  <c r="L254" i="2" l="1"/>
  <c r="I253" i="2"/>
  <c r="F253" i="2" s="1"/>
  <c r="C254" i="2"/>
  <c r="K253" i="2"/>
  <c r="H252" i="2"/>
  <c r="E252" i="2" s="1"/>
  <c r="T253" i="2"/>
  <c r="T254" i="2"/>
  <c r="D255" i="2"/>
  <c r="B253" i="2"/>
  <c r="G253" i="2"/>
  <c r="M255" i="2"/>
  <c r="J254" i="2"/>
  <c r="G254" i="2" s="1"/>
  <c r="L255" i="2" l="1"/>
  <c r="I254" i="2"/>
  <c r="F254" i="2" s="1"/>
  <c r="H253" i="2"/>
  <c r="E253" i="2" s="1"/>
  <c r="K254" i="2"/>
  <c r="D256" i="2"/>
  <c r="J255" i="2"/>
  <c r="M256" i="2"/>
  <c r="B254" i="2"/>
  <c r="C255" i="2"/>
  <c r="T255" i="2" s="1"/>
  <c r="D257" i="2" l="1"/>
  <c r="L256" i="2"/>
  <c r="I255" i="2"/>
  <c r="G255" i="2"/>
  <c r="F255" i="2"/>
  <c r="C256" i="2"/>
  <c r="B255" i="2"/>
  <c r="K255" i="2"/>
  <c r="H254" i="2"/>
  <c r="E254" i="2" s="1"/>
  <c r="J256" i="2"/>
  <c r="M257" i="2"/>
  <c r="C257" i="2" l="1"/>
  <c r="T257" i="2" s="1"/>
  <c r="M258" i="2"/>
  <c r="J257" i="2"/>
  <c r="I256" i="2"/>
  <c r="F256" i="2" s="1"/>
  <c r="L257" i="2"/>
  <c r="G256" i="2"/>
  <c r="K256" i="2"/>
  <c r="H255" i="2"/>
  <c r="E255" i="2" s="1"/>
  <c r="T256" i="2"/>
  <c r="B256" i="2"/>
  <c r="D258" i="2"/>
  <c r="G257" i="2" l="1"/>
  <c r="C258" i="2"/>
  <c r="K257" i="2"/>
  <c r="H256" i="2"/>
  <c r="E256" i="2" s="1"/>
  <c r="T258" i="2"/>
  <c r="D259" i="2"/>
  <c r="B257" i="2"/>
  <c r="M259" i="2"/>
  <c r="J258" i="2"/>
  <c r="G258" i="2" s="1"/>
  <c r="L258" i="2"/>
  <c r="I257" i="2"/>
  <c r="F257" i="2" s="1"/>
  <c r="H257" i="2" l="1"/>
  <c r="E257" i="2" s="1"/>
  <c r="K258" i="2"/>
  <c r="M260" i="2"/>
  <c r="J259" i="2"/>
  <c r="C259" i="2"/>
  <c r="F258" i="2"/>
  <c r="B258" i="2"/>
  <c r="I258" i="2"/>
  <c r="L259" i="2"/>
  <c r="D260" i="2"/>
  <c r="C260" i="2" l="1"/>
  <c r="D261" i="2"/>
  <c r="T260" i="2"/>
  <c r="G259" i="2"/>
  <c r="M261" i="2"/>
  <c r="J260" i="2"/>
  <c r="T259" i="2"/>
  <c r="H258" i="2"/>
  <c r="E258" i="2" s="1"/>
  <c r="K259" i="2"/>
  <c r="L260" i="2"/>
  <c r="I259" i="2"/>
  <c r="F259" i="2" s="1"/>
  <c r="B259" i="2"/>
  <c r="L261" i="2" l="1"/>
  <c r="I260" i="2"/>
  <c r="F260" i="2"/>
  <c r="C261" i="2"/>
  <c r="K260" i="2"/>
  <c r="H259" i="2"/>
  <c r="E259" i="2" s="1"/>
  <c r="J261" i="2"/>
  <c r="M262" i="2"/>
  <c r="D262" i="2"/>
  <c r="G260" i="2"/>
  <c r="B260" i="2"/>
  <c r="K261" i="2" l="1"/>
  <c r="H260" i="2"/>
  <c r="E260" i="2" s="1"/>
  <c r="B261" i="2"/>
  <c r="C262" i="2"/>
  <c r="G261" i="2"/>
  <c r="T261" i="2"/>
  <c r="T262" i="2"/>
  <c r="D263" i="2"/>
  <c r="L262" i="2"/>
  <c r="I261" i="2"/>
  <c r="F261" i="2" s="1"/>
  <c r="M263" i="2"/>
  <c r="J262" i="2"/>
  <c r="K262" i="2" l="1"/>
  <c r="H261" i="2"/>
  <c r="E261" i="2" s="1"/>
  <c r="F262" i="2"/>
  <c r="C263" i="2"/>
  <c r="T263" i="2" s="1"/>
  <c r="D264" i="2"/>
  <c r="B262" i="2"/>
  <c r="J263" i="2"/>
  <c r="G263" i="2" s="1"/>
  <c r="M264" i="2"/>
  <c r="I262" i="2"/>
  <c r="L263" i="2"/>
  <c r="G262" i="2"/>
  <c r="D265" i="2" l="1"/>
  <c r="I263" i="2"/>
  <c r="L264" i="2"/>
  <c r="C264" i="2"/>
  <c r="F263" i="2"/>
  <c r="M265" i="2"/>
  <c r="J264" i="2"/>
  <c r="B263" i="2"/>
  <c r="K263" i="2"/>
  <c r="H262" i="2"/>
  <c r="E262" i="2" s="1"/>
  <c r="C265" i="2" l="1"/>
  <c r="T265" i="2" s="1"/>
  <c r="L265" i="2"/>
  <c r="I264" i="2"/>
  <c r="F264" i="2" s="1"/>
  <c r="H263" i="2"/>
  <c r="E263" i="2" s="1"/>
  <c r="K264" i="2"/>
  <c r="B264" i="2"/>
  <c r="D266" i="2"/>
  <c r="T264" i="2"/>
  <c r="G264" i="2"/>
  <c r="M266" i="2"/>
  <c r="J265" i="2"/>
  <c r="K265" i="2" l="1"/>
  <c r="H264" i="2"/>
  <c r="E264" i="2" s="1"/>
  <c r="M267" i="2"/>
  <c r="J266" i="2"/>
  <c r="L266" i="2"/>
  <c r="I265" i="2"/>
  <c r="D267" i="2"/>
  <c r="C266" i="2"/>
  <c r="T266" i="2" s="1"/>
  <c r="F265" i="2"/>
  <c r="G265" i="2"/>
  <c r="B265" i="2"/>
  <c r="G266" i="2" l="1"/>
  <c r="J267" i="2"/>
  <c r="M268" i="2"/>
  <c r="L267" i="2"/>
  <c r="I266" i="2"/>
  <c r="B266" i="2"/>
  <c r="H265" i="2"/>
  <c r="E265" i="2" s="1"/>
  <c r="K266" i="2"/>
  <c r="F266" i="2"/>
  <c r="C267" i="2"/>
  <c r="T267" i="2" s="1"/>
  <c r="D268" i="2"/>
  <c r="G267" i="2" l="1"/>
  <c r="K267" i="2"/>
  <c r="H266" i="2"/>
  <c r="E266" i="2" s="1"/>
  <c r="L268" i="2"/>
  <c r="I267" i="2"/>
  <c r="F267" i="2" s="1"/>
  <c r="D269" i="2"/>
  <c r="J268" i="2"/>
  <c r="M269" i="2"/>
  <c r="B267" i="2"/>
  <c r="C268" i="2"/>
  <c r="T268" i="2" s="1"/>
  <c r="G268" i="2" l="1"/>
  <c r="D270" i="2"/>
  <c r="K268" i="2"/>
  <c r="H267" i="2"/>
  <c r="E267" i="2" s="1"/>
  <c r="I268" i="2"/>
  <c r="F268" i="2" s="1"/>
  <c r="L269" i="2"/>
  <c r="C269" i="2"/>
  <c r="B268" i="2"/>
  <c r="M270" i="2"/>
  <c r="J269" i="2"/>
  <c r="L270" i="2" l="1"/>
  <c r="I269" i="2"/>
  <c r="B269" i="2"/>
  <c r="C270" i="2"/>
  <c r="F269" i="2"/>
  <c r="K269" i="2"/>
  <c r="H268" i="2"/>
  <c r="E268" i="2" s="1"/>
  <c r="D271" i="2"/>
  <c r="G269" i="2"/>
  <c r="T269" i="2"/>
  <c r="M271" i="2"/>
  <c r="J270" i="2"/>
  <c r="H269" i="2" l="1"/>
  <c r="E269" i="2" s="1"/>
  <c r="K270" i="2"/>
  <c r="B270" i="2"/>
  <c r="C271" i="2"/>
  <c r="G271" i="2" s="1"/>
  <c r="I270" i="2"/>
  <c r="F270" i="2" s="1"/>
  <c r="L271" i="2"/>
  <c r="M272" i="2"/>
  <c r="J271" i="2"/>
  <c r="G270" i="2"/>
  <c r="D272" i="2"/>
  <c r="T270" i="2"/>
  <c r="D273" i="2" l="1"/>
  <c r="C272" i="2"/>
  <c r="T271" i="2"/>
  <c r="B271" i="2"/>
  <c r="H270" i="2"/>
  <c r="E270" i="2" s="1"/>
  <c r="K271" i="2"/>
  <c r="M273" i="2"/>
  <c r="J272" i="2"/>
  <c r="L272" i="2"/>
  <c r="I271" i="2"/>
  <c r="F271" i="2" s="1"/>
  <c r="B272" i="2" l="1"/>
  <c r="C273" i="2"/>
  <c r="T273" i="2" s="1"/>
  <c r="J273" i="2"/>
  <c r="M274" i="2"/>
  <c r="T272" i="2"/>
  <c r="D274" i="2"/>
  <c r="G272" i="2"/>
  <c r="L273" i="2"/>
  <c r="I272" i="2"/>
  <c r="F272" i="2" s="1"/>
  <c r="K272" i="2"/>
  <c r="H271" i="2"/>
  <c r="E271" i="2" s="1"/>
  <c r="M275" i="2" l="1"/>
  <c r="J274" i="2"/>
  <c r="K273" i="2"/>
  <c r="H272" i="2"/>
  <c r="E272" i="2" s="1"/>
  <c r="L274" i="2"/>
  <c r="I273" i="2"/>
  <c r="F273" i="2" s="1"/>
  <c r="G273" i="2"/>
  <c r="B273" i="2"/>
  <c r="C274" i="2"/>
  <c r="G274" i="2" s="1"/>
  <c r="T274" i="2"/>
  <c r="D275" i="2"/>
  <c r="I274" i="2" l="1"/>
  <c r="F274" i="2" s="1"/>
  <c r="L275" i="2"/>
  <c r="K274" i="2"/>
  <c r="H273" i="2"/>
  <c r="E273" i="2" s="1"/>
  <c r="D276" i="2"/>
  <c r="C275" i="2"/>
  <c r="T275" i="2" s="1"/>
  <c r="J275" i="2"/>
  <c r="G275" i="2" s="1"/>
  <c r="M276" i="2"/>
  <c r="B274" i="2"/>
  <c r="C276" i="2" l="1"/>
  <c r="K275" i="2"/>
  <c r="H274" i="2"/>
  <c r="E274" i="2" s="1"/>
  <c r="I275" i="2"/>
  <c r="F275" i="2" s="1"/>
  <c r="L276" i="2"/>
  <c r="M277" i="2"/>
  <c r="J276" i="2"/>
  <c r="B275" i="2"/>
  <c r="G276" i="2"/>
  <c r="T276" i="2"/>
  <c r="D277" i="2"/>
  <c r="M278" i="2" l="1"/>
  <c r="J277" i="2"/>
  <c r="L277" i="2"/>
  <c r="I276" i="2"/>
  <c r="F276" i="2" s="1"/>
  <c r="D278" i="2"/>
  <c r="T277" i="2"/>
  <c r="K276" i="2"/>
  <c r="H275" i="2"/>
  <c r="E275" i="2" s="1"/>
  <c r="C277" i="2"/>
  <c r="G277" i="2" s="1"/>
  <c r="B276" i="2"/>
  <c r="K277" i="2" l="1"/>
  <c r="H276" i="2"/>
  <c r="E276" i="2" s="1"/>
  <c r="D279" i="2"/>
  <c r="B277" i="2"/>
  <c r="L278" i="2"/>
  <c r="I277" i="2"/>
  <c r="F277" i="2"/>
  <c r="C278" i="2"/>
  <c r="T278" i="2" s="1"/>
  <c r="M279" i="2"/>
  <c r="J278" i="2"/>
  <c r="L279" i="2" l="1"/>
  <c r="I278" i="2"/>
  <c r="D280" i="2"/>
  <c r="G278" i="2"/>
  <c r="B278" i="2"/>
  <c r="H277" i="2"/>
  <c r="E277" i="2" s="1"/>
  <c r="K278" i="2"/>
  <c r="J279" i="2"/>
  <c r="M280" i="2"/>
  <c r="F278" i="2"/>
  <c r="C279" i="2"/>
  <c r="T279" i="2" s="1"/>
  <c r="B279" i="2" l="1"/>
  <c r="G279" i="2"/>
  <c r="J280" i="2"/>
  <c r="M281" i="2"/>
  <c r="D281" i="2"/>
  <c r="L280" i="2"/>
  <c r="I279" i="2"/>
  <c r="F279" i="2"/>
  <c r="C280" i="2"/>
  <c r="T280" i="2" s="1"/>
  <c r="K279" i="2"/>
  <c r="H278" i="2"/>
  <c r="E278" i="2" s="1"/>
  <c r="G280" i="2" l="1"/>
  <c r="D282" i="2"/>
  <c r="M282" i="2"/>
  <c r="J281" i="2"/>
  <c r="K280" i="2"/>
  <c r="H279" i="2"/>
  <c r="E279" i="2" s="1"/>
  <c r="B280" i="2"/>
  <c r="C281" i="2"/>
  <c r="L281" i="2"/>
  <c r="I280" i="2"/>
  <c r="F280" i="2" s="1"/>
  <c r="G281" i="2" l="1"/>
  <c r="D283" i="2"/>
  <c r="L282" i="2"/>
  <c r="I281" i="2"/>
  <c r="F281" i="2" s="1"/>
  <c r="M283" i="2"/>
  <c r="J282" i="2"/>
  <c r="C282" i="2"/>
  <c r="T281" i="2"/>
  <c r="B281" i="2"/>
  <c r="K281" i="2"/>
  <c r="H280" i="2"/>
  <c r="E280" i="2" s="1"/>
  <c r="H281" i="2" l="1"/>
  <c r="E281" i="2" s="1"/>
  <c r="K282" i="2"/>
  <c r="B282" i="2"/>
  <c r="I282" i="2"/>
  <c r="F282" i="2" s="1"/>
  <c r="L283" i="2"/>
  <c r="C283" i="2"/>
  <c r="T283" i="2"/>
  <c r="D284" i="2"/>
  <c r="T282" i="2"/>
  <c r="G282" i="2"/>
  <c r="M284" i="2"/>
  <c r="J283" i="2"/>
  <c r="G283" i="2" s="1"/>
  <c r="D285" i="2" l="1"/>
  <c r="M285" i="2"/>
  <c r="J284" i="2"/>
  <c r="H282" i="2"/>
  <c r="E282" i="2" s="1"/>
  <c r="K283" i="2"/>
  <c r="C284" i="2"/>
  <c r="T284" i="2" s="1"/>
  <c r="B283" i="2"/>
  <c r="L284" i="2"/>
  <c r="I283" i="2"/>
  <c r="F283" i="2" s="1"/>
  <c r="K284" i="2" l="1"/>
  <c r="H283" i="2"/>
  <c r="E283" i="2" s="1"/>
  <c r="L285" i="2"/>
  <c r="I284" i="2"/>
  <c r="F284" i="2" s="1"/>
  <c r="M286" i="2"/>
  <c r="J285" i="2"/>
  <c r="B284" i="2"/>
  <c r="D286" i="2"/>
  <c r="C285" i="2"/>
  <c r="T285" i="2" s="1"/>
  <c r="G284" i="2"/>
  <c r="G285" i="2" l="1"/>
  <c r="M287" i="2"/>
  <c r="J286" i="2"/>
  <c r="D287" i="2"/>
  <c r="L286" i="2"/>
  <c r="I285" i="2"/>
  <c r="B285" i="2"/>
  <c r="K285" i="2"/>
  <c r="H284" i="2"/>
  <c r="E284" i="2" s="1"/>
  <c r="F285" i="2"/>
  <c r="C286" i="2"/>
  <c r="G286" i="2" s="1"/>
  <c r="K286" i="2" l="1"/>
  <c r="H285" i="2"/>
  <c r="E285" i="2" s="1"/>
  <c r="C287" i="2"/>
  <c r="D288" i="2"/>
  <c r="B286" i="2"/>
  <c r="T286" i="2"/>
  <c r="J287" i="2"/>
  <c r="M288" i="2"/>
  <c r="I286" i="2"/>
  <c r="F286" i="2" s="1"/>
  <c r="L287" i="2"/>
  <c r="C288" i="2" l="1"/>
  <c r="B287" i="2"/>
  <c r="G287" i="2"/>
  <c r="T287" i="2"/>
  <c r="K287" i="2"/>
  <c r="H286" i="2"/>
  <c r="E286" i="2" s="1"/>
  <c r="T288" i="2"/>
  <c r="D289" i="2"/>
  <c r="I287" i="2"/>
  <c r="F287" i="2" s="1"/>
  <c r="L288" i="2"/>
  <c r="M289" i="2"/>
  <c r="J288" i="2"/>
  <c r="G288" i="2" s="1"/>
  <c r="K288" i="2" l="1"/>
  <c r="H287" i="2"/>
  <c r="E287" i="2" s="1"/>
  <c r="B288" i="2"/>
  <c r="M290" i="2"/>
  <c r="J289" i="2"/>
  <c r="L289" i="2"/>
  <c r="I288" i="2"/>
  <c r="F288" i="2" s="1"/>
  <c r="C289" i="2"/>
  <c r="T289" i="2"/>
  <c r="D290" i="2"/>
  <c r="G289" i="2" l="1"/>
  <c r="L290" i="2"/>
  <c r="I289" i="2"/>
  <c r="B289" i="2"/>
  <c r="M291" i="2"/>
  <c r="J290" i="2"/>
  <c r="D291" i="2"/>
  <c r="H288" i="2"/>
  <c r="E288" i="2" s="1"/>
  <c r="K289" i="2"/>
  <c r="C290" i="2"/>
  <c r="T290" i="2" s="1"/>
  <c r="F289" i="2"/>
  <c r="G290" i="2" l="1"/>
  <c r="H289" i="2"/>
  <c r="E289" i="2" s="1"/>
  <c r="K290" i="2"/>
  <c r="J291" i="2"/>
  <c r="M292" i="2"/>
  <c r="B290" i="2"/>
  <c r="D292" i="2"/>
  <c r="L291" i="2"/>
  <c r="I290" i="2"/>
  <c r="F290" i="2"/>
  <c r="C291" i="2"/>
  <c r="T291" i="2" s="1"/>
  <c r="G291" i="2" l="1"/>
  <c r="L292" i="2"/>
  <c r="I291" i="2"/>
  <c r="J292" i="2"/>
  <c r="M293" i="2"/>
  <c r="D293" i="2"/>
  <c r="B291" i="2"/>
  <c r="K291" i="2"/>
  <c r="H290" i="2"/>
  <c r="E290" i="2" s="1"/>
  <c r="F291" i="2"/>
  <c r="C292" i="2"/>
  <c r="T292" i="2" s="1"/>
  <c r="G292" i="2" l="1"/>
  <c r="D294" i="2"/>
  <c r="C293" i="2"/>
  <c r="K292" i="2"/>
  <c r="H291" i="2"/>
  <c r="E291" i="2" s="1"/>
  <c r="B292" i="2"/>
  <c r="M294" i="2"/>
  <c r="J293" i="2"/>
  <c r="L293" i="2"/>
  <c r="I292" i="2"/>
  <c r="F292" i="2" s="1"/>
  <c r="I293" i="2" l="1"/>
  <c r="L294" i="2"/>
  <c r="J294" i="2"/>
  <c r="M295" i="2"/>
  <c r="K293" i="2"/>
  <c r="H292" i="2"/>
  <c r="E292" i="2" s="1"/>
  <c r="C294" i="2"/>
  <c r="F293" i="2"/>
  <c r="B293" i="2"/>
  <c r="G293" i="2"/>
  <c r="G294" i="2"/>
  <c r="T294" i="2"/>
  <c r="D295" i="2"/>
  <c r="T293" i="2"/>
  <c r="B294" i="2" l="1"/>
  <c r="M296" i="2"/>
  <c r="J295" i="2"/>
  <c r="C295" i="2"/>
  <c r="I294" i="2"/>
  <c r="F294" i="2" s="1"/>
  <c r="L295" i="2"/>
  <c r="D296" i="2"/>
  <c r="H293" i="2"/>
  <c r="E293" i="2" s="1"/>
  <c r="K294" i="2"/>
  <c r="H294" i="2" l="1"/>
  <c r="E294" i="2" s="1"/>
  <c r="K295" i="2"/>
  <c r="C296" i="2"/>
  <c r="L296" i="2"/>
  <c r="I295" i="2"/>
  <c r="F295" i="2" s="1"/>
  <c r="D297" i="2"/>
  <c r="T295" i="2"/>
  <c r="G295" i="2"/>
  <c r="M297" i="2"/>
  <c r="J296" i="2"/>
  <c r="B295" i="2"/>
  <c r="J297" i="2" l="1"/>
  <c r="M298" i="2"/>
  <c r="I296" i="2"/>
  <c r="L297" i="2"/>
  <c r="B296" i="2"/>
  <c r="C297" i="2"/>
  <c r="F296" i="2"/>
  <c r="G296" i="2"/>
  <c r="T296" i="2"/>
  <c r="K296" i="2"/>
  <c r="H295" i="2"/>
  <c r="E295" i="2" s="1"/>
  <c r="D298" i="2"/>
  <c r="C298" i="2" l="1"/>
  <c r="G297" i="2"/>
  <c r="L298" i="2"/>
  <c r="I297" i="2"/>
  <c r="F297" i="2" s="1"/>
  <c r="D299" i="2"/>
  <c r="T298" i="2"/>
  <c r="T297" i="2"/>
  <c r="B297" i="2"/>
  <c r="J298" i="2"/>
  <c r="G298" i="2" s="1"/>
  <c r="M299" i="2"/>
  <c r="H296" i="2"/>
  <c r="E296" i="2" s="1"/>
  <c r="K297" i="2"/>
  <c r="D300" i="2" l="1"/>
  <c r="I298" i="2"/>
  <c r="F298" i="2" s="1"/>
  <c r="L299" i="2"/>
  <c r="C299" i="2"/>
  <c r="T299" i="2" s="1"/>
  <c r="K298" i="2"/>
  <c r="H297" i="2"/>
  <c r="E297" i="2" s="1"/>
  <c r="J299" i="2"/>
  <c r="G299" i="2" s="1"/>
  <c r="M300" i="2"/>
  <c r="B298" i="2"/>
  <c r="M301" i="2" l="1"/>
  <c r="J300" i="2"/>
  <c r="I299" i="2"/>
  <c r="L300" i="2"/>
  <c r="B299" i="2"/>
  <c r="K299" i="2"/>
  <c r="H298" i="2"/>
  <c r="E298" i="2" s="1"/>
  <c r="C300" i="2"/>
  <c r="F299" i="2"/>
  <c r="D301" i="2"/>
  <c r="C301" i="2" l="1"/>
  <c r="H299" i="2"/>
  <c r="E299" i="2" s="1"/>
  <c r="K300" i="2"/>
  <c r="J301" i="2"/>
  <c r="M302" i="2"/>
  <c r="B300" i="2"/>
  <c r="L301" i="2"/>
  <c r="I300" i="2"/>
  <c r="F300" i="2" s="1"/>
  <c r="T300" i="2"/>
  <c r="D302" i="2"/>
  <c r="G301" i="2"/>
  <c r="T301" i="2"/>
  <c r="G300" i="2"/>
  <c r="I301" i="2" l="1"/>
  <c r="L302" i="2"/>
  <c r="H300" i="2"/>
  <c r="E300" i="2" s="1"/>
  <c r="K301" i="2"/>
  <c r="D303" i="2"/>
  <c r="B301" i="2"/>
  <c r="M303" i="2"/>
  <c r="J302" i="2"/>
  <c r="C302" i="2"/>
  <c r="T302" i="2" s="1"/>
  <c r="F301" i="2"/>
  <c r="H301" i="2" l="1"/>
  <c r="E301" i="2" s="1"/>
  <c r="K302" i="2"/>
  <c r="F302" i="2"/>
  <c r="C303" i="2"/>
  <c r="B302" i="2"/>
  <c r="L303" i="2"/>
  <c r="I302" i="2"/>
  <c r="J303" i="2"/>
  <c r="M304" i="2"/>
  <c r="D304" i="2"/>
  <c r="G302" i="2"/>
  <c r="C304" i="2" l="1"/>
  <c r="K303" i="2"/>
  <c r="H302" i="2"/>
  <c r="E302" i="2" s="1"/>
  <c r="J304" i="2"/>
  <c r="M305" i="2"/>
  <c r="T303" i="2"/>
  <c r="L304" i="2"/>
  <c r="I303" i="2"/>
  <c r="F303" i="2" s="1"/>
  <c r="D305" i="2"/>
  <c r="T304" i="2"/>
  <c r="B303" i="2"/>
  <c r="G303" i="2"/>
  <c r="G304" i="2" l="1"/>
  <c r="I304" i="2"/>
  <c r="L305" i="2"/>
  <c r="H303" i="2"/>
  <c r="E303" i="2" s="1"/>
  <c r="K304" i="2"/>
  <c r="J305" i="2"/>
  <c r="M306" i="2"/>
  <c r="B304" i="2"/>
  <c r="D306" i="2"/>
  <c r="F304" i="2"/>
  <c r="C305" i="2"/>
  <c r="G305" i="2" l="1"/>
  <c r="K305" i="2"/>
  <c r="H304" i="2"/>
  <c r="E304" i="2" s="1"/>
  <c r="B305" i="2"/>
  <c r="I305" i="2"/>
  <c r="F305" i="2" s="1"/>
  <c r="L306" i="2"/>
  <c r="J306" i="2"/>
  <c r="M307" i="2"/>
  <c r="C306" i="2"/>
  <c r="D307" i="2"/>
  <c r="T305" i="2"/>
  <c r="L307" i="2" l="1"/>
  <c r="I306" i="2"/>
  <c r="B306" i="2"/>
  <c r="C307" i="2"/>
  <c r="F306" i="2"/>
  <c r="D308" i="2"/>
  <c r="G306" i="2"/>
  <c r="T306" i="2"/>
  <c r="J307" i="2"/>
  <c r="M308" i="2"/>
  <c r="H305" i="2"/>
  <c r="E305" i="2" s="1"/>
  <c r="K306" i="2"/>
  <c r="K307" i="2" l="1"/>
  <c r="H306" i="2"/>
  <c r="E306" i="2" s="1"/>
  <c r="M309" i="2"/>
  <c r="J308" i="2"/>
  <c r="C308" i="2"/>
  <c r="B307" i="2"/>
  <c r="G307" i="2"/>
  <c r="G308" i="2"/>
  <c r="D309" i="2"/>
  <c r="T308" i="2"/>
  <c r="T307" i="2"/>
  <c r="I307" i="2"/>
  <c r="F307" i="2" s="1"/>
  <c r="L308" i="2"/>
  <c r="C309" i="2" l="1"/>
  <c r="M310" i="2"/>
  <c r="J309" i="2"/>
  <c r="I308" i="2"/>
  <c r="F308" i="2" s="1"/>
  <c r="L309" i="2"/>
  <c r="D310" i="2"/>
  <c r="K308" i="2"/>
  <c r="H307" i="2"/>
  <c r="E307" i="2" s="1"/>
  <c r="B308" i="2"/>
  <c r="L310" i="2" l="1"/>
  <c r="I309" i="2"/>
  <c r="J310" i="2"/>
  <c r="M311" i="2"/>
  <c r="F309" i="2"/>
  <c r="C310" i="2"/>
  <c r="H308" i="2"/>
  <c r="E308" i="2" s="1"/>
  <c r="K309" i="2"/>
  <c r="D311" i="2"/>
  <c r="T309" i="2"/>
  <c r="B309" i="2"/>
  <c r="G309" i="2"/>
  <c r="J311" i="2" l="1"/>
  <c r="M312" i="2"/>
  <c r="C311" i="2"/>
  <c r="G311" i="2" s="1"/>
  <c r="L311" i="2"/>
  <c r="I310" i="2"/>
  <c r="F310" i="2" s="1"/>
  <c r="D312" i="2"/>
  <c r="T311" i="2"/>
  <c r="B310" i="2"/>
  <c r="G310" i="2"/>
  <c r="T310" i="2"/>
  <c r="K310" i="2"/>
  <c r="H309" i="2"/>
  <c r="E309" i="2" s="1"/>
  <c r="J312" i="2" l="1"/>
  <c r="M313" i="2"/>
  <c r="D313" i="2"/>
  <c r="I311" i="2"/>
  <c r="F311" i="2" s="1"/>
  <c r="L312" i="2"/>
  <c r="K311" i="2"/>
  <c r="H310" i="2"/>
  <c r="E310" i="2" s="1"/>
  <c r="B311" i="2"/>
  <c r="C312" i="2"/>
  <c r="T312" i="2" s="1"/>
  <c r="L313" i="2" l="1"/>
  <c r="I312" i="2"/>
  <c r="G312" i="2"/>
  <c r="M314" i="2"/>
  <c r="J313" i="2"/>
  <c r="D314" i="2"/>
  <c r="C313" i="2"/>
  <c r="T313" i="2" s="1"/>
  <c r="F312" i="2"/>
  <c r="H311" i="2"/>
  <c r="E311" i="2" s="1"/>
  <c r="K312" i="2"/>
  <c r="B312" i="2"/>
  <c r="G313" i="2" l="1"/>
  <c r="D315" i="2"/>
  <c r="M315" i="2"/>
  <c r="J314" i="2"/>
  <c r="B313" i="2"/>
  <c r="I313" i="2"/>
  <c r="F313" i="2" s="1"/>
  <c r="L314" i="2"/>
  <c r="K313" i="2"/>
  <c r="H312" i="2"/>
  <c r="E312" i="2" s="1"/>
  <c r="C314" i="2"/>
  <c r="T314" i="2" s="1"/>
  <c r="L315" i="2" l="1"/>
  <c r="I314" i="2"/>
  <c r="B314" i="2"/>
  <c r="D316" i="2"/>
  <c r="K314" i="2"/>
  <c r="H313" i="2"/>
  <c r="E313" i="2" s="1"/>
  <c r="F314" i="2"/>
  <c r="C315" i="2"/>
  <c r="G314" i="2"/>
  <c r="M316" i="2"/>
  <c r="J315" i="2"/>
  <c r="C316" i="2" l="1"/>
  <c r="B315" i="2"/>
  <c r="T316" i="2"/>
  <c r="D317" i="2"/>
  <c r="M317" i="2"/>
  <c r="J316" i="2"/>
  <c r="G316" i="2" s="1"/>
  <c r="H314" i="2"/>
  <c r="E314" i="2" s="1"/>
  <c r="K315" i="2"/>
  <c r="G315" i="2"/>
  <c r="T315" i="2"/>
  <c r="L316" i="2"/>
  <c r="I315" i="2"/>
  <c r="F315" i="2" s="1"/>
  <c r="K316" i="2" l="1"/>
  <c r="H315" i="2"/>
  <c r="E315" i="2" s="1"/>
  <c r="J317" i="2"/>
  <c r="M318" i="2"/>
  <c r="D318" i="2"/>
  <c r="B316" i="2"/>
  <c r="L317" i="2"/>
  <c r="I316" i="2"/>
  <c r="F316" i="2" s="1"/>
  <c r="C317" i="2"/>
  <c r="T317" i="2" s="1"/>
  <c r="B317" i="2" l="1"/>
  <c r="M319" i="2"/>
  <c r="J318" i="2"/>
  <c r="L318" i="2"/>
  <c r="I317" i="2"/>
  <c r="G317" i="2"/>
  <c r="D319" i="2"/>
  <c r="K317" i="2"/>
  <c r="H316" i="2"/>
  <c r="E316" i="2" s="1"/>
  <c r="C318" i="2"/>
  <c r="T318" i="2" s="1"/>
  <c r="F317" i="2"/>
  <c r="M320" i="2" l="1"/>
  <c r="J319" i="2"/>
  <c r="B318" i="2"/>
  <c r="C319" i="2"/>
  <c r="K318" i="2"/>
  <c r="H317" i="2"/>
  <c r="E317" i="2" s="1"/>
  <c r="D320" i="2"/>
  <c r="G318" i="2"/>
  <c r="L319" i="2"/>
  <c r="I318" i="2"/>
  <c r="F318" i="2" s="1"/>
  <c r="C320" i="2" l="1"/>
  <c r="I319" i="2"/>
  <c r="F319" i="2" s="1"/>
  <c r="L320" i="2"/>
  <c r="B319" i="2"/>
  <c r="G319" i="2"/>
  <c r="T319" i="2"/>
  <c r="M321" i="2"/>
  <c r="J320" i="2"/>
  <c r="K319" i="2"/>
  <c r="H318" i="2"/>
  <c r="E318" i="2" s="1"/>
  <c r="T320" i="2"/>
  <c r="G320" i="2"/>
  <c r="D321" i="2"/>
  <c r="L321" i="2" l="1"/>
  <c r="I320" i="2"/>
  <c r="H319" i="2"/>
  <c r="E319" i="2" s="1"/>
  <c r="K320" i="2"/>
  <c r="B320" i="2"/>
  <c r="M322" i="2"/>
  <c r="J321" i="2"/>
  <c r="D322" i="2"/>
  <c r="F320" i="2"/>
  <c r="C321" i="2"/>
  <c r="B321" i="2" l="1"/>
  <c r="M323" i="2"/>
  <c r="J322" i="2"/>
  <c r="F321" i="2"/>
  <c r="C322" i="2"/>
  <c r="K321" i="2"/>
  <c r="H320" i="2"/>
  <c r="E320" i="2" s="1"/>
  <c r="G321" i="2"/>
  <c r="L322" i="2"/>
  <c r="I321" i="2"/>
  <c r="T321" i="2"/>
  <c r="D323" i="2"/>
  <c r="T322" i="2"/>
  <c r="C323" i="2" l="1"/>
  <c r="L323" i="2"/>
  <c r="I322" i="2"/>
  <c r="F322" i="2" s="1"/>
  <c r="G322" i="2"/>
  <c r="M324" i="2"/>
  <c r="J323" i="2"/>
  <c r="B322" i="2"/>
  <c r="T323" i="2"/>
  <c r="G323" i="2"/>
  <c r="D324" i="2"/>
  <c r="K322" i="2"/>
  <c r="H321" i="2"/>
  <c r="E321" i="2" s="1"/>
  <c r="K323" i="2" l="1"/>
  <c r="H322" i="2"/>
  <c r="E322" i="2" s="1"/>
  <c r="J324" i="2"/>
  <c r="M325" i="2"/>
  <c r="L324" i="2"/>
  <c r="I323" i="2"/>
  <c r="F323" i="2" s="1"/>
  <c r="C324" i="2"/>
  <c r="T324" i="2" s="1"/>
  <c r="B323" i="2"/>
  <c r="D325" i="2"/>
  <c r="G324" i="2" l="1"/>
  <c r="K324" i="2"/>
  <c r="H323" i="2"/>
  <c r="E323" i="2" s="1"/>
  <c r="I324" i="2"/>
  <c r="F324" i="2" s="1"/>
  <c r="L325" i="2"/>
  <c r="M326" i="2"/>
  <c r="J325" i="2"/>
  <c r="T325" i="2"/>
  <c r="D326" i="2"/>
  <c r="B324" i="2"/>
  <c r="C325" i="2"/>
  <c r="G325" i="2" l="1"/>
  <c r="L326" i="2"/>
  <c r="I325" i="2"/>
  <c r="F325" i="2"/>
  <c r="C326" i="2"/>
  <c r="T326" i="2" s="1"/>
  <c r="B325" i="2"/>
  <c r="K325" i="2"/>
  <c r="H324" i="2"/>
  <c r="E324" i="2" s="1"/>
  <c r="D327" i="2"/>
  <c r="M327" i="2"/>
  <c r="J326" i="2"/>
  <c r="G326" i="2" l="1"/>
  <c r="K326" i="2"/>
  <c r="H325" i="2"/>
  <c r="E325" i="2" s="1"/>
  <c r="B326" i="2"/>
  <c r="L327" i="2"/>
  <c r="I326" i="2"/>
  <c r="F326" i="2" s="1"/>
  <c r="M328" i="2"/>
  <c r="J327" i="2"/>
  <c r="D328" i="2"/>
  <c r="C327" i="2"/>
  <c r="T327" i="2" s="1"/>
  <c r="G327" i="2" l="1"/>
  <c r="D329" i="2"/>
  <c r="L328" i="2"/>
  <c r="I327" i="2"/>
  <c r="B327" i="2"/>
  <c r="F327" i="2"/>
  <c r="C328" i="2"/>
  <c r="T328" i="2" s="1"/>
  <c r="M329" i="2"/>
  <c r="J328" i="2"/>
  <c r="H326" i="2"/>
  <c r="E326" i="2" s="1"/>
  <c r="K327" i="2"/>
  <c r="G328" i="2" l="1"/>
  <c r="B328" i="2"/>
  <c r="K328" i="2"/>
  <c r="H327" i="2"/>
  <c r="E327" i="2" s="1"/>
  <c r="L329" i="2"/>
  <c r="I328" i="2"/>
  <c r="F328" i="2" s="1"/>
  <c r="J329" i="2"/>
  <c r="M330" i="2"/>
  <c r="C329" i="2"/>
  <c r="D330" i="2"/>
  <c r="T329" i="2"/>
  <c r="G329" i="2" l="1"/>
  <c r="M331" i="2"/>
  <c r="J330" i="2"/>
  <c r="L330" i="2"/>
  <c r="I329" i="2"/>
  <c r="F329" i="2" s="1"/>
  <c r="K329" i="2"/>
  <c r="H328" i="2"/>
  <c r="E328" i="2" s="1"/>
  <c r="B329" i="2"/>
  <c r="C330" i="2"/>
  <c r="G330" i="2"/>
  <c r="D331" i="2"/>
  <c r="L331" i="2" l="1"/>
  <c r="I330" i="2"/>
  <c r="F330" i="2" s="1"/>
  <c r="C331" i="2"/>
  <c r="B330" i="2"/>
  <c r="T330" i="2"/>
  <c r="M332" i="2"/>
  <c r="J331" i="2"/>
  <c r="G331" i="2" s="1"/>
  <c r="D332" i="2"/>
  <c r="K330" i="2"/>
  <c r="H329" i="2"/>
  <c r="E329" i="2" s="1"/>
  <c r="C332" i="2" l="1"/>
  <c r="B331" i="2"/>
  <c r="T331" i="2"/>
  <c r="K331" i="2"/>
  <c r="H330" i="2"/>
  <c r="E330" i="2" s="1"/>
  <c r="T332" i="2"/>
  <c r="D333" i="2"/>
  <c r="I331" i="2"/>
  <c r="F331" i="2" s="1"/>
  <c r="L332" i="2"/>
  <c r="M333" i="2"/>
  <c r="J332" i="2"/>
  <c r="G332" i="2" s="1"/>
  <c r="D334" i="2" l="1"/>
  <c r="B332" i="2"/>
  <c r="L333" i="2"/>
  <c r="I332" i="2"/>
  <c r="F332" i="2" s="1"/>
  <c r="H331" i="2"/>
  <c r="E331" i="2" s="1"/>
  <c r="K332" i="2"/>
  <c r="C333" i="2"/>
  <c r="G333" i="2" s="1"/>
  <c r="M334" i="2"/>
  <c r="J333" i="2"/>
  <c r="L334" i="2" l="1"/>
  <c r="I333" i="2"/>
  <c r="B333" i="2"/>
  <c r="T333" i="2"/>
  <c r="D335" i="2"/>
  <c r="M335" i="2"/>
  <c r="J334" i="2"/>
  <c r="K333" i="2"/>
  <c r="H332" i="2"/>
  <c r="E332" i="2" s="1"/>
  <c r="F333" i="2"/>
  <c r="C334" i="2"/>
  <c r="T334" i="2" s="1"/>
  <c r="G334" i="2" l="1"/>
  <c r="D336" i="2"/>
  <c r="M336" i="2"/>
  <c r="J335" i="2"/>
  <c r="B334" i="2"/>
  <c r="C335" i="2"/>
  <c r="T335" i="2" s="1"/>
  <c r="L335" i="2"/>
  <c r="I334" i="2"/>
  <c r="F334" i="2" s="1"/>
  <c r="K334" i="2"/>
  <c r="H333" i="2"/>
  <c r="E333" i="2" s="1"/>
  <c r="B335" i="2" l="1"/>
  <c r="D337" i="2"/>
  <c r="G335" i="2"/>
  <c r="J336" i="2"/>
  <c r="M337" i="2"/>
  <c r="K335" i="2"/>
  <c r="H334" i="2"/>
  <c r="E334" i="2" s="1"/>
  <c r="L336" i="2"/>
  <c r="I335" i="2"/>
  <c r="F335" i="2" s="1"/>
  <c r="C336" i="2"/>
  <c r="T336" i="2" s="1"/>
  <c r="G336" i="2" l="1"/>
  <c r="M338" i="2"/>
  <c r="J337" i="2"/>
  <c r="C337" i="2"/>
  <c r="T337" i="2" s="1"/>
  <c r="D338" i="2"/>
  <c r="B336" i="2"/>
  <c r="I336" i="2"/>
  <c r="F336" i="2" s="1"/>
  <c r="L337" i="2"/>
  <c r="K336" i="2"/>
  <c r="H335" i="2"/>
  <c r="E335" i="2" s="1"/>
  <c r="M339" i="2" l="1"/>
  <c r="J338" i="2"/>
  <c r="B337" i="2"/>
  <c r="K337" i="2"/>
  <c r="H336" i="2"/>
  <c r="E336" i="2" s="1"/>
  <c r="L338" i="2"/>
  <c r="I337" i="2"/>
  <c r="G337" i="2"/>
  <c r="F337" i="2"/>
  <c r="C338" i="2"/>
  <c r="T338" i="2" s="1"/>
  <c r="G338" i="2"/>
  <c r="D339" i="2"/>
  <c r="K338" i="2" l="1"/>
  <c r="H337" i="2"/>
  <c r="E337" i="2" s="1"/>
  <c r="B338" i="2"/>
  <c r="D340" i="2"/>
  <c r="M340" i="2"/>
  <c r="J339" i="2"/>
  <c r="C339" i="2"/>
  <c r="T339" i="2" s="1"/>
  <c r="L339" i="2"/>
  <c r="I338" i="2"/>
  <c r="F338" i="2" s="1"/>
  <c r="G339" i="2" l="1"/>
  <c r="B339" i="2"/>
  <c r="L340" i="2"/>
  <c r="I339" i="2"/>
  <c r="F339" i="2" s="1"/>
  <c r="T340" i="2"/>
  <c r="G340" i="2"/>
  <c r="D341" i="2"/>
  <c r="H338" i="2"/>
  <c r="E338" i="2" s="1"/>
  <c r="K339" i="2"/>
  <c r="C340" i="2"/>
  <c r="M341" i="2"/>
  <c r="J340" i="2"/>
  <c r="D342" i="2" l="1"/>
  <c r="J341" i="2"/>
  <c r="M342" i="2"/>
  <c r="C341" i="2"/>
  <c r="T341" i="2" s="1"/>
  <c r="L341" i="2"/>
  <c r="I340" i="2"/>
  <c r="F340" i="2" s="1"/>
  <c r="K340" i="2"/>
  <c r="H339" i="2"/>
  <c r="E339" i="2" s="1"/>
  <c r="B340" i="2"/>
  <c r="M343" i="2" l="1"/>
  <c r="J342" i="2"/>
  <c r="G341" i="2"/>
  <c r="B341" i="2"/>
  <c r="K341" i="2"/>
  <c r="H340" i="2"/>
  <c r="E340" i="2" s="1"/>
  <c r="D343" i="2"/>
  <c r="L342" i="2"/>
  <c r="I341" i="2"/>
  <c r="F341" i="2" s="1"/>
  <c r="C342" i="2"/>
  <c r="T342" i="2" s="1"/>
  <c r="K342" i="2" l="1"/>
  <c r="H341" i="2"/>
  <c r="E341" i="2" s="1"/>
  <c r="B342" i="2"/>
  <c r="M344" i="2"/>
  <c r="J343" i="2"/>
  <c r="L343" i="2"/>
  <c r="I342" i="2"/>
  <c r="F342" i="2" s="1"/>
  <c r="D344" i="2"/>
  <c r="C343" i="2"/>
  <c r="T343" i="2" s="1"/>
  <c r="G342" i="2"/>
  <c r="I343" i="2" l="1"/>
  <c r="F343" i="2" s="1"/>
  <c r="L344" i="2"/>
  <c r="C344" i="2"/>
  <c r="G344" i="2" s="1"/>
  <c r="G343" i="2"/>
  <c r="B343" i="2"/>
  <c r="M345" i="2"/>
  <c r="J344" i="2"/>
  <c r="D345" i="2"/>
  <c r="K343" i="2"/>
  <c r="H342" i="2"/>
  <c r="E342" i="2" s="1"/>
  <c r="T344" i="2" l="1"/>
  <c r="M346" i="2"/>
  <c r="J345" i="2"/>
  <c r="B344" i="2"/>
  <c r="L345" i="2"/>
  <c r="I344" i="2"/>
  <c r="F344" i="2" s="1"/>
  <c r="D346" i="2"/>
  <c r="H343" i="2"/>
  <c r="E343" i="2" s="1"/>
  <c r="K344" i="2"/>
  <c r="C345" i="2"/>
  <c r="T345" i="2" s="1"/>
  <c r="G345" i="2" l="1"/>
  <c r="B345" i="2"/>
  <c r="K345" i="2"/>
  <c r="H344" i="2"/>
  <c r="E344" i="2" s="1"/>
  <c r="C346" i="2"/>
  <c r="M347" i="2"/>
  <c r="J346" i="2"/>
  <c r="D347" i="2"/>
  <c r="T346" i="2"/>
  <c r="L346" i="2"/>
  <c r="I345" i="2"/>
  <c r="F345" i="2" s="1"/>
  <c r="G346" i="2" l="1"/>
  <c r="C347" i="2"/>
  <c r="M348" i="2"/>
  <c r="J347" i="2"/>
  <c r="L347" i="2"/>
  <c r="I346" i="2"/>
  <c r="F346" i="2" s="1"/>
  <c r="K346" i="2"/>
  <c r="H345" i="2"/>
  <c r="E345" i="2" s="1"/>
  <c r="B346" i="2"/>
  <c r="T347" i="2"/>
  <c r="G347" i="2"/>
  <c r="D348" i="2"/>
  <c r="L348" i="2" l="1"/>
  <c r="I347" i="2"/>
  <c r="J348" i="2"/>
  <c r="M349" i="2"/>
  <c r="F347" i="2"/>
  <c r="C348" i="2"/>
  <c r="D349" i="2"/>
  <c r="K347" i="2"/>
  <c r="H346" i="2"/>
  <c r="E346" i="2" s="1"/>
  <c r="B347" i="2"/>
  <c r="C349" i="2" l="1"/>
  <c r="K348" i="2"/>
  <c r="H347" i="2"/>
  <c r="E347" i="2" s="1"/>
  <c r="B348" i="2"/>
  <c r="G348" i="2"/>
  <c r="M350" i="2"/>
  <c r="J349" i="2"/>
  <c r="G349" i="2" s="1"/>
  <c r="T348" i="2"/>
  <c r="T349" i="2"/>
  <c r="D350" i="2"/>
  <c r="I348" i="2"/>
  <c r="F348" i="2" s="1"/>
  <c r="L349" i="2"/>
  <c r="C350" i="2" l="1"/>
  <c r="T350" i="2" s="1"/>
  <c r="L350" i="2"/>
  <c r="I349" i="2"/>
  <c r="F349" i="2" s="1"/>
  <c r="M351" i="2"/>
  <c r="J350" i="2"/>
  <c r="D351" i="2"/>
  <c r="B349" i="2"/>
  <c r="K349" i="2"/>
  <c r="H348" i="2"/>
  <c r="E348" i="2" s="1"/>
  <c r="G350" i="2" l="1"/>
  <c r="D352" i="2"/>
  <c r="M352" i="2"/>
  <c r="J351" i="2"/>
  <c r="L351" i="2"/>
  <c r="I350" i="2"/>
  <c r="B350" i="2"/>
  <c r="C351" i="2"/>
  <c r="T351" i="2" s="1"/>
  <c r="F350" i="2"/>
  <c r="K350" i="2"/>
  <c r="H349" i="2"/>
  <c r="E349" i="2" s="1"/>
  <c r="L352" i="2" l="1"/>
  <c r="I351" i="2"/>
  <c r="F351" i="2" s="1"/>
  <c r="M353" i="2"/>
  <c r="J352" i="2"/>
  <c r="H350" i="2"/>
  <c r="E350" i="2" s="1"/>
  <c r="K351" i="2"/>
  <c r="D353" i="2"/>
  <c r="G351" i="2"/>
  <c r="C352" i="2"/>
  <c r="T352" i="2" s="1"/>
  <c r="B351" i="2"/>
  <c r="G352" i="2" l="1"/>
  <c r="K352" i="2"/>
  <c r="H351" i="2"/>
  <c r="E351" i="2" s="1"/>
  <c r="C353" i="2"/>
  <c r="G353" i="2" s="1"/>
  <c r="B352" i="2"/>
  <c r="J353" i="2"/>
  <c r="M354" i="2"/>
  <c r="L353" i="2"/>
  <c r="I352" i="2"/>
  <c r="F352" i="2" s="1"/>
  <c r="D354" i="2"/>
  <c r="T353" i="2"/>
  <c r="B353" i="2" l="1"/>
  <c r="C354" i="2"/>
  <c r="K353" i="2"/>
  <c r="H352" i="2"/>
  <c r="E352" i="2" s="1"/>
  <c r="T354" i="2"/>
  <c r="D355" i="2"/>
  <c r="L354" i="2"/>
  <c r="I353" i="2"/>
  <c r="F353" i="2" s="1"/>
  <c r="M355" i="2"/>
  <c r="J354" i="2"/>
  <c r="G354" i="2" s="1"/>
  <c r="M356" i="2" l="1"/>
  <c r="J355" i="2"/>
  <c r="C355" i="2"/>
  <c r="B354" i="2"/>
  <c r="L355" i="2"/>
  <c r="I354" i="2"/>
  <c r="F354" i="2" s="1"/>
  <c r="K354" i="2"/>
  <c r="H353" i="2"/>
  <c r="E353" i="2" s="1"/>
  <c r="D356" i="2"/>
  <c r="T355" i="2"/>
  <c r="G355" i="2"/>
  <c r="B355" i="2" l="1"/>
  <c r="C356" i="2"/>
  <c r="L356" i="2"/>
  <c r="I355" i="2"/>
  <c r="F355" i="2" s="1"/>
  <c r="M357" i="2"/>
  <c r="J356" i="2"/>
  <c r="T356" i="2"/>
  <c r="D357" i="2"/>
  <c r="K355" i="2"/>
  <c r="H354" i="2"/>
  <c r="E354" i="2" s="1"/>
  <c r="G356" i="2" l="1"/>
  <c r="L357" i="2"/>
  <c r="I356" i="2"/>
  <c r="F356" i="2" s="1"/>
  <c r="H355" i="2"/>
  <c r="E355" i="2" s="1"/>
  <c r="K356" i="2"/>
  <c r="T357" i="2"/>
  <c r="D358" i="2"/>
  <c r="C357" i="2"/>
  <c r="M358" i="2"/>
  <c r="J357" i="2"/>
  <c r="B356" i="2"/>
  <c r="K357" i="2" l="1"/>
  <c r="H356" i="2"/>
  <c r="E356" i="2" s="1"/>
  <c r="J358" i="2"/>
  <c r="G358" i="2" s="1"/>
  <c r="M359" i="2"/>
  <c r="L358" i="2"/>
  <c r="I357" i="2"/>
  <c r="F357" i="2" s="1"/>
  <c r="C358" i="2"/>
  <c r="B357" i="2"/>
  <c r="D359" i="2"/>
  <c r="T358" i="2"/>
  <c r="G357" i="2"/>
  <c r="C359" i="2" l="1"/>
  <c r="K358" i="2"/>
  <c r="H357" i="2"/>
  <c r="E357" i="2" s="1"/>
  <c r="L359" i="2"/>
  <c r="I358" i="2"/>
  <c r="F358" i="2" s="1"/>
  <c r="M360" i="2"/>
  <c r="J359" i="2"/>
  <c r="G359" i="2" s="1"/>
  <c r="T359" i="2"/>
  <c r="D360" i="2"/>
  <c r="B358" i="2"/>
  <c r="L360" i="2" l="1"/>
  <c r="I359" i="2"/>
  <c r="K359" i="2"/>
  <c r="H358" i="2"/>
  <c r="E358" i="2" s="1"/>
  <c r="D361" i="2"/>
  <c r="B359" i="2"/>
  <c r="F359" i="2"/>
  <c r="C360" i="2"/>
  <c r="M361" i="2"/>
  <c r="J360" i="2"/>
  <c r="G360" i="2" s="1"/>
  <c r="C361" i="2" l="1"/>
  <c r="K360" i="2"/>
  <c r="H359" i="2"/>
  <c r="E359" i="2" s="1"/>
  <c r="L361" i="2"/>
  <c r="I360" i="2"/>
  <c r="F360" i="2" s="1"/>
  <c r="B360" i="2"/>
  <c r="T360" i="2"/>
  <c r="M362" i="2"/>
  <c r="J361" i="2"/>
  <c r="G361" i="2" s="1"/>
  <c r="T361" i="2"/>
  <c r="D362" i="2"/>
  <c r="L362" i="2" l="1"/>
  <c r="I361" i="2"/>
  <c r="H360" i="2"/>
  <c r="E360" i="2" s="1"/>
  <c r="K361" i="2"/>
  <c r="M363" i="2"/>
  <c r="J362" i="2"/>
  <c r="G362" i="2" s="1"/>
  <c r="F361" i="2"/>
  <c r="C362" i="2"/>
  <c r="T362" i="2"/>
  <c r="D363" i="2"/>
  <c r="B361" i="2"/>
  <c r="C363" i="2" l="1"/>
  <c r="J363" i="2"/>
  <c r="M364" i="2"/>
  <c r="B362" i="2"/>
  <c r="K362" i="2"/>
  <c r="H361" i="2"/>
  <c r="E361" i="2" s="1"/>
  <c r="L363" i="2"/>
  <c r="I362" i="2"/>
  <c r="F362" i="2" s="1"/>
  <c r="D364" i="2"/>
  <c r="T363" i="2"/>
  <c r="G363" i="2"/>
  <c r="B363" i="2" l="1"/>
  <c r="K363" i="2"/>
  <c r="H362" i="2"/>
  <c r="E362" i="2" s="1"/>
  <c r="M365" i="2"/>
  <c r="J364" i="2"/>
  <c r="C364" i="2"/>
  <c r="T364" i="2" s="1"/>
  <c r="D365" i="2"/>
  <c r="L364" i="2"/>
  <c r="I363" i="2"/>
  <c r="F363" i="2" s="1"/>
  <c r="L365" i="2" l="1"/>
  <c r="I364" i="2"/>
  <c r="D366" i="2"/>
  <c r="M366" i="2"/>
  <c r="J365" i="2"/>
  <c r="G364" i="2"/>
  <c r="K364" i="2"/>
  <c r="H363" i="2"/>
  <c r="E363" i="2" s="1"/>
  <c r="B364" i="2"/>
  <c r="F364" i="2"/>
  <c r="C365" i="2"/>
  <c r="G365" i="2" l="1"/>
  <c r="M367" i="2"/>
  <c r="J366" i="2"/>
  <c r="T365" i="2"/>
  <c r="D367" i="2"/>
  <c r="L366" i="2"/>
  <c r="I365" i="2"/>
  <c r="F365" i="2" s="1"/>
  <c r="C366" i="2"/>
  <c r="G366" i="2" s="1"/>
  <c r="B365" i="2"/>
  <c r="K365" i="2"/>
  <c r="H364" i="2"/>
  <c r="E364" i="2" s="1"/>
  <c r="D368" i="2" l="1"/>
  <c r="F366" i="2"/>
  <c r="C367" i="2"/>
  <c r="T367" i="2" s="1"/>
  <c r="H365" i="2"/>
  <c r="E365" i="2" s="1"/>
  <c r="K366" i="2"/>
  <c r="L367" i="2"/>
  <c r="I366" i="2"/>
  <c r="T366" i="2"/>
  <c r="B366" i="2"/>
  <c r="M368" i="2"/>
  <c r="J367" i="2"/>
  <c r="L368" i="2" l="1"/>
  <c r="I367" i="2"/>
  <c r="F367" i="2" s="1"/>
  <c r="D369" i="2"/>
  <c r="K367" i="2"/>
  <c r="H366" i="2"/>
  <c r="E366" i="2" s="1"/>
  <c r="G367" i="2"/>
  <c r="C368" i="2"/>
  <c r="T368" i="2" s="1"/>
  <c r="J368" i="2"/>
  <c r="M369" i="2"/>
  <c r="B367" i="2"/>
  <c r="G368" i="2" l="1"/>
  <c r="M370" i="2"/>
  <c r="J369" i="2"/>
  <c r="K368" i="2"/>
  <c r="H367" i="2"/>
  <c r="E367" i="2" s="1"/>
  <c r="D370" i="2"/>
  <c r="L369" i="2"/>
  <c r="I368" i="2"/>
  <c r="B368" i="2"/>
  <c r="C369" i="2"/>
  <c r="T369" i="2" s="1"/>
  <c r="F368" i="2"/>
  <c r="K369" i="2" l="1"/>
  <c r="H368" i="2"/>
  <c r="E368" i="2" s="1"/>
  <c r="M371" i="2"/>
  <c r="J370" i="2"/>
  <c r="D371" i="2"/>
  <c r="C370" i="2"/>
  <c r="T370" i="2" s="1"/>
  <c r="G369" i="2"/>
  <c r="L370" i="2"/>
  <c r="I369" i="2"/>
  <c r="F369" i="2" s="1"/>
  <c r="B369" i="2"/>
  <c r="C371" i="2" l="1"/>
  <c r="B370" i="2"/>
  <c r="D372" i="2"/>
  <c r="G370" i="2"/>
  <c r="K370" i="2"/>
  <c r="H369" i="2"/>
  <c r="E369" i="2" s="1"/>
  <c r="L371" i="2"/>
  <c r="I370" i="2"/>
  <c r="F370" i="2" s="1"/>
  <c r="M372" i="2"/>
  <c r="J371" i="2"/>
  <c r="G371" i="2" s="1"/>
  <c r="L372" i="2" l="1"/>
  <c r="I371" i="2"/>
  <c r="H370" i="2"/>
  <c r="E370" i="2" s="1"/>
  <c r="K371" i="2"/>
  <c r="F371" i="2"/>
  <c r="C372" i="2"/>
  <c r="T372" i="2" s="1"/>
  <c r="D373" i="2"/>
  <c r="T371" i="2"/>
  <c r="M373" i="2"/>
  <c r="J372" i="2"/>
  <c r="G372" i="2" s="1"/>
  <c r="B371" i="2"/>
  <c r="J373" i="2" l="1"/>
  <c r="M374" i="2"/>
  <c r="D374" i="2"/>
  <c r="C373" i="2"/>
  <c r="G373" i="2" s="1"/>
  <c r="B372" i="2"/>
  <c r="K372" i="2"/>
  <c r="H371" i="2"/>
  <c r="E371" i="2" s="1"/>
  <c r="L373" i="2"/>
  <c r="I372" i="2"/>
  <c r="F372" i="2" s="1"/>
  <c r="T373" i="2" l="1"/>
  <c r="D375" i="2"/>
  <c r="M375" i="2"/>
  <c r="J374" i="2"/>
  <c r="K373" i="2"/>
  <c r="H372" i="2"/>
  <c r="E372" i="2" s="1"/>
  <c r="L374" i="2"/>
  <c r="I373" i="2"/>
  <c r="F373" i="2" s="1"/>
  <c r="C374" i="2"/>
  <c r="B373" i="2"/>
  <c r="C375" i="2" l="1"/>
  <c r="T375" i="2" s="1"/>
  <c r="M376" i="2"/>
  <c r="J375" i="2"/>
  <c r="D376" i="2"/>
  <c r="L375" i="2"/>
  <c r="I374" i="2"/>
  <c r="F374" i="2" s="1"/>
  <c r="G374" i="2"/>
  <c r="T374" i="2"/>
  <c r="B374" i="2"/>
  <c r="K374" i="2"/>
  <c r="H373" i="2"/>
  <c r="E373" i="2" s="1"/>
  <c r="G375" i="2" l="1"/>
  <c r="T376" i="2"/>
  <c r="G376" i="2"/>
  <c r="D377" i="2"/>
  <c r="M377" i="2"/>
  <c r="J376" i="2"/>
  <c r="C376" i="2"/>
  <c r="K375" i="2"/>
  <c r="H374" i="2"/>
  <c r="E374" i="2" s="1"/>
  <c r="B375" i="2"/>
  <c r="I375" i="2"/>
  <c r="F375" i="2" s="1"/>
  <c r="L376" i="2"/>
  <c r="D378" i="2" l="1"/>
  <c r="H375" i="2"/>
  <c r="E375" i="2" s="1"/>
  <c r="K376" i="2"/>
  <c r="B376" i="2"/>
  <c r="C377" i="2"/>
  <c r="L377" i="2"/>
  <c r="I376" i="2"/>
  <c r="F376" i="2" s="1"/>
  <c r="M378" i="2"/>
  <c r="J377" i="2"/>
  <c r="G377" i="2" l="1"/>
  <c r="B377" i="2"/>
  <c r="T377" i="2"/>
  <c r="K377" i="2"/>
  <c r="H376" i="2"/>
  <c r="E376" i="2" s="1"/>
  <c r="D379" i="2"/>
  <c r="T378" i="2"/>
  <c r="M379" i="2"/>
  <c r="J378" i="2"/>
  <c r="L378" i="2"/>
  <c r="I377" i="2"/>
  <c r="F377" i="2" s="1"/>
  <c r="C378" i="2"/>
  <c r="G378" i="2" l="1"/>
  <c r="C379" i="2"/>
  <c r="L379" i="2"/>
  <c r="I378" i="2"/>
  <c r="F378" i="2" s="1"/>
  <c r="T379" i="2"/>
  <c r="D380" i="2"/>
  <c r="K378" i="2"/>
  <c r="H377" i="2"/>
  <c r="E377" i="2" s="1"/>
  <c r="B378" i="2"/>
  <c r="M380" i="2"/>
  <c r="J379" i="2"/>
  <c r="G379" i="2" s="1"/>
  <c r="L380" i="2" l="1"/>
  <c r="I379" i="2"/>
  <c r="F379" i="2"/>
  <c r="C380" i="2"/>
  <c r="J380" i="2"/>
  <c r="M381" i="2"/>
  <c r="B379" i="2"/>
  <c r="K379" i="2"/>
  <c r="H378" i="2"/>
  <c r="E378" i="2" s="1"/>
  <c r="D381" i="2"/>
  <c r="T380" i="2"/>
  <c r="G380" i="2"/>
  <c r="B380" i="2" l="1"/>
  <c r="M382" i="2"/>
  <c r="J381" i="2"/>
  <c r="C381" i="2"/>
  <c r="T381" i="2" s="1"/>
  <c r="F380" i="2"/>
  <c r="I380" i="2"/>
  <c r="L381" i="2"/>
  <c r="G381" i="2"/>
  <c r="D382" i="2"/>
  <c r="K380" i="2"/>
  <c r="H379" i="2"/>
  <c r="E379" i="2" s="1"/>
  <c r="C382" i="2" l="1"/>
  <c r="K381" i="2"/>
  <c r="H380" i="2"/>
  <c r="E380" i="2" s="1"/>
  <c r="D383" i="2"/>
  <c r="T382" i="2"/>
  <c r="M383" i="2"/>
  <c r="J382" i="2"/>
  <c r="G382" i="2" s="1"/>
  <c r="L382" i="2"/>
  <c r="I381" i="2"/>
  <c r="F381" i="2" s="1"/>
  <c r="B381" i="2"/>
  <c r="M384" i="2" l="1"/>
  <c r="J383" i="2"/>
  <c r="D384" i="2"/>
  <c r="L383" i="2"/>
  <c r="I382" i="2"/>
  <c r="F382" i="2" s="1"/>
  <c r="K382" i="2"/>
  <c r="H381" i="2"/>
  <c r="E381" i="2" s="1"/>
  <c r="C383" i="2"/>
  <c r="B382" i="2"/>
  <c r="H382" i="2" l="1"/>
  <c r="E382" i="2" s="1"/>
  <c r="K383" i="2"/>
  <c r="L384" i="2"/>
  <c r="I383" i="2"/>
  <c r="F383" i="2" s="1"/>
  <c r="C384" i="2"/>
  <c r="T384" i="2" s="1"/>
  <c r="D385" i="2"/>
  <c r="B383" i="2"/>
  <c r="G383" i="2"/>
  <c r="T383" i="2"/>
  <c r="M385" i="2"/>
  <c r="J384" i="2"/>
  <c r="L385" i="2" l="1"/>
  <c r="I384" i="2"/>
  <c r="J385" i="2"/>
  <c r="M386" i="2"/>
  <c r="B384" i="2"/>
  <c r="K384" i="2"/>
  <c r="H383" i="2"/>
  <c r="E383" i="2" s="1"/>
  <c r="D386" i="2"/>
  <c r="F384" i="2"/>
  <c r="C385" i="2"/>
  <c r="G384" i="2"/>
  <c r="M387" i="2" l="1"/>
  <c r="J386" i="2"/>
  <c r="D387" i="2"/>
  <c r="B385" i="2"/>
  <c r="C386" i="2"/>
  <c r="G385" i="2"/>
  <c r="T385" i="2"/>
  <c r="K385" i="2"/>
  <c r="H384" i="2"/>
  <c r="E384" i="2" s="1"/>
  <c r="L386" i="2"/>
  <c r="I385" i="2"/>
  <c r="F385" i="2" s="1"/>
  <c r="K386" i="2" l="1"/>
  <c r="H385" i="2"/>
  <c r="E385" i="2" s="1"/>
  <c r="D388" i="2"/>
  <c r="C387" i="2"/>
  <c r="G386" i="2"/>
  <c r="B386" i="2"/>
  <c r="T386" i="2"/>
  <c r="L387" i="2"/>
  <c r="I386" i="2"/>
  <c r="F386" i="2" s="1"/>
  <c r="M388" i="2"/>
  <c r="J387" i="2"/>
  <c r="K387" i="2" l="1"/>
  <c r="H386" i="2"/>
  <c r="E386" i="2" s="1"/>
  <c r="C388" i="2"/>
  <c r="B387" i="2"/>
  <c r="M389" i="2"/>
  <c r="J388" i="2"/>
  <c r="I387" i="2"/>
  <c r="F387" i="2" s="1"/>
  <c r="L388" i="2"/>
  <c r="G387" i="2"/>
  <c r="D389" i="2"/>
  <c r="T387" i="2"/>
  <c r="M390" i="2" l="1"/>
  <c r="J389" i="2"/>
  <c r="B388" i="2"/>
  <c r="C389" i="2"/>
  <c r="G389" i="2" s="1"/>
  <c r="G388" i="2"/>
  <c r="T388" i="2"/>
  <c r="H387" i="2"/>
  <c r="E387" i="2" s="1"/>
  <c r="K388" i="2"/>
  <c r="D390" i="2"/>
  <c r="L389" i="2"/>
  <c r="I388" i="2"/>
  <c r="F388" i="2" s="1"/>
  <c r="B389" i="2" l="1"/>
  <c r="L390" i="2"/>
  <c r="I389" i="2"/>
  <c r="F389" i="2" s="1"/>
  <c r="T389" i="2"/>
  <c r="K389" i="2"/>
  <c r="H388" i="2"/>
  <c r="E388" i="2" s="1"/>
  <c r="D391" i="2"/>
  <c r="T390" i="2"/>
  <c r="G390" i="2"/>
  <c r="M391" i="2"/>
  <c r="J390" i="2"/>
  <c r="C390" i="2"/>
  <c r="M392" i="2" l="1"/>
  <c r="J391" i="2"/>
  <c r="L391" i="2"/>
  <c r="I390" i="2"/>
  <c r="F390" i="2"/>
  <c r="C391" i="2"/>
  <c r="T391" i="2" s="1"/>
  <c r="D392" i="2"/>
  <c r="K390" i="2"/>
  <c r="H389" i="2"/>
  <c r="E389" i="2" s="1"/>
  <c r="B390" i="2"/>
  <c r="C392" i="2" l="1"/>
  <c r="L392" i="2"/>
  <c r="I391" i="2"/>
  <c r="F391" i="2" s="1"/>
  <c r="J392" i="2"/>
  <c r="M393" i="2"/>
  <c r="B391" i="2"/>
  <c r="K391" i="2"/>
  <c r="H390" i="2"/>
  <c r="E390" i="2" s="1"/>
  <c r="D393" i="2"/>
  <c r="T392" i="2"/>
  <c r="G392" i="2"/>
  <c r="G391" i="2"/>
  <c r="I392" i="2" l="1"/>
  <c r="L393" i="2"/>
  <c r="K392" i="2"/>
  <c r="H391" i="2"/>
  <c r="E391" i="2" s="1"/>
  <c r="C393" i="2"/>
  <c r="F392" i="2"/>
  <c r="B392" i="2"/>
  <c r="M394" i="2"/>
  <c r="J393" i="2"/>
  <c r="T393" i="2"/>
  <c r="G393" i="2"/>
  <c r="D394" i="2"/>
  <c r="D395" i="2" l="1"/>
  <c r="M395" i="2"/>
  <c r="J394" i="2"/>
  <c r="B393" i="2"/>
  <c r="C394" i="2"/>
  <c r="T394" i="2" s="1"/>
  <c r="K393" i="2"/>
  <c r="H392" i="2"/>
  <c r="E392" i="2" s="1"/>
  <c r="L394" i="2"/>
  <c r="I393" i="2"/>
  <c r="F393" i="2" s="1"/>
  <c r="B394" i="2" l="1"/>
  <c r="L395" i="2"/>
  <c r="I394" i="2"/>
  <c r="F394" i="2" s="1"/>
  <c r="M396" i="2"/>
  <c r="J395" i="2"/>
  <c r="K394" i="2"/>
  <c r="H393" i="2"/>
  <c r="E393" i="2" s="1"/>
  <c r="D396" i="2"/>
  <c r="C395" i="2"/>
  <c r="G394" i="2"/>
  <c r="L396" i="2" l="1"/>
  <c r="I395" i="2"/>
  <c r="F395" i="2" s="1"/>
  <c r="M397" i="2"/>
  <c r="J396" i="2"/>
  <c r="C396" i="2"/>
  <c r="T396" i="2" s="1"/>
  <c r="D397" i="2"/>
  <c r="G395" i="2"/>
  <c r="H394" i="2"/>
  <c r="E394" i="2" s="1"/>
  <c r="K395" i="2"/>
  <c r="T395" i="2"/>
  <c r="B395" i="2"/>
  <c r="G396" i="2" l="1"/>
  <c r="D398" i="2"/>
  <c r="C397" i="2"/>
  <c r="B396" i="2"/>
  <c r="K396" i="2"/>
  <c r="H395" i="2"/>
  <c r="E395" i="2" s="1"/>
  <c r="J397" i="2"/>
  <c r="M398" i="2"/>
  <c r="L397" i="2"/>
  <c r="I396" i="2"/>
  <c r="F396" i="2" s="1"/>
  <c r="L398" i="2" l="1"/>
  <c r="I397" i="2"/>
  <c r="B397" i="2"/>
  <c r="C398" i="2"/>
  <c r="F397" i="2"/>
  <c r="M399" i="2"/>
  <c r="J398" i="2"/>
  <c r="G397" i="2"/>
  <c r="T397" i="2"/>
  <c r="T398" i="2"/>
  <c r="G398" i="2"/>
  <c r="D399" i="2"/>
  <c r="K397" i="2"/>
  <c r="H396" i="2"/>
  <c r="E396" i="2" s="1"/>
  <c r="B398" i="2" l="1"/>
  <c r="K398" i="2"/>
  <c r="H397" i="2"/>
  <c r="E397" i="2" s="1"/>
  <c r="D400" i="2"/>
  <c r="L399" i="2"/>
  <c r="I398" i="2"/>
  <c r="F398" i="2" s="1"/>
  <c r="M400" i="2"/>
  <c r="J399" i="2"/>
  <c r="C399" i="2"/>
  <c r="G399" i="2" s="1"/>
  <c r="C400" i="2" l="1"/>
  <c r="T399" i="2"/>
  <c r="T400" i="2"/>
  <c r="D401" i="2"/>
  <c r="K399" i="2"/>
  <c r="H398" i="2"/>
  <c r="E398" i="2" s="1"/>
  <c r="B399" i="2"/>
  <c r="M401" i="2"/>
  <c r="J400" i="2"/>
  <c r="G400" i="2" s="1"/>
  <c r="I399" i="2"/>
  <c r="F399" i="2" s="1"/>
  <c r="L400" i="2"/>
  <c r="D402" i="2" l="1"/>
  <c r="M402" i="2"/>
  <c r="J401" i="2"/>
  <c r="L401" i="2"/>
  <c r="I400" i="2"/>
  <c r="B400" i="2"/>
  <c r="H399" i="2"/>
  <c r="E399" i="2" s="1"/>
  <c r="K400" i="2"/>
  <c r="F400" i="2"/>
  <c r="C401" i="2"/>
  <c r="G401" i="2" s="1"/>
  <c r="D403" i="2" l="1"/>
  <c r="L402" i="2"/>
  <c r="I401" i="2"/>
  <c r="F401" i="2" s="1"/>
  <c r="C402" i="2"/>
  <c r="T402" i="2" s="1"/>
  <c r="M403" i="2"/>
  <c r="J402" i="2"/>
  <c r="G402" i="2" s="1"/>
  <c r="K401" i="2"/>
  <c r="H400" i="2"/>
  <c r="E400" i="2" s="1"/>
  <c r="B401" i="2"/>
  <c r="T401" i="2"/>
  <c r="L403" i="2" l="1"/>
  <c r="I402" i="2"/>
  <c r="F402" i="2" s="1"/>
  <c r="D404" i="2"/>
  <c r="B402" i="2"/>
  <c r="C403" i="2"/>
  <c r="K402" i="2"/>
  <c r="H401" i="2"/>
  <c r="E401" i="2" s="1"/>
  <c r="M404" i="2"/>
  <c r="J403" i="2"/>
  <c r="K403" i="2" l="1"/>
  <c r="H402" i="2"/>
  <c r="E402" i="2" s="1"/>
  <c r="L404" i="2"/>
  <c r="I403" i="2"/>
  <c r="F403" i="2" s="1"/>
  <c r="C404" i="2"/>
  <c r="J404" i="2"/>
  <c r="M405" i="2"/>
  <c r="B403" i="2"/>
  <c r="D405" i="2"/>
  <c r="T404" i="2"/>
  <c r="G404" i="2"/>
  <c r="G403" i="2"/>
  <c r="T403" i="2"/>
  <c r="I404" i="2" l="1"/>
  <c r="F404" i="2" s="1"/>
  <c r="L405" i="2"/>
  <c r="D406" i="2"/>
  <c r="K404" i="2"/>
  <c r="H403" i="2"/>
  <c r="E403" i="2" s="1"/>
  <c r="C405" i="2"/>
  <c r="B404" i="2"/>
  <c r="M406" i="2"/>
  <c r="J405" i="2"/>
  <c r="L406" i="2" l="1"/>
  <c r="I405" i="2"/>
  <c r="F405" i="2"/>
  <c r="C406" i="2"/>
  <c r="K405" i="2"/>
  <c r="H404" i="2"/>
  <c r="E404" i="2" s="1"/>
  <c r="M407" i="2"/>
  <c r="J406" i="2"/>
  <c r="B405" i="2"/>
  <c r="D407" i="2"/>
  <c r="G405" i="2"/>
  <c r="T405" i="2"/>
  <c r="C407" i="2" l="1"/>
  <c r="M408" i="2"/>
  <c r="J407" i="2"/>
  <c r="K406" i="2"/>
  <c r="H405" i="2"/>
  <c r="E405" i="2" s="1"/>
  <c r="L407" i="2"/>
  <c r="I406" i="2"/>
  <c r="F406" i="2" s="1"/>
  <c r="T406" i="2"/>
  <c r="B406" i="2"/>
  <c r="T407" i="2"/>
  <c r="G407" i="2"/>
  <c r="D408" i="2"/>
  <c r="G406" i="2"/>
  <c r="H406" i="2" l="1"/>
  <c r="E406" i="2" s="1"/>
  <c r="K407" i="2"/>
  <c r="B407" i="2"/>
  <c r="M409" i="2"/>
  <c r="J408" i="2"/>
  <c r="C408" i="2"/>
  <c r="G408" i="2"/>
  <c r="D409" i="2"/>
  <c r="L408" i="2"/>
  <c r="I407" i="2"/>
  <c r="F407" i="2" s="1"/>
  <c r="C409" i="2" l="1"/>
  <c r="J409" i="2"/>
  <c r="M410" i="2"/>
  <c r="B408" i="2"/>
  <c r="K408" i="2"/>
  <c r="H407" i="2"/>
  <c r="E407" i="2" s="1"/>
  <c r="L409" i="2"/>
  <c r="I408" i="2"/>
  <c r="F408" i="2" s="1"/>
  <c r="D410" i="2"/>
  <c r="T409" i="2"/>
  <c r="G409" i="2"/>
  <c r="T408" i="2"/>
  <c r="M411" i="2" l="1"/>
  <c r="J410" i="2"/>
  <c r="C410" i="2"/>
  <c r="K409" i="2"/>
  <c r="H408" i="2"/>
  <c r="E408" i="2" s="1"/>
  <c r="B409" i="2"/>
  <c r="T410" i="2"/>
  <c r="G410" i="2"/>
  <c r="D411" i="2"/>
  <c r="L410" i="2"/>
  <c r="I409" i="2"/>
  <c r="F409" i="2" s="1"/>
  <c r="B410" i="2" l="1"/>
  <c r="K410" i="2"/>
  <c r="H409" i="2"/>
  <c r="E409" i="2" s="1"/>
  <c r="C411" i="2"/>
  <c r="M412" i="2"/>
  <c r="J411" i="2"/>
  <c r="L411" i="2"/>
  <c r="I410" i="2"/>
  <c r="F410" i="2" s="1"/>
  <c r="D412" i="2"/>
  <c r="M413" i="2" l="1"/>
  <c r="J412" i="2"/>
  <c r="C412" i="2"/>
  <c r="T412" i="2" s="1"/>
  <c r="K411" i="2"/>
  <c r="H410" i="2"/>
  <c r="E410" i="2" s="1"/>
  <c r="B411" i="2"/>
  <c r="G412" i="2"/>
  <c r="D413" i="2"/>
  <c r="I411" i="2"/>
  <c r="F411" i="2" s="1"/>
  <c r="L412" i="2"/>
  <c r="G411" i="2"/>
  <c r="T411" i="2"/>
  <c r="D414" i="2" l="1"/>
  <c r="B412" i="2"/>
  <c r="H411" i="2"/>
  <c r="E411" i="2" s="1"/>
  <c r="K412" i="2"/>
  <c r="C413" i="2"/>
  <c r="L413" i="2"/>
  <c r="I412" i="2"/>
  <c r="F412" i="2" s="1"/>
  <c r="M414" i="2"/>
  <c r="J413" i="2"/>
  <c r="C414" i="2" l="1"/>
  <c r="L414" i="2"/>
  <c r="I413" i="2"/>
  <c r="F413" i="2" s="1"/>
  <c r="T413" i="2"/>
  <c r="D415" i="2"/>
  <c r="T414" i="2"/>
  <c r="B413" i="2"/>
  <c r="G413" i="2"/>
  <c r="K413" i="2"/>
  <c r="H412" i="2"/>
  <c r="E412" i="2" s="1"/>
  <c r="M415" i="2"/>
  <c r="J414" i="2"/>
  <c r="G414" i="2" s="1"/>
  <c r="M416" i="2" l="1"/>
  <c r="J415" i="2"/>
  <c r="C415" i="2"/>
  <c r="L415" i="2"/>
  <c r="I414" i="2"/>
  <c r="F414" i="2" s="1"/>
  <c r="K414" i="2"/>
  <c r="H413" i="2"/>
  <c r="E413" i="2" s="1"/>
  <c r="B414" i="2"/>
  <c r="G415" i="2"/>
  <c r="D416" i="2"/>
  <c r="K415" i="2" l="1"/>
  <c r="H414" i="2"/>
  <c r="E414" i="2" s="1"/>
  <c r="L416" i="2"/>
  <c r="I415" i="2"/>
  <c r="F415" i="2" s="1"/>
  <c r="C416" i="2"/>
  <c r="J416" i="2"/>
  <c r="G416" i="2" s="1"/>
  <c r="M417" i="2"/>
  <c r="D417" i="2"/>
  <c r="T416" i="2"/>
  <c r="T415" i="2"/>
  <c r="B415" i="2"/>
  <c r="I416" i="2" l="1"/>
  <c r="L417" i="2"/>
  <c r="M418" i="2"/>
  <c r="J417" i="2"/>
  <c r="B416" i="2"/>
  <c r="D418" i="2"/>
  <c r="K416" i="2"/>
  <c r="H415" i="2"/>
  <c r="E415" i="2" s="1"/>
  <c r="C417" i="2"/>
  <c r="F416" i="2"/>
  <c r="M419" i="2" l="1"/>
  <c r="J418" i="2"/>
  <c r="K417" i="2"/>
  <c r="H416" i="2"/>
  <c r="E416" i="2" s="1"/>
  <c r="C418" i="2"/>
  <c r="G418" i="2"/>
  <c r="D419" i="2"/>
  <c r="L418" i="2"/>
  <c r="I417" i="2"/>
  <c r="F417" i="2" s="1"/>
  <c r="G417" i="2"/>
  <c r="T417" i="2"/>
  <c r="B417" i="2"/>
  <c r="C419" i="2" l="1"/>
  <c r="K418" i="2"/>
  <c r="H417" i="2"/>
  <c r="E417" i="2" s="1"/>
  <c r="M420" i="2"/>
  <c r="J419" i="2"/>
  <c r="G419" i="2" s="1"/>
  <c r="B418" i="2"/>
  <c r="L419" i="2"/>
  <c r="I418" i="2"/>
  <c r="F418" i="2" s="1"/>
  <c r="T418" i="2"/>
  <c r="T419" i="2"/>
  <c r="D420" i="2"/>
  <c r="M421" i="2" l="1"/>
  <c r="J420" i="2"/>
  <c r="D421" i="2"/>
  <c r="H418" i="2"/>
  <c r="E418" i="2" s="1"/>
  <c r="K419" i="2"/>
  <c r="C420" i="2"/>
  <c r="L420" i="2"/>
  <c r="I419" i="2"/>
  <c r="F419" i="2" s="1"/>
  <c r="B419" i="2"/>
  <c r="J421" i="2" l="1"/>
  <c r="M422" i="2"/>
  <c r="K420" i="2"/>
  <c r="H419" i="2"/>
  <c r="E419" i="2" s="1"/>
  <c r="D422" i="2"/>
  <c r="L421" i="2"/>
  <c r="I420" i="2"/>
  <c r="B420" i="2"/>
  <c r="F420" i="2"/>
  <c r="C421" i="2"/>
  <c r="T421" i="2" s="1"/>
  <c r="G420" i="2"/>
  <c r="T420" i="2"/>
  <c r="L422" i="2" l="1"/>
  <c r="I421" i="2"/>
  <c r="M423" i="2"/>
  <c r="J422" i="2"/>
  <c r="G421" i="2"/>
  <c r="D423" i="2"/>
  <c r="K421" i="2"/>
  <c r="H420" i="2"/>
  <c r="E420" i="2" s="1"/>
  <c r="C422" i="2"/>
  <c r="T422" i="2" s="1"/>
  <c r="F421" i="2"/>
  <c r="B421" i="2"/>
  <c r="G422" i="2" l="1"/>
  <c r="M424" i="2"/>
  <c r="J423" i="2"/>
  <c r="C423" i="2"/>
  <c r="L423" i="2"/>
  <c r="I422" i="2"/>
  <c r="F422" i="2" s="1"/>
  <c r="B422" i="2"/>
  <c r="K422" i="2"/>
  <c r="H421" i="2"/>
  <c r="E421" i="2" s="1"/>
  <c r="D424" i="2"/>
  <c r="T423" i="2"/>
  <c r="G423" i="2"/>
  <c r="I423" i="2" l="1"/>
  <c r="L424" i="2"/>
  <c r="C424" i="2"/>
  <c r="T424" i="2" s="1"/>
  <c r="F423" i="2"/>
  <c r="K423" i="2"/>
  <c r="H422" i="2"/>
  <c r="E422" i="2" s="1"/>
  <c r="M425" i="2"/>
  <c r="J424" i="2"/>
  <c r="D425" i="2"/>
  <c r="B423" i="2"/>
  <c r="H423" i="2" l="1"/>
  <c r="E423" i="2" s="1"/>
  <c r="K424" i="2"/>
  <c r="M426" i="2"/>
  <c r="J425" i="2"/>
  <c r="C425" i="2"/>
  <c r="G425" i="2"/>
  <c r="D426" i="2"/>
  <c r="T425" i="2"/>
  <c r="L425" i="2"/>
  <c r="I424" i="2"/>
  <c r="F424" i="2" s="1"/>
  <c r="G424" i="2"/>
  <c r="B424" i="2"/>
  <c r="D427" i="2" l="1"/>
  <c r="M427" i="2"/>
  <c r="J426" i="2"/>
  <c r="K425" i="2"/>
  <c r="H424" i="2"/>
  <c r="E424" i="2" s="1"/>
  <c r="L426" i="2"/>
  <c r="I425" i="2"/>
  <c r="F425" i="2"/>
  <c r="C426" i="2"/>
  <c r="B425" i="2"/>
  <c r="C427" i="2" l="1"/>
  <c r="L427" i="2"/>
  <c r="I426" i="2"/>
  <c r="F426" i="2" s="1"/>
  <c r="K426" i="2"/>
  <c r="H425" i="2"/>
  <c r="E425" i="2" s="1"/>
  <c r="G426" i="2"/>
  <c r="T426" i="2"/>
  <c r="T427" i="2"/>
  <c r="D428" i="2"/>
  <c r="M428" i="2"/>
  <c r="J427" i="2"/>
  <c r="B426" i="2"/>
  <c r="D429" i="2" l="1"/>
  <c r="J428" i="2"/>
  <c r="M429" i="2"/>
  <c r="C428" i="2"/>
  <c r="T428" i="2" s="1"/>
  <c r="G427" i="2"/>
  <c r="K427" i="2"/>
  <c r="H426" i="2"/>
  <c r="E426" i="2" s="1"/>
  <c r="L428" i="2"/>
  <c r="I427" i="2"/>
  <c r="F427" i="2" s="1"/>
  <c r="B427" i="2"/>
  <c r="G428" i="2" l="1"/>
  <c r="B428" i="2"/>
  <c r="I428" i="2"/>
  <c r="L429" i="2"/>
  <c r="K428" i="2"/>
  <c r="H427" i="2"/>
  <c r="E427" i="2" s="1"/>
  <c r="M430" i="2"/>
  <c r="J429" i="2"/>
  <c r="D430" i="2"/>
  <c r="C429" i="2"/>
  <c r="T429" i="2" s="1"/>
  <c r="F428" i="2"/>
  <c r="D431" i="2" l="1"/>
  <c r="G429" i="2"/>
  <c r="L430" i="2"/>
  <c r="I429" i="2"/>
  <c r="B429" i="2"/>
  <c r="K429" i="2"/>
  <c r="H428" i="2"/>
  <c r="E428" i="2" s="1"/>
  <c r="F429" i="2"/>
  <c r="C430" i="2"/>
  <c r="M431" i="2"/>
  <c r="J430" i="2"/>
  <c r="G430" i="2" l="1"/>
  <c r="B430" i="2"/>
  <c r="D432" i="2"/>
  <c r="M432" i="2"/>
  <c r="J431" i="2"/>
  <c r="L431" i="2"/>
  <c r="I430" i="2"/>
  <c r="C431" i="2"/>
  <c r="T431" i="2" s="1"/>
  <c r="F430" i="2"/>
  <c r="K430" i="2"/>
  <c r="H429" i="2"/>
  <c r="E429" i="2" s="1"/>
  <c r="T430" i="2"/>
  <c r="L432" i="2" l="1"/>
  <c r="I431" i="2"/>
  <c r="D433" i="2"/>
  <c r="G431" i="2"/>
  <c r="H430" i="2"/>
  <c r="E430" i="2" s="1"/>
  <c r="K431" i="2"/>
  <c r="M433" i="2"/>
  <c r="J432" i="2"/>
  <c r="B431" i="2"/>
  <c r="F431" i="2"/>
  <c r="C432" i="2"/>
  <c r="T432" i="2" s="1"/>
  <c r="G432" i="2" l="1"/>
  <c r="D434" i="2"/>
  <c r="L433" i="2"/>
  <c r="I432" i="2"/>
  <c r="F432" i="2" s="1"/>
  <c r="B432" i="2"/>
  <c r="J433" i="2"/>
  <c r="M434" i="2"/>
  <c r="K432" i="2"/>
  <c r="H431" i="2"/>
  <c r="E431" i="2" s="1"/>
  <c r="C433" i="2"/>
  <c r="T433" i="2" s="1"/>
  <c r="G433" i="2" l="1"/>
  <c r="D435" i="2"/>
  <c r="K433" i="2"/>
  <c r="H432" i="2"/>
  <c r="E432" i="2" s="1"/>
  <c r="M435" i="2"/>
  <c r="J434" i="2"/>
  <c r="C434" i="2"/>
  <c r="B433" i="2"/>
  <c r="L434" i="2"/>
  <c r="I433" i="2"/>
  <c r="F433" i="2" s="1"/>
  <c r="C435" i="2" l="1"/>
  <c r="M436" i="2"/>
  <c r="J435" i="2"/>
  <c r="G435" i="2" s="1"/>
  <c r="K434" i="2"/>
  <c r="H433" i="2"/>
  <c r="E433" i="2" s="1"/>
  <c r="D436" i="2"/>
  <c r="T435" i="2"/>
  <c r="B434" i="2"/>
  <c r="G434" i="2"/>
  <c r="T434" i="2"/>
  <c r="L435" i="2"/>
  <c r="I434" i="2"/>
  <c r="F434" i="2" s="1"/>
  <c r="K435" i="2" l="1"/>
  <c r="H434" i="2"/>
  <c r="E434" i="2" s="1"/>
  <c r="I435" i="2"/>
  <c r="L436" i="2"/>
  <c r="M437" i="2"/>
  <c r="J436" i="2"/>
  <c r="B435" i="2"/>
  <c r="C436" i="2"/>
  <c r="F435" i="2"/>
  <c r="T436" i="2"/>
  <c r="D437" i="2"/>
  <c r="G436" i="2" l="1"/>
  <c r="B436" i="2"/>
  <c r="M438" i="2"/>
  <c r="J437" i="2"/>
  <c r="L437" i="2"/>
  <c r="I436" i="2"/>
  <c r="H435" i="2"/>
  <c r="E435" i="2" s="1"/>
  <c r="K436" i="2"/>
  <c r="D438" i="2"/>
  <c r="F436" i="2"/>
  <c r="C437" i="2"/>
  <c r="K437" i="2" l="1"/>
  <c r="H436" i="2"/>
  <c r="E436" i="2" s="1"/>
  <c r="M439" i="2"/>
  <c r="J438" i="2"/>
  <c r="B437" i="2"/>
  <c r="C438" i="2"/>
  <c r="T437" i="2"/>
  <c r="L438" i="2"/>
  <c r="I437" i="2"/>
  <c r="F437" i="2" s="1"/>
  <c r="D439" i="2"/>
  <c r="T438" i="2"/>
  <c r="G437" i="2"/>
  <c r="B438" i="2" l="1"/>
  <c r="K438" i="2"/>
  <c r="H437" i="2"/>
  <c r="E437" i="2" s="1"/>
  <c r="D440" i="2"/>
  <c r="L439" i="2"/>
  <c r="I438" i="2"/>
  <c r="F438" i="2" s="1"/>
  <c r="C439" i="2"/>
  <c r="T439" i="2" s="1"/>
  <c r="G438" i="2"/>
  <c r="M440" i="2"/>
  <c r="J439" i="2"/>
  <c r="G439" i="2" l="1"/>
  <c r="K439" i="2"/>
  <c r="H438" i="2"/>
  <c r="E438" i="2" s="1"/>
  <c r="L440" i="2"/>
  <c r="I439" i="2"/>
  <c r="F439" i="2" s="1"/>
  <c r="D441" i="2"/>
  <c r="G440" i="2"/>
  <c r="J440" i="2"/>
  <c r="M441" i="2"/>
  <c r="C440" i="2"/>
  <c r="T440" i="2" s="1"/>
  <c r="B439" i="2"/>
  <c r="D442" i="2" l="1"/>
  <c r="I440" i="2"/>
  <c r="F440" i="2" s="1"/>
  <c r="L441" i="2"/>
  <c r="B440" i="2"/>
  <c r="K440" i="2"/>
  <c r="H439" i="2"/>
  <c r="E439" i="2" s="1"/>
  <c r="C441" i="2"/>
  <c r="G441" i="2" s="1"/>
  <c r="M442" i="2"/>
  <c r="J441" i="2"/>
  <c r="D443" i="2" l="1"/>
  <c r="T442" i="2"/>
  <c r="K441" i="2"/>
  <c r="H440" i="2"/>
  <c r="E440" i="2" s="1"/>
  <c r="C442" i="2"/>
  <c r="B441" i="2"/>
  <c r="T441" i="2"/>
  <c r="M443" i="2"/>
  <c r="J442" i="2"/>
  <c r="L442" i="2"/>
  <c r="I441" i="2"/>
  <c r="F441" i="2" s="1"/>
  <c r="L443" i="2" l="1"/>
  <c r="I442" i="2"/>
  <c r="C443" i="2"/>
  <c r="F442" i="2"/>
  <c r="T443" i="2"/>
  <c r="G443" i="2"/>
  <c r="D444" i="2"/>
  <c r="B442" i="2"/>
  <c r="K442" i="2"/>
  <c r="H441" i="2"/>
  <c r="E441" i="2" s="1"/>
  <c r="G442" i="2"/>
  <c r="M444" i="2"/>
  <c r="J443" i="2"/>
  <c r="C444" i="2" l="1"/>
  <c r="M445" i="2"/>
  <c r="J444" i="2"/>
  <c r="H442" i="2"/>
  <c r="E442" i="2" s="1"/>
  <c r="K443" i="2"/>
  <c r="B443" i="2"/>
  <c r="L444" i="2"/>
  <c r="I443" i="2"/>
  <c r="F443" i="2" s="1"/>
  <c r="T444" i="2"/>
  <c r="G444" i="2"/>
  <c r="D445" i="2"/>
  <c r="C445" i="2" l="1"/>
  <c r="D446" i="2"/>
  <c r="T445" i="2"/>
  <c r="K444" i="2"/>
  <c r="H443" i="2"/>
  <c r="E443" i="2" s="1"/>
  <c r="J445" i="2"/>
  <c r="G445" i="2" s="1"/>
  <c r="M446" i="2"/>
  <c r="L445" i="2"/>
  <c r="I444" i="2"/>
  <c r="F444" i="2" s="1"/>
  <c r="B444" i="2"/>
  <c r="D447" i="2" l="1"/>
  <c r="B445" i="2"/>
  <c r="M447" i="2"/>
  <c r="J446" i="2"/>
  <c r="K445" i="2"/>
  <c r="H444" i="2"/>
  <c r="E444" i="2" s="1"/>
  <c r="C446" i="2"/>
  <c r="G446" i="2" s="1"/>
  <c r="F445" i="2"/>
  <c r="L446" i="2"/>
  <c r="I445" i="2"/>
  <c r="M448" i="2" l="1"/>
  <c r="J447" i="2"/>
  <c r="B446" i="2"/>
  <c r="L447" i="2"/>
  <c r="I446" i="2"/>
  <c r="F446" i="2" s="1"/>
  <c r="D448" i="2"/>
  <c r="C447" i="2"/>
  <c r="T447" i="2" s="1"/>
  <c r="T446" i="2"/>
  <c r="K446" i="2"/>
  <c r="H445" i="2"/>
  <c r="E445" i="2" s="1"/>
  <c r="G447" i="2" l="1"/>
  <c r="D449" i="2"/>
  <c r="C448" i="2"/>
  <c r="I447" i="2"/>
  <c r="F447" i="2" s="1"/>
  <c r="L448" i="2"/>
  <c r="B447" i="2"/>
  <c r="M449" i="2"/>
  <c r="J448" i="2"/>
  <c r="K447" i="2"/>
  <c r="H446" i="2"/>
  <c r="E446" i="2" s="1"/>
  <c r="C449" i="2" l="1"/>
  <c r="D450" i="2"/>
  <c r="L449" i="2"/>
  <c r="I448" i="2"/>
  <c r="F448" i="2" s="1"/>
  <c r="G448" i="2"/>
  <c r="M450" i="2"/>
  <c r="J449" i="2"/>
  <c r="T448" i="2"/>
  <c r="B448" i="2"/>
  <c r="H447" i="2"/>
  <c r="E447" i="2" s="1"/>
  <c r="K448" i="2"/>
  <c r="G449" i="2" l="1"/>
  <c r="T449" i="2"/>
  <c r="L450" i="2"/>
  <c r="I449" i="2"/>
  <c r="F449" i="2" s="1"/>
  <c r="D451" i="2"/>
  <c r="K449" i="2"/>
  <c r="H448" i="2"/>
  <c r="E448" i="2" s="1"/>
  <c r="C450" i="2"/>
  <c r="T450" i="2" s="1"/>
  <c r="M451" i="2"/>
  <c r="J450" i="2"/>
  <c r="B449" i="2"/>
  <c r="G450" i="2" l="1"/>
  <c r="K450" i="2"/>
  <c r="H449" i="2"/>
  <c r="E449" i="2" s="1"/>
  <c r="D452" i="2"/>
  <c r="B450" i="2"/>
  <c r="M452" i="2"/>
  <c r="J451" i="2"/>
  <c r="L451" i="2"/>
  <c r="I450" i="2"/>
  <c r="F450" i="2"/>
  <c r="C451" i="2"/>
  <c r="T451" i="2" s="1"/>
  <c r="G451" i="2" l="1"/>
  <c r="C452" i="2"/>
  <c r="J452" i="2"/>
  <c r="M453" i="2"/>
  <c r="B451" i="2"/>
  <c r="K451" i="2"/>
  <c r="H450" i="2"/>
  <c r="E450" i="2" s="1"/>
  <c r="L452" i="2"/>
  <c r="I451" i="2"/>
  <c r="F451" i="2" s="1"/>
  <c r="D453" i="2"/>
  <c r="T452" i="2"/>
  <c r="G452" i="2"/>
  <c r="B452" i="2" l="1"/>
  <c r="M454" i="2"/>
  <c r="J453" i="2"/>
  <c r="C453" i="2"/>
  <c r="T453" i="2" s="1"/>
  <c r="K452" i="2"/>
  <c r="H451" i="2"/>
  <c r="E451" i="2" s="1"/>
  <c r="D454" i="2"/>
  <c r="I452" i="2"/>
  <c r="F452" i="2" s="1"/>
  <c r="L453" i="2"/>
  <c r="G453" i="2" l="1"/>
  <c r="D455" i="2"/>
  <c r="K453" i="2"/>
  <c r="H452" i="2"/>
  <c r="E452" i="2" s="1"/>
  <c r="F453" i="2"/>
  <c r="C454" i="2"/>
  <c r="T454" i="2" s="1"/>
  <c r="L454" i="2"/>
  <c r="I453" i="2"/>
  <c r="M455" i="2"/>
  <c r="J454" i="2"/>
  <c r="B453" i="2"/>
  <c r="G454" i="2" l="1"/>
  <c r="M456" i="2"/>
  <c r="J455" i="2"/>
  <c r="K454" i="2"/>
  <c r="H453" i="2"/>
  <c r="E453" i="2" s="1"/>
  <c r="L455" i="2"/>
  <c r="I454" i="2"/>
  <c r="B454" i="2"/>
  <c r="D456" i="2"/>
  <c r="C455" i="2"/>
  <c r="F454" i="2"/>
  <c r="B455" i="2" l="1"/>
  <c r="L456" i="2"/>
  <c r="I455" i="2"/>
  <c r="F455" i="2" s="1"/>
  <c r="H454" i="2"/>
  <c r="E454" i="2" s="1"/>
  <c r="K455" i="2"/>
  <c r="C456" i="2"/>
  <c r="D457" i="2"/>
  <c r="M457" i="2"/>
  <c r="J456" i="2"/>
  <c r="G455" i="2"/>
  <c r="T455" i="2"/>
  <c r="L457" i="2" l="1"/>
  <c r="I456" i="2"/>
  <c r="F456" i="2"/>
  <c r="C457" i="2"/>
  <c r="J457" i="2"/>
  <c r="M458" i="2"/>
  <c r="B456" i="2"/>
  <c r="G456" i="2"/>
  <c r="D458" i="2"/>
  <c r="T457" i="2"/>
  <c r="G457" i="2"/>
  <c r="T456" i="2"/>
  <c r="K456" i="2"/>
  <c r="H455" i="2"/>
  <c r="E455" i="2" s="1"/>
  <c r="C458" i="2" l="1"/>
  <c r="T458" i="2" s="1"/>
  <c r="K457" i="2"/>
  <c r="H456" i="2"/>
  <c r="E456" i="2" s="1"/>
  <c r="D459" i="2"/>
  <c r="L458" i="2"/>
  <c r="I457" i="2"/>
  <c r="F457" i="2" s="1"/>
  <c r="M459" i="2"/>
  <c r="J458" i="2"/>
  <c r="B457" i="2"/>
  <c r="G458" i="2" l="1"/>
  <c r="C459" i="2"/>
  <c r="D460" i="2"/>
  <c r="T459" i="2"/>
  <c r="B458" i="2"/>
  <c r="K458" i="2"/>
  <c r="H457" i="2"/>
  <c r="E457" i="2" s="1"/>
  <c r="M460" i="2"/>
  <c r="J459" i="2"/>
  <c r="G459" i="2" s="1"/>
  <c r="L459" i="2"/>
  <c r="I458" i="2"/>
  <c r="F458" i="2" s="1"/>
  <c r="D461" i="2" l="1"/>
  <c r="M461" i="2"/>
  <c r="J460" i="2"/>
  <c r="C460" i="2"/>
  <c r="G460" i="2" s="1"/>
  <c r="K459" i="2"/>
  <c r="H458" i="2"/>
  <c r="E458" i="2" s="1"/>
  <c r="B459" i="2"/>
  <c r="I459" i="2"/>
  <c r="F459" i="2" s="1"/>
  <c r="L460" i="2"/>
  <c r="T460" i="2" l="1"/>
  <c r="M462" i="2"/>
  <c r="J461" i="2"/>
  <c r="D462" i="2"/>
  <c r="B460" i="2"/>
  <c r="L461" i="2"/>
  <c r="I460" i="2"/>
  <c r="F460" i="2" s="1"/>
  <c r="C461" i="2"/>
  <c r="G461" i="2" s="1"/>
  <c r="H459" i="2"/>
  <c r="E459" i="2" s="1"/>
  <c r="K460" i="2"/>
  <c r="D463" i="2" l="1"/>
  <c r="L462" i="2"/>
  <c r="I461" i="2"/>
  <c r="B461" i="2"/>
  <c r="M463" i="2"/>
  <c r="J462" i="2"/>
  <c r="F461" i="2"/>
  <c r="C462" i="2"/>
  <c r="T462" i="2" s="1"/>
  <c r="K461" i="2"/>
  <c r="H460" i="2"/>
  <c r="E460" i="2" s="1"/>
  <c r="T461" i="2"/>
  <c r="B462" i="2" l="1"/>
  <c r="L463" i="2"/>
  <c r="I462" i="2"/>
  <c r="G462" i="2"/>
  <c r="J463" i="2"/>
  <c r="M464" i="2"/>
  <c r="K462" i="2"/>
  <c r="H461" i="2"/>
  <c r="E461" i="2" s="1"/>
  <c r="T463" i="2"/>
  <c r="D464" i="2"/>
  <c r="F462" i="2"/>
  <c r="C463" i="2"/>
  <c r="L464" i="2" l="1"/>
  <c r="I463" i="2"/>
  <c r="B463" i="2"/>
  <c r="F463" i="2"/>
  <c r="C464" i="2"/>
  <c r="K463" i="2"/>
  <c r="H462" i="2"/>
  <c r="E462" i="2" s="1"/>
  <c r="J464" i="2"/>
  <c r="M465" i="2"/>
  <c r="D465" i="2"/>
  <c r="T464" i="2"/>
  <c r="G463" i="2"/>
  <c r="M466" i="2" l="1"/>
  <c r="J465" i="2"/>
  <c r="I464" i="2"/>
  <c r="L465" i="2"/>
  <c r="D466" i="2"/>
  <c r="K464" i="2"/>
  <c r="H463" i="2"/>
  <c r="E463" i="2" s="1"/>
  <c r="B464" i="2"/>
  <c r="C465" i="2"/>
  <c r="T465" i="2" s="1"/>
  <c r="F464" i="2"/>
  <c r="G464" i="2"/>
  <c r="G465" i="2" l="1"/>
  <c r="K465" i="2"/>
  <c r="H464" i="2"/>
  <c r="E464" i="2" s="1"/>
  <c r="B465" i="2"/>
  <c r="L466" i="2"/>
  <c r="I465" i="2"/>
  <c r="F465" i="2" s="1"/>
  <c r="C466" i="2"/>
  <c r="G466" i="2" s="1"/>
  <c r="M467" i="2"/>
  <c r="J466" i="2"/>
  <c r="D467" i="2"/>
  <c r="T466" i="2" l="1"/>
  <c r="L467" i="2"/>
  <c r="I466" i="2"/>
  <c r="M468" i="2"/>
  <c r="J467" i="2"/>
  <c r="B466" i="2"/>
  <c r="H465" i="2"/>
  <c r="E465" i="2" s="1"/>
  <c r="K466" i="2"/>
  <c r="D468" i="2"/>
  <c r="C467" i="2"/>
  <c r="T467" i="2" s="1"/>
  <c r="F466" i="2"/>
  <c r="H466" i="2" l="1"/>
  <c r="E466" i="2" s="1"/>
  <c r="K467" i="2"/>
  <c r="B467" i="2"/>
  <c r="M469" i="2"/>
  <c r="J468" i="2"/>
  <c r="L468" i="2"/>
  <c r="I467" i="2"/>
  <c r="F467" i="2" s="1"/>
  <c r="C468" i="2"/>
  <c r="T468" i="2" s="1"/>
  <c r="D469" i="2"/>
  <c r="G467" i="2"/>
  <c r="G468" i="2" l="1"/>
  <c r="J469" i="2"/>
  <c r="M470" i="2"/>
  <c r="L469" i="2"/>
  <c r="I468" i="2"/>
  <c r="B468" i="2"/>
  <c r="K468" i="2"/>
  <c r="H467" i="2"/>
  <c r="E467" i="2" s="1"/>
  <c r="D470" i="2"/>
  <c r="F468" i="2"/>
  <c r="C469" i="2"/>
  <c r="K469" i="2" l="1"/>
  <c r="H468" i="2"/>
  <c r="E468" i="2" s="1"/>
  <c r="B469" i="2"/>
  <c r="M471" i="2"/>
  <c r="J470" i="2"/>
  <c r="D471" i="2"/>
  <c r="L470" i="2"/>
  <c r="I469" i="2"/>
  <c r="F469" i="2" s="1"/>
  <c r="C470" i="2"/>
  <c r="G470" i="2" s="1"/>
  <c r="G469" i="2"/>
  <c r="T469" i="2"/>
  <c r="C471" i="2" l="1"/>
  <c r="D472" i="2"/>
  <c r="T471" i="2"/>
  <c r="I470" i="2"/>
  <c r="F470" i="2" s="1"/>
  <c r="L471" i="2"/>
  <c r="T470" i="2"/>
  <c r="M472" i="2"/>
  <c r="J471" i="2"/>
  <c r="G471" i="2" s="1"/>
  <c r="B470" i="2"/>
  <c r="K470" i="2"/>
  <c r="H469" i="2"/>
  <c r="E469" i="2" s="1"/>
  <c r="I471" i="2" l="1"/>
  <c r="L472" i="2"/>
  <c r="M473" i="2"/>
  <c r="J472" i="2"/>
  <c r="D473" i="2"/>
  <c r="C472" i="2"/>
  <c r="F471" i="2"/>
  <c r="K471" i="2"/>
  <c r="H470" i="2"/>
  <c r="E470" i="2" s="1"/>
  <c r="B471" i="2"/>
  <c r="C473" i="2" l="1"/>
  <c r="T473" i="2" s="1"/>
  <c r="B472" i="2"/>
  <c r="D474" i="2"/>
  <c r="T472" i="2"/>
  <c r="M474" i="2"/>
  <c r="J473" i="2"/>
  <c r="G472" i="2"/>
  <c r="L473" i="2"/>
  <c r="I472" i="2"/>
  <c r="F472" i="2" s="1"/>
  <c r="H471" i="2"/>
  <c r="E471" i="2" s="1"/>
  <c r="K472" i="2"/>
  <c r="G473" i="2" l="1"/>
  <c r="D475" i="2"/>
  <c r="B473" i="2"/>
  <c r="K473" i="2"/>
  <c r="H472" i="2"/>
  <c r="E472" i="2" s="1"/>
  <c r="L474" i="2"/>
  <c r="I473" i="2"/>
  <c r="F473" i="2" s="1"/>
  <c r="M475" i="2"/>
  <c r="J474" i="2"/>
  <c r="C474" i="2"/>
  <c r="G474" i="2" l="1"/>
  <c r="L475" i="2"/>
  <c r="I474" i="2"/>
  <c r="F474" i="2"/>
  <c r="C475" i="2"/>
  <c r="T474" i="2"/>
  <c r="T475" i="2"/>
  <c r="D476" i="2"/>
  <c r="J475" i="2"/>
  <c r="M476" i="2"/>
  <c r="K474" i="2"/>
  <c r="H473" i="2"/>
  <c r="E473" i="2" s="1"/>
  <c r="B474" i="2"/>
  <c r="B475" i="2" l="1"/>
  <c r="K475" i="2"/>
  <c r="H474" i="2"/>
  <c r="E474" i="2" s="1"/>
  <c r="C476" i="2"/>
  <c r="J476" i="2"/>
  <c r="G476" i="2" s="1"/>
  <c r="M477" i="2"/>
  <c r="L476" i="2"/>
  <c r="I475" i="2"/>
  <c r="F475" i="2" s="1"/>
  <c r="D477" i="2"/>
  <c r="T476" i="2"/>
  <c r="G475" i="2"/>
  <c r="C477" i="2" l="1"/>
  <c r="K476" i="2"/>
  <c r="H475" i="2"/>
  <c r="E475" i="2" s="1"/>
  <c r="B476" i="2"/>
  <c r="T477" i="2"/>
  <c r="D478" i="2"/>
  <c r="I476" i="2"/>
  <c r="F476" i="2" s="1"/>
  <c r="L477" i="2"/>
  <c r="M478" i="2"/>
  <c r="J477" i="2"/>
  <c r="G477" i="2" s="1"/>
  <c r="L478" i="2" l="1"/>
  <c r="I477" i="2"/>
  <c r="K477" i="2"/>
  <c r="H476" i="2"/>
  <c r="E476" i="2" s="1"/>
  <c r="C478" i="2"/>
  <c r="F477" i="2"/>
  <c r="M479" i="2"/>
  <c r="J478" i="2"/>
  <c r="D479" i="2"/>
  <c r="B477" i="2"/>
  <c r="C479" i="2" l="1"/>
  <c r="B478" i="2"/>
  <c r="T478" i="2"/>
  <c r="T479" i="2"/>
  <c r="D480" i="2"/>
  <c r="G478" i="2"/>
  <c r="H477" i="2"/>
  <c r="E477" i="2" s="1"/>
  <c r="K478" i="2"/>
  <c r="L479" i="2"/>
  <c r="I478" i="2"/>
  <c r="F478" i="2" s="1"/>
  <c r="M480" i="2"/>
  <c r="J479" i="2"/>
  <c r="G479" i="2" s="1"/>
  <c r="B479" i="2" l="1"/>
  <c r="H478" i="2"/>
  <c r="E478" i="2" s="1"/>
  <c r="K479" i="2"/>
  <c r="M481" i="2"/>
  <c r="J480" i="2"/>
  <c r="I479" i="2"/>
  <c r="L480" i="2"/>
  <c r="D481" i="2"/>
  <c r="F479" i="2"/>
  <c r="C480" i="2"/>
  <c r="T480" i="2" s="1"/>
  <c r="G480" i="2" l="1"/>
  <c r="K480" i="2"/>
  <c r="H479" i="2"/>
  <c r="E479" i="2" s="1"/>
  <c r="D482" i="2"/>
  <c r="B480" i="2"/>
  <c r="J481" i="2"/>
  <c r="M482" i="2"/>
  <c r="L481" i="2"/>
  <c r="I480" i="2"/>
  <c r="F480" i="2"/>
  <c r="C481" i="2"/>
  <c r="G481" i="2" s="1"/>
  <c r="T481" i="2" l="1"/>
  <c r="C482" i="2"/>
  <c r="B481" i="2"/>
  <c r="L482" i="2"/>
  <c r="I481" i="2"/>
  <c r="F481" i="2" s="1"/>
  <c r="T482" i="2"/>
  <c r="D483" i="2"/>
  <c r="K481" i="2"/>
  <c r="H480" i="2"/>
  <c r="E480" i="2" s="1"/>
  <c r="M483" i="2"/>
  <c r="J482" i="2"/>
  <c r="G482" i="2" s="1"/>
  <c r="D484" i="2" l="1"/>
  <c r="I482" i="2"/>
  <c r="F482" i="2" s="1"/>
  <c r="L483" i="2"/>
  <c r="K482" i="2"/>
  <c r="H481" i="2"/>
  <c r="E481" i="2" s="1"/>
  <c r="B482" i="2"/>
  <c r="M484" i="2"/>
  <c r="J483" i="2"/>
  <c r="C483" i="2"/>
  <c r="C484" i="2" l="1"/>
  <c r="J484" i="2"/>
  <c r="M485" i="2"/>
  <c r="B483" i="2"/>
  <c r="G483" i="2"/>
  <c r="K483" i="2"/>
  <c r="H482" i="2"/>
  <c r="E482" i="2" s="1"/>
  <c r="T483" i="2"/>
  <c r="D485" i="2"/>
  <c r="G484" i="2"/>
  <c r="T484" i="2"/>
  <c r="I483" i="2"/>
  <c r="F483" i="2" s="1"/>
  <c r="L484" i="2"/>
  <c r="M486" i="2" l="1"/>
  <c r="J485" i="2"/>
  <c r="I484" i="2"/>
  <c r="F484" i="2" s="1"/>
  <c r="L485" i="2"/>
  <c r="H483" i="2"/>
  <c r="E483" i="2" s="1"/>
  <c r="K484" i="2"/>
  <c r="B484" i="2"/>
  <c r="C485" i="2"/>
  <c r="D486" i="2"/>
  <c r="T485" i="2"/>
  <c r="G485" i="2" l="1"/>
  <c r="B485" i="2"/>
  <c r="M487" i="2"/>
  <c r="J486" i="2"/>
  <c r="D487" i="2"/>
  <c r="I485" i="2"/>
  <c r="F485" i="2" s="1"/>
  <c r="L486" i="2"/>
  <c r="K485" i="2"/>
  <c r="H484" i="2"/>
  <c r="E484" i="2" s="1"/>
  <c r="C486" i="2"/>
  <c r="C487" i="2" l="1"/>
  <c r="F486" i="2"/>
  <c r="G486" i="2"/>
  <c r="K486" i="2"/>
  <c r="H485" i="2"/>
  <c r="E485" i="2" s="1"/>
  <c r="L487" i="2"/>
  <c r="I486" i="2"/>
  <c r="J487" i="2"/>
  <c r="M488" i="2"/>
  <c r="B486" i="2"/>
  <c r="G487" i="2"/>
  <c r="T487" i="2"/>
  <c r="D488" i="2"/>
  <c r="T486" i="2"/>
  <c r="H486" i="2" l="1"/>
  <c r="E486" i="2" s="1"/>
  <c r="K487" i="2"/>
  <c r="J488" i="2"/>
  <c r="M489" i="2"/>
  <c r="C488" i="2"/>
  <c r="D489" i="2"/>
  <c r="T488" i="2"/>
  <c r="L488" i="2"/>
  <c r="I487" i="2"/>
  <c r="F487" i="2" s="1"/>
  <c r="B487" i="2"/>
  <c r="G488" i="2" l="1"/>
  <c r="K488" i="2"/>
  <c r="H487" i="2"/>
  <c r="E487" i="2" s="1"/>
  <c r="J489" i="2"/>
  <c r="M490" i="2"/>
  <c r="D490" i="2"/>
  <c r="C489" i="2"/>
  <c r="T489" i="2" s="1"/>
  <c r="I488" i="2"/>
  <c r="F488" i="2" s="1"/>
  <c r="L489" i="2"/>
  <c r="B488" i="2"/>
  <c r="L490" i="2" l="1"/>
  <c r="I489" i="2"/>
  <c r="D491" i="2"/>
  <c r="K489" i="2"/>
  <c r="H488" i="2"/>
  <c r="E488" i="2" s="1"/>
  <c r="B489" i="2"/>
  <c r="G489" i="2"/>
  <c r="C490" i="2"/>
  <c r="F489" i="2"/>
  <c r="J490" i="2"/>
  <c r="M491" i="2"/>
  <c r="G490" i="2" l="1"/>
  <c r="B490" i="2"/>
  <c r="H489" i="2"/>
  <c r="E489" i="2" s="1"/>
  <c r="K490" i="2"/>
  <c r="T490" i="2"/>
  <c r="I490" i="2"/>
  <c r="F490" i="2" s="1"/>
  <c r="L491" i="2"/>
  <c r="M492" i="2"/>
  <c r="J491" i="2"/>
  <c r="C491" i="2"/>
  <c r="G491" i="2" s="1"/>
  <c r="T491" i="2"/>
  <c r="D492" i="2"/>
  <c r="M493" i="2" l="1"/>
  <c r="J492" i="2"/>
  <c r="I491" i="2"/>
  <c r="F491" i="2" s="1"/>
  <c r="L492" i="2"/>
  <c r="D493" i="2"/>
  <c r="B491" i="2"/>
  <c r="C492" i="2"/>
  <c r="G492" i="2" s="1"/>
  <c r="H490" i="2"/>
  <c r="E490" i="2" s="1"/>
  <c r="K491" i="2"/>
  <c r="T492" i="2" l="1"/>
  <c r="L493" i="2"/>
  <c r="I492" i="2"/>
  <c r="G493" i="2"/>
  <c r="D494" i="2"/>
  <c r="T493" i="2"/>
  <c r="J493" i="2"/>
  <c r="M494" i="2"/>
  <c r="C493" i="2"/>
  <c r="F492" i="2"/>
  <c r="H491" i="2"/>
  <c r="E491" i="2" s="1"/>
  <c r="K492" i="2"/>
  <c r="B492" i="2"/>
  <c r="D495" i="2" l="1"/>
  <c r="B493" i="2"/>
  <c r="C494" i="2"/>
  <c r="T494" i="2" s="1"/>
  <c r="H492" i="2"/>
  <c r="E492" i="2" s="1"/>
  <c r="K493" i="2"/>
  <c r="L494" i="2"/>
  <c r="I493" i="2"/>
  <c r="F493" i="2" s="1"/>
  <c r="J494" i="2"/>
  <c r="G494" i="2" s="1"/>
  <c r="M495" i="2"/>
  <c r="J495" i="2" l="1"/>
  <c r="M496" i="2"/>
  <c r="B494" i="2"/>
  <c r="I494" i="2"/>
  <c r="L495" i="2"/>
  <c r="K494" i="2"/>
  <c r="H493" i="2"/>
  <c r="E493" i="2" s="1"/>
  <c r="D496" i="2"/>
  <c r="F494" i="2"/>
  <c r="C495" i="2"/>
  <c r="T495" i="2" s="1"/>
  <c r="I495" i="2" l="1"/>
  <c r="F495" i="2" s="1"/>
  <c r="L496" i="2"/>
  <c r="D497" i="2"/>
  <c r="G495" i="2"/>
  <c r="B495" i="2"/>
  <c r="H494" i="2"/>
  <c r="E494" i="2" s="1"/>
  <c r="K495" i="2"/>
  <c r="M497" i="2"/>
  <c r="J496" i="2"/>
  <c r="C496" i="2"/>
  <c r="C497" i="2" l="1"/>
  <c r="M498" i="2"/>
  <c r="J497" i="2"/>
  <c r="B496" i="2"/>
  <c r="H495" i="2"/>
  <c r="E495" i="2" s="1"/>
  <c r="K496" i="2"/>
  <c r="G496" i="2"/>
  <c r="T496" i="2"/>
  <c r="D498" i="2"/>
  <c r="T497" i="2"/>
  <c r="G497" i="2"/>
  <c r="L497" i="2"/>
  <c r="I496" i="2"/>
  <c r="F496" i="2" s="1"/>
  <c r="M499" i="2" l="1"/>
  <c r="J498" i="2"/>
  <c r="D499" i="2"/>
  <c r="C498" i="2"/>
  <c r="T498" i="2" s="1"/>
  <c r="I497" i="2"/>
  <c r="F497" i="2" s="1"/>
  <c r="L498" i="2"/>
  <c r="K497" i="2"/>
  <c r="H496" i="2"/>
  <c r="E496" i="2" s="1"/>
  <c r="B497" i="2"/>
  <c r="D500" i="2" l="1"/>
  <c r="H497" i="2"/>
  <c r="E497" i="2" s="1"/>
  <c r="K498" i="2"/>
  <c r="G498" i="2"/>
  <c r="M500" i="2"/>
  <c r="J499" i="2"/>
  <c r="C499" i="2"/>
  <c r="B498" i="2"/>
  <c r="L499" i="2"/>
  <c r="I498" i="2"/>
  <c r="F498" i="2" s="1"/>
  <c r="C500" i="2" l="1"/>
  <c r="K499" i="2"/>
  <c r="H498" i="2"/>
  <c r="E498" i="2" s="1"/>
  <c r="T499" i="2"/>
  <c r="L500" i="2"/>
  <c r="I499" i="2"/>
  <c r="F499" i="2" s="1"/>
  <c r="D501" i="2"/>
  <c r="T500" i="2"/>
  <c r="B499" i="2"/>
  <c r="M501" i="2"/>
  <c r="J500" i="2"/>
  <c r="G499" i="2"/>
  <c r="M502" i="2" l="1"/>
  <c r="J501" i="2"/>
  <c r="G501" i="2"/>
  <c r="D502" i="2"/>
  <c r="L501" i="2"/>
  <c r="I500" i="2"/>
  <c r="F500" i="2" s="1"/>
  <c r="K500" i="2"/>
  <c r="H499" i="2"/>
  <c r="E499" i="2" s="1"/>
  <c r="C501" i="2"/>
  <c r="B500" i="2"/>
  <c r="G500" i="2"/>
  <c r="B501" i="2" l="1"/>
  <c r="K501" i="2"/>
  <c r="H500" i="2"/>
  <c r="E500" i="2" s="1"/>
  <c r="L502" i="2"/>
  <c r="I501" i="2"/>
  <c r="F501" i="2" s="1"/>
  <c r="D503" i="2"/>
  <c r="C502" i="2"/>
  <c r="T502" i="2" s="1"/>
  <c r="T501" i="2"/>
  <c r="J502" i="2"/>
  <c r="M503" i="2"/>
  <c r="G502" i="2" l="1"/>
  <c r="C503" i="2"/>
  <c r="I502" i="2"/>
  <c r="F502" i="2" s="1"/>
  <c r="L503" i="2"/>
  <c r="K502" i="2"/>
  <c r="H501" i="2"/>
  <c r="E501" i="2" s="1"/>
  <c r="B502" i="2"/>
  <c r="T503" i="2"/>
  <c r="D504" i="2"/>
  <c r="M504" i="2"/>
  <c r="J503" i="2"/>
  <c r="G503" i="2" s="1"/>
  <c r="L504" i="2" l="1"/>
  <c r="I503" i="2"/>
  <c r="B503" i="2"/>
  <c r="F503" i="2"/>
  <c r="C504" i="2"/>
  <c r="M505" i="2"/>
  <c r="J504" i="2"/>
  <c r="G504" i="2" s="1"/>
  <c r="D505" i="2"/>
  <c r="K503" i="2"/>
  <c r="H502" i="2"/>
  <c r="E502" i="2" s="1"/>
  <c r="M506" i="2" l="1"/>
  <c r="J505" i="2"/>
  <c r="G505" i="2" s="1"/>
  <c r="L505" i="2"/>
  <c r="I504" i="2"/>
  <c r="F504" i="2" s="1"/>
  <c r="C505" i="2"/>
  <c r="K504" i="2"/>
  <c r="H503" i="2"/>
  <c r="E503" i="2" s="1"/>
  <c r="T504" i="2"/>
  <c r="B504" i="2"/>
  <c r="T505" i="2"/>
  <c r="D506" i="2"/>
  <c r="L506" i="2" l="1"/>
  <c r="I505" i="2"/>
  <c r="D507" i="2"/>
  <c r="H504" i="2"/>
  <c r="E504" i="2" s="1"/>
  <c r="K505" i="2"/>
  <c r="M507" i="2"/>
  <c r="J506" i="2"/>
  <c r="B505" i="2"/>
  <c r="F505" i="2"/>
  <c r="C506" i="2"/>
  <c r="L507" i="2" l="1"/>
  <c r="I506" i="2"/>
  <c r="K506" i="2"/>
  <c r="H505" i="2"/>
  <c r="E505" i="2" s="1"/>
  <c r="B506" i="2"/>
  <c r="D508" i="2"/>
  <c r="F506" i="2"/>
  <c r="C507" i="2"/>
  <c r="T507" i="2" s="1"/>
  <c r="G506" i="2"/>
  <c r="J507" i="2"/>
  <c r="M508" i="2"/>
  <c r="T506" i="2"/>
  <c r="G507" i="2" l="1"/>
  <c r="D509" i="2"/>
  <c r="M509" i="2"/>
  <c r="J508" i="2"/>
  <c r="B507" i="2"/>
  <c r="K507" i="2"/>
  <c r="H506" i="2"/>
  <c r="E506" i="2" s="1"/>
  <c r="C508" i="2"/>
  <c r="T508" i="2" s="1"/>
  <c r="I507" i="2"/>
  <c r="F507" i="2" s="1"/>
  <c r="L508" i="2"/>
  <c r="G508" i="2" l="1"/>
  <c r="B508" i="2"/>
  <c r="K508" i="2"/>
  <c r="H507" i="2"/>
  <c r="E507" i="2" s="1"/>
  <c r="L509" i="2"/>
  <c r="I508" i="2"/>
  <c r="F508" i="2" s="1"/>
  <c r="C509" i="2"/>
  <c r="M510" i="2"/>
  <c r="J509" i="2"/>
  <c r="D510" i="2"/>
  <c r="L510" i="2" l="1"/>
  <c r="I509" i="2"/>
  <c r="K509" i="2"/>
  <c r="H508" i="2"/>
  <c r="E508" i="2" s="1"/>
  <c r="B509" i="2"/>
  <c r="J510" i="2"/>
  <c r="M511" i="2"/>
  <c r="F509" i="2"/>
  <c r="C510" i="2"/>
  <c r="T509" i="2"/>
  <c r="D511" i="2"/>
  <c r="T510" i="2"/>
  <c r="G510" i="2"/>
  <c r="G509" i="2"/>
  <c r="K510" i="2" l="1"/>
  <c r="H509" i="2"/>
  <c r="E509" i="2" s="1"/>
  <c r="C511" i="2"/>
  <c r="M512" i="2"/>
  <c r="J511" i="2"/>
  <c r="B510" i="2"/>
  <c r="L511" i="2"/>
  <c r="I510" i="2"/>
  <c r="F510" i="2" s="1"/>
  <c r="T511" i="2"/>
  <c r="G511" i="2"/>
  <c r="D512" i="2"/>
  <c r="D513" i="2" l="1"/>
  <c r="M513" i="2"/>
  <c r="J512" i="2"/>
  <c r="L512" i="2"/>
  <c r="I511" i="2"/>
  <c r="F511" i="2" s="1"/>
  <c r="C512" i="2"/>
  <c r="B511" i="2"/>
  <c r="K511" i="2"/>
  <c r="H510" i="2"/>
  <c r="E510" i="2" s="1"/>
  <c r="K512" i="2" l="1"/>
  <c r="H511" i="2"/>
  <c r="E511" i="2" s="1"/>
  <c r="B512" i="2"/>
  <c r="C513" i="2"/>
  <c r="L513" i="2"/>
  <c r="I512" i="2"/>
  <c r="F512" i="2" s="1"/>
  <c r="J513" i="2"/>
  <c r="M514" i="2"/>
  <c r="T512" i="2"/>
  <c r="D514" i="2"/>
  <c r="T513" i="2"/>
  <c r="G513" i="2"/>
  <c r="G512" i="2"/>
  <c r="B513" i="2" l="1"/>
  <c r="I513" i="2"/>
  <c r="L514" i="2"/>
  <c r="K513" i="2"/>
  <c r="H512" i="2"/>
  <c r="E512" i="2" s="1"/>
  <c r="T514" i="2"/>
  <c r="G514" i="2"/>
  <c r="D515" i="2"/>
  <c r="M515" i="2"/>
  <c r="J514" i="2"/>
  <c r="C514" i="2"/>
  <c r="F513" i="2"/>
  <c r="C515" i="2" l="1"/>
  <c r="K514" i="2"/>
  <c r="H513" i="2"/>
  <c r="E513" i="2" s="1"/>
  <c r="M516" i="2"/>
  <c r="J515" i="2"/>
  <c r="L515" i="2"/>
  <c r="I514" i="2"/>
  <c r="F514" i="2" s="1"/>
  <c r="B514" i="2"/>
  <c r="G515" i="2"/>
  <c r="D516" i="2"/>
  <c r="T515" i="2"/>
  <c r="L516" i="2" l="1"/>
  <c r="I515" i="2"/>
  <c r="J516" i="2"/>
  <c r="M517" i="2"/>
  <c r="K515" i="2"/>
  <c r="H514" i="2"/>
  <c r="E514" i="2" s="1"/>
  <c r="F515" i="2"/>
  <c r="C516" i="2"/>
  <c r="B515" i="2"/>
  <c r="D517" i="2"/>
  <c r="C517" i="2" l="1"/>
  <c r="I516" i="2"/>
  <c r="F516" i="2" s="1"/>
  <c r="L517" i="2"/>
  <c r="B516" i="2"/>
  <c r="M518" i="2"/>
  <c r="J517" i="2"/>
  <c r="G516" i="2"/>
  <c r="T516" i="2"/>
  <c r="K516" i="2"/>
  <c r="H515" i="2"/>
  <c r="E515" i="2" s="1"/>
  <c r="T517" i="2"/>
  <c r="G517" i="2"/>
  <c r="D518" i="2"/>
  <c r="B517" i="2" l="1"/>
  <c r="D519" i="2"/>
  <c r="K517" i="2"/>
  <c r="H516" i="2"/>
  <c r="E516" i="2" s="1"/>
  <c r="L518" i="2"/>
  <c r="I517" i="2"/>
  <c r="F517" i="2" s="1"/>
  <c r="C518" i="2"/>
  <c r="M519" i="2"/>
  <c r="J518" i="2"/>
  <c r="G518" i="2" l="1"/>
  <c r="K518" i="2"/>
  <c r="H517" i="2"/>
  <c r="E517" i="2" s="1"/>
  <c r="T518" i="2"/>
  <c r="D520" i="2"/>
  <c r="B518" i="2"/>
  <c r="C519" i="2"/>
  <c r="J519" i="2"/>
  <c r="M520" i="2"/>
  <c r="L519" i="2"/>
  <c r="I518" i="2"/>
  <c r="F518" i="2" s="1"/>
  <c r="C520" i="2" l="1"/>
  <c r="B519" i="2"/>
  <c r="G519" i="2"/>
  <c r="I519" i="2"/>
  <c r="F519" i="2" s="1"/>
  <c r="L520" i="2"/>
  <c r="T519" i="2"/>
  <c r="T520" i="2"/>
  <c r="D521" i="2"/>
  <c r="M521" i="2"/>
  <c r="J520" i="2"/>
  <c r="G520" i="2" s="1"/>
  <c r="K519" i="2"/>
  <c r="H518" i="2"/>
  <c r="E518" i="2" s="1"/>
  <c r="D522" i="2" l="1"/>
  <c r="L521" i="2"/>
  <c r="I520" i="2"/>
  <c r="F520" i="2"/>
  <c r="C521" i="2"/>
  <c r="G521" i="2" s="1"/>
  <c r="K520" i="2"/>
  <c r="H519" i="2"/>
  <c r="E519" i="2" s="1"/>
  <c r="B520" i="2"/>
  <c r="M522" i="2"/>
  <c r="J521" i="2"/>
  <c r="B521" i="2" l="1"/>
  <c r="K521" i="2"/>
  <c r="H520" i="2"/>
  <c r="E520" i="2" s="1"/>
  <c r="J522" i="2"/>
  <c r="M523" i="2"/>
  <c r="C522" i="2"/>
  <c r="G522" i="2" s="1"/>
  <c r="T521" i="2"/>
  <c r="L522" i="2"/>
  <c r="I521" i="2"/>
  <c r="F521" i="2" s="1"/>
  <c r="D523" i="2"/>
  <c r="T522" i="2" l="1"/>
  <c r="K522" i="2"/>
  <c r="H521" i="2"/>
  <c r="E521" i="2" s="1"/>
  <c r="B522" i="2"/>
  <c r="D524" i="2"/>
  <c r="C523" i="2"/>
  <c r="T523" i="2" s="1"/>
  <c r="I522" i="2"/>
  <c r="F522" i="2" s="1"/>
  <c r="L523" i="2"/>
  <c r="M524" i="2"/>
  <c r="J523" i="2"/>
  <c r="G523" i="2" l="1"/>
  <c r="B523" i="2"/>
  <c r="D525" i="2"/>
  <c r="L524" i="2"/>
  <c r="I523" i="2"/>
  <c r="F523" i="2" s="1"/>
  <c r="K523" i="2"/>
  <c r="H522" i="2"/>
  <c r="E522" i="2" s="1"/>
  <c r="M525" i="2"/>
  <c r="J524" i="2"/>
  <c r="C524" i="2"/>
  <c r="G524" i="2" l="1"/>
  <c r="J525" i="2"/>
  <c r="M526" i="2"/>
  <c r="K524" i="2"/>
  <c r="H523" i="2"/>
  <c r="E523" i="2" s="1"/>
  <c r="L525" i="2"/>
  <c r="I524" i="2"/>
  <c r="F524" i="2"/>
  <c r="C525" i="2"/>
  <c r="T524" i="2"/>
  <c r="D526" i="2"/>
  <c r="T525" i="2"/>
  <c r="G525" i="2"/>
  <c r="B524" i="2"/>
  <c r="C526" i="2" l="1"/>
  <c r="B525" i="2"/>
  <c r="L526" i="2"/>
  <c r="I525" i="2"/>
  <c r="F525" i="2" s="1"/>
  <c r="T526" i="2"/>
  <c r="D527" i="2"/>
  <c r="K525" i="2"/>
  <c r="H524" i="2"/>
  <c r="E524" i="2" s="1"/>
  <c r="M527" i="2"/>
  <c r="J526" i="2"/>
  <c r="G526" i="2" s="1"/>
  <c r="L527" i="2" l="1"/>
  <c r="I526" i="2"/>
  <c r="B526" i="2"/>
  <c r="D528" i="2"/>
  <c r="M528" i="2"/>
  <c r="J527" i="2"/>
  <c r="K526" i="2"/>
  <c r="H525" i="2"/>
  <c r="E525" i="2" s="1"/>
  <c r="F526" i="2"/>
  <c r="C527" i="2"/>
  <c r="C528" i="2" l="1"/>
  <c r="K527" i="2"/>
  <c r="H526" i="2"/>
  <c r="E526" i="2" s="1"/>
  <c r="L528" i="2"/>
  <c r="I527" i="2"/>
  <c r="F527" i="2" s="1"/>
  <c r="J528" i="2"/>
  <c r="M529" i="2"/>
  <c r="T527" i="2"/>
  <c r="D529" i="2"/>
  <c r="G528" i="2"/>
  <c r="G527" i="2"/>
  <c r="B527" i="2"/>
  <c r="K528" i="2" l="1"/>
  <c r="H527" i="2"/>
  <c r="E527" i="2" s="1"/>
  <c r="B528" i="2"/>
  <c r="C529" i="2"/>
  <c r="T528" i="2"/>
  <c r="M530" i="2"/>
  <c r="J529" i="2"/>
  <c r="T529" i="2"/>
  <c r="D530" i="2"/>
  <c r="L529" i="2"/>
  <c r="I528" i="2"/>
  <c r="F528" i="2" s="1"/>
  <c r="M531" i="2" l="1"/>
  <c r="J530" i="2"/>
  <c r="L530" i="2"/>
  <c r="I529" i="2"/>
  <c r="K529" i="2"/>
  <c r="H528" i="2"/>
  <c r="E528" i="2" s="1"/>
  <c r="F529" i="2"/>
  <c r="C530" i="2"/>
  <c r="G530" i="2" s="1"/>
  <c r="D531" i="2"/>
  <c r="B529" i="2"/>
  <c r="G529" i="2"/>
  <c r="B530" i="2" l="1"/>
  <c r="L531" i="2"/>
  <c r="I530" i="2"/>
  <c r="F530" i="2" s="1"/>
  <c r="T530" i="2"/>
  <c r="D532" i="2"/>
  <c r="J531" i="2"/>
  <c r="M532" i="2"/>
  <c r="C531" i="2"/>
  <c r="T531" i="2" s="1"/>
  <c r="K530" i="2"/>
  <c r="H529" i="2"/>
  <c r="E529" i="2" s="1"/>
  <c r="G531" i="2" l="1"/>
  <c r="B531" i="2"/>
  <c r="D533" i="2"/>
  <c r="K531" i="2"/>
  <c r="H530" i="2"/>
  <c r="E530" i="2" s="1"/>
  <c r="C532" i="2"/>
  <c r="T532" i="2" s="1"/>
  <c r="M533" i="2"/>
  <c r="J532" i="2"/>
  <c r="I531" i="2"/>
  <c r="F531" i="2" s="1"/>
  <c r="L532" i="2"/>
  <c r="G532" i="2" l="1"/>
  <c r="M534" i="2"/>
  <c r="J533" i="2"/>
  <c r="G533" i="2" s="1"/>
  <c r="K532" i="2"/>
  <c r="H531" i="2"/>
  <c r="E531" i="2" s="1"/>
  <c r="L533" i="2"/>
  <c r="I532" i="2"/>
  <c r="F532" i="2" s="1"/>
  <c r="D534" i="2"/>
  <c r="B532" i="2"/>
  <c r="C533" i="2"/>
  <c r="D535" i="2" l="1"/>
  <c r="J534" i="2"/>
  <c r="M535" i="2"/>
  <c r="L534" i="2"/>
  <c r="I533" i="2"/>
  <c r="B533" i="2"/>
  <c r="K533" i="2"/>
  <c r="H532" i="2"/>
  <c r="E532" i="2" s="1"/>
  <c r="F533" i="2"/>
  <c r="C534" i="2"/>
  <c r="T534" i="2" s="1"/>
  <c r="T533" i="2"/>
  <c r="K534" i="2" l="1"/>
  <c r="H533" i="2"/>
  <c r="E533" i="2" s="1"/>
  <c r="I534" i="2"/>
  <c r="F534" i="2" s="1"/>
  <c r="L535" i="2"/>
  <c r="B534" i="2"/>
  <c r="M536" i="2"/>
  <c r="J535" i="2"/>
  <c r="G534" i="2"/>
  <c r="T535" i="2"/>
  <c r="D536" i="2"/>
  <c r="C535" i="2"/>
  <c r="L536" i="2" l="1"/>
  <c r="I535" i="2"/>
  <c r="M537" i="2"/>
  <c r="J536" i="2"/>
  <c r="K535" i="2"/>
  <c r="H534" i="2"/>
  <c r="E534" i="2" s="1"/>
  <c r="B535" i="2"/>
  <c r="F535" i="2"/>
  <c r="C536" i="2"/>
  <c r="G536" i="2"/>
  <c r="D537" i="2"/>
  <c r="T536" i="2"/>
  <c r="G535" i="2"/>
  <c r="B536" i="2" l="1"/>
  <c r="K536" i="2"/>
  <c r="H535" i="2"/>
  <c r="E535" i="2" s="1"/>
  <c r="J537" i="2"/>
  <c r="G537" i="2" s="1"/>
  <c r="M538" i="2"/>
  <c r="C537" i="2"/>
  <c r="T537" i="2" s="1"/>
  <c r="L537" i="2"/>
  <c r="I536" i="2"/>
  <c r="F536" i="2" s="1"/>
  <c r="D538" i="2"/>
  <c r="K537" i="2" l="1"/>
  <c r="H536" i="2"/>
  <c r="E536" i="2" s="1"/>
  <c r="I537" i="2"/>
  <c r="L538" i="2"/>
  <c r="B537" i="2"/>
  <c r="D539" i="2"/>
  <c r="C538" i="2"/>
  <c r="F537" i="2"/>
  <c r="M539" i="2"/>
  <c r="J538" i="2"/>
  <c r="L539" i="2" l="1"/>
  <c r="I538" i="2"/>
  <c r="F538" i="2" s="1"/>
  <c r="D540" i="2"/>
  <c r="C539" i="2"/>
  <c r="G539" i="2" s="1"/>
  <c r="G538" i="2"/>
  <c r="T538" i="2"/>
  <c r="K538" i="2"/>
  <c r="H537" i="2"/>
  <c r="E537" i="2" s="1"/>
  <c r="M540" i="2"/>
  <c r="J539" i="2"/>
  <c r="B538" i="2"/>
  <c r="B539" i="2" l="1"/>
  <c r="D541" i="2"/>
  <c r="J540" i="2"/>
  <c r="M541" i="2"/>
  <c r="L540" i="2"/>
  <c r="I539" i="2"/>
  <c r="F539" i="2" s="1"/>
  <c r="K539" i="2"/>
  <c r="H538" i="2"/>
  <c r="E538" i="2" s="1"/>
  <c r="C540" i="2"/>
  <c r="T540" i="2" s="1"/>
  <c r="T539" i="2"/>
  <c r="G540" i="2" l="1"/>
  <c r="D542" i="2"/>
  <c r="I540" i="2"/>
  <c r="F540" i="2" s="1"/>
  <c r="L541" i="2"/>
  <c r="B540" i="2"/>
  <c r="M542" i="2"/>
  <c r="J541" i="2"/>
  <c r="C541" i="2"/>
  <c r="T541" i="2" s="1"/>
  <c r="K540" i="2"/>
  <c r="H539" i="2"/>
  <c r="E539" i="2" s="1"/>
  <c r="G541" i="2" l="1"/>
  <c r="B541" i="2"/>
  <c r="K541" i="2"/>
  <c r="H540" i="2"/>
  <c r="E540" i="2" s="1"/>
  <c r="L542" i="2"/>
  <c r="I541" i="2"/>
  <c r="F541" i="2" s="1"/>
  <c r="M543" i="2"/>
  <c r="J542" i="2"/>
  <c r="C542" i="2"/>
  <c r="T542" i="2" s="1"/>
  <c r="M544" i="2" l="1"/>
  <c r="J543" i="2"/>
  <c r="L543" i="2"/>
  <c r="I542" i="2"/>
  <c r="F542" i="2"/>
  <c r="C543" i="2"/>
  <c r="G542" i="2"/>
  <c r="K542" i="2"/>
  <c r="H541" i="2"/>
  <c r="E541" i="2" s="1"/>
  <c r="B542" i="2"/>
  <c r="C544" i="2" l="1"/>
  <c r="T543" i="2"/>
  <c r="G543" i="2"/>
  <c r="M545" i="2"/>
  <c r="J544" i="2"/>
  <c r="L544" i="2"/>
  <c r="I543" i="2"/>
  <c r="F543" i="2" s="1"/>
  <c r="B543" i="2"/>
  <c r="K543" i="2"/>
  <c r="H542" i="2"/>
  <c r="E542" i="2" s="1"/>
  <c r="L545" i="2" l="1"/>
  <c r="I544" i="2"/>
  <c r="F544" i="2" s="1"/>
  <c r="G544" i="2"/>
  <c r="C545" i="2"/>
  <c r="T544" i="2"/>
  <c r="K544" i="2"/>
  <c r="H543" i="2"/>
  <c r="E543" i="2" s="1"/>
  <c r="B544" i="2"/>
  <c r="M546" i="2"/>
  <c r="J545" i="2"/>
  <c r="B545" i="2" l="1"/>
  <c r="K545" i="2"/>
  <c r="H544" i="2"/>
  <c r="E544" i="2" s="1"/>
  <c r="C546" i="2"/>
  <c r="T545" i="2"/>
  <c r="G545" i="2"/>
  <c r="L546" i="2"/>
  <c r="I545" i="2"/>
  <c r="F545" i="2" s="1"/>
  <c r="M547" i="2"/>
  <c r="J546" i="2"/>
  <c r="L547" i="2" l="1"/>
  <c r="I546" i="2"/>
  <c r="H545" i="2"/>
  <c r="E545" i="2" s="1"/>
  <c r="K546" i="2"/>
  <c r="B546" i="2"/>
  <c r="F546" i="2"/>
  <c r="C547" i="2"/>
  <c r="G546" i="2"/>
  <c r="T546" i="2"/>
  <c r="M548" i="2"/>
  <c r="J547" i="2"/>
  <c r="B547" i="2" l="1"/>
  <c r="K547" i="2"/>
  <c r="H546" i="2"/>
  <c r="E546" i="2" s="1"/>
  <c r="L548" i="2"/>
  <c r="I547" i="2"/>
  <c r="F547" i="2" s="1"/>
  <c r="M549" i="2"/>
  <c r="J548" i="2"/>
  <c r="C548" i="2"/>
  <c r="T547" i="2"/>
  <c r="G547" i="2"/>
  <c r="L549" i="2" l="1"/>
  <c r="I548" i="2"/>
  <c r="F548" i="2" s="1"/>
  <c r="K548" i="2"/>
  <c r="H547" i="2"/>
  <c r="E547" i="2" s="1"/>
  <c r="B548" i="2"/>
  <c r="C549" i="2"/>
  <c r="T548" i="2"/>
  <c r="G548" i="2"/>
  <c r="M550" i="2"/>
  <c r="J549" i="2"/>
  <c r="H548" i="2" l="1"/>
  <c r="E548" i="2" s="1"/>
  <c r="K549" i="2"/>
  <c r="B549" i="2"/>
  <c r="C550" i="2"/>
  <c r="T549" i="2"/>
  <c r="G549" i="2"/>
  <c r="L550" i="2"/>
  <c r="I549" i="2"/>
  <c r="F549" i="2" s="1"/>
  <c r="M551" i="2"/>
  <c r="J550" i="2"/>
  <c r="K550" i="2" l="1"/>
  <c r="H549" i="2"/>
  <c r="E549" i="2" s="1"/>
  <c r="L551" i="2"/>
  <c r="I550" i="2"/>
  <c r="F550" i="2" s="1"/>
  <c r="C551" i="2"/>
  <c r="G550" i="2"/>
  <c r="T550" i="2"/>
  <c r="B550" i="2"/>
  <c r="M552" i="2"/>
  <c r="J551" i="2"/>
  <c r="L552" i="2" l="1"/>
  <c r="I551" i="2"/>
  <c r="K551" i="2"/>
  <c r="H550" i="2"/>
  <c r="E550" i="2" s="1"/>
  <c r="B551" i="2"/>
  <c r="C552" i="2"/>
  <c r="F551" i="2"/>
  <c r="T551" i="2"/>
  <c r="G551" i="2"/>
  <c r="M553" i="2"/>
  <c r="J552" i="2"/>
  <c r="H551" i="2" l="1"/>
  <c r="E551" i="2" s="1"/>
  <c r="K552" i="2"/>
  <c r="C553" i="2"/>
  <c r="T552" i="2"/>
  <c r="G552" i="2"/>
  <c r="L553" i="2"/>
  <c r="I552" i="2"/>
  <c r="F552" i="2" s="1"/>
  <c r="B552" i="2"/>
  <c r="M554" i="2"/>
  <c r="J553" i="2"/>
  <c r="L554" i="2" l="1"/>
  <c r="I553" i="2"/>
  <c r="F553" i="2"/>
  <c r="C554" i="2"/>
  <c r="T553" i="2"/>
  <c r="G553" i="2"/>
  <c r="M555" i="2"/>
  <c r="J554" i="2"/>
  <c r="K553" i="2"/>
  <c r="H552" i="2"/>
  <c r="E552" i="2" s="1"/>
  <c r="B553" i="2"/>
  <c r="M556" i="2" l="1"/>
  <c r="J555" i="2"/>
  <c r="C555" i="2"/>
  <c r="T554" i="2"/>
  <c r="G554" i="2"/>
  <c r="L555" i="2"/>
  <c r="I554" i="2"/>
  <c r="F554" i="2" s="1"/>
  <c r="K554" i="2"/>
  <c r="H553" i="2"/>
  <c r="E553" i="2" s="1"/>
  <c r="B554" i="2"/>
  <c r="L556" i="2" l="1"/>
  <c r="I555" i="2"/>
  <c r="F555" i="2"/>
  <c r="C556" i="2"/>
  <c r="T555" i="2"/>
  <c r="G555" i="2"/>
  <c r="M557" i="2"/>
  <c r="J556" i="2"/>
  <c r="B555" i="2"/>
  <c r="H554" i="2"/>
  <c r="E554" i="2" s="1"/>
  <c r="K555" i="2"/>
  <c r="M558" i="2" l="1"/>
  <c r="J557" i="2"/>
  <c r="L557" i="2"/>
  <c r="I556" i="2"/>
  <c r="F556" i="2" s="1"/>
  <c r="K556" i="2"/>
  <c r="H555" i="2"/>
  <c r="E555" i="2" s="1"/>
  <c r="B556" i="2"/>
  <c r="C557" i="2"/>
  <c r="T556" i="2"/>
  <c r="G556" i="2"/>
  <c r="C558" i="2" l="1"/>
  <c r="T557" i="2"/>
  <c r="G557" i="2"/>
  <c r="M559" i="2"/>
  <c r="J558" i="2"/>
  <c r="L558" i="2"/>
  <c r="I557" i="2"/>
  <c r="F557" i="2" s="1"/>
  <c r="B557" i="2"/>
  <c r="K557" i="2"/>
  <c r="H556" i="2"/>
  <c r="E556" i="2" s="1"/>
  <c r="M560" i="2" l="1"/>
  <c r="J559" i="2"/>
  <c r="C559" i="2"/>
  <c r="T558" i="2"/>
  <c r="G558" i="2"/>
  <c r="L559" i="2"/>
  <c r="I558" i="2"/>
  <c r="F558" i="2" s="1"/>
  <c r="B558" i="2"/>
  <c r="H557" i="2"/>
  <c r="E557" i="2" s="1"/>
  <c r="K558" i="2"/>
  <c r="L560" i="2" l="1"/>
  <c r="I559" i="2"/>
  <c r="B559" i="2"/>
  <c r="F559" i="2"/>
  <c r="C560" i="2"/>
  <c r="T559" i="2"/>
  <c r="G559" i="2"/>
  <c r="M561" i="2"/>
  <c r="J560" i="2"/>
  <c r="K559" i="2"/>
  <c r="H558" i="2"/>
  <c r="E558" i="2" s="1"/>
  <c r="K560" i="2" l="1"/>
  <c r="H559" i="2"/>
  <c r="E559" i="2" s="1"/>
  <c r="L561" i="2"/>
  <c r="I560" i="2"/>
  <c r="F560" i="2" s="1"/>
  <c r="C561" i="2"/>
  <c r="T560" i="2"/>
  <c r="G560" i="2"/>
  <c r="M562" i="2"/>
  <c r="J561" i="2"/>
  <c r="B560" i="2"/>
  <c r="L562" i="2" l="1"/>
  <c r="I561" i="2"/>
  <c r="F561" i="2"/>
  <c r="C562" i="2"/>
  <c r="T561" i="2"/>
  <c r="G561" i="2"/>
  <c r="H560" i="2"/>
  <c r="E560" i="2" s="1"/>
  <c r="K561" i="2"/>
  <c r="B561" i="2"/>
  <c r="M563" i="2"/>
  <c r="J562" i="2"/>
  <c r="C563" i="2" l="1"/>
  <c r="T562" i="2"/>
  <c r="G562" i="2"/>
  <c r="M564" i="2"/>
  <c r="J563" i="2"/>
  <c r="L563" i="2"/>
  <c r="I562" i="2"/>
  <c r="F562" i="2" s="1"/>
  <c r="B562" i="2"/>
  <c r="K562" i="2"/>
  <c r="H561" i="2"/>
  <c r="E561" i="2" s="1"/>
  <c r="L564" i="2" l="1"/>
  <c r="I563" i="2"/>
  <c r="F563" i="2" s="1"/>
  <c r="C564" i="2"/>
  <c r="T563" i="2"/>
  <c r="G563" i="2"/>
  <c r="K563" i="2"/>
  <c r="H562" i="2"/>
  <c r="E562" i="2" s="1"/>
  <c r="M565" i="2"/>
  <c r="J564" i="2"/>
  <c r="B563" i="2"/>
  <c r="C565" i="2" l="1"/>
  <c r="T564" i="2"/>
  <c r="G564" i="2"/>
  <c r="H563" i="2"/>
  <c r="E563" i="2" s="1"/>
  <c r="K564" i="2"/>
  <c r="B564" i="2"/>
  <c r="L565" i="2"/>
  <c r="I564" i="2"/>
  <c r="F564" i="2" s="1"/>
  <c r="M566" i="2"/>
  <c r="J565" i="2"/>
  <c r="I565" i="2" l="1"/>
  <c r="F565" i="2" s="1"/>
  <c r="L566" i="2"/>
  <c r="C566" i="2"/>
  <c r="T565" i="2"/>
  <c r="G565" i="2"/>
  <c r="K565" i="2"/>
  <c r="H564" i="2"/>
  <c r="E564" i="2" s="1"/>
  <c r="B565" i="2"/>
  <c r="M567" i="2"/>
  <c r="J566" i="2"/>
  <c r="L567" i="2" l="1"/>
  <c r="I566" i="2"/>
  <c r="F566" i="2" s="1"/>
  <c r="M568" i="2"/>
  <c r="J567" i="2"/>
  <c r="K566" i="2"/>
  <c r="H565" i="2"/>
  <c r="E565" i="2" s="1"/>
  <c r="B566" i="2"/>
  <c r="C567" i="2"/>
  <c r="G566" i="2"/>
  <c r="T566" i="2"/>
  <c r="B567" i="2" l="1"/>
  <c r="M569" i="2"/>
  <c r="J568" i="2"/>
  <c r="L568" i="2"/>
  <c r="I567" i="2"/>
  <c r="F567" i="2" s="1"/>
  <c r="H566" i="2"/>
  <c r="E566" i="2" s="1"/>
  <c r="K567" i="2"/>
  <c r="C568" i="2"/>
  <c r="G567" i="2"/>
  <c r="T567" i="2"/>
  <c r="I568" i="2" l="1"/>
  <c r="L569" i="2"/>
  <c r="M570" i="2"/>
  <c r="J569" i="2"/>
  <c r="B568" i="2"/>
  <c r="K568" i="2"/>
  <c r="H567" i="2"/>
  <c r="E567" i="2" s="1"/>
  <c r="F568" i="2"/>
  <c r="C569" i="2"/>
  <c r="T568" i="2"/>
  <c r="G568" i="2"/>
  <c r="M571" i="2" l="1"/>
  <c r="J570" i="2"/>
  <c r="L570" i="2"/>
  <c r="I569" i="2"/>
  <c r="K569" i="2"/>
  <c r="H568" i="2"/>
  <c r="E568" i="2" s="1"/>
  <c r="C570" i="2"/>
  <c r="F569" i="2"/>
  <c r="T569" i="2"/>
  <c r="G569" i="2"/>
  <c r="B569" i="2"/>
  <c r="C571" i="2" l="1"/>
  <c r="G570" i="2"/>
  <c r="T570" i="2"/>
  <c r="B570" i="2"/>
  <c r="L571" i="2"/>
  <c r="I570" i="2"/>
  <c r="F570" i="2" s="1"/>
  <c r="H569" i="2"/>
  <c r="E569" i="2" s="1"/>
  <c r="K570" i="2"/>
  <c r="M572" i="2"/>
  <c r="J571" i="2"/>
  <c r="B571" i="2" l="1"/>
  <c r="M573" i="2"/>
  <c r="J572" i="2"/>
  <c r="K571" i="2"/>
  <c r="H570" i="2"/>
  <c r="E570" i="2" s="1"/>
  <c r="C572" i="2"/>
  <c r="T571" i="2"/>
  <c r="G571" i="2"/>
  <c r="I571" i="2"/>
  <c r="F571" i="2" s="1"/>
  <c r="L572" i="2"/>
  <c r="C573" i="2" l="1"/>
  <c r="T572" i="2"/>
  <c r="G572" i="2"/>
  <c r="K572" i="2"/>
  <c r="H571" i="2"/>
  <c r="E571" i="2" s="1"/>
  <c r="B572" i="2"/>
  <c r="M574" i="2"/>
  <c r="J573" i="2"/>
  <c r="L573" i="2"/>
  <c r="I572" i="2"/>
  <c r="F572" i="2" s="1"/>
  <c r="M575" i="2" l="1"/>
  <c r="J574" i="2"/>
  <c r="H572" i="2"/>
  <c r="E572" i="2" s="1"/>
  <c r="K573" i="2"/>
  <c r="C574" i="2"/>
  <c r="G573" i="2"/>
  <c r="T573" i="2"/>
  <c r="B573" i="2"/>
  <c r="L574" i="2"/>
  <c r="I573" i="2"/>
  <c r="F573" i="2" s="1"/>
  <c r="K574" i="2" l="1"/>
  <c r="H573" i="2"/>
  <c r="E573" i="2" s="1"/>
  <c r="B574" i="2"/>
  <c r="C575" i="2"/>
  <c r="T574" i="2"/>
  <c r="G574" i="2"/>
  <c r="M576" i="2"/>
  <c r="J575" i="2"/>
  <c r="I574" i="2"/>
  <c r="F574" i="2" s="1"/>
  <c r="L575" i="2"/>
  <c r="B575" i="2" l="1"/>
  <c r="K575" i="2"/>
  <c r="H574" i="2"/>
  <c r="E574" i="2" s="1"/>
  <c r="M577" i="2"/>
  <c r="J576" i="2"/>
  <c r="C576" i="2"/>
  <c r="T575" i="2"/>
  <c r="G575" i="2"/>
  <c r="L576" i="2"/>
  <c r="I575" i="2"/>
  <c r="F575" i="2" s="1"/>
  <c r="L577" i="2" l="1"/>
  <c r="I576" i="2"/>
  <c r="F576" i="2"/>
  <c r="C577" i="2"/>
  <c r="T576" i="2"/>
  <c r="G576" i="2"/>
  <c r="H575" i="2"/>
  <c r="E575" i="2" s="1"/>
  <c r="K576" i="2"/>
  <c r="M578" i="2"/>
  <c r="J577" i="2"/>
  <c r="B576" i="2"/>
  <c r="B577" i="2" l="1"/>
  <c r="K577" i="2"/>
  <c r="H576" i="2"/>
  <c r="E576" i="2" s="1"/>
  <c r="M579" i="2"/>
  <c r="J578" i="2"/>
  <c r="I577" i="2"/>
  <c r="F577" i="2" s="1"/>
  <c r="L578" i="2"/>
  <c r="C578" i="2"/>
  <c r="T577" i="2"/>
  <c r="G577" i="2"/>
  <c r="M580" i="2" l="1"/>
  <c r="J579" i="2"/>
  <c r="K578" i="2"/>
  <c r="H577" i="2"/>
  <c r="E577" i="2" s="1"/>
  <c r="B578" i="2"/>
  <c r="C579" i="2"/>
  <c r="T578" i="2"/>
  <c r="G578" i="2"/>
  <c r="L579" i="2"/>
  <c r="I578" i="2"/>
  <c r="F578" i="2" s="1"/>
  <c r="L580" i="2" l="1"/>
  <c r="I579" i="2"/>
  <c r="F579" i="2" s="1"/>
  <c r="H578" i="2"/>
  <c r="E578" i="2" s="1"/>
  <c r="K579" i="2"/>
  <c r="C580" i="2"/>
  <c r="G579" i="2"/>
  <c r="T579" i="2"/>
  <c r="M581" i="2"/>
  <c r="J580" i="2"/>
  <c r="B579" i="2"/>
  <c r="K580" i="2" l="1"/>
  <c r="H579" i="2"/>
  <c r="E579" i="2" s="1"/>
  <c r="F580" i="2"/>
  <c r="C581" i="2"/>
  <c r="T580" i="2"/>
  <c r="G580" i="2"/>
  <c r="B580" i="2"/>
  <c r="I580" i="2"/>
  <c r="L581" i="2"/>
  <c r="M582" i="2"/>
  <c r="J581" i="2"/>
  <c r="C582" i="2" l="1"/>
  <c r="T581" i="2"/>
  <c r="G581" i="2"/>
  <c r="K581" i="2"/>
  <c r="H580" i="2"/>
  <c r="E580" i="2" s="1"/>
  <c r="L582" i="2"/>
  <c r="I581" i="2"/>
  <c r="F581" i="2" s="1"/>
  <c r="B581" i="2"/>
  <c r="M583" i="2"/>
  <c r="J582" i="2"/>
  <c r="B582" i="2" l="1"/>
  <c r="L583" i="2"/>
  <c r="I582" i="2"/>
  <c r="F582" i="2" s="1"/>
  <c r="H581" i="2"/>
  <c r="E581" i="2" s="1"/>
  <c r="K582" i="2"/>
  <c r="M584" i="2"/>
  <c r="J583" i="2"/>
  <c r="C583" i="2"/>
  <c r="T582" i="2"/>
  <c r="G582" i="2"/>
  <c r="I583" i="2" l="1"/>
  <c r="L584" i="2"/>
  <c r="K583" i="2"/>
  <c r="H582" i="2"/>
  <c r="E582" i="2" s="1"/>
  <c r="M585" i="2"/>
  <c r="J584" i="2"/>
  <c r="B583" i="2"/>
  <c r="F583" i="2"/>
  <c r="C584" i="2"/>
  <c r="T583" i="2"/>
  <c r="G583" i="2"/>
  <c r="C585" i="2" l="1"/>
  <c r="T584" i="2"/>
  <c r="G584" i="2"/>
  <c r="B584" i="2"/>
  <c r="M586" i="2"/>
  <c r="J585" i="2"/>
  <c r="K584" i="2"/>
  <c r="H583" i="2"/>
  <c r="E583" i="2" s="1"/>
  <c r="L585" i="2"/>
  <c r="I584" i="2"/>
  <c r="F584" i="2" s="1"/>
  <c r="B585" i="2" l="1"/>
  <c r="M587" i="2"/>
  <c r="J586" i="2"/>
  <c r="C586" i="2"/>
  <c r="T585" i="2"/>
  <c r="G585" i="2"/>
  <c r="L586" i="2"/>
  <c r="I585" i="2"/>
  <c r="F585" i="2" s="1"/>
  <c r="H584" i="2"/>
  <c r="E584" i="2" s="1"/>
  <c r="K585" i="2"/>
  <c r="M588" i="2" l="1"/>
  <c r="J587" i="2"/>
  <c r="K586" i="2"/>
  <c r="H585" i="2"/>
  <c r="E585" i="2" s="1"/>
  <c r="I586" i="2"/>
  <c r="F586" i="2" s="1"/>
  <c r="L587" i="2"/>
  <c r="B586" i="2"/>
  <c r="C587" i="2"/>
  <c r="T586" i="2"/>
  <c r="G586" i="2"/>
  <c r="B587" i="2" l="1"/>
  <c r="L588" i="2"/>
  <c r="I587" i="2"/>
  <c r="F587" i="2" s="1"/>
  <c r="K587" i="2"/>
  <c r="H586" i="2"/>
  <c r="E586" i="2" s="1"/>
  <c r="M589" i="2"/>
  <c r="J588" i="2"/>
  <c r="C588" i="2"/>
  <c r="T587" i="2"/>
  <c r="G587" i="2"/>
  <c r="H587" i="2" l="1"/>
  <c r="E587" i="2" s="1"/>
  <c r="K588" i="2"/>
  <c r="L589" i="2"/>
  <c r="I588" i="2"/>
  <c r="M590" i="2"/>
  <c r="J589" i="2"/>
  <c r="C589" i="2"/>
  <c r="F588" i="2"/>
  <c r="T588" i="2"/>
  <c r="G588" i="2"/>
  <c r="B588" i="2"/>
  <c r="C590" i="2" l="1"/>
  <c r="G589" i="2"/>
  <c r="T589" i="2"/>
  <c r="M591" i="2"/>
  <c r="J590" i="2"/>
  <c r="I589" i="2"/>
  <c r="F589" i="2" s="1"/>
  <c r="L590" i="2"/>
  <c r="B589" i="2"/>
  <c r="K589" i="2"/>
  <c r="H588" i="2"/>
  <c r="E588" i="2" s="1"/>
  <c r="B590" i="2" l="1"/>
  <c r="M592" i="2"/>
  <c r="J591" i="2"/>
  <c r="C591" i="2"/>
  <c r="T590" i="2"/>
  <c r="G590" i="2"/>
  <c r="L591" i="2"/>
  <c r="I590" i="2"/>
  <c r="F590" i="2" s="1"/>
  <c r="K590" i="2"/>
  <c r="H589" i="2"/>
  <c r="E589" i="2" s="1"/>
  <c r="L592" i="2" l="1"/>
  <c r="I591" i="2"/>
  <c r="F591" i="2" s="1"/>
  <c r="M593" i="2"/>
  <c r="J592" i="2"/>
  <c r="B591" i="2"/>
  <c r="C592" i="2"/>
  <c r="T591" i="2"/>
  <c r="G591" i="2"/>
  <c r="H590" i="2"/>
  <c r="E590" i="2" s="1"/>
  <c r="K591" i="2"/>
  <c r="B592" i="2" l="1"/>
  <c r="M594" i="2"/>
  <c r="J593" i="2"/>
  <c r="I592" i="2"/>
  <c r="F592" i="2" s="1"/>
  <c r="L593" i="2"/>
  <c r="K592" i="2"/>
  <c r="H591" i="2"/>
  <c r="E591" i="2" s="1"/>
  <c r="C593" i="2"/>
  <c r="G592" i="2"/>
  <c r="T592" i="2"/>
  <c r="M595" i="2" l="1"/>
  <c r="J594" i="2"/>
  <c r="B593" i="2"/>
  <c r="K593" i="2"/>
  <c r="H592" i="2"/>
  <c r="E592" i="2" s="1"/>
  <c r="C594" i="2"/>
  <c r="T593" i="2"/>
  <c r="G593" i="2"/>
  <c r="L594" i="2"/>
  <c r="I593" i="2"/>
  <c r="F593" i="2" s="1"/>
  <c r="B594" i="2" l="1"/>
  <c r="M596" i="2"/>
  <c r="J595" i="2"/>
  <c r="C595" i="2"/>
  <c r="F594" i="2"/>
  <c r="G594" i="2"/>
  <c r="T594" i="2"/>
  <c r="H593" i="2"/>
  <c r="E593" i="2" s="1"/>
  <c r="K594" i="2"/>
  <c r="L595" i="2"/>
  <c r="I594" i="2"/>
  <c r="C596" i="2" l="1"/>
  <c r="T595" i="2"/>
  <c r="G595" i="2"/>
  <c r="I595" i="2"/>
  <c r="F595" i="2" s="1"/>
  <c r="L596" i="2"/>
  <c r="M597" i="2"/>
  <c r="J596" i="2"/>
  <c r="K595" i="2"/>
  <c r="H594" i="2"/>
  <c r="E594" i="2" s="1"/>
  <c r="B595" i="2"/>
  <c r="K596" i="2" l="1"/>
  <c r="H595" i="2"/>
  <c r="E595" i="2" s="1"/>
  <c r="C597" i="2"/>
  <c r="F596" i="2"/>
  <c r="T596" i="2"/>
  <c r="G596" i="2"/>
  <c r="M598" i="2"/>
  <c r="J597" i="2"/>
  <c r="L597" i="2"/>
  <c r="I596" i="2"/>
  <c r="B596" i="2"/>
  <c r="B597" i="2" l="1"/>
  <c r="C598" i="2"/>
  <c r="T597" i="2"/>
  <c r="G597" i="2"/>
  <c r="M599" i="2"/>
  <c r="J598" i="2"/>
  <c r="H596" i="2"/>
  <c r="E596" i="2" s="1"/>
  <c r="K597" i="2"/>
  <c r="L598" i="2"/>
  <c r="I597" i="2"/>
  <c r="F597" i="2" s="1"/>
  <c r="B598" i="2" l="1"/>
  <c r="C599" i="2"/>
  <c r="T598" i="2"/>
  <c r="G598" i="2"/>
  <c r="M600" i="2"/>
  <c r="J599" i="2"/>
  <c r="I598" i="2"/>
  <c r="F598" i="2" s="1"/>
  <c r="L599" i="2"/>
  <c r="K598" i="2"/>
  <c r="H597" i="2"/>
  <c r="E597" i="2" s="1"/>
  <c r="M601" i="2" l="1"/>
  <c r="J600" i="2"/>
  <c r="C600" i="2"/>
  <c r="T599" i="2"/>
  <c r="G599" i="2"/>
  <c r="K599" i="2"/>
  <c r="H598" i="2"/>
  <c r="E598" i="2" s="1"/>
  <c r="L600" i="2"/>
  <c r="I599" i="2"/>
  <c r="F599" i="2" s="1"/>
  <c r="B599" i="2"/>
  <c r="H599" i="2" l="1"/>
  <c r="E599" i="2" s="1"/>
  <c r="K600" i="2"/>
  <c r="B600" i="2"/>
  <c r="M602" i="2"/>
  <c r="J601" i="2"/>
  <c r="L601" i="2"/>
  <c r="I600" i="2"/>
  <c r="F600" i="2"/>
  <c r="C601" i="2"/>
  <c r="T600" i="2"/>
  <c r="G600" i="2"/>
  <c r="M603" i="2" l="1"/>
  <c r="J602" i="2"/>
  <c r="I601" i="2"/>
  <c r="F601" i="2" s="1"/>
  <c r="L602" i="2"/>
  <c r="B601" i="2"/>
  <c r="K601" i="2"/>
  <c r="H600" i="2"/>
  <c r="E600" i="2" s="1"/>
  <c r="C602" i="2"/>
  <c r="G601" i="2"/>
  <c r="T601" i="2"/>
  <c r="L603" i="2" l="1"/>
  <c r="I602" i="2"/>
  <c r="K602" i="2"/>
  <c r="H601" i="2"/>
  <c r="E601" i="2" s="1"/>
  <c r="M604" i="2"/>
  <c r="J603" i="2"/>
  <c r="C603" i="2"/>
  <c r="F602" i="2"/>
  <c r="T602" i="2"/>
  <c r="G602" i="2"/>
  <c r="B602" i="2"/>
  <c r="C604" i="2" l="1"/>
  <c r="T603" i="2"/>
  <c r="G603" i="2"/>
  <c r="H602" i="2"/>
  <c r="E602" i="2" s="1"/>
  <c r="K603" i="2"/>
  <c r="B603" i="2"/>
  <c r="M605" i="2"/>
  <c r="J604" i="2"/>
  <c r="L604" i="2"/>
  <c r="I603" i="2"/>
  <c r="F603" i="2" s="1"/>
  <c r="K604" i="2" l="1"/>
  <c r="H603" i="2"/>
  <c r="E603" i="2" s="1"/>
  <c r="M606" i="2"/>
  <c r="J605" i="2"/>
  <c r="B604" i="2"/>
  <c r="C605" i="2"/>
  <c r="T604" i="2"/>
  <c r="G604" i="2"/>
  <c r="I604" i="2"/>
  <c r="F604" i="2" s="1"/>
  <c r="L605" i="2"/>
  <c r="B605" i="2" l="1"/>
  <c r="C606" i="2"/>
  <c r="T605" i="2"/>
  <c r="G605" i="2"/>
  <c r="M607" i="2"/>
  <c r="J606" i="2"/>
  <c r="K605" i="2"/>
  <c r="H604" i="2"/>
  <c r="E604" i="2" s="1"/>
  <c r="L606" i="2"/>
  <c r="I605" i="2"/>
  <c r="F605" i="2" s="1"/>
  <c r="M608" i="2" l="1"/>
  <c r="J607" i="2"/>
  <c r="L607" i="2"/>
  <c r="I606" i="2"/>
  <c r="F606" i="2" s="1"/>
  <c r="C607" i="2"/>
  <c r="T606" i="2"/>
  <c r="G606" i="2"/>
  <c r="H605" i="2"/>
  <c r="E605" i="2" s="1"/>
  <c r="K606" i="2"/>
  <c r="B606" i="2"/>
  <c r="K607" i="2" l="1"/>
  <c r="H606" i="2"/>
  <c r="E606" i="2" s="1"/>
  <c r="C608" i="2"/>
  <c r="T607" i="2"/>
  <c r="G607" i="2"/>
  <c r="M609" i="2"/>
  <c r="J608" i="2"/>
  <c r="I607" i="2"/>
  <c r="F607" i="2" s="1"/>
  <c r="L608" i="2"/>
  <c r="B607" i="2"/>
  <c r="K608" i="2" l="1"/>
  <c r="H607" i="2"/>
  <c r="E607" i="2" s="1"/>
  <c r="B608" i="2"/>
  <c r="M610" i="2"/>
  <c r="J609" i="2"/>
  <c r="L609" i="2"/>
  <c r="I608" i="2"/>
  <c r="F608" i="2" s="1"/>
  <c r="C609" i="2"/>
  <c r="G608" i="2"/>
  <c r="T608" i="2"/>
  <c r="B609" i="2" l="1"/>
  <c r="L610" i="2"/>
  <c r="I609" i="2"/>
  <c r="F609" i="2" s="1"/>
  <c r="H608" i="2"/>
  <c r="E608" i="2" s="1"/>
  <c r="K609" i="2"/>
  <c r="M611" i="2"/>
  <c r="J610" i="2"/>
  <c r="C610" i="2"/>
  <c r="T609" i="2"/>
  <c r="G609" i="2"/>
  <c r="M612" i="2" l="1"/>
  <c r="J611" i="2"/>
  <c r="K610" i="2"/>
  <c r="H609" i="2"/>
  <c r="E609" i="2" s="1"/>
  <c r="I610" i="2"/>
  <c r="L611" i="2"/>
  <c r="B610" i="2"/>
  <c r="F610" i="2"/>
  <c r="C611" i="2"/>
  <c r="T610" i="2"/>
  <c r="G610" i="2"/>
  <c r="B611" i="2" l="1"/>
  <c r="C612" i="2"/>
  <c r="T611" i="2"/>
  <c r="G611" i="2"/>
  <c r="L612" i="2"/>
  <c r="I611" i="2"/>
  <c r="F611" i="2" s="1"/>
  <c r="K611" i="2"/>
  <c r="H610" i="2"/>
  <c r="E610" i="2" s="1"/>
  <c r="M613" i="2"/>
  <c r="J612" i="2"/>
  <c r="C613" i="2" l="1"/>
  <c r="T612" i="2"/>
  <c r="G612" i="2"/>
  <c r="B612" i="2"/>
  <c r="L613" i="2"/>
  <c r="I612" i="2"/>
  <c r="F612" i="2" s="1"/>
  <c r="H611" i="2"/>
  <c r="E611" i="2" s="1"/>
  <c r="K612" i="2"/>
  <c r="M614" i="2"/>
  <c r="J613" i="2"/>
  <c r="B613" i="2" l="1"/>
  <c r="I613" i="2"/>
  <c r="F613" i="2" s="1"/>
  <c r="L614" i="2"/>
  <c r="M615" i="2"/>
  <c r="J614" i="2"/>
  <c r="C614" i="2"/>
  <c r="G613" i="2"/>
  <c r="T613" i="2"/>
  <c r="K613" i="2"/>
  <c r="H612" i="2"/>
  <c r="E612" i="2" s="1"/>
  <c r="M616" i="2" l="1"/>
  <c r="J615" i="2"/>
  <c r="K614" i="2"/>
  <c r="H613" i="2"/>
  <c r="E613" i="2" s="1"/>
  <c r="L615" i="2"/>
  <c r="I614" i="2"/>
  <c r="F614" i="2" s="1"/>
  <c r="C615" i="2"/>
  <c r="G614" i="2"/>
  <c r="T614" i="2"/>
  <c r="B614" i="2"/>
  <c r="L616" i="2" l="1"/>
  <c r="I615" i="2"/>
  <c r="F615" i="2" s="1"/>
  <c r="H614" i="2"/>
  <c r="E614" i="2" s="1"/>
  <c r="K615" i="2"/>
  <c r="B615" i="2"/>
  <c r="M617" i="2"/>
  <c r="J616" i="2"/>
  <c r="C616" i="2"/>
  <c r="G615" i="2"/>
  <c r="T615" i="2"/>
  <c r="I616" i="2" l="1"/>
  <c r="L617" i="2"/>
  <c r="M618" i="2"/>
  <c r="J617" i="2"/>
  <c r="B616" i="2"/>
  <c r="F616" i="2"/>
  <c r="C617" i="2"/>
  <c r="T616" i="2"/>
  <c r="G616" i="2"/>
  <c r="K616" i="2"/>
  <c r="H615" i="2"/>
  <c r="E615" i="2" s="1"/>
  <c r="B617" i="2" l="1"/>
  <c r="L618" i="2"/>
  <c r="I617" i="2"/>
  <c r="M619" i="2"/>
  <c r="J618" i="2"/>
  <c r="K617" i="2"/>
  <c r="H616" i="2"/>
  <c r="E616" i="2" s="1"/>
  <c r="C618" i="2"/>
  <c r="F617" i="2"/>
  <c r="G617" i="2"/>
  <c r="T617" i="2"/>
  <c r="H617" i="2" l="1"/>
  <c r="E617" i="2" s="1"/>
  <c r="K618" i="2"/>
  <c r="M620" i="2"/>
  <c r="J619" i="2"/>
  <c r="B618" i="2"/>
  <c r="C619" i="2"/>
  <c r="T618" i="2"/>
  <c r="G618" i="2"/>
  <c r="L619" i="2"/>
  <c r="I618" i="2"/>
  <c r="F618" i="2" s="1"/>
  <c r="B619" i="2" l="1"/>
  <c r="M621" i="2"/>
  <c r="J620" i="2"/>
  <c r="K619" i="2"/>
  <c r="H618" i="2"/>
  <c r="E618" i="2" s="1"/>
  <c r="I619" i="2"/>
  <c r="F619" i="2" s="1"/>
  <c r="L620" i="2"/>
  <c r="C620" i="2"/>
  <c r="T619" i="2"/>
  <c r="G619" i="2"/>
  <c r="K620" i="2" l="1"/>
  <c r="H619" i="2"/>
  <c r="E619" i="2" s="1"/>
  <c r="M622" i="2"/>
  <c r="J621" i="2"/>
  <c r="L621" i="2"/>
  <c r="I620" i="2"/>
  <c r="F620" i="2" s="1"/>
  <c r="B620" i="2"/>
  <c r="C621" i="2"/>
  <c r="T620" i="2"/>
  <c r="G620" i="2"/>
  <c r="M623" i="2" l="1"/>
  <c r="J622" i="2"/>
  <c r="C622" i="2"/>
  <c r="T621" i="2"/>
  <c r="G621" i="2"/>
  <c r="H620" i="2"/>
  <c r="E620" i="2" s="1"/>
  <c r="K621" i="2"/>
  <c r="B621" i="2"/>
  <c r="L622" i="2"/>
  <c r="I621" i="2"/>
  <c r="F621" i="2" s="1"/>
  <c r="C623" i="2" l="1"/>
  <c r="T622" i="2"/>
  <c r="G622" i="2"/>
  <c r="I622" i="2"/>
  <c r="F622" i="2" s="1"/>
  <c r="L623" i="2"/>
  <c r="M624" i="2"/>
  <c r="J623" i="2"/>
  <c r="B622" i="2"/>
  <c r="K622" i="2"/>
  <c r="H621" i="2"/>
  <c r="E621" i="2" s="1"/>
  <c r="M625" i="2" l="1"/>
  <c r="J624" i="2"/>
  <c r="L624" i="2"/>
  <c r="I623" i="2"/>
  <c r="C624" i="2"/>
  <c r="F623" i="2"/>
  <c r="G623" i="2"/>
  <c r="T623" i="2"/>
  <c r="K623" i="2"/>
  <c r="H622" i="2"/>
  <c r="E622" i="2" s="1"/>
  <c r="B623" i="2"/>
  <c r="C625" i="2" l="1"/>
  <c r="G624" i="2"/>
  <c r="T624" i="2"/>
  <c r="L625" i="2"/>
  <c r="I624" i="2"/>
  <c r="F624" i="2" s="1"/>
  <c r="B624" i="2"/>
  <c r="H623" i="2"/>
  <c r="E623" i="2" s="1"/>
  <c r="K624" i="2"/>
  <c r="M626" i="2"/>
  <c r="J625" i="2"/>
  <c r="K625" i="2" l="1"/>
  <c r="H624" i="2"/>
  <c r="E624" i="2" s="1"/>
  <c r="I625" i="2"/>
  <c r="L626" i="2"/>
  <c r="B625" i="2"/>
  <c r="F625" i="2"/>
  <c r="C626" i="2"/>
  <c r="G625" i="2"/>
  <c r="T625" i="2"/>
  <c r="M627" i="2"/>
  <c r="J626" i="2"/>
  <c r="B626" i="2" l="1"/>
  <c r="L627" i="2"/>
  <c r="I626" i="2"/>
  <c r="F626" i="2" s="1"/>
  <c r="M628" i="2"/>
  <c r="J627" i="2"/>
  <c r="K626" i="2"/>
  <c r="H625" i="2"/>
  <c r="E625" i="2" s="1"/>
  <c r="C627" i="2"/>
  <c r="T626" i="2"/>
  <c r="G626" i="2"/>
  <c r="L628" i="2" l="1"/>
  <c r="I627" i="2"/>
  <c r="B627" i="2"/>
  <c r="M629" i="2"/>
  <c r="J628" i="2"/>
  <c r="H626" i="2"/>
  <c r="E626" i="2" s="1"/>
  <c r="K627" i="2"/>
  <c r="F627" i="2"/>
  <c r="C628" i="2"/>
  <c r="T627" i="2"/>
  <c r="G627" i="2"/>
  <c r="I628" i="2" l="1"/>
  <c r="F628" i="2" s="1"/>
  <c r="L629" i="2"/>
  <c r="K628" i="2"/>
  <c r="H627" i="2"/>
  <c r="E627" i="2" s="1"/>
  <c r="M630" i="2"/>
  <c r="J629" i="2"/>
  <c r="B628" i="2"/>
  <c r="C629" i="2"/>
  <c r="G628" i="2"/>
  <c r="T628" i="2"/>
  <c r="K629" i="2" l="1"/>
  <c r="H628" i="2"/>
  <c r="E628" i="2" s="1"/>
  <c r="L630" i="2"/>
  <c r="I629" i="2"/>
  <c r="F629" i="2" s="1"/>
  <c r="C630" i="2"/>
  <c r="G629" i="2"/>
  <c r="T629" i="2"/>
  <c r="B629" i="2"/>
  <c r="M631" i="2"/>
  <c r="J630" i="2"/>
  <c r="C631" i="2" l="1"/>
  <c r="T630" i="2"/>
  <c r="G630" i="2"/>
  <c r="M632" i="2"/>
  <c r="J631" i="2"/>
  <c r="L631" i="2"/>
  <c r="I630" i="2"/>
  <c r="F630" i="2" s="1"/>
  <c r="H629" i="2"/>
  <c r="E629" i="2" s="1"/>
  <c r="K630" i="2"/>
  <c r="B630" i="2"/>
  <c r="M633" i="2" l="1"/>
  <c r="J632" i="2"/>
  <c r="K631" i="2"/>
  <c r="H630" i="2"/>
  <c r="E630" i="2" s="1"/>
  <c r="C632" i="2"/>
  <c r="T631" i="2"/>
  <c r="G631" i="2"/>
  <c r="I631" i="2"/>
  <c r="F631" i="2" s="1"/>
  <c r="L632" i="2"/>
  <c r="B631" i="2"/>
  <c r="L633" i="2" l="1"/>
  <c r="I632" i="2"/>
  <c r="F632" i="2" s="1"/>
  <c r="M634" i="2"/>
  <c r="J633" i="2"/>
  <c r="C633" i="2"/>
  <c r="T632" i="2"/>
  <c r="G632" i="2"/>
  <c r="B632" i="2"/>
  <c r="K632" i="2"/>
  <c r="H631" i="2"/>
  <c r="E631" i="2" s="1"/>
  <c r="B633" i="2" l="1"/>
  <c r="M635" i="2"/>
  <c r="J634" i="2"/>
  <c r="H632" i="2"/>
  <c r="E632" i="2" s="1"/>
  <c r="K633" i="2"/>
  <c r="L634" i="2"/>
  <c r="I633" i="2"/>
  <c r="F633" i="2" s="1"/>
  <c r="C634" i="2"/>
  <c r="G633" i="2"/>
  <c r="T633" i="2"/>
  <c r="M636" i="2" l="1"/>
  <c r="J635" i="2"/>
  <c r="B634" i="2"/>
  <c r="K634" i="2"/>
  <c r="H633" i="2"/>
  <c r="E633" i="2" s="1"/>
  <c r="I634" i="2"/>
  <c r="F634" i="2" s="1"/>
  <c r="L635" i="2"/>
  <c r="C635" i="2"/>
  <c r="G634" i="2"/>
  <c r="T634" i="2"/>
  <c r="K635" i="2" l="1"/>
  <c r="H634" i="2"/>
  <c r="E634" i="2" s="1"/>
  <c r="M637" i="2"/>
  <c r="J636" i="2"/>
  <c r="L636" i="2"/>
  <c r="I635" i="2"/>
  <c r="F635" i="2" s="1"/>
  <c r="B635" i="2"/>
  <c r="C636" i="2"/>
  <c r="T635" i="2"/>
  <c r="G635" i="2"/>
  <c r="L637" i="2" l="1"/>
  <c r="I636" i="2"/>
  <c r="F636" i="2" s="1"/>
  <c r="B636" i="2"/>
  <c r="M638" i="2"/>
  <c r="J637" i="2"/>
  <c r="H635" i="2"/>
  <c r="E635" i="2" s="1"/>
  <c r="K636" i="2"/>
  <c r="C637" i="2"/>
  <c r="G636" i="2"/>
  <c r="T636" i="2"/>
  <c r="I637" i="2" l="1"/>
  <c r="L638" i="2"/>
  <c r="M639" i="2"/>
  <c r="J638" i="2"/>
  <c r="B637" i="2"/>
  <c r="K637" i="2"/>
  <c r="H636" i="2"/>
  <c r="E636" i="2" s="1"/>
  <c r="F637" i="2"/>
  <c r="C638" i="2"/>
  <c r="T637" i="2"/>
  <c r="G637" i="2"/>
  <c r="K638" i="2" l="1"/>
  <c r="H637" i="2"/>
  <c r="E637" i="2" s="1"/>
  <c r="B638" i="2"/>
  <c r="M640" i="2"/>
  <c r="J639" i="2"/>
  <c r="L639" i="2"/>
  <c r="I638" i="2"/>
  <c r="C639" i="2"/>
  <c r="F638" i="2"/>
  <c r="G638" i="2"/>
  <c r="T638" i="2"/>
  <c r="C640" i="2" l="1"/>
  <c r="G639" i="2"/>
  <c r="T639" i="2"/>
  <c r="L640" i="2"/>
  <c r="I639" i="2"/>
  <c r="F639" i="2" s="1"/>
  <c r="B639" i="2"/>
  <c r="M641" i="2"/>
  <c r="J640" i="2"/>
  <c r="H638" i="2"/>
  <c r="E638" i="2" s="1"/>
  <c r="K639" i="2"/>
  <c r="M642" i="2" l="1"/>
  <c r="J641" i="2"/>
  <c r="I640" i="2"/>
  <c r="L641" i="2"/>
  <c r="F640" i="2"/>
  <c r="C641" i="2"/>
  <c r="G640" i="2"/>
  <c r="T640" i="2"/>
  <c r="B640" i="2"/>
  <c r="K640" i="2"/>
  <c r="H639" i="2"/>
  <c r="E639" i="2" s="1"/>
  <c r="C642" i="2" l="1"/>
  <c r="T641" i="2"/>
  <c r="G641" i="2"/>
  <c r="L642" i="2"/>
  <c r="I641" i="2"/>
  <c r="F641" i="2" s="1"/>
  <c r="K641" i="2"/>
  <c r="H640" i="2"/>
  <c r="E640" i="2" s="1"/>
  <c r="B641" i="2"/>
  <c r="M643" i="2"/>
  <c r="J642" i="2"/>
  <c r="B642" i="2" l="1"/>
  <c r="H641" i="2"/>
  <c r="E641" i="2" s="1"/>
  <c r="K642" i="2"/>
  <c r="L643" i="2"/>
  <c r="I642" i="2"/>
  <c r="F642" i="2" s="1"/>
  <c r="C643" i="2"/>
  <c r="T642" i="2"/>
  <c r="G642" i="2"/>
  <c r="M644" i="2"/>
  <c r="J643" i="2"/>
  <c r="M645" i="2" l="1"/>
  <c r="J644" i="2"/>
  <c r="K643" i="2"/>
  <c r="H642" i="2"/>
  <c r="E642" i="2" s="1"/>
  <c r="B643" i="2"/>
  <c r="I643" i="2"/>
  <c r="F643" i="2" s="1"/>
  <c r="L644" i="2"/>
  <c r="C644" i="2"/>
  <c r="G643" i="2"/>
  <c r="T643" i="2"/>
  <c r="L645" i="2" l="1"/>
  <c r="I644" i="2"/>
  <c r="M646" i="2"/>
  <c r="J645" i="2"/>
  <c r="B644" i="2"/>
  <c r="K644" i="2"/>
  <c r="H643" i="2"/>
  <c r="E643" i="2" s="1"/>
  <c r="C645" i="2"/>
  <c r="F644" i="2"/>
  <c r="T644" i="2"/>
  <c r="G644" i="2"/>
  <c r="B645" i="2" l="1"/>
  <c r="L646" i="2"/>
  <c r="I645" i="2"/>
  <c r="H644" i="2"/>
  <c r="E644" i="2" s="1"/>
  <c r="K645" i="2"/>
  <c r="F645" i="2"/>
  <c r="C646" i="2"/>
  <c r="G645" i="2"/>
  <c r="T645" i="2"/>
  <c r="M647" i="2"/>
  <c r="J646" i="2"/>
  <c r="B646" i="2" l="1"/>
  <c r="I646" i="2"/>
  <c r="F646" i="2" s="1"/>
  <c r="L647" i="2"/>
  <c r="K646" i="2"/>
  <c r="H645" i="2"/>
  <c r="E645" i="2" s="1"/>
  <c r="M648" i="2"/>
  <c r="J647" i="2"/>
  <c r="C647" i="2"/>
  <c r="T646" i="2"/>
  <c r="G646" i="2"/>
  <c r="K647" i="2" l="1"/>
  <c r="H646" i="2"/>
  <c r="E646" i="2" s="1"/>
  <c r="M649" i="2"/>
  <c r="J648" i="2"/>
  <c r="L648" i="2"/>
  <c r="I647" i="2"/>
  <c r="B647" i="2"/>
  <c r="C648" i="2"/>
  <c r="F647" i="2"/>
  <c r="G647" i="2"/>
  <c r="T647" i="2"/>
  <c r="C649" i="2" l="1"/>
  <c r="G648" i="2"/>
  <c r="T648" i="2"/>
  <c r="L649" i="2"/>
  <c r="I648" i="2"/>
  <c r="F648" i="2" s="1"/>
  <c r="M650" i="2"/>
  <c r="J649" i="2"/>
  <c r="B648" i="2"/>
  <c r="H647" i="2"/>
  <c r="E647" i="2" s="1"/>
  <c r="K648" i="2"/>
  <c r="I649" i="2" l="1"/>
  <c r="F649" i="2" s="1"/>
  <c r="L650" i="2"/>
  <c r="M651" i="2"/>
  <c r="J650" i="2"/>
  <c r="C650" i="2"/>
  <c r="T649" i="2"/>
  <c r="G649" i="2"/>
  <c r="B649" i="2"/>
  <c r="K649" i="2"/>
  <c r="H648" i="2"/>
  <c r="E648" i="2" s="1"/>
  <c r="M652" i="2" l="1"/>
  <c r="J651" i="2"/>
  <c r="L651" i="2"/>
  <c r="I650" i="2"/>
  <c r="F650" i="2" s="1"/>
  <c r="B650" i="2"/>
  <c r="C651" i="2"/>
  <c r="T650" i="2"/>
  <c r="G650" i="2"/>
  <c r="K650" i="2"/>
  <c r="H649" i="2"/>
  <c r="E649" i="2" s="1"/>
  <c r="C652" i="2" l="1"/>
  <c r="G651" i="2"/>
  <c r="T651" i="2"/>
  <c r="H650" i="2"/>
  <c r="E650" i="2" s="1"/>
  <c r="K651" i="2"/>
  <c r="M653" i="2"/>
  <c r="J652" i="2"/>
  <c r="B651" i="2"/>
  <c r="L652" i="2"/>
  <c r="I651" i="2"/>
  <c r="F651" i="2" s="1"/>
  <c r="M654" i="2" l="1"/>
  <c r="J653" i="2"/>
  <c r="K652" i="2"/>
  <c r="H651" i="2"/>
  <c r="E651" i="2" s="1"/>
  <c r="C653" i="2"/>
  <c r="T652" i="2"/>
  <c r="G652" i="2"/>
  <c r="B652" i="2"/>
  <c r="I652" i="2"/>
  <c r="F652" i="2" s="1"/>
  <c r="L653" i="2"/>
  <c r="H652" i="2" l="1"/>
  <c r="E652" i="2" s="1"/>
  <c r="K653" i="2"/>
  <c r="J654" i="2"/>
  <c r="M655" i="2"/>
  <c r="L654" i="2"/>
  <c r="I653" i="2"/>
  <c r="F653" i="2" s="1"/>
  <c r="B653" i="2"/>
  <c r="C654" i="2"/>
  <c r="G653" i="2"/>
  <c r="T653" i="2"/>
  <c r="M656" i="2" l="1"/>
  <c r="J655" i="2"/>
  <c r="L655" i="2"/>
  <c r="I654" i="2"/>
  <c r="C655" i="2"/>
  <c r="F654" i="2"/>
  <c r="G654" i="2"/>
  <c r="T654" i="2"/>
  <c r="H653" i="2"/>
  <c r="E653" i="2" s="1"/>
  <c r="K654" i="2"/>
  <c r="B654" i="2"/>
  <c r="I655" i="2" l="1"/>
  <c r="L656" i="2"/>
  <c r="J656" i="2"/>
  <c r="M657" i="2"/>
  <c r="B655" i="2"/>
  <c r="C656" i="2"/>
  <c r="F655" i="2"/>
  <c r="T655" i="2"/>
  <c r="G655" i="2"/>
  <c r="K655" i="2"/>
  <c r="H654" i="2"/>
  <c r="E654" i="2" s="1"/>
  <c r="J657" i="2" l="1"/>
  <c r="M658" i="2"/>
  <c r="B656" i="2"/>
  <c r="L657" i="2"/>
  <c r="I656" i="2"/>
  <c r="C657" i="2"/>
  <c r="F656" i="2"/>
  <c r="G656" i="2"/>
  <c r="T656" i="2"/>
  <c r="H655" i="2"/>
  <c r="E655" i="2" s="1"/>
  <c r="K656" i="2"/>
  <c r="C658" i="2" l="1"/>
  <c r="T657" i="2"/>
  <c r="G657" i="2"/>
  <c r="L658" i="2"/>
  <c r="I657" i="2"/>
  <c r="F657" i="2" s="1"/>
  <c r="B657" i="2"/>
  <c r="H656" i="2"/>
  <c r="E656" i="2" s="1"/>
  <c r="K657" i="2"/>
  <c r="M659" i="2"/>
  <c r="J658" i="2"/>
  <c r="B658" i="2" l="1"/>
  <c r="I658" i="2"/>
  <c r="F658" i="2" s="1"/>
  <c r="L659" i="2"/>
  <c r="C659" i="2"/>
  <c r="G658" i="2"/>
  <c r="T658" i="2"/>
  <c r="K658" i="2"/>
  <c r="H657" i="2"/>
  <c r="E657" i="2" s="1"/>
  <c r="J659" i="2"/>
  <c r="M660" i="2"/>
  <c r="C660" i="2" l="1"/>
  <c r="T659" i="2"/>
  <c r="G659" i="2"/>
  <c r="B659" i="2"/>
  <c r="L660" i="2"/>
  <c r="I659" i="2"/>
  <c r="F659" i="2" s="1"/>
  <c r="M661" i="2"/>
  <c r="J660" i="2"/>
  <c r="H658" i="2"/>
  <c r="E658" i="2" s="1"/>
  <c r="K659" i="2"/>
  <c r="M662" i="2" l="1"/>
  <c r="J661" i="2"/>
  <c r="C661" i="2"/>
  <c r="T660" i="2"/>
  <c r="G660" i="2"/>
  <c r="H659" i="2"/>
  <c r="E659" i="2" s="1"/>
  <c r="K660" i="2"/>
  <c r="L661" i="2"/>
  <c r="I660" i="2"/>
  <c r="F660" i="2" s="1"/>
  <c r="B660" i="2"/>
  <c r="B661" i="2" l="1"/>
  <c r="K661" i="2"/>
  <c r="H660" i="2"/>
  <c r="E660" i="2" s="1"/>
  <c r="C662" i="2"/>
  <c r="T661" i="2"/>
  <c r="G661" i="2"/>
  <c r="I661" i="2"/>
  <c r="F661" i="2" s="1"/>
  <c r="L662" i="2"/>
  <c r="J662" i="2"/>
  <c r="M663" i="2"/>
  <c r="B662" i="2" l="1"/>
  <c r="L663" i="2"/>
  <c r="I662" i="2"/>
  <c r="F662" i="2" s="1"/>
  <c r="C663" i="2"/>
  <c r="T662" i="2"/>
  <c r="G662" i="2"/>
  <c r="J663" i="2"/>
  <c r="M664" i="2"/>
  <c r="K662" i="2"/>
  <c r="H661" i="2"/>
  <c r="E661" i="2" s="1"/>
  <c r="C664" i="2" l="1"/>
  <c r="G663" i="2"/>
  <c r="T663" i="2"/>
  <c r="L664" i="2"/>
  <c r="I663" i="2"/>
  <c r="F663" i="2" s="1"/>
  <c r="H662" i="2"/>
  <c r="E662" i="2" s="1"/>
  <c r="K663" i="2"/>
  <c r="B663" i="2"/>
  <c r="M665" i="2"/>
  <c r="J664" i="2"/>
  <c r="C665" i="2" l="1"/>
  <c r="G664" i="2"/>
  <c r="T664" i="2"/>
  <c r="J665" i="2"/>
  <c r="M666" i="2"/>
  <c r="I664" i="2"/>
  <c r="F664" i="2" s="1"/>
  <c r="L665" i="2"/>
  <c r="B664" i="2"/>
  <c r="K664" i="2"/>
  <c r="H663" i="2"/>
  <c r="E663" i="2" s="1"/>
  <c r="L666" i="2" l="1"/>
  <c r="I665" i="2"/>
  <c r="J666" i="2"/>
  <c r="M667" i="2"/>
  <c r="F665" i="2"/>
  <c r="C666" i="2"/>
  <c r="G665" i="2"/>
  <c r="T665" i="2"/>
  <c r="H664" i="2"/>
  <c r="E664" i="2" s="1"/>
  <c r="K665" i="2"/>
  <c r="B665" i="2"/>
  <c r="C667" i="2" l="1"/>
  <c r="G666" i="2"/>
  <c r="T666" i="2"/>
  <c r="M668" i="2"/>
  <c r="J667" i="2"/>
  <c r="H665" i="2"/>
  <c r="E665" i="2" s="1"/>
  <c r="K666" i="2"/>
  <c r="B666" i="2"/>
  <c r="I666" i="2"/>
  <c r="F666" i="2" s="1"/>
  <c r="L667" i="2"/>
  <c r="K667" i="2" l="1"/>
  <c r="H666" i="2"/>
  <c r="E666" i="2" s="1"/>
  <c r="M669" i="2"/>
  <c r="J668" i="2"/>
  <c r="B667" i="2"/>
  <c r="I667" i="2"/>
  <c r="F667" i="2" s="1"/>
  <c r="L668" i="2"/>
  <c r="C668" i="2"/>
  <c r="T667" i="2"/>
  <c r="G667" i="2"/>
  <c r="C669" i="2" l="1"/>
  <c r="T668" i="2"/>
  <c r="G668" i="2"/>
  <c r="L669" i="2"/>
  <c r="I668" i="2"/>
  <c r="F668" i="2" s="1"/>
  <c r="B668" i="2"/>
  <c r="J669" i="2"/>
  <c r="M670" i="2"/>
  <c r="H667" i="2"/>
  <c r="E667" i="2" s="1"/>
  <c r="K668" i="2"/>
  <c r="B669" i="2" l="1"/>
  <c r="I669" i="2"/>
  <c r="F669" i="2" s="1"/>
  <c r="L670" i="2"/>
  <c r="H668" i="2"/>
  <c r="E668" i="2" s="1"/>
  <c r="K669" i="2"/>
  <c r="C670" i="2"/>
  <c r="T669" i="2"/>
  <c r="G669" i="2"/>
  <c r="M671" i="2"/>
  <c r="J670" i="2"/>
  <c r="K670" i="2" l="1"/>
  <c r="H669" i="2"/>
  <c r="E669" i="2" s="1"/>
  <c r="L671" i="2"/>
  <c r="I670" i="2"/>
  <c r="B670" i="2"/>
  <c r="J671" i="2"/>
  <c r="M672" i="2"/>
  <c r="C671" i="2"/>
  <c r="F670" i="2"/>
  <c r="G670" i="2"/>
  <c r="T670" i="2"/>
  <c r="B671" i="2" l="1"/>
  <c r="L672" i="2"/>
  <c r="I671" i="2"/>
  <c r="F671" i="2" s="1"/>
  <c r="K671" i="2"/>
  <c r="H670" i="2"/>
  <c r="E670" i="2" s="1"/>
  <c r="M673" i="2"/>
  <c r="J672" i="2"/>
  <c r="C672" i="2"/>
  <c r="T671" i="2"/>
  <c r="G671" i="2"/>
  <c r="K672" i="2" l="1"/>
  <c r="H671" i="2"/>
  <c r="E671" i="2" s="1"/>
  <c r="L673" i="2"/>
  <c r="I672" i="2"/>
  <c r="F672" i="2" s="1"/>
  <c r="B672" i="2"/>
  <c r="M674" i="2"/>
  <c r="J673" i="2"/>
  <c r="C673" i="2"/>
  <c r="G672" i="2"/>
  <c r="T672" i="2"/>
  <c r="B673" i="2" l="1"/>
  <c r="M675" i="2"/>
  <c r="J674" i="2"/>
  <c r="C674" i="2"/>
  <c r="T673" i="2"/>
  <c r="G673" i="2"/>
  <c r="I673" i="2"/>
  <c r="F673" i="2" s="1"/>
  <c r="L674" i="2"/>
  <c r="K673" i="2"/>
  <c r="H672" i="2"/>
  <c r="E672" i="2" s="1"/>
  <c r="M676" i="2" l="1"/>
  <c r="J675" i="2"/>
  <c r="B674" i="2"/>
  <c r="H673" i="2"/>
  <c r="E673" i="2" s="1"/>
  <c r="K674" i="2"/>
  <c r="C675" i="2"/>
  <c r="T674" i="2"/>
  <c r="G674" i="2"/>
  <c r="L675" i="2"/>
  <c r="I674" i="2"/>
  <c r="F674" i="2" s="1"/>
  <c r="B675" i="2" l="1"/>
  <c r="M677" i="2"/>
  <c r="J676" i="2"/>
  <c r="L676" i="2"/>
  <c r="I675" i="2"/>
  <c r="F675" i="2" s="1"/>
  <c r="K675" i="2"/>
  <c r="H674" i="2"/>
  <c r="E674" i="2" s="1"/>
  <c r="C676" i="2"/>
  <c r="T675" i="2"/>
  <c r="G675" i="2"/>
  <c r="B676" i="2" l="1"/>
  <c r="I676" i="2"/>
  <c r="F676" i="2" s="1"/>
  <c r="L677" i="2"/>
  <c r="M678" i="2"/>
  <c r="J677" i="2"/>
  <c r="K676" i="2"/>
  <c r="H675" i="2"/>
  <c r="E675" i="2" s="1"/>
  <c r="C677" i="2"/>
  <c r="T676" i="2"/>
  <c r="G676" i="2"/>
  <c r="H676" i="2" l="1"/>
  <c r="E676" i="2" s="1"/>
  <c r="K677" i="2"/>
  <c r="B677" i="2"/>
  <c r="M679" i="2"/>
  <c r="J678" i="2"/>
  <c r="L678" i="2"/>
  <c r="I677" i="2"/>
  <c r="F677" i="2" s="1"/>
  <c r="C678" i="2"/>
  <c r="T677" i="2"/>
  <c r="G677" i="2"/>
  <c r="M680" i="2" l="1"/>
  <c r="J679" i="2"/>
  <c r="L679" i="2"/>
  <c r="I678" i="2"/>
  <c r="F678" i="2" s="1"/>
  <c r="K678" i="2"/>
  <c r="H677" i="2"/>
  <c r="E677" i="2" s="1"/>
  <c r="B678" i="2"/>
  <c r="C679" i="2"/>
  <c r="T678" i="2"/>
  <c r="G678" i="2"/>
  <c r="I679" i="2" l="1"/>
  <c r="L680" i="2"/>
  <c r="H678" i="2"/>
  <c r="E678" i="2" s="1"/>
  <c r="K679" i="2"/>
  <c r="C680" i="2"/>
  <c r="F679" i="2"/>
  <c r="T679" i="2"/>
  <c r="G679" i="2"/>
  <c r="M681" i="2"/>
  <c r="J680" i="2"/>
  <c r="B679" i="2"/>
  <c r="B680" i="2" l="1"/>
  <c r="C681" i="2"/>
  <c r="T680" i="2"/>
  <c r="G680" i="2"/>
  <c r="M682" i="2"/>
  <c r="J681" i="2"/>
  <c r="H679" i="2"/>
  <c r="E679" i="2" s="1"/>
  <c r="K680" i="2"/>
  <c r="L681" i="2"/>
  <c r="I680" i="2"/>
  <c r="F680" i="2" s="1"/>
  <c r="L682" i="2" l="1"/>
  <c r="I681" i="2"/>
  <c r="F681" i="2"/>
  <c r="C682" i="2"/>
  <c r="T681" i="2"/>
  <c r="G681" i="2"/>
  <c r="K681" i="2"/>
  <c r="H680" i="2"/>
  <c r="E680" i="2" s="1"/>
  <c r="M683" i="2"/>
  <c r="J682" i="2"/>
  <c r="B681" i="2"/>
  <c r="M684" i="2" l="1"/>
  <c r="J683" i="2"/>
  <c r="K682" i="2"/>
  <c r="H681" i="2"/>
  <c r="E681" i="2" s="1"/>
  <c r="C683" i="2"/>
  <c r="T682" i="2"/>
  <c r="G682" i="2"/>
  <c r="I682" i="2"/>
  <c r="F682" i="2" s="1"/>
  <c r="L683" i="2"/>
  <c r="B682" i="2"/>
  <c r="C684" i="2" l="1"/>
  <c r="T683" i="2"/>
  <c r="G683" i="2"/>
  <c r="H682" i="2"/>
  <c r="E682" i="2" s="1"/>
  <c r="K683" i="2"/>
  <c r="M685" i="2"/>
  <c r="J684" i="2"/>
  <c r="B683" i="2"/>
  <c r="L684" i="2"/>
  <c r="I683" i="2"/>
  <c r="F683" i="2" s="1"/>
  <c r="C685" i="2" l="1"/>
  <c r="T684" i="2"/>
  <c r="G684" i="2"/>
  <c r="M686" i="2"/>
  <c r="J685" i="2"/>
  <c r="K684" i="2"/>
  <c r="H683" i="2"/>
  <c r="E683" i="2" s="1"/>
  <c r="L685" i="2"/>
  <c r="I684" i="2"/>
  <c r="F684" i="2" s="1"/>
  <c r="B684" i="2"/>
  <c r="M687" i="2" l="1"/>
  <c r="J686" i="2"/>
  <c r="C686" i="2"/>
  <c r="T685" i="2"/>
  <c r="G685" i="2"/>
  <c r="B685" i="2"/>
  <c r="I685" i="2"/>
  <c r="F685" i="2" s="1"/>
  <c r="L686" i="2"/>
  <c r="H684" i="2"/>
  <c r="E684" i="2" s="1"/>
  <c r="K685" i="2"/>
  <c r="H685" i="2" l="1"/>
  <c r="E685" i="2" s="1"/>
  <c r="K686" i="2"/>
  <c r="C687" i="2"/>
  <c r="T686" i="2"/>
  <c r="G686" i="2"/>
  <c r="L687" i="2"/>
  <c r="I686" i="2"/>
  <c r="F686" i="2" s="1"/>
  <c r="M688" i="2"/>
  <c r="J687" i="2"/>
  <c r="B686" i="2"/>
  <c r="M689" i="2" l="1"/>
  <c r="J688" i="2"/>
  <c r="L688" i="2"/>
  <c r="I687" i="2"/>
  <c r="F687" i="2" s="1"/>
  <c r="B687" i="2"/>
  <c r="C688" i="2"/>
  <c r="T687" i="2"/>
  <c r="G687" i="2"/>
  <c r="K687" i="2"/>
  <c r="H686" i="2"/>
  <c r="E686" i="2" s="1"/>
  <c r="B688" i="2" l="1"/>
  <c r="C689" i="2"/>
  <c r="T688" i="2"/>
  <c r="G688" i="2"/>
  <c r="I688" i="2"/>
  <c r="F688" i="2" s="1"/>
  <c r="L689" i="2"/>
  <c r="M690" i="2"/>
  <c r="J689" i="2"/>
  <c r="H687" i="2"/>
  <c r="E687" i="2" s="1"/>
  <c r="K688" i="2"/>
  <c r="C690" i="2" l="1"/>
  <c r="G689" i="2"/>
  <c r="T689" i="2"/>
  <c r="B689" i="2"/>
  <c r="M691" i="2"/>
  <c r="J690" i="2"/>
  <c r="H688" i="2"/>
  <c r="E688" i="2" s="1"/>
  <c r="K689" i="2"/>
  <c r="L690" i="2"/>
  <c r="I689" i="2"/>
  <c r="F689" i="2" s="1"/>
  <c r="M692" i="2" l="1"/>
  <c r="J691" i="2"/>
  <c r="K690" i="2"/>
  <c r="H689" i="2"/>
  <c r="E689" i="2" s="1"/>
  <c r="B690" i="2"/>
  <c r="C691" i="2"/>
  <c r="T690" i="2"/>
  <c r="G690" i="2"/>
  <c r="L691" i="2"/>
  <c r="I690" i="2"/>
  <c r="F690" i="2" s="1"/>
  <c r="K691" i="2" l="1"/>
  <c r="H690" i="2"/>
  <c r="E690" i="2" s="1"/>
  <c r="M693" i="2"/>
  <c r="J692" i="2"/>
  <c r="C692" i="2"/>
  <c r="T691" i="2"/>
  <c r="G691" i="2"/>
  <c r="B691" i="2"/>
  <c r="I691" i="2"/>
  <c r="F691" i="2" s="1"/>
  <c r="L692" i="2"/>
  <c r="L693" i="2" l="1"/>
  <c r="I692" i="2"/>
  <c r="B692" i="2"/>
  <c r="M694" i="2"/>
  <c r="J693" i="2"/>
  <c r="K692" i="2"/>
  <c r="H691" i="2"/>
  <c r="E691" i="2" s="1"/>
  <c r="F692" i="2"/>
  <c r="C693" i="2"/>
  <c r="T692" i="2"/>
  <c r="G692" i="2"/>
  <c r="B693" i="2" l="1"/>
  <c r="M695" i="2"/>
  <c r="J694" i="2"/>
  <c r="C694" i="2"/>
  <c r="G693" i="2"/>
  <c r="T693" i="2"/>
  <c r="L694" i="2"/>
  <c r="I693" i="2"/>
  <c r="F693" i="2" s="1"/>
  <c r="K693" i="2"/>
  <c r="H692" i="2"/>
  <c r="E692" i="2" s="1"/>
  <c r="M696" i="2" l="1"/>
  <c r="J695" i="2"/>
  <c r="B694" i="2"/>
  <c r="C695" i="2"/>
  <c r="T694" i="2"/>
  <c r="G694" i="2"/>
  <c r="K694" i="2"/>
  <c r="H693" i="2"/>
  <c r="E693" i="2" s="1"/>
  <c r="I694" i="2"/>
  <c r="F694" i="2" s="1"/>
  <c r="L695" i="2"/>
  <c r="M697" i="2" l="1"/>
  <c r="J696" i="2"/>
  <c r="L696" i="2"/>
  <c r="I695" i="2"/>
  <c r="F695" i="2" s="1"/>
  <c r="C696" i="2"/>
  <c r="T695" i="2"/>
  <c r="G695" i="2"/>
  <c r="H694" i="2"/>
  <c r="E694" i="2" s="1"/>
  <c r="K695" i="2"/>
  <c r="B695" i="2"/>
  <c r="L697" i="2" l="1"/>
  <c r="I696" i="2"/>
  <c r="F696" i="2" s="1"/>
  <c r="M698" i="2"/>
  <c r="J697" i="2"/>
  <c r="B696" i="2"/>
  <c r="K696" i="2"/>
  <c r="H695" i="2"/>
  <c r="E695" i="2" s="1"/>
  <c r="C697" i="2"/>
  <c r="T696" i="2"/>
  <c r="G696" i="2"/>
  <c r="K697" i="2" l="1"/>
  <c r="H696" i="2"/>
  <c r="E696" i="2" s="1"/>
  <c r="I697" i="2"/>
  <c r="F697" i="2" s="1"/>
  <c r="L698" i="2"/>
  <c r="B697" i="2"/>
  <c r="M699" i="2"/>
  <c r="J698" i="2"/>
  <c r="C698" i="2"/>
  <c r="T697" i="2"/>
  <c r="G697" i="2"/>
  <c r="B698" i="2" l="1"/>
  <c r="H697" i="2"/>
  <c r="E697" i="2" s="1"/>
  <c r="K698" i="2"/>
  <c r="M700" i="2"/>
  <c r="J699" i="2"/>
  <c r="L699" i="2"/>
  <c r="I698" i="2"/>
  <c r="F698" i="2"/>
  <c r="C699" i="2"/>
  <c r="G698" i="2"/>
  <c r="T698" i="2"/>
  <c r="C700" i="2" l="1"/>
  <c r="T699" i="2"/>
  <c r="G699" i="2"/>
  <c r="L700" i="2"/>
  <c r="I699" i="2"/>
  <c r="F699" i="2" s="1"/>
  <c r="M701" i="2"/>
  <c r="J700" i="2"/>
  <c r="B699" i="2"/>
  <c r="K699" i="2"/>
  <c r="H698" i="2"/>
  <c r="E698" i="2" s="1"/>
  <c r="B700" i="2" l="1"/>
  <c r="C701" i="2"/>
  <c r="T700" i="2"/>
  <c r="G700" i="2"/>
  <c r="M702" i="2"/>
  <c r="J701" i="2"/>
  <c r="K700" i="2"/>
  <c r="H699" i="2"/>
  <c r="E699" i="2" s="1"/>
  <c r="I700" i="2"/>
  <c r="F700" i="2" s="1"/>
  <c r="L701" i="2"/>
  <c r="C702" i="2" l="1"/>
  <c r="T701" i="2"/>
  <c r="G701" i="2"/>
  <c r="B701" i="2"/>
  <c r="M703" i="2"/>
  <c r="J702" i="2"/>
  <c r="L702" i="2"/>
  <c r="I701" i="2"/>
  <c r="F701" i="2" s="1"/>
  <c r="K701" i="2"/>
  <c r="H700" i="2"/>
  <c r="E700" i="2" s="1"/>
  <c r="L703" i="2" l="1"/>
  <c r="I702" i="2"/>
  <c r="B702" i="2"/>
  <c r="F702" i="2"/>
  <c r="C703" i="2"/>
  <c r="T702" i="2"/>
  <c r="G702" i="2"/>
  <c r="M704" i="2"/>
  <c r="J703" i="2"/>
  <c r="K702" i="2"/>
  <c r="H701" i="2"/>
  <c r="E701" i="2" s="1"/>
  <c r="C704" i="2" l="1"/>
  <c r="G703" i="2"/>
  <c r="T703" i="2"/>
  <c r="I703" i="2"/>
  <c r="F703" i="2" s="1"/>
  <c r="L704" i="2"/>
  <c r="M705" i="2"/>
  <c r="J704" i="2"/>
  <c r="K703" i="2"/>
  <c r="H702" i="2"/>
  <c r="E702" i="2" s="1"/>
  <c r="B703" i="2"/>
  <c r="C705" i="2" l="1"/>
  <c r="T704" i="2"/>
  <c r="G704" i="2"/>
  <c r="B704" i="2"/>
  <c r="H703" i="2"/>
  <c r="E703" i="2" s="1"/>
  <c r="K704" i="2"/>
  <c r="M706" i="2"/>
  <c r="J705" i="2"/>
  <c r="L705" i="2"/>
  <c r="I704" i="2"/>
  <c r="F704" i="2" s="1"/>
  <c r="B705" i="2" l="1"/>
  <c r="C706" i="2"/>
  <c r="G705" i="2"/>
  <c r="T705" i="2"/>
  <c r="L706" i="2"/>
  <c r="I705" i="2"/>
  <c r="F705" i="2" s="1"/>
  <c r="M707" i="2"/>
  <c r="J706" i="2"/>
  <c r="K705" i="2"/>
  <c r="H704" i="2"/>
  <c r="E704" i="2" s="1"/>
  <c r="I706" i="2" l="1"/>
  <c r="L707" i="2"/>
  <c r="C707" i="2"/>
  <c r="F706" i="2"/>
  <c r="T706" i="2"/>
  <c r="G706" i="2"/>
  <c r="M708" i="2"/>
  <c r="J707" i="2"/>
  <c r="B706" i="2"/>
  <c r="H705" i="2"/>
  <c r="E705" i="2" s="1"/>
  <c r="K706" i="2"/>
  <c r="C708" i="2" l="1"/>
  <c r="T707" i="2"/>
  <c r="G707" i="2"/>
  <c r="L708" i="2"/>
  <c r="I707" i="2"/>
  <c r="F707" i="2" s="1"/>
  <c r="H706" i="2"/>
  <c r="E706" i="2" s="1"/>
  <c r="K707" i="2"/>
  <c r="B707" i="2"/>
  <c r="M709" i="2"/>
  <c r="J708" i="2"/>
  <c r="L709" i="2" l="1"/>
  <c r="I708" i="2"/>
  <c r="F708" i="2"/>
  <c r="C709" i="2"/>
  <c r="T708" i="2"/>
  <c r="G708" i="2"/>
  <c r="M710" i="2"/>
  <c r="J709" i="2"/>
  <c r="B708" i="2"/>
  <c r="K708" i="2"/>
  <c r="H707" i="2"/>
  <c r="E707" i="2" s="1"/>
  <c r="I709" i="2" l="1"/>
  <c r="L710" i="2"/>
  <c r="B709" i="2"/>
  <c r="M711" i="2"/>
  <c r="J710" i="2"/>
  <c r="H708" i="2"/>
  <c r="E708" i="2" s="1"/>
  <c r="K709" i="2"/>
  <c r="C710" i="2"/>
  <c r="F709" i="2"/>
  <c r="T709" i="2"/>
  <c r="G709" i="2"/>
  <c r="H709" i="2" l="1"/>
  <c r="E709" i="2" s="1"/>
  <c r="K710" i="2"/>
  <c r="L711" i="2"/>
  <c r="I710" i="2"/>
  <c r="B710" i="2"/>
  <c r="M712" i="2"/>
  <c r="J711" i="2"/>
  <c r="F710" i="2"/>
  <c r="C711" i="2"/>
  <c r="T710" i="2"/>
  <c r="G710" i="2"/>
  <c r="K711" i="2" l="1"/>
  <c r="H710" i="2"/>
  <c r="E710" i="2" s="1"/>
  <c r="C712" i="2"/>
  <c r="T711" i="2"/>
  <c r="G711" i="2"/>
  <c r="M713" i="2"/>
  <c r="J712" i="2"/>
  <c r="L712" i="2"/>
  <c r="I711" i="2"/>
  <c r="F711" i="2" s="1"/>
  <c r="B711" i="2"/>
  <c r="M714" i="2" l="1"/>
  <c r="J713" i="2"/>
  <c r="C713" i="2"/>
  <c r="G712" i="2"/>
  <c r="T712" i="2"/>
  <c r="B712" i="2"/>
  <c r="K712" i="2"/>
  <c r="H711" i="2"/>
  <c r="E711" i="2" s="1"/>
  <c r="I712" i="2"/>
  <c r="F712" i="2" s="1"/>
  <c r="L713" i="2"/>
  <c r="B713" i="2" l="1"/>
  <c r="C714" i="2"/>
  <c r="T713" i="2"/>
  <c r="G713" i="2"/>
  <c r="M715" i="2"/>
  <c r="J714" i="2"/>
  <c r="H712" i="2"/>
  <c r="E712" i="2" s="1"/>
  <c r="K713" i="2"/>
  <c r="L714" i="2"/>
  <c r="I713" i="2"/>
  <c r="F713" i="2" s="1"/>
  <c r="M716" i="2" l="1"/>
  <c r="J715" i="2"/>
  <c r="L715" i="2"/>
  <c r="I714" i="2"/>
  <c r="F714" i="2"/>
  <c r="C715" i="2"/>
  <c r="T714" i="2"/>
  <c r="G714" i="2"/>
  <c r="K714" i="2"/>
  <c r="H713" i="2"/>
  <c r="E713" i="2" s="1"/>
  <c r="B714" i="2"/>
  <c r="M717" i="2" l="1"/>
  <c r="J716" i="2"/>
  <c r="C716" i="2"/>
  <c r="T715" i="2"/>
  <c r="G715" i="2"/>
  <c r="B715" i="2"/>
  <c r="K715" i="2"/>
  <c r="H714" i="2"/>
  <c r="E714" i="2" s="1"/>
  <c r="I715" i="2"/>
  <c r="F715" i="2" s="1"/>
  <c r="L716" i="2"/>
  <c r="C717" i="2" l="1"/>
  <c r="T716" i="2"/>
  <c r="G716" i="2"/>
  <c r="L717" i="2"/>
  <c r="I716" i="2"/>
  <c r="F716" i="2" s="1"/>
  <c r="M718" i="2"/>
  <c r="J717" i="2"/>
  <c r="H715" i="2"/>
  <c r="E715" i="2" s="1"/>
  <c r="K716" i="2"/>
  <c r="B716" i="2"/>
  <c r="J718" i="2" l="1"/>
  <c r="M719" i="2"/>
  <c r="L718" i="2"/>
  <c r="I717" i="2"/>
  <c r="B717" i="2"/>
  <c r="F717" i="2"/>
  <c r="C718" i="2"/>
  <c r="C719" i="2" s="1"/>
  <c r="T717" i="2"/>
  <c r="G717" i="2"/>
  <c r="K717" i="2"/>
  <c r="H716" i="2"/>
  <c r="E716" i="2" s="1"/>
  <c r="I718" i="2" l="1"/>
  <c r="L719" i="2"/>
  <c r="M720" i="2"/>
  <c r="J719" i="2"/>
  <c r="C720" i="2"/>
  <c r="G719" i="2"/>
  <c r="T719" i="2"/>
  <c r="F718" i="2"/>
  <c r="T718" i="2"/>
  <c r="G718" i="2"/>
  <c r="K718" i="2"/>
  <c r="H717" i="2"/>
  <c r="E717" i="2" s="1"/>
  <c r="B718" i="2"/>
  <c r="C721" i="2" l="1"/>
  <c r="T720" i="2"/>
  <c r="H718" i="2"/>
  <c r="E718" i="2" s="1"/>
  <c r="K719" i="2"/>
  <c r="M721" i="2"/>
  <c r="J720" i="2"/>
  <c r="G720" i="2" s="1"/>
  <c r="L720" i="2"/>
  <c r="I719" i="2"/>
  <c r="F719" i="2" s="1"/>
  <c r="B719" i="2"/>
  <c r="L721" i="2" l="1"/>
  <c r="I720" i="2"/>
  <c r="F720" i="2" s="1"/>
  <c r="M722" i="2"/>
  <c r="J721" i="2"/>
  <c r="G721" i="2" s="1"/>
  <c r="K720" i="2"/>
  <c r="H719" i="2"/>
  <c r="E719" i="2" s="1"/>
  <c r="B720" i="2"/>
  <c r="C722" i="2"/>
  <c r="T721" i="2"/>
  <c r="K721" i="2" l="1"/>
  <c r="H720" i="2"/>
  <c r="E720" i="2" s="1"/>
  <c r="M723" i="2"/>
  <c r="J722" i="2"/>
  <c r="B721" i="2"/>
  <c r="L722" i="2"/>
  <c r="I721" i="2"/>
  <c r="F721" i="2" s="1"/>
  <c r="C723" i="2"/>
  <c r="G722" i="2"/>
  <c r="T722" i="2"/>
  <c r="L723" i="2" l="1"/>
  <c r="I722" i="2"/>
  <c r="F722" i="2" s="1"/>
  <c r="B722" i="2"/>
  <c r="C724" i="2"/>
  <c r="T723" i="2"/>
  <c r="M724" i="2"/>
  <c r="J723" i="2"/>
  <c r="G723" i="2" s="1"/>
  <c r="H721" i="2"/>
  <c r="E721" i="2" s="1"/>
  <c r="K722" i="2"/>
  <c r="C725" i="2" l="1"/>
  <c r="T724" i="2"/>
  <c r="K723" i="2"/>
  <c r="H722" i="2"/>
  <c r="E722" i="2" s="1"/>
  <c r="L724" i="2"/>
  <c r="I723" i="2"/>
  <c r="F723" i="2" s="1"/>
  <c r="B723" i="2"/>
  <c r="J724" i="2"/>
  <c r="G724" i="2" s="1"/>
  <c r="M725" i="2"/>
  <c r="B724" i="2" l="1"/>
  <c r="I724" i="2"/>
  <c r="F724" i="2" s="1"/>
  <c r="L725" i="2"/>
  <c r="K724" i="2"/>
  <c r="H723" i="2"/>
  <c r="E723" i="2" s="1"/>
  <c r="M726" i="2"/>
  <c r="J725" i="2"/>
  <c r="G725" i="2" s="1"/>
  <c r="C726" i="2"/>
  <c r="T725" i="2"/>
  <c r="J726" i="2" l="1"/>
  <c r="G726" i="2" s="1"/>
  <c r="M727" i="2"/>
  <c r="L726" i="2"/>
  <c r="I725" i="2"/>
  <c r="F725" i="2" s="1"/>
  <c r="H724" i="2"/>
  <c r="E724" i="2" s="1"/>
  <c r="K725" i="2"/>
  <c r="C727" i="2"/>
  <c r="T726" i="2"/>
  <c r="B725" i="2"/>
  <c r="K726" i="2" l="1"/>
  <c r="H725" i="2"/>
  <c r="E725" i="2" s="1"/>
  <c r="L727" i="2"/>
  <c r="I726" i="2"/>
  <c r="F726" i="2" s="1"/>
  <c r="M728" i="2"/>
  <c r="J727" i="2"/>
  <c r="C728" i="2"/>
  <c r="T727" i="2"/>
  <c r="G727" i="2"/>
  <c r="B726" i="2"/>
  <c r="C729" i="2" l="1"/>
  <c r="T728" i="2"/>
  <c r="J728" i="2"/>
  <c r="G728" i="2" s="1"/>
  <c r="M729" i="2"/>
  <c r="L728" i="2"/>
  <c r="I727" i="2"/>
  <c r="F727" i="2" s="1"/>
  <c r="B727" i="2"/>
  <c r="K727" i="2"/>
  <c r="H726" i="2"/>
  <c r="E726" i="2" s="1"/>
  <c r="M730" i="2" l="1"/>
  <c r="J729" i="2"/>
  <c r="C730" i="2"/>
  <c r="T729" i="2"/>
  <c r="G729" i="2"/>
  <c r="K728" i="2"/>
  <c r="H727" i="2"/>
  <c r="E727" i="2" s="1"/>
  <c r="I728" i="2"/>
  <c r="F728" i="2" s="1"/>
  <c r="L729" i="2"/>
  <c r="B728" i="2"/>
  <c r="C731" i="2" l="1"/>
  <c r="T730" i="2"/>
  <c r="K729" i="2"/>
  <c r="H728" i="2"/>
  <c r="E728" i="2" s="1"/>
  <c r="J730" i="2"/>
  <c r="G730" i="2" s="1"/>
  <c r="M731" i="2"/>
  <c r="B729" i="2"/>
  <c r="L730" i="2"/>
  <c r="I729" i="2"/>
  <c r="F729" i="2" s="1"/>
  <c r="K730" i="2" l="1"/>
  <c r="H729" i="2"/>
  <c r="E729" i="2" s="1"/>
  <c r="J731" i="2"/>
  <c r="M732" i="2"/>
  <c r="C732" i="2"/>
  <c r="G731" i="2"/>
  <c r="T731" i="2"/>
  <c r="I730" i="2"/>
  <c r="F730" i="2" s="1"/>
  <c r="L731" i="2"/>
  <c r="B730" i="2"/>
  <c r="L732" i="2" l="1"/>
  <c r="I731" i="2"/>
  <c r="F731" i="2" s="1"/>
  <c r="H730" i="2"/>
  <c r="E730" i="2" s="1"/>
  <c r="K731" i="2"/>
  <c r="C733" i="2"/>
  <c r="T732" i="2"/>
  <c r="M733" i="2"/>
  <c r="J732" i="2"/>
  <c r="G732" i="2" s="1"/>
  <c r="B731" i="2"/>
  <c r="J733" i="2" l="1"/>
  <c r="M734" i="2"/>
  <c r="C734" i="2"/>
  <c r="G733" i="2"/>
  <c r="T733" i="2"/>
  <c r="K732" i="2"/>
  <c r="H731" i="2"/>
  <c r="E731" i="2" s="1"/>
  <c r="B732" i="2"/>
  <c r="L733" i="2"/>
  <c r="I732" i="2"/>
  <c r="F732" i="2" s="1"/>
  <c r="K733" i="2" l="1"/>
  <c r="H732" i="2"/>
  <c r="E732" i="2" s="1"/>
  <c r="C735" i="2"/>
  <c r="T734" i="2"/>
  <c r="G734" i="2"/>
  <c r="J734" i="2"/>
  <c r="M735" i="2"/>
  <c r="L734" i="2"/>
  <c r="I733" i="2"/>
  <c r="F733" i="2" s="1"/>
  <c r="B733" i="2"/>
  <c r="C736" i="2" l="1"/>
  <c r="T735" i="2"/>
  <c r="B734" i="2"/>
  <c r="J735" i="2"/>
  <c r="G735" i="2" s="1"/>
  <c r="M736" i="2"/>
  <c r="L735" i="2"/>
  <c r="I734" i="2"/>
  <c r="F734" i="2" s="1"/>
  <c r="K734" i="2"/>
  <c r="H733" i="2"/>
  <c r="E733" i="2" s="1"/>
  <c r="H734" i="2" l="1"/>
  <c r="E734" i="2" s="1"/>
  <c r="K735" i="2"/>
  <c r="L736" i="2"/>
  <c r="I735" i="2"/>
  <c r="F735" i="2" s="1"/>
  <c r="M737" i="2"/>
  <c r="J736" i="2"/>
  <c r="C737" i="2"/>
  <c r="G736" i="2"/>
  <c r="T736" i="2"/>
  <c r="B735" i="2"/>
  <c r="B736" i="2" l="1"/>
  <c r="K736" i="2"/>
  <c r="H735" i="2"/>
  <c r="E735" i="2" s="1"/>
  <c r="C738" i="2"/>
  <c r="T737" i="2"/>
  <c r="J737" i="2"/>
  <c r="G737" i="2" s="1"/>
  <c r="M738" i="2"/>
  <c r="L737" i="2"/>
  <c r="I736" i="2"/>
  <c r="F736" i="2" s="1"/>
  <c r="H736" i="2" l="1"/>
  <c r="E736" i="2" s="1"/>
  <c r="K737" i="2"/>
  <c r="B737" i="2"/>
  <c r="M739" i="2"/>
  <c r="J738" i="2"/>
  <c r="G738" i="2" s="1"/>
  <c r="C739" i="2"/>
  <c r="T738" i="2"/>
  <c r="L738" i="2"/>
  <c r="I737" i="2"/>
  <c r="F737" i="2" s="1"/>
  <c r="J739" i="2" l="1"/>
  <c r="M740" i="2"/>
  <c r="C740" i="2"/>
  <c r="T739" i="2"/>
  <c r="G739" i="2"/>
  <c r="B738" i="2"/>
  <c r="L739" i="2"/>
  <c r="I738" i="2"/>
  <c r="F738" i="2" s="1"/>
  <c r="H737" i="2"/>
  <c r="E737" i="2" s="1"/>
  <c r="K738" i="2"/>
  <c r="C741" i="2" l="1"/>
  <c r="T740" i="2"/>
  <c r="G740" i="2"/>
  <c r="H738" i="2"/>
  <c r="E738" i="2" s="1"/>
  <c r="K739" i="2"/>
  <c r="M741" i="2"/>
  <c r="J740" i="2"/>
  <c r="L740" i="2"/>
  <c r="I739" i="2"/>
  <c r="F739" i="2" s="1"/>
  <c r="B739" i="2"/>
  <c r="K740" i="2" l="1"/>
  <c r="H739" i="2"/>
  <c r="E739" i="2" s="1"/>
  <c r="B740" i="2"/>
  <c r="L741" i="2"/>
  <c r="I740" i="2"/>
  <c r="F740" i="2" s="1"/>
  <c r="C742" i="2"/>
  <c r="T741" i="2"/>
  <c r="M742" i="2"/>
  <c r="J741" i="2"/>
  <c r="G741" i="2" s="1"/>
  <c r="L742" i="2" l="1"/>
  <c r="I741" i="2"/>
  <c r="F741" i="2" s="1"/>
  <c r="B741" i="2"/>
  <c r="J742" i="2"/>
  <c r="G742" i="2" s="1"/>
  <c r="M743" i="2"/>
  <c r="H740" i="2"/>
  <c r="E740" i="2" s="1"/>
  <c r="K741" i="2"/>
  <c r="C743" i="2"/>
  <c r="T742" i="2"/>
  <c r="J743" i="2" l="1"/>
  <c r="M744" i="2"/>
  <c r="B742" i="2"/>
  <c r="L743" i="2"/>
  <c r="I742" i="2"/>
  <c r="F742" i="2" s="1"/>
  <c r="K742" i="2"/>
  <c r="H741" i="2"/>
  <c r="E741" i="2" s="1"/>
  <c r="C744" i="2"/>
  <c r="T743" i="2"/>
  <c r="G743" i="2"/>
  <c r="L744" i="2" l="1"/>
  <c r="I743" i="2"/>
  <c r="F743" i="2" s="1"/>
  <c r="B743" i="2"/>
  <c r="C745" i="2"/>
  <c r="T744" i="2"/>
  <c r="J744" i="2"/>
  <c r="G744" i="2" s="1"/>
  <c r="M745" i="2"/>
  <c r="K743" i="2"/>
  <c r="H742" i="2"/>
  <c r="E742" i="2" s="1"/>
  <c r="K744" i="2" l="1"/>
  <c r="H743" i="2"/>
  <c r="E743" i="2" s="1"/>
  <c r="J745" i="2"/>
  <c r="G745" i="2" s="1"/>
  <c r="M746" i="2"/>
  <c r="B744" i="2"/>
  <c r="L745" i="2"/>
  <c r="I744" i="2"/>
  <c r="F744" i="2" s="1"/>
  <c r="C746" i="2"/>
  <c r="T745" i="2"/>
  <c r="B745" i="2" l="1"/>
  <c r="J746" i="2"/>
  <c r="G746" i="2" s="1"/>
  <c r="M747" i="2"/>
  <c r="K745" i="2"/>
  <c r="H744" i="2"/>
  <c r="E744" i="2" s="1"/>
  <c r="L746" i="2"/>
  <c r="I745" i="2"/>
  <c r="F745" i="2" s="1"/>
  <c r="C747" i="2"/>
  <c r="T746" i="2"/>
  <c r="J747" i="2" l="1"/>
  <c r="M748" i="2"/>
  <c r="B746" i="2"/>
  <c r="K746" i="2"/>
  <c r="H745" i="2"/>
  <c r="E745" i="2" s="1"/>
  <c r="L747" i="2"/>
  <c r="I746" i="2"/>
  <c r="F746" i="2" s="1"/>
  <c r="C748" i="2"/>
  <c r="G747" i="2"/>
  <c r="T747" i="2"/>
  <c r="M749" i="2" l="1"/>
  <c r="J748" i="2"/>
  <c r="G748" i="2" s="1"/>
  <c r="B747" i="2"/>
  <c r="C749" i="2"/>
  <c r="T748" i="2"/>
  <c r="L748" i="2"/>
  <c r="I747" i="2"/>
  <c r="F747" i="2" s="1"/>
  <c r="K747" i="2"/>
  <c r="H746" i="2"/>
  <c r="E746" i="2" s="1"/>
  <c r="J749" i="2" l="1"/>
  <c r="G749" i="2" s="1"/>
  <c r="M750" i="2"/>
  <c r="B748" i="2"/>
  <c r="K748" i="2"/>
  <c r="H747" i="2"/>
  <c r="E747" i="2" s="1"/>
  <c r="L749" i="2"/>
  <c r="I748" i="2"/>
  <c r="F748" i="2" s="1"/>
  <c r="C750" i="2"/>
  <c r="T749" i="2"/>
  <c r="B749" i="2" l="1"/>
  <c r="J750" i="2"/>
  <c r="G750" i="2" s="1"/>
  <c r="M751" i="2"/>
  <c r="L750" i="2"/>
  <c r="I749" i="2"/>
  <c r="F749" i="2" s="1"/>
  <c r="C751" i="2"/>
  <c r="T750" i="2"/>
  <c r="H748" i="2"/>
  <c r="E748" i="2" s="1"/>
  <c r="K749" i="2"/>
  <c r="L751" i="2" l="1"/>
  <c r="I750" i="2"/>
  <c r="F750" i="2" s="1"/>
  <c r="M752" i="2"/>
  <c r="J751" i="2"/>
  <c r="G751" i="2" s="1"/>
  <c r="B750" i="2"/>
  <c r="C752" i="2"/>
  <c r="T751" i="2"/>
  <c r="K750" i="2"/>
  <c r="H749" i="2"/>
  <c r="E749" i="2" s="1"/>
  <c r="B751" i="2" l="1"/>
  <c r="C753" i="2"/>
  <c r="T752" i="2"/>
  <c r="J752" i="2"/>
  <c r="G752" i="2" s="1"/>
  <c r="M753" i="2"/>
  <c r="K751" i="2"/>
  <c r="H750" i="2"/>
  <c r="E750" i="2" s="1"/>
  <c r="L752" i="2"/>
  <c r="I751" i="2"/>
  <c r="F751" i="2" s="1"/>
  <c r="C754" i="2" l="1"/>
  <c r="T753" i="2"/>
  <c r="M754" i="2"/>
  <c r="J753" i="2"/>
  <c r="G753" i="2" s="1"/>
  <c r="B752" i="2"/>
  <c r="H751" i="2"/>
  <c r="E751" i="2" s="1"/>
  <c r="K752" i="2"/>
  <c r="L753" i="2"/>
  <c r="I752" i="2"/>
  <c r="F752" i="2" s="1"/>
  <c r="J754" i="2" l="1"/>
  <c r="M755" i="2"/>
  <c r="L754" i="2"/>
  <c r="I753" i="2"/>
  <c r="F753" i="2" s="1"/>
  <c r="B753" i="2"/>
  <c r="H752" i="2"/>
  <c r="E752" i="2" s="1"/>
  <c r="K753" i="2"/>
  <c r="C755" i="2"/>
  <c r="T754" i="2"/>
  <c r="G754" i="2"/>
  <c r="M756" i="2" l="1"/>
  <c r="J755" i="2"/>
  <c r="G755" i="2" s="1"/>
  <c r="L755" i="2"/>
  <c r="I754" i="2"/>
  <c r="F754" i="2" s="1"/>
  <c r="B754" i="2"/>
  <c r="C756" i="2"/>
  <c r="T755" i="2"/>
  <c r="H753" i="2"/>
  <c r="E753" i="2" s="1"/>
  <c r="K754" i="2"/>
  <c r="L756" i="2" l="1"/>
  <c r="I755" i="2"/>
  <c r="F755" i="2" s="1"/>
  <c r="J756" i="2"/>
  <c r="G756" i="2" s="1"/>
  <c r="M757" i="2"/>
  <c r="H754" i="2"/>
  <c r="E754" i="2" s="1"/>
  <c r="K755" i="2"/>
  <c r="C757" i="2"/>
  <c r="T756" i="2"/>
  <c r="B755" i="2"/>
  <c r="L757" i="2" l="1"/>
  <c r="I756" i="2"/>
  <c r="F756" i="2" s="1"/>
  <c r="B756" i="2"/>
  <c r="C758" i="2"/>
  <c r="T757" i="2"/>
  <c r="J757" i="2"/>
  <c r="G757" i="2" s="1"/>
  <c r="M758" i="2"/>
  <c r="K756" i="2"/>
  <c r="H755" i="2"/>
  <c r="E755" i="2" s="1"/>
  <c r="B757" i="2" l="1"/>
  <c r="J758" i="2"/>
  <c r="G758" i="2" s="1"/>
  <c r="M759" i="2"/>
  <c r="K757" i="2"/>
  <c r="H756" i="2"/>
  <c r="E756" i="2" s="1"/>
  <c r="L758" i="2"/>
  <c r="I757" i="2"/>
  <c r="F757" i="2" s="1"/>
  <c r="C759" i="2"/>
  <c r="T758" i="2"/>
  <c r="M760" i="2" l="1"/>
  <c r="J759" i="2"/>
  <c r="C760" i="2"/>
  <c r="T759" i="2"/>
  <c r="G759" i="2"/>
  <c r="L759" i="2"/>
  <c r="I758" i="2"/>
  <c r="F758" i="2" s="1"/>
  <c r="K758" i="2"/>
  <c r="H757" i="2"/>
  <c r="E757" i="2" s="1"/>
  <c r="B758" i="2"/>
  <c r="C761" i="2" l="1"/>
  <c r="T760" i="2"/>
  <c r="L760" i="2"/>
  <c r="I759" i="2"/>
  <c r="F759" i="2" s="1"/>
  <c r="J760" i="2"/>
  <c r="G760" i="2" s="1"/>
  <c r="M761" i="2"/>
  <c r="K759" i="2"/>
  <c r="H758" i="2"/>
  <c r="E758" i="2" s="1"/>
  <c r="B759" i="2"/>
  <c r="M762" i="2" l="1"/>
  <c r="J761" i="2"/>
  <c r="L761" i="2"/>
  <c r="I760" i="2"/>
  <c r="F760" i="2" s="1"/>
  <c r="C762" i="2"/>
  <c r="G761" i="2"/>
  <c r="T761" i="2"/>
  <c r="B760" i="2"/>
  <c r="H759" i="2"/>
  <c r="E759" i="2" s="1"/>
  <c r="K760" i="2"/>
  <c r="C763" i="2" l="1"/>
  <c r="T762" i="2"/>
  <c r="H760" i="2"/>
  <c r="E760" i="2" s="1"/>
  <c r="K761" i="2"/>
  <c r="B761" i="2"/>
  <c r="L762" i="2"/>
  <c r="I761" i="2"/>
  <c r="F761" i="2" s="1"/>
  <c r="J762" i="2"/>
  <c r="G762" i="2" s="1"/>
  <c r="M763" i="2"/>
  <c r="K762" i="2" l="1"/>
  <c r="H761" i="2"/>
  <c r="E761" i="2" s="1"/>
  <c r="L763" i="2"/>
  <c r="I762" i="2"/>
  <c r="F762" i="2" s="1"/>
  <c r="C764" i="2"/>
  <c r="T763" i="2"/>
  <c r="M764" i="2"/>
  <c r="J763" i="2"/>
  <c r="G763" i="2" s="1"/>
  <c r="B762" i="2"/>
  <c r="C765" i="2" l="1"/>
  <c r="T764" i="2"/>
  <c r="L764" i="2"/>
  <c r="I763" i="2"/>
  <c r="F763" i="2" s="1"/>
  <c r="B763" i="2"/>
  <c r="H762" i="2"/>
  <c r="E762" i="2" s="1"/>
  <c r="K763" i="2"/>
  <c r="M765" i="2"/>
  <c r="J764" i="2"/>
  <c r="G764" i="2" s="1"/>
  <c r="L765" i="2" l="1"/>
  <c r="I764" i="2"/>
  <c r="F764" i="2" s="1"/>
  <c r="M766" i="2"/>
  <c r="J765" i="2"/>
  <c r="G765" i="2" s="1"/>
  <c r="K764" i="2"/>
  <c r="H763" i="2"/>
  <c r="E763" i="2" s="1"/>
  <c r="C766" i="2"/>
  <c r="T765" i="2"/>
  <c r="B764" i="2"/>
  <c r="B765" i="2" l="1"/>
  <c r="M767" i="2"/>
  <c r="J766" i="2"/>
  <c r="G766" i="2" s="1"/>
  <c r="C767" i="2"/>
  <c r="T766" i="2"/>
  <c r="L766" i="2"/>
  <c r="I765" i="2"/>
  <c r="F765" i="2" s="1"/>
  <c r="K765" i="2"/>
  <c r="H764" i="2"/>
  <c r="E764" i="2" s="1"/>
  <c r="B766" i="2" l="1"/>
  <c r="L767" i="2"/>
  <c r="I766" i="2"/>
  <c r="F766" i="2" s="1"/>
  <c r="H765" i="2"/>
  <c r="E765" i="2" s="1"/>
  <c r="K766" i="2"/>
  <c r="C768" i="2"/>
  <c r="T767" i="2"/>
  <c r="M768" i="2"/>
  <c r="J767" i="2"/>
  <c r="G767" i="2" s="1"/>
  <c r="H766" i="2" l="1"/>
  <c r="E766" i="2" s="1"/>
  <c r="K767" i="2"/>
  <c r="L768" i="2"/>
  <c r="I767" i="2"/>
  <c r="F767" i="2" s="1"/>
  <c r="M769" i="2"/>
  <c r="J768" i="2"/>
  <c r="G768" i="2" s="1"/>
  <c r="C769" i="2"/>
  <c r="T768" i="2"/>
  <c r="B767" i="2"/>
  <c r="J769" i="2" l="1"/>
  <c r="M770" i="2"/>
  <c r="C770" i="2"/>
  <c r="T769" i="2"/>
  <c r="G769" i="2"/>
  <c r="L769" i="2"/>
  <c r="I768" i="2"/>
  <c r="F768" i="2" s="1"/>
  <c r="K768" i="2"/>
  <c r="H767" i="2"/>
  <c r="E767" i="2" s="1"/>
  <c r="B768" i="2"/>
  <c r="B769" i="2" l="1"/>
  <c r="C771" i="2"/>
  <c r="T770" i="2"/>
  <c r="M771" i="2"/>
  <c r="J770" i="2"/>
  <c r="G770" i="2" s="1"/>
  <c r="L770" i="2"/>
  <c r="I769" i="2"/>
  <c r="F769" i="2" s="1"/>
  <c r="K769" i="2"/>
  <c r="H768" i="2"/>
  <c r="E768" i="2" s="1"/>
  <c r="J771" i="2" l="1"/>
  <c r="M772" i="2"/>
  <c r="C772" i="2"/>
  <c r="G771" i="2"/>
  <c r="T771" i="2"/>
  <c r="H769" i="2"/>
  <c r="E769" i="2" s="1"/>
  <c r="K770" i="2"/>
  <c r="B770" i="2"/>
  <c r="L771" i="2"/>
  <c r="I770" i="2"/>
  <c r="F770" i="2" s="1"/>
  <c r="C773" i="2" l="1"/>
  <c r="T772" i="2"/>
  <c r="L772" i="2"/>
  <c r="I771" i="2"/>
  <c r="F771" i="2" s="1"/>
  <c r="M773" i="2"/>
  <c r="J772" i="2"/>
  <c r="G772" i="2" s="1"/>
  <c r="B771" i="2"/>
  <c r="K771" i="2"/>
  <c r="H770" i="2"/>
  <c r="E770" i="2" s="1"/>
  <c r="K772" i="2" l="1"/>
  <c r="H771" i="2"/>
  <c r="E771" i="2" s="1"/>
  <c r="C774" i="2"/>
  <c r="T773" i="2"/>
  <c r="B772" i="2"/>
  <c r="M774" i="2"/>
  <c r="J773" i="2"/>
  <c r="G773" i="2" s="1"/>
  <c r="L773" i="2"/>
  <c r="I772" i="2"/>
  <c r="F772" i="2" s="1"/>
  <c r="J774" i="2" l="1"/>
  <c r="M775" i="2"/>
  <c r="J775" i="2" s="1"/>
  <c r="C775" i="2"/>
  <c r="T774" i="2"/>
  <c r="G774" i="2"/>
  <c r="L774" i="2"/>
  <c r="I773" i="2"/>
  <c r="F773" i="2" s="1"/>
  <c r="B773" i="2"/>
  <c r="K773" i="2"/>
  <c r="H772" i="2"/>
  <c r="E772" i="2" s="1"/>
  <c r="L775" i="2" l="1"/>
  <c r="I775" i="2" s="1"/>
  <c r="F775" i="2" s="1"/>
  <c r="I774" i="2"/>
  <c r="F774" i="2" s="1"/>
  <c r="G775" i="2"/>
  <c r="T775" i="2"/>
  <c r="K774" i="2"/>
  <c r="H773" i="2"/>
  <c r="E773" i="2" s="1"/>
  <c r="B774" i="2"/>
  <c r="H774" i="2" l="1"/>
  <c r="E774" i="2" s="1"/>
  <c r="K775" i="2"/>
  <c r="H775" i="2" s="1"/>
  <c r="E775" i="2" s="1"/>
  <c r="B7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AutoBVT</author>
    <author>Admin</author>
  </authors>
  <commentList>
    <comment ref="A5" authorId="0" shapeId="0" xr:uid="{00000000-0006-0000-0000-000001000000}">
      <text>
        <r>
          <rPr>
            <b/>
            <sz val="9"/>
            <color indexed="81"/>
            <rFont val="Tahoma"/>
            <family val="2"/>
          </rPr>
          <t>AutoBVT:</t>
        </r>
        <r>
          <rPr>
            <sz val="9"/>
            <color indexed="81"/>
            <rFont val="Tahoma"/>
            <family val="2"/>
          </rPr>
          <t xml:space="preserve">
</t>
        </r>
      </text>
    </comment>
    <comment ref="Q269" authorId="1" shapeId="0" xr:uid="{00000000-0006-0000-0000-000002000000}">
      <text>
        <r>
          <rPr>
            <b/>
            <sz val="9"/>
            <color indexed="81"/>
            <rFont val="Tahoma"/>
            <family val="2"/>
          </rPr>
          <t>Admin:</t>
        </r>
        <r>
          <rPr>
            <sz val="9"/>
            <color indexed="81"/>
            <rFont val="Tahoma"/>
            <family val="2"/>
          </rPr>
          <t xml:space="preserve">
Không đắp nền mà độ lún tăng </t>
        </r>
      </text>
    </comment>
    <comment ref="Q337" authorId="1" shapeId="0" xr:uid="{00000000-0006-0000-0000-000003000000}">
      <text>
        <r>
          <rPr>
            <b/>
            <sz val="9"/>
            <color indexed="81"/>
            <rFont val="Tahoma"/>
            <family val="2"/>
          </rPr>
          <t>Admin:</t>
        </r>
        <r>
          <rPr>
            <sz val="9"/>
            <color indexed="81"/>
            <rFont val="Tahoma"/>
            <family val="2"/>
          </rPr>
          <t xml:space="preserve">
Không có giả tải mà độ lún lại cho tăng lên thì không hợp lý.</t>
        </r>
      </text>
    </comment>
    <comment ref="Q426" authorId="1" shapeId="0" xr:uid="{00000000-0006-0000-0000-000004000000}">
      <text>
        <r>
          <rPr>
            <b/>
            <sz val="9"/>
            <color indexed="81"/>
            <rFont val="Tahoma"/>
            <family val="2"/>
          </rPr>
          <t>Admin:</t>
        </r>
        <r>
          <rPr>
            <sz val="9"/>
            <color indexed="81"/>
            <rFont val="Tahoma"/>
            <family val="2"/>
          </rPr>
          <t xml:space="preserve">
1. Độ lún nên cho giảm dần từ 4 - 3 -2, đừng cho giảm 4 xuống 2.
2. Độ lún giai đoạn đắp gia tải phải cao hơn giai đoạn chưa đắp gia tải.
3. Giai đoạn sau đắp gia tải, thời gian chờ lún thì cho lún giảm dần theo thời gian. </t>
        </r>
      </text>
    </comment>
  </commentList>
</comments>
</file>

<file path=xl/sharedStrings.xml><?xml version="1.0" encoding="utf-8"?>
<sst xmlns="http://schemas.openxmlformats.org/spreadsheetml/2006/main" count="67" uniqueCount="50">
  <si>
    <t>GT 1</t>
  </si>
  <si>
    <t>GT 2</t>
  </si>
  <si>
    <t>NỐI CẦN</t>
  </si>
  <si>
    <t>GT 3</t>
  </si>
  <si>
    <t>GT 4</t>
  </si>
  <si>
    <t>sau nối cần</t>
  </si>
  <si>
    <t>trước nối cần</t>
  </si>
  <si>
    <t>Lắp đặt ban đầu</t>
  </si>
  <si>
    <t>Phải</t>
  </si>
  <si>
    <t xml:space="preserve">Giữa </t>
  </si>
  <si>
    <t xml:space="preserve">Trái </t>
  </si>
  <si>
    <t xml:space="preserve">
Ghi chú</t>
  </si>
  <si>
    <t xml:space="preserve">
 Tư Vấn Giám Sát</t>
  </si>
  <si>
    <t xml:space="preserve">
 Nhà thầu</t>
  </si>
  <si>
    <t xml:space="preserve">
Đội quan trắc</t>
  </si>
  <si>
    <t>Chiều dày lớp đắp (m)</t>
  </si>
  <si>
    <t>Cao độ nền đắp (mm)</t>
  </si>
  <si>
    <t xml:space="preserve">
Số đọc mia tại nền đắp tại tâm  (mm)</t>
  </si>
  <si>
    <t>Tốc độ lún (mm)</t>
  </si>
  <si>
    <t xml:space="preserve"> Cao độ bàn đo lún  (mm)</t>
  </si>
  <si>
    <t xml:space="preserve">  Chiều dài cần nối  (mm)</t>
  </si>
  <si>
    <t xml:space="preserve">  Cao độ quan trắc  (mm)</t>
  </si>
  <si>
    <t>Số đọc mia (mm)</t>
  </si>
  <si>
    <t>Số đọc tại mốc (mm)</t>
  </si>
  <si>
    <t>Cao độ mốc (mm)</t>
  </si>
  <si>
    <t xml:space="preserve"> Ngày quan trắc</t>
  </si>
  <si>
    <t xml:space="preserve">
 Stt</t>
  </si>
  <si>
    <t>Ngày đặt bàn:</t>
  </si>
  <si>
    <t>Km114+220</t>
  </si>
  <si>
    <t>Lý trình:</t>
  </si>
  <si>
    <t>Cao độ mốc:</t>
  </si>
  <si>
    <t>Nắng</t>
  </si>
  <si>
    <t>Thời tiết:</t>
  </si>
  <si>
    <t>Tên mốc:</t>
  </si>
  <si>
    <t>Người lập:</t>
  </si>
  <si>
    <t>BIỂU GHI ĐO QUAN TRẮC LÚN</t>
  </si>
  <si>
    <t>LIÊN DANH CC1 - HẢI ĐĂNG - VẠN CƯỜNG - 492 - BẮC TRUNG NAM</t>
  </si>
  <si>
    <t>BAN QUẢN LÝ DỰ ÁN MỸ THUẬN</t>
  </si>
  <si>
    <t>NHÀ THẦU</t>
  </si>
  <si>
    <t>TƯ VẤN GIÁM SÁT</t>
  </si>
  <si>
    <t>CHỦ ĐẦU TƯ</t>
  </si>
  <si>
    <t>THUỘC DỰ ÁN XÂY DỰNG CÔNG TRÌNH ĐƯỜNG BỘ CAO TỐC BẮC - NAM PHÍA ĐÔNG GIAI ĐOẠN 2021 - 2025</t>
  </si>
  <si>
    <t>DỰ ÁN THÀNH PHẦN ĐOẠN HẬU GIANG - CÀ MAU</t>
  </si>
  <si>
    <t>K.Thúc GT</t>
  </si>
  <si>
    <t>GT GD2 LỚP 7</t>
  </si>
  <si>
    <t>GT GD2 LỚP 6</t>
  </si>
  <si>
    <t>GT GD2 LỚP 5</t>
  </si>
  <si>
    <t>GT GD2 LỚP 4</t>
  </si>
  <si>
    <t>GT GD2 LỚP 3</t>
  </si>
  <si>
    <t>GT GD2 LỚP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</si>
</sst>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Đắp lớp&quot;\ #"/>
    <numFmt numFmtId="165" formatCode="#,##0.0"/>
    <numFmt numFmtId="166" formatCode="dd\.mm\.yyyy;@"/>
    <numFmt numFmtId="167" formatCode="dd/mm/yyyy;@"/>
  </numFmts>
  <fonts count="20">
    <font>
      <sz val="11"/>
      <color theme="1"/>
      <name val="Calibri"/>
      <family val="2"/>
      <scheme val="minor"/>
    </font>
    <font>
      <sz val="10"/>
      <name val="Arial"/>
      <family val="2"/>
    </font>
    <font>
      <sz val="11"/>
      <name val="Times New Roman"/>
      <family val="1"/>
    </font>
    <font>
      <sz val="11"/>
      <color rgb="FF0070C0"/>
      <name val="Times New Roman"/>
      <family val="1"/>
    </font>
    <font>
      <sz val="11"/>
      <color theme="1"/>
      <name val="Times New Roman"/>
      <family val="1"/>
    </font>
    <font>
      <sz val="11"/>
      <name val="굴림체"/>
      <family val="3"/>
      <charset val="129"/>
    </font>
    <font>
      <sz val="11"/>
      <color rgb="FFFF0000"/>
      <name val="Times New Roman"/>
      <family val="1"/>
    </font>
    <font>
      <sz val="11"/>
      <color rgb="FFED0000"/>
      <name val="Times New Roman"/>
      <family val="1"/>
    </font>
    <font>
      <sz val="9"/>
      <name val="Times New Roman"/>
      <family val="1"/>
    </font>
    <font>
      <sz val="9"/>
      <color rgb="FFFF0000"/>
      <name val="Times New Roman"/>
      <family val="1"/>
    </font>
    <font>
      <sz val="9"/>
      <color rgb="FFED0000"/>
      <name val="Times New Roman"/>
      <family val="1"/>
    </font>
    <font>
      <b/>
      <sz val="11"/>
      <name val="Times New Roman"/>
      <family val="1"/>
    </font>
    <font>
      <sz val="10"/>
      <name val=".VnTime"/>
      <family val="2"/>
    </font>
    <font>
      <b/>
      <u/>
      <sz val="14"/>
      <color theme="1"/>
      <name val="Times New Roman"/>
      <family val="1"/>
    </font>
    <font>
      <b/>
      <sz val="11"/>
      <color theme="1"/>
      <name val="Times New Roman"/>
      <family val="1"/>
    </font>
    <font>
      <b/>
      <sz val="9"/>
      <color indexed="81"/>
      <name val="Tahoma"/>
      <family val="2"/>
    </font>
    <font>
      <sz val="9"/>
      <color indexed="81"/>
      <name val="Tahoma"/>
      <family val="2"/>
    </font>
    <font>
      <sz val="12"/>
      <color theme="1"/>
      <name val="Times New Roman"/>
      <family val="2"/>
    </font>
    <font>
      <sz val="12"/>
      <name val="宋体"/>
      <charset val="134"/>
    </font>
    <font>
      <sz val="11"/>
      <color theme="8"/>
      <name val="Times New Roman"/>
      <family val="1"/>
    </font>
  </fonts>
  <fills count="3">
    <fill>
      <patternFill patternType="none"/>
    </fill>
    <fill>
      <patternFill patternType="gray125"/>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7">
    <xf numFmtId="0" fontId="0" fillId="0" borderId="0"/>
    <xf numFmtId="0" fontId="1" fillId="0" borderId="0"/>
    <xf numFmtId="0" fontId="5" fillId="0" borderId="0"/>
    <xf numFmtId="0" fontId="12" fillId="0" borderId="0"/>
    <xf numFmtId="43" fontId="17" fillId="0" borderId="0" applyFont="0" applyFill="0" applyBorder="0" applyAlignment="0" applyProtection="0"/>
    <xf numFmtId="0" fontId="18" fillId="0" borderId="0"/>
    <xf numFmtId="0" fontId="18" fillId="0" borderId="0">
      <alignment vertical="center"/>
    </xf>
  </cellStyleXfs>
  <cellXfs count="96">
    <xf numFmtId="0" fontId="0" fillId="0" borderId="0" xfId="0"/>
    <xf numFmtId="3" fontId="2" fillId="0" borderId="0" xfId="1" applyNumberFormat="1" applyFont="1" applyAlignment="1">
      <alignment horizontal="center"/>
    </xf>
    <xf numFmtId="3" fontId="3" fillId="0" borderId="0" xfId="1" applyNumberFormat="1" applyFont="1" applyAlignment="1">
      <alignment horizontal="center"/>
    </xf>
    <xf numFmtId="3" fontId="2" fillId="0" borderId="0" xfId="1" applyNumberFormat="1" applyFont="1" applyAlignment="1">
      <alignment horizontal="center" vertical="center"/>
    </xf>
    <xf numFmtId="3" fontId="2" fillId="0" borderId="1" xfId="1" applyNumberFormat="1" applyFont="1" applyBorder="1" applyAlignment="1">
      <alignment horizontal="center"/>
    </xf>
    <xf numFmtId="3" fontId="4" fillId="0" borderId="1" xfId="1" applyNumberFormat="1" applyFont="1" applyBorder="1" applyAlignment="1">
      <alignment horizontal="center"/>
    </xf>
    <xf numFmtId="0" fontId="4" fillId="0" borderId="1" xfId="1" applyFont="1" applyBorder="1" applyAlignment="1">
      <alignment horizontal="center"/>
    </xf>
    <xf numFmtId="3" fontId="3" fillId="0" borderId="1" xfId="1" applyNumberFormat="1" applyFont="1" applyBorder="1" applyAlignment="1">
      <alignment horizontal="center"/>
    </xf>
    <xf numFmtId="3" fontId="4" fillId="0" borderId="1" xfId="1" applyNumberFormat="1" applyFont="1" applyBorder="1" applyAlignment="1">
      <alignment horizontal="center" vertical="center" wrapText="1"/>
    </xf>
    <xf numFmtId="3" fontId="2" fillId="0" borderId="1" xfId="1" applyNumberFormat="1" applyFont="1" applyBorder="1" applyAlignment="1">
      <alignment horizontal="center" vertical="center"/>
    </xf>
    <xf numFmtId="14" fontId="2" fillId="0" borderId="1" xfId="2" applyNumberFormat="1" applyFont="1" applyBorder="1" applyAlignment="1">
      <alignment vertical="center" shrinkToFit="1"/>
    </xf>
    <xf numFmtId="3" fontId="2" fillId="0" borderId="2" xfId="1" applyNumberFormat="1" applyFont="1" applyBorder="1" applyAlignment="1">
      <alignment horizontal="center" vertical="center"/>
    </xf>
    <xf numFmtId="3" fontId="6" fillId="0" borderId="1" xfId="1" applyNumberFormat="1" applyFont="1" applyBorder="1" applyAlignment="1">
      <alignment horizontal="center"/>
    </xf>
    <xf numFmtId="4" fontId="7" fillId="0" borderId="1" xfId="1" applyNumberFormat="1" applyFont="1" applyBorder="1" applyAlignment="1">
      <alignment horizontal="center"/>
    </xf>
    <xf numFmtId="14" fontId="2" fillId="0" borderId="2" xfId="2" applyNumberFormat="1" applyFont="1" applyBorder="1" applyAlignment="1">
      <alignment vertical="center" shrinkToFit="1"/>
    </xf>
    <xf numFmtId="164" fontId="2" fillId="0" borderId="1" xfId="1" applyNumberFormat="1" applyFont="1" applyBorder="1" applyAlignment="1">
      <alignment horizontal="center"/>
    </xf>
    <xf numFmtId="165" fontId="6" fillId="0" borderId="1" xfId="1" applyNumberFormat="1" applyFont="1" applyBorder="1" applyAlignment="1">
      <alignment horizontal="center"/>
    </xf>
    <xf numFmtId="164" fontId="6" fillId="0" borderId="1" xfId="1" applyNumberFormat="1" applyFont="1" applyBorder="1" applyAlignment="1">
      <alignment horizontal="center"/>
    </xf>
    <xf numFmtId="164" fontId="8" fillId="0" borderId="1" xfId="1" applyNumberFormat="1" applyFont="1" applyBorder="1" applyAlignment="1">
      <alignment horizontal="center"/>
    </xf>
    <xf numFmtId="164" fontId="9" fillId="0" borderId="1" xfId="1" applyNumberFormat="1" applyFont="1" applyBorder="1" applyAlignment="1">
      <alignment horizontal="center"/>
    </xf>
    <xf numFmtId="3" fontId="7" fillId="0" borderId="1" xfId="1" applyNumberFormat="1" applyFont="1" applyBorder="1" applyAlignment="1">
      <alignment horizontal="center"/>
    </xf>
    <xf numFmtId="3" fontId="3" fillId="2" borderId="1" xfId="1" applyNumberFormat="1" applyFont="1" applyFill="1" applyBorder="1" applyAlignment="1">
      <alignment horizontal="center"/>
    </xf>
    <xf numFmtId="166" fontId="2" fillId="0" borderId="0" xfId="1" applyNumberFormat="1" applyFont="1" applyAlignment="1">
      <alignment horizontal="center"/>
    </xf>
    <xf numFmtId="3" fontId="8" fillId="0" borderId="1" xfId="1" applyNumberFormat="1" applyFont="1" applyBorder="1" applyAlignment="1">
      <alignment horizontal="center"/>
    </xf>
    <xf numFmtId="3" fontId="9" fillId="0" borderId="2" xfId="1" applyNumberFormat="1" applyFont="1" applyBorder="1" applyAlignment="1">
      <alignment horizontal="center" vertical="center" wrapText="1"/>
    </xf>
    <xf numFmtId="4" fontId="2" fillId="0" borderId="1" xfId="1" applyNumberFormat="1" applyFont="1" applyBorder="1" applyAlignment="1">
      <alignment horizontal="center"/>
    </xf>
    <xf numFmtId="3" fontId="7" fillId="0" borderId="0" xfId="1" applyNumberFormat="1" applyFont="1" applyAlignment="1">
      <alignment horizontal="center"/>
    </xf>
    <xf numFmtId="167" fontId="7" fillId="0" borderId="0" xfId="1" applyNumberFormat="1" applyFont="1" applyAlignment="1">
      <alignment horizontal="center"/>
    </xf>
    <xf numFmtId="3" fontId="10" fillId="0" borderId="2" xfId="1" applyNumberFormat="1" applyFont="1" applyBorder="1" applyAlignment="1">
      <alignment horizontal="center" vertical="center" wrapText="1"/>
    </xf>
    <xf numFmtId="3" fontId="7" fillId="0" borderId="1" xfId="1" applyNumberFormat="1" applyFont="1" applyBorder="1" applyAlignment="1">
      <alignment horizontal="center" vertical="center" wrapText="1"/>
    </xf>
    <xf numFmtId="3" fontId="7" fillId="0" borderId="1" xfId="1" applyNumberFormat="1" applyFont="1" applyBorder="1" applyAlignment="1">
      <alignment horizontal="center" vertical="center"/>
    </xf>
    <xf numFmtId="14" fontId="7" fillId="0" borderId="2" xfId="2" applyNumberFormat="1" applyFont="1" applyBorder="1" applyAlignment="1">
      <alignment vertical="center" shrinkToFit="1"/>
    </xf>
    <xf numFmtId="3" fontId="7" fillId="0" borderId="2" xfId="1" applyNumberFormat="1" applyFont="1" applyBorder="1" applyAlignment="1">
      <alignment horizontal="center" vertical="center"/>
    </xf>
    <xf numFmtId="3" fontId="2" fillId="0" borderId="1" xfId="1" applyNumberFormat="1" applyFont="1" applyBorder="1" applyAlignment="1">
      <alignment horizontal="center" vertical="center" wrapText="1"/>
    </xf>
    <xf numFmtId="3" fontId="2" fillId="0" borderId="10" xfId="1" applyNumberFormat="1" applyFont="1" applyBorder="1" applyAlignment="1">
      <alignment horizontal="center"/>
    </xf>
    <xf numFmtId="3" fontId="2" fillId="0" borderId="11" xfId="1" applyNumberFormat="1" applyFont="1" applyBorder="1" applyAlignment="1">
      <alignment horizontal="center"/>
    </xf>
    <xf numFmtId="3" fontId="3" fillId="0" borderId="11" xfId="1" applyNumberFormat="1" applyFont="1" applyBorder="1" applyAlignment="1">
      <alignment horizontal="center"/>
    </xf>
    <xf numFmtId="3" fontId="2" fillId="0" borderId="11" xfId="1" applyNumberFormat="1" applyFont="1" applyBorder="1" applyAlignment="1">
      <alignment horizontal="center" vertical="center"/>
    </xf>
    <xf numFmtId="3" fontId="2" fillId="0" borderId="12" xfId="1" applyNumberFormat="1" applyFont="1" applyBorder="1"/>
    <xf numFmtId="3" fontId="11" fillId="0" borderId="13" xfId="1" applyNumberFormat="1" applyFont="1" applyBorder="1" applyAlignment="1">
      <alignment horizontal="center"/>
    </xf>
    <xf numFmtId="3" fontId="11" fillId="0" borderId="14" xfId="1" applyNumberFormat="1" applyFont="1" applyBorder="1" applyAlignment="1">
      <alignment horizontal="center"/>
    </xf>
    <xf numFmtId="0" fontId="4" fillId="0" borderId="14" xfId="3" applyFont="1" applyBorder="1"/>
    <xf numFmtId="0" fontId="4" fillId="0" borderId="14" xfId="3" applyFont="1" applyBorder="1" applyAlignment="1">
      <alignment vertical="center"/>
    </xf>
    <xf numFmtId="0" fontId="4" fillId="0" borderId="15" xfId="3" applyFont="1" applyBorder="1" applyAlignment="1">
      <alignment vertical="center"/>
    </xf>
    <xf numFmtId="3" fontId="4" fillId="0" borderId="14" xfId="3" applyNumberFormat="1" applyFont="1" applyBorder="1" applyAlignment="1">
      <alignment vertical="center"/>
    </xf>
    <xf numFmtId="3" fontId="11" fillId="0" borderId="16" xfId="1" applyNumberFormat="1" applyFont="1" applyBorder="1" applyAlignment="1">
      <alignment horizontal="center"/>
    </xf>
    <xf numFmtId="3" fontId="11" fillId="0" borderId="17" xfId="1" applyNumberFormat="1" applyFont="1" applyBorder="1" applyAlignment="1">
      <alignment horizontal="center"/>
    </xf>
    <xf numFmtId="0" fontId="4" fillId="0" borderId="17" xfId="3" applyFont="1" applyBorder="1"/>
    <xf numFmtId="0" fontId="4" fillId="0" borderId="17" xfId="3" applyFont="1" applyBorder="1" applyAlignment="1">
      <alignment vertical="center"/>
    </xf>
    <xf numFmtId="0" fontId="4" fillId="0" borderId="18" xfId="3" applyFont="1" applyBorder="1" applyAlignment="1">
      <alignment vertical="center"/>
    </xf>
    <xf numFmtId="3" fontId="6" fillId="2" borderId="1" xfId="1" applyNumberFormat="1" applyFont="1" applyFill="1" applyBorder="1" applyAlignment="1">
      <alignment horizontal="center" vertical="center"/>
    </xf>
    <xf numFmtId="14" fontId="6" fillId="2" borderId="1" xfId="2" applyNumberFormat="1" applyFont="1" applyFill="1" applyBorder="1" applyAlignment="1">
      <alignment vertical="center" shrinkToFit="1"/>
    </xf>
    <xf numFmtId="3" fontId="6" fillId="2" borderId="1" xfId="1" applyNumberFormat="1" applyFont="1" applyFill="1" applyBorder="1" applyAlignment="1">
      <alignment horizontal="center" vertical="center" wrapText="1"/>
    </xf>
    <xf numFmtId="3" fontId="6" fillId="2" borderId="1" xfId="1" applyNumberFormat="1" applyFont="1" applyFill="1" applyBorder="1" applyAlignment="1">
      <alignment horizontal="center"/>
    </xf>
    <xf numFmtId="0" fontId="6" fillId="2" borderId="1" xfId="1" applyFont="1" applyFill="1" applyBorder="1" applyAlignment="1">
      <alignment horizontal="center"/>
    </xf>
    <xf numFmtId="3" fontId="6" fillId="2" borderId="0" xfId="1" applyNumberFormat="1" applyFont="1" applyFill="1" applyAlignment="1">
      <alignment horizontal="center"/>
    </xf>
    <xf numFmtId="3" fontId="6" fillId="0" borderId="1" xfId="1" applyNumberFormat="1" applyFont="1" applyBorder="1" applyAlignment="1">
      <alignment horizontal="center" vertical="center"/>
    </xf>
    <xf numFmtId="14" fontId="6" fillId="0" borderId="1" xfId="2" applyNumberFormat="1" applyFont="1" applyBorder="1" applyAlignment="1">
      <alignment vertical="center" shrinkToFit="1"/>
    </xf>
    <xf numFmtId="3" fontId="6" fillId="0" borderId="1" xfId="1" applyNumberFormat="1" applyFont="1" applyBorder="1" applyAlignment="1">
      <alignment horizontal="center" vertical="center" wrapText="1"/>
    </xf>
    <xf numFmtId="0" fontId="6" fillId="0" borderId="1" xfId="1" applyFont="1" applyBorder="1" applyAlignment="1">
      <alignment horizontal="center"/>
    </xf>
    <xf numFmtId="3" fontId="6" fillId="0" borderId="0" xfId="1" applyNumberFormat="1" applyFont="1" applyAlignment="1">
      <alignment horizontal="center"/>
    </xf>
    <xf numFmtId="3" fontId="0" fillId="0" borderId="0" xfId="0" applyNumberFormat="1"/>
    <xf numFmtId="3" fontId="19" fillId="0" borderId="1" xfId="1" applyNumberFormat="1" applyFont="1" applyBorder="1" applyAlignment="1">
      <alignment horizontal="center" vertical="center"/>
    </xf>
    <xf numFmtId="4" fontId="4" fillId="0" borderId="1" xfId="1" applyNumberFormat="1" applyFont="1" applyBorder="1" applyAlignment="1">
      <alignment horizontal="center"/>
    </xf>
    <xf numFmtId="4" fontId="4" fillId="2" borderId="1" xfId="1" applyNumberFormat="1" applyFont="1" applyFill="1" applyBorder="1" applyAlignment="1">
      <alignment horizontal="center"/>
    </xf>
    <xf numFmtId="0" fontId="14" fillId="0" borderId="1" xfId="3" applyFont="1" applyBorder="1" applyAlignment="1">
      <alignment horizontal="center" vertical="center" wrapText="1"/>
    </xf>
    <xf numFmtId="3" fontId="2" fillId="0" borderId="2" xfId="1" applyNumberFormat="1" applyFont="1" applyBorder="1" applyAlignment="1">
      <alignment horizontal="center" vertical="center" wrapText="1"/>
    </xf>
    <xf numFmtId="3" fontId="2" fillId="0" borderId="3" xfId="1" applyNumberFormat="1" applyFont="1" applyBorder="1" applyAlignment="1">
      <alignment horizontal="center" vertical="center" wrapText="1"/>
    </xf>
    <xf numFmtId="3" fontId="2" fillId="0" borderId="9" xfId="1" applyNumberFormat="1" applyFont="1" applyBorder="1" applyAlignment="1">
      <alignment horizontal="center" vertical="center" wrapText="1"/>
    </xf>
    <xf numFmtId="3" fontId="2" fillId="0" borderId="8" xfId="1" applyNumberFormat="1" applyFont="1" applyBorder="1" applyAlignment="1">
      <alignment horizontal="center" vertical="center" wrapText="1"/>
    </xf>
    <xf numFmtId="3" fontId="2" fillId="0" borderId="7" xfId="1" applyNumberFormat="1" applyFont="1" applyBorder="1" applyAlignment="1">
      <alignment horizontal="center" vertical="center" wrapText="1"/>
    </xf>
    <xf numFmtId="3" fontId="3" fillId="0" borderId="9" xfId="1" applyNumberFormat="1" applyFont="1" applyBorder="1" applyAlignment="1">
      <alignment horizontal="center" vertical="center" wrapText="1"/>
    </xf>
    <xf numFmtId="3" fontId="3" fillId="0" borderId="8" xfId="1" applyNumberFormat="1" applyFont="1" applyBorder="1" applyAlignment="1">
      <alignment horizontal="center" vertical="center" wrapText="1"/>
    </xf>
    <xf numFmtId="3" fontId="3" fillId="0" borderId="7" xfId="1" applyNumberFormat="1" applyFont="1" applyBorder="1" applyAlignment="1">
      <alignment horizontal="center" vertical="center" wrapText="1"/>
    </xf>
    <xf numFmtId="14" fontId="4" fillId="0" borderId="14" xfId="3" applyNumberFormat="1" applyFont="1" applyBorder="1" applyAlignment="1">
      <alignment horizontal="center" vertical="center"/>
    </xf>
    <xf numFmtId="3" fontId="2" fillId="0" borderId="6" xfId="1" applyNumberFormat="1" applyFont="1" applyBorder="1" applyAlignment="1">
      <alignment horizontal="center" vertical="center" wrapText="1"/>
    </xf>
    <xf numFmtId="3" fontId="2" fillId="0" borderId="5" xfId="1" applyNumberFormat="1" applyFont="1" applyBorder="1" applyAlignment="1">
      <alignment horizontal="center" vertical="center" wrapText="1"/>
    </xf>
    <xf numFmtId="3" fontId="2" fillId="0" borderId="4" xfId="1" applyNumberFormat="1" applyFont="1" applyBorder="1" applyAlignment="1">
      <alignment horizontal="center" vertical="center" wrapText="1"/>
    </xf>
    <xf numFmtId="0" fontId="14" fillId="0" borderId="6" xfId="3" applyFont="1" applyBorder="1" applyAlignment="1">
      <alignment horizontal="center" vertical="center" wrapText="1"/>
    </xf>
    <xf numFmtId="0" fontId="14" fillId="0" borderId="5" xfId="3" applyFont="1" applyBorder="1" applyAlignment="1">
      <alignment horizontal="center" vertical="center" wrapText="1"/>
    </xf>
    <xf numFmtId="0" fontId="14" fillId="0" borderId="4" xfId="3" applyFont="1" applyBorder="1" applyAlignment="1">
      <alignment horizontal="center" vertical="center" wrapText="1"/>
    </xf>
    <xf numFmtId="0" fontId="14" fillId="0" borderId="21" xfId="3" applyFont="1" applyBorder="1" applyAlignment="1">
      <alignment horizontal="center" vertical="center" wrapText="1"/>
    </xf>
    <xf numFmtId="0" fontId="14" fillId="0" borderId="20" xfId="3" applyFont="1" applyBorder="1" applyAlignment="1">
      <alignment horizontal="center" vertical="center" wrapText="1"/>
    </xf>
    <xf numFmtId="0" fontId="14" fillId="0" borderId="19" xfId="3" applyFont="1" applyBorder="1" applyAlignment="1">
      <alignment horizontal="center" vertical="center" wrapText="1"/>
    </xf>
    <xf numFmtId="3" fontId="11" fillId="0" borderId="6" xfId="1" applyNumberFormat="1" applyFont="1" applyBorder="1" applyAlignment="1">
      <alignment horizontal="center"/>
    </xf>
    <xf numFmtId="3" fontId="11" fillId="0" borderId="5" xfId="1" applyNumberFormat="1" applyFont="1" applyBorder="1" applyAlignment="1">
      <alignment horizontal="center"/>
    </xf>
    <xf numFmtId="3" fontId="11" fillId="0" borderId="4" xfId="1" applyNumberFormat="1" applyFont="1" applyBorder="1" applyAlignment="1">
      <alignment horizontal="center"/>
    </xf>
    <xf numFmtId="3" fontId="11" fillId="0" borderId="21" xfId="1" applyNumberFormat="1" applyFont="1" applyBorder="1" applyAlignment="1">
      <alignment horizontal="center" wrapText="1"/>
    </xf>
    <xf numFmtId="3" fontId="11" fillId="0" borderId="20" xfId="1" applyNumberFormat="1" applyFont="1" applyBorder="1" applyAlignment="1">
      <alignment horizontal="center" wrapText="1"/>
    </xf>
    <xf numFmtId="3" fontId="11" fillId="0" borderId="19" xfId="1" applyNumberFormat="1" applyFont="1" applyBorder="1" applyAlignment="1">
      <alignment horizontal="center" wrapText="1"/>
    </xf>
    <xf numFmtId="3" fontId="11" fillId="0" borderId="21" xfId="1" applyNumberFormat="1" applyFont="1" applyBorder="1" applyAlignment="1">
      <alignment horizontal="center"/>
    </xf>
    <xf numFmtId="3" fontId="11" fillId="0" borderId="20" xfId="1" applyNumberFormat="1" applyFont="1" applyBorder="1" applyAlignment="1">
      <alignment horizontal="center"/>
    </xf>
    <xf numFmtId="3" fontId="11" fillId="0" borderId="19" xfId="1" applyNumberFormat="1" applyFont="1" applyBorder="1" applyAlignment="1">
      <alignment horizontal="center"/>
    </xf>
    <xf numFmtId="0" fontId="13" fillId="0" borderId="9" xfId="3" applyFont="1" applyBorder="1" applyAlignment="1">
      <alignment horizontal="center" vertical="center" wrapText="1"/>
    </xf>
    <xf numFmtId="0" fontId="13" fillId="0" borderId="8" xfId="3" applyFont="1" applyBorder="1" applyAlignment="1">
      <alignment horizontal="center" vertical="center" wrapText="1"/>
    </xf>
    <xf numFmtId="0" fontId="13" fillId="0" borderId="7" xfId="3" applyFont="1" applyBorder="1" applyAlignment="1">
      <alignment horizontal="center" vertical="center" wrapText="1"/>
    </xf>
  </cellXfs>
  <cellStyles count="7">
    <cellStyle name="Bình thường 2" xfId="1" xr:uid="{B9751293-8DCD-4DCC-B4F6-82580F88BC19}"/>
    <cellStyle name="Comma 2" xfId="4" xr:uid="{1E1A8C01-41DF-4ACF-9325-75B879134BAE}"/>
    <cellStyle name="Normal" xfId="0" builtinId="0"/>
    <cellStyle name="Normal 2" xfId="3" xr:uid="{81B74321-D23A-4C4B-90F4-167B403C8FDA}"/>
    <cellStyle name="Normal 3" xfId="5" xr:uid="{078A72B0-4A8F-4038-8C75-49B0479C1E34}"/>
    <cellStyle name="표준_계측(양식)" xfId="2" xr:uid="{E9DC0BA9-C155-4AAE-86C8-7CDAF796F5B1}"/>
    <cellStyle name="常规_路堤稳定和沉降观测 - 沉降板" xfId="6" xr:uid="{BABC7DE5-50DE-4ADF-9206-735DEA0F8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huong\e\Cac%20cong%20trinh%20nam%202006\Huong%20Lam%20-%20Ban%20Giang\Thap%20KTDT%2039B\Cang%20sai%20gon\Thanh%20toan\QTCT%20Sua%20chua%20bai%20RT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XL4Poppy"/>
      <sheetName val="kecot"/>
      <sheetName val="Gioi thieu"/>
      <sheetName val="VL"/>
      <sheetName val="Du Toan"/>
      <sheetName val="V-M(Bdinh)"/>
      <sheetName val="6823_PS_1700"/>
      <sheetName val="PU_ITALY_"/>
      <sheetName val="6823_PS_17001"/>
      <sheetName val="PU_ITALY_1"/>
      <sheetName val="갑지"/>
      <sheetName val="6823_PS_17002"/>
      <sheetName val="PU_ITALY_2"/>
      <sheetName val="XD4Poppy"/>
      <sheetName val="LKVL-CK-HT-GD1"/>
      <sheetName val="TONGKE-HT"/>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SILICATE"/>
      <sheetName val="TT35"/>
      <sheetName val="heso"/>
      <sheetName val="PT ksat"/>
      <sheetName val="LUONG KS"/>
      <sheetName val="May"/>
      <sheetName val="PTDG"/>
      <sheetName val="THDT"/>
      <sheetName val="VAT LIEU"/>
      <sheetName val="DTCT"/>
      <sheetName val="DATA"/>
      <sheetName val="luong"/>
      <sheetName val="MTO REV.2(ARMOR)"/>
      <sheetName val="ranh hong"/>
      <sheetName val="cot_xa"/>
      <sheetName val="NC"/>
      <sheetName val="Bia"/>
      <sheetName val="TTVanChuyen"/>
      <sheetName val="Equipment"/>
      <sheetName val="DT_THAU"/>
      <sheetName val="DGVL"/>
      <sheetName val="gVL"/>
      <sheetName val="??-BLDG"/>
      <sheetName val="Sheet3"/>
      <sheetName val="Electrical Breakdown"/>
      <sheetName val="KH tai chinh khoa san"/>
      <sheetName val="BG"/>
      <sheetName val="B-B"/>
      <sheetName val="Chenh lech vat tu"/>
      <sheetName val="Chiet tinh dz35"/>
      <sheetName val="A1.8 NhIII (1050k)"/>
      <sheetName val="Nhan cong nhom I"/>
      <sheetName val="Luong TT05"/>
      <sheetName val="10_VC đ. ngắn"/>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NhanCong"/>
      <sheetName val="Ts"/>
      <sheetName val="Sheet1"/>
      <sheetName val="__-BLDG"/>
      <sheetName val="ND"/>
      <sheetName val="조명시설"/>
      <sheetName val="Cp&gt;10-Ln&lt;10"/>
      <sheetName val="Ln&lt;20"/>
      <sheetName val="EIRR&gt;1&lt;1"/>
      <sheetName val="EIRR&gt; 2"/>
      <sheetName val="EIRR&lt;2"/>
      <sheetName val="QD957"/>
      <sheetName val="Config"/>
      <sheetName val="CP Du phong"/>
      <sheetName val="THCP Lap dat"/>
      <sheetName val="THCP Tuyen"/>
      <sheetName val="THDT goi thau TB"/>
      <sheetName val="Tong hop kinh phi"/>
      <sheetName val="Tien do TV"/>
      <sheetName val="TH"/>
      <sheetName val="PNT-QUOT-#3"/>
      <sheetName val="COAT&amp;WRAP-QIOT-#3"/>
      <sheetName val="THKL"/>
      <sheetName val="00000000"/>
      <sheetName val="10000000"/>
      <sheetName val="68-69"/>
      <sheetName val="Chi tiet ranh"/>
      <sheetName val="Duong Ngang"/>
      <sheetName val="San gia co"/>
      <sheetName val="Bien Bao"/>
      <sheetName val="Coc tieu - Coc H"/>
      <sheetName val="CT -THVLNC"/>
      <sheetName val="Luong A3"/>
      <sheetName val="Luong TT01"/>
      <sheetName val="DG_TN TB LE (2)"/>
      <sheetName val="Chi ti?t Goc -AB"/>
      <sheetName val="Chi ti_t Goc -AB"/>
      <sheetName val="Chiet tinh"/>
      <sheetName val="san dao"/>
      <sheetName val="Ty le"/>
      <sheetName val="MAIN GATE HOUSE"/>
      <sheetName val="THCP xay dung"/>
      <sheetName val="Don gia XD"/>
      <sheetName val="Du toan XD"/>
      <sheetName val="NC+MTC"/>
      <sheetName val="GiaVT"/>
      <sheetName val="Bang cap"/>
      <sheetName val="NOTE"/>
      <sheetName val="TN"/>
      <sheetName val="Canopy,SS5"/>
      <sheetName val="Vat tu"/>
      <sheetName val="Canopy,SS5 (2)"/>
      <sheetName val="Rate"/>
      <sheetName val="RAB AR&amp;STR"/>
      <sheetName val="escon"/>
      <sheetName val="D&amp;W def."/>
      <sheetName val="실행"/>
      <sheetName val="D+W"/>
      <sheetName val="SEX"/>
      <sheetName val="MTP"/>
      <sheetName val="MTP1"/>
      <sheetName val="SL"/>
      <sheetName val="노임단가"/>
      <sheetName val="DG-TNHC-85"/>
      <sheetName val="STRUCTURE.Q'TY"/>
      <sheetName val="REMAIN Q'TY - SUB"/>
      <sheetName val="P"/>
      <sheetName val="T K"/>
      <sheetName val="Nhan cong"/>
      <sheetName val="Thiet bi"/>
      <sheetName val="DM.ChiPhi"/>
      <sheetName val="May TC"/>
      <sheetName val="Phan tich"/>
      <sheetName val="Bang KL"/>
      <sheetName val="TH Kinh phi"/>
      <sheetName val="125x125"/>
      <sheetName val="vlieu"/>
      <sheetName val="DGCT"/>
      <sheetName val="NC "/>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C.BI DAO"/>
      <sheetName val="RFI-1"/>
      <sheetName val="Luong BN"/>
      <sheetName val="Luong TB"/>
      <sheetName val="Ca may TB"/>
      <sheetName val="Máy BN"/>
      <sheetName val="giavl"/>
      <sheetName val="KH-Q1,Q2,01"/>
      <sheetName val="macBT"/>
      <sheetName val="QD79"/>
      <sheetName val="Du lieu CKN"/>
      <sheetName val="PTDG "/>
      <sheetName val="AASHTO92"/>
      <sheetName val="Lương"/>
      <sheetName val="Ca máy"/>
      <sheetName val="TH khối lượng phải làm"/>
      <sheetName val="Tho lai may"/>
      <sheetName val="Don gia LD"/>
      <sheetName val="THDG"/>
      <sheetName val="A1.C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TNHC"/>
      <sheetName val="CT Thang Mo"/>
      <sheetName val="CT  PL"/>
      <sheetName val="Input"/>
      <sheetName val="FitOutConfCentre"/>
      <sheetName val="B3A - TOWER A"/>
      <sheetName val="F4-F7"/>
      <sheetName val="Main"/>
      <sheetName val="tifico"/>
      <sheetName val="UNIT PRICE"/>
      <sheetName val="Ratios"/>
      <sheetName val="마감사양"/>
      <sheetName val="6MONTHS"/>
      <sheetName val="NVL"/>
      <sheetName val="Office Tower"/>
      <sheetName val="GIAVLIEU"/>
      <sheetName val="Master"/>
      <sheetName val="SUM-AIR-Submit"/>
      <sheetName val="Earthwork"/>
      <sheetName val="BK04"/>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han tich tong hop"/>
      <sheetName val="Sàn T1"/>
      <sheetName val="Lỗ thông gió"/>
      <sheetName val="CT DZ"/>
      <sheetName val="1_Data"/>
      <sheetName val="Tong hop cpc"/>
      <sheetName val="PT_ksat"/>
      <sheetName val="LUONG_KS"/>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Ref"/>
      <sheetName val="ESTI."/>
      <sheetName val="DI-ESTI"/>
      <sheetName val="DS CHU Ph_x0001_"/>
      <sheetName val=""/>
      <sheetName val="材労機単価"/>
      <sheetName val="LME"/>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Cash2"/>
      <sheetName val="Z"/>
      <sheetName val="Bang chiet tinh TBA"/>
      <sheetName val="Div26 - Elect"/>
      <sheetName val="Hệ số"/>
      <sheetName val="Động cơ"/>
      <sheetName val="BQ"/>
      <sheetName val="Currency Rate"/>
      <sheetName val="EXTERNAL"/>
      <sheetName val="proj"/>
      <sheetName val="BTT (CAT COC)"/>
      <sheetName val="KESSAN"/>
      <sheetName val="Cash Flow"/>
      <sheetName val="Yield"/>
      <sheetName val="Sheet4"/>
      <sheetName val="실행철강하도"/>
      <sheetName val="DM"/>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見積書"/>
      <sheetName val="ThongTinBanDau"/>
      <sheetName val="Gia. vat tu"/>
      <sheetName val="Tra_bang"/>
      <sheetName val="BID"/>
      <sheetName val="TOSHIBA-Structure"/>
      <sheetName val="Tong hop"/>
      <sheetName val="Gia"/>
      <sheetName val="Tennancy"/>
      <sheetName val="TinhGiaNC"/>
      <sheetName val="VCBo"/>
      <sheetName val="DMCP"/>
      <sheetName val="TH Vat tu"/>
      <sheetName val="BocXep"/>
      <sheetName val="TinhGiaMTC"/>
      <sheetName val="TH MTC"/>
      <sheetName val="TH N.Cong"/>
      <sheetName val="VCThuy"/>
      <sheetName val="SITE-E"/>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BXLDL"/>
      <sheetName val="Tien_do_TV"/>
      <sheetName val="CP_Du_phong"/>
      <sheetName val="Tong_hop_kinh_phi"/>
      <sheetName val="THDT_goi_thau_TB"/>
      <sheetName val="TLg CN&amp;Laixe"/>
      <sheetName val="TLg CN&amp;Laixe (2)"/>
      <sheetName val="TLg Laitau"/>
      <sheetName val="TLg Laitau (2)"/>
      <sheetName val="TH1"/>
      <sheetName val="데이타"/>
      <sheetName val="식재인부"/>
      <sheetName val="Don gia (khong in)"/>
      <sheetName val="入力作成表"/>
      <sheetName val="149-2"/>
      <sheetName val="khung ten TD"/>
      <sheetName val="List"/>
      <sheetName val="Elec LG"/>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Chiettinh dz0,4"/>
      <sheetName val="THEP TAM"/>
      <sheetName val="THEP HÌNH"/>
      <sheetName val="THEP HINH"/>
      <sheetName val="XA GO"/>
      <sheetName val="BANG TRA"/>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OQ_CAU CAN"/>
      <sheetName val="DGPS"/>
      <sheetName val="CPC"/>
      <sheetName val="Tính toàn đào đất"/>
      <sheetName val="Khối lượng cốt thép"/>
      <sheetName val="Chi tiết chi phí chung"/>
      <sheetName val="CP. SD Điện"/>
      <sheetName val="BM"/>
      <sheetName val="TOEC"/>
      <sheetName val="目次"/>
      <sheetName val="電気設備表"/>
      <sheetName val="kinh."/>
      <sheetName val="Profile"/>
      <sheetName val="03 Detailed"/>
      <sheetName val="01 Bid Price summary"/>
      <sheetName val="Breadown"/>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Material"/>
      <sheetName val="Sum material"/>
      <sheetName val="Detail"/>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 val="names"/>
      <sheetName val="LaborPY"/>
      <sheetName val="LaborKH"/>
      <sheetName val="Equip "/>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TSCK"/>
      <sheetName val="DMCV"/>
      <sheetName val="TỔNG HỢP KHỐI LƯỢNG"/>
      <sheetName val="NƯƠC CẤP TRỤC + TAY NHÁNH"/>
      <sheetName val="CTEMCOST"/>
      <sheetName val="SORT"/>
      <sheetName val="BANRA"/>
      <sheetName val="KL san lap"/>
      <sheetName val="Temp&amp;Site"/>
      <sheetName val="Budget Code"/>
      <sheetName val="Code"/>
      <sheetName val="係数"/>
      <sheetName val="BẢNG ÁP GIÁ (in)"/>
      <sheetName val="NT (KL) IN"/>
      <sheetName val="DOM D2"/>
      <sheetName val="nhà ăn"/>
      <sheetName val="Công nhật"/>
      <sheetName val="btkt cột"/>
      <sheetName val="THÉP"/>
      <sheetName val="E"/>
      <sheetName val="Breadown-Nop"/>
      <sheetName val="MHMay-13"/>
      <sheetName val="装置"/>
      <sheetName val="hrs &amp; prg"/>
      <sheetName val="TH thiet bi"/>
      <sheetName val="TH may TC"/>
      <sheetName val="Bang phan tich"/>
      <sheetName val="DM Chi phi"/>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luong "/>
      <sheetName val="Bill rekap"/>
      <sheetName val="VTLD"/>
      <sheetName val="Cost Report Sum"/>
      <sheetName val="QLDA"/>
      <sheetName val="CFA (ME)"/>
      <sheetName val="GOC-KO IN"/>
      <sheetName val="CTDZTA(5)"/>
      <sheetName val="THONG SO"/>
      <sheetName val="Đơn giá chi tiết TN 39"/>
      <sheetName val="KLHT"/>
      <sheetName val="Thong tin"/>
      <sheetName val="Danh muc NT cong viec"/>
      <sheetName val="Danh muc NT Giai doan"/>
      <sheetName val="Danh muc NT Vat lieu"/>
      <sheetName val="ND Nhat ky"/>
      <sheetName val="NT cong viec"/>
      <sheetName val="Solieutinh"/>
      <sheetName val="Sheet1 (2)"/>
      <sheetName val="0"/>
      <sheetName val="Dầm 1"/>
      <sheetName val="Cọc nhồi"/>
      <sheetName val="Moäul'1"/>
      <sheetName val="1. BCC T03.2018"/>
      <sheetName val="2.  BCC T04.2018"/>
      <sheetName val="Assumptions"/>
      <sheetName val="XD nhanh 3"/>
      <sheetName val="5.2.1 Đo bóc KL OLK-10"/>
      <sheetName val="4.2.1 Đo bóc KL OLK-06"/>
      <sheetName val="4.1.1 CHI TIET OLK-06"/>
      <sheetName val="負荷集計（断熱不燃）"/>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DLN"/>
      <sheetName val="Muc Luc"/>
      <sheetName val="Tra cuu 79"/>
      <sheetName val="BuilderWorkForME"/>
      <sheetName val="Lương hưng Yên vùng 2"/>
      <sheetName val="Lương Hà Nam"/>
      <sheetName val="Ca máy Hà Nam"/>
      <sheetName val="ca máy Hưng Yên"/>
      <sheetName val="Lương HN"/>
      <sheetName val="Lương VP"/>
      <sheetName val="Ca máy HN"/>
      <sheetName val="Ca máy VP"/>
      <sheetName val="B1.CN"/>
      <sheetName val="Máy"/>
      <sheetName val="ELEC"/>
      <sheetName val="Maker List"/>
      <sheetName val="REQUEST BUILDER"/>
      <sheetName val="TTDZ22"/>
      <sheetName val="Thuc thanh"/>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DAU VAO"/>
      <sheetName val="5.Khoan"/>
      <sheetName val="1. TH"/>
      <sheetName val="3.1.1"/>
      <sheetName val="3.1.4"/>
      <sheetName val="2.5.1"/>
      <sheetName val="4.1.1"/>
      <sheetName val="4.3.2"/>
      <sheetName val="2.3.3"/>
      <sheetName val="5.3.1"/>
      <sheetName val="2.4.3"/>
      <sheetName val="Bao cao"/>
      <sheetName val="Banbuc"/>
      <sheetName val="Dinh nghia"/>
      <sheetName val="DZ 35"/>
      <sheetName val="Cto"/>
      <sheetName val="MTL$-INTER"/>
      <sheetName val="Thongtin"/>
      <sheetName val="Phanlop"/>
      <sheetName val="Chi_ti_t_Goc_-AB1"/>
      <sheetName val="GVL-tuyến"/>
      <sheetName val="Labor"/>
      <sheetName val="Breakdown"/>
      <sheetName val="Equip"/>
      <sheetName val="Process (R)"/>
      <sheetName val="Process (T)"/>
      <sheetName val="Mortar"/>
      <sheetName val="THCP - PA1"/>
      <sheetName val="THDT goi thau XD"/>
      <sheetName val="THCP thiet bi"/>
      <sheetName val="Don gia tong hop"/>
      <sheetName val="DMTL"/>
      <sheetName val="Du thau LD"/>
      <sheetName val="Du thau XD"/>
      <sheetName val="Du toan LD"/>
      <sheetName val="Gia ca may LD"/>
      <sheetName val="Gia ca may XD"/>
      <sheetName val="CP mua sam TB"/>
      <sheetName val="Nhan cong LD"/>
      <sheetName val="Nhan cong XD"/>
      <sheetName val="Gia vua LD"/>
      <sheetName val="Gia vua XD"/>
      <sheetName val="Thong ke thep"/>
      <sheetName val="TH vat tu LD"/>
      <sheetName val="TH vat tu XD"/>
      <sheetName val="Gia vat lieu HTLD"/>
      <sheetName val="Gia vat lieu HTXD"/>
      <sheetName val="Dự thầu (NS1)"/>
      <sheetName val="D&amp;W"/>
      <sheetName val="Cong nợ"/>
      <sheetName val="GA 15"/>
      <sheetName val="CHICLAND"/>
      <sheetName val="HILTON"/>
      <sheetName val="HÒA XUÂN II"/>
      <sheetName val="KEMBEACH-SUN"/>
      <sheetName val="LƯƠNG YÊN"/>
      <sheetName val="OCEAN GATE"/>
      <sheetName val="KEMBEACH-AA"/>
      <sheetName val="PREMIER-SUN"/>
      <sheetName val="THÀNH ĐÔ"/>
      <sheetName val="TT05"/>
      <sheetName val="3"/>
      <sheetName val="2"/>
      <sheetName val="6.1"/>
      <sheetName val="BASE"/>
      <sheetName val="Luong+may"/>
      <sheetName val="PT_ksat1"/>
      <sheetName val="LUONG_KS1"/>
      <sheetName val="VAT_LIEU1"/>
      <sheetName val="ranh_hong1"/>
      <sheetName val="THEP_TAM1"/>
      <sheetName val="THEP_HÌNH1"/>
      <sheetName val="THEP_HINH1"/>
      <sheetName val="XA_GO1"/>
      <sheetName val="BANG_TRA1"/>
      <sheetName val="Elec_LG1"/>
      <sheetName val="Bill_2_1_BOQ_ĐIỆN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DS CHU Ph_x0001__x0"/>
      <sheetName val="STR"/>
      <sheetName val="Breakdown (B)"/>
      <sheetName val="Thép phần thô"/>
      <sheetName val="개산공사비"/>
      <sheetName val="Tong du toan"/>
      <sheetName val="DGchitiet "/>
      <sheetName val="CP HMC"/>
      <sheetName val="TH_CPTB"/>
      <sheetName val="CP Khac cuoc VC"/>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THVT"/>
      <sheetName val="Keothep"/>
      <sheetName val="Cover"/>
      <sheetName val="HVAC"/>
      <sheetName val="P&amp;S"/>
      <sheetName val="Changelog"/>
      <sheetName val="banggia1"/>
      <sheetName val="Luong GT"/>
      <sheetName val="Bend"/>
      <sheetName val="THTHTBA"/>
      <sheetName val="DG7606"/>
      <sheetName val="Bảng nhân công"/>
      <sheetName val="DS CHU Ph_x005f_x0001__x005f_x005f_x0"/>
      <sheetName val="KL phat sinh"/>
      <sheetName val="SP10"/>
      <sheetName val="INFOR-ST"/>
      <sheetName val="Mẫu số 21a"/>
      <sheetName val="간접비 계정목록"/>
      <sheetName val="Doanh thu (Liveline PA1)"/>
      <sheetName val="Chiet tinh dz22"/>
      <sheetName val="N_TKP"/>
      <sheetName val="Gia NC theo QD 2207-QD-UBND"/>
      <sheetName val="Nhan cong nhom II"/>
      <sheetName val="begin"/>
      <sheetName val="6.GIA"/>
      <sheetName val="Tongke Thu hoi"/>
      <sheetName val="Don gia 1 ngay cong môi trường"/>
      <sheetName val="MTO REV.0"/>
      <sheetName val="TDTKP (2)"/>
      <sheetName val="TONGKE3p"/>
      <sheetName val="CHITIET VL-NC-DDTT3PHA "/>
      <sheetName val="CHITIET VL-NC-TT1p"/>
      <sheetName val="Du lieu"/>
      <sheetName val="설계내역서"/>
      <sheetName val="4.3 Scope of work "/>
      <sheetName val="__"/>
      <sheetName val="_ QUOTATION.xlsx"/>
      <sheetName val="Mã"/>
      <sheetName val="Luong_Cnhan"/>
      <sheetName val="Tong hop vat tu"/>
      <sheetName val="Phan tich ca may"/>
      <sheetName val="Chenh lech ca may"/>
      <sheetName val="Chiet tinh don gia"/>
      <sheetName val="Cua Phang Tran"/>
      <sheetName val="SPL4"/>
      <sheetName val="unit"/>
      <sheetName val="BCVC ."/>
      <sheetName val="May Goc (QD2436)"/>
      <sheetName val="VL-NC-M"/>
      <sheetName val="Danh mục HS"/>
      <sheetName val="Lương 1900nhóm I"/>
      <sheetName val="1900 nhóm II"/>
      <sheetName val="Lương 2000nhómII"/>
      <sheetName val="Máy Ngân Sơn"/>
      <sheetName val="Giá VL"/>
      <sheetName val="KH 2010 PA2"/>
      <sheetName val="van khuon"/>
      <sheetName val="CTG"/>
      <sheetName val="DGG"/>
      <sheetName val="Huong dan"/>
      <sheetName val="KIEM TOAN (PC32)"/>
      <sheetName val="Chiet giam"/>
      <sheetName val="DAO DAP CONG"/>
      <sheetName val="KL-CHITIET"/>
      <sheetName val="Bang chu"/>
      <sheetName val="LK-0.4"/>
      <sheetName val="CAPPHOI"/>
      <sheetName val="FT"/>
      <sheetName val="Chiet_tinh"/>
      <sheetName val="san_dao"/>
      <sheetName val="Ty_le"/>
      <sheetName val="CT_-THVLNC"/>
      <sheetName val="A1_8_NhIII_(1050k)1"/>
      <sheetName val="Nhan_cong_nhom_I1"/>
      <sheetName val="Luong_TT051"/>
      <sheetName val="10_VC_đ__ngắn1"/>
      <sheetName val="Chiet_tinh1"/>
      <sheetName val="san_dao1"/>
      <sheetName val="Ty_le1"/>
      <sheetName val="CT_-THVLNC1"/>
      <sheetName val="GVL-PL"/>
      <sheetName val="A6,MAY"/>
      <sheetName val="THKP"/>
      <sheetName val="CPTH"/>
      <sheetName val="Reference"/>
      <sheetName val="Setting"/>
      <sheetName val="LUACHONTHIETBI"/>
      <sheetName val="Khoiluongmong"/>
      <sheetName val="Gia vat tu"/>
      <sheetName val="CANDOI_CT"/>
      <sheetName val="MATK"/>
      <sheetName val="tra-vat-lieu"/>
      <sheetName val="QMCT"/>
      <sheetName val="Don gia chi tiet"/>
      <sheetName val="NC3"/>
      <sheetName val="BL.A1.8-1.350"/>
      <sheetName val="1,TMĐT "/>
      <sheetName val="NC.15"/>
      <sheetName val="Ca may"/>
      <sheetName val="PTCT"/>
      <sheetName val="Cước VC + ĐM CP Tư vấn"/>
      <sheetName val="1B Cai tao PA2"/>
      <sheetName val="Chung"/>
      <sheetName val="cPanel"/>
      <sheetName val="GC"/>
      <sheetName val="HG_Info"/>
      <sheetName val="Nghỉ lễ"/>
      <sheetName val="Mác"/>
      <sheetName val="QC"/>
      <sheetName val="CO"/>
      <sheetName val="Tai trong"/>
      <sheetName val="Diện tích sàn TT2-GB"/>
      <sheetName val="TH KL thô "/>
      <sheetName val="KL XÂY TT2-GB"/>
      <sheetName val="VL-NC-M."/>
      <sheetName val="THCP"/>
      <sheetName val="ptvl"/>
      <sheetName val="ptm"/>
      <sheetName val="Div10"/>
      <sheetName val="Div11"/>
      <sheetName val="Div12"/>
      <sheetName val="Div13"/>
      <sheetName val="Div2"/>
      <sheetName val="Div4"/>
      <sheetName val="Div5"/>
      <sheetName val="Div6"/>
      <sheetName val="Div7"/>
      <sheetName val="Div8"/>
      <sheetName val="Div9"/>
      <sheetName val="K98"/>
      <sheetName val="Div 13"/>
      <sheetName val="11-MEPF"/>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GV1-D13 (Casement door)"/>
      <sheetName val="built-up rate"/>
      <sheetName val="List of works"/>
      <sheetName val="GEN REQ"/>
      <sheetName val="SD and START UP"/>
      <sheetName val="VT NC M"/>
      <sheetName val="KHỐI LƯỢNG TB - newFormat"/>
      <sheetName val="BOQ"/>
      <sheetName val="PKKK"/>
      <sheetName val="Kính"/>
      <sheetName val="Bảng Phân Tích Chi Phí"/>
      <sheetName val="VTP"/>
      <sheetName val="6823_PS_17006"/>
      <sheetName val="PU_ITALY_6"/>
      <sheetName val="Vat_tu4"/>
      <sheetName val="Canopy,SS5_(2)4"/>
      <sheetName val="RAB_AR&amp;STR4"/>
      <sheetName val="THCP_Lap_dat4"/>
      <sheetName val="THCP_xay_dung4"/>
      <sheetName val="D&amp;W_def_3"/>
      <sheetName val="KH_tai_chinh_khoa_san3"/>
      <sheetName val="Gioi_thieu3"/>
      <sheetName val="Du_Toan3"/>
      <sheetName val="he_so3"/>
      <sheetName val="TONG_HOP_VL-NC3"/>
      <sheetName val="TONGKE3p_3"/>
      <sheetName val="TH_VL,_NC,_DDHT_Thanhphuoc3"/>
      <sheetName val="DON_GIA3"/>
      <sheetName val="CHITIET_VL-NC3"/>
      <sheetName val="MAIN_GATE_HOUSE3"/>
      <sheetName val="DG_duoi3"/>
      <sheetName val="B3A_-_TOWER_A3"/>
      <sheetName val="STRUCTURE_Q'TY3"/>
      <sheetName val="REMAIN_Q'TY_-_SUB3"/>
      <sheetName val="Nhan_cong3"/>
      <sheetName val="Thiet_bi3"/>
      <sheetName val="DM_ChiPhi3"/>
      <sheetName val="May_TC3"/>
      <sheetName val="Phan_tich3"/>
      <sheetName val="Bang_KL3"/>
      <sheetName val="TH_Kinh_phi3"/>
      <sheetName val="T_K3"/>
      <sheetName val="6PILE__(돌출)3"/>
      <sheetName val="Office_Tower3"/>
      <sheetName val="Chenh_lech_vat_tu3"/>
      <sheetName val="Chiet_tinh_dz353"/>
      <sheetName val="dongia_(2)3"/>
      <sheetName val="THPDMoi__(2)3"/>
      <sheetName val="t-h_HA_THE3"/>
      <sheetName val="CHITIET_VL-NC-TT_-1p3"/>
      <sheetName val="TONG_HOP_VL-NC_TT3"/>
      <sheetName val="TH_XL3"/>
      <sheetName val="CHITIET_VL-NC-TT-3p3"/>
      <sheetName val="KPVC-BD_3"/>
      <sheetName val="Chi_tiết_Goc_-AB3"/>
      <sheetName val="UNIT_PRICE3"/>
      <sheetName val="Giá_Bê_tông_2_bên3"/>
      <sheetName val="Tien_do_TV3"/>
      <sheetName val="CP_Du_phong3"/>
      <sheetName val="Tong_hop_kinh_phi3"/>
      <sheetName val="THDT_goi_thau_TB3"/>
      <sheetName val="Đơn_Giá_3"/>
      <sheetName val="1_R18_BF3"/>
      <sheetName val="6_External_works-R183"/>
      <sheetName val="MTO_REV_2(ARMOR)3"/>
      <sheetName val="Phan_tich_tong_hop3"/>
      <sheetName val="BTT_(CAT_COC)3"/>
      <sheetName val="Tho_lai_may3"/>
      <sheetName val="Don_gia_LD3"/>
      <sheetName val="Du_toan_XD3"/>
      <sheetName val="Don_gia_XD3"/>
      <sheetName val="Sàn_T13"/>
      <sheetName val="Lỗ_thông_gió3"/>
      <sheetName val="Cash_Flow3"/>
      <sheetName val="Electrical_Breakdown2"/>
      <sheetName val="Div26_-_Elect3"/>
      <sheetName val="Gia__vat_tu3"/>
      <sheetName val="TH_Vat_tu2"/>
      <sheetName val="TH_MTC2"/>
      <sheetName val="TH_N_Cong2"/>
      <sheetName val="Tong_hop2"/>
      <sheetName val="설치중량_3"/>
      <sheetName val="수문일위_3"/>
      <sheetName val="PTVT_(MAU)3"/>
      <sheetName val="4-Lane_bridge3"/>
      <sheetName val="아파트_3"/>
      <sheetName val="M_672"/>
      <sheetName val="Schedule_S-Curve_Revision#32"/>
      <sheetName val="KET_CAU_CT52"/>
      <sheetName val="TLg_CN&amp;Laixe2"/>
      <sheetName val="TLg_CN&amp;Laixe_(2)2"/>
      <sheetName val="TLg_Laitau2"/>
      <sheetName val="TLg_Laitau_(2)2"/>
      <sheetName val="Don_gia_(khong_in)2"/>
      <sheetName val="Chi_ti?t_Goc_-AB2"/>
      <sheetName val="khung_ten_TD2"/>
      <sheetName val="PT_ksat2"/>
      <sheetName val="LUONG_KS2"/>
      <sheetName val="VAT_LIEU2"/>
      <sheetName val="ranh_hong2"/>
      <sheetName val="Elec_LG2"/>
      <sheetName val="Chiettinh_dz0,42"/>
      <sheetName val="THEP_TAM2"/>
      <sheetName val="THEP_HÌNH2"/>
      <sheetName val="THEP_HINH2"/>
      <sheetName val="XA_GO2"/>
      <sheetName val="BANG_TRA2"/>
      <sheetName val="Bill_2_1_BOQ_ĐIỆN2"/>
      <sheetName val="Chi_ti_t_Goc_-AB2"/>
      <sheetName val="BOQ_CAU_CAN2"/>
      <sheetName val="Tính_toàn_đào_đất2"/>
      <sheetName val="Khối_lượng_cốt_thép2"/>
      <sheetName val="Chi_tiết_chi_phí_chung2"/>
      <sheetName val="CP__SD_Điện2"/>
      <sheetName val="NVN_Hotel2"/>
      <sheetName val="Ceiling_Height-_Schedule2"/>
      <sheetName val="COC-LAP_DAT2"/>
      <sheetName val="02-Lap_dat2"/>
      <sheetName val="Ngân_sách2"/>
      <sheetName val="09-Hoan_thien_nen2"/>
      <sheetName val="03_Detailed1"/>
      <sheetName val="01_Bid_Price_summary1"/>
      <sheetName val="Phân_tích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Equip_1"/>
      <sheetName val="A1_CN1"/>
      <sheetName val="Nhap_VT_oto1"/>
      <sheetName val="0__Bìa1"/>
      <sheetName val="1__THONG_TIN_TT1"/>
      <sheetName val="Tiên_Lượng1"/>
      <sheetName val="THGT_TT_PL01&amp;021"/>
      <sheetName val="1__THGT-TT1"/>
      <sheetName val="1_1_THGT_MEP1"/>
      <sheetName val="1_2_THGT_PCCC1"/>
      <sheetName val="1_3_THGT_PL1"/>
      <sheetName val="2__BBNT_KLHT1"/>
      <sheetName val="4_2_THKL_PL021"/>
      <sheetName val="5_2_DGCT_PL021"/>
      <sheetName val="3__DGCT_MEP_+_PCCC_1"/>
      <sheetName val="3_1_DGCT_PL1"/>
      <sheetName val="DBỐC_ACMV1"/>
      <sheetName val="DB_CABLE1"/>
      <sheetName val="DB_ONG_CC_&amp;_CS1"/>
      <sheetName val="DB_CABLE_FA_+_SP1"/>
      <sheetName val="DB_ONG_SP_ELC1"/>
      <sheetName val="DB_CTN1"/>
      <sheetName val="Hệ_số1"/>
      <sheetName val="Động_cơ1"/>
      <sheetName val="Currency_Rate1"/>
      <sheetName val="EIRR&gt;_21"/>
      <sheetName val="kinh_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1_Requisition(E)1"/>
      <sheetName val="Pasir_Panjang_100J1"/>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BC_Ton_Kho_New1"/>
      <sheetName val="BC_Cua_GSBH_New1"/>
      <sheetName val="ESTI_1"/>
      <sheetName val="CT_Thang_Mo1"/>
      <sheetName val="CT__PL1"/>
      <sheetName val="Dgia_vat_tu1"/>
      <sheetName val="Don_gia_III1"/>
      <sheetName val="Bhyt_t11"/>
      <sheetName val="Leave_Statistic_Report2"/>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KL_san_lap1"/>
      <sheetName val="luong_1"/>
      <sheetName val="BẢNG_ÁP_GIÁ_(in)1"/>
      <sheetName val="NT_(KL)_IN1"/>
      <sheetName val="DOM_D21"/>
      <sheetName val="nhà_ăn1"/>
      <sheetName val="Công_nhật1"/>
      <sheetName val="btkt_cột1"/>
      <sheetName val="Bill_rekap1"/>
      <sheetName val="hrs_&amp;_prg1"/>
      <sheetName val="TH_thiet_bi1"/>
      <sheetName val="TH_may_TC1"/>
      <sheetName val="Bang_phan_tich1"/>
      <sheetName val="DM_Chi_phi1"/>
      <sheetName val="TỔNG_HỢP_KHỐI_LƯỢNG1"/>
      <sheetName val="NƯƠC_CẤP_TRỤC_+_TAY_NHÁNH1"/>
      <sheetName val="CFA_(ME)1"/>
      <sheetName val="Cost_Report_Sum1"/>
      <sheetName val="GOC-KO_IN1"/>
      <sheetName val="Dầm_11"/>
      <sheetName val="Cọc_nhồi1"/>
      <sheetName val="THONG_SO1"/>
      <sheetName val="Đơn_giá_chi_tiết_TN_391"/>
      <sheetName val="Thong_tin1"/>
      <sheetName val="Danh_muc_NT_cong_viec1"/>
      <sheetName val="Danh_muc_NT_Giai_doan1"/>
      <sheetName val="Danh_muc_NT_Vat_lieu1"/>
      <sheetName val="ND_Nhat_ky1"/>
      <sheetName val="NT_cong_viec1"/>
      <sheetName val="Sheet1_(2)1"/>
      <sheetName val="1__BCC_T03_20181"/>
      <sheetName val="2___BCC_T04_20181"/>
      <sheetName val="TK_SX"/>
      <sheetName val="XD_nhanh_31"/>
      <sheetName val="Scorp_of_work_(2)1"/>
      <sheetName val="SUM_(2)1"/>
      <sheetName val="CPC_(2)1"/>
      <sheetName val="A1_ELC_ok_1"/>
      <sheetName val="_A2_ELV_ok1"/>
      <sheetName val="A3_VAC_ok_1"/>
      <sheetName val="A4_PLB_ok1"/>
      <sheetName val="A5_FPS_ok1"/>
      <sheetName val="_B1_ELC__ok1"/>
      <sheetName val="B2_ELV_ok1"/>
      <sheetName val="B3_VAC_ok1"/>
      <sheetName val="B4_PLB_1"/>
      <sheetName val="B5_FPS_ok1"/>
      <sheetName val="C__SOFTWARE1"/>
      <sheetName val="D__OTHER1"/>
      <sheetName val="A1__ELC_PANEL1"/>
      <sheetName val="Sum_material1"/>
      <sheetName val="5_2_1_Đo_bóc_KL_OLK-101"/>
      <sheetName val="4_2_1_Đo_bóc_KL_OLK-061"/>
      <sheetName val="4_1_1_CHI_TIET_OLK-061"/>
      <sheetName val="Du_toan_truc_tiep_-_Bill_2"/>
      <sheetName val="DS_CHU_Ph_x005f_x0001__x0"/>
      <sheetName val="DS_CHU_Ph_x005f_x005f_x00"/>
      <sheetName val="Budget_Code1"/>
      <sheetName val="Luong_A31"/>
      <sheetName val="Luong_TT011"/>
      <sheetName val="DG_TN_TB_LE_(2)1"/>
      <sheetName val="TINH_GIA_-_SAN_XUAT_Vertico"/>
      <sheetName val="Cong_nợ"/>
      <sheetName val="Maker_List"/>
      <sheetName val="REQUEST_BUILDER"/>
      <sheetName val="Bang_cap"/>
      <sheetName val="DSHD_DH"/>
      <sheetName val="DTXD-DD_(2)"/>
      <sheetName val="GA_15"/>
      <sheetName val="HÒA_XUÂN_II"/>
      <sheetName val="LƯƠNG_YÊN"/>
      <sheetName val="OCEAN_GATE"/>
      <sheetName val="THÀNH_ĐÔ"/>
      <sheetName val="DS_CHU_Ph_x0"/>
      <sheetName val="Breakdown_(B)"/>
      <sheetName val="Thép_phần_thô"/>
      <sheetName val="Bang chi tiet-Direct work"/>
      <sheetName val="Inputs_Sens"/>
      <sheetName val="IS_Sum_CM"/>
      <sheetName val="COFFA"/>
      <sheetName val="RecheckBOQ"/>
      <sheetName val="공문"/>
      <sheetName val="INDEX"/>
      <sheetName val="4641"/>
      <sheetName val="BOX(1.5X1.5)"/>
      <sheetName val="Cost annalysis"/>
      <sheetName val="03. THGT"/>
      <sheetName val="door"/>
      <sheetName val="CFA Sumary"/>
      <sheetName val="Certificate"/>
      <sheetName val="Attached_List"/>
      <sheetName val="List_AdvancePayment"/>
      <sheetName val="List_Retention (Contract)"/>
      <sheetName val="List_AP (Contract)"/>
      <sheetName val="Progress nstallaton (2)"/>
      <sheetName val="List_VO"/>
      <sheetName val="List_CO"/>
      <sheetName val="Thoat nuoc"/>
      <sheetName val="MEP Building"/>
      <sheetName val="XL-Duct"/>
      <sheetName val="Bang TT"/>
      <sheetName val="8-31-98"/>
      <sheetName val="worksheet inchican"/>
      <sheetName val="combined 9-30"/>
      <sheetName val="DS CHU Ph_x00"/>
      <sheetName val="DS_CHU_Ph_x0001__x0000_"/>
      <sheetName val="DS_CHU_Ph_x0001_?"/>
      <sheetName val="DS_CHU_Ph_x0001__"/>
      <sheetName val="DS_CHU_Ph_x0001__x0000_1"/>
      <sheetName val="DS_CHU_Ph_x0001_?1"/>
      <sheetName val="DS_CHU_Ph_x0001__1"/>
      <sheetName val="DS_CHU_Ph_x005f_x0001__x1"/>
      <sheetName val="DS_CHU_Ph_x0001__x0"/>
      <sheetName val="DS_CHU_Ph_x00"/>
      <sheetName val="foxz"/>
      <sheetName val="NTNB"/>
      <sheetName val="Cao TN"/>
      <sheetName val="ĐỔ BT 5"/>
      <sheetName val="222"/>
      <sheetName val="LĐCĐ"/>
      <sheetName val="LĐTĐ"/>
      <sheetName val="CPDD II"/>
      <sheetName val="NT CAO DO"/>
      <sheetName val="Thống kê"/>
      <sheetName val="00.TMB-Cap thoat nuoc"/>
      <sheetName val="SUMDETAIL"/>
      <sheetName val="Factory"/>
      <sheetName val="Matchung"/>
      <sheetName val="BU LONG"/>
      <sheetName val="ĐNVT"/>
      <sheetName val="ĐNBL"/>
      <sheetName val="CTLK"/>
      <sheetName val="Xuat152"/>
      <sheetName val="sheet12"/>
      <sheetName val="Lists"/>
      <sheetName val=" SMU Table (2)"/>
      <sheetName val="F.A. Data Validation Inputs"/>
      <sheetName val="basic data"/>
      <sheetName val="Lookup Tables"/>
      <sheetName val="Mappings"/>
      <sheetName val="Drop Down Listings"/>
      <sheetName val="Rates"/>
      <sheetName val="Variables"/>
      <sheetName val="DL2"/>
      <sheetName val="Settings"/>
      <sheetName val="CONCRETE"/>
      <sheetName val="TH khoi luong"/>
      <sheetName val="Chi tiet khoi luong"/>
      <sheetName val="TK thep"/>
      <sheetName val="CT THOÁT WC VP"/>
      <sheetName val="CT CẤP WC VP"/>
      <sheetName val="CT THOÁT MƯA VP TRỤC LỚN"/>
      <sheetName val="CT THOÁT MƯA VP TRỤC NHỎ"/>
      <sheetName val="1.ATGT-VL"/>
      <sheetName val="1Phan doan TC"/>
      <sheetName val="Du lieu bang phang"/>
      <sheetName val="Bang ngay thang"/>
      <sheetName val="KL1"/>
      <sheetName val="KL2"/>
      <sheetName val="KL3"/>
      <sheetName val="KL4"/>
      <sheetName val="KL5"/>
      <sheetName val="KL6"/>
      <sheetName val="Tong KL lop"/>
      <sheetName val="KL7"/>
      <sheetName val="KL8"/>
      <sheetName val="KL9"/>
      <sheetName val="THCP TT09"/>
      <sheetName val="TMĐT"/>
      <sheetName val="Giá tháng"/>
      <sheetName val="VL "/>
      <sheetName val="para"/>
      <sheetName val="TK-HA "/>
      <sheetName val="6823_PS_17008"/>
      <sheetName val="PU_ITALY_8"/>
      <sheetName val="he_so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Chi_tiết_Goc_-AB5"/>
      <sheetName val="Du_Toan5"/>
      <sheetName val="Chi_ti?t_Goc_-AB4"/>
      <sheetName val="KH_tai_chinh_khoa_san5"/>
      <sheetName val="Chenh_lech_vat_tu5"/>
      <sheetName val="Chiet_tinh_dz355"/>
      <sheetName val="Gioi_thieu5"/>
      <sheetName val="Vat_tu6"/>
      <sheetName val="Canopy,SS5_(2)6"/>
      <sheetName val="RAB_AR&amp;STR6"/>
      <sheetName val="THCP_Lap_dat6"/>
      <sheetName val="THCP_xay_dung6"/>
      <sheetName val="D&amp;W_def_5"/>
      <sheetName val="STRUCTURE_Q'TY5"/>
      <sheetName val="REMAIN_Q'TY_-_SUB5"/>
      <sheetName val="T_K5"/>
      <sheetName val="Nhan_cong5"/>
      <sheetName val="Thiet_bi5"/>
      <sheetName val="DM_ChiPhi5"/>
      <sheetName val="May_TC5"/>
      <sheetName val="Phan_tich5"/>
      <sheetName val="Bang_KL5"/>
      <sheetName val="TH_Kinh_phi5"/>
      <sheetName val="Electrical_Breakdown4"/>
      <sheetName val="MTO_REV_2(ARMOR)5"/>
      <sheetName val="B3A_-_TOWER_A5"/>
      <sheetName val="MAIN_GATE_HOUSE5"/>
      <sheetName val="UNIT_PRICE5"/>
      <sheetName val="Office_Tower5"/>
      <sheetName val="Tien_do_TV5"/>
      <sheetName val="CP_Du_phong5"/>
      <sheetName val="Tong_hop_kinh_phi5"/>
      <sheetName val="THDT_goi_thau_TB5"/>
      <sheetName val="PT_ksat4"/>
      <sheetName val="LUONG_KS4"/>
      <sheetName val="A1_8_NhIII_(1050k)3"/>
      <sheetName val="Nhan_cong_nhom_I3"/>
      <sheetName val="Luong_TT053"/>
      <sheetName val="10_VC_đ__ngắn3"/>
      <sheetName val="VAT_LIEU4"/>
      <sheetName val="ranh_hong4"/>
      <sheetName val="Giá_Bê_tông_2_bên5"/>
      <sheetName val="6PILE__(돌출)5"/>
      <sheetName val="DG_duoi5"/>
      <sheetName val="Phan_tich_tong_hop5"/>
      <sheetName val="Đơn_Giá_5"/>
      <sheetName val="1_R18_BF5"/>
      <sheetName val="6_External_works-R185"/>
      <sheetName val="Sàn_T15"/>
      <sheetName val="Lỗ_thông_gió5"/>
      <sheetName val="BTT_(CAT_COC)5"/>
      <sheetName val="Cash_Flow5"/>
      <sheetName val="Div26_-_Elect5"/>
      <sheetName val="Tho_lai_may5"/>
      <sheetName val="Don_gia_LD5"/>
      <sheetName val="Du_toan_XD5"/>
      <sheetName val="Don_gia_XD5"/>
      <sheetName val="Gia__vat_tu5"/>
      <sheetName val="TH_Vat_tu4"/>
      <sheetName val="TH_MTC4"/>
      <sheetName val="TH_N_Cong4"/>
      <sheetName val="Tong_hop4"/>
      <sheetName val="설치중량_5"/>
      <sheetName val="수문일위_5"/>
      <sheetName val="PTVT_(MAU)5"/>
      <sheetName val="4-Lane_bridge5"/>
      <sheetName val="아파트_5"/>
      <sheetName val="M_674"/>
      <sheetName val="Schedule_S-Curve_Revision#34"/>
      <sheetName val="KET_CAU_CT54"/>
      <sheetName val="TLg_CN&amp;Laixe4"/>
      <sheetName val="TLg_CN&amp;Laixe_(2)4"/>
      <sheetName val="TLg_Laitau4"/>
      <sheetName val="TLg_Laitau_(2)4"/>
      <sheetName val="khung_ten_TD4"/>
      <sheetName val="Don_gia_(khong_in)4"/>
      <sheetName val="Chiettinh_dz0,44"/>
      <sheetName val="BOQ_CAU_CAN4"/>
      <sheetName val="Tính_toàn_đào_đất4"/>
      <sheetName val="Khối_lượng_cốt_thép4"/>
      <sheetName val="Chi_tiết_chi_phí_chung4"/>
      <sheetName val="CP__SD_Điện4"/>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Hệ_số3"/>
      <sheetName val="Động_cơ3"/>
      <sheetName val="Currency_Rate3"/>
      <sheetName val="Elec_LG4"/>
      <sheetName val="1_Requisition(E)3"/>
      <sheetName val="03_Detailed3"/>
      <sheetName val="01_Bid_Price_summary3"/>
      <sheetName val="THEP_TAM4"/>
      <sheetName val="THEP_HÌNH4"/>
      <sheetName val="THEP_HINH4"/>
      <sheetName val="XA_GO4"/>
      <sheetName val="BANG_TRA4"/>
      <sheetName val="Bill_2_1_BOQ_ĐIỆN4"/>
      <sheetName val="Chi_ti_t_Goc_-AB4"/>
      <sheetName val="kinh_3"/>
      <sheetName val="Scorp_of_work_(2)3"/>
      <sheetName val="SUM_(2)3"/>
      <sheetName val="CPC_(2)3"/>
      <sheetName val="A1_ELC_ok_3"/>
      <sheetName val="_A2_ELV_ok3"/>
      <sheetName val="A3_VAC_ok_3"/>
      <sheetName val="A4_PLB_ok3"/>
      <sheetName val="A5_FPS_ok3"/>
      <sheetName val="_B1_ELC__ok3"/>
      <sheetName val="B2_ELV_ok3"/>
      <sheetName val="B3_VAC_ok3"/>
      <sheetName val="B4_PLB_3"/>
      <sheetName val="B5_FPS_ok3"/>
      <sheetName val="C__SOFTWARE3"/>
      <sheetName val="D__OTHER3"/>
      <sheetName val="A1__ELC_PANEL3"/>
      <sheetName val="Sum_material3"/>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BC_Ton_Kho_New3"/>
      <sheetName val="BC_Cua_GSBH_New3"/>
      <sheetName val="ESTI_3"/>
      <sheetName val="DS_CHU_Ph2"/>
      <sheetName val="CT_Thang_Mo3"/>
      <sheetName val="CT__PL3"/>
      <sheetName val="Dgia_vat_tu3"/>
      <sheetName val="Don_gia_III3"/>
      <sheetName val="Bhyt_t13"/>
      <sheetName val="DS_CHU_Ph?2"/>
      <sheetName val="Leave_Statistic_Report4"/>
      <sheetName val="EIRR&gt;_23"/>
      <sheetName val="DS_CHU_Ph_2"/>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Ceiling_Height-_Schedule4"/>
      <sheetName val="COC-LAP_DAT4"/>
      <sheetName val="02-Lap_dat4"/>
      <sheetName val="Ngân_sách4"/>
      <sheetName val="09-Hoan_thien_nen4"/>
      <sheetName val="NVN_Hotel4"/>
      <sheetName val="list_VL4"/>
      <sheetName val="Trình_mẫu_VL4"/>
      <sheetName val="Nhap_VL4"/>
      <sheetName val="LIST_VLĐV4"/>
      <sheetName val="BB_VLDV4"/>
      <sheetName val="BB_VLDV_(multi)4"/>
      <sheetName val="nghiệm_thu_hoàn_thành4"/>
      <sheetName val="Báo_cáo_hiện_trường4"/>
      <sheetName val="Kế_hoạch_nghiệm_thu4"/>
      <sheetName val="Quy_trình4"/>
      <sheetName val="List_vữa4"/>
      <sheetName val="List_NT4"/>
      <sheetName val="BBNT_thô4"/>
      <sheetName val="Equip_3"/>
      <sheetName val="A1_CN3"/>
      <sheetName val="Phân_tích4"/>
      <sheetName val="Nhap_VT_oto3"/>
      <sheetName val="0__Bìa3"/>
      <sheetName val="1__THONG_TIN_TT3"/>
      <sheetName val="Tiên_Lượng3"/>
      <sheetName val="THGT_TT_PL01&amp;023"/>
      <sheetName val="1__THGT-TT3"/>
      <sheetName val="1_1_THGT_MEP3"/>
      <sheetName val="1_2_THGT_PCCC3"/>
      <sheetName val="1_3_THGT_PL3"/>
      <sheetName val="2__BBNT_KLHT3"/>
      <sheetName val="4_2_THKL_PL023"/>
      <sheetName val="5_2_DGCT_PL023"/>
      <sheetName val="3__DGCT_MEP_+_PCCC_3"/>
      <sheetName val="3_1_DGCT_PL3"/>
      <sheetName val="DBỐC_ACMV3"/>
      <sheetName val="DB_CABLE3"/>
      <sheetName val="DB_ONG_CC_&amp;_CS3"/>
      <sheetName val="DB_CABLE_FA_+_SP3"/>
      <sheetName val="DB_ONG_SP_ELC3"/>
      <sheetName val="DB_CTN3"/>
      <sheetName val="Pasir_Panjang_100J3"/>
      <sheetName val="hrs_&amp;_prg3"/>
      <sheetName val="TỔNG_HỢP_KHỐI_LƯỢNG3"/>
      <sheetName val="NƯƠC_CẤP_TRỤC_+_TAY_NHÁNH3"/>
      <sheetName val="KL_san_lap3"/>
      <sheetName val="BẢNG_ÁP_GIÁ_(in)3"/>
      <sheetName val="NT_(KL)_IN3"/>
      <sheetName val="DOM_D23"/>
      <sheetName val="nhà_ăn3"/>
      <sheetName val="Công_nhật3"/>
      <sheetName val="btkt_cột3"/>
      <sheetName val="Budget_Code3"/>
      <sheetName val="Luong_A33"/>
      <sheetName val="Luong_TT013"/>
      <sheetName val="DG_TN_TB_LE_(2)3"/>
      <sheetName val="Maker_List2"/>
      <sheetName val="REQUEST_BUILDER2"/>
      <sheetName val="Chi_tiet_ranh"/>
      <sheetName val="Duong_Ngang"/>
      <sheetName val="San_gia_co"/>
      <sheetName val="Bien_Bao"/>
      <sheetName val="Coc_tieu_-_Coc_H"/>
      <sheetName val="NC_"/>
      <sheetName val="CT_-THVLNC2"/>
      <sheetName val="Chiet_tinh2"/>
      <sheetName val="san_dao2"/>
      <sheetName val="Ty_le2"/>
      <sheetName val="Bang_cap2"/>
      <sheetName val="C_BI_DAO"/>
      <sheetName val="Luong_BN"/>
      <sheetName val="Luong_TB"/>
      <sheetName val="Ca_may_TB"/>
      <sheetName val="Máy_BN"/>
      <sheetName val="CT_DZ"/>
      <sheetName val="DSHD_DH2"/>
      <sheetName val="So_lieu"/>
      <sheetName val="LTT__TT01_2015_BXD"/>
      <sheetName val="Đơn_giá_NC_TT01_2015"/>
      <sheetName val="Đơn_giá_ca_máy_theo_TT06_2010"/>
      <sheetName val="ĐM6060_2008(Lap_dat_TBA)"/>
      <sheetName val="ĐM228__2015(suachua)"/>
      <sheetName val="ĐM39_2005(T_N_đien_ĐZ&amp;TBA)"/>
      <sheetName val="ĐM01_2000(thinghiem_ĐZTTĐL)"/>
      <sheetName val="Đon_gia_thi_nghiem_ĐZ&amp;TBA"/>
      <sheetName val="Đon_gia_228_sua_chua"/>
      <sheetName val="các_máy_chưa_có_trong_TT_06"/>
      <sheetName val="Cuoc_van_chuyen"/>
      <sheetName val="GIA_VT_03-2019"/>
      <sheetName val="GOC-KO_IN3"/>
      <sheetName val="luong_3"/>
      <sheetName val="THONG_SO3"/>
      <sheetName val="Đơn_giá_chi_tiết_TN_393"/>
      <sheetName val="TH_thiet_bi3"/>
      <sheetName val="TH_may_TC3"/>
      <sheetName val="Bang_phan_tich3"/>
      <sheetName val="DM_Chi_phi3"/>
      <sheetName val="Bill_rekap3"/>
      <sheetName val="CFA_(ME)3"/>
      <sheetName val="Cost_Report_Sum3"/>
      <sheetName val="Thong_tin3"/>
      <sheetName val="Danh_muc_NT_cong_viec3"/>
      <sheetName val="Danh_muc_NT_Giai_doan3"/>
      <sheetName val="Danh_muc_NT_Vat_lieu3"/>
      <sheetName val="ND_Nhat_ky3"/>
      <sheetName val="NT_cong_viec3"/>
      <sheetName val="Dầm_13"/>
      <sheetName val="Cọc_nhồi3"/>
      <sheetName val="XD_nhanh_33"/>
      <sheetName val="Sheet1_(2)3"/>
      <sheetName val="DS_CHU_Ph_x005f_x0001__x02"/>
      <sheetName val="DS_CHU_Ph_x005f_x005f_x002"/>
      <sheetName val="1__BCC_T03_20183"/>
      <sheetName val="2___BCC_T04_20183"/>
      <sheetName val="TK_SX2"/>
      <sheetName val="5_2_1_Đo_bóc_KL_OLK-103"/>
      <sheetName val="4_2_1_Đo_bóc_KL_OLK-063"/>
      <sheetName val="4_1_1_CHI_TIET_OLK-063"/>
      <sheetName val="Du_toan_truc_tiep_-_Bill_22"/>
      <sheetName val="TINH_GIA_-_SAN_XUAT_Vertico2"/>
      <sheetName val="Cong_nợ2"/>
      <sheetName val="DTXD-DD_(2)2"/>
      <sheetName val="DS_CHU_Ph_x01"/>
      <sheetName val="Breakdown_(B)2"/>
      <sheetName val="GA_152"/>
      <sheetName val="HÒA_XUÂN_II2"/>
      <sheetName val="LƯƠNG_YÊN2"/>
      <sheetName val="OCEAN_GATE2"/>
      <sheetName val="THÀNH_ĐÔ2"/>
      <sheetName val="Thép_phần_thô2"/>
      <sheetName val="Tong_du_toan1"/>
      <sheetName val="DGchitiet_1"/>
      <sheetName val="CP_HMC1"/>
      <sheetName val="CP_Khac_cuoc_VC1"/>
      <sheetName val="HRG_BHN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BOQ_DOME_H1"/>
      <sheetName val="GIÁ_HĐ_30_CĂN1"/>
      <sheetName val="Bang_chiet_tinh_TBA1"/>
      <sheetName val="Luong_GT1"/>
      <sheetName val="Bảng_nhân_công1"/>
      <sheetName val="Div_131"/>
      <sheetName val="DS_CHU_Ph_x005f_x0001__x005f_x005f_x01"/>
      <sheetName val="KL_phat_sinh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GV1-D13_(Casement_door)1"/>
      <sheetName val="built-up_rate1"/>
      <sheetName val="List_of_works1"/>
      <sheetName val="GEN_REQ1"/>
      <sheetName val="SD_and_START_UP1"/>
      <sheetName val="VT_NC_M1"/>
      <sheetName val="KHỐI_LƯỢNG_TB_-_newFormat1"/>
      <sheetName val="Bảng_Phân_Tích_Chi_Phí1"/>
      <sheetName val="Bang_chi_tiet-Direct_work1"/>
      <sheetName val="MTO_REV_01"/>
      <sheetName val="BOX(1_5X1_5)"/>
      <sheetName val="Cost_annalysis"/>
      <sheetName val="03__THGT"/>
      <sheetName val="CFA_Sumary"/>
      <sheetName val="List_Retention_(Contract)1"/>
      <sheetName val="List_AP_(Contract)1"/>
      <sheetName val="Progress_nstallaton_(2)1"/>
      <sheetName val="Thoat_nuoc"/>
      <sheetName val="MEP_Building"/>
      <sheetName val="Bang_TT"/>
      <sheetName val="worksheet_inchican"/>
      <sheetName val="combined_9-30"/>
      <sheetName val="DS_CHU_Ph_x001"/>
      <sheetName val="DS_CHU_Ph1"/>
      <sheetName val="DS_CHU_Ph?1"/>
      <sheetName val="DS_CHU_Ph_1"/>
      <sheetName val="Cao_TN"/>
      <sheetName val="ĐỔ_BT_5"/>
      <sheetName val="CPDD_II"/>
      <sheetName val="NT_CAO_DO"/>
      <sheetName val="Thống_kê"/>
      <sheetName val="Tongke_Thu_hoi"/>
      <sheetName val="Tong_hop_cpc"/>
      <sheetName val="Tủ_điện"/>
      <sheetName val="CT_mong"/>
      <sheetName val="Phu_Lg"/>
      <sheetName val="TP_TNguyen"/>
      <sheetName val="TP_Thái_Nguyên"/>
      <sheetName val="Đội_110"/>
      <sheetName val="Floor"/>
      <sheetName val="프랜트면허"/>
      <sheetName val="토목주소"/>
      <sheetName val="Quarterly_4"/>
      <sheetName val="SCADA_PRICE(WTP)"/>
      <sheetName val="KUNGDEVI"/>
      <sheetName val="gia_vt"/>
      <sheetName val="1_BILL_MOI_THAU_CAN_THUONG"/>
      <sheetName val="Block_A-FlrBm(Conc&amp;Fwk)"/>
      <sheetName val="Char"/>
      <sheetName val="SCOPE_OF_WORK"/>
      <sheetName val="KTCK"/>
      <sheetName val="_견적서"/>
      <sheetName val="1__Dashboard"/>
      <sheetName val="Utilities"/>
      <sheetName val="Civil_B1"/>
      <sheetName val="Civil_B4"/>
      <sheetName val="CONSOIDATE_4"/>
      <sheetName val="CONSOIDATE_2"/>
      <sheetName val="1CT-CAUTHANG-TT-T13(TRIU)&lt;16&gt;16"/>
      <sheetName val="3,CT-CAUTHANG-T23-24&gt;50"/>
      <sheetName val="THKP957"/>
      <sheetName val="Đầu_vào"/>
      <sheetName val="도로경계단위"/>
      <sheetName val="6823_PS_17007"/>
      <sheetName val="PU_ITALY_7"/>
      <sheetName val="Vat_tu5"/>
      <sheetName val="Canopy,SS5_(2)5"/>
      <sheetName val="RAB_AR&amp;STR5"/>
      <sheetName val="THCP_Lap_dat5"/>
      <sheetName val="THCP_xay_dung5"/>
      <sheetName val="D&amp;W_def_4"/>
      <sheetName val="Gioi_thieu4"/>
      <sheetName val="Du_Toan4"/>
      <sheetName val="he_so4"/>
      <sheetName val="KH_tai_chinh_khoa_san4"/>
      <sheetName val="STRUCTURE_Q'TY4"/>
      <sheetName val="REMAIN_Q'TY_-_SUB4"/>
      <sheetName val="Nhan_cong4"/>
      <sheetName val="Thiet_bi4"/>
      <sheetName val="DM_ChiPhi4"/>
      <sheetName val="May_TC4"/>
      <sheetName val="Phan_tich4"/>
      <sheetName val="Bang_KL4"/>
      <sheetName val="TH_Kinh_phi4"/>
      <sheetName val="T_K4"/>
      <sheetName val="B3A_-_TOWER_A4"/>
      <sheetName val="Giá_Bê_tông_2_bên4"/>
      <sheetName val="Phan_tich_tong_hop4"/>
      <sheetName val="MAIN_GATE_HOUSE4"/>
      <sheetName val="Chiet_tinh_dz354"/>
      <sheetName val="DON_GIA4"/>
      <sheetName val="CHITIET_VL-NC4"/>
      <sheetName val="dongia_(2)4"/>
      <sheetName val="THPDMoi__(2)4"/>
      <sheetName val="t-h_HA_THE4"/>
      <sheetName val="CHITIET_VL-NC-TT_-1p4"/>
      <sheetName val="TONG_HOP_VL-NC_TT4"/>
      <sheetName val="TH_XL4"/>
      <sheetName val="CHITIET_VL-NC-TT-3p4"/>
      <sheetName val="KPVC-BD_4"/>
      <sheetName val="TONG_HOP_VL-NC4"/>
      <sheetName val="TONGKE3p_4"/>
      <sheetName val="TH_VL,_NC,_DDHT_Thanhphuoc4"/>
      <sheetName val="DG_duoi4"/>
      <sheetName val="6PILE__(돌출)4"/>
      <sheetName val="Office_Tower4"/>
      <sheetName val="Chenh_lech_vat_tu4"/>
      <sheetName val="Chi_tiết_Goc_-AB4"/>
      <sheetName val="UNIT_PRICE4"/>
      <sheetName val="Tien_do_TV4"/>
      <sheetName val="CP_Du_phong4"/>
      <sheetName val="Tong_hop_kinh_phi4"/>
      <sheetName val="THDT_goi_thau_TB4"/>
      <sheetName val="BTT_(CAT_COC)4"/>
      <sheetName val="Đơn_Giá_4"/>
      <sheetName val="1_R18_BF4"/>
      <sheetName val="6_External_works-R184"/>
      <sheetName val="MTO_REV_2(ARMOR)4"/>
      <sheetName val="Sàn_T14"/>
      <sheetName val="Lỗ_thông_gió4"/>
      <sheetName val="Cash_Flow4"/>
      <sheetName val="TH_Vat_tu3"/>
      <sheetName val="TH_MTC3"/>
      <sheetName val="TH_N_Cong3"/>
      <sheetName val="Electrical_Breakdown3"/>
      <sheetName val="Tho_lai_may4"/>
      <sheetName val="Don_gia_LD4"/>
      <sheetName val="Du_toan_XD4"/>
      <sheetName val="Don_gia_XD4"/>
      <sheetName val="Div26_-_Elect4"/>
      <sheetName val="Gia__vat_tu4"/>
      <sheetName val="Tong_hop3"/>
      <sheetName val="설치중량_4"/>
      <sheetName val="수문일위_4"/>
      <sheetName val="PTVT_(MAU)4"/>
      <sheetName val="4-Lane_bridge4"/>
      <sheetName val="아파트_4"/>
      <sheetName val="M_673"/>
      <sheetName val="Schedule_S-Curve_Revision#33"/>
      <sheetName val="KET_CAU_CT53"/>
      <sheetName val="Chiettinh_dz0,43"/>
      <sheetName val="Don_gia_(khong_in)3"/>
      <sheetName val="Chi_ti?t_Goc_-AB3"/>
      <sheetName val="khung_ten_TD3"/>
      <sheetName val="TLg_CN&amp;Laixe3"/>
      <sheetName val="TLg_CN&amp;Laixe_(2)3"/>
      <sheetName val="TLg_Laitau3"/>
      <sheetName val="TLg_Laitau_(2)3"/>
      <sheetName val="PT_ksat3"/>
      <sheetName val="LUONG_KS3"/>
      <sheetName val="VAT_LIEU3"/>
      <sheetName val="ranh_hong3"/>
      <sheetName val="THEP_TAM3"/>
      <sheetName val="THEP_HÌNH3"/>
      <sheetName val="THEP_HINH3"/>
      <sheetName val="XA_GO3"/>
      <sheetName val="BANG_TRA3"/>
      <sheetName val="Elec_LG3"/>
      <sheetName val="Bill_2_1_BOQ_ĐIỆN3"/>
      <sheetName val="BOQ_CAU_CAN3"/>
      <sheetName val="Tính_toàn_đào_đất3"/>
      <sheetName val="Khối_lượng_cốt_thép3"/>
      <sheetName val="Chi_tiết_chi_phí_chung3"/>
      <sheetName val="CP__SD_Điện3"/>
      <sheetName val="Chi_ti_t_Goc_-AB3"/>
      <sheetName val="Equip_2"/>
      <sheetName val="A1_CN2"/>
      <sheetName val="Hệ_số2"/>
      <sheetName val="Động_cơ2"/>
      <sheetName val="Currency_Rate2"/>
      <sheetName val="Ceiling_Height-_Schedule3"/>
      <sheetName val="COC-LAP_DAT3"/>
      <sheetName val="02-Lap_dat3"/>
      <sheetName val="Ngân_sách3"/>
      <sheetName val="09-Hoan_thien_nen3"/>
      <sheetName val="NVN_Hotel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Phân_tích3"/>
      <sheetName val="EIRR&gt;_22"/>
      <sheetName val="kinh_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1_Requisition(E)2"/>
      <sheetName val="Pasir_Panjang_100J2"/>
      <sheetName val="03_Detailed2"/>
      <sheetName val="01_Bid_Price_summary2"/>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BC_Ton_Kho_New2"/>
      <sheetName val="BC_Cua_GSBH_New2"/>
      <sheetName val="ESTI_2"/>
      <sheetName val="CT_Thang_Mo2"/>
      <sheetName val="CT__PL2"/>
      <sheetName val="Dgia_vat_tu2"/>
      <sheetName val="Don_gia_III2"/>
      <sheetName val="Bhyt_t12"/>
      <sheetName val="Leave_Statistic_Report3"/>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A1_8_NhIII_(1050k)2"/>
      <sheetName val="Nhan_cong_nhom_I2"/>
      <sheetName val="Luong_TT052"/>
      <sheetName val="10_VC_đ__ngắn2"/>
      <sheetName val="Nhap_VT_oto2"/>
      <sheetName val="0__Bìa2"/>
      <sheetName val="1__THONG_TIN_TT2"/>
      <sheetName val="Tiên_Lượng2"/>
      <sheetName val="THGT_TT_PL01&amp;022"/>
      <sheetName val="1__THGT-TT2"/>
      <sheetName val="1_1_THGT_MEP2"/>
      <sheetName val="1_2_THGT_PCCC2"/>
      <sheetName val="1_3_THGT_PL2"/>
      <sheetName val="2__BBNT_KLHT2"/>
      <sheetName val="4_2_THKL_PL022"/>
      <sheetName val="5_2_DGCT_PL022"/>
      <sheetName val="3__DGCT_MEP_+_PCCC_2"/>
      <sheetName val="3_1_DGCT_PL2"/>
      <sheetName val="DBỐC_ACMV2"/>
      <sheetName val="DB_CABLE2"/>
      <sheetName val="DB_ONG_CC_&amp;_CS2"/>
      <sheetName val="DB_CABLE_FA_+_SP2"/>
      <sheetName val="DB_ONG_SP_ELC2"/>
      <sheetName val="DB_CTN2"/>
      <sheetName val="Thong_tin2"/>
      <sheetName val="Danh_muc_NT_cong_viec2"/>
      <sheetName val="Danh_muc_NT_Giai_doan2"/>
      <sheetName val="Danh_muc_NT_Vat_lieu2"/>
      <sheetName val="ND_Nhat_ky2"/>
      <sheetName val="NT_cong_viec2"/>
      <sheetName val="KL_san_lap2"/>
      <sheetName val="luong_2"/>
      <sheetName val="BẢNG_ÁP_GIÁ_(in)2"/>
      <sheetName val="NT_(KL)_IN2"/>
      <sheetName val="DOM_D22"/>
      <sheetName val="nhà_ăn2"/>
      <sheetName val="Công_nhật2"/>
      <sheetName val="btkt_cột2"/>
      <sheetName val="Bill_rekap2"/>
      <sheetName val="hrs_&amp;_prg2"/>
      <sheetName val="TH_thiet_bi2"/>
      <sheetName val="TH_may_TC2"/>
      <sheetName val="Bang_phan_tich2"/>
      <sheetName val="DM_Chi_phi2"/>
      <sheetName val="CFA_(ME)2"/>
      <sheetName val="TỔNG_HỢP_KHỐI_LƯỢNG2"/>
      <sheetName val="NƯƠC_CẤP_TRỤC_+_TAY_NHÁNH2"/>
      <sheetName val="THONG_SO2"/>
      <sheetName val="Đơn_giá_chi_tiết_TN_392"/>
      <sheetName val="Cost_Report_Sum2"/>
      <sheetName val="GOC-KO_IN2"/>
      <sheetName val="Dầm_12"/>
      <sheetName val="Cọc_nhồi2"/>
      <sheetName val="Sheet1_(2)2"/>
      <sheetName val="XD_nhanh_32"/>
      <sheetName val="1__BCC_T03_20182"/>
      <sheetName val="2___BCC_T04_20182"/>
      <sheetName val="TK_SX1"/>
      <sheetName val="Scorp_of_work_(2)2"/>
      <sheetName val="SUM_(2)2"/>
      <sheetName val="CPC_(2)2"/>
      <sheetName val="A1_ELC_ok_2"/>
      <sheetName val="_A2_ELV_ok2"/>
      <sheetName val="A3_VAC_ok_2"/>
      <sheetName val="A4_PLB_ok2"/>
      <sheetName val="A5_FPS_ok2"/>
      <sheetName val="_B1_ELC__ok2"/>
      <sheetName val="B2_ELV_ok2"/>
      <sheetName val="B3_VAC_ok2"/>
      <sheetName val="B4_PLB_2"/>
      <sheetName val="B5_FPS_ok2"/>
      <sheetName val="C__SOFTWARE2"/>
      <sheetName val="D__OTHER2"/>
      <sheetName val="A1__ELC_PANEL2"/>
      <sheetName val="Sum_material2"/>
      <sheetName val="5_2_1_Đo_bóc_KL_OLK-102"/>
      <sheetName val="4_2_1_Đo_bóc_KL_OLK-062"/>
      <sheetName val="4_1_1_CHI_TIET_OLK-062"/>
      <sheetName val="Du_toan_truc_tiep_-_Bill_21"/>
      <sheetName val="DS_CHU_Ph_x005f_x0001__x01"/>
      <sheetName val="DS_CHU_Ph_x005f_x005f_x001"/>
      <sheetName val="Budget_Code2"/>
      <sheetName val="Luong_A32"/>
      <sheetName val="Luong_TT012"/>
      <sheetName val="DG_TN_TB_LE_(2)2"/>
      <sheetName val="TINH_GIA_-_SAN_XUAT_Vertico1"/>
      <sheetName val="Maker_List1"/>
      <sheetName val="REQUEST_BUILDER1"/>
      <sheetName val="Bang_cap1"/>
      <sheetName val="DSHD_DH1"/>
      <sheetName val="DTXD-DD_(2)1"/>
      <sheetName val="Cong_nợ1"/>
      <sheetName val="GA_151"/>
      <sheetName val="HÒA_XUÂN_II1"/>
      <sheetName val="LƯƠNG_YÊN1"/>
      <sheetName val="OCEAN_GATE1"/>
      <sheetName val="THÀNH_ĐÔ1"/>
      <sheetName val="Breakdown_(B)1"/>
      <sheetName val="Thép_phần_thô1"/>
      <sheetName val="HRG_BHN"/>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BOQ_DOME_H"/>
      <sheetName val="GIÁ_HĐ_30_CĂN"/>
      <sheetName val="Tong_du_toan"/>
      <sheetName val="DGchitiet_"/>
      <sheetName val="CP_HMC"/>
      <sheetName val="CP_Khac_cuoc_VC"/>
      <sheetName val="Bang_chiet_tinh_TBA"/>
      <sheetName val="DS_CHU_Ph_x005f_x0001__x005f_x005f_x0"/>
      <sheetName val="KL_phat_sinh"/>
      <sheetName val="Bảng_nhân_công"/>
      <sheetName val="KHỐI_LƯỢNG_TB_-_newFormat"/>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GV1-D13_(Casement_door)"/>
      <sheetName val="built-up_rate"/>
      <sheetName val="List_of_works"/>
      <sheetName val="GEN_REQ"/>
      <sheetName val="SD_and_START_UP"/>
      <sheetName val="VT_NC_M"/>
      <sheetName val="Luong_GT"/>
      <sheetName val="Bảng_Phân_Tích_Chi_Phí"/>
      <sheetName val="Bang_chi_tiet-Direct_work"/>
      <sheetName val="Div_13"/>
      <sheetName val="List_Retention_(Contract)"/>
      <sheetName val="List_AP_(Contract)"/>
      <sheetName val="Progress_nstallaton_(2)"/>
      <sheetName val="MTO_REV_0"/>
      <sheetName val="kinh_phí_XD"/>
      <sheetName val="2_O_PHAN_TICH"/>
      <sheetName val="D_WBS"/>
      <sheetName val="D_GIA"/>
      <sheetName val="D_INFOR"/>
      <sheetName val="D_TP_CONTRACT"/>
      <sheetName val="I_TP"/>
      <sheetName val="3_O_NGAN_SACH"/>
      <sheetName val="DAU_VAO"/>
      <sheetName val="5_Khoan"/>
      <sheetName val="1__TH"/>
      <sheetName val="Tai_trong"/>
      <sheetName val="Quarterly 4"/>
      <sheetName val="SCADA PRICE(WTP)"/>
      <sheetName val="gia vt"/>
      <sheetName val="1.BILL MOI THAU CAN THUONG"/>
      <sheetName val="Block A-FlrBm(Conc&amp;Fwk)"/>
      <sheetName val="SCOPE OF WORK"/>
      <sheetName val=" 견적서"/>
      <sheetName val="1. Dashboard"/>
      <sheetName val="CONSOIDATE 4"/>
      <sheetName val="CONSOIDATE 2"/>
      <sheetName val="Đầu vào"/>
      <sheetName val="kinh phí XD"/>
      <sheetName val="2_O_PHAN TICH"/>
      <sheetName val="3_O_NGAN SACH"/>
      <sheetName val="TVLIEU"/>
      <sheetName val="DATA DA"/>
      <sheetName val="DATA tổ"/>
      <sheetName val="truc tiep"/>
      <sheetName val="bill 5"/>
      <sheetName val="THCP Khao sat"/>
      <sheetName val="3,THCPXD-Tuyen"/>
      <sheetName val="Thông tin "/>
      <sheetName val="BS 8666-2005 + 272-05"/>
      <sheetName val="CB400-V"/>
      <sheetName val="CB240-T"/>
      <sheetName val="TCVN 1651-2008"/>
      <sheetName val="PYC lay mau K90"/>
      <sheetName val="PTDG duong"/>
      <sheetName val="KL10"/>
      <sheetName val="KL11"/>
      <sheetName val="KL12"/>
      <sheetName val="Inputdata"/>
      <sheetName val="list PQ"/>
      <sheetName val="Phan day"/>
      <sheetName val="M1"/>
      <sheetName val="입찰안"/>
      <sheetName val="평3"/>
      <sheetName val="KLDT DIEN"/>
      <sheetName val="Dinh muc CP KTCB khac"/>
      <sheetName val="Cst Pkg-Eden"/>
      <sheetName val="NNgung"/>
      <sheetName val="Sheet7"/>
      <sheetName val="집수정"/>
      <sheetName val="Daf 1"/>
      <sheetName val="Exe Sum"/>
      <sheetName val="SUM LO-BUIDING"/>
      <sheetName val="valeurs de base"/>
      <sheetName val="HDBR-T11"/>
      <sheetName val="Tiến độ công việc"/>
      <sheetName val="NSLCB"/>
      <sheetName val="ST Movment"/>
      <sheetName val="PIPES"/>
      <sheetName val="TEMP"/>
      <sheetName val="PTdam"/>
      <sheetName val="bang tien luong"/>
      <sheetName val="Hợp đồng gói 26"/>
      <sheetName val="By Product"/>
      <sheetName val="BQ-E20-02(Rp)"/>
      <sheetName val="기성내역"/>
      <sheetName val="Provisional Sum"/>
      <sheetName val="DMNT NON"/>
      <sheetName val="골조시행"/>
      <sheetName val="Measure 1306"/>
      <sheetName val="TienLuong"/>
      <sheetName val="6_1"/>
      <sheetName val="DG-1353-203"/>
      <sheetName val="Phan tich don gia de xuat - cau"/>
      <sheetName val="dtrong"/>
      <sheetName val="DOAM"/>
      <sheetName val="DS CHU Ph_x0001__x0000_"/>
      <sheetName val="DS_CHU_Ph_x0001_"/>
      <sheetName val="DS_CHU_Ph_x0001_1"/>
      <sheetName val="L1150"/>
      <sheetName val="5.Gia"/>
      <sheetName val="ValueList_Helper"/>
      <sheetName val="TH_TNHC_SCADA"/>
      <sheetName val="Luong xe, cau"/>
      <sheetName val="phu luc Thong tu 06"/>
      <sheetName val="BBNT KLHT"/>
      <sheetName val="PTDG_"/>
      <sheetName val="Ca_máy"/>
      <sheetName val="TH_khối_lượng_phải_làm"/>
      <sheetName val="THCP_Tuyen"/>
      <sheetName val="Du_lieu_CKN"/>
      <sheetName val="Bao_cao"/>
      <sheetName val="Muc_Luc"/>
      <sheetName val="Tra_cuu_79"/>
      <sheetName val="Lương_hưng_Yên_vùng_2"/>
      <sheetName val="Lương_Hà_Nam"/>
      <sheetName val="Ca_máy_Hà_Nam"/>
      <sheetName val="ca_máy_Hưng_Yên"/>
      <sheetName val="Lương_HN"/>
      <sheetName val="Lương_VP"/>
      <sheetName val="Ca_máy_HN"/>
      <sheetName val="Ca_máy_VP"/>
      <sheetName val="B1_CN"/>
      <sheetName val="Thuc_thanh"/>
      <sheetName val="3_1_1"/>
      <sheetName val="3_1_4"/>
      <sheetName val="2_5_1"/>
      <sheetName val="4_1_1"/>
      <sheetName val="4_3_2"/>
      <sheetName val="2_3_3"/>
      <sheetName val="5_3_1"/>
      <sheetName val="2_4_3"/>
      <sheetName val="Dinh_nghia"/>
      <sheetName val="DZ_35"/>
      <sheetName val="Process_(R)"/>
      <sheetName val="Process_(T)"/>
      <sheetName val="THCP_-_PA1"/>
      <sheetName val="THDT_goi_thau_XD"/>
      <sheetName val="THCP_thiet_bi"/>
      <sheetName val="Don_gia_tong_hop"/>
      <sheetName val="Du_thau_LD"/>
      <sheetName val="Du_thau_XD"/>
      <sheetName val="Du_toan_LD"/>
      <sheetName val="Gia_ca_may_LD"/>
      <sheetName val="Gia_ca_may_XD"/>
      <sheetName val="CP_mua_sam_TB"/>
      <sheetName val="Nhan_cong_LD"/>
      <sheetName val="Nhan_cong_XD"/>
      <sheetName val="Gia_vua_LD"/>
      <sheetName val="Gia_vua_XD"/>
      <sheetName val="Thong_ke_thep"/>
      <sheetName val="TH_vat_tu_LD"/>
      <sheetName val="TH_vat_tu_XD"/>
      <sheetName val="Gia_vat_lieu_HTLD"/>
      <sheetName val="Gia_vat_lieu_HTXD"/>
      <sheetName val="Dự_thầu_(NS1)"/>
      <sheetName val="Mẫu_số_21a"/>
      <sheetName val="간접비_계정목록"/>
      <sheetName val="Don_gia_1_ngay_cong_môi_trường"/>
      <sheetName val="Tong_hop_vat_tu"/>
      <sheetName val="Phan_tich_ca_may"/>
      <sheetName val="Chenh_lech_ca_may"/>
      <sheetName val="KH_2010_PA2"/>
      <sheetName val="van_khuon"/>
      <sheetName val="Doanh_thu_(Liveline_PA1)"/>
      <sheetName val="Chiet_tinh_dz22"/>
      <sheetName val="bluong"/>
      <sheetName val="Pack-3"/>
      <sheetName val="QUOTATION (2)"/>
      <sheetName val="Gia_NC_theo_QD_2207-QD-UBND"/>
      <sheetName val="Nhan_cong_nhom_II"/>
      <sheetName val="TDTKP_(2)"/>
      <sheetName val="CHITIET_VL-NC-DDTT3PHA_"/>
      <sheetName val="CHITIET_VL-NC-TT1p"/>
      <sheetName val="Du_lieu1"/>
      <sheetName val="4_3_Scope_of_work_"/>
      <sheetName val="__QUOTATION_xlsx"/>
      <sheetName val="Lương_1900nhóm_I"/>
      <sheetName val="1900_nhóm_II"/>
      <sheetName val="Lương_2000nhómII"/>
      <sheetName val="Máy_Ngân_Sơn"/>
      <sheetName val="Giá_VL"/>
      <sheetName val="Don_gia_chi_tiet"/>
      <sheetName val="LK-0_4"/>
      <sheetName val="6_GIA"/>
      <sheetName val="Chiet_tinh_don_gia"/>
      <sheetName val="Cua_Phang_Tran"/>
      <sheetName val="BCVC__"/>
      <sheetName val="May_Goc_(QD2436)"/>
      <sheetName val="Danh_mục_HS"/>
      <sheetName val="Huong_dan"/>
      <sheetName val="DAO_DAP_CONG"/>
      <sheetName val="KIEM_TOAN_(PC32)"/>
      <sheetName val="Chiet_giam"/>
      <sheetName val="Bang_chu"/>
      <sheetName val="Gia_vat_tu"/>
      <sheetName val="BL_A1_8-1_350"/>
      <sheetName val="NC_15"/>
      <sheetName val="Ca_may"/>
      <sheetName val="Cước_VC_+_ĐM_CP_Tư_vấn"/>
      <sheetName val="Phan_tich_don_gia_de_xuat_-_cau"/>
      <sheetName val="tt dz35"/>
      <sheetName val="Dinh Muc VT"/>
      <sheetName val="Thong so dau vao"/>
      <sheetName val="GIA CA MAY"/>
      <sheetName val="Thép Cột Cũ"/>
      <sheetName val="CheckList"/>
      <sheetName val="22"/>
      <sheetName val="23"/>
      <sheetName val="24"/>
      <sheetName val="25"/>
      <sheetName val="DM2"/>
      <sheetName val="VN2"/>
      <sheetName val="6823_PS_17009"/>
      <sheetName val="PU_ITALY_9"/>
      <sheetName val="Gioi_thieu6"/>
      <sheetName val="Du_Toan6"/>
      <sheetName val="he_so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Chi_tiết_Goc_-AB6"/>
      <sheetName val="PT_ksat5"/>
      <sheetName val="LUONG_KS5"/>
      <sheetName val="VAT_LIEU5"/>
      <sheetName val="ranh_hong5"/>
      <sheetName val="MTO_REV_2(ARMOR)6"/>
      <sheetName val="A1_8_NhIII_(1050k)4"/>
      <sheetName val="Nhan_cong_nhom_I4"/>
      <sheetName val="Luong_TT054"/>
      <sheetName val="10_VC_đ__ngắn4"/>
      <sheetName val="THCP_Lap_dat7"/>
      <sheetName val="THCP_xay_dung7"/>
      <sheetName val="Don_gia_XD6"/>
      <sheetName val="Du_toan_XD6"/>
      <sheetName val="Chi_tiet_ranh1"/>
      <sheetName val="Duong_Ngang1"/>
      <sheetName val="San_gia_co1"/>
      <sheetName val="Bien_Bao1"/>
      <sheetName val="Coc_tieu_-_Coc_H1"/>
      <sheetName val="CT_-THVLNC3"/>
      <sheetName val="Luong_A34"/>
      <sheetName val="Luong_TT014"/>
      <sheetName val="DG_TN_TB_LE_(2)4"/>
      <sheetName val="KH_tai_chinh_khoa_san6"/>
      <sheetName val="Chenh_lech_vat_tu6"/>
      <sheetName val="Chiet_tinh_dz356"/>
      <sheetName val="Chi_ti?t_Goc_-AB5"/>
      <sheetName val="Chi_ti_t_Goc_-AB5"/>
      <sheetName val="Chiet_tinh3"/>
      <sheetName val="san_dao3"/>
      <sheetName val="Ty_le3"/>
      <sheetName val="MAIN_GATE_HOUSE6"/>
      <sheetName val="Bang_cap3"/>
      <sheetName val="Electrical_Breakdown5"/>
      <sheetName val="Vat_tu7"/>
      <sheetName val="Canopy,SS5_(2)7"/>
      <sheetName val="RAB_AR&amp;STR7"/>
      <sheetName val="D&amp;W_def_6"/>
      <sheetName val="STRUCTURE_Q'TY6"/>
      <sheetName val="REMAIN_Q'TY_-_SUB6"/>
      <sheetName val="T_K6"/>
      <sheetName val="Nhan_cong6"/>
      <sheetName val="Thiet_bi6"/>
      <sheetName val="DM_ChiPhi6"/>
      <sheetName val="May_TC6"/>
      <sheetName val="Phan_tich6"/>
      <sheetName val="Bang_KL6"/>
      <sheetName val="TH_Kinh_phi6"/>
      <sheetName val="NC_1"/>
      <sheetName val="EIRR&gt;_24"/>
      <sheetName val="Luong_BN1"/>
      <sheetName val="Luong_TB1"/>
      <sheetName val="Ca_may_TB1"/>
      <sheetName val="Máy_BN1"/>
      <sheetName val="C_BI_DAO1"/>
      <sheetName val="DSHD_DH3"/>
      <sheetName val="So_lieu1"/>
      <sheetName val="LTT__TT01_2015_BXD1"/>
      <sheetName val="Đơn_giá_NC_TT01_20151"/>
      <sheetName val="Đơn_giá_ca_máy_theo_TT06_20101"/>
      <sheetName val="ĐM6060_2008(Lap_dat_TBA)1"/>
      <sheetName val="ĐM228__2015(suachua)1"/>
      <sheetName val="ĐM39_2005(T_N_đien_ĐZ&amp;TBA)1"/>
      <sheetName val="ĐM01_2000(thinghiem_ĐZTTĐL)1"/>
      <sheetName val="Đon_gia_thi_nghiem_ĐZ&amp;TBA1"/>
      <sheetName val="Đon_gia_228_sua_chua1"/>
      <sheetName val="các_máy_chưa_có_trong_TT_061"/>
      <sheetName val="Cuoc_van_chuyen1"/>
      <sheetName val="GIA_VT_03-20191"/>
      <sheetName val="Tien_do_TV6"/>
      <sheetName val="CP_Du_phong6"/>
      <sheetName val="Tong_hop_kinh_phi6"/>
      <sheetName val="THDT_goi_thau_TB6"/>
      <sheetName val="PTDG_1"/>
      <sheetName val="Ca_máy1"/>
      <sheetName val="TH_khối_lượng_phải_làm1"/>
      <sheetName val="Muc_Luc1"/>
      <sheetName val="THCP_Tuyen1"/>
      <sheetName val="Du_lieu_CKN1"/>
      <sheetName val="A1_CN4"/>
      <sheetName val="Tủ_điện1"/>
      <sheetName val="CT_mong1"/>
      <sheetName val="Phu_Lg1"/>
      <sheetName val="TP_TNguyen1"/>
      <sheetName val="TP_Thái_Nguyên1"/>
      <sheetName val="Đội_1101"/>
      <sheetName val="CT_Thang_Mo4"/>
      <sheetName val="CT__PL4"/>
      <sheetName val="B3A_-_TOWER_A6"/>
      <sheetName val="UNIT_PRICE6"/>
      <sheetName val="Office_Tower6"/>
      <sheetName val="Giá_Bê_tông_2_bên6"/>
      <sheetName val="DG_duoi6"/>
      <sheetName val="6PILE__(돌출)6"/>
      <sheetName val="Đơn_Giá_6"/>
      <sheetName val="1_R18_BF6"/>
      <sheetName val="6_External_works-R186"/>
      <sheetName val="Phan_tich_tong_hop6"/>
      <sheetName val="Sàn_T16"/>
      <sheetName val="Lỗ_thông_gió6"/>
      <sheetName val="CT_DZ1"/>
      <sheetName val="Tong_hop_cpc1"/>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BC_Ton_Kho_New4"/>
      <sheetName val="BC_Cua_GSBH_New4"/>
      <sheetName val="ESTI_4"/>
      <sheetName val="Dgia_vat_tu4"/>
      <sheetName val="Don_gia_III4"/>
      <sheetName val="Bhyt_t14"/>
      <sheetName val="Leave_Statistic_Report5"/>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Bang_chiet_tinh_TBA2"/>
      <sheetName val="Div26_-_Elect6"/>
      <sheetName val="Hệ_số4"/>
      <sheetName val="Động_cơ4"/>
      <sheetName val="Currency_Rate4"/>
      <sheetName val="BTT_(CAT_COC)6"/>
      <sheetName val="Cash_Flow6"/>
      <sheetName val="Tho_lai_may6"/>
      <sheetName val="Don_gia_LD6"/>
      <sheetName val="Gia__vat_tu6"/>
      <sheetName val="Tong_hop5"/>
      <sheetName val="TH_Vat_tu5"/>
      <sheetName val="TH_MTC5"/>
      <sheetName val="TH_N_Cong5"/>
      <sheetName val="설치중량_6"/>
      <sheetName val="수문일위_6"/>
      <sheetName val="PTVT_(MAU)6"/>
      <sheetName val="4-Lane_bridge6"/>
      <sheetName val="아파트_6"/>
      <sheetName val="M_675"/>
      <sheetName val="Schedule_S-Curve_Revision#35"/>
      <sheetName val="KET_CAU_CT55"/>
      <sheetName val="TLg_CN&amp;Laixe5"/>
      <sheetName val="TLg_CN&amp;Laixe_(2)5"/>
      <sheetName val="TLg_Laitau5"/>
      <sheetName val="TLg_Laitau_(2)5"/>
      <sheetName val="Don_gia_(khong_in)5"/>
      <sheetName val="khung_ten_TD5"/>
      <sheetName val="Elec_LG5"/>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1_Requisition(E)4"/>
      <sheetName val="Chiettinh_dz0,45"/>
      <sheetName val="THEP_TAM5"/>
      <sheetName val="THEP_HÌNH5"/>
      <sheetName val="THEP_HINH5"/>
      <sheetName val="XA_GO5"/>
      <sheetName val="BANG_TRA5"/>
      <sheetName val="Bill_2_1_BOQ_ĐIỆN5"/>
      <sheetName val="BOQ_CAU_CAN5"/>
      <sheetName val="Tính_toàn_đào_đất5"/>
      <sheetName val="Khối_lượng_cốt_thép5"/>
      <sheetName val="Chi_tiết_chi_phí_chung5"/>
      <sheetName val="CP__SD_Điện5"/>
      <sheetName val="kinh_4"/>
      <sheetName val="03_Detailed4"/>
      <sheetName val="01_Bid_Price_summary4"/>
      <sheetName val="Scorp_of_work_(2)4"/>
      <sheetName val="SUM_(2)4"/>
      <sheetName val="CPC_(2)4"/>
      <sheetName val="A1_ELC_ok_4"/>
      <sheetName val="_A2_ELV_ok4"/>
      <sheetName val="A3_VAC_ok_4"/>
      <sheetName val="A4_PLB_ok4"/>
      <sheetName val="A5_FPS_ok4"/>
      <sheetName val="_B1_ELC__ok4"/>
      <sheetName val="B2_ELV_ok4"/>
      <sheetName val="B3_VAC_ok4"/>
      <sheetName val="B4_PLB_4"/>
      <sheetName val="B5_FPS_ok4"/>
      <sheetName val="C__SOFTWARE4"/>
      <sheetName val="D__OTHER4"/>
      <sheetName val="A1__ELC_PANEL4"/>
      <sheetName val="Sum_material4"/>
      <sheetName val="list_VL5"/>
      <sheetName val="Trình_mẫu_VL5"/>
      <sheetName val="Nhap_VL5"/>
      <sheetName val="LIST_VLĐV5"/>
      <sheetName val="BB_VLDV5"/>
      <sheetName val="BB_VLDV_(multi)5"/>
      <sheetName val="nghiệm_thu_hoàn_thành5"/>
      <sheetName val="Báo_cáo_hiện_trường5"/>
      <sheetName val="Kế_hoạch_nghiệm_thu5"/>
      <sheetName val="Quy_trình5"/>
      <sheetName val="List_vữa5"/>
      <sheetName val="List_NT5"/>
      <sheetName val="BBNT_thô5"/>
      <sheetName val="NVN_Hotel5"/>
      <sheetName val="Ceiling_Height-_Schedule5"/>
      <sheetName val="COC-LAP_DAT5"/>
      <sheetName val="02-Lap_dat5"/>
      <sheetName val="Ngân_sách5"/>
      <sheetName val="09-Hoan_thien_nen5"/>
      <sheetName val="Equip_4"/>
      <sheetName val="Phân_tích5"/>
      <sheetName val="Nhap_VT_oto4"/>
      <sheetName val="0__Bìa4"/>
      <sheetName val="1__THONG_TIN_TT4"/>
      <sheetName val="Tiên_Lượng4"/>
      <sheetName val="THGT_TT_PL01&amp;024"/>
      <sheetName val="1__THGT-TT4"/>
      <sheetName val="1_1_THGT_MEP4"/>
      <sheetName val="1_2_THGT_PCCC4"/>
      <sheetName val="1_3_THGT_PL4"/>
      <sheetName val="2__BBNT_KLHT4"/>
      <sheetName val="4_2_THKL_PL024"/>
      <sheetName val="5_2_DGCT_PL024"/>
      <sheetName val="3__DGCT_MEP_+_PCCC_4"/>
      <sheetName val="3_1_DGCT_PL4"/>
      <sheetName val="DBỐC_ACMV4"/>
      <sheetName val="DB_CABLE4"/>
      <sheetName val="DB_ONG_CC_&amp;_CS4"/>
      <sheetName val="DB_CABLE_FA_+_SP4"/>
      <sheetName val="DB_ONG_SP_ELC4"/>
      <sheetName val="DB_CTN4"/>
      <sheetName val="Pasir_Panjang_100J4"/>
      <sheetName val="TỔNG_HỢP_KHỐI_LƯỢNG4"/>
      <sheetName val="NƯƠC_CẤP_TRỤC_+_TAY_NHÁNH4"/>
      <sheetName val="KL_san_lap4"/>
      <sheetName val="Budget_Code4"/>
      <sheetName val="BẢNG_ÁP_GIÁ_(in)4"/>
      <sheetName val="NT_(KL)_IN4"/>
      <sheetName val="DOM_D24"/>
      <sheetName val="nhà_ăn4"/>
      <sheetName val="Công_nhật4"/>
      <sheetName val="btkt_cột4"/>
      <sheetName val="hrs_&amp;_prg4"/>
      <sheetName val="TH_thiet_bi4"/>
      <sheetName val="TH_may_TC4"/>
      <sheetName val="Bang_phan_tich4"/>
      <sheetName val="DM_Chi_phi4"/>
      <sheetName val="luong_4"/>
      <sheetName val="Bill_rekap4"/>
      <sheetName val="Cost_Report_Sum4"/>
      <sheetName val="CFA_(ME)4"/>
      <sheetName val="GOC-KO_IN4"/>
      <sheetName val="THONG_SO4"/>
      <sheetName val="Đơn_giá_chi_tiết_TN_394"/>
      <sheetName val="Thong_tin4"/>
      <sheetName val="Danh_muc_NT_cong_viec4"/>
      <sheetName val="Danh_muc_NT_Giai_doan4"/>
      <sheetName val="Danh_muc_NT_Vat_lieu4"/>
      <sheetName val="ND_Nhat_ky4"/>
      <sheetName val="NT_cong_viec4"/>
      <sheetName val="Sheet1_(2)4"/>
      <sheetName val="Dầm_14"/>
      <sheetName val="Cọc_nhồi4"/>
      <sheetName val="1__BCC_T03_20184"/>
      <sheetName val="2___BCC_T04_20184"/>
      <sheetName val="XD_nhanh_34"/>
      <sheetName val="5_2_1_Đo_bóc_KL_OLK-104"/>
      <sheetName val="4_2_1_Đo_bóc_KL_OLK-064"/>
      <sheetName val="4_1_1_CHI_TIET_OLK-064"/>
      <sheetName val="TK_SX3"/>
      <sheetName val="TINH_GIA_-_SAN_XUAT_Vertico3"/>
      <sheetName val="Lương_hưng_Yên_vùng_21"/>
      <sheetName val="Lương_Hà_Nam1"/>
      <sheetName val="Ca_máy_Hà_Nam1"/>
      <sheetName val="ca_máy_Hưng_Yên1"/>
      <sheetName val="Lương_HN1"/>
      <sheetName val="Lương_VP1"/>
      <sheetName val="Ca_máy_HN1"/>
      <sheetName val="Ca_máy_VP1"/>
      <sheetName val="Tra_cuu_791"/>
      <sheetName val="B1_CN1"/>
      <sheetName val="Maker_List3"/>
      <sheetName val="REQUEST_BUILDER3"/>
      <sheetName val="Thuc_thanh1"/>
      <sheetName val="DS_CHU_Ph_x005f_x0001__x03"/>
      <sheetName val="DS_CHU_Ph_x005f_x005f_x003"/>
      <sheetName val="Du_toan_truc_tiep_-_Bill_23"/>
      <sheetName val="DTXD-DD_(2)3"/>
      <sheetName val="HRG_BHN2"/>
      <sheetName val="MTO_REV_02"/>
      <sheetName val="Bao_cao1"/>
      <sheetName val="Dinh_nghia1"/>
      <sheetName val="DZ_351"/>
      <sheetName val="Process_(R)1"/>
      <sheetName val="Process_(T)1"/>
      <sheetName val="THCP_-_PA11"/>
      <sheetName val="THDT_goi_thau_XD1"/>
      <sheetName val="DAU_VAO1"/>
      <sheetName val="5_Khoan1"/>
      <sheetName val="1__TH1"/>
      <sheetName val="3_1_11"/>
      <sheetName val="3_1_41"/>
      <sheetName val="2_5_11"/>
      <sheetName val="4_1_11"/>
      <sheetName val="4_3_21"/>
      <sheetName val="2_3_31"/>
      <sheetName val="5_3_11"/>
      <sheetName val="2_4_31"/>
      <sheetName val="Cong_nợ3"/>
      <sheetName val="GA_153"/>
      <sheetName val="HÒA_XUÂN_II3"/>
      <sheetName val="LƯƠNG_YÊN3"/>
      <sheetName val="OCEAN_GATE3"/>
      <sheetName val="THÀNH_ĐÔ3"/>
      <sheetName val="6_11"/>
      <sheetName val="Breakdown_(B)3"/>
      <sheetName val="Thép_phần_thô3"/>
      <sheetName val="Tong_du_toan2"/>
      <sheetName val="DGchitiet_2"/>
      <sheetName val="CP_HMC2"/>
      <sheetName val="CP_Khac_cuoc_VC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BOQ_DOME_H2"/>
      <sheetName val="GIÁ_HĐ_30_CĂN2"/>
      <sheetName val="Luong_GT2"/>
      <sheetName val="Bảng_nhân_công2"/>
      <sheetName val="DS_CHU_Ph_x005f_x0001__x005f_x005f_x02"/>
      <sheetName val="KL_phat_sinh2"/>
      <sheetName val="Mẫu_số_21a1"/>
      <sheetName val="THCP_thiet_bi1"/>
      <sheetName val="Don_gia_tong_hop1"/>
      <sheetName val="Du_thau_LD1"/>
      <sheetName val="Du_thau_XD1"/>
      <sheetName val="Du_toan_LD1"/>
      <sheetName val="Gia_ca_may_LD1"/>
      <sheetName val="Gia_ca_may_XD1"/>
      <sheetName val="CP_mua_sam_TB1"/>
      <sheetName val="Nhan_cong_LD1"/>
      <sheetName val="Nhan_cong_XD1"/>
      <sheetName val="Gia_vua_LD1"/>
      <sheetName val="Gia_vua_XD1"/>
      <sheetName val="Thong_ke_thep1"/>
      <sheetName val="TH_vat_tu_LD1"/>
      <sheetName val="TH_vat_tu_XD1"/>
      <sheetName val="Gia_vat_lieu_HTLD1"/>
      <sheetName val="Gia_vat_lieu_HTXD1"/>
      <sheetName val="Dự_thầu_(NS1)1"/>
      <sheetName val="Doanh_thu_(Liveline_PA1)1"/>
      <sheetName val="Chiet_tinh_dz221"/>
      <sheetName val="Gia_NC_theo_QD_2207-QD-UBND1"/>
      <sheetName val="Nhan_cong_nhom_II1"/>
      <sheetName val="Don_gia_1_ngay_cong_môi_trường1"/>
      <sheetName val="Tong_hop_vat_tu1"/>
      <sheetName val="Phan_tich_ca_may1"/>
      <sheetName val="Chenh_lech_ca_may1"/>
      <sheetName val="KH_2010_PA21"/>
      <sheetName val="van_khuon1"/>
      <sheetName val="간접비_계정목록1"/>
      <sheetName val="MTO_REV_03"/>
      <sheetName val="TDTKP_(2)1"/>
      <sheetName val="CHITIET_VL-NC-DDTT3PHA_1"/>
      <sheetName val="CHITIET_VL-NC-TT1p1"/>
      <sheetName val="Du_lieu2"/>
      <sheetName val="4_3_Scope_of_work_1"/>
      <sheetName val="__QUOTATION_xlsx1"/>
      <sheetName val="Tongke_Thu_hoi1"/>
      <sheetName val="Huong_dan1"/>
      <sheetName val="KIEM_TOAN_(PC32)1"/>
      <sheetName val="Chiet_giam1"/>
      <sheetName val="DAO_DAP_CONG1"/>
      <sheetName val="Bang_chu1"/>
      <sheetName val="Lương_1900nhóm_I1"/>
      <sheetName val="1900_nhóm_II1"/>
      <sheetName val="Lương_2000nhómII1"/>
      <sheetName val="Máy_Ngân_Sơn1"/>
      <sheetName val="Giá_VL1"/>
      <sheetName val="Danh_mục_HS1"/>
      <sheetName val="LK-0_41"/>
      <sheetName val="Gia_vat_tu1"/>
      <sheetName val="6_GIA1"/>
      <sheetName val="BCVC__1"/>
      <sheetName val="May_Goc_(QD2436)1"/>
      <sheetName val="Chiet_tinh_don_gia1"/>
      <sheetName val="Cua_Phang_Tran1"/>
      <sheetName val="Don_gia_chi_tiet1"/>
      <sheetName val="BL_A1_8-1_3501"/>
      <sheetName val="THCP_TT09"/>
      <sheetName val="Giá_tháng"/>
      <sheetName val="NC_151"/>
      <sheetName val="Ca_may1"/>
      <sheetName val="Cước_VC_+_ĐM_CP_Tư_vấn1"/>
      <sheetName val="1,TMĐT_"/>
      <sheetName val="Nghỉ_lễ"/>
      <sheetName val="Tai_trong1"/>
      <sheetName val="Diện_tích_sàn_TT2-GB"/>
      <sheetName val="TH_KL_thô_"/>
      <sheetName val="KL_XÂY_TT2-GB"/>
      <sheetName val="Phan_tich_don_gia_de_xuat_-_ca1"/>
      <sheetName val="truc_tiep"/>
      <sheetName val="bill_5"/>
      <sheetName val="_SMU_Table_(2)"/>
      <sheetName val="F_A__Data_Validation_Inputs"/>
      <sheetName val="basic_data"/>
      <sheetName val="Lookup_Tables"/>
      <sheetName val="Drop_Down_Listings"/>
      <sheetName val="Div_13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GV1-D13_(Casement_door)2"/>
      <sheetName val="built-up_rate2"/>
      <sheetName val="List_of_works2"/>
      <sheetName val="GEN_REQ2"/>
      <sheetName val="SD_and_START_UP2"/>
      <sheetName val="VT_NC_M2"/>
      <sheetName val="KHỐI_LƯỢNG_TB_-_newFormat2"/>
      <sheetName val="Bảng_Phân_Tích_Chi_Phí2"/>
      <sheetName val="Bang_chi_tiet-Direct_work2"/>
      <sheetName val="BOX(1_5X1_5)1"/>
      <sheetName val="Cost_annalysis1"/>
      <sheetName val="03__THGT1"/>
      <sheetName val="CFA_Sumary1"/>
      <sheetName val="List_Retention_(Contract)2"/>
      <sheetName val="List_AP_(Contract)2"/>
      <sheetName val="Progress_nstallaton_(2)2"/>
      <sheetName val="Thoat_nuoc1"/>
      <sheetName val="MEP_Building1"/>
      <sheetName val="Bang_TT1"/>
      <sheetName val="worksheet_inchican1"/>
      <sheetName val="combined_9-301"/>
      <sheetName val="DS_CHU_Ph_x002"/>
      <sheetName val="Cao_TN1"/>
      <sheetName val="ĐỔ_BT_51"/>
      <sheetName val="CPDD_II1"/>
      <sheetName val="NT_CAO_DO1"/>
      <sheetName val="Thống_kê1"/>
      <sheetName val="Quarterly_41"/>
      <sheetName val="SCADA_PRICE(WTP)1"/>
      <sheetName val="gia_vt1"/>
      <sheetName val="1_BILL_MOI_THAU_CAN_THUONG1"/>
      <sheetName val="Block_A-FlrBm(Conc&amp;Fwk)1"/>
      <sheetName val="SCOPE_OF_WORK1"/>
      <sheetName val="_견적서1"/>
      <sheetName val="1__Dashboard1"/>
      <sheetName val="CONSOIDATE_41"/>
      <sheetName val="CONSOIDATE_21"/>
      <sheetName val="Đầu_vào1"/>
      <sheetName val="kinh_phí_XD1"/>
      <sheetName val="2_O_PHAN_TICH1"/>
      <sheetName val="3_O_NGAN_SACH1"/>
      <sheetName val="TK-HA_"/>
      <sheetName val="00_TMB-Cap_thoat_nuoc"/>
      <sheetName val="BU_LONG"/>
      <sheetName val="TH_khoi_luong"/>
      <sheetName val="Chi_tiet_khoi_luong"/>
      <sheetName val="TK_thep"/>
      <sheetName val="CT_THOÁT_WC_VP"/>
      <sheetName val="CT_CẤP_WC_VP"/>
      <sheetName val="CT_THOÁT_MƯA_VP_TRỤC_LỚN"/>
      <sheetName val="CT_THOÁT_MƯA_VP_TRỤC_NHỎ"/>
      <sheetName val="1_ATGT-VL"/>
      <sheetName val="VL-NC-M_"/>
      <sheetName val="Phan_day"/>
      <sheetName val="1B_Cai_tao_PA2"/>
      <sheetName val="Thông_tin_"/>
      <sheetName val="1"/>
      <sheetName val="6. Scope of work "/>
      <sheetName val="4.6 Phân tích nhân sự "/>
      <sheetName val="4.5 Mức độ tham gia dự án"/>
      <sheetName val="Lương 2000nhóm I"/>
      <sheetName val="Máy "/>
      <sheetName val="Analysis"/>
      <sheetName val="C-C"/>
      <sheetName val="D-D"/>
      <sheetName val="Ge"/>
      <sheetName val="ComA-A"/>
      <sheetName val="A-A"/>
      <sheetName val="Solieu"/>
      <sheetName val="BAOGIATHANG"/>
      <sheetName val="DAODAT"/>
      <sheetName val="vanchuyen TC"/>
      <sheetName val="A6"/>
      <sheetName val="THCT"/>
      <sheetName val="THDZ0,4"/>
      <sheetName val="TH DZ35"/>
      <sheetName val="THTram"/>
      <sheetName val="NEW-PANEL"/>
      <sheetName val="NHẬT KÝ"/>
      <sheetName val="config (2)"/>
      <sheetName val="DGIAgoi1"/>
      <sheetName val="Xuly Data"/>
      <sheetName val="PEDESB"/>
      <sheetName val="CHITIET-DZ04"/>
      <sheetName val="BANGTRA"/>
      <sheetName val="vlxmnc"/>
      <sheetName val="th¸mo"/>
      <sheetName val="13.BANG CT"/>
      <sheetName val="14.MMUS GIUA NHIP"/>
      <sheetName val="4.HSPBngang"/>
      <sheetName val="6.Tinh tai"/>
      <sheetName val="2 NSl"/>
      <sheetName val="17.US CHU tho a_b"/>
      <sheetName val="15.MMUS GOI"/>
      <sheetName val="Bai 5.1"/>
      <sheetName val="Chi phi xay lap khac "/>
      <sheetName val="Don-gia"/>
      <sheetName val="DS_CHU_Ph_x0001__x1"/>
      <sheetName val="DS_CHU_Ph_x0001__x0000_3"/>
      <sheetName val="DS_CHU_Ph_x0001_?3"/>
      <sheetName val="DS_CHU_Ph_x0001__3"/>
      <sheetName val="DS_CHU_Ph_x005f_x0001__x3"/>
      <sheetName val="DS_CHU_Ph_x0001__x02"/>
      <sheetName val="DS_CHU_Ph_x0001__x01"/>
      <sheetName val="DS_CHU_Ph_x0001__x0000_2"/>
      <sheetName val="DS_CHU_Ph_x0001_?2"/>
      <sheetName val="DS_CHU_Ph_x0001__2"/>
      <sheetName val="DS_CHU_Ph_x005f_x0001__x2"/>
      <sheetName val="xe"/>
      <sheetName val="Book 1 Summary"/>
      <sheetName val="Pgal2004"/>
      <sheetName val="KL TRU"/>
      <sheetName val="DUONG"/>
      <sheetName val="DL"/>
      <sheetName val="Cự ly VC_k in"/>
      <sheetName val="BOQ tong"/>
      <sheetName val="list nt Khem Vuon"/>
      <sheetName val="VH"/>
      <sheetName val="BĐ."/>
      <sheetName val="工程量清单表"/>
      <sheetName val="sis.xlm"/>
      <sheetName val="材料基价"/>
      <sheetName val="机械台时"/>
      <sheetName val="P. control"/>
      <sheetName val="取费系数表"/>
      <sheetName val="チューブ仕様"/>
      <sheetName val="WELCOME"/>
      <sheetName val="1999 BUDGET"/>
      <sheetName val="Bia lot"/>
      <sheetName val="May06"/>
      <sheetName val="San BTXM"/>
      <sheetName val="THKL GD1"/>
      <sheetName val="HoThuBonCay"/>
      <sheetName val="San Nen"/>
      <sheetName val="Via He, bo via"/>
      <sheetName val="TK CONG"/>
      <sheetName val="TL CONG Tron"/>
      <sheetName val="TL CONG hop duc san"/>
      <sheetName val="Ống cống ĐTC"/>
      <sheetName val="Ban dan"/>
      <sheetName val="Đầu cống"/>
      <sheetName val="Gờ chắn"/>
      <sheetName val="TC"/>
      <sheetName val="San"/>
      <sheetName val="Dieuphoi"/>
      <sheetName val="Pile径1m･27"/>
      <sheetName val="Kluong"/>
      <sheetName val="DGKL BT-VK"/>
      <sheetName val="H.Satuan"/>
      <sheetName val="ADSL MPS"/>
      <sheetName val="시산표"/>
      <sheetName val="XT-01,02,19,20(L1)"/>
      <sheetName val="PHÂN TÍCH ver 2"/>
      <sheetName val="KINH PHI TONG HOP"/>
      <sheetName val="000000000"/>
      <sheetName val="TEN HANG MUC "/>
      <sheetName val="Eq. Mobilization"/>
      <sheetName val="Sum ELE  CAP S1-4  "/>
      <sheetName val="01. SAT TRUNG + UV"/>
      <sheetName val="du lieu du toan"/>
      <sheetName val="基本"/>
      <sheetName val="出図表"/>
      <sheetName val="Tính giá NC"/>
      <sheetName val="SL cước"/>
      <sheetName val="Duong272-287"/>
      <sheetName val="HE-73"/>
      <sheetName val="BechLab"/>
      <sheetName val="TTL"/>
      <sheetName val="Joinery works"/>
      <sheetName val="LUONG SCL"/>
      <sheetName val="Bang luong NHOM I"/>
      <sheetName val="DM1776"/>
      <sheetName val="DM4970"/>
      <sheetName val="Bangluong NHOM II "/>
      <sheetName val=" VL"/>
      <sheetName val="gia vat lieu"/>
      <sheetName val="gia ca may BXD"/>
      <sheetName val="NLĐV"/>
      <sheetName val="09-GIA nhien lieu-ko in"/>
      <sheetName val="Cpbetong"/>
      <sheetName val="날개벽수량표"/>
      <sheetName val="Div 3"/>
      <sheetName val="Preliminary"/>
      <sheetName val="INDEX HẠ TẦNG"/>
      <sheetName val="DGG HẠ TẦNG"/>
      <sheetName val="EFR30696"/>
      <sheetName val="EQT-ESTN"/>
      <sheetName val="3.Dự toán chi phí XD"/>
      <sheetName val="4.Phân tích đơn giá"/>
      <sheetName val="Buy vs. Lease Car"/>
      <sheetName val="2019 (2)"/>
      <sheetName val="2019 (3)"/>
      <sheetName val="2019 (4)"/>
      <sheetName val="2019 (5)"/>
      <sheetName val="Du lai DH"/>
      <sheetName val="2019 (01)"/>
      <sheetName val="Du lai NH"/>
      <sheetName val="Chi tiet"/>
      <sheetName val="2019(9)"/>
      <sheetName val="2019 (10)"/>
      <sheetName val="2019 (11)"/>
      <sheetName val="2019 (12)"/>
      <sheetName val="2019 (7)"/>
      <sheetName val="2019(8)"/>
      <sheetName val="2019 (6)"/>
      <sheetName val="CDchitiet"/>
      <sheetName val="l.master"/>
      <sheetName val="GENERAL REQUIREMENTS"/>
      <sheetName val="CFA"/>
      <sheetName val="BIM06"/>
      <sheetName val="BM04"/>
      <sheetName val="BIM03"/>
      <sheetName val="Annex B"/>
      <sheetName val="Rebar"/>
      <sheetName val="Bao cao tham tra"/>
      <sheetName val="THCP tu van"/>
      <sheetName val="DT man-month"/>
      <sheetName val="Cp chuyen gia"/>
      <sheetName val="CPK TV"/>
      <sheetName val="THCP khac"/>
      <sheetName val="1.LV"/>
      <sheetName val="Bia2"/>
      <sheetName val="CP dao tao"/>
      <sheetName val="HS"/>
      <sheetName val="Cash Flow bulanan"/>
      <sheetName val="DSNV"/>
      <sheetName val="ĐƠN GIÁ"/>
      <sheetName val="bang_tien_luong"/>
      <sheetName val="DMNT_NON"/>
      <sheetName val="KLDT_DIEN"/>
      <sheetName val="Dinh_muc_CP_KTCB_khac"/>
      <sheetName val="Cst_Pkg-Eden"/>
      <sheetName val="Daf_1"/>
      <sheetName val="Provisional_Sum"/>
      <sheetName val="Exe_Sum"/>
      <sheetName val="SUM_LO-BUIDING"/>
      <sheetName val="valeurs_de_base"/>
      <sheetName val="Tiến_độ_công_việc"/>
      <sheetName val="ST_Movment"/>
      <sheetName val="TEN CONG TRINH"/>
      <sheetName val="PRICE"/>
      <sheetName val="schedule nos"/>
      <sheetName val="DAF-2"/>
      <sheetName val="Material HT"/>
      <sheetName val="Chênh lệch máy thi công"/>
      <sheetName val="Chênh lệch nhân công"/>
      <sheetName val="Chênh lệch vật liệu"/>
      <sheetName val="Barem"/>
      <sheetName val="Sheet456"/>
      <sheetName val="DATABANK"/>
      <sheetName val="KVM"/>
      <sheetName val="SAP YTD TB"/>
      <sheetName val="Circle Master"/>
      <sheetName val="Actual-Circlewise"/>
      <sheetName val="Graph Data"/>
      <sheetName val="TMP"/>
      <sheetName val="Circle Details"/>
      <sheetName val="IGAAP Group"/>
      <sheetName val="Details"/>
      <sheetName val="SAP_YTD_TB"/>
      <sheetName val="Circle_Master"/>
      <sheetName val="Graph_Data"/>
      <sheetName val="Circle_Details"/>
      <sheetName val="Control_TB check"/>
      <sheetName val="workings"/>
      <sheetName val="dep pre"/>
      <sheetName val="关联交易-存款"/>
      <sheetName val="Understand the client"/>
      <sheetName val="Bokslutsprocessen"/>
      <sheetName val="Indata"/>
      <sheetName val="CRA"/>
      <sheetName val="luong06"/>
      <sheetName val="Taxes"/>
      <sheetName val="Competitors"/>
      <sheetName val="daywork- Tham khao"/>
      <sheetName val="Firm list"/>
      <sheetName val="Kl pitum"/>
      <sheetName val="Tien do"/>
      <sheetName val="Bảo hiểm thiết bị xây dựng"/>
      <sheetName val="NC&amp;M"/>
      <sheetName val="BGVL"/>
      <sheetName val="1. Cover"/>
      <sheetName val="Explanation IPR No.5"/>
      <sheetName val="5. Status of Ap, Re"/>
      <sheetName val="Tcd"/>
      <sheetName val="KT"/>
      <sheetName val="ctdg"/>
      <sheetName val="TT_35"/>
      <sheetName val="KL HT Tong The"/>
      <sheetName val="TBA Man Xa 6"/>
      <sheetName val="TBA Ngo Xa 5"/>
      <sheetName val="TBA O Cach 5"/>
      <sheetName val="TBA O Cach 6"/>
      <sheetName val="TBA Tran Xa 6"/>
      <sheetName val="TBA Yen Lang 5"/>
      <sheetName val="YCNT(ok)"/>
      <sheetName val="6-Gia TH-Khong in"/>
      <sheetName val="LAIMAY"/>
      <sheetName val="Don gia KS"/>
      <sheetName val="Du toan KS"/>
      <sheetName val="Nhan cong KS"/>
      <sheetName val="DonGiaLD"/>
      <sheetName val="Moc uon"/>
      <sheetName val="THcoc"/>
      <sheetName val="3.DGKL"/>
      <sheetName val="2.XNKL"/>
      <sheetName val="분양가표"/>
      <sheetName val="THCP xay dung ATGT"/>
      <sheetName val="Don gia XD in3"/>
      <sheetName val="Du toan XD ATGT"/>
      <sheetName val="Don gia Duong"/>
      <sheetName val="ca may "/>
      <sheetName val="Lương nhân công XD TT01-2015"/>
      <sheetName val="TH gia du thau"/>
      <sheetName val="Load1"/>
      <sheetName val="Bang nhan cong"/>
      <sheetName val="NT noi bo cong viec"/>
      <sheetName val="So lieu dieu chinh HD"/>
      <sheetName val="Danh muc cong viec"/>
      <sheetName val="Gia tri vat tu"/>
      <sheetName val="Danh muc ho so"/>
      <sheetName val="Lay mau VL"/>
      <sheetName val="Nhien lieu"/>
      <sheetName val="NT giai doan"/>
      <sheetName val="NT noi bo giai doan"/>
      <sheetName val="NT noi bo vat lieu"/>
      <sheetName val="NT vat lieu"/>
      <sheetName val="Gia vua"/>
      <sheetName val="Hao phi vat tu"/>
      <sheetName val="Phan tich vat tu"/>
      <sheetName val="Tien do thi cong"/>
      <sheetName val="Tong hop gia thau"/>
      <sheetName val="Vat lieu hien truong"/>
      <sheetName val="YCNT Giai doan"/>
      <sheetName val="YCNT cong viec"/>
      <sheetName val="YCNT vat lieu"/>
      <sheetName val="GTXL1"/>
      <sheetName val="DT"/>
      <sheetName val="VTTN"/>
      <sheetName val="DS_CHU_Ph_x0001_3"/>
      <sheetName val="DS_CHU_Ph_x0001_2"/>
      <sheetName val="Category"/>
      <sheetName val="NEN MAU"/>
      <sheetName val="TACH VL-NC-M"/>
      <sheetName val="1.LIST"/>
      <sheetName val="Công trình"/>
      <sheetName val="HaoPhiVatTu"/>
      <sheetName val="Cước VC"/>
      <sheetName val="Cước bộ"/>
      <sheetName val="QD957new"/>
      <sheetName val="DGBCVT"/>
      <sheetName val="DGSC"/>
      <sheetName val="Sheet10"/>
      <sheetName val="VTTB-DD"/>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refreshError="1"/>
      <sheetData sheetId="523" refreshError="1"/>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sheetData sheetId="1325" refreshError="1"/>
      <sheetData sheetId="1326" refreshError="1"/>
      <sheetData sheetId="1327" refreshError="1"/>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refreshError="1"/>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sheetData sheetId="2534"/>
      <sheetData sheetId="2535"/>
      <sheetData sheetId="2536"/>
      <sheetData sheetId="2537"/>
      <sheetData sheetId="2538" refreshError="1"/>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sheetData sheetId="3204"/>
      <sheetData sheetId="3205"/>
      <sheetData sheetId="3206"/>
      <sheetData sheetId="3207"/>
      <sheetData sheetId="3208" refreshError="1"/>
      <sheetData sheetId="3209"/>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sheetData sheetId="3312"/>
      <sheetData sheetId="3313"/>
      <sheetData sheetId="3314"/>
      <sheetData sheetId="3315" refreshError="1"/>
      <sheetData sheetId="3316" refreshError="1"/>
      <sheetData sheetId="3317" refreshError="1"/>
      <sheetData sheetId="3318" refreshError="1"/>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refreshError="1"/>
      <sheetData sheetId="3333" refreshError="1"/>
      <sheetData sheetId="3334" refreshError="1"/>
      <sheetData sheetId="3335" refreshError="1"/>
      <sheetData sheetId="3336"/>
      <sheetData sheetId="3337"/>
      <sheetData sheetId="3338"/>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TKKPHI"/>
      <sheetName val="DUTOAN"/>
      <sheetName val="DMVT"/>
      <sheetName val="THVATTU"/>
      <sheetName val="Tong hop thanh toan"/>
      <sheetName val="Bang thanh toan."/>
      <sheetName val="Bang phan tích"/>
      <sheetName val="Tong hop VT"/>
      <sheetName val="Ptich hoa don"/>
      <sheetName val="may,"/>
      <sheetName val="Hoa don,"/>
      <sheetName val="PTGTVLK"/>
      <sheetName val="GT Vl khac"/>
      <sheetName val="Van khuon va sat"/>
      <sheetName val="catdasatthep"/>
      <sheetName val="BTN"/>
      <sheetName val="May"/>
      <sheetName val="Hoa don"/>
      <sheetName val="Tong hop VT (2)"/>
      <sheetName val="Phan tich CT"/>
      <sheetName val="can doi"/>
      <sheetName val="da"/>
      <sheetName val="cat"/>
      <sheetName val="DG DUTOAN"/>
      <sheetName val="UBVG"/>
      <sheetName val="PrintDialog"/>
      <sheetName val="AboutDialog"/>
      <sheetName val="XL4Poppy"/>
      <sheetName val="Du_lieu"/>
      <sheetName val="gvl"/>
      <sheetName val="NhanCong"/>
      <sheetName val="Tien do TV"/>
      <sheetName val="Ts"/>
      <sheetName val="QD957"/>
      <sheetName val="Config"/>
      <sheetName val="CP Du phong"/>
      <sheetName val="THCP Lap dat"/>
      <sheetName val="THCP xay dung"/>
      <sheetName val="Don gia LD"/>
      <sheetName val="Don gia XD"/>
      <sheetName val="Du toan XD"/>
      <sheetName val="THDT goi thau TB"/>
      <sheetName val="Tong hop kinh phi"/>
      <sheetName val="PL2.M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4+220"/>
      <sheetName val="BC.114+220"/>
      <sheetName val="SL.114+220"/>
      <sheetName val="114+320"/>
      <sheetName val="BC.114+320"/>
      <sheetName val="SL.114+320"/>
      <sheetName val="114+420"/>
      <sheetName val="BC.114+420"/>
      <sheetName val="SL.114+420"/>
      <sheetName val="114+620"/>
      <sheetName val="BC.114+620"/>
      <sheetName val="SL.114+620"/>
      <sheetName val="114+720"/>
      <sheetName val="BC.114+720"/>
      <sheetName val="SL.114+720"/>
      <sheetName val="114+840"/>
      <sheetName val="BC.114+840"/>
      <sheetName val="SL.114+840"/>
      <sheetName val="114+940"/>
      <sheetName val="BC.114+940"/>
      <sheetName val="SL.114+940"/>
      <sheetName val="115+040"/>
      <sheetName val="BC.115+040"/>
      <sheetName val="SL.115+040"/>
      <sheetName val="115+140"/>
      <sheetName val="BC.115+140"/>
      <sheetName val="SL.115+140"/>
      <sheetName val="115+260"/>
      <sheetName val="BC.115+260"/>
      <sheetName val="SL.115+260"/>
      <sheetName val="115+325"/>
      <sheetName val="BC.115+325"/>
      <sheetName val="SL.115+325"/>
      <sheetName val="115+740"/>
      <sheetName val="BC.115+740"/>
      <sheetName val="SL.115+740"/>
      <sheetName val="115+860"/>
      <sheetName val="BC.115+860"/>
      <sheetName val="SL.115+860"/>
      <sheetName val="115+960"/>
      <sheetName val="BC.115+960"/>
      <sheetName val="SL.115+960"/>
      <sheetName val="116+060"/>
      <sheetName val="BC.116+060"/>
      <sheetName val="SL.116+060"/>
      <sheetName val="116+240"/>
      <sheetName val="BC.116+240"/>
      <sheetName val="SL.116+240"/>
      <sheetName val="116+340"/>
      <sheetName val="BC.116+340"/>
      <sheetName val="SL.116+340"/>
      <sheetName val="Sheet1"/>
      <sheetName val="Sum"/>
      <sheetName val="Quantity"/>
      <sheetName val="KP_List"/>
      <sheetName val="PU_ITALY "/>
      <sheetName val="Prices"/>
      <sheetName val="Module1"/>
      <sheetName val="Module2"/>
      <sheetName val="XL4Poppy"/>
      <sheetName val="THDZ0,4"/>
      <sheetName val="TH DZ35"/>
      <sheetName val="THTram"/>
      <sheetName val="6787CWFASE2CASE2_00"/>
      <sheetName val="DON GIA CAN THO"/>
      <sheetName val="Tro giup"/>
      <sheetName val="물량표S"/>
      <sheetName val="SILICATE"/>
      <sheetName val="ptnc"/>
      <sheetName val="ptvl"/>
      <sheetName val="ptm"/>
      <sheetName val="조명시설"/>
      <sheetName val="DG"/>
      <sheetName val="RAB AR&amp;STR"/>
      <sheetName val="Earthwork"/>
      <sheetName val="Input"/>
      <sheetName val="DANHPHAP"/>
      <sheetName val="chi tiet TBA"/>
      <sheetName val="chi tiet C"/>
      <sheetName val="공통가설"/>
      <sheetName val="Don gia"/>
      <sheetName val="Don gia chi tiet"/>
      <sheetName val="TinhGiaMTC"/>
      <sheetName val="TinhGiaNC"/>
      <sheetName val="gvl"/>
      <sheetName val="PU_ITALY_"/>
      <sheetName val="TH_DZ35"/>
      <sheetName val="Tro_giup"/>
      <sheetName val="DON_GIA_CAN_THO"/>
      <sheetName val="PU_ITALY_1"/>
      <sheetName val="TH_DZ351"/>
      <sheetName val="Tro_giup1"/>
      <sheetName val="DON_GIA_CAN_THO1"/>
      <sheetName val="Control"/>
      <sheetName val="THVATTU"/>
      <sheetName val="DC"/>
      <sheetName val="NL"/>
      <sheetName val="DON GIA TRAM (3)"/>
      <sheetName val="dongia"/>
      <sheetName val="#REF"/>
      <sheetName val="내역서"/>
      <sheetName val="DATA"/>
      <sheetName val="VL,NC,MTC"/>
      <sheetName val="XT_Buoc 3"/>
      <sheetName val="PU_ITALY_2"/>
      <sheetName val="TH_DZ352"/>
      <sheetName val="Tro_giup2"/>
      <sheetName val="DON_GIA_CAN_THO2"/>
      <sheetName val="Don_gia_chi_tiet"/>
      <sheetName val="RAB_AR&amp;STR"/>
      <sheetName val="chi_tiet_TBA"/>
      <sheetName val="chi_tiet_C"/>
      <sheetName val="Customize Your Purchase Order"/>
      <sheetName val="BG"/>
      <sheetName val="FitOutConfCentre"/>
      <sheetName val="KLHT"/>
      <sheetName val="CHITIET VL-NC-TT -1p"/>
      <sheetName val="CHITIET VL-NC-TT-3p"/>
      <sheetName val="TONG HOP VL-NC TT"/>
      <sheetName val="TDTKP1"/>
      <sheetName val="KPVC-BD "/>
      <sheetName val="DGTH"/>
      <sheetName val="HĐ ngoài"/>
      <sheetName val="dongia (2)"/>
      <sheetName val="S-curve "/>
      <sheetName val="Mall"/>
      <sheetName val="CTG"/>
      <sheetName val="TONGKE-HT"/>
      <sheetName val="Commercial value"/>
      <sheetName val="Customize_Your_Purchase_Order"/>
      <sheetName val="Shdet1"/>
      <sheetName val="402"/>
      <sheetName val="7606 DZ"/>
      <sheetName val="실행철강하도"/>
      <sheetName val="BETON"/>
      <sheetName val="24-ACMV"/>
      <sheetName val="dnc4"/>
      <sheetName val="침하계"/>
      <sheetName val="P"/>
      <sheetName val="Adix A"/>
      <sheetName val="DONVIBAN"/>
      <sheetName val="NGUON"/>
      <sheetName val="project management"/>
      <sheetName val="갑지"/>
      <sheetName val="So doi chieu LC"/>
      <sheetName val="phuluc1"/>
      <sheetName val="MAIN GATE HOUSE"/>
      <sheetName val="THVT"/>
      <sheetName val="chitimc"/>
      <sheetName val="giathanh1"/>
      <sheetName val="Du_lieu"/>
      <sheetName val="VL"/>
      <sheetName val="CBKC-110"/>
      <sheetName val="NC"/>
      <sheetName val="Titles"/>
      <sheetName val="Rates 2009"/>
      <sheetName val="A1.CN"/>
      <sheetName val="PTDG"/>
      <sheetName val="Ky Lam Bridge"/>
      <sheetName val="Provisional Sums Item"/>
      <sheetName val="Gas Pressure Welding"/>
      <sheetName val="General Item&amp;General Requiremen"/>
      <sheetName val="General Items"/>
      <sheetName val="Regenral Requirements"/>
      <sheetName val="TONG HOP VL-NC"/>
      <sheetName val="lam-moi"/>
      <sheetName val="chiet tinh"/>
      <sheetName val="dg67-1"/>
      <sheetName val="Don_gia"/>
      <sheetName val="DON_GIA_TRAM_(3)"/>
      <sheetName val="7606_DZ"/>
      <sheetName val="TONG_HOP_VL-NC_TT"/>
      <sheetName val="CHITIET_VL-NC-TT_-1p"/>
      <sheetName val="KPVC-BD_"/>
      <sheetName val="Ng.hàng xà+bulong"/>
      <sheetName val="K95"/>
      <sheetName val="K98"/>
      <sheetName val="PROFILE"/>
      <sheetName val="Đầu vào"/>
      <sheetName val="KPTH-T12"/>
      <sheetName val="Thamgia-T10"/>
      <sheetName val="Ts"/>
      <sheetName val="XD"/>
      <sheetName val="Cuongricc"/>
      <sheetName val="CAT_5"/>
      <sheetName val="BQMP"/>
      <sheetName val="산근"/>
      <sheetName val="inter"/>
      <sheetName val="대비"/>
      <sheetName val="REINF."/>
      <sheetName val="SKETCH"/>
      <sheetName val="LOADS"/>
      <sheetName val="O20"/>
      <sheetName val="Du toan"/>
      <sheetName val="Keothep"/>
      <sheetName val="Re-bar"/>
      <sheetName val="SL"/>
      <sheetName val="집계표"/>
      <sheetName val="DLDTLN"/>
      <sheetName val="Dulieu"/>
      <sheetName val="차액보증"/>
      <sheetName val="SITE-E"/>
      <sheetName val="Bang KL"/>
      <sheetName val="TH_CNO"/>
      <sheetName val="NK_CHUNG"/>
      <sheetName val="ALLOWANCE"/>
      <sheetName val="MH RATE"/>
      <sheetName val="07Base Cost"/>
      <sheetName val="rate material"/>
      <sheetName val="Sheet3"/>
      <sheetName val="Config"/>
      <sheetName val="DMCP"/>
      <sheetName val="HS_TDT"/>
      <sheetName val="DG-VL"/>
      <sheetName val="PTDGCT"/>
      <sheetName val="금융비용"/>
      <sheetName val="입찰안"/>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LaborPY"/>
      <sheetName val="LaborKH"/>
      <sheetName val="Equip "/>
      <sheetName val="Material"/>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4.PTDG"/>
      <sheetName val="bt19"/>
      <sheetName val="Btr25"/>
      <sheetName val="Data Input"/>
      <sheetName val="CANDOI"/>
      <sheetName val="MATK"/>
      <sheetName val="NHATKY"/>
      <sheetName val="DTOAN"/>
      <sheetName val="Xay lapduongR3"/>
      <sheetName val="BKBANRA"/>
      <sheetName val="BKMUAVAO"/>
      <sheetName val="Chi tiet KL"/>
      <sheetName val="Tổng hợp KL"/>
      <sheetName val="Barrem"/>
      <sheetName val="BM"/>
      <sheetName val="2.Chiet tinh"/>
      <sheetName val="Chi tiet"/>
      <sheetName val="Cp&gt;10-Ln&lt;10"/>
      <sheetName val="Ln&lt;20"/>
      <sheetName val="EIRR&gt;1&lt;1"/>
      <sheetName val="EIRR&gt; 2"/>
      <sheetName val="EIRR&lt;2"/>
      <sheetName val="Sheet2"/>
      <sheetName val="DonGiaLD"/>
      <sheetName val="????"/>
      <sheetName val="A1, May"/>
      <sheetName val="Máy"/>
      <sheetName val="Vat lieu"/>
      <sheetName val="DTXL"/>
      <sheetName val="Equipment"/>
      <sheetName val="DT_THAU"/>
      <sheetName val="말뚝지지력산정"/>
      <sheetName val="04 - XUONG DET B"/>
      <sheetName val="CTGX"/>
      <sheetName val="CTG-1"/>
      <sheetName val="BANCO (2)"/>
      <sheetName val="MT DPin (2)"/>
      <sheetName val="6787CWFASE2CASE2_00.xls"/>
      <sheetName val="T&amp;D"/>
      <sheetName val="list"/>
      <sheetName val="7606-TBA"/>
      <sheetName val="7606-ĐZ"/>
      <sheetName val="DM 67"/>
      <sheetName val="負荷集計（断熱不燃）"/>
      <sheetName val="Duc_bk"/>
      <sheetName val="CE(E)"/>
      <sheetName val="CE(M)"/>
      <sheetName val="Project Data"/>
      <sheetName val="Phan khai KLuong"/>
      <sheetName val="Duphong"/>
      <sheetName val="Bill 1_Quy dinh chung"/>
      <sheetName val="1.R18 BF"/>
      <sheetName val="A"/>
      <sheetName val="G"/>
      <sheetName val="F-B"/>
      <sheetName val="H-J"/>
      <sheetName val="6.External works-R18"/>
      <sheetName val="chiettinh"/>
      <sheetName val="INFO"/>
      <sheetName val="Summary"/>
      <sheetName val="갑지1"/>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Standardwerte"/>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GAEYO"/>
      <sheetName val="Đầu tư"/>
      <sheetName val="DL"/>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Bang trong luong rieng thep"/>
      <sheetName val="LEGEND"/>
      <sheetName val="6PILE  (돌출)"/>
      <sheetName val="6MONTHS"/>
      <sheetName val="???S"/>
      <sheetName val="???"/>
      <sheetName val="??"/>
      <sheetName val="HÐ ngoài"/>
      <sheetName val="??????"/>
      <sheetName val="HÐ_ngoài"/>
      <sheetName val="gia cong tac"/>
      <sheetName val="____"/>
      <sheetName val="Measure 1306"/>
      <sheetName val="0"/>
      <sheetName val="NVL"/>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Note"/>
      <sheetName val="DLdauvao"/>
      <sheetName val="CẤP THOÁT NƯỚC"/>
      <sheetName val="PRI-LS"/>
      <sheetName val="NKC6"/>
      <sheetName val="Cước VC + ĐM CP Tư vấn"/>
      <sheetName val="Hệ số"/>
      <sheetName val="DG-TNHC-85"/>
      <sheetName val="Dia"/>
      <sheetName val="SP10"/>
      <sheetName val="THDT goi thau TB"/>
      <sheetName val="Tien do TV"/>
      <sheetName val="QD957"/>
      <sheetName val="Harga ME "/>
      <sheetName val="토공"/>
      <sheetName val="Alat"/>
      <sheetName val="Analisa Gabungan"/>
      <sheetName val="Sub"/>
      <sheetName val="I-KAMAR"/>
      <sheetName val="TH MTC"/>
      <sheetName val="TH N.Cong"/>
      <sheetName val="Open"/>
      <sheetName val="Function"/>
      <sheetName val="Noisuy-LLL"/>
      <sheetName val="GV1-D13 (Casement door)"/>
      <sheetName val="MTL$-INTER"/>
      <sheetName val="DK"/>
      <sheetName val="Gia vat tu"/>
      <sheetName val="Ca máy"/>
      <sheetName val="Dự toán"/>
      <sheetName val="Đơn Giá TH"/>
      <sheetName val="Nhân công"/>
      <sheetName val="Phân tích"/>
      <sheetName val="C.P Thiết bị"/>
      <sheetName val="T.H Kinh phí"/>
      <sheetName val="Vật tư"/>
      <sheetName val="Trang bìa"/>
      <sheetName val="DTXD"/>
      <sheetName val="Door and window"/>
      <sheetName val="DETAIL "/>
      <sheetName val="JP_List"/>
      <sheetName val="SUBS"/>
      <sheetName val="Feeds"/>
      <sheetName val="final list 2005"/>
      <sheetName val="final_list_2005"/>
      <sheetName val="WORKINGS"/>
      <sheetName val="LV data"/>
      <sheetName val="ESTI."/>
      <sheetName val="CPDDII"/>
      <sheetName val="phan tic chi tiet"/>
      <sheetName val="dg7606"/>
      <sheetName val="DGsuyrong"/>
      <sheetName val="PhanTichVua"/>
      <sheetName val="PhanTichVT"/>
      <sheetName val="KhoiluongDT"/>
      <sheetName val="Sheet4"/>
      <sheetName val="Supplier"/>
      <sheetName val=" Bill.5-Earthing.2 - Add Works"/>
      <sheetName val="bridge # 1"/>
      <sheetName val="Isolasi Luar Dalam"/>
      <sheetName val="Isolasi Luar"/>
      <sheetName val="TK-COL"/>
      <sheetName val="02_Dulieu_Cua"/>
      <sheetName val="HMCV"/>
      <sheetName val="CauKien"/>
      <sheetName val="KL san lap"/>
      <sheetName val="DG7606DZ"/>
      <sheetName val="Chenh lech ca may"/>
      <sheetName val="TLg CN&amp;Laixe"/>
      <sheetName val="TLg CN&amp;Laixe (2)"/>
      <sheetName val="TLg Laitau"/>
      <sheetName val="TLg Laitau (2)"/>
      <sheetName val="Setting"/>
      <sheetName val="Settings"/>
      <sheetName val="PS-Labour_M"/>
      <sheetName val="CT_vat_lieu"/>
      <sheetName val="DM_6061"/>
      <sheetName val="DG_thep_ma_kem"/>
      <sheetName val="DG_DZ"/>
      <sheetName val="DG_TBA"/>
      <sheetName val="Data_Input"/>
      <sheetName val="DG1426"/>
      <sheetName val="KH-Q1,Q2,01"/>
      <sheetName val="KHOI LUONG"/>
      <sheetName val="Bang 3_Chi tiet phan Dz"/>
      <sheetName val="___S"/>
      <sheetName val="___"/>
      <sheetName val="__"/>
      <sheetName val="______"/>
      <sheetName val="DATA BASE"/>
      <sheetName val="Equipment list (PAC)"/>
      <sheetName val="Mat_Source"/>
      <sheetName val="計算条件"/>
      <sheetName val="VND"/>
      <sheetName val="Buy vs. Lease Car"/>
      <sheetName val="入力作成表"/>
      <sheetName val="TINH KHOI LUONG"/>
      <sheetName val="CPA"/>
      <sheetName val="GTTBA"/>
      <sheetName val="BẢNG KHỐI LƯỢNG TỔNG HỢP"/>
      <sheetName val="Hardware"/>
      <sheetName val="HWW"/>
      <sheetName val="TH_CPTB"/>
      <sheetName val="CP Khac cuoc VC"/>
      <sheetName val="新规"/>
      <sheetName val="Code"/>
      <sheetName val="Budget Code"/>
      <sheetName val="Master"/>
      <sheetName val="CTKL KTX HT"/>
      <sheetName val="daf-3(OK)"/>
      <sheetName val="daf-7(OK)"/>
      <sheetName val="subcon sched"/>
      <sheetName val="PRE (E)"/>
      <sheetName val="SourceData"/>
      <sheetName val="SEX"/>
      <sheetName val="HVAC.BLOCK B4"/>
      <sheetName val="NHÀ NHẬP LIỆU"/>
      <sheetName val="MÓNG SILO"/>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Luong NII"/>
      <sheetName val="Cpbetong"/>
      <sheetName val="366fun"/>
      <sheetName val="DM_60606061"/>
      <sheetName val="DINH MUC THI NGHIEM"/>
      <sheetName val="CUOCVC"/>
      <sheetName val="Luong NI"/>
      <sheetName val="Vatlieu"/>
      <sheetName val="CT"/>
      <sheetName val="DTCTchung"/>
      <sheetName val="Don gia chi tiet DIEN 2"/>
      <sheetName val="NEW-PANEL"/>
      <sheetName val="Dlieu dau vao"/>
      <sheetName val="7606"/>
      <sheetName val="OT"/>
      <sheetName val="Income Statement"/>
      <sheetName val="Shareholders' Equity"/>
      <sheetName val="Don_gia2"/>
      <sheetName val="DON_GIA_TRAM_(3)2"/>
      <sheetName val="DON_GIA_CAN_THO4"/>
      <sheetName val="7606_DZ2"/>
      <sheetName val="Don_gia_chi_tiet2"/>
      <sheetName val="KPVC-BD_2"/>
      <sheetName val="Gia_vat_tu1"/>
      <sheetName val="Ky_Lam_Bridge1"/>
      <sheetName val="Provisional_Sums_Item1"/>
      <sheetName val="Gas_Pressure_Welding1"/>
      <sheetName val="General_Item&amp;General_Requireme1"/>
      <sheetName val="General_Items1"/>
      <sheetName val="Regenral_Requirements1"/>
      <sheetName val="Ng_hàng_xà+bulong1"/>
      <sheetName val="CT_vat_lieu1"/>
      <sheetName val="Income_Statement1"/>
      <sheetName val="Shareholders'_Equity1"/>
      <sheetName val="Gia_vat_tu"/>
      <sheetName val="Income_Statement"/>
      <sheetName val="Shareholders'_Equity"/>
      <sheetName val="#REF!"/>
      <sheetName val="VC.xd"/>
      <sheetName val="Gia.VLTB"/>
      <sheetName val="B.Luong"/>
      <sheetName val="C.May"/>
      <sheetName val="DG 1426"/>
      <sheetName val="don_giaQB"/>
      <sheetName val="dm 366"/>
      <sheetName val="DM 6060"/>
      <sheetName val="DM_4970"/>
      <sheetName val="TK-TUBU"/>
      <sheetName val="DGIA"/>
      <sheetName val="TT"/>
      <sheetName val="dutoan"/>
      <sheetName val="Formwork"/>
      <sheetName val="Chi tiet -tong 9 thang"/>
      <sheetName val="BangMa"/>
      <sheetName val="project_management1"/>
      <sheetName val="REINF_1"/>
      <sheetName val="Rates_20091"/>
      <sheetName val="Du_toan1"/>
      <sheetName val="MAIN_GATE_HOUSE1"/>
      <sheetName val="Commercial_value1"/>
      <sheetName val="cuocbd"/>
      <sheetName val="CUOC"/>
      <sheetName val="DM7606"/>
      <sheetName val="XDM22"/>
      <sheetName val="Gvlch"/>
      <sheetName val="DGLX"/>
      <sheetName val="DinhMuc"/>
      <sheetName val="7606(TT01)"/>
      <sheetName val="7606TBA(TT01)"/>
      <sheetName val="DG7606TBA"/>
      <sheetName val="CTTN"/>
      <sheetName val="Luong_Cnhan"/>
      <sheetName val="DMTN"/>
      <sheetName val="VatTU"/>
      <sheetName val="dgtn"/>
      <sheetName val="Phan tich"/>
      <sheetName val="Main"/>
      <sheetName val="DL ĐẦU VÀO"/>
      <sheetName val="경비2내역"/>
      <sheetName val="chiet_tinh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BOQ THAN"/>
      <sheetName val="Analisa &amp; Upah"/>
      <sheetName val="CTEMCOST"/>
      <sheetName val="Unit_Div6"/>
      <sheetName val="Purchase Order"/>
      <sheetName val="D &amp; W sizes"/>
      <sheetName val="DETAIL_"/>
      <sheetName val="BOQ건축"/>
      <sheetName val="BocXep"/>
      <sheetName val="VCBo"/>
      <sheetName val="VCThuy"/>
      <sheetName val="Active"/>
      <sheetName val="PMS"/>
      <sheetName val="DongiaVL2"/>
      <sheetName val="dghn"/>
      <sheetName val="1_MV"/>
      <sheetName val="Ktmo"/>
      <sheetName val="Du lieu"/>
      <sheetName val="Cash2"/>
      <sheetName val="Markup"/>
      <sheetName val="INPUT-STR"/>
      <sheetName val="REF"/>
      <sheetName val="CT Thang Mo"/>
      <sheetName val="CT  PL"/>
      <sheetName val="cash budget"/>
      <sheetName val="Criteria"/>
      <sheetName val="ICGSIP"/>
      <sheetName val="DM_60611"/>
      <sheetName val="DG_thep_ma_kem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K1.Don gia"/>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外気負荷"/>
      <sheetName val="Don gia (khong in)"/>
      <sheetName val="1.MONG 1-2"/>
      <sheetName val="02. PTDG"/>
      <sheetName val="Chiết tính"/>
      <sheetName val="CTKL_KTX_HT"/>
      <sheetName val="NHÀ_NHẬP_LIỆU"/>
      <sheetName val="MÓNG_SILO"/>
      <sheetName val="CP_Khac_cuoc_VC"/>
      <sheetName val="Budget_Code"/>
      <sheetName val="BẢNG_KHỐI_LƯỢNG_TỔNG_HỢP"/>
      <sheetName val="2_Chiet_tinh"/>
      <sheetName val="M1-XL-1c"/>
      <sheetName val="THKL"/>
      <sheetName val="sort2"/>
      <sheetName val="소일위대가코드표"/>
      <sheetName val="DATA1"/>
      <sheetName val="wk prgs"/>
      <sheetName val="Dongiaxd"/>
      <sheetName val="TB NẶNG"/>
      <sheetName val="Du tru CP-Bieu 01"/>
      <sheetName val="Dự thầu"/>
      <sheetName val="Nhap VT oto"/>
      <sheetName val="MTL(AG)"/>
      <sheetName val="Hao phí"/>
      <sheetName val="Structure data"/>
      <sheetName val="Specs"/>
      <sheetName val="Data.Wall"/>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Ma don vi"/>
      <sheetName val="bang cc"/>
      <sheetName val="Theo doi Doanh thu 2017"/>
      <sheetName val="Dongia7606new"/>
      <sheetName val="DGiaT"/>
      <sheetName val="DGiaTN"/>
      <sheetName val="CP HMC"/>
      <sheetName val="Thongtin"/>
      <sheetName val="Tổng hợp KPHM"/>
      <sheetName val="AG Pipe Qty Analysis"/>
      <sheetName val="Cong"/>
      <sheetName val="gtrinh"/>
      <sheetName val="đọc số"/>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Bill No.3 - Prov. Sum (Ph2&amp;3)"/>
      <sheetName val="TH TN"/>
      <sheetName val="Ｎｏ.13"/>
      <sheetName val="tra_vat_lieu"/>
      <sheetName val="DGchitiet "/>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Tongke"/>
      <sheetName val="2.1Warehouse 1"/>
      <sheetName val="CHI PHI"/>
      <sheetName val="MDA"/>
      <sheetName val="MKH"/>
      <sheetName val="DMNV"/>
      <sheetName val="DMNCC"/>
      <sheetName val="MHH"/>
      <sheetName val="Bill 2-Road HR2"/>
      <sheetName val="Bill 3 - Softscape HR2"/>
      <sheetName val="Brick"/>
      <sheetName val="見積書"/>
      <sheetName val="TNHC"/>
      <sheetName val="TK chi tiet"/>
      <sheetName val="CĂN HỘ T16-17 "/>
      <sheetName val="TRỤC ĐỨNG THOÁT BẨN T15-17"/>
      <sheetName val="TRỤC ĐỨNG TM T15-17"/>
      <sheetName val="trialth"/>
      <sheetName val="1"/>
      <sheetName val="PCCC"/>
      <sheetName val="Tổng GT"/>
      <sheetName val="GT"/>
      <sheetName val="KL"/>
      <sheetName val="Chi tiết KL"/>
      <sheetName val="khấu trừ phạt"/>
      <sheetName val="GT  KHAU TRU"/>
      <sheetName val="HAO HUT VAT TU (2)"/>
      <sheetName val="cao độ"/>
      <sheetName val="THEP TAM"/>
      <sheetName val="THEP HÌNH"/>
      <sheetName val="THEP HINH"/>
      <sheetName val="XA GO"/>
      <sheetName val="BANG TRA"/>
      <sheetName val="CDTK"/>
      <sheetName val="물량표"/>
      <sheetName val="NHATKYC"/>
      <sheetName val="BCX_NL"/>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TONG HOP"/>
      <sheetName val="VT190111"/>
      <sheetName val="DM_336cai tao"/>
      <sheetName val="KHOI LUONG15-4"/>
      <sheetName val="HS"/>
      <sheetName val="gui BKCT"/>
      <sheetName val="A6,MAY"/>
      <sheetName val="Bù giá CM"/>
      <sheetName val="Trichluc"/>
      <sheetName val="dodat"/>
      <sheetName val="Dieutra"/>
      <sheetName val="catdoc"/>
      <sheetName val="diahinh"/>
      <sheetName val="Thop Ksat"/>
      <sheetName val="Nhap"/>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Luong BN"/>
      <sheetName val="Luong TB"/>
      <sheetName val="Ca may TB"/>
      <sheetName val="Ca máy BN"/>
      <sheetName val="Vật liệu"/>
      <sheetName val="Gia vat lieu"/>
      <sheetName val="Precios unitarios AXH"/>
      <sheetName val=""/>
      <sheetName val="3. CNT"/>
      <sheetName val="unit price list(M)"/>
      <sheetName val="Rate1"/>
      <sheetName val="TH VL, NC, DDHT Thanhphuoc"/>
      <sheetName val="전기"/>
      <sheetName val="DMCT"/>
      <sheetName val="lam_moi"/>
      <sheetName val="So lieu chung"/>
      <sheetName val="BẢNG ÁP GIÁ (in)"/>
      <sheetName val="NT (KL) IN"/>
      <sheetName val="DOM D2"/>
      <sheetName val="nhà ăn"/>
      <sheetName val="Công nhật"/>
      <sheetName val="btkt cột"/>
      <sheetName val="THÉP"/>
      <sheetName val="Door_and_window1"/>
      <sheetName val="Ma_don_vi"/>
      <sheetName val="bang_cc"/>
      <sheetName val="유림콘도"/>
      <sheetName val="유림골조"/>
      <sheetName val="Btra"/>
      <sheetName val="Doi so"/>
      <sheetName val="Notes"/>
      <sheetName val="1.2 Staff Schedule"/>
      <sheetName val="SPEC"/>
      <sheetName val="VO-PS02-XD"/>
      <sheetName val="0. Input"/>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T2-3"/>
      <sheetName val="Pric塅䕃"/>
      <sheetName val="PNT_QUOT__3"/>
      <sheetName val="COAT_WRAP_QIOT__3"/>
      <sheetName val="TH các CC"/>
      <sheetName val="Bill Prelim-CDT"/>
      <sheetName val="Prelims"/>
      <sheetName val="Bill BPTC-CDT"/>
      <sheetName val="Chi tiết BPTC"/>
      <sheetName val="Bill BPTC-CDT (PA MCT CDT)"/>
      <sheetName val="Chi tiết BPTC (PA MCT CDT)"/>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BQ-E20-02(Rp)"/>
      <sheetName val="F4-F7"/>
      <sheetName val="날개벽수량표"/>
      <sheetName val="PERSONNELIST"/>
      <sheetName val="1. Office"/>
      <sheetName val="A6"/>
      <sheetName val="KL thep lam sat"/>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Steel"/>
      <sheetName val="Order"/>
      <sheetName val="DM-VNT ko sd"/>
      <sheetName val="B3A - TOWER A"/>
      <sheetName val="Annex B"/>
      <sheetName val="Cotthep.NPT"/>
      <sheetName val="vl.nc.mtc"/>
      <sheetName val="TOSHIBA-Structure"/>
      <sheetName val="1.Civil (Org)"/>
      <sheetName val="villa"/>
      <sheetName val="Data-year2001i"/>
      <sheetName val="Tien Thuong"/>
      <sheetName val="NC XL 6T cuoi 01 CTy"/>
      <sheetName val="Data -6T dau"/>
      <sheetName val="Cong 6T"/>
      <sheetName val="125x125"/>
      <sheetName val="Bảng đo bóc KL OLK-09"/>
      <sheetName val="6.3 CHI TIET OLK-09"/>
      <sheetName val="음료실행"/>
      <sheetName val="내역서을지"/>
      <sheetName val="Assumptions"/>
      <sheetName val="Dot 4"/>
      <sheetName val="Chi phi van chuyen"/>
      <sheetName val="Tong hop vat tu"/>
      <sheetName val="XLR_NoRangeSheet"/>
      <sheetName val="工艺分类库"/>
      <sheetName val="1.San "/>
      <sheetName val="DT hợp đồng"/>
      <sheetName val="Bảng KL đợt 1"/>
      <sheetName val="DLDT"/>
      <sheetName val="Dgia vat tu"/>
      <sheetName val="Don gia_III"/>
      <sheetName val="D÷ liÖu"/>
      <sheetName val="TLG Type"/>
      <sheetName val="Duthau"/>
      <sheetName val="HRG BHN"/>
      <sheetName val="CĂN ĐH"/>
      <sheetName val="Div26 - Elect"/>
      <sheetName val="DMSC"/>
      <sheetName val="Heso DZ"/>
      <sheetName val="DGiaDZ"/>
      <sheetName val="DG_BINH THUAN"/>
      <sheetName val="CAUDIT"/>
      <sheetName val="7.Khau tru "/>
      <sheetName val="Inputs_Sens"/>
      <sheetName val="IS_Sum_CM"/>
      <sheetName val="gia vt,nc,may"/>
      <sheetName val="2.CDPS"/>
      <sheetName val="Q.A01.2-Sh"/>
      <sheetName val="개산공사비"/>
      <sheetName val="Gld"/>
      <sheetName val="Gxd"/>
      <sheetName val="4 CĂN"/>
      <sheetName val="Calculation"/>
      <sheetName val="Danh mục"/>
      <sheetName val="Financ. Overview"/>
      <sheetName val="Toolbox"/>
      <sheetName val="Dinh muc"/>
      <sheetName val="TDTKP"/>
      <sheetName val="DK-KH"/>
      <sheetName val="Bieu gia HD"/>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BTK-Dai Hoc Kien Giang"/>
      <sheetName val="PV Graph Data"/>
      <sheetName val="GJ_06"/>
      <sheetName val="doanh thu"/>
      <sheetName val="Dutoan KL"/>
      <sheetName val="Kyhieuloptratsonba"/>
      <sheetName val="Method_BouyancyFactor"/>
      <sheetName val="Method_PressureArea"/>
      <sheetName val="InputData"/>
      <sheetName val="B-2  (DPP)"/>
      <sheetName val="LX -TT05"/>
      <sheetName val="NC Moi TT05"/>
      <sheetName val="dulieumong"/>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Huong dan"/>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DZ 22KV"/>
      <sheetName val="5.2.1 Đo bóc KL OLK-06"/>
      <sheetName val="QUO"/>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ANRA"/>
      <sheetName val="Annual_CFs_Asset"/>
      <sheetName val="datatt"/>
      <sheetName val="PTVT"/>
      <sheetName val="GIÁ DỰ THẦU 30 CĂN"/>
      <sheetName val="DG Chi tiet"/>
      <sheetName val=" 1710 HOINGHINLD"/>
      <sheetName val="99"/>
      <sheetName val="99 (2)"/>
      <sheetName val="134 "/>
      <sheetName val="DG-1776KV4"/>
      <sheetName val="DG 4970"/>
      <sheetName val="THCT"/>
      <sheetName val="DM-1776"/>
      <sheetName val="CTDZTA(5)"/>
      <sheetName val="THONG SO"/>
      <sheetName val="Đơn giá chi tiết TN 39"/>
      <sheetName val="DT"/>
      <sheetName val="Giathau"/>
      <sheetName val="KS tuyen"/>
      <sheetName val="THTL"/>
      <sheetName val="CP(dz)"/>
      <sheetName val="Bang chiet tinh TBA"/>
      <sheetName val="EQT-ESTN"/>
      <sheetName val="MB.DT.02"/>
      <sheetName val="01-&gt;12"/>
      <sheetName val="Article"/>
      <sheetName val="BT3"/>
      <sheetName val="DI_ESTI"/>
      <sheetName val="4.2.1 Đo bóc KL OLK-06"/>
      <sheetName val="4.1.1 CHI TIET OLK-06"/>
      <sheetName val="Hệ_qố2"/>
      <sheetName val="Electrical Works"/>
      <sheetName val="H_T_ INCOMING SYSTEM"/>
      <sheetName val="EQUIP LIST"/>
      <sheetName val="electrical"/>
      <sheetName val="So sanh"/>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Gia VT-TB"/>
      <sheetName val="noi suy xa"/>
      <sheetName val="noi suy xa thu hoi"/>
      <sheetName val="DCQ"/>
      <sheetName val="DCS"/>
      <sheetName val="DD"/>
      <sheetName val="SUMDETAIL"/>
      <sheetName val="Factory"/>
      <sheetName val="Matchung"/>
      <sheetName val="BU LONG"/>
      <sheetName val="ĐNVT"/>
      <sheetName val="ĐNBL"/>
      <sheetName val="CTLK"/>
      <sheetName val="係数"/>
      <sheetName val="8521"/>
      <sheetName val="Package1"/>
      <sheetName val="Painting"/>
      <sheetName val="영동(D)"/>
      <sheetName val="Thuyết minh"/>
      <sheetName val="Đơn giá máy"/>
      <sheetName val="Tính giá NC"/>
      <sheetName val="SL cước"/>
      <sheetName val="DT. NHA XUONG"/>
      <sheetName val="ABUT수량-A1"/>
      <sheetName val="THKP957"/>
      <sheetName val="Tiên lượng"/>
      <sheetName val="Tong DT"/>
      <sheetName val="phan tich don gia"/>
      <sheetName val="Items"/>
      <sheetName val="Detail"/>
      <sheetName val="¥ "/>
      <sheetName val="KLall"/>
      <sheetName val="Bia lot"/>
      <sheetName val="DSKH"/>
      <sheetName val="DT san XD-So lieu cu"/>
      <sheetName val="Chu dau tu"/>
      <sheetName val="AASHTO92"/>
      <sheetName val="Cash Flow"/>
      <sheetName val="Yield"/>
      <sheetName val="Bill No.1.6"/>
      <sheetName val="Bill No.1.10"/>
      <sheetName val="Bill No.3.3"/>
      <sheetName val="Bill No.1.4"/>
      <sheetName val="Bill No.1.7"/>
      <sheetName val="Summary Bill No. 3"/>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Unit price"/>
      <sheetName val="현장별"/>
      <sheetName val="112016"/>
      <sheetName val="Bán đợt 1 trang"/>
      <sheetName val="DI-ESTI"/>
      <sheetName val="3. KC - PODIUM"/>
      <sheetName val="說明"/>
      <sheetName val="dg-VTu"/>
      <sheetName val="데리네이타현황"/>
      <sheetName val="BID"/>
      <sheetName val="Chiet tinh dz35"/>
      <sheetName val="DG3285"/>
      <sheetName val="Tien Luong"/>
      <sheetName val="Breakdown (B)"/>
      <sheetName val="U.P_Breakdown"/>
      <sheetName val="기안"/>
      <sheetName val="DW"/>
      <sheetName val="DWD"/>
      <sheetName val="DW1"/>
      <sheetName val="pctg"/>
      <sheetName val="M-work"/>
      <sheetName val="WORK"/>
      <sheetName val="DWi"/>
      <sheetName val="PC=FLAT"/>
      <sheetName val="Cert1"/>
      <sheetName val="설계내역서"/>
      <sheetName val="g-vl"/>
      <sheetName val="tuong"/>
      <sheetName val="dats"/>
      <sheetName val="CHITIET VL-NCHT1 (2)"/>
      <sheetName val="Links"/>
      <sheetName val="Lead"/>
      <sheetName val="Unit price(Updateti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Subsidiary Calculation"/>
      <sheetName val="CashFlows"/>
      <sheetName val="갑지(추정)"/>
      <sheetName val="5.2.1 Đo bóc KL OLK-10"/>
      <sheetName val="tifico"/>
      <sheetName val="CTDZ6kv (gd1) "/>
      <sheetName val="CTDZ 0.4+cto (GD1)"/>
      <sheetName val="CTTBA (gd1)"/>
      <sheetName val="선가03C"/>
      <sheetName val="03 Detailed"/>
      <sheetName val="01 Bid Price summary"/>
      <sheetName val="Home Office Manhours"/>
      <sheetName val="Field SPV Barchart"/>
      <sheetName val="95D"/>
      <sheetName val="94D"/>
      <sheetName val="COAT&amp;WRAP-QIOT-#3"/>
      <sheetName val="Abutment"/>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NTCV1"/>
      <sheetName val="THÔNG TIN"/>
      <sheetName val="SGC RATE"/>
      <sheetName val="DSNV"/>
      <sheetName val="ThongtinDN"/>
      <sheetName val="DM DU AN"/>
      <sheetName val="DM TP."/>
      <sheetName val="File Chi tiet"/>
      <sheetName val="Bangia"/>
      <sheetName val="D+W"/>
      <sheetName val="Cau tao gia xay to"/>
      <sheetName val="inputcua"/>
      <sheetName val="Phu Bai Bridge"/>
      <sheetName val="beam"/>
      <sheetName val="Gia-VL"/>
      <sheetName val="chitiet"/>
      <sheetName val="chitietCS"/>
      <sheetName val="chitietTD"/>
      <sheetName val="CauHinh"/>
      <sheetName val="PL02"/>
      <sheetName val="don gia 1426"/>
      <sheetName val="TM"/>
      <sheetName val="Bordereau"/>
      <sheetName val="Y-WORK"/>
      <sheetName val="Khai toan"/>
      <sheetName val="Phu luc 01.1 EPC P11-14"/>
      <sheetName val="Bìa"/>
      <sheetName val="TH"/>
      <sheetName val="TDT P11-P14"/>
      <sheetName val="CPXD"/>
      <sheetName val="Chi phi khac "/>
      <sheetName val="Hang muc Chung"/>
      <sheetName val="ĐGNC"/>
      <sheetName val="DGMTC"/>
      <sheetName val="Bia Phu Luc"/>
      <sheetName val="DATA.1 CHUNG"/>
      <sheetName val="Muc luc"/>
      <sheetName val="Tra cuu 957"/>
      <sheetName val="DG "/>
      <sheetName val="NTKL"/>
      <sheetName val="HSTV"/>
      <sheetName val="GCM"/>
      <sheetName val="GVT"/>
      <sheetName val="NC CU"/>
      <sheetName val="PLV"/>
      <sheetName val="Luong (TP Việt Trì)"/>
      <sheetName val="DNDN"/>
      <sheetName val="toyota"/>
      <sheetName val="Solieu"/>
      <sheetName val="주식"/>
      <sheetName val="Tru TT"/>
      <sheetName val="Thg 04"/>
      <sheetName val="Thg 05"/>
      <sheetName val="Thg 06"/>
      <sheetName val="Thg 07"/>
      <sheetName val="Thg 08"/>
      <sheetName val="Thg 09"/>
      <sheetName val="Thg 10"/>
      <sheetName val="Thg 11"/>
      <sheetName val="Thg 12"/>
      <sheetName val="CTGS"/>
      <sheetName val="Dashboard - BQL - VHL"/>
      <sheetName val="kl3p"/>
      <sheetName val="kl3pct"/>
      <sheetName val="kl3pcto"/>
      <sheetName val="ERECIN"/>
      <sheetName val="DG05new"/>
      <sheetName val="DLTA"/>
      <sheetName val="BẢNG DIỄN GIẢI KL (7)"/>
      <sheetName val="THPDMoi  (2)"/>
      <sheetName val="thao-go"/>
      <sheetName val="t-h HA THE"/>
      <sheetName val="TH XL"/>
      <sheetName val="Tiepdia"/>
      <sheetName val="CHITIET VL-NC"/>
      <sheetName val="Breakdown"/>
      <sheetName val="DTCT"/>
      <sheetName val="TKXM"/>
      <sheetName val="변경내역"/>
      <sheetName val="Takeoff"/>
      <sheetName val="Bán_đợt_1_trang"/>
      <sheetName val="Tong_DT"/>
      <sheetName val="phan_tich_don_gia"/>
      <sheetName val="Cost_List"/>
      <sheetName val="Detail_Cost"/>
      <sheetName val="IC_Price_New"/>
      <sheetName val="Summary_Table"/>
      <sheetName val="Sales_Person"/>
      <sheetName val="Bidding_Entity"/>
      <sheetName val="Tcd"/>
      <sheetName val="Cuoc "/>
      <sheetName val="gia chao"/>
      <sheetName val="Vat lieu BTN"/>
      <sheetName val="TCVN 1651-2008"/>
      <sheetName val="Da xay dung"/>
      <sheetName val="MTO REV.0"/>
      <sheetName val="TH khoi luong"/>
      <sheetName val="Chi tiet khoi luong"/>
      <sheetName val="TK thep"/>
      <sheetName val="CT THOÁT WC VP"/>
      <sheetName val="CT CẤP WC VP"/>
      <sheetName val="CT THOÁT MƯA VP TRỤC LỚN"/>
      <sheetName val="CT THOÁT MƯA VP TRỤC NHỎ"/>
      <sheetName val="Menu"/>
      <sheetName val="Chênh lệch máy thi công"/>
      <sheetName val="Chênh lệch nhân công"/>
      <sheetName val="Chênh lệch vật liệu"/>
      <sheetName val="DO AM DT"/>
      <sheetName val="BANGTRA"/>
      <sheetName val="COST_ACC"/>
      <sheetName val="Probbl - Production"/>
      <sheetName val="Backup"/>
      <sheetName val="내역"/>
      <sheetName val="CHI PHÍ NHÔM"/>
      <sheetName val="TABLE-A"/>
      <sheetName val="w't table"/>
      <sheetName val="Danh mục khối"/>
      <sheetName val="Danh mục đơn vị -phòng chức năn"/>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urrency Rate"/>
      <sheetName val="BQ"/>
      <sheetName val="KEILA TP 2020-07"/>
      <sheetName val="lookups"/>
      <sheetName val="BILL 34Āᐁë"/>
      <sheetName val="BILL 34Āᐁë_x0000__x0000__x0001__x0000__x0000__x0000_ HẦM"/>
      <sheetName val="CFA (ME)"/>
      <sheetName val="MEP Building"/>
      <sheetName val="Cot"/>
      <sheetName val="2. BBNT KLHT"/>
      <sheetName val="QSUM"/>
      <sheetName val="SucChiuTaiCuaCoc"/>
      <sheetName val="CHITIET VL-NC-TT1p"/>
      <sheetName val="CFA"/>
      <sheetName val="TKLD"/>
      <sheetName val="NHOM KINH"/>
      <sheetName val="Share Price 2002"/>
      <sheetName val="Case"/>
      <sheetName val="SumVal"/>
      <sheetName val="LUONG SCL"/>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B3A-APARTMENT"/>
      <sheetName val="Auto Monthly Inputs "/>
      <sheetName val="CFS3"/>
      <sheetName val="재료비단가(VALVE)"/>
      <sheetName val="BOM-13.11-Other(PS1+PS2)"/>
      <sheetName val="Tra_thep"/>
      <sheetName val="PAINT_SPEC"/>
      <sheetName val="SCHEDULE"/>
      <sheetName val="MSB-DB"/>
      <sheetName val="BP"/>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QMCT"/>
      <sheetName val="ChiTietDZ"/>
      <sheetName val="VuaBT"/>
      <sheetName val="01. Nha xuong"/>
      <sheetName val="Nhập liệu"/>
      <sheetName val="Dinh Muc Vat Tu"/>
      <sheetName val="mã "/>
      <sheetName val="Chao gia T12_RE"/>
      <sheetName val="Tabela1"/>
      <sheetName val="Bech_Lab"/>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SLabs"/>
      <sheetName val="CTtr"/>
      <sheetName val="Gia NC theo TT05"/>
      <sheetName val="KUNGDEVI"/>
      <sheetName val="기본DATA"/>
      <sheetName val="caocot"/>
      <sheetName val="Bia1"/>
      <sheetName val="Don gia XD"/>
      <sheetName val="DSV6 Summ"/>
      <sheetName val="Luong_BN"/>
      <sheetName val="Luong_TB"/>
      <sheetName val="Ca_may_TB"/>
      <sheetName val="Ca_máy_BN"/>
      <sheetName val="Vật_liệu"/>
      <sheetName val="DS_GioiTinh"/>
      <sheetName val="DS_LoaiNhanVien"/>
      <sheetName val="DS_QuocTich"/>
      <sheetName val="DS_TinhTrangGiaDinh"/>
      <sheetName val="DS_TonGiao"/>
      <sheetName val="Currency"/>
      <sheetName val="Land Dev't. Ph-1"/>
      <sheetName val="Hac.Lots"/>
      <sheetName val="4-Lane bridge"/>
      <sheetName val="Res.Lots"/>
      <sheetName val="Spine Road"/>
      <sheetName val="tra-vat-lieu"/>
      <sheetName val="BAG-2"/>
      <sheetName val="COPING"/>
      <sheetName val="datta"/>
      <sheetName val="GIAVLIEU"/>
      <sheetName val="BTH"/>
      <sheetName val="264"/>
      <sheetName val="TienLuong"/>
      <sheetName val="Para"/>
      <sheetName val="PNTEXT"/>
      <sheetName val="DFA"/>
      <sheetName val="sortÔ"/>
      <sheetName val="BangQuiDoi"/>
      <sheetName val="5.2.1 Đo bóc KL OLK-07"/>
      <sheetName val="Boc KL DAT+CAT+BT"/>
      <sheetName val="Boc KL thép"/>
      <sheetName val="Bieu do nhan luc"/>
      <sheetName val="B1_HT"/>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노임이"/>
      <sheetName val="Elemental Breakdown+20%"/>
      <sheetName val="CaiDat"/>
      <sheetName val="CPK"/>
      <sheetName val="PHẦN KIẾN TRÚC"/>
      <sheetName val="DGKL_TRỤC NGOAI NHA"/>
      <sheetName val="Sum ELE  CAP S1-4  "/>
      <sheetName val="PHG"/>
      <sheetName val="Utilities"/>
      <sheetName val="Civil_B1"/>
      <sheetName val="Civil_B4"/>
      <sheetName val="THKP"/>
      <sheetName val="CT_trtreo"/>
      <sheetName val="pphtAV"/>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Cước CG"/>
      <sheetName val="ctiet-KVThanhTri-YUR"/>
      <sheetName val="242_3 summaryOPC"/>
      <sheetName val="afis"/>
      <sheetName val="TAKE-OFF"/>
      <sheetName val="1.1General"/>
      <sheetName val="0.Data"/>
      <sheetName val="0.Data_new"/>
      <sheetName val="WEIGHT"/>
      <sheetName val="Aging Sept"/>
      <sheetName val="Invoice"/>
      <sheetName val="Aging_Sept"/>
      <sheetName val="Overview"/>
      <sheetName val="調整項目マスタ"/>
      <sheetName val="DoanhNghiệp"/>
      <sheetName val="ThôngTin"/>
      <sheetName val="sales current month"/>
      <sheetName val="View Variance"/>
      <sheetName val="CTG-PRECHEx1_4ꀋ"/>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e11A"/>
      <sheetName val="6. Scope of work "/>
      <sheetName val="4.6 Phân tích nhân sự "/>
      <sheetName val="4.5 Mức độ tham gia dự án"/>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ONSOIDATE 4"/>
      <sheetName val="CONSOIDATE 2"/>
      <sheetName val="1CT-CAUTHANG-TT-T13(TRIU)&lt;16&gt;16"/>
      <sheetName val="3,CT-CAUTHANG-T23-24&gt;50"/>
      <sheetName val="공사개요-C"/>
      <sheetName val="PTdam"/>
      <sheetName val="CAU"/>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Khoi luong kenh dan"/>
      <sheetName val="Thep_Be TN(tai_C10)"/>
      <sheetName val="GGBC"/>
      <sheetName val="Luong 2622EVN"/>
      <sheetName val="data-ma2"/>
      <sheetName val="PTDG-CL"/>
      <sheetName val="GVL-tuyến"/>
      <sheetName val="GVL-BTN"/>
      <sheetName val="0,SO LIEU DAU VAO"/>
      <sheetName val="So sanh gia"/>
      <sheetName val="PhaDoMong"/>
      <sheetName val="bdkdt"/>
      <sheetName val="begin"/>
      <sheetName val="BXLDL"/>
      <sheetName val="TONGKE3p "/>
      <sheetName val="TNHCHINH"/>
      <sheetName val="VCV-BE-TONG"/>
      <sheetName val="Bill rekap"/>
      <sheetName val="Cash Flow bulanan"/>
      <sheetName val="DG VL KS"/>
      <sheetName val="DTXL( 270)"/>
      <sheetName val="cable, lighting, switch"/>
      <sheetName val="DNTT_2"/>
      <sheetName val="DNTT_3"/>
      <sheetName val="DNTT_4"/>
      <sheetName val="ĐỢT 1"/>
      <sheetName val="Define finishing"/>
      <sheetName val="CươcVC tinh"/>
      <sheetName val="Dot_1"/>
      <sheetName val="Dot_2"/>
      <sheetName val="Dot_3"/>
      <sheetName val="KL_Tke"/>
      <sheetName val="Dot_1&gt;4"/>
      <sheetName val="INNOVA"/>
      <sheetName val="ALL"/>
      <sheetName val="QG"/>
      <sheetName val="Don vi"/>
      <sheetName val="PTDM"/>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pt10Èn"/>
      <sheetName val="he so dong thoi"/>
      <sheetName val="NPCPP-70-DS-017"/>
      <sheetName val="Input - Facilities"/>
      <sheetName val="Norms"/>
      <sheetName val="BP CAPEX MoD-100% Area 4 USD"/>
      <sheetName val="02. PHAN TICH"/>
      <sheetName val="03. NGAN SACH"/>
      <sheetName val="PU_ITALY_29"/>
      <sheetName val="Tro_giup28"/>
      <sheetName val="TH_DZ3517"/>
      <sheetName val="DON_GIA_CAN_THO17"/>
      <sheetName val="RAB_AR&amp;STR15"/>
      <sheetName val="chi_tiet_TBA15"/>
      <sheetName val="chi_tiet_C15"/>
      <sheetName val="Don_gia_chi_tiet15"/>
      <sheetName val="Don_gia15"/>
      <sheetName val="DON_GIA_TRAM_(3)15"/>
      <sheetName val="S-curve_14"/>
      <sheetName val="Customize_Your_Purchase_Order15"/>
      <sheetName val="CHITIET_VL-NC-TT_-1p15"/>
      <sheetName val="CHITIET_VL-NC-TT-3p14"/>
      <sheetName val="TONG_HOP_VL-NC_TT15"/>
      <sheetName val="KPVC-BD_15"/>
      <sheetName val="HĐ_ngoài14"/>
      <sheetName val="XT_Buoc_314"/>
      <sheetName val="dongia_(2)14"/>
      <sheetName val="Commercial_value14"/>
      <sheetName val="7606_DZ15"/>
      <sheetName val="Ky_Lam_Bridge14"/>
      <sheetName val="Provisional_Sums_Item14"/>
      <sheetName val="Gas_Pressure_Welding14"/>
      <sheetName val="General_Item&amp;General_Requirem14"/>
      <sheetName val="General_Items14"/>
      <sheetName val="Regenral_Requirements14"/>
      <sheetName val="TONG_HOP_VL-NC14"/>
      <sheetName val="So_doi_chieu_LC14"/>
      <sheetName val="project_management14"/>
      <sheetName val="Adix_A14"/>
      <sheetName val="MAIN_GATE_HOUSE14"/>
      <sheetName val="REINF_14"/>
      <sheetName val="Rates_200914"/>
      <sheetName val="Đầu_vào13"/>
      <sheetName val="MH_RATE14"/>
      <sheetName val="A1_CN13"/>
      <sheetName val="Data_Input14"/>
      <sheetName val="Du_toan14"/>
      <sheetName val="chiet_tinh14"/>
      <sheetName val="Ng_hàng_xà+bulong14"/>
      <sheetName val="Bang_KL14"/>
      <sheetName val="DM_606114"/>
      <sheetName val="Equip_13"/>
      <sheetName val="DG_thep_ma_kem14"/>
      <sheetName val="Lcau_-_Lxuc14"/>
      <sheetName val="Chi_tiet_XD_TBA13"/>
      <sheetName val="EIRR&gt;_213"/>
      <sheetName val="TONG_HOP_T5_199813"/>
      <sheetName val="CT_vat_lieu14"/>
      <sheetName val="Trạm_biến_áp13"/>
      <sheetName val="Đơn_Giá_13"/>
      <sheetName val="Chenh_lech_vat_tu13"/>
      <sheetName val="Diện_tích13"/>
      <sheetName val="1_Khái_toán13"/>
      <sheetName val="13-Cốt_thép_(10mm&lt;D≤18mm)_FO112"/>
      <sheetName val="6787CWFASE2CASE2_00_xls13"/>
      <sheetName val="CT-0_4KV13"/>
      <sheetName val="rate_material13"/>
      <sheetName val="4_PTDG13"/>
      <sheetName val="DG_DZ14"/>
      <sheetName val="DG_TBA14"/>
      <sheetName val="Chi_tiet_KL13"/>
      <sheetName val="Tổng_hợp_KL13"/>
      <sheetName val="KL_Chi_tiết_Xây_tô13"/>
      <sheetName val="07Base_Cost13"/>
      <sheetName val="Bill_1_Quy_dinh_chung13"/>
      <sheetName val="1_R18_BF13"/>
      <sheetName val="6_External_works-R1813"/>
      <sheetName val="Phan_khai_KLuong13"/>
      <sheetName val="04_-_XUONG_DET_B13"/>
      <sheetName val="Area_Cal13"/>
      <sheetName val="_0313"/>
      <sheetName val="chieu_day_san13"/>
      <sheetName val="Podium_Concrete_Works13"/>
      <sheetName val="KLCT-_TOWER13"/>
      <sheetName val="KLCT-_PODIUM13"/>
      <sheetName val="Xay_lapduongR313"/>
      <sheetName val="Gia_thanh_chuoi_su13"/>
      <sheetName val="Tiep_dia13"/>
      <sheetName val="Don_gia_vung_III-Can_Tho13"/>
      <sheetName val="Loại_Vật_tư13"/>
      <sheetName val="Measure_130613"/>
      <sheetName val="gia_cong_tac13"/>
      <sheetName val="Isolasi_Luar_Dalam13"/>
      <sheetName val="Isolasi_Luar13"/>
      <sheetName val="Analisa_Gabungan13"/>
      <sheetName val="GV1-D13_(Casement_door)13"/>
      <sheetName val="Project_Data13"/>
      <sheetName val="Elect_(3)13"/>
      <sheetName val="plan&amp;section_of_foundation13"/>
      <sheetName val="design_criteria13"/>
      <sheetName val="Bond_수수료_계산_포맷13"/>
      <sheetName val="ITB_COST13"/>
      <sheetName val="PAGE_113"/>
      <sheetName val="6PILE__(돌출)13"/>
      <sheetName val="HÐ_ngoài14"/>
      <sheetName val="DM_6713"/>
      <sheetName val="Đầu_tư13"/>
      <sheetName val="Chenh_lech_ca_may13"/>
      <sheetName val="TLg_CN&amp;Laixe13"/>
      <sheetName val="TLg_CN&amp;Laixe_(2)13"/>
      <sheetName val="TLg_Laitau13"/>
      <sheetName val="TLg_Laitau_(2)13"/>
      <sheetName val="ESTI_13"/>
      <sheetName val="KL_san_lap13"/>
      <sheetName val="Bill_01_-_CTN13"/>
      <sheetName val="Bill_2_2_Villa_2_beds13"/>
      <sheetName val="DETAIL_13"/>
      <sheetName val="dg_tphcm13"/>
      <sheetName val="T_KÊ_K_CẤU13"/>
      <sheetName val="A1,_May13"/>
      <sheetName val="Vat_lieu13"/>
      <sheetName val="Door_and_window7"/>
      <sheetName val="Harga_ME_13"/>
      <sheetName val="_Bill_5-Earthing_2_-_Add_Work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CẤP_THOÁT_NƯỚC13"/>
      <sheetName val="Cước_VC_+_ĐM_CP_Tư_vấn13"/>
      <sheetName val="Hệ_số13"/>
      <sheetName val="THDT_goi_thau_TB13"/>
      <sheetName val="Tien_do_TV13"/>
      <sheetName val="Tower_-_Concrete_Works13"/>
      <sheetName val="Bill-04_ket_cau_thap-_UNI13"/>
      <sheetName val="TH_Vat_tu13"/>
      <sheetName val="Bang_trong_luong_rieng_thep13"/>
      <sheetName val="final_list_200529"/>
      <sheetName val="LV_data13"/>
      <sheetName val="Gia_vat_tu13"/>
      <sheetName val="TH_MTC13"/>
      <sheetName val="TH_N_Cong13"/>
      <sheetName val="Equipment_list_(PAC)13"/>
      <sheetName val="TINH_KHOI_LUONG13"/>
      <sheetName val="DATA_BASE13"/>
      <sheetName val="bridge_#_113"/>
      <sheetName val="Bang_3_Chi_tiet_phan_Dz13"/>
      <sheetName val="KHOI_LUONG13"/>
      <sheetName val="HVAC_BLOCK_B413"/>
      <sheetName val="subcon_sched13"/>
      <sheetName val="Chi_tiet13"/>
      <sheetName val="Buy_vs__Lease_Car13"/>
      <sheetName val="BẢNG_KHỐI_LƯỢNG_TỔNG_HỢP12"/>
      <sheetName val="CTKL_KTX_HT12"/>
      <sheetName val="CP_Khac_cuoc_VC12"/>
      <sheetName val="Budget_Code12"/>
      <sheetName val="2_Chiet_tinh12"/>
      <sheetName val="du_lieu_du_toan12"/>
      <sheetName val="PRE_(E)13"/>
      <sheetName val="Luong_NII12"/>
      <sheetName val="DINH_MUC_THI_NGHIEM12"/>
      <sheetName val="Luong_NI12"/>
      <sheetName val="NHÀ_NHẬP_LIỆU12"/>
      <sheetName val="MÓNG_SILO12"/>
      <sheetName val="BOQ_THAN12"/>
      <sheetName val="Tong_du_toan12"/>
      <sheetName val="Bill_2_-_ketcau12"/>
      <sheetName val="D_&amp;_W_sizes12"/>
      <sheetName val="DL_ĐẦU_VÀO12"/>
      <sheetName val="Chi_tiet_lan_can12"/>
      <sheetName val="Analisa_&amp;_Upah12"/>
      <sheetName val="Purchase_Order12"/>
      <sheetName val="Du_lieu13"/>
      <sheetName val="Phan_tich12"/>
      <sheetName val="CT_Thang_Mo12"/>
      <sheetName val="CT__PL12"/>
      <sheetName val="dongia__2_12"/>
      <sheetName val="Thép_CKN12"/>
      <sheetName val="GOC-KO_IN12"/>
      <sheetName val="MAU_8A12"/>
      <sheetName val="MAU_8B12"/>
      <sheetName val="MAU_912"/>
      <sheetName val="MAU_1012"/>
      <sheetName val="cash_budget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Nhap_VT_oto10"/>
      <sheetName val="dm_36610"/>
      <sheetName val="DM_606010"/>
      <sheetName val="Dự_thầu10"/>
      <sheetName val="DK1_Don_gia12"/>
      <sheetName val="Dlieu_dau_vao12"/>
      <sheetName val="BANCO_(2)12"/>
      <sheetName val="MT_DPin_(2)12"/>
      <sheetName val="02__PTDG12"/>
      <sheetName val="Chiết_tính12"/>
      <sheetName val="Income_Statement12"/>
      <sheetName val="Shareholders'_Equity12"/>
      <sheetName val="VC_xd10"/>
      <sheetName val="Gia_VLTB10"/>
      <sheetName val="B_Luong10"/>
      <sheetName val="C_May10"/>
      <sheetName val="Don_gia_chi_tiet_DIEN_29"/>
      <sheetName val="Dự_toán10"/>
      <sheetName val="Đơn_Giá_TH10"/>
      <sheetName val="Nhân_công10"/>
      <sheetName val="Phân_tích10"/>
      <sheetName val="C_P_Thiết_bị10"/>
      <sheetName val="T_H_Kinh_phí10"/>
      <sheetName val="Vật_tư10"/>
      <sheetName val="Trang_bìa10"/>
      <sheetName val="DG_14269"/>
      <sheetName val="Don_gia_(khong_in)12"/>
      <sheetName val="1_MONG_1-212"/>
      <sheetName val="AG_Pipe_Qty_Analysis10"/>
      <sheetName val="TB_NẶNG10"/>
      <sheetName val="Du_tru_CP-Bieu_0110"/>
      <sheetName val="wk_prgs10"/>
      <sheetName val="đọc_số10"/>
      <sheetName val="Bill_No_3_-_Prov__Sum_(Ph2&amp;3)10"/>
      <sheetName val="TH_TN10"/>
      <sheetName val="HỆ_THỐNG_PHÒNG_CHÁY_CHỮA_CHÁY10"/>
      <sheetName val="HỆ_THỐNG_CẤP_THOÁT_NƯỚC10"/>
      <sheetName val="HỆ_THỐNG_ĐHKK10"/>
      <sheetName val="MÁY_PHÁT_ĐIỆN10"/>
      <sheetName val="HỆ_THỐNG_ĐIỆN10"/>
      <sheetName val="Thiết_bị_chính10"/>
      <sheetName val="TK_chi_tiet10"/>
      <sheetName val="Bill_2-Road_HR210"/>
      <sheetName val="Bill_3_-_Softscape_HR210"/>
      <sheetName val="Ma_don_vi10"/>
      <sheetName val="bang_cc10"/>
      <sheetName val="Ｎｏ_1310"/>
      <sheetName val="DGchitiet_10"/>
      <sheetName val="2_1Warehouse_110"/>
      <sheetName val="Hao_phí10"/>
      <sheetName val="Structure_data10"/>
      <sheetName val="Main_Bldg-Rev0210"/>
      <sheetName val="D&amp;W_def_10"/>
      <sheetName val="Nhan_cong10"/>
      <sheetName val="Thiet_bi10"/>
      <sheetName val="Vat_tu10"/>
      <sheetName val="DM_ChiPhi10"/>
      <sheetName val="May_TC10"/>
      <sheetName val="TH_Kinh_phi10"/>
      <sheetName val="THCP_Lap_dat10"/>
      <sheetName val="THCP_xay_dung10"/>
      <sheetName val="Ptvl_10"/>
      <sheetName val="1_2_Staff_Schedule9"/>
      <sheetName val="Data_Wall10"/>
      <sheetName val="THEP_TAM10"/>
      <sheetName val="THEP_HÌNH10"/>
      <sheetName val="THEP_HINH10"/>
      <sheetName val="XA_GO10"/>
      <sheetName val="BANG_TRA10"/>
      <sheetName val="CP_HMC10"/>
      <sheetName val="CĂN_HỘ_T16-17_10"/>
      <sheetName val="TRỤC_ĐỨNG_THOÁT_BẨN_T15-1710"/>
      <sheetName val="TRỤC_ĐỨNG_TM_T15-1710"/>
      <sheetName val="CP_Du_phong10"/>
      <sheetName val="Tong_hop_kinh_phi10"/>
      <sheetName val="CHI_PHI10"/>
      <sheetName val="gui_BKCT9"/>
      <sheetName val="Tổng_GT10"/>
      <sheetName val="Chi_tiết_KL10"/>
      <sheetName val="khấu_trừ_phạt10"/>
      <sheetName val="GT__KHAU_TRU10"/>
      <sheetName val="HAO_HUT_VAT_TU_(2)10"/>
      <sheetName val="cao_độ10"/>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Chi_tiet_-tong_9_thang9"/>
      <sheetName val="Móng,_nền_10"/>
      <sheetName val="1_Requisition(E)10"/>
      <sheetName val="Theo_doi_Doanh_thu_20179"/>
      <sheetName val="TONG_HOP10"/>
      <sheetName val="phan_tic_chi_tiet10"/>
      <sheetName val="0__Input9"/>
      <sheetName val="BẢNG_ÁP_GIÁ_(in)9"/>
      <sheetName val="NT_(KL)_IN9"/>
      <sheetName val="DOM_D29"/>
      <sheetName val="nhà_ăn9"/>
      <sheetName val="Công_nhật9"/>
      <sheetName val="btkt_cột9"/>
      <sheetName val="Bill_Prelim-CDT9"/>
      <sheetName val="Bill_BPTC-CDT9"/>
      <sheetName val="Chi_tiết_BPTC9"/>
      <sheetName val="Bill_BPTC-CDT_(PA_MCT_CDT)9"/>
      <sheetName val="Chi_tiết_BPTC_(PA_MCT_CDT)9"/>
      <sheetName val="KHOI_LUONG15-49"/>
      <sheetName val="TH_các_CC9"/>
      <sheetName val="Tổng_hợp_KPHM8"/>
      <sheetName val="DM_336cai_tao9"/>
      <sheetName val="3__CNT9"/>
      <sheetName val="unit_price_list(M)9"/>
      <sheetName val="Gia_vat_lieu9"/>
      <sheetName val="Precios_unitarios_AXH9"/>
      <sheetName val="KL_THEP__GIAM_DO_DUNG_COUPLER9"/>
      <sheetName val="01_KL_THÉP_NHẬP_VỀ9"/>
      <sheetName val="2__NT_VLDV9"/>
      <sheetName val="GHI_CHU9"/>
      <sheetName val="1_BB_LMHT9"/>
      <sheetName val="Bê_tông_bảo_vệ9"/>
      <sheetName val="01__Data9"/>
      <sheetName val="Neo,_nối_cốt_thép_dầm,_cột9"/>
      <sheetName val="Uốn_móc_cốt_thép9"/>
      <sheetName val="Tiêu_chuẩn_cốt_thép9"/>
      <sheetName val="So_lieu_chung9"/>
      <sheetName val="TH_VL,_NC,_DDHT_Thanhphuoc9"/>
      <sheetName val="1__Office9"/>
      <sheetName val="Doi_so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KL_thep_lam_sat9"/>
      <sheetName val="DM-VNT_ko_sd9"/>
      <sheetName val="B3A_-_TOWER_A9"/>
      <sheetName val="Annex_B9"/>
      <sheetName val="Cotthep_NPT9"/>
      <sheetName val="vl_nc_mtc9"/>
      <sheetName val="1_Civil_(Org)9"/>
      <sheetName val="Tien_Thuong9"/>
      <sheetName val="NC_XL_6T_cuoi_01_CTy9"/>
      <sheetName val="Data_-6T_dau9"/>
      <sheetName val="Cong_6T9"/>
      <sheetName val="Bảng_đo_bóc_KL_OLK-099"/>
      <sheetName val="6_3_CHI_TIET_OLK-099"/>
      <sheetName val="Dot_49"/>
      <sheetName val="Chi_phi_van_chuyen9"/>
      <sheetName val="Tong_hop_vat_tu9"/>
      <sheetName val="1_San_9"/>
      <sheetName val="DT_hợp_đồng8"/>
      <sheetName val="Bảng_KL_đợt_18"/>
      <sheetName val="Dgia_vat_tu9"/>
      <sheetName val="Don_gia_III9"/>
      <sheetName val="D÷_liÖu9"/>
      <sheetName val="TLG_Type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Div26_-_Elect9"/>
      <sheetName val="Q_A01_2-Sh9"/>
      <sheetName val="2_CDPS9"/>
      <sheetName val="4_CĂN9"/>
      <sheetName val="Bieu_gia_HD8"/>
      <sheetName val="Danh_mục8"/>
      <sheetName val="7_Khau_tru_9"/>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Heso_DZ9"/>
      <sheetName val="DG_BINH_THUAN9"/>
      <sheetName val="BTK-Dai_Hoc_Kien_Giang8"/>
      <sheetName val="PV_Graph_Data8"/>
      <sheetName val="doanh_thu8"/>
      <sheetName val="Dutoan_KL8"/>
      <sheetName val="B-2__(DPP)9"/>
      <sheetName val="Don_gia_NC9"/>
      <sheetName val="gia_vt,nc,may8"/>
      <sheetName val="Huong_dan8"/>
      <sheetName val="Financ__Overview8"/>
      <sheetName val="TINH_GIA_-_SAN_XUAT_Vertico8"/>
      <sheetName val="Dinh_muc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13_BANG_CT8"/>
      <sheetName val="14_MMUS_GIUA_NHIP8"/>
      <sheetName val="4_HSPBngang8"/>
      <sheetName val="6_Tinh_tai8"/>
      <sheetName val="2_NSl8"/>
      <sheetName val="17_US_CHU_tho_a_b8"/>
      <sheetName val="15_MMUS_GOI8"/>
      <sheetName val="DZ_22KV8"/>
      <sheetName val="5_2_1_Đo_bóc_KL_OLK-06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GIÁ_DỰ_THẦU_30_CĂN8"/>
      <sheetName val="KS_tuyen8"/>
      <sheetName val="Bang_chiet_tinh_TBA8"/>
      <sheetName val="MB_DT_028"/>
      <sheetName val="4_2_1_Đo_bóc_KL_OLK-068"/>
      <sheetName val="4_1_1_CHI_TIET_OLK-068"/>
      <sheetName val="DG_Chi_tiet8"/>
      <sheetName val="_1710_HOINGHINLD8"/>
      <sheetName val="99_(2)8"/>
      <sheetName val="134_8"/>
      <sheetName val="DG_49708"/>
      <sheetName val="Electrical_Works8"/>
      <sheetName val="H_T__INCOMING_SYSTEM8"/>
      <sheetName val="EQUIP_LIST8"/>
      <sheetName val="So_sanh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Gia_VT-TB8"/>
      <sheetName val="noi_suy_xa8"/>
      <sheetName val="noi_suy_xa_thu_hoi8"/>
      <sheetName val="BU_LONG8"/>
      <sheetName val="Thuyết_minh8"/>
      <sheetName val="Đơn_giá_máy8"/>
      <sheetName val="Tính_giá_NC8"/>
      <sheetName val="SL_cước8"/>
      <sheetName val="DT__NHA_XUONG8"/>
      <sheetName val="Tiên_lượng8"/>
      <sheetName val="Tong_DT7"/>
      <sheetName val="phan_tich_don_gia7"/>
      <sheetName val="¥_8"/>
      <sheetName val="Bù_giá_CM7"/>
      <sheetName val="Luong_BN7"/>
      <sheetName val="Luong_TB7"/>
      <sheetName val="Ca_may_TB7"/>
      <sheetName val="Ca_máy_BN7"/>
      <sheetName val="Vật_liệu7"/>
      <sheetName val="LX_-TT057"/>
      <sheetName val="NC_Moi_TT057"/>
      <sheetName val="Cash_Flow8"/>
      <sheetName val="Bill_No_1_68"/>
      <sheetName val="Bill_No_1_108"/>
      <sheetName val="Bill_No_3_38"/>
      <sheetName val="Bill_No_1_48"/>
      <sheetName val="Bill_No_1_78"/>
      <sheetName val="Summary_Bill_No__38"/>
      <sheetName val="Tien_Luong7"/>
      <sheetName val="Bán_đợt_1_trang7"/>
      <sheetName val="Unit_price7"/>
      <sheetName val="Khai_toan2"/>
      <sheetName val="Phu_luc_01_1_EPC_P11-142"/>
      <sheetName val="TDT_P11-P142"/>
      <sheetName val="Chi_phi_khac_2"/>
      <sheetName val="Hang_muc_Chung2"/>
      <sheetName val="Bia_Phu_Luc2"/>
      <sheetName val="DATA_1_CHUNG2"/>
      <sheetName val="Muc_luc2"/>
      <sheetName val="Tra_cuu_9572"/>
      <sheetName val="CHITIET_VL-NCHT1_(2)7"/>
      <sheetName val="Chu_dau_tu3"/>
      <sheetName val="3__KC_-_PODIUM7"/>
      <sheetName val="Breakdown_(B)7"/>
      <sheetName val="U_P_Breakdown7"/>
      <sheetName val="CTDZ6kv_(gd1)_7"/>
      <sheetName val="CTDZ_0_4+cto_(GD1)7"/>
      <sheetName val="CTTBA_(gd1)7"/>
      <sheetName val="03_Detailed7"/>
      <sheetName val="01_Bid_Price_summary7"/>
      <sheetName val="Home_Office_Manhours7"/>
      <sheetName val="Field_SPV_Barchart7"/>
      <sheetName val="Unit_price(Updateting)7"/>
      <sheetName val="Chiet_tinh_dz357"/>
      <sheetName val="Cost_List7"/>
      <sheetName val="Detail_Cost7"/>
      <sheetName val="IC_Price_New7"/>
      <sheetName val="Summary_Table7"/>
      <sheetName val="Sales_Person7"/>
      <sheetName val="Bidding_Entity7"/>
      <sheetName val="IMF_Code7"/>
      <sheetName val="Subsidiary_Calculation7"/>
      <sheetName val="Cau_tao_gia_xay_to3"/>
      <sheetName val="SGC_RATE2"/>
      <sheetName val="don_gia_14267"/>
      <sheetName val="DT_san_XD-So_lieu_cu7"/>
      <sheetName val="Bia_lot7"/>
      <sheetName val="5_2_1_Đo_bóc_KL_OLK-107"/>
      <sheetName val="Tru_TT2"/>
      <sheetName val="Thg_042"/>
      <sheetName val="Thg_052"/>
      <sheetName val="Thg_062"/>
      <sheetName val="Thg_072"/>
      <sheetName val="Thg_082"/>
      <sheetName val="Thg_092"/>
      <sheetName val="Thg_102"/>
      <sheetName val="Thg_112"/>
      <sheetName val="Thg_122"/>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Dashboard_-_BQL_-_VHL2"/>
      <sheetName val="Phu_Bai_Bridge7"/>
      <sheetName val="BẢNG_DIỄN_GIẢI_KL_(7)7"/>
      <sheetName val="DM_DU_AN2"/>
      <sheetName val="DM_TP_2"/>
      <sheetName val="File_Chi_tiet2"/>
      <sheetName val="THÔNG_TIN3"/>
      <sheetName val="THPDMoi__(2)3"/>
      <sheetName val="t-h_HA_THE3"/>
      <sheetName val="TH_XL3"/>
      <sheetName val="CHITIET_VL-NC3"/>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DG_"/>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Merit_&amp;_Market_Grid"/>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MKH"/>
      <sheetName val="Dynamic Ranges"/>
      <sheetName val="THCP thiet bi"/>
      <sheetName val="Cal"/>
      <sheetName val="ADJ 2011"/>
      <sheetName val="NOVA MEDIC"/>
      <sheetName val="DGKL MEDIC"/>
      <sheetName val="B15"/>
      <sheetName val="B16"/>
      <sheetName val="B17"/>
      <sheetName val="B4-D3"/>
      <sheetName val="B8"/>
      <sheetName val="CSDL"/>
      <sheetName val="THONG SO KICH THUOC"/>
      <sheetName val="MD"/>
      <sheetName val="CT -THVLNC"/>
      <sheetName val="Hs_TMDT"/>
      <sheetName val="TMDT"/>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XL4Poppy (2)"/>
      <sheetName val="XL4Poppy_(2)"/>
      <sheetName val="Bldg Brkdown"/>
      <sheetName val="Price"/>
      <sheetName val="Thang 01"/>
      <sheetName val="Thống kê"/>
      <sheetName val="BAN IN"/>
      <sheetName val="NKCT"/>
      <sheetName val="Data (2)"/>
      <sheetName val="Char"/>
      <sheetName val="Book 1 Summary"/>
      <sheetName val="BCC_4054-05"/>
      <sheetName val="Tra1"/>
      <sheetName val="SLTh.ke"/>
      <sheetName val="토목주소"/>
      <sheetName val="프랜트면허"/>
      <sheetName val="4)유동표"/>
      <sheetName val="Product"/>
      <sheetName val="DIEN TICH"/>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ca_máy6"/>
      <sheetName val="KL T16 BÀN GIAO 19.4"/>
      <sheetName val="proj"/>
      <sheetName val="5.Gia"/>
      <sheetName val="ThiNghiemDZ04"/>
      <sheetName val="OVER VIEW"/>
      <sheetName val="比率"/>
      <sheetName val="数据库"/>
      <sheetName val="SCOPE OF WORK"/>
      <sheetName val="THDT_goi_thauџTB2"/>
      <sheetName val="dsnt"/>
      <sheetName val="dat"/>
      <sheetName val="TonDau"/>
      <sheetName val="CBR"/>
      <sheetName val="NHOM KINH "/>
      <sheetName val="KL CHI TIẾT (2)"/>
      <sheetName val="Loại cọc P2"/>
      <sheetName val="TT04"/>
      <sheetName val="Shape"/>
      <sheetName val="Danh sach KV2"/>
      <sheetName val="Danh sach doan KT"/>
      <sheetName val="CP NC-MTC XD"/>
      <sheetName val="SDDK"/>
      <sheetName val="DNTT"/>
      <sheetName val="List of Staff"/>
      <sheetName val="_ QUOTATION.xlsx"/>
      <sheetName val="2.5.Ducts (2)"/>
      <sheetName val="S N"/>
      <sheetName val="H.Satuan"/>
      <sheetName val="4.3 Scope of work "/>
      <sheetName val="List Danh mục nghiệm thu"/>
      <sheetName val="Request"/>
      <sheetName val="struktur"/>
      <sheetName val="THÁNG 05"/>
      <sheetName val="DMTL"/>
      <sheetName val="Piano Montaggio PO-02 bozza2"/>
      <sheetName val="Work-Condition"/>
      <sheetName val="PTcphoi"/>
      <sheetName val="Giahientruong"/>
      <sheetName val="Ten"/>
      <sheetName val="GIA NC, CM"/>
      <sheetName val="GIA VL"/>
      <sheetName val="13.Luong"/>
      <sheetName val="Luong TT05"/>
      <sheetName val="Gia HĐ"/>
      <sheetName val="도로경계단위"/>
      <sheetName val="2. Tổng hợp"/>
      <sheetName val="List Equip"/>
      <sheetName val="LabCost"/>
      <sheetName val="MatCost"/>
      <sheetName val="Concrete"/>
      <sheetName val="Process C (1-166)"/>
      <sheetName val="CF -Update 31Jul06"/>
      <sheetName val="Executive Summary"/>
      <sheetName val="mahang"/>
      <sheetName val="MAHANG BHLD"/>
      <sheetName val="LUONGKHOAN"/>
      <sheetName val="CHITIETHOADON.TT"/>
      <sheetName val="mahang chinh sua moi nhat"/>
      <sheetName val="Technal"/>
      <sheetName val="Noise insl"/>
      <sheetName val="Hot-Piping"/>
      <sheetName val="DG_1"/>
      <sheetName val="Ca may"/>
      <sheetName val="DS Cty"/>
      <sheetName val="Civil"/>
      <sheetName val="1-Backfilling"/>
      <sheetName val="공문"/>
      <sheetName val="Eq. Mobilization"/>
      <sheetName val="Link HG"/>
      <sheetName val="DINH_MUCџTHI_NGHIEM3"/>
      <sheetName val="chi tiet TS theo so lieu ktoan"/>
      <sheetName val="LinerWt"/>
      <sheetName val="CẤP_THO_x0000__x0000__x0000__x0000__x0000__x0000__x0000_"/>
      <sheetName val="unit weight"/>
      <sheetName val="TTL"/>
      <sheetName val="02. THONG_TIN_CHUNG"/>
      <sheetName val="07. DINH_MUC HBC"/>
      <sheetName val="TK SX"/>
      <sheetName val="ma-pt"/>
      <sheetName val="TT35"/>
      <sheetName val="Temp"/>
      <sheetName val="VL-NC-M"/>
      <sheetName val="May Goc (QD2436)"/>
      <sheetName val="VC theo cuoc tinh"/>
      <sheetName val="BCVC ."/>
      <sheetName val="PTCT"/>
      <sheetName val="bang 1 NCXD"/>
      <sheetName val="bang 1 NCXD (V.I)"/>
      <sheetName val="DG-VLIEU"/>
      <sheetName val="DG THIET BI"/>
      <sheetName val="DG vat lieu"/>
      <sheetName val="model"/>
      <sheetName val="Loại 2"/>
      <sheetName val="Don gia III"/>
      <sheetName val="Don gia CT"/>
      <sheetName val="Tu dien"/>
      <sheetName val="T.kê"/>
      <sheetName val="sat"/>
      <sheetName val="dm7606tba"/>
      <sheetName val="Chi tiet VL-NC-MTC"/>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DSCTEMP"/>
      <sheetName val="3.공통공사대비"/>
      <sheetName val="Rate Analysis"/>
      <sheetName val="입찰내역 발주처 양식"/>
      <sheetName val="SPS"/>
      <sheetName val="sht1"/>
      <sheetName val="sht2"/>
      <sheetName val="sht3"/>
      <sheetName val="bar nor"/>
      <sheetName val="table1"/>
      <sheetName val="conc nor"/>
      <sheetName val="conc frus"/>
      <sheetName val="conc trap"/>
      <sheetName val="bar frus"/>
      <sheetName val="bar trap"/>
      <sheetName val="DPVT"/>
      <sheetName val="TLR"/>
      <sheetName val="CDSPS"/>
      <sheetName val="NH-K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Vendor"/>
      <sheetName val="2. Summary-cash"/>
      <sheetName val="토공분석표"/>
      <sheetName val="PNT-QUOT-#3"/>
      <sheetName val="Tonghop theo Vendor"/>
      <sheetName val="Du thau dau noi"/>
      <sheetName val="Du Thau"/>
      <sheetName val="Du thau PSBS"/>
      <sheetName val="DG theo HD PSBS"/>
      <sheetName val="Du thau TC11"/>
      <sheetName val="TongHopKL"/>
      <sheetName val="Don gia vung III"/>
      <sheetName val="Tra_bang"/>
      <sheetName val="DanhSach11"/>
      <sheetName val="Danhsach 12"/>
      <sheetName val="VL+NC+M"/>
      <sheetName val="VL.NC.M"/>
      <sheetName val="BK04"/>
      <sheetName val="BQD"/>
      <sheetName val="luong"/>
      <sheetName val="DP TRUOT GIA"/>
      <sheetName val="VL-NC-M."/>
      <sheetName val="Chuong I"/>
      <sheetName val="Be tong"/>
      <sheetName val="BILL 34Āᐁë_x0000__x0000__x0001_"/>
      <sheetName val="Assignment Schedule"/>
      <sheetName val="共機計算"/>
      <sheetName val="共機J"/>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g_tonghop"/>
      <sheetName val="Dgia_vat_tŵ7"/>
      <sheetName val="U0030S03"/>
      <sheetName val="EQFRM2"/>
      <sheetName val="Beam reinfocement schedule"/>
      <sheetName val="Thong so dam"/>
      <sheetName val="Wall Block C"/>
      <sheetName val="General Schedule"/>
      <sheetName val="금액내역서"/>
      <sheetName val="Factor F Data"/>
      <sheetName val="M"/>
      <sheetName val="NC HY"/>
      <sheetName val="NC HN"/>
      <sheetName val="Chung"/>
      <sheetName val="cPanel"/>
      <sheetName val="GC"/>
      <sheetName val="HG_Info"/>
      <sheetName val="Nghỉ lễ"/>
      <sheetName val="Mác"/>
      <sheetName val="QC"/>
      <sheetName val="CO"/>
      <sheetName val="6.9 DM CTP"/>
      <sheetName val="DA01.HD-List"/>
      <sheetName val="DM01.CDT"/>
      <sheetName val="DM02.NT"/>
      <sheetName val="NT01.HD-List"/>
      <sheetName val="MTP"/>
      <sheetName val="Bearing Capacity"/>
      <sheetName val="Bảng dung trọng"/>
      <sheetName val="Giacuoc"/>
      <sheetName val="TTTram"/>
      <sheetName val="TTPTai"/>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DLC DIEN AP"/>
      <sheetName val="SL dau tien"/>
      <sheetName val="HSKVUC"/>
      <sheetName val="Kien truc"/>
      <sheetName val="Chiet tinh dz22"/>
      <sheetName val="GOC"/>
      <sheetName val="DZ 35"/>
      <sheetName val="Cto"/>
      <sheetName val="KL Chi tiết BV dự thầu"/>
      <sheetName val="KL chi tiết BV thi công"/>
      <sheetName val="3.NGAN_SACH"/>
      <sheetName val="2.PHAN_TICH"/>
      <sheetName val="1651-2008"/>
      <sheetName val="PTCM"/>
      <sheetName val="A1.8"/>
      <sheetName val="VH"/>
      <sheetName val="PHÁT_SINH_TẦNG_290"/>
      <sheetName val="TOT"/>
      <sheetName val="Tra Cứu"/>
      <sheetName val="IV.1.Lkdt"/>
      <sheetName val="III.2.dah"/>
      <sheetName val="II.2.dn"/>
      <sheetName val="IV.2.Lkdd"/>
      <sheetName val="III.1.tai"/>
      <sheetName val="TÍNH TOÁN KHỐI LƯỢNG P6"/>
      <sheetName val="INDEX HẠ TẦNG"/>
      <sheetName val="CTG HẠ TẦNG"/>
      <sheetName val="DGG HẠ TẦNG"/>
      <sheetName val="DGG_LB CỌC"/>
      <sheetName val="DGG_MT CỌC"/>
      <sheetName val="INFO CỌC"/>
      <sheetName val="INDEX CỌC"/>
      <sheetName val="Ntt_Form"/>
      <sheetName val="DTCT -XL.4"/>
      <sheetName val="DGChung"/>
      <sheetName val="TT 16-2019"/>
      <sheetName val="DVao"/>
      <sheetName val="dssoi_dieutra"/>
      <sheetName val="Ban Qua do"/>
      <sheetName val="Dự kiến SL-NT 2013"/>
      <sheetName val="SL.HM-T1.2014"/>
      <sheetName val="DG CANTHO"/>
      <sheetName val="dulieu cot"/>
      <sheetName val="Đường dây"/>
      <sheetName val="Vị trí"/>
      <sheetName val="DM_1781"/>
      <sheetName val="DM_228"/>
      <sheetName val="datamong"/>
      <sheetName val="DG_VL_KS"/>
      <sheetName val="GIA_NC,_CM"/>
      <sheetName val="GIA_VL"/>
      <sheetName val="13_Luong"/>
      <sheetName val="MVT"/>
      <sheetName val="MTL__INTER"/>
      <sheetName val="Kich thuoc mo M1-nam lay"/>
      <sheetName val="MayTC"/>
      <sheetName val="Xuly Data"/>
      <sheetName val="DAH-2"/>
      <sheetName val="Cst Pkg-Eden"/>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Khaibao"/>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FORM-16"/>
      <sheetName val="CONSTANTES"/>
      <sheetName val="Scraps"/>
      <sheetName val="Mth-Vana"/>
      <sheetName val="DUMP"/>
      <sheetName val="AN 2000"/>
      <sheetName val="Utilization"/>
      <sheetName val="PREV_RICAVI"/>
      <sheetName val="Ban QD"/>
      <sheetName val="SPL4"/>
      <sheetName val="COG"/>
      <sheetName val="D.Trong"/>
      <sheetName val="PPT"/>
      <sheetName val="Du lieu TKT"/>
      <sheetName val="merger"/>
      <sheetName val="27850"/>
      <sheetName val="CDPS SAU KC"/>
      <sheetName val="VINYL"/>
      <sheetName val="Đơn trọng"/>
      <sheetName val="Gia "/>
      <sheetName val="ADJ - RATE"/>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Total"/>
      <sheetName val="Bangtrachieudaicoc"/>
      <sheetName val="Bar"/>
      <sheetName val="간접비 총괄표"/>
      <sheetName val="Summary - Budget"/>
      <sheetName val="HidePriceList"/>
      <sheetName val="Norm"/>
      <sheetName val="Bang khoi luong"/>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FINANCIAL (FLR)"/>
      <sheetName val="Tong Luong Thep"/>
      <sheetName val="D"/>
      <sheetName val="Du thau 03xd"/>
      <sheetName val="mep"/>
      <sheetName val="CTG (GIAM)"/>
      <sheetName val="Phan tich don gia de xuat - cau"/>
      <sheetName val="1.INPUT"/>
      <sheetName val="Phan tich vat tu"/>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Window Door schedule"/>
      <sheetName val="을"/>
      <sheetName val="bang tien luong"/>
      <sheetName val="nhat ky "/>
      <sheetName val="cot_xa"/>
      <sheetName val="BASE GRAPHE"/>
      <sheetName val="DL1"/>
      <sheetName val="DL2"/>
      <sheetName val="MHSCT"/>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물량표(신)"/>
      <sheetName val="BANG TONGHOP"/>
      <sheetName val="Check C"/>
      <sheetName val="CPTNo"/>
      <sheetName val="V.c noi bo"/>
      <sheetName val="Tổng kê"/>
      <sheetName val="Thông tin chung"/>
      <sheetName val="Vat lieu cat song rac"/>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B1.CN"/>
      <sheetName val="Analysis"/>
      <sheetName val="C-C"/>
      <sheetName val="D-D"/>
      <sheetName val="M 67"/>
      <sheetName val="Formula_Code"/>
      <sheetName val="UnitWeight"/>
      <sheetName val="NKSC"/>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FD"/>
      <sheetName val="EE (3)"/>
      <sheetName val="PAVEMENT"/>
      <sheetName val="TRAFFIC"/>
      <sheetName val="Beam _2_"/>
      <sheetName val="TS_Rep"/>
      <sheetName val="CMS"/>
      <sheetName val="CuttingList"/>
      <sheetName val="Expediting"/>
      <sheetName val="INVENTORY"/>
      <sheetName val="MIR"/>
      <sheetName val="MIRStatus"/>
      <sheetName val="REM"/>
      <sheetName val="RevLog"/>
      <sheetName val="SUM_MIR"/>
      <sheetName val="Dau vào"/>
      <sheetName val="Main Model"/>
      <sheetName val="新᐀"/>
      <sheetName val="Đơn giá-NC"/>
      <sheetName val="Đơn giá-VL-CM"/>
      <sheetName val="MD4970"/>
      <sheetName val="Tke"/>
      <sheetName val="DB FEE"/>
      <sheetName val="BHYT Tự Nguyện - Vinschool-Mau "/>
      <sheetName val="Bank Bal. Dec 22"/>
      <sheetName val="Competitors"/>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G4970"/>
      <sheetName val="4. Đo bóc KL"/>
      <sheetName val="TBGIA"/>
      <sheetName val="01-BM"/>
      <sheetName val="NK"/>
      <sheetName val="SLTh_ke"/>
      <sheetName val="he_so_dong_thoi"/>
      <sheetName val="Thang_01"/>
      <sheetName val="Thống_kê"/>
      <sheetName val="BAN_IN"/>
      <sheetName val="Khoi_luong_kenh_dan"/>
      <sheetName val="Thep_Be_TN(tai_C10)"/>
      <sheetName val="Gia_giao_VL_den_HT"/>
      <sheetName val="THONG_SO_KICH_THUOC"/>
      <sheetName val="Varible"/>
      <sheetName val="DETAIL PROGRESS CLAIM"/>
      <sheetName val="finishing"/>
      <sheetName val="KL CHI TIET"/>
      <sheetName val="INPUT1_THONG_TIN_HD"/>
      <sheetName val="DATA_WBS"/>
      <sheetName val="CTDG"/>
      <sheetName val="HDLD"/>
      <sheetName val="bdm"/>
      <sheetName val="TraBienbao"/>
      <sheetName val="Totals"/>
      <sheetName val="FInput"/>
      <sheetName val="extruder"/>
      <sheetName val="Sheet10"/>
      <sheetName val="Sheet19"/>
      <sheetName val="Sheet16"/>
      <sheetName val="Sheet6"/>
      <sheetName val="Sheet5"/>
      <sheetName val="Sheet11"/>
      <sheetName val="Sheet12"/>
      <sheetName val="Sheet1 (2)"/>
      <sheetName val="Chi Thao"/>
      <sheetName val="Bang phan tich"/>
      <sheetName val="dgctqn"/>
      <sheetName val="1111"/>
      <sheetName val="AnalisaSIPIL RIIL"/>
      <sheetName val="XZLC003_PART1"/>
      <sheetName val="B-B"/>
      <sheetName val="Ctiet Cthe"/>
      <sheetName val="khongin"/>
      <sheetName val="TK22kV"/>
      <sheetName val="RAB_AR&amp;STR16"/>
      <sheetName val="chi_tiet_TBA16"/>
      <sheetName val="chi_tiet_C16"/>
      <sheetName val="Tro_giup29"/>
      <sheetName val="TH_DZ3518"/>
      <sheetName val="Customize_Your_Purchase_Order16"/>
      <sheetName val="CHITIET_VL-NC-TT_-1p16"/>
      <sheetName val="CHITIET_VL-NC-TT-3p15"/>
      <sheetName val="TONG_HOP_VL-NC_TT16"/>
      <sheetName val="KPVC-BD_16"/>
      <sheetName val="Don_gia16"/>
      <sheetName val="DON_GIA_TRAM_(3)16"/>
      <sheetName val="DON_GIA_CAN_THO18"/>
      <sheetName val="7606_DZ16"/>
      <sheetName val="Adix_A15"/>
      <sheetName val="S-curve_15"/>
      <sheetName val="Don_gia_chi_tiet16"/>
      <sheetName val="HĐ_ngoài15"/>
      <sheetName val="XT_Buoc_315"/>
      <sheetName val="dongia_(2)15"/>
      <sheetName val="project_management15"/>
      <sheetName val="Commercial_value15"/>
      <sheetName val="Ky_Lam_Bridge15"/>
      <sheetName val="Provisional_Sums_Item15"/>
      <sheetName val="Gas_Pressure_Welding15"/>
      <sheetName val="General_Item&amp;General_Requirem15"/>
      <sheetName val="General_Items15"/>
      <sheetName val="Regenral_Requirements15"/>
      <sheetName val="TONG_HOP_VL-NC15"/>
      <sheetName val="Rates_200915"/>
      <sheetName val="REINF_15"/>
      <sheetName val="MH_RATE15"/>
      <sheetName val="So_doi_chieu_LC15"/>
      <sheetName val="MAIN_GATE_HOUSE15"/>
      <sheetName val="Du_toan15"/>
      <sheetName val="chiet_tinh15"/>
      <sheetName val="Ng_hàng_xà+bulong15"/>
      <sheetName val="Bang_KL15"/>
      <sheetName val="DM_606115"/>
      <sheetName val="DG_thep_ma_kem15"/>
      <sheetName val="Lcau_-_Lxuc15"/>
      <sheetName val="CT_vat_lieu15"/>
      <sheetName val="Equip_14"/>
      <sheetName val="A1_CN14"/>
      <sheetName val="Đầu_vào14"/>
      <sheetName val="Chi_tiet_XD_TBA14"/>
      <sheetName val="Trạm_biến_áp14"/>
      <sheetName val="Đơn_Giá_14"/>
      <sheetName val="CT-0_4KV14"/>
      <sheetName val="Chenh_lech_vat_tu14"/>
      <sheetName val="Diện_tích14"/>
      <sheetName val="1_Khái_toán14"/>
      <sheetName val="TONG_HOP_T5_199814"/>
      <sheetName val="KL_Chi_tiết_Xây_tô14"/>
      <sheetName val="DG_DZ15"/>
      <sheetName val="DG_TBA15"/>
      <sheetName val="07Base_Cost14"/>
      <sheetName val="rate_material14"/>
      <sheetName val="Chi_tiet_KL14"/>
      <sheetName val="Tổng_hợp_KL14"/>
      <sheetName val="Xay_lapduongR314"/>
      <sheetName val="04_-_XUONG_DET_B14"/>
      <sheetName val="Bill_1_Quy_dinh_chung14"/>
      <sheetName val="1_R18_BF14"/>
      <sheetName val="6_External_works-R1814"/>
      <sheetName val="Phan_khai_KLuong14"/>
      <sheetName val="_0314"/>
      <sheetName val="chieu_day_san14"/>
      <sheetName val="Podium_Concrete_Works14"/>
      <sheetName val="KLCT-_TOWER14"/>
      <sheetName val="KLCT-_PODIUM14"/>
      <sheetName val="Gia_thanh_chuoi_su14"/>
      <sheetName val="Tiep_dia14"/>
      <sheetName val="Don_gia_vung_III-Can_Tho14"/>
      <sheetName val="Area_Cal14"/>
      <sheetName val="Elect_(3)14"/>
      <sheetName val="plan&amp;section_of_foundation14"/>
      <sheetName val="design_criteria14"/>
      <sheetName val="Bond_수수료_계산_포맷14"/>
      <sheetName val="ITB_COST14"/>
      <sheetName val="PAGE_114"/>
      <sheetName val="EIRR&gt;_214"/>
      <sheetName val="DM_6714"/>
      <sheetName val="Đầu_tư14"/>
      <sheetName val="Project_Data14"/>
      <sheetName val="Data_Input15"/>
      <sheetName val="6787CWFASE2CASE2_00_xls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Loại_Vật_tư14"/>
      <sheetName val="TH_Vat_tu14"/>
      <sheetName val="dg_tphcm14"/>
      <sheetName val="T_KÊ_K_CẤU14"/>
      <sheetName val="Bill_01_-_CTN14"/>
      <sheetName val="Bill_2_2_Villa_2_beds14"/>
      <sheetName val="4_PTDG14"/>
      <sheetName val="A1,_May14"/>
      <sheetName val="Vat_lieu14"/>
      <sheetName val="Bang_trong_luong_rieng_thep14"/>
      <sheetName val="6PILE__(돌출)14"/>
      <sheetName val="HÐ_ngoài15"/>
      <sheetName val="gia_cong_tac14"/>
      <sheetName val="Measure_130614"/>
      <sheetName val="Cước_VC_+_ĐM_CP_Tư_vấn14"/>
      <sheetName val="Hệ_số14"/>
      <sheetName val="DETAIL_14"/>
      <sheetName val="GV1-D13_(Casement_door)14"/>
      <sheetName val="final_list_200530"/>
      <sheetName val="LV_data14"/>
      <sheetName val="ESTI_14"/>
      <sheetName val="Gia_vat_tu14"/>
      <sheetName val="CẤP_THOÁT_NƯỚC14"/>
      <sheetName val="TH_MTC14"/>
      <sheetName val="TH_N_Cong14"/>
      <sheetName val="THDT_goi_thau_TB14"/>
      <sheetName val="Tien_do_TV14"/>
      <sheetName val="Harga_ME_14"/>
      <sheetName val="Analisa_Gabungan14"/>
      <sheetName val="_Bill_5-Earthing_2_-_Add_Work14"/>
      <sheetName val="bridge_#_114"/>
      <sheetName val="Isolasi_Luar_Dalam14"/>
      <sheetName val="Isolasi_Luar14"/>
      <sheetName val="Chenh_lech_ca_may14"/>
      <sheetName val="TLg_CN&amp;Laixe14"/>
      <sheetName val="TLg_CN&amp;Laixe_(2)14"/>
      <sheetName val="TLg_Laitau14"/>
      <sheetName val="TLg_Laitau_(2)14"/>
      <sheetName val="KL_san_lap14"/>
      <sheetName val="Chi_tiet14"/>
      <sheetName val="2_Chiet_tinh13"/>
      <sheetName val="Bang_3_Chi_tiet_phan_Dz14"/>
      <sheetName val="KHOI_LUONG14"/>
      <sheetName val="Equipment_list_(PAC)14"/>
      <sheetName val="TINH_KHOI_LUONG14"/>
      <sheetName val="DATA_BASE14"/>
      <sheetName val="BẢNG_KHỐI_LƯỢNG_TỔNG_HỢP13"/>
      <sheetName val="Buy_vs__Lease_Car14"/>
      <sheetName val="CP_Khac_cuoc_VC13"/>
      <sheetName val="Budget_Code13"/>
      <sheetName val="CTKL_KTX_HT13"/>
      <sheetName val="subcon_sched14"/>
      <sheetName val="HVAC_BLOCK_B414"/>
      <sheetName val="NHÀ_NHẬP_LIỆU13"/>
      <sheetName val="MÓNG_SILO13"/>
      <sheetName val="PRE_(E)14"/>
      <sheetName val="Tong_du_toan13"/>
      <sheetName val="Bill_2_-_ketcau13"/>
      <sheetName val="13-Cốt_thép_(10mm&lt;D≤18mm)_FO113"/>
      <sheetName val="du_lieu_du_toan13"/>
      <sheetName val="Chi_tiet_lan_can13"/>
      <sheetName val="Luong_NII13"/>
      <sheetName val="BOQ_THAN13"/>
      <sheetName val="DL_ĐẦU_VÀO13"/>
      <sheetName val="D_&amp;_W_sizes13"/>
      <sheetName val="Analisa_&amp;_Upah13"/>
      <sheetName val="Purchase_Order13"/>
      <sheetName val="Du_lieu14"/>
      <sheetName val="Phan_tich13"/>
      <sheetName val="DINH_MUC_THI_NGHIEM13"/>
      <sheetName val="Luong_NI13"/>
      <sheetName val="CT_Thang_Mo13"/>
      <sheetName val="CT__PL13"/>
      <sheetName val="dongia__2_13"/>
      <sheetName val="Thép_CKN13"/>
      <sheetName val="GOC-KO_IN13"/>
      <sheetName val="MAU_8A13"/>
      <sheetName val="MAU_8B13"/>
      <sheetName val="MAU_913"/>
      <sheetName val="MAU_1013"/>
      <sheetName val="cash_budget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Dlieu_dau_vao13"/>
      <sheetName val="BANCO_(2)13"/>
      <sheetName val="MT_DPin_(2)13"/>
      <sheetName val="02__PTDG13"/>
      <sheetName val="DK1_Don_gia13"/>
      <sheetName val="Chiết_tính13"/>
      <sheetName val="Don_gia_(khong_in)13"/>
      <sheetName val="Income_Statement13"/>
      <sheetName val="Shareholders'_Equity13"/>
      <sheetName val="VC_xd11"/>
      <sheetName val="Gia_VLTB11"/>
      <sheetName val="B_Luong11"/>
      <sheetName val="C_May11"/>
      <sheetName val="TB_NẶNG11"/>
      <sheetName val="Du_tru_CP-Bieu_0111"/>
      <sheetName val="1_MONG_1-213"/>
      <sheetName val="wk_prgs11"/>
      <sheetName val="TH_TN11"/>
      <sheetName val="dm_36611"/>
      <sheetName val="DM_606011"/>
      <sheetName val="Bill_No_3_-_Prov__Sum_(Ph2&amp;3)11"/>
      <sheetName val="Ma_don_vi11"/>
      <sheetName val="bang_cc11"/>
      <sheetName val="2_1Warehouse_111"/>
      <sheetName val="đọc_số11"/>
      <sheetName val="HỆ_THỐNG_PHÒNG_CHÁY_CHỮA_CHÁY11"/>
      <sheetName val="HỆ_THỐNG_CẤP_THOÁT_NƯỚC11"/>
      <sheetName val="HỆ_THỐNG_ĐHKK11"/>
      <sheetName val="MÁY_PHÁT_ĐIỆN11"/>
      <sheetName val="HỆ_THỐNG_ĐIỆN11"/>
      <sheetName val="Thiết_bị_chính11"/>
      <sheetName val="Dự_thầu11"/>
      <sheetName val="Nhap_VT_oto11"/>
      <sheetName val="TK_chi_tiet11"/>
      <sheetName val="Bill_2-Road_HR211"/>
      <sheetName val="Bill_3_-_Softscape_HR211"/>
      <sheetName val="Hao_phí11"/>
      <sheetName val="Structure_data11"/>
      <sheetName val="THEP_TAM11"/>
      <sheetName val="THEP_HÌNH11"/>
      <sheetName val="THEP_HINH11"/>
      <sheetName val="XA_GO11"/>
      <sheetName val="BANG_TRA11"/>
      <sheetName val="AG_Pipe_Qty_Analysis11"/>
      <sheetName val="CP_Du_phong11"/>
      <sheetName val="THCP_Lap_dat11"/>
      <sheetName val="THCP_xay_dung11"/>
      <sheetName val="Tong_hop_kinh_phi11"/>
      <sheetName val="CP_HMC11"/>
      <sheetName val="Ｎｏ_1311"/>
      <sheetName val="DGchitiet_11"/>
      <sheetName val="CHI_PHI11"/>
      <sheetName val="Data_Wall11"/>
      <sheetName val="CĂN_HỘ_T16-17_11"/>
      <sheetName val="TRỤC_ĐỨNG_THOÁT_BẨN_T15-1711"/>
      <sheetName val="TRỤC_ĐỨNG_TM_T15-1711"/>
      <sheetName val="Móng,_nền_11"/>
      <sheetName val="Main_Bldg-Rev0211"/>
      <sheetName val="D&amp;W_def_11"/>
      <sheetName val="Nhan_cong11"/>
      <sheetName val="Thiet_bi11"/>
      <sheetName val="Vat_tu11"/>
      <sheetName val="DM_ChiPhi11"/>
      <sheetName val="May_TC11"/>
      <sheetName val="TH_Kinh_phi11"/>
      <sheetName val="Ptvl_11"/>
      <sheetName val="1_Requisition(E)11"/>
      <sheetName val="DG_142610"/>
      <sheetName val="Tổng_GT11"/>
      <sheetName val="Chi_tiết_KL11"/>
      <sheetName val="ca_máy7"/>
      <sheetName val="khấu_trừ_phạt11"/>
      <sheetName val="GT__KHAU_TRU11"/>
      <sheetName val="HAO_HUT_VAT_TU_(2)11"/>
      <sheetName val="cao_độ11"/>
      <sheetName val="TONG_HOP11"/>
      <sheetName val="Dự_toán11"/>
      <sheetName val="Đơn_Giá_TH11"/>
      <sheetName val="Nhân_công11"/>
      <sheetName val="Phân_tích11"/>
      <sheetName val="C_P_Thiết_bị11"/>
      <sheetName val="T_H_Kinh_phí11"/>
      <sheetName val="Vật_tư11"/>
      <sheetName val="Trang_bìa11"/>
      <sheetName val="phan_tic_chi_tiet11"/>
      <sheetName val="gui_BKCT10"/>
      <sheetName val="Theo_doi_Doanh_thu_201710"/>
      <sheetName val="Don_gia_chi_tiet_DIEN_2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Chi_tiet_-tong_9_thang10"/>
      <sheetName val="KL_THEP__GIAM_DO_DUNG_COUPLER10"/>
      <sheetName val="01_KL_THÉP_NHẬP_VỀ10"/>
      <sheetName val="2__NT_VLDV10"/>
      <sheetName val="GHI_CHU10"/>
      <sheetName val="1_BB_LMHT10"/>
      <sheetName val="Gia_vat_lieu10"/>
      <sheetName val="Precios_unitarios_AXH10"/>
      <sheetName val="0__Input10"/>
      <sheetName val="3__CNT10"/>
      <sheetName val="unit_price_list(M)10"/>
      <sheetName val="B3A_-_TOWER_A10"/>
      <sheetName val="Annex_B10"/>
      <sheetName val="1_2_Staff_Schedule10"/>
      <sheetName val="BẢNG_ÁP_GIÁ_(in)10"/>
      <sheetName val="NT_(KL)_IN10"/>
      <sheetName val="DOM_D210"/>
      <sheetName val="nhà_ăn10"/>
      <sheetName val="Công_nhật10"/>
      <sheetName val="btkt_cột10"/>
      <sheetName val="Dgia_vat_tu10"/>
      <sheetName val="Don_gia_III10"/>
      <sheetName val="D÷_liÖu10"/>
      <sheetName val="TH_VL,_NC,_DDHT_Thanhphuoc10"/>
      <sheetName val="So_lieu_chung10"/>
      <sheetName val="1_San_10"/>
      <sheetName val="Doi_so10"/>
      <sheetName val="MTO_REV_2(ARMOR)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Bill_Prelim-CDT10"/>
      <sheetName val="Bill_BPTC-CDT10"/>
      <sheetName val="Chi_tiết_BPTC10"/>
      <sheetName val="Bill_BPTC-CDT_(PA_MCT_CDT)10"/>
      <sheetName val="Chi_tiết_BPTC_(PA_MCT_CDT)10"/>
      <sheetName val="Tong_hop_vat_tu10"/>
      <sheetName val="DM-VNT_ko_sd10"/>
      <sheetName val="Bảng_đo_bóc_KL_OLK-0910"/>
      <sheetName val="6_3_CHI_TIET_OLK-0910"/>
      <sheetName val="1__Office10"/>
      <sheetName val="Cotthep_NPT10"/>
      <sheetName val="vl_nc_mtc10"/>
      <sheetName val="1_Civil_(Org)10"/>
      <sheetName val="Bê_tông_bảo_vệ10"/>
      <sheetName val="01__Data10"/>
      <sheetName val="Neo,_nối_cốt_thép_dầm,_cột10"/>
      <sheetName val="Uốn_móc_cốt_thép10"/>
      <sheetName val="Tiêu_chuẩn_cốt_thép10"/>
      <sheetName val="KL_thep_lam_sat10"/>
      <sheetName val="Tien_Thuong10"/>
      <sheetName val="NC_XL_6T_cuoi_01_CTy10"/>
      <sheetName val="Data_-6T_dau10"/>
      <sheetName val="Cong_6T10"/>
      <sheetName val="KHOI_LUONG15-410"/>
      <sheetName val="Dot_410"/>
      <sheetName val="TLG_Type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Chi_phi_van_chuyen10"/>
      <sheetName val="Div26_-_Elect10"/>
      <sheetName val="TH_các_CC10"/>
      <sheetName val="DT_hợp_đồng9"/>
      <sheetName val="Bảng_KL_đợt_19"/>
      <sheetName val="2_CDPS10"/>
      <sheetName val="Danh_mục9"/>
      <sheetName val="Q_A01_2-Sh10"/>
      <sheetName val="DM_336cai_tao10"/>
      <sheetName val="HRG_BHN10"/>
      <sheetName val="CĂN_ĐH10"/>
      <sheetName val="7_Khau_tru_10"/>
      <sheetName val="4_CĂN10"/>
      <sheetName val="Heso_DZ10"/>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DG_BINH_THUAN10"/>
      <sheetName val="Don_gia_NC10"/>
      <sheetName val="B-2__(DPP)10"/>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Financ__Overview9"/>
      <sheetName val="Bieu_gia_HD9"/>
      <sheetName val="TINH_GIA_-_SAN_XUAT_Vertico9"/>
      <sheetName val="Huong_dan9"/>
      <sheetName val="gia_vt,nc,may9"/>
      <sheetName val="13_BANG_CT9"/>
      <sheetName val="14_MMUS_GIUA_NHIP9"/>
      <sheetName val="4_HSPBngang9"/>
      <sheetName val="6_Tinh_tai9"/>
      <sheetName val="2_NSl9"/>
      <sheetName val="17_US_CHU_tho_a_b9"/>
      <sheetName val="15_MMUS_GOI9"/>
      <sheetName val="KS_tuyen9"/>
      <sheetName val="Bang_chiet_tinh_TBA9"/>
      <sheetName val="Gia_VT-TB9"/>
      <sheetName val="noi_suy_xa9"/>
      <sheetName val="noi_suy_xa_thu_hoi9"/>
      <sheetName val="5_2_1_Đo_bóc_KL_OLK-069"/>
      <sheetName val="DZ_22KV9"/>
      <sheetName val="BTK-Dai_Hoc_Kien_Giang9"/>
      <sheetName val="PV_Graph_Data9"/>
      <sheetName val="doanh_thu9"/>
      <sheetName val="Dutoan_KL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Tổng_hợp_KPHM9"/>
      <sheetName val="Dinh_muc9"/>
      <sheetName val="GIÁ_DỰ_THẦU_30_CĂN9"/>
      <sheetName val="MB_DT_029"/>
      <sheetName val="Electrical_Works9"/>
      <sheetName val="H_T__INCOMING_SYSTEM9"/>
      <sheetName val="BU_LONG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DT__NHA_XUONG9"/>
      <sheetName val="THONG_SO9"/>
      <sheetName val="Đơn_giá_chi_tiết_TN_399"/>
      <sheetName val="Tính_giá_NC9"/>
      <sheetName val="Tiên_lượng9"/>
      <sheetName val="SL_cước9"/>
      <sheetName val="¥_9"/>
      <sheetName val="EQUIP_LIST9"/>
      <sheetName val="DG_Chi_tiet9"/>
      <sheetName val="_1710_HOINGHINLD9"/>
      <sheetName val="99_(2)9"/>
      <sheetName val="134_9"/>
      <sheetName val="DG_49709"/>
      <sheetName val="4_2_1_Đo_bóc_KL_OLK-069"/>
      <sheetName val="4_1_1_CHI_TIET_OLK-069"/>
      <sheetName val="Thuyết_minh9"/>
      <sheetName val="Đơn_giá_máy9"/>
      <sheetName val="Bán_đợt_1_trang8"/>
      <sheetName val="Cash_Flow9"/>
      <sheetName val="Tong_DT8"/>
      <sheetName val="phan_tich_don_gia8"/>
      <sheetName val="Bill_No_1_69"/>
      <sheetName val="Bill_No_1_109"/>
      <sheetName val="Bill_No_3_39"/>
      <sheetName val="Bill_No_1_49"/>
      <sheetName val="Bill_No_1_79"/>
      <sheetName val="Summary_Bill_No__39"/>
      <sheetName val="Unit_price8"/>
      <sheetName val="3__KC_-_PODIUM8"/>
      <sheetName val="Unit_price(Updateting)8"/>
      <sheetName val="IMF_Code8"/>
      <sheetName val="Chiet_tinh_dz358"/>
      <sheetName val="Tien_Luong8"/>
      <sheetName val="Bù_giá_CM8"/>
      <sheetName val="Cost_List8"/>
      <sheetName val="Detail_Cost8"/>
      <sheetName val="IC_Price_New8"/>
      <sheetName val="Summary_Table8"/>
      <sheetName val="Sales_Person8"/>
      <sheetName val="Bidding_Entity8"/>
      <sheetName val="Breakdown_(B)8"/>
      <sheetName val="U_P_Breakdown8"/>
      <sheetName val="CHITIET_VL-NCHT1_(2)8"/>
      <sheetName val="CTDZ6kv_(gd1)_8"/>
      <sheetName val="CTDZ_0_4+cto_(GD1)8"/>
      <sheetName val="CTTBA_(gd1)8"/>
      <sheetName val="03_Detailed8"/>
      <sheetName val="01_Bid_Price_summary8"/>
      <sheetName val="Home_Office_Manhours8"/>
      <sheetName val="Field_SPV_Barchart8"/>
      <sheetName val="Luong_BN8"/>
      <sheetName val="Luong_TB8"/>
      <sheetName val="Ca_may_TB8"/>
      <sheetName val="Ca_máy_BN8"/>
      <sheetName val="Vật_liệu8"/>
      <sheetName val="LX_-TT058"/>
      <sheetName val="NC_Moi_TT058"/>
      <sheetName val="THPDMoi__(2)4"/>
      <sheetName val="t-h_HA_THE4"/>
      <sheetName val="TH_XL4"/>
      <sheetName val="CHITIET_VL-NC4"/>
      <sheetName val="Subsidiary_Calculation8"/>
      <sheetName val="5_2_1_Đo_bóc_KL_OLK-108"/>
      <sheetName val="Chu_dau_tu4"/>
      <sheetName val="Bia_lot8"/>
      <sheetName val="DT_san_XD-So_lieu_cu8"/>
      <sheetName val="Cau_tao_gia_xay_to4"/>
      <sheetName val="don_gia_14268"/>
      <sheetName val="Phu_Bai_Bridge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ẢNG_DIỄN_GIẢI_KL_(7)8"/>
      <sheetName val="THÔNG_TIN4"/>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EQ_an"/>
      <sheetName val="TinhToan"/>
      <sheetName val="Data-SỔ KHO"/>
      <sheetName val="SỔ KHO"/>
      <sheetName val="p2-1"/>
      <sheetName val="DGCT_TRẦN_NLW7"/>
      <sheetName val="Girder"/>
      <sheetName val="CSG SXD"/>
      <sheetName val="CTDZ0,4"/>
      <sheetName val="DGVT"/>
      <sheetName val="DG vua BT 269"/>
      <sheetName val="ctdz35"/>
      <sheetName val="DGXDCB_DD"/>
      <sheetName val="Gia_GC_Satthep"/>
      <sheetName val="btraR,f"/>
      <sheetName val="Loading"/>
      <sheetName val="DT "/>
      <sheetName val="SELISIH HARGA"/>
      <sheetName val="BBM-03"/>
      <sheetName val="(40)G&amp;A"/>
      <sheetName val="Assumption"/>
      <sheetName val="Chart"/>
      <sheetName val="SNMOI"/>
      <sheetName val="NDK16X20"/>
      <sheetName val="OPY"/>
      <sheetName val="PT-OPY"/>
      <sheetName val="TAIKHOAN"/>
      <sheetName val="GIA THEP"/>
      <sheetName val="Hoi gia"/>
      <sheetName val="SUMMARY QUANTITIES"/>
      <sheetName val="BUSPL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2.1 NonVessel"/>
      <sheetName val="Modification Cost"/>
      <sheetName val="Fuel"/>
      <sheetName val="1 Max Base - Cost_rep_base"/>
      <sheetName val="Rates2011"/>
      <sheetName val="2 NonVessel"/>
      <sheetName val="MWBSpread"/>
      <sheetName val="Cable Data"/>
      <sheetName val="CBL01"/>
      <sheetName val="Thong tin DA"/>
      <sheetName val="Wall Pier"/>
      <sheetName val="BSD (2)"/>
      <sheetName val="AUTOMATIC SELECT"/>
      <sheetName val="U.P List"/>
      <sheetName val="단면가정"/>
      <sheetName val="accom cash"/>
      <sheetName val="Du toan XD"/>
      <sheetName val="정부노임단가"/>
      <sheetName val="General_Item&amp;General_Requireme@"/>
      <sheetName val="6. Pig walk way (have roof GOC)"/>
      <sheetName val="Cốt thép"/>
      <sheetName val="MBW"/>
      <sheetName val="Description of Beam"/>
      <sheetName val="KL11"/>
      <sheetName val="KL12"/>
      <sheetName val="Gia khoan chi tiet"/>
      <sheetName val="1,TMĐT "/>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NC2"/>
      <sheetName val="DLCoso"/>
      <sheetName val="06b-Cau_Lap_Thach-_DGTH"/>
      <sheetName val="Lương nhân công"/>
      <sheetName val="Quotation"/>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CIM"/>
      <sheetName val="4.0 unit cost-ko in"/>
      <sheetName val="4.DGCT"/>
      <sheetName val="PL08"/>
      <sheetName val="HG"/>
      <sheetName val="Jobs"/>
      <sheetName val="Mốc"/>
      <sheetName val="Weather"/>
      <sheetName val="KLdon vi"/>
      <sheetName val="template"/>
      <sheetName val="FUC-01"/>
      <sheetName val="KB"/>
      <sheetName val="DZ 0.4"/>
      <sheetName val="Ngay"/>
      <sheetName val="NC THEO QĐ 1396 QĐ-SXD"/>
      <sheetName val="PU_ITALY_46"/>
      <sheetName val="Door_and_window8"/>
      <sheetName val="Luong_(TP_Việt_Trì)1"/>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DM_DU_AN3"/>
      <sheetName val="DM_TP_3"/>
      <sheetName val="File_Chi_tiet3"/>
      <sheetName val="NC_CU1"/>
      <sheetName val="Da_xay_dung1"/>
      <sheetName val="Cuoc_1"/>
      <sheetName val="gia_chao1"/>
      <sheetName val="Vat_lieu_BTN1"/>
      <sheetName val="Tru_TT3"/>
      <sheetName val="Thg_043"/>
      <sheetName val="Thg_053"/>
      <sheetName val="Thg_063"/>
      <sheetName val="Thg_073"/>
      <sheetName val="Thg_083"/>
      <sheetName val="Thg_093"/>
      <sheetName val="Thg_103"/>
      <sheetName val="Thg_113"/>
      <sheetName val="Thg_123"/>
      <sheetName val="Dashboard_-_BQL_-_VHL3"/>
      <sheetName val="MTO_REV_01"/>
      <sheetName val="TH_khoi_luong3"/>
      <sheetName val="Chi_tiet_khoi_luong3"/>
      <sheetName val="TK_thep3"/>
      <sheetName val="CT_THOÁT_WC_VP3"/>
      <sheetName val="CT_CẤP_WC_VP3"/>
      <sheetName val="CT_THOÁT_MƯA_VP_TRỤC_LỚN3"/>
      <sheetName val="CT_THOÁT_MƯA_VP_TRỤC_NHỎ3"/>
      <sheetName val="Chênh_lệch_máy_thi_công2"/>
      <sheetName val="Chênh_lệch_nhân_công2"/>
      <sheetName val="Chênh_lệch_vật_liệu2"/>
      <sheetName val="DO_AM_DT1"/>
      <sheetName val="Probbl_-_Production3"/>
      <sheetName val="CHI_PHÍ_NHÔM3"/>
      <sheetName val="w't_table3"/>
      <sheetName val="Danh_mục_khối3"/>
      <sheetName val="Danh_mục_đơn_vị_-phòng_chức_nă3"/>
      <sheetName val="Currency_Rate3"/>
      <sheetName val="KEILA_TP_2020-073"/>
      <sheetName val="BILL_34Āᐁë3"/>
      <sheetName val="CFA_(ME)3"/>
      <sheetName val="MEP_Building3"/>
      <sheetName val="2__BBNT_KLHT3"/>
      <sheetName val="CHITIET_VL-NC-TT1p3"/>
      <sheetName val="NHOM_KINH2"/>
      <sheetName val="Share_Price_20022"/>
      <sheetName val="LUONG_SCL3"/>
      <sheetName val="Auto_Monthly_Inputs_1"/>
      <sheetName val="BOM-13_11-Other(PS1+PS2)3"/>
      <sheetName val="01__Nha_xuong1"/>
      <sheetName val="Nhập_liệu1"/>
      <sheetName val="Dinh_Muc_Vat_Tu3"/>
      <sheetName val="mã_3"/>
      <sheetName val="Service_Cost_2"/>
      <sheetName val="Don_gia_Tay_Ninh2"/>
      <sheetName val="Don_gia_Dak_Lak2"/>
      <sheetName val="streeta_and_cacth_pit2"/>
      <sheetName val="Daf_12"/>
      <sheetName val="Luong_2622EVN1"/>
      <sheetName val="Don_gia_XD2"/>
      <sheetName val="Gia_NC_theo_TT051"/>
      <sheetName val="Land_Dev't__Ph-11"/>
      <sheetName val="Hac_Lots1"/>
      <sheetName val="4-Lane_bridge1"/>
      <sheetName val="Res_Lots1"/>
      <sheetName val="Spine_Road1"/>
      <sheetName val="Chao_gia_T12_RE2"/>
      <sheetName val="DSV6_Summ1"/>
      <sheetName val="Sum_ELE__CAP_S1-4__1"/>
      <sheetName val="Boc_KL_DAT+CAT+BT1"/>
      <sheetName val="Boc_KL_thép1"/>
      <sheetName val="Bieu_do_nhan_luc1"/>
      <sheetName val="Elemental_Breakdown+20%1"/>
      <sheetName val="DGKL_TRỤC_NGOAI_NHA1"/>
      <sheetName val="PHẦN_KIẾN_TRÚC1"/>
      <sheetName val="0,SO_LIEU_DAU_VAO1"/>
      <sheetName val="So_sanh_gia1"/>
      <sheetName val="Bill_21"/>
      <sheetName val="Bill_31"/>
      <sheetName val="Bill_4a_-_1A1"/>
      <sheetName val="Bill_4a_(Fiber)_-_1A1"/>
      <sheetName val="Bill_4b1"/>
      <sheetName val="Bill_4c1"/>
      <sheetName val="Bill_51"/>
      <sheetName val="Bill_4a_-_1B1"/>
      <sheetName val="Bill_4a_(Fiber)_-_1B1"/>
      <sheetName val="5_2_1_Đo_bóc_KL_OLK-071"/>
      <sheetName val="Committed_Items1"/>
      <sheetName val="Corner_Arch1"/>
      <sheetName val="End_Arch1"/>
      <sheetName val="Intermediate_Arch1"/>
      <sheetName val="reinforcement_6751"/>
      <sheetName val="ext_wall_fin_qty1"/>
      <sheetName val="SL_Plum_1"/>
      <sheetName val="Physical_Schedule_3D1"/>
      <sheetName val="Tabel_Berat2"/>
      <sheetName val="Data_Umum_Penawaran2"/>
      <sheetName val="Real_Cost2"/>
      <sheetName val="bill_qty2"/>
      <sheetName val="REKAP_ARSITEKTUR_2"/>
      <sheetName val="RAB_ADMINISTRASI_PUSAT_(1)2"/>
      <sheetName val="Hrg_Readymix1"/>
      <sheetName val="Bill_rekap"/>
      <sheetName val="Cash_Flow_bulanan"/>
      <sheetName val="Dai_tu1"/>
      <sheetName val="Aging_Sept2"/>
      <sheetName val="0_Data1"/>
      <sheetName val="0_Data_new1"/>
      <sheetName val="Define_finishing1"/>
      <sheetName val="CươcVC_tinh"/>
      <sheetName val="Bank_Rev1"/>
      <sheetName val="Merit_&amp;_Market_Grid2"/>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sales_current_month46"/>
      <sheetName val="View_Variance46"/>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6__Scope_of_work_1"/>
      <sheetName val="4_6_Phân_tích_nhân_sự_1"/>
      <sheetName val="4_5_Mức_độ_tham_gia_dự_án1"/>
      <sheetName val="CONSOIDATE_41"/>
      <sheetName val="CONSOIDATE_21"/>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Don_vi"/>
      <sheetName val="Input_-_Facilities1"/>
      <sheetName val="BP_CAPEX_MoD-100%_Area_4_USD1"/>
      <sheetName val="02__PHAN_TICH1"/>
      <sheetName val="03__NGAN_SACH1"/>
      <sheetName val="KL_CHI_TIẾT_(2)"/>
      <sheetName val="5_Gia"/>
      <sheetName val="Danh_sach_KV2"/>
      <sheetName val="Danh_sach_doan_KT"/>
      <sheetName val="CP_NC-MTC_XD"/>
      <sheetName val="Loại_cọc_P2"/>
      <sheetName val="Luong_TT05"/>
      <sheetName val="unit_weight"/>
      <sheetName val="Gia_HĐ"/>
      <sheetName val="Ca_may"/>
      <sheetName val="Piano_Montaggio_PO-02_bozza2"/>
      <sheetName val="List_Danh_mục_nghiệm_thu"/>
      <sheetName val="May_Goc_(QD2436)"/>
      <sheetName val="VC_theo_cuoc_tinh"/>
      <sheetName val="BCVC__"/>
      <sheetName val="Chuong_I"/>
      <sheetName val="PLHD_doi_cot_ham_0101-04"/>
      <sheetName val="Don_gia_vung_III"/>
      <sheetName val="Don_gia_III11"/>
      <sheetName val="Don_gia_CT"/>
      <sheetName val="Danhsach_12"/>
      <sheetName val="Kien_truc"/>
      <sheetName val="NC_HY"/>
      <sheetName val="NC_HN"/>
      <sheetName val="DZ_35"/>
      <sheetName val="bang_1_NCXD"/>
      <sheetName val="bang_1_NCXD_(V_I)"/>
      <sheetName val="Chiet_tinh_dz22"/>
      <sheetName val="ĐM4970_2016(Lap_dat_TBA)"/>
      <sheetName val="Gia_Nhan_công"/>
      <sheetName val="Đon_gia_228_sua_chua"/>
      <sheetName val="ĐM01_2000(thinghiem_ĐZTTĐL)"/>
      <sheetName val="ĐM1781_2007(T_N_đien_ĐZ&amp;TBA)"/>
      <sheetName val="Cuoc_van_chuyen"/>
      <sheetName val="3_공통공사대비"/>
      <sheetName val="입찰내역_발주처_양식"/>
      <sheetName val="bar_nor"/>
      <sheetName val="conc_nor"/>
      <sheetName val="conc_frus"/>
      <sheetName val="conc_trap"/>
      <sheetName val="bar_frus"/>
      <sheetName val="bar_trap"/>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DG_THIET_BI"/>
      <sheetName val="DG_vat_lieu"/>
      <sheetName val="Loại_2"/>
      <sheetName val="Tu_dien"/>
      <sheetName val="T_kê"/>
      <sheetName val="Chi_tiet_VL-NC-MTC"/>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TÍNH_TOÁN_KHỐI_LƯỢNG_P6"/>
      <sheetName val="INDEX_HẠ_TẦNG"/>
      <sheetName val="CTG_HẠ_TẦNG"/>
      <sheetName val="DGG_HẠ_TẦNG"/>
      <sheetName val="DGG_LB_CỌC"/>
      <sheetName val="DGG_MT_CỌC"/>
      <sheetName val="INFO_CỌC"/>
      <sheetName val="INDEX_CỌC"/>
      <sheetName val="A1_8"/>
      <sheetName val="DLC_DIEN_AP"/>
      <sheetName val="SL_dau_tien"/>
      <sheetName val="Bảng_dung_trọng"/>
      <sheetName val="Tra_Cứu"/>
      <sheetName val="DP_TRUOT_GIA"/>
      <sheetName val="VL-NC-M_"/>
      <sheetName val="Assignment_Schedule"/>
      <sheetName val="DTCT_-XL_4"/>
      <sheetName val="Tonghop_theo_Vendor"/>
      <sheetName val="Du_thau_dau_noi"/>
      <sheetName val="Du_Thau"/>
      <sheetName val="Du_thau_PSBS"/>
      <sheetName val="DG_theo_HD_PSBS"/>
      <sheetName val="Du_thau_TC11"/>
      <sheetName val="VL_NC_M"/>
      <sheetName val="TT_16-2019"/>
      <sheetName val="Du_lieu_ban_dau"/>
      <sheetName val="GZ_TP"/>
      <sheetName val="GZ_VT"/>
      <sheetName val="Đơn_trọng"/>
      <sheetName val="6_9_DM_CTP"/>
      <sheetName val="ADJ_-_RATE"/>
      <sheetName val="Inventory_data46"/>
      <sheetName val="FORECAST_x_FAMILIA43"/>
      <sheetName val="Space_Analysis43"/>
      <sheetName val="CADE_DETAIL19"/>
      <sheetName val="PRB_Expense_Q4_201316"/>
      <sheetName val="P&amp;L_by_Month1"/>
      <sheetName val="DIV_INC1"/>
      <sheetName val="A1_-_Income_Statement1"/>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BASE_GRAPHE"/>
      <sheetName val="Beam_reinfocement_schedule"/>
      <sheetName val="Thong_so_dam"/>
      <sheetName val="Wall_Block_C"/>
      <sheetName val="General_Schedule"/>
      <sheetName val="KL_Chi_tiết_BV_dự_thầu"/>
      <sheetName val="KL_chi_tiết_BV_thi_công"/>
      <sheetName val="3_NGAN_SACH"/>
      <sheetName val="2_PHAN_TICH"/>
      <sheetName val="D_Trong"/>
      <sheetName val="Factor_F_Data"/>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CDPS_SAU_KC"/>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Income_Statement14"/>
      <sheetName val="DB_FEE"/>
      <sheetName val="BHYT_Tự_Nguyện_-_Vinschool-Mau_"/>
      <sheetName val="dulieu_cot"/>
      <sheetName val="Bank_Bal__Dec_22"/>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Sch2_-_BalSht_Summary"/>
      <sheetName val="Sch1_-_P&amp;L_Summary"/>
      <sheetName val="Cost_of_DM_Water"/>
      <sheetName val="Other_assumptions1"/>
      <sheetName val="Vat_lieu_cat_song_rac"/>
      <sheetName val="Field_Lists1"/>
      <sheetName val="CUSTOMER_GROUP_WISE"/>
      <sheetName val="Q4_2009_History"/>
      <sheetName val="_Final_Balance_Sheet"/>
      <sheetName val="Interest_on_WC"/>
      <sheetName val="Giai_trinh"/>
      <sheetName val="PU_ITALY_47"/>
      <sheetName val="TH_DZ3519"/>
      <sheetName val="Tro_giup30"/>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final_list_200531"/>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Labour_Summary22"/>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Share_Price_2002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mmitted_Items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sales_current_month47"/>
      <sheetName val="View_Variance47"/>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Inventory_data47"/>
      <sheetName val="FORECAST_x_FAMILIA44"/>
      <sheetName val="Space_Analysis44"/>
      <sheetName val="CADE_DETAIL20"/>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PRB_Expense_Q4_201317"/>
      <sheetName val="P&amp;L_by_Month2"/>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Du_lieu_TKT"/>
      <sheetName val="간접비_총괄표"/>
      <sheetName val="Nghỉ_lễ"/>
      <sheetName val="Check_C"/>
      <sheetName val="Kich_thuoc_mo_M1-nam_lay"/>
      <sheetName val="Gia_khoan_chi_tiet"/>
      <sheetName val="DA01_HD-List"/>
      <sheetName val="DM01_CDT"/>
      <sheetName val="DM02_NT"/>
      <sheetName val="NT01_HD-List"/>
      <sheetName val="1,TMĐT_"/>
      <sheetName val="DG_CANTHO"/>
      <sheetName val="ĐBGT"/>
      <sheetName val="PTKS"/>
      <sheetName val="Bảng GCM (TT13) HD"/>
      <sheetName val="May Goc (QD2438)"/>
      <sheetName val="Bảng lương M"/>
      <sheetName val="KL-HoThu"/>
      <sheetName val="Phân khai"/>
      <sheetName val="Luong-BT"/>
      <sheetName val="Luong-NT"/>
      <sheetName val="CẤP_THO"/>
      <sheetName val="BILL 34Āᐁë_x0001_ HẦM"/>
      <sheetName val="BILL 34Āᐁë_x0001_"/>
      <sheetName val="NC3"/>
      <sheetName val="Breech_Duct"/>
      <sheetName val="DGKL L2 THÉP MÓNG"/>
      <sheetName val="Bieu chi tiet gia du thau"/>
      <sheetName val="Gia vat lieu trong gia du thau"/>
      <sheetName val="Bang phan tich don gia du thau"/>
      <sheetName val="00.List"/>
      <sheetName val="HDTU"/>
      <sheetName val="KTTX"/>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u lieu dau vao"/>
      <sheetName val="DG1426NEW"/>
      <sheetName val="Đắp đất K95"/>
      <sheetName val="T.Tinh"/>
      <sheetName val="Lç khoan LK1"/>
      <sheetName val="MMTB"/>
      <sheetName val="DGNC"/>
      <sheetName val="F04-CPNC"/>
      <sheetName val="F05-CFVT"/>
      <sheetName val="VLP"/>
      <sheetName val="DAO DAP CONG"/>
      <sheetName val="KL-CHITIET"/>
      <sheetName val="son ke duong"/>
      <sheetName val="DGKL_L2_THÉP_MÓNG"/>
      <sheetName val="Bieu_chi_tiet_gia_du_thau"/>
      <sheetName val="Gia_vat_lieu_trong_gia_du_thau"/>
      <sheetName val="Bang_phan_tich_don_gia_du_thau"/>
      <sheetName val="May Hue"/>
      <sheetName val="DM TN"/>
      <sheetName val="Danh muc"/>
      <sheetName val="DGIAVLXD"/>
      <sheetName val="DM6060TBA"/>
      <sheetName val="DM6061DZ"/>
      <sheetName val="CTdongia"/>
      <sheetName val="for Summary"/>
      <sheetName val="Trường Sơn"/>
      <sheetName val="CT bê tông"/>
      <sheetName val="CT trát. láng. sơn bả"/>
      <sheetName val="CT Ván khuôn, cốt thép"/>
      <sheetName val="Dinh Muc VT"/>
      <sheetName val="consilidate"/>
      <sheetName val="Building"/>
      <sheetName val="Floor area"/>
      <sheetName val="Bang gia 2011.10.12"/>
      <sheetName val="COST"/>
      <sheetName val="Equipment List Guideline"/>
      <sheetName val="Model List"/>
      <sheetName val="Anx 10"/>
      <sheetName val="concil"/>
      <sheetName val="Full 2012"/>
      <sheetName val="PL"/>
      <sheetName val="SL.DT 2011so sanh"/>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DSQL"/>
      <sheetName val="DG SUA CHUA"/>
      <sheetName val="DGTBA"/>
      <sheetName val="TAM TINH"/>
      <sheetName val="080 (2)"/>
      <sheetName val="080_(2)"/>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DM 1781"/>
      <sheetName val="DM203"/>
      <sheetName val="Giá đến hiện trường"/>
      <sheetName val="DG 285"/>
      <sheetName val="DG  286"/>
      <sheetName val="DG 85"/>
      <sheetName val="DG 89"/>
      <sheetName val="DGVCTC 285"/>
      <sheetName val="M6A-208 Steering dust"/>
      <sheetName val="JT3.0견적-구1"/>
      <sheetName val="CPKS_TK"/>
      <sheetName val="PhÇnCK"/>
      <sheetName val="PL3a dot1"/>
      <sheetName val="KL thanh toan-Xuan Dao"/>
      <sheetName val="Gia tri vat tu"/>
      <sheetName val="Don gia LD"/>
      <sheetName val="BB 00"/>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DGTH (3 cau"/>
      <sheetName val="M+MC"/>
      <sheetName val="UP1"/>
      <sheetName val="97 사업추정(WEKI)"/>
      <sheetName val="Data NT"/>
      <sheetName val="F01-BC_KHAU_PHAN_SANG_2_x0000__31"/>
      <sheetName val="Bill_05_-_Hoan_thien-To_x0003_er3"/>
      <sheetName val="Bang gia tong hop"/>
      <sheetName val="XÁC  NHẬN THANH TOÁN"/>
      <sheetName val="XÁC NHẬN GIÁ TRỊ"/>
      <sheetName val="XÁC NHẬN KL"/>
      <sheetName val="HAO_HUP_VAT_TU_(2)5"/>
      <sheetName val="BM.07.DCCCVT"/>
      <sheetName val="TN_M"/>
      <sheetName val="Nhân_cô_x0000_g6"/>
      <sheetName val="DG vat tu"/>
      <sheetName val="Nhân_cô"/>
      <sheetName val="hinhhoc"/>
      <sheetName val="EstData"/>
      <sheetName val="DW ok"/>
      <sheetName val="calc_menu_déroulant"/>
      <sheetName val="DS"/>
      <sheetName val="Record CR"/>
      <sheetName val="Binderies"/>
      <sheetName val="Risk Assessment"/>
      <sheetName val="Exhibit 2"/>
      <sheetName val="FINALPHP"/>
      <sheetName val="CY17"/>
      <sheetName val="Risk_Assessment"/>
      <sheetName val="foumula"/>
      <sheetName val="Form 23"/>
      <sheetName val="Mapping"/>
      <sheetName val="Fx Rates"/>
      <sheetName val="Data 6,7,9"/>
      <sheetName val="Data 8"/>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Company"/>
      <sheetName val="1.Staffing"/>
      <sheetName val="TEST1"/>
      <sheetName val="실행기성 갑지"/>
      <sheetName val="242-3 summaryOPC"/>
      <sheetName val="Bang luong"/>
      <sheetName val="Sheet1_(2)"/>
      <sheetName val="Chi_Thao"/>
      <sheetName val="Bang_luong"/>
      <sheetName val="TB Worksheet"/>
      <sheetName val="營業額"/>
      <sheetName val="factory area"/>
      <sheetName val="주주명부&lt;끝&gt;"/>
      <sheetName val="GDLQ"/>
      <sheetName val="2. A&amp;C Database"/>
      <sheetName val="CMT retrive"/>
      <sheetName val="TOWN"/>
      <sheetName val="Floor area "/>
      <sheetName val="CDPS"/>
      <sheetName val="Tổng hợp Z"/>
      <sheetName val="HDnhap"/>
      <sheetName val="Currency Codes"/>
      <sheetName val="Scoping"/>
      <sheetName val="Expectation"/>
      <sheetName val="Variance threshold"/>
      <sheetName val="VIKAR"/>
      <sheetName val="S - Sugar production"/>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Out"/>
      <sheetName val="NT VK ckds"/>
      <sheetName val="PYC"/>
      <sheetName val="ﾄﾞﾊﾞｲFUEL GAS追見"/>
      <sheetName val="분양가표"/>
      <sheetName val="valeurs de base"/>
      <sheetName val="Categories"/>
      <sheetName val="Ctinh 10kV"/>
      <sheetName val="TCS"/>
      <sheetName val="khung ten TD"/>
      <sheetName val="DGSR"/>
      <sheetName val="HOLE PILE"/>
      <sheetName val="L45M"/>
      <sheetName val="L50M"/>
      <sheetName val="T,L45M"/>
      <sheetName val="T,L50M"/>
      <sheetName val="분석"/>
      <sheetName val="wall"/>
      <sheetName val="BLUONG_DANCU"/>
      <sheetName val="BLUONG_CU"/>
      <sheetName val="BLUONG_MOI"/>
      <sheetName val="kich thuoc chung"/>
      <sheetName val="KL13"/>
      <sheetName val="KL14"/>
      <sheetName val="KL15"/>
      <sheetName val="Tong hop1"/>
      <sheetName val="KLTK"/>
      <sheetName val="LISTNT"/>
      <sheetName val="TKLT"/>
      <sheetName val="TONG"/>
      <sheetName val="BILL 34Āᐁë??_x0001_??? HẦM"/>
      <sheetName val="Tinh toan"/>
      <sheetName val="bo tri ngày"/>
      <sheetName val="khoiphong"/>
      <sheetName val="PHU_LUC"/>
      <sheetName val="TONGHOPCHIPHIXAYLAP"/>
      <sheetName val="FF"/>
      <sheetName val="Sales Seasonality by Month"/>
      <sheetName val="THAM CHIẾU"/>
      <sheetName val="2012"/>
      <sheetName val="B30"/>
      <sheetName val="Areas"/>
      <sheetName val="M02 TH SP XKGC"/>
      <sheetName val="dgia2"/>
      <sheetName val="Bang TH"/>
      <sheetName val="O3 VL-NC-MTC - ĐLPC"/>
      <sheetName val="124+090"/>
      <sheetName val="BC.124+090"/>
      <sheetName val="DATA 124+090"/>
      <sheetName val="124+425"/>
      <sheetName val="BC.124+425"/>
      <sheetName val="DATA 124+425"/>
      <sheetName val="124+500"/>
      <sheetName val="BC.124+500"/>
      <sheetName val="SL.124+500"/>
      <sheetName val="124+600"/>
      <sheetName val="BC.124+600"/>
      <sheetName val="SL.124+600"/>
      <sheetName val="124+700 "/>
      <sheetName val="BC.124+700 "/>
      <sheetName val="SL.124+700 "/>
      <sheetName val="Km124+783.5"/>
      <sheetName val="BC.Km124+783.5"/>
      <sheetName val="SL.Km124+783.5"/>
      <sheetName val="124+900 "/>
      <sheetName val="BC.124+900 "/>
      <sheetName val="SL.124+900 "/>
      <sheetName val="125+000"/>
      <sheetName val="BC.125+000"/>
      <sheetName val="SL.125+000"/>
      <sheetName val="125+100"/>
      <sheetName val="BC.125+100"/>
      <sheetName val="SL.125+100"/>
      <sheetName val="125+200"/>
      <sheetName val="BC.125+200"/>
      <sheetName val="SL.125+200"/>
      <sheetName val="125+300"/>
      <sheetName val="BC.125+300 "/>
      <sheetName val="SL.125+300"/>
      <sheetName val="125+400"/>
      <sheetName val="BC.125+400 "/>
      <sheetName val="SL.125+400"/>
      <sheetName val="125+500"/>
      <sheetName val="BC.125+500"/>
      <sheetName val="SL.125+500 "/>
      <sheetName val="125+565"/>
      <sheetName val="BC.125+565"/>
      <sheetName val="SL.125+565"/>
      <sheetName val="125+645"/>
      <sheetName val="BC.125+645"/>
      <sheetName val="SL.125+645"/>
      <sheetName val="125+660"/>
      <sheetName val="BC.125+660"/>
      <sheetName val="SL.125+660"/>
      <sheetName val="125+740"/>
      <sheetName val="BC.125+740"/>
      <sheetName val="SL.125+740"/>
      <sheetName val="125+840 "/>
      <sheetName val="BC.125+840 "/>
      <sheetName val="SL.125+840 "/>
      <sheetName val="125+890 "/>
      <sheetName val="BC.125+890  "/>
      <sheetName val="SL.125+890 "/>
      <sheetName val="126+040 "/>
      <sheetName val="BC.126+040  "/>
      <sheetName val="SL.126+040  "/>
      <sheetName val="126+140  "/>
      <sheetName val="BC.126+140   "/>
      <sheetName val="SL.126+14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ow r="9">
          <cell r="A9" t="str">
            <v>A</v>
          </cell>
        </row>
      </sheetData>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ow r="9">
          <cell r="A9" t="str">
            <v>A</v>
          </cell>
        </row>
      </sheetData>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B395-15EA-41E9-B254-35E7FD56A728}">
  <sheetPr codeName="Sheet1">
    <tabColor rgb="FF00B050"/>
    <pageSetUpPr fitToPage="1"/>
  </sheetPr>
  <dimension ref="A1:AF779"/>
  <sheetViews>
    <sheetView tabSelected="1" zoomScale="83" zoomScaleNormal="83" zoomScaleSheetLayoutView="100" workbookViewId="0">
      <pane ySplit="14" topLeftCell="A731" activePane="bottomLeft" state="frozen"/>
      <selection activeCell="N14" sqref="N14:P14"/>
      <selection pane="bottomLeft" activeCell="X731" sqref="X731"/>
    </sheetView>
  </sheetViews>
  <sheetFormatPr defaultColWidth="9.28515625" defaultRowHeight="13.15" customHeight="1"/>
  <cols>
    <col min="1" max="1" width="4.28515625" style="1" customWidth="1"/>
    <col min="2" max="2" width="11" style="1" customWidth="1"/>
    <col min="3" max="3" width="8.85546875" style="3" customWidth="1"/>
    <col min="4" max="4" width="11.28515625" style="1" bestFit="1" customWidth="1"/>
    <col min="5" max="16" width="8.42578125" style="1" customWidth="1"/>
    <col min="17" max="19" width="7.42578125" style="2" customWidth="1"/>
    <col min="20" max="20" width="10.28515625" style="1" customWidth="1"/>
    <col min="21" max="24" width="9.28515625" style="1" customWidth="1"/>
    <col min="25" max="27" width="10.7109375" style="1" customWidth="1"/>
    <col min="28" max="28" width="16" style="1" customWidth="1"/>
    <col min="29" max="29" width="8.28515625" style="1" customWidth="1"/>
    <col min="30" max="30" width="10.42578125" style="1" bestFit="1" customWidth="1"/>
    <col min="31" max="31" width="8.7109375" style="1" customWidth="1"/>
    <col min="32" max="32" width="11.7109375" style="1" customWidth="1"/>
    <col min="33" max="33" width="8.28515625" style="1" bestFit="1" customWidth="1"/>
    <col min="34" max="34" width="9.28515625" style="1" customWidth="1"/>
    <col min="35" max="16384" width="9.28515625" style="1"/>
  </cols>
  <sheetData>
    <row r="1" spans="1:32" ht="19.5" customHeight="1">
      <c r="B1" s="1">
        <v>1</v>
      </c>
      <c r="C1" s="3">
        <f t="shared" ref="C1:W1" si="0">+B1+1</f>
        <v>2</v>
      </c>
      <c r="D1" s="3">
        <f t="shared" si="0"/>
        <v>3</v>
      </c>
      <c r="E1" s="3">
        <f t="shared" si="0"/>
        <v>4</v>
      </c>
      <c r="F1" s="3">
        <f t="shared" si="0"/>
        <v>5</v>
      </c>
      <c r="G1" s="3">
        <f t="shared" si="0"/>
        <v>6</v>
      </c>
      <c r="H1" s="3">
        <f t="shared" si="0"/>
        <v>7</v>
      </c>
      <c r="I1" s="3">
        <f t="shared" si="0"/>
        <v>8</v>
      </c>
      <c r="J1" s="3">
        <f t="shared" si="0"/>
        <v>9</v>
      </c>
      <c r="K1" s="3">
        <f t="shared" si="0"/>
        <v>10</v>
      </c>
      <c r="L1" s="3">
        <f t="shared" si="0"/>
        <v>11</v>
      </c>
      <c r="M1" s="3">
        <f t="shared" si="0"/>
        <v>12</v>
      </c>
      <c r="N1" s="3">
        <f t="shared" si="0"/>
        <v>13</v>
      </c>
      <c r="O1" s="3">
        <f t="shared" si="0"/>
        <v>14</v>
      </c>
      <c r="P1" s="3">
        <f t="shared" si="0"/>
        <v>15</v>
      </c>
      <c r="Q1" s="3">
        <f t="shared" si="0"/>
        <v>16</v>
      </c>
      <c r="R1" s="3">
        <f t="shared" si="0"/>
        <v>17</v>
      </c>
      <c r="S1" s="3">
        <f t="shared" si="0"/>
        <v>18</v>
      </c>
      <c r="T1" s="3">
        <f t="shared" si="0"/>
        <v>19</v>
      </c>
      <c r="U1" s="3">
        <f t="shared" si="0"/>
        <v>20</v>
      </c>
      <c r="V1" s="3">
        <f t="shared" si="0"/>
        <v>21</v>
      </c>
      <c r="W1" s="3">
        <f t="shared" si="0"/>
        <v>22</v>
      </c>
      <c r="X1" s="3"/>
      <c r="Y1" s="3">
        <f>+W1+1</f>
        <v>23</v>
      </c>
      <c r="Z1" s="3">
        <f>+Y1+1</f>
        <v>24</v>
      </c>
      <c r="AA1" s="3">
        <f>+Z1+1</f>
        <v>25</v>
      </c>
      <c r="AB1" s="3">
        <f>+AA1+1</f>
        <v>26</v>
      </c>
    </row>
    <row r="2" spans="1:32" ht="19.5" customHeight="1">
      <c r="A2" s="65" t="s">
        <v>42</v>
      </c>
      <c r="B2" s="65"/>
      <c r="C2" s="65"/>
      <c r="D2" s="65"/>
      <c r="E2" s="65"/>
      <c r="F2" s="65"/>
      <c r="G2" s="65"/>
      <c r="H2" s="65"/>
      <c r="I2" s="65"/>
      <c r="J2" s="65"/>
      <c r="K2" s="65"/>
      <c r="L2" s="65"/>
      <c r="M2" s="65"/>
      <c r="N2" s="65"/>
      <c r="O2" s="65"/>
      <c r="P2" s="65"/>
      <c r="Q2" s="65"/>
      <c r="R2" s="65"/>
      <c r="S2" s="65"/>
      <c r="T2" s="65"/>
      <c r="U2" s="65"/>
      <c r="V2" s="65"/>
      <c r="W2" s="65"/>
      <c r="X2" s="65"/>
      <c r="Y2" s="65"/>
      <c r="Z2" s="65"/>
      <c r="AA2" s="65"/>
      <c r="AB2" s="65"/>
    </row>
    <row r="3" spans="1:32" ht="19.5" customHeight="1">
      <c r="A3" s="65" t="s">
        <v>41</v>
      </c>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1:32" ht="19.5" customHeight="1">
      <c r="A4" s="65" t="str">
        <f>UPPER("GÓI THẦU XL03 :Thi Công Xây Dựng Đoạn Tuyến Km114+200 - Km126+223 Bao Gồm Tuyến Nối Nút Giao IC12  Với QL1 (bao gồm khảo sát, thiết kế BVTC)")</f>
        <v>GÓI THẦU XL03 :THI CÔNG XÂY DỰNG ĐOẠN TUYẾN KM114+200 - KM126+223 BAO GỒM TUYẾN NỐI NÚT GIAO IC12  VỚI QL1 (BAO GỒM KHẢO SÁT, THIẾT KẾ BVTC)</v>
      </c>
      <c r="B4" s="65"/>
      <c r="C4" s="65"/>
      <c r="D4" s="65"/>
      <c r="E4" s="65"/>
      <c r="F4" s="65"/>
      <c r="G4" s="65"/>
      <c r="H4" s="65"/>
      <c r="I4" s="65"/>
      <c r="J4" s="65"/>
      <c r="K4" s="65"/>
      <c r="L4" s="65"/>
      <c r="M4" s="65"/>
      <c r="N4" s="65"/>
      <c r="O4" s="65"/>
      <c r="P4" s="65"/>
      <c r="Q4" s="65"/>
      <c r="R4" s="65"/>
      <c r="S4" s="65"/>
      <c r="T4" s="65"/>
      <c r="U4" s="65"/>
      <c r="V4" s="65"/>
      <c r="W4" s="65"/>
      <c r="X4" s="65"/>
      <c r="Y4" s="65"/>
      <c r="Z4" s="65"/>
      <c r="AA4" s="65"/>
      <c r="AB4" s="65"/>
    </row>
    <row r="5" spans="1:32" ht="18.75" customHeight="1">
      <c r="A5" s="78" t="s">
        <v>40</v>
      </c>
      <c r="B5" s="79"/>
      <c r="C5" s="79"/>
      <c r="D5" s="79"/>
      <c r="E5" s="79"/>
      <c r="F5" s="79"/>
      <c r="G5" s="79"/>
      <c r="H5" s="80"/>
      <c r="I5" s="84" t="s">
        <v>39</v>
      </c>
      <c r="J5" s="85"/>
      <c r="K5" s="85"/>
      <c r="L5" s="85"/>
      <c r="M5" s="85"/>
      <c r="N5" s="85"/>
      <c r="O5" s="85"/>
      <c r="P5" s="85"/>
      <c r="Q5" s="85"/>
      <c r="R5" s="86"/>
      <c r="S5" s="84" t="s">
        <v>38</v>
      </c>
      <c r="T5" s="85"/>
      <c r="U5" s="85"/>
      <c r="V5" s="85"/>
      <c r="W5" s="85"/>
      <c r="X5" s="85"/>
      <c r="Y5" s="85"/>
      <c r="Z5" s="85"/>
      <c r="AA5" s="85"/>
      <c r="AB5" s="86"/>
    </row>
    <row r="6" spans="1:32" ht="17.25" customHeight="1">
      <c r="A6" s="81" t="s">
        <v>37</v>
      </c>
      <c r="B6" s="82"/>
      <c r="C6" s="82"/>
      <c r="D6" s="82"/>
      <c r="E6" s="82"/>
      <c r="F6" s="82"/>
      <c r="G6" s="82"/>
      <c r="H6" s="83"/>
      <c r="I6" s="87" t="str">
        <f>UPPER("Liên danh Phân viện KHCN GTVT phía Nam - Công ty Cổ phần Tư vấn kỹ thuật và xây dựng Hồng Hà")</f>
        <v>LIÊN DANH PHÂN VIỆN KHCN GTVT PHÍA NAM - CÔNG TY CỔ PHẦN TƯ VẤN KỸ THUẬT VÀ XÂY DỰNG HỒNG HÀ</v>
      </c>
      <c r="J6" s="88"/>
      <c r="K6" s="88"/>
      <c r="L6" s="88"/>
      <c r="M6" s="88"/>
      <c r="N6" s="88"/>
      <c r="O6" s="88"/>
      <c r="P6" s="88"/>
      <c r="Q6" s="88"/>
      <c r="R6" s="89"/>
      <c r="S6" s="90" t="s">
        <v>36</v>
      </c>
      <c r="T6" s="91"/>
      <c r="U6" s="91"/>
      <c r="V6" s="91"/>
      <c r="W6" s="91"/>
      <c r="X6" s="91"/>
      <c r="Y6" s="91"/>
      <c r="Z6" s="91"/>
      <c r="AA6" s="91"/>
      <c r="AB6" s="92"/>
    </row>
    <row r="7" spans="1:32" ht="21" customHeight="1">
      <c r="A7" s="93" t="s">
        <v>35</v>
      </c>
      <c r="B7" s="94"/>
      <c r="C7" s="94"/>
      <c r="D7" s="94"/>
      <c r="E7" s="94"/>
      <c r="F7" s="94"/>
      <c r="G7" s="94"/>
      <c r="H7" s="94"/>
      <c r="I7" s="94"/>
      <c r="J7" s="94"/>
      <c r="K7" s="94"/>
      <c r="L7" s="94"/>
      <c r="M7" s="94"/>
      <c r="N7" s="94"/>
      <c r="O7" s="94"/>
      <c r="P7" s="94"/>
      <c r="Q7" s="94"/>
      <c r="R7" s="94"/>
      <c r="S7" s="94"/>
      <c r="T7" s="94"/>
      <c r="U7" s="94"/>
      <c r="V7" s="94"/>
      <c r="W7" s="94"/>
      <c r="X7" s="94"/>
      <c r="Y7" s="94"/>
      <c r="Z7" s="94"/>
      <c r="AA7" s="94"/>
      <c r="AB7" s="95"/>
    </row>
    <row r="8" spans="1:32" ht="15">
      <c r="A8" s="49" t="s">
        <v>34</v>
      </c>
      <c r="B8" s="47"/>
      <c r="C8" s="47"/>
      <c r="D8" s="47"/>
      <c r="E8" s="47"/>
      <c r="F8" s="47"/>
      <c r="G8" s="47"/>
      <c r="H8" s="47"/>
      <c r="I8" s="47"/>
      <c r="J8" s="48"/>
      <c r="K8" s="48" t="s">
        <v>33</v>
      </c>
      <c r="L8" s="48"/>
      <c r="M8" s="48"/>
      <c r="N8" s="48"/>
      <c r="O8" s="47"/>
      <c r="P8" s="47"/>
      <c r="Q8" s="47"/>
      <c r="R8" s="47"/>
      <c r="S8" s="47"/>
      <c r="T8" s="47"/>
      <c r="U8" s="47"/>
      <c r="V8" s="47"/>
      <c r="W8" s="46"/>
      <c r="X8" s="46"/>
      <c r="Y8" s="46"/>
      <c r="Z8" s="46"/>
      <c r="AA8" s="46"/>
      <c r="AB8" s="45"/>
    </row>
    <row r="9" spans="1:32" ht="15">
      <c r="A9" s="43" t="s">
        <v>32</v>
      </c>
      <c r="B9" s="41"/>
      <c r="C9" s="41" t="s">
        <v>31</v>
      </c>
      <c r="D9" s="41"/>
      <c r="E9" s="41"/>
      <c r="F9" s="41"/>
      <c r="G9" s="41"/>
      <c r="H9" s="41"/>
      <c r="I9" s="41"/>
      <c r="J9" s="42"/>
      <c r="K9" s="42" t="s">
        <v>30</v>
      </c>
      <c r="L9" s="42"/>
      <c r="M9" s="44">
        <f>C14</f>
        <v>842</v>
      </c>
      <c r="N9" s="42"/>
      <c r="O9" s="41"/>
      <c r="P9" s="41"/>
      <c r="Q9" s="41"/>
      <c r="R9" s="41"/>
      <c r="S9" s="41"/>
      <c r="T9" s="41"/>
      <c r="U9" s="41"/>
      <c r="V9" s="41"/>
      <c r="W9" s="40"/>
      <c r="X9" s="40"/>
      <c r="Y9" s="40"/>
      <c r="Z9" s="40"/>
      <c r="AA9" s="40"/>
      <c r="AB9" s="39"/>
    </row>
    <row r="10" spans="1:32" ht="15">
      <c r="A10" s="43" t="s">
        <v>29</v>
      </c>
      <c r="B10" s="41"/>
      <c r="C10" s="41" t="s">
        <v>28</v>
      </c>
      <c r="D10" s="41"/>
      <c r="E10" s="41"/>
      <c r="F10" s="41"/>
      <c r="G10" s="41"/>
      <c r="H10" s="41"/>
      <c r="I10" s="41"/>
      <c r="J10" s="42"/>
      <c r="K10" s="42" t="s">
        <v>27</v>
      </c>
      <c r="L10" s="42"/>
      <c r="M10" s="74">
        <f>B14</f>
        <v>45043</v>
      </c>
      <c r="N10" s="74"/>
      <c r="O10" s="41"/>
      <c r="P10" s="41"/>
      <c r="Q10" s="41"/>
      <c r="R10" s="41"/>
      <c r="S10" s="41"/>
      <c r="T10" s="41"/>
      <c r="U10" s="41"/>
      <c r="V10" s="41"/>
      <c r="W10" s="40"/>
      <c r="X10" s="40"/>
      <c r="Y10" s="40"/>
      <c r="Z10" s="40"/>
      <c r="AA10" s="40"/>
      <c r="AB10" s="39"/>
    </row>
    <row r="11" spans="1:32" ht="11.25" customHeight="1">
      <c r="A11" s="38"/>
      <c r="B11" s="35"/>
      <c r="C11" s="37"/>
      <c r="D11" s="35"/>
      <c r="E11" s="35"/>
      <c r="F11" s="35"/>
      <c r="G11" s="35"/>
      <c r="H11" s="35"/>
      <c r="I11" s="35"/>
      <c r="J11" s="35"/>
      <c r="K11" s="35"/>
      <c r="L11" s="35"/>
      <c r="M11" s="35"/>
      <c r="N11" s="35"/>
      <c r="O11" s="35"/>
      <c r="P11" s="35"/>
      <c r="Q11" s="36"/>
      <c r="R11" s="36"/>
      <c r="S11" s="36"/>
      <c r="T11" s="35"/>
      <c r="U11" s="35"/>
      <c r="V11" s="35"/>
      <c r="W11" s="35"/>
      <c r="X11" s="35"/>
      <c r="Y11" s="35"/>
      <c r="Z11" s="35"/>
      <c r="AA11" s="35"/>
      <c r="AB11" s="34"/>
    </row>
    <row r="12" spans="1:32" ht="47.25" customHeight="1">
      <c r="A12" s="66" t="s">
        <v>26</v>
      </c>
      <c r="B12" s="66" t="s">
        <v>25</v>
      </c>
      <c r="C12" s="66" t="s">
        <v>24</v>
      </c>
      <c r="D12" s="66" t="s">
        <v>23</v>
      </c>
      <c r="E12" s="68" t="s">
        <v>22</v>
      </c>
      <c r="F12" s="69"/>
      <c r="G12" s="70"/>
      <c r="H12" s="68" t="s">
        <v>21</v>
      </c>
      <c r="I12" s="69"/>
      <c r="J12" s="70"/>
      <c r="K12" s="68" t="s">
        <v>20</v>
      </c>
      <c r="L12" s="69"/>
      <c r="M12" s="70"/>
      <c r="N12" s="68" t="s">
        <v>19</v>
      </c>
      <c r="O12" s="69"/>
      <c r="P12" s="70"/>
      <c r="Q12" s="71" t="s">
        <v>18</v>
      </c>
      <c r="R12" s="72"/>
      <c r="S12" s="73"/>
      <c r="T12" s="66" t="s">
        <v>17</v>
      </c>
      <c r="U12" s="75" t="s">
        <v>16</v>
      </c>
      <c r="V12" s="76"/>
      <c r="W12" s="77"/>
      <c r="X12" s="66" t="s">
        <v>15</v>
      </c>
      <c r="Y12" s="66" t="s">
        <v>14</v>
      </c>
      <c r="Z12" s="66" t="s">
        <v>13</v>
      </c>
      <c r="AA12" s="66" t="s">
        <v>12</v>
      </c>
      <c r="AB12" s="66" t="s">
        <v>11</v>
      </c>
    </row>
    <row r="13" spans="1:32" ht="33" customHeight="1">
      <c r="A13" s="67"/>
      <c r="B13" s="67"/>
      <c r="C13" s="67"/>
      <c r="D13" s="67"/>
      <c r="E13" s="33" t="s">
        <v>10</v>
      </c>
      <c r="F13" s="33" t="s">
        <v>9</v>
      </c>
      <c r="G13" s="33" t="s">
        <v>8</v>
      </c>
      <c r="H13" s="33" t="s">
        <v>10</v>
      </c>
      <c r="I13" s="33" t="s">
        <v>9</v>
      </c>
      <c r="J13" s="33" t="s">
        <v>8</v>
      </c>
      <c r="K13" s="33" t="s">
        <v>10</v>
      </c>
      <c r="L13" s="33" t="s">
        <v>9</v>
      </c>
      <c r="M13" s="33" t="s">
        <v>8</v>
      </c>
      <c r="N13" s="33" t="s">
        <v>10</v>
      </c>
      <c r="O13" s="33" t="s">
        <v>9</v>
      </c>
      <c r="P13" s="33" t="s">
        <v>8</v>
      </c>
      <c r="Q13" s="33" t="s">
        <v>10</v>
      </c>
      <c r="R13" s="33" t="s">
        <v>9</v>
      </c>
      <c r="S13" s="33" t="s">
        <v>8</v>
      </c>
      <c r="T13" s="67"/>
      <c r="U13" s="33" t="s">
        <v>10</v>
      </c>
      <c r="V13" s="33" t="s">
        <v>9</v>
      </c>
      <c r="W13" s="33" t="s">
        <v>8</v>
      </c>
      <c r="X13" s="67"/>
      <c r="Y13" s="67"/>
      <c r="Z13" s="67"/>
      <c r="AA13" s="67"/>
      <c r="AB13" s="67"/>
    </row>
    <row r="14" spans="1:32" s="26" customFormat="1" ht="15">
      <c r="A14" s="32">
        <v>0</v>
      </c>
      <c r="B14" s="31">
        <v>45043</v>
      </c>
      <c r="C14" s="30">
        <v>842</v>
      </c>
      <c r="D14" s="29">
        <v>1625</v>
      </c>
      <c r="E14" s="20">
        <f t="shared" ref="E14:E77" si="1">C14+D14-H14</f>
        <v>447</v>
      </c>
      <c r="F14" s="20">
        <f t="shared" ref="F14:F77" si="2">C14+D14-I14</f>
        <v>457</v>
      </c>
      <c r="G14" s="20">
        <f t="shared" ref="G14:G77" si="3">D14+C14-J14</f>
        <v>467</v>
      </c>
      <c r="H14" s="20">
        <f t="shared" ref="H14:H77" si="4">K14+N14</f>
        <v>2020</v>
      </c>
      <c r="I14" s="20">
        <f t="shared" ref="I14:I77" si="5">L14+O14</f>
        <v>2010</v>
      </c>
      <c r="J14" s="20">
        <f t="shared" ref="J14:J77" si="6">M14+P14</f>
        <v>2000</v>
      </c>
      <c r="K14" s="20">
        <v>2000</v>
      </c>
      <c r="L14" s="20">
        <v>2000</v>
      </c>
      <c r="M14" s="20">
        <v>2000</v>
      </c>
      <c r="N14" s="20">
        <v>20</v>
      </c>
      <c r="O14" s="20">
        <v>10</v>
      </c>
      <c r="P14" s="20">
        <v>0</v>
      </c>
      <c r="Q14" s="20">
        <v>0</v>
      </c>
      <c r="R14" s="20">
        <v>0</v>
      </c>
      <c r="S14" s="20">
        <v>0</v>
      </c>
      <c r="T14" s="20">
        <f t="shared" ref="T14:T77" si="7">D14+C14-V14</f>
        <v>2457</v>
      </c>
      <c r="U14" s="20">
        <f>N14</f>
        <v>20</v>
      </c>
      <c r="V14" s="20">
        <f>O14</f>
        <v>10</v>
      </c>
      <c r="W14" s="20">
        <f>P14</f>
        <v>0</v>
      </c>
      <c r="X14" s="20"/>
      <c r="Y14" s="13"/>
      <c r="Z14" s="20"/>
      <c r="AA14" s="20"/>
      <c r="AB14" s="28" t="s">
        <v>7</v>
      </c>
      <c r="AF14" s="27"/>
    </row>
    <row r="15" spans="1:32" ht="15">
      <c r="A15" s="11">
        <v>1</v>
      </c>
      <c r="B15" s="14">
        <f t="shared" ref="B15:B78" si="8">B14+1</f>
        <v>45044</v>
      </c>
      <c r="C15" s="9">
        <f t="shared" ref="C15:C78" si="9">C14</f>
        <v>842</v>
      </c>
      <c r="D15" s="8">
        <f t="shared" ref="D15:D46" si="10">D14-2</f>
        <v>1623</v>
      </c>
      <c r="E15" s="7">
        <f t="shared" si="1"/>
        <v>445</v>
      </c>
      <c r="F15" s="7">
        <f t="shared" si="2"/>
        <v>455</v>
      </c>
      <c r="G15" s="7">
        <f t="shared" si="3"/>
        <v>465</v>
      </c>
      <c r="H15" s="4">
        <f t="shared" si="4"/>
        <v>2020</v>
      </c>
      <c r="I15" s="4">
        <f t="shared" si="5"/>
        <v>2010</v>
      </c>
      <c r="J15" s="4">
        <f t="shared" si="6"/>
        <v>2000</v>
      </c>
      <c r="K15" s="4">
        <f t="shared" ref="K15:K78" si="11">K14</f>
        <v>2000</v>
      </c>
      <c r="L15" s="4">
        <f t="shared" ref="L15:L78" si="12">L14</f>
        <v>2000</v>
      </c>
      <c r="M15" s="4">
        <f t="shared" ref="M15:M78" si="13">M14</f>
        <v>2000</v>
      </c>
      <c r="N15" s="4">
        <f t="shared" ref="N15:N78" si="14">N14-Q15</f>
        <v>20</v>
      </c>
      <c r="O15" s="4">
        <f t="shared" ref="O15:O78" si="15">O14-R15</f>
        <v>10</v>
      </c>
      <c r="P15" s="4">
        <f t="shared" ref="P15:P78" si="16">P14-S15</f>
        <v>0</v>
      </c>
      <c r="Q15" s="7">
        <v>0</v>
      </c>
      <c r="R15" s="7">
        <v>0</v>
      </c>
      <c r="S15" s="7">
        <v>0</v>
      </c>
      <c r="T15" s="5">
        <f t="shared" si="7"/>
        <v>2455</v>
      </c>
      <c r="U15" s="6">
        <f t="shared" ref="U15:U38" si="17">U14+$X15*1000-Q15</f>
        <v>20</v>
      </c>
      <c r="V15" s="6">
        <f t="shared" ref="V15:V38" si="18">V14+$X15*1000-R15</f>
        <v>10</v>
      </c>
      <c r="W15" s="6">
        <f t="shared" ref="W15:W38" si="19">W14+$X15*1000-S15</f>
        <v>0</v>
      </c>
      <c r="X15" s="5"/>
      <c r="Y15" s="25"/>
      <c r="Z15" s="4"/>
      <c r="AA15" s="4"/>
      <c r="AB15" s="23"/>
    </row>
    <row r="16" spans="1:32" ht="15">
      <c r="A16" s="11">
        <v>2</v>
      </c>
      <c r="B16" s="14">
        <f t="shared" si="8"/>
        <v>45045</v>
      </c>
      <c r="C16" s="9">
        <f t="shared" si="9"/>
        <v>842</v>
      </c>
      <c r="D16" s="8">
        <f t="shared" si="10"/>
        <v>1621</v>
      </c>
      <c r="E16" s="7">
        <f t="shared" si="1"/>
        <v>443</v>
      </c>
      <c r="F16" s="7">
        <f t="shared" si="2"/>
        <v>453</v>
      </c>
      <c r="G16" s="7">
        <f t="shared" si="3"/>
        <v>463</v>
      </c>
      <c r="H16" s="4">
        <f t="shared" si="4"/>
        <v>2020</v>
      </c>
      <c r="I16" s="4">
        <f t="shared" si="5"/>
        <v>2010</v>
      </c>
      <c r="J16" s="4">
        <f t="shared" si="6"/>
        <v>2000</v>
      </c>
      <c r="K16" s="4">
        <f t="shared" si="11"/>
        <v>2000</v>
      </c>
      <c r="L16" s="4">
        <f t="shared" si="12"/>
        <v>2000</v>
      </c>
      <c r="M16" s="4">
        <f t="shared" si="13"/>
        <v>2000</v>
      </c>
      <c r="N16" s="4">
        <f t="shared" si="14"/>
        <v>20</v>
      </c>
      <c r="O16" s="4">
        <f t="shared" si="15"/>
        <v>10</v>
      </c>
      <c r="P16" s="4">
        <f t="shared" si="16"/>
        <v>0</v>
      </c>
      <c r="Q16" s="7">
        <v>0</v>
      </c>
      <c r="R16" s="7">
        <v>0</v>
      </c>
      <c r="S16" s="7">
        <v>0</v>
      </c>
      <c r="T16" s="5">
        <f t="shared" si="7"/>
        <v>2453</v>
      </c>
      <c r="U16" s="6">
        <f t="shared" si="17"/>
        <v>20</v>
      </c>
      <c r="V16" s="6">
        <f t="shared" si="18"/>
        <v>10</v>
      </c>
      <c r="W16" s="6">
        <f t="shared" si="19"/>
        <v>0</v>
      </c>
      <c r="X16" s="5"/>
      <c r="Y16" s="25"/>
      <c r="Z16" s="4"/>
      <c r="AA16" s="4"/>
      <c r="AB16" s="24"/>
      <c r="AD16" s="22"/>
    </row>
    <row r="17" spans="1:30" ht="15">
      <c r="A17" s="11">
        <v>3</v>
      </c>
      <c r="B17" s="14">
        <f t="shared" si="8"/>
        <v>45046</v>
      </c>
      <c r="C17" s="9">
        <f t="shared" si="9"/>
        <v>842</v>
      </c>
      <c r="D17" s="8">
        <f t="shared" si="10"/>
        <v>1619</v>
      </c>
      <c r="E17" s="7">
        <f t="shared" si="1"/>
        <v>441</v>
      </c>
      <c r="F17" s="7">
        <f t="shared" si="2"/>
        <v>451</v>
      </c>
      <c r="G17" s="7">
        <f t="shared" si="3"/>
        <v>461</v>
      </c>
      <c r="H17" s="4">
        <f t="shared" si="4"/>
        <v>2020</v>
      </c>
      <c r="I17" s="4">
        <f t="shared" si="5"/>
        <v>2010</v>
      </c>
      <c r="J17" s="4">
        <f t="shared" si="6"/>
        <v>2000</v>
      </c>
      <c r="K17" s="4">
        <f t="shared" si="11"/>
        <v>2000</v>
      </c>
      <c r="L17" s="4">
        <f t="shared" si="12"/>
        <v>2000</v>
      </c>
      <c r="M17" s="4">
        <f t="shared" si="13"/>
        <v>2000</v>
      </c>
      <c r="N17" s="4">
        <f t="shared" si="14"/>
        <v>20</v>
      </c>
      <c r="O17" s="4">
        <f t="shared" si="15"/>
        <v>10</v>
      </c>
      <c r="P17" s="4">
        <f t="shared" si="16"/>
        <v>0</v>
      </c>
      <c r="Q17" s="7">
        <v>0</v>
      </c>
      <c r="R17" s="7">
        <v>0</v>
      </c>
      <c r="S17" s="7">
        <v>0</v>
      </c>
      <c r="T17" s="5">
        <f t="shared" si="7"/>
        <v>2451</v>
      </c>
      <c r="U17" s="6">
        <f t="shared" si="17"/>
        <v>20</v>
      </c>
      <c r="V17" s="6">
        <f t="shared" si="18"/>
        <v>10</v>
      </c>
      <c r="W17" s="6">
        <f t="shared" si="19"/>
        <v>0</v>
      </c>
      <c r="X17" s="5"/>
      <c r="Y17" s="4"/>
      <c r="Z17" s="4"/>
      <c r="AA17" s="4"/>
      <c r="AB17" s="18"/>
      <c r="AD17" s="22"/>
    </row>
    <row r="18" spans="1:30" ht="16.5" customHeight="1">
      <c r="A18" s="11">
        <v>4</v>
      </c>
      <c r="B18" s="14">
        <f t="shared" si="8"/>
        <v>45047</v>
      </c>
      <c r="C18" s="9">
        <f t="shared" si="9"/>
        <v>842</v>
      </c>
      <c r="D18" s="8">
        <f t="shared" si="10"/>
        <v>1617</v>
      </c>
      <c r="E18" s="7">
        <f t="shared" si="1"/>
        <v>439</v>
      </c>
      <c r="F18" s="7">
        <f t="shared" si="2"/>
        <v>449</v>
      </c>
      <c r="G18" s="7">
        <f t="shared" si="3"/>
        <v>459</v>
      </c>
      <c r="H18" s="4">
        <f t="shared" si="4"/>
        <v>2020</v>
      </c>
      <c r="I18" s="4">
        <f t="shared" si="5"/>
        <v>2010</v>
      </c>
      <c r="J18" s="4">
        <f t="shared" si="6"/>
        <v>2000</v>
      </c>
      <c r="K18" s="4">
        <f t="shared" si="11"/>
        <v>2000</v>
      </c>
      <c r="L18" s="4">
        <f t="shared" si="12"/>
        <v>2000</v>
      </c>
      <c r="M18" s="4">
        <f t="shared" si="13"/>
        <v>2000</v>
      </c>
      <c r="N18" s="4">
        <f t="shared" si="14"/>
        <v>20</v>
      </c>
      <c r="O18" s="4">
        <f t="shared" si="15"/>
        <v>10</v>
      </c>
      <c r="P18" s="4">
        <f t="shared" si="16"/>
        <v>0</v>
      </c>
      <c r="Q18" s="7">
        <v>0</v>
      </c>
      <c r="R18" s="7">
        <v>0</v>
      </c>
      <c r="S18" s="7">
        <v>0</v>
      </c>
      <c r="T18" s="5">
        <f t="shared" si="7"/>
        <v>2449</v>
      </c>
      <c r="U18" s="6">
        <f t="shared" si="17"/>
        <v>20</v>
      </c>
      <c r="V18" s="6">
        <f t="shared" si="18"/>
        <v>10</v>
      </c>
      <c r="W18" s="6">
        <f t="shared" si="19"/>
        <v>0</v>
      </c>
      <c r="X18" s="5"/>
      <c r="Y18" s="4"/>
      <c r="Z18" s="4"/>
      <c r="AA18" s="4"/>
      <c r="AB18" s="23"/>
      <c r="AD18" s="22"/>
    </row>
    <row r="19" spans="1:30" ht="16.5" customHeight="1">
      <c r="A19" s="11">
        <v>5</v>
      </c>
      <c r="B19" s="14">
        <f t="shared" si="8"/>
        <v>45048</v>
      </c>
      <c r="C19" s="9">
        <f t="shared" si="9"/>
        <v>842</v>
      </c>
      <c r="D19" s="8">
        <f t="shared" si="10"/>
        <v>1615</v>
      </c>
      <c r="E19" s="7">
        <f t="shared" si="1"/>
        <v>437</v>
      </c>
      <c r="F19" s="7">
        <f t="shared" si="2"/>
        <v>447</v>
      </c>
      <c r="G19" s="7">
        <f t="shared" si="3"/>
        <v>457</v>
      </c>
      <c r="H19" s="4">
        <f t="shared" si="4"/>
        <v>2020</v>
      </c>
      <c r="I19" s="4">
        <f t="shared" si="5"/>
        <v>2010</v>
      </c>
      <c r="J19" s="4">
        <f t="shared" si="6"/>
        <v>2000</v>
      </c>
      <c r="K19" s="4">
        <f t="shared" si="11"/>
        <v>2000</v>
      </c>
      <c r="L19" s="4">
        <f t="shared" si="12"/>
        <v>2000</v>
      </c>
      <c r="M19" s="4">
        <f t="shared" si="13"/>
        <v>2000</v>
      </c>
      <c r="N19" s="4">
        <f t="shared" si="14"/>
        <v>20</v>
      </c>
      <c r="O19" s="4">
        <f t="shared" si="15"/>
        <v>10</v>
      </c>
      <c r="P19" s="4">
        <f t="shared" si="16"/>
        <v>0</v>
      </c>
      <c r="Q19" s="7">
        <v>0</v>
      </c>
      <c r="R19" s="7">
        <v>0</v>
      </c>
      <c r="S19" s="7">
        <v>0</v>
      </c>
      <c r="T19" s="5">
        <f t="shared" si="7"/>
        <v>2447</v>
      </c>
      <c r="U19" s="6">
        <f t="shared" si="17"/>
        <v>20</v>
      </c>
      <c r="V19" s="6">
        <f t="shared" si="18"/>
        <v>10</v>
      </c>
      <c r="W19" s="6">
        <f t="shared" si="19"/>
        <v>0</v>
      </c>
      <c r="X19" s="5"/>
      <c r="Y19" s="4"/>
      <c r="Z19" s="4"/>
      <c r="AA19" s="4"/>
      <c r="AB19" s="4"/>
      <c r="AD19" s="22"/>
    </row>
    <row r="20" spans="1:30" ht="16.5" customHeight="1">
      <c r="A20" s="11">
        <v>6</v>
      </c>
      <c r="B20" s="14">
        <f t="shared" si="8"/>
        <v>45049</v>
      </c>
      <c r="C20" s="9">
        <f t="shared" si="9"/>
        <v>842</v>
      </c>
      <c r="D20" s="8">
        <f t="shared" si="10"/>
        <v>1613</v>
      </c>
      <c r="E20" s="7">
        <f t="shared" si="1"/>
        <v>435</v>
      </c>
      <c r="F20" s="7">
        <f t="shared" si="2"/>
        <v>445</v>
      </c>
      <c r="G20" s="7">
        <f t="shared" si="3"/>
        <v>455</v>
      </c>
      <c r="H20" s="4">
        <f t="shared" si="4"/>
        <v>2020</v>
      </c>
      <c r="I20" s="4">
        <f t="shared" si="5"/>
        <v>2010</v>
      </c>
      <c r="J20" s="4">
        <f t="shared" si="6"/>
        <v>2000</v>
      </c>
      <c r="K20" s="4">
        <f t="shared" si="11"/>
        <v>2000</v>
      </c>
      <c r="L20" s="4">
        <f t="shared" si="12"/>
        <v>2000</v>
      </c>
      <c r="M20" s="4">
        <f t="shared" si="13"/>
        <v>2000</v>
      </c>
      <c r="N20" s="4">
        <f t="shared" si="14"/>
        <v>20</v>
      </c>
      <c r="O20" s="4">
        <f t="shared" si="15"/>
        <v>10</v>
      </c>
      <c r="P20" s="4">
        <f t="shared" si="16"/>
        <v>0</v>
      </c>
      <c r="Q20" s="7">
        <v>0</v>
      </c>
      <c r="R20" s="7">
        <v>0</v>
      </c>
      <c r="S20" s="7">
        <v>0</v>
      </c>
      <c r="T20" s="5">
        <f t="shared" si="7"/>
        <v>2445</v>
      </c>
      <c r="U20" s="6">
        <f t="shared" si="17"/>
        <v>20</v>
      </c>
      <c r="V20" s="6">
        <f t="shared" si="18"/>
        <v>10</v>
      </c>
      <c r="W20" s="6">
        <f t="shared" si="19"/>
        <v>0</v>
      </c>
      <c r="X20" s="5"/>
      <c r="Y20" s="4"/>
      <c r="Z20" s="4"/>
      <c r="AA20" s="4"/>
      <c r="AB20" s="18"/>
      <c r="AD20" s="22"/>
    </row>
    <row r="21" spans="1:30" ht="16.5" customHeight="1">
      <c r="A21" s="11">
        <v>7</v>
      </c>
      <c r="B21" s="14">
        <f t="shared" si="8"/>
        <v>45050</v>
      </c>
      <c r="C21" s="9">
        <f t="shared" si="9"/>
        <v>842</v>
      </c>
      <c r="D21" s="8">
        <f t="shared" si="10"/>
        <v>1611</v>
      </c>
      <c r="E21" s="7">
        <f t="shared" si="1"/>
        <v>433</v>
      </c>
      <c r="F21" s="7">
        <f t="shared" si="2"/>
        <v>443</v>
      </c>
      <c r="G21" s="7">
        <f t="shared" si="3"/>
        <v>453</v>
      </c>
      <c r="H21" s="4">
        <f t="shared" si="4"/>
        <v>2020</v>
      </c>
      <c r="I21" s="4">
        <f t="shared" si="5"/>
        <v>2010</v>
      </c>
      <c r="J21" s="4">
        <f t="shared" si="6"/>
        <v>2000</v>
      </c>
      <c r="K21" s="4">
        <f t="shared" si="11"/>
        <v>2000</v>
      </c>
      <c r="L21" s="4">
        <f t="shared" si="12"/>
        <v>2000</v>
      </c>
      <c r="M21" s="4">
        <f t="shared" si="13"/>
        <v>2000</v>
      </c>
      <c r="N21" s="4">
        <f t="shared" si="14"/>
        <v>20</v>
      </c>
      <c r="O21" s="4">
        <f t="shared" si="15"/>
        <v>10</v>
      </c>
      <c r="P21" s="4">
        <f t="shared" si="16"/>
        <v>0</v>
      </c>
      <c r="Q21" s="7">
        <v>0</v>
      </c>
      <c r="R21" s="7">
        <v>0</v>
      </c>
      <c r="S21" s="7">
        <v>0</v>
      </c>
      <c r="T21" s="5">
        <f t="shared" si="7"/>
        <v>2443</v>
      </c>
      <c r="U21" s="6">
        <f t="shared" si="17"/>
        <v>20</v>
      </c>
      <c r="V21" s="6">
        <f t="shared" si="18"/>
        <v>10</v>
      </c>
      <c r="W21" s="6">
        <f t="shared" si="19"/>
        <v>0</v>
      </c>
      <c r="X21" s="5"/>
      <c r="Y21" s="4"/>
      <c r="Z21" s="4"/>
      <c r="AA21" s="4"/>
      <c r="AB21" s="18"/>
      <c r="AD21" s="22"/>
    </row>
    <row r="22" spans="1:30" ht="16.5" customHeight="1">
      <c r="A22" s="11">
        <v>8</v>
      </c>
      <c r="B22" s="14">
        <f t="shared" si="8"/>
        <v>45051</v>
      </c>
      <c r="C22" s="9">
        <f t="shared" si="9"/>
        <v>842</v>
      </c>
      <c r="D22" s="8">
        <f t="shared" si="10"/>
        <v>1609</v>
      </c>
      <c r="E22" s="7">
        <f t="shared" si="1"/>
        <v>431</v>
      </c>
      <c r="F22" s="7">
        <f t="shared" si="2"/>
        <v>441</v>
      </c>
      <c r="G22" s="7">
        <f t="shared" si="3"/>
        <v>451</v>
      </c>
      <c r="H22" s="4">
        <f t="shared" si="4"/>
        <v>2020</v>
      </c>
      <c r="I22" s="4">
        <f t="shared" si="5"/>
        <v>2010</v>
      </c>
      <c r="J22" s="4">
        <f t="shared" si="6"/>
        <v>2000</v>
      </c>
      <c r="K22" s="4">
        <f t="shared" si="11"/>
        <v>2000</v>
      </c>
      <c r="L22" s="4">
        <f t="shared" si="12"/>
        <v>2000</v>
      </c>
      <c r="M22" s="4">
        <f t="shared" si="13"/>
        <v>2000</v>
      </c>
      <c r="N22" s="4">
        <f t="shared" si="14"/>
        <v>20</v>
      </c>
      <c r="O22" s="4">
        <f t="shared" si="15"/>
        <v>10</v>
      </c>
      <c r="P22" s="4">
        <f t="shared" si="16"/>
        <v>0</v>
      </c>
      <c r="Q22" s="7">
        <v>0</v>
      </c>
      <c r="R22" s="7">
        <v>0</v>
      </c>
      <c r="S22" s="7">
        <v>0</v>
      </c>
      <c r="T22" s="5">
        <f t="shared" si="7"/>
        <v>2441</v>
      </c>
      <c r="U22" s="6">
        <f t="shared" si="17"/>
        <v>20</v>
      </c>
      <c r="V22" s="6">
        <f t="shared" si="18"/>
        <v>10</v>
      </c>
      <c r="W22" s="6">
        <f t="shared" si="19"/>
        <v>0</v>
      </c>
      <c r="X22" s="5"/>
      <c r="Y22" s="4"/>
      <c r="Z22" s="4"/>
      <c r="AA22" s="4"/>
      <c r="AB22" s="18"/>
      <c r="AD22" s="22"/>
    </row>
    <row r="23" spans="1:30" ht="16.5" customHeight="1">
      <c r="A23" s="11">
        <v>9</v>
      </c>
      <c r="B23" s="14">
        <f t="shared" si="8"/>
        <v>45052</v>
      </c>
      <c r="C23" s="9">
        <f t="shared" si="9"/>
        <v>842</v>
      </c>
      <c r="D23" s="8">
        <f t="shared" si="10"/>
        <v>1607</v>
      </c>
      <c r="E23" s="7">
        <f t="shared" si="1"/>
        <v>429</v>
      </c>
      <c r="F23" s="7">
        <f t="shared" si="2"/>
        <v>439</v>
      </c>
      <c r="G23" s="7">
        <f t="shared" si="3"/>
        <v>449</v>
      </c>
      <c r="H23" s="4">
        <f t="shared" si="4"/>
        <v>2020</v>
      </c>
      <c r="I23" s="4">
        <f t="shared" si="5"/>
        <v>2010</v>
      </c>
      <c r="J23" s="4">
        <f t="shared" si="6"/>
        <v>2000</v>
      </c>
      <c r="K23" s="4">
        <f t="shared" si="11"/>
        <v>2000</v>
      </c>
      <c r="L23" s="4">
        <f t="shared" si="12"/>
        <v>2000</v>
      </c>
      <c r="M23" s="4">
        <f t="shared" si="13"/>
        <v>2000</v>
      </c>
      <c r="N23" s="4">
        <f t="shared" si="14"/>
        <v>20</v>
      </c>
      <c r="O23" s="4">
        <f t="shared" si="15"/>
        <v>10</v>
      </c>
      <c r="P23" s="4">
        <f t="shared" si="16"/>
        <v>0</v>
      </c>
      <c r="Q23" s="7">
        <v>0</v>
      </c>
      <c r="R23" s="7">
        <v>0</v>
      </c>
      <c r="S23" s="7">
        <v>0</v>
      </c>
      <c r="T23" s="5">
        <f t="shared" si="7"/>
        <v>2439</v>
      </c>
      <c r="U23" s="6">
        <f t="shared" si="17"/>
        <v>20</v>
      </c>
      <c r="V23" s="6">
        <f t="shared" si="18"/>
        <v>10</v>
      </c>
      <c r="W23" s="6">
        <f t="shared" si="19"/>
        <v>0</v>
      </c>
      <c r="X23" s="5"/>
      <c r="Y23" s="4"/>
      <c r="Z23" s="4"/>
      <c r="AA23" s="4"/>
      <c r="AB23" s="18"/>
      <c r="AD23" s="22"/>
    </row>
    <row r="24" spans="1:30" ht="16.5" customHeight="1">
      <c r="A24" s="11">
        <v>10</v>
      </c>
      <c r="B24" s="14">
        <f t="shared" si="8"/>
        <v>45053</v>
      </c>
      <c r="C24" s="9">
        <f t="shared" si="9"/>
        <v>842</v>
      </c>
      <c r="D24" s="8">
        <f t="shared" si="10"/>
        <v>1605</v>
      </c>
      <c r="E24" s="7">
        <f t="shared" si="1"/>
        <v>427</v>
      </c>
      <c r="F24" s="7">
        <f t="shared" si="2"/>
        <v>437</v>
      </c>
      <c r="G24" s="7">
        <f t="shared" si="3"/>
        <v>447</v>
      </c>
      <c r="H24" s="4">
        <f t="shared" si="4"/>
        <v>2020</v>
      </c>
      <c r="I24" s="4">
        <f t="shared" si="5"/>
        <v>2010</v>
      </c>
      <c r="J24" s="4">
        <f t="shared" si="6"/>
        <v>2000</v>
      </c>
      <c r="K24" s="4">
        <f t="shared" si="11"/>
        <v>2000</v>
      </c>
      <c r="L24" s="4">
        <f t="shared" si="12"/>
        <v>2000</v>
      </c>
      <c r="M24" s="4">
        <f t="shared" si="13"/>
        <v>2000</v>
      </c>
      <c r="N24" s="4">
        <f t="shared" si="14"/>
        <v>20</v>
      </c>
      <c r="O24" s="4">
        <f t="shared" si="15"/>
        <v>10</v>
      </c>
      <c r="P24" s="4">
        <f t="shared" si="16"/>
        <v>0</v>
      </c>
      <c r="Q24" s="7">
        <v>0</v>
      </c>
      <c r="R24" s="7">
        <v>0</v>
      </c>
      <c r="S24" s="7">
        <v>0</v>
      </c>
      <c r="T24" s="5">
        <f t="shared" si="7"/>
        <v>2437</v>
      </c>
      <c r="U24" s="6">
        <f t="shared" si="17"/>
        <v>20</v>
      </c>
      <c r="V24" s="6">
        <f t="shared" si="18"/>
        <v>10</v>
      </c>
      <c r="W24" s="6">
        <f t="shared" si="19"/>
        <v>0</v>
      </c>
      <c r="X24" s="5"/>
      <c r="Y24" s="4"/>
      <c r="Z24" s="4"/>
      <c r="AA24" s="4"/>
      <c r="AB24" s="18"/>
      <c r="AD24" s="22"/>
    </row>
    <row r="25" spans="1:30" ht="16.5" customHeight="1">
      <c r="A25" s="11">
        <v>11</v>
      </c>
      <c r="B25" s="14">
        <f t="shared" si="8"/>
        <v>45054</v>
      </c>
      <c r="C25" s="9">
        <f t="shared" si="9"/>
        <v>842</v>
      </c>
      <c r="D25" s="8">
        <f t="shared" si="10"/>
        <v>1603</v>
      </c>
      <c r="E25" s="7">
        <f t="shared" si="1"/>
        <v>425</v>
      </c>
      <c r="F25" s="7">
        <f t="shared" si="2"/>
        <v>435</v>
      </c>
      <c r="G25" s="7">
        <f t="shared" si="3"/>
        <v>445</v>
      </c>
      <c r="H25" s="4">
        <f t="shared" si="4"/>
        <v>2020</v>
      </c>
      <c r="I25" s="4">
        <f t="shared" si="5"/>
        <v>2010</v>
      </c>
      <c r="J25" s="4">
        <f t="shared" si="6"/>
        <v>2000</v>
      </c>
      <c r="K25" s="4">
        <f t="shared" si="11"/>
        <v>2000</v>
      </c>
      <c r="L25" s="4">
        <f t="shared" si="12"/>
        <v>2000</v>
      </c>
      <c r="M25" s="4">
        <f t="shared" si="13"/>
        <v>2000</v>
      </c>
      <c r="N25" s="4">
        <f t="shared" si="14"/>
        <v>20</v>
      </c>
      <c r="O25" s="4">
        <f t="shared" si="15"/>
        <v>10</v>
      </c>
      <c r="P25" s="4">
        <f t="shared" si="16"/>
        <v>0</v>
      </c>
      <c r="Q25" s="7">
        <v>0</v>
      </c>
      <c r="R25" s="7">
        <v>0</v>
      </c>
      <c r="S25" s="7">
        <v>0</v>
      </c>
      <c r="T25" s="5">
        <f t="shared" si="7"/>
        <v>2435</v>
      </c>
      <c r="U25" s="6">
        <f t="shared" si="17"/>
        <v>20</v>
      </c>
      <c r="V25" s="6">
        <f t="shared" si="18"/>
        <v>10</v>
      </c>
      <c r="W25" s="6">
        <f t="shared" si="19"/>
        <v>0</v>
      </c>
      <c r="X25" s="5"/>
      <c r="Y25" s="4"/>
      <c r="Z25" s="4"/>
      <c r="AA25" s="4"/>
      <c r="AB25" s="18"/>
      <c r="AD25" s="22"/>
    </row>
    <row r="26" spans="1:30" ht="16.5" customHeight="1">
      <c r="A26" s="11">
        <v>12</v>
      </c>
      <c r="B26" s="14">
        <f t="shared" si="8"/>
        <v>45055</v>
      </c>
      <c r="C26" s="9">
        <f t="shared" si="9"/>
        <v>842</v>
      </c>
      <c r="D26" s="8">
        <f t="shared" si="10"/>
        <v>1601</v>
      </c>
      <c r="E26" s="7">
        <f t="shared" si="1"/>
        <v>423</v>
      </c>
      <c r="F26" s="7">
        <f t="shared" si="2"/>
        <v>433</v>
      </c>
      <c r="G26" s="7">
        <f t="shared" si="3"/>
        <v>443</v>
      </c>
      <c r="H26" s="4">
        <f t="shared" si="4"/>
        <v>2020</v>
      </c>
      <c r="I26" s="4">
        <f t="shared" si="5"/>
        <v>2010</v>
      </c>
      <c r="J26" s="4">
        <f t="shared" si="6"/>
        <v>2000</v>
      </c>
      <c r="K26" s="4">
        <f t="shared" si="11"/>
        <v>2000</v>
      </c>
      <c r="L26" s="4">
        <f t="shared" si="12"/>
        <v>2000</v>
      </c>
      <c r="M26" s="4">
        <f t="shared" si="13"/>
        <v>2000</v>
      </c>
      <c r="N26" s="4">
        <f t="shared" si="14"/>
        <v>20</v>
      </c>
      <c r="O26" s="4">
        <f t="shared" si="15"/>
        <v>10</v>
      </c>
      <c r="P26" s="4">
        <f t="shared" si="16"/>
        <v>0</v>
      </c>
      <c r="Q26" s="7">
        <v>0</v>
      </c>
      <c r="R26" s="7">
        <v>0</v>
      </c>
      <c r="S26" s="7">
        <v>0</v>
      </c>
      <c r="T26" s="5">
        <f t="shared" si="7"/>
        <v>2433</v>
      </c>
      <c r="U26" s="6">
        <f t="shared" si="17"/>
        <v>20</v>
      </c>
      <c r="V26" s="6">
        <f t="shared" si="18"/>
        <v>10</v>
      </c>
      <c r="W26" s="6">
        <f t="shared" si="19"/>
        <v>0</v>
      </c>
      <c r="X26" s="5"/>
      <c r="Y26" s="4"/>
      <c r="Z26" s="4"/>
      <c r="AA26" s="4"/>
      <c r="AB26" s="18"/>
      <c r="AD26" s="22"/>
    </row>
    <row r="27" spans="1:30" ht="16.5" customHeight="1">
      <c r="A27" s="11">
        <v>13</v>
      </c>
      <c r="B27" s="14">
        <f t="shared" si="8"/>
        <v>45056</v>
      </c>
      <c r="C27" s="9">
        <f t="shared" si="9"/>
        <v>842</v>
      </c>
      <c r="D27" s="8">
        <f t="shared" si="10"/>
        <v>1599</v>
      </c>
      <c r="E27" s="7">
        <f t="shared" si="1"/>
        <v>421</v>
      </c>
      <c r="F27" s="7">
        <f t="shared" si="2"/>
        <v>431</v>
      </c>
      <c r="G27" s="7">
        <f t="shared" si="3"/>
        <v>441</v>
      </c>
      <c r="H27" s="4">
        <f t="shared" si="4"/>
        <v>2020</v>
      </c>
      <c r="I27" s="4">
        <f t="shared" si="5"/>
        <v>2010</v>
      </c>
      <c r="J27" s="4">
        <f t="shared" si="6"/>
        <v>2000</v>
      </c>
      <c r="K27" s="4">
        <f t="shared" si="11"/>
        <v>2000</v>
      </c>
      <c r="L27" s="4">
        <f t="shared" si="12"/>
        <v>2000</v>
      </c>
      <c r="M27" s="4">
        <f t="shared" si="13"/>
        <v>2000</v>
      </c>
      <c r="N27" s="4">
        <f t="shared" si="14"/>
        <v>20</v>
      </c>
      <c r="O27" s="4">
        <f t="shared" si="15"/>
        <v>10</v>
      </c>
      <c r="P27" s="4">
        <f t="shared" si="16"/>
        <v>0</v>
      </c>
      <c r="Q27" s="7">
        <v>0</v>
      </c>
      <c r="R27" s="7">
        <v>0</v>
      </c>
      <c r="S27" s="7">
        <v>0</v>
      </c>
      <c r="T27" s="5">
        <f t="shared" si="7"/>
        <v>2431</v>
      </c>
      <c r="U27" s="6">
        <f t="shared" si="17"/>
        <v>20</v>
      </c>
      <c r="V27" s="6">
        <f t="shared" si="18"/>
        <v>10</v>
      </c>
      <c r="W27" s="6">
        <f t="shared" si="19"/>
        <v>0</v>
      </c>
      <c r="X27" s="5"/>
      <c r="Y27" s="4"/>
      <c r="Z27" s="4"/>
      <c r="AA27" s="4"/>
      <c r="AB27" s="18"/>
      <c r="AD27" s="22"/>
    </row>
    <row r="28" spans="1:30" ht="16.5" customHeight="1">
      <c r="A28" s="11">
        <v>14</v>
      </c>
      <c r="B28" s="14">
        <f t="shared" si="8"/>
        <v>45057</v>
      </c>
      <c r="C28" s="9">
        <f t="shared" si="9"/>
        <v>842</v>
      </c>
      <c r="D28" s="8">
        <f t="shared" si="10"/>
        <v>1597</v>
      </c>
      <c r="E28" s="7">
        <f t="shared" si="1"/>
        <v>419</v>
      </c>
      <c r="F28" s="7">
        <f t="shared" si="2"/>
        <v>429</v>
      </c>
      <c r="G28" s="7">
        <f t="shared" si="3"/>
        <v>439</v>
      </c>
      <c r="H28" s="4">
        <f t="shared" si="4"/>
        <v>2020</v>
      </c>
      <c r="I28" s="4">
        <f t="shared" si="5"/>
        <v>2010</v>
      </c>
      <c r="J28" s="4">
        <f t="shared" si="6"/>
        <v>2000</v>
      </c>
      <c r="K28" s="4">
        <f t="shared" si="11"/>
        <v>2000</v>
      </c>
      <c r="L28" s="4">
        <f t="shared" si="12"/>
        <v>2000</v>
      </c>
      <c r="M28" s="4">
        <f t="shared" si="13"/>
        <v>2000</v>
      </c>
      <c r="N28" s="4">
        <f t="shared" si="14"/>
        <v>20</v>
      </c>
      <c r="O28" s="4">
        <f t="shared" si="15"/>
        <v>10</v>
      </c>
      <c r="P28" s="4">
        <f t="shared" si="16"/>
        <v>0</v>
      </c>
      <c r="Q28" s="7">
        <v>0</v>
      </c>
      <c r="R28" s="7">
        <v>0</v>
      </c>
      <c r="S28" s="7">
        <v>0</v>
      </c>
      <c r="T28" s="5">
        <f t="shared" si="7"/>
        <v>2429</v>
      </c>
      <c r="U28" s="6">
        <f t="shared" si="17"/>
        <v>20</v>
      </c>
      <c r="V28" s="6">
        <f t="shared" si="18"/>
        <v>10</v>
      </c>
      <c r="W28" s="6">
        <f t="shared" si="19"/>
        <v>0</v>
      </c>
      <c r="X28" s="5"/>
      <c r="Y28" s="4"/>
      <c r="Z28" s="4"/>
      <c r="AA28" s="4"/>
      <c r="AB28" s="18"/>
      <c r="AD28" s="22"/>
    </row>
    <row r="29" spans="1:30" ht="16.5" customHeight="1">
      <c r="A29" s="11">
        <v>15</v>
      </c>
      <c r="B29" s="14">
        <f t="shared" si="8"/>
        <v>45058</v>
      </c>
      <c r="C29" s="9">
        <f t="shared" si="9"/>
        <v>842</v>
      </c>
      <c r="D29" s="8">
        <f t="shared" si="10"/>
        <v>1595</v>
      </c>
      <c r="E29" s="7">
        <f t="shared" si="1"/>
        <v>417</v>
      </c>
      <c r="F29" s="7">
        <f t="shared" si="2"/>
        <v>427</v>
      </c>
      <c r="G29" s="7">
        <f t="shared" si="3"/>
        <v>437</v>
      </c>
      <c r="H29" s="4">
        <f t="shared" si="4"/>
        <v>2020</v>
      </c>
      <c r="I29" s="4">
        <f t="shared" si="5"/>
        <v>2010</v>
      </c>
      <c r="J29" s="4">
        <f t="shared" si="6"/>
        <v>2000</v>
      </c>
      <c r="K29" s="4">
        <f t="shared" si="11"/>
        <v>2000</v>
      </c>
      <c r="L29" s="4">
        <f t="shared" si="12"/>
        <v>2000</v>
      </c>
      <c r="M29" s="4">
        <f t="shared" si="13"/>
        <v>2000</v>
      </c>
      <c r="N29" s="4">
        <f t="shared" si="14"/>
        <v>20</v>
      </c>
      <c r="O29" s="4">
        <f t="shared" si="15"/>
        <v>10</v>
      </c>
      <c r="P29" s="4">
        <f t="shared" si="16"/>
        <v>0</v>
      </c>
      <c r="Q29" s="7">
        <v>0</v>
      </c>
      <c r="R29" s="7">
        <v>0</v>
      </c>
      <c r="S29" s="7">
        <v>0</v>
      </c>
      <c r="T29" s="5">
        <f t="shared" si="7"/>
        <v>2427</v>
      </c>
      <c r="U29" s="6">
        <f t="shared" si="17"/>
        <v>20</v>
      </c>
      <c r="V29" s="6">
        <f t="shared" si="18"/>
        <v>10</v>
      </c>
      <c r="W29" s="6">
        <f t="shared" si="19"/>
        <v>0</v>
      </c>
      <c r="X29" s="5"/>
      <c r="Y29" s="4"/>
      <c r="Z29" s="4"/>
      <c r="AA29" s="4"/>
      <c r="AB29" s="18"/>
    </row>
    <row r="30" spans="1:30" ht="16.5" customHeight="1">
      <c r="A30" s="11">
        <v>16</v>
      </c>
      <c r="B30" s="14">
        <f t="shared" si="8"/>
        <v>45059</v>
      </c>
      <c r="C30" s="9">
        <f t="shared" si="9"/>
        <v>842</v>
      </c>
      <c r="D30" s="8">
        <f t="shared" si="10"/>
        <v>1593</v>
      </c>
      <c r="E30" s="7">
        <f t="shared" si="1"/>
        <v>415</v>
      </c>
      <c r="F30" s="7">
        <f t="shared" si="2"/>
        <v>425</v>
      </c>
      <c r="G30" s="7">
        <f t="shared" si="3"/>
        <v>435</v>
      </c>
      <c r="H30" s="4">
        <f t="shared" si="4"/>
        <v>2020</v>
      </c>
      <c r="I30" s="4">
        <f t="shared" si="5"/>
        <v>2010</v>
      </c>
      <c r="J30" s="4">
        <f t="shared" si="6"/>
        <v>2000</v>
      </c>
      <c r="K30" s="4">
        <f t="shared" si="11"/>
        <v>2000</v>
      </c>
      <c r="L30" s="4">
        <f t="shared" si="12"/>
        <v>2000</v>
      </c>
      <c r="M30" s="4">
        <f t="shared" si="13"/>
        <v>2000</v>
      </c>
      <c r="N30" s="4">
        <f t="shared" si="14"/>
        <v>20</v>
      </c>
      <c r="O30" s="4">
        <f t="shared" si="15"/>
        <v>10</v>
      </c>
      <c r="P30" s="4">
        <f t="shared" si="16"/>
        <v>0</v>
      </c>
      <c r="Q30" s="7">
        <v>0</v>
      </c>
      <c r="R30" s="7">
        <v>0</v>
      </c>
      <c r="S30" s="7">
        <v>0</v>
      </c>
      <c r="T30" s="5">
        <f t="shared" si="7"/>
        <v>2425</v>
      </c>
      <c r="U30" s="6">
        <f t="shared" si="17"/>
        <v>20</v>
      </c>
      <c r="V30" s="6">
        <f t="shared" si="18"/>
        <v>10</v>
      </c>
      <c r="W30" s="6">
        <f t="shared" si="19"/>
        <v>0</v>
      </c>
      <c r="X30" s="5"/>
      <c r="Y30" s="4"/>
      <c r="Z30" s="4"/>
      <c r="AA30" s="4"/>
      <c r="AB30" s="18"/>
    </row>
    <row r="31" spans="1:30" ht="16.5" customHeight="1">
      <c r="A31" s="11">
        <v>17</v>
      </c>
      <c r="B31" s="14">
        <f t="shared" si="8"/>
        <v>45060</v>
      </c>
      <c r="C31" s="9">
        <f t="shared" si="9"/>
        <v>842</v>
      </c>
      <c r="D31" s="8">
        <f t="shared" si="10"/>
        <v>1591</v>
      </c>
      <c r="E31" s="7">
        <f t="shared" si="1"/>
        <v>413</v>
      </c>
      <c r="F31" s="7">
        <f t="shared" si="2"/>
        <v>423</v>
      </c>
      <c r="G31" s="7">
        <f t="shared" si="3"/>
        <v>433</v>
      </c>
      <c r="H31" s="4">
        <f t="shared" si="4"/>
        <v>2020</v>
      </c>
      <c r="I31" s="4">
        <f t="shared" si="5"/>
        <v>2010</v>
      </c>
      <c r="J31" s="4">
        <f t="shared" si="6"/>
        <v>2000</v>
      </c>
      <c r="K31" s="4">
        <f t="shared" si="11"/>
        <v>2000</v>
      </c>
      <c r="L31" s="4">
        <f t="shared" si="12"/>
        <v>2000</v>
      </c>
      <c r="M31" s="4">
        <f t="shared" si="13"/>
        <v>2000</v>
      </c>
      <c r="N31" s="4">
        <f t="shared" si="14"/>
        <v>20</v>
      </c>
      <c r="O31" s="4">
        <f t="shared" si="15"/>
        <v>10</v>
      </c>
      <c r="P31" s="4">
        <f t="shared" si="16"/>
        <v>0</v>
      </c>
      <c r="Q31" s="7">
        <v>0</v>
      </c>
      <c r="R31" s="7">
        <v>0</v>
      </c>
      <c r="S31" s="7">
        <v>0</v>
      </c>
      <c r="T31" s="5">
        <f t="shared" si="7"/>
        <v>2423</v>
      </c>
      <c r="U31" s="6">
        <f t="shared" si="17"/>
        <v>20</v>
      </c>
      <c r="V31" s="6">
        <f t="shared" si="18"/>
        <v>10</v>
      </c>
      <c r="W31" s="6">
        <f t="shared" si="19"/>
        <v>0</v>
      </c>
      <c r="X31" s="5"/>
      <c r="Y31" s="4"/>
      <c r="Z31" s="4"/>
      <c r="AA31" s="4"/>
      <c r="AB31" s="18"/>
    </row>
    <row r="32" spans="1:30" ht="16.5" customHeight="1">
      <c r="A32" s="11">
        <v>18</v>
      </c>
      <c r="B32" s="14">
        <f t="shared" si="8"/>
        <v>45061</v>
      </c>
      <c r="C32" s="9">
        <f t="shared" si="9"/>
        <v>842</v>
      </c>
      <c r="D32" s="8">
        <f t="shared" si="10"/>
        <v>1589</v>
      </c>
      <c r="E32" s="7">
        <f t="shared" si="1"/>
        <v>411</v>
      </c>
      <c r="F32" s="7">
        <f t="shared" si="2"/>
        <v>421</v>
      </c>
      <c r="G32" s="7">
        <f t="shared" si="3"/>
        <v>431</v>
      </c>
      <c r="H32" s="4">
        <f t="shared" si="4"/>
        <v>2020</v>
      </c>
      <c r="I32" s="4">
        <f t="shared" si="5"/>
        <v>2010</v>
      </c>
      <c r="J32" s="4">
        <f t="shared" si="6"/>
        <v>2000</v>
      </c>
      <c r="K32" s="4">
        <f t="shared" si="11"/>
        <v>2000</v>
      </c>
      <c r="L32" s="4">
        <f t="shared" si="12"/>
        <v>2000</v>
      </c>
      <c r="M32" s="4">
        <f t="shared" si="13"/>
        <v>2000</v>
      </c>
      <c r="N32" s="4">
        <f t="shared" si="14"/>
        <v>20</v>
      </c>
      <c r="O32" s="4">
        <f t="shared" si="15"/>
        <v>10</v>
      </c>
      <c r="P32" s="4">
        <f t="shared" si="16"/>
        <v>0</v>
      </c>
      <c r="Q32" s="7">
        <v>0</v>
      </c>
      <c r="R32" s="7">
        <v>0</v>
      </c>
      <c r="S32" s="7">
        <v>0</v>
      </c>
      <c r="T32" s="5">
        <f t="shared" si="7"/>
        <v>2421</v>
      </c>
      <c r="U32" s="6">
        <f t="shared" si="17"/>
        <v>20</v>
      </c>
      <c r="V32" s="6">
        <f t="shared" si="18"/>
        <v>10</v>
      </c>
      <c r="W32" s="6">
        <f t="shared" si="19"/>
        <v>0</v>
      </c>
      <c r="X32" s="5"/>
      <c r="Y32" s="4"/>
      <c r="Z32" s="4"/>
      <c r="AA32" s="4"/>
      <c r="AB32" s="18"/>
    </row>
    <row r="33" spans="1:28" ht="16.5" customHeight="1">
      <c r="A33" s="11">
        <v>19</v>
      </c>
      <c r="B33" s="14">
        <f t="shared" si="8"/>
        <v>45062</v>
      </c>
      <c r="C33" s="9">
        <f t="shared" si="9"/>
        <v>842</v>
      </c>
      <c r="D33" s="8">
        <f t="shared" si="10"/>
        <v>1587</v>
      </c>
      <c r="E33" s="7">
        <f t="shared" si="1"/>
        <v>409</v>
      </c>
      <c r="F33" s="7">
        <f t="shared" si="2"/>
        <v>419</v>
      </c>
      <c r="G33" s="7">
        <f t="shared" si="3"/>
        <v>429</v>
      </c>
      <c r="H33" s="4">
        <f t="shared" si="4"/>
        <v>2020</v>
      </c>
      <c r="I33" s="4">
        <f t="shared" si="5"/>
        <v>2010</v>
      </c>
      <c r="J33" s="4">
        <f t="shared" si="6"/>
        <v>2000</v>
      </c>
      <c r="K33" s="4">
        <f t="shared" si="11"/>
        <v>2000</v>
      </c>
      <c r="L33" s="4">
        <f t="shared" si="12"/>
        <v>2000</v>
      </c>
      <c r="M33" s="4">
        <f t="shared" si="13"/>
        <v>2000</v>
      </c>
      <c r="N33" s="4">
        <f t="shared" si="14"/>
        <v>20</v>
      </c>
      <c r="O33" s="4">
        <f t="shared" si="15"/>
        <v>10</v>
      </c>
      <c r="P33" s="4">
        <f t="shared" si="16"/>
        <v>0</v>
      </c>
      <c r="Q33" s="7">
        <v>0</v>
      </c>
      <c r="R33" s="7">
        <v>0</v>
      </c>
      <c r="S33" s="7">
        <v>0</v>
      </c>
      <c r="T33" s="5">
        <f t="shared" si="7"/>
        <v>2419</v>
      </c>
      <c r="U33" s="6">
        <f t="shared" si="17"/>
        <v>20</v>
      </c>
      <c r="V33" s="6">
        <f t="shared" si="18"/>
        <v>10</v>
      </c>
      <c r="W33" s="6">
        <f t="shared" si="19"/>
        <v>0</v>
      </c>
      <c r="X33" s="5"/>
      <c r="Y33" s="4"/>
      <c r="Z33" s="4"/>
      <c r="AA33" s="4"/>
      <c r="AB33" s="18"/>
    </row>
    <row r="34" spans="1:28" ht="16.5" customHeight="1">
      <c r="A34" s="11">
        <v>20</v>
      </c>
      <c r="B34" s="14">
        <f t="shared" si="8"/>
        <v>45063</v>
      </c>
      <c r="C34" s="9">
        <f t="shared" si="9"/>
        <v>842</v>
      </c>
      <c r="D34" s="8">
        <f t="shared" si="10"/>
        <v>1585</v>
      </c>
      <c r="E34" s="7">
        <f t="shared" si="1"/>
        <v>407</v>
      </c>
      <c r="F34" s="7">
        <f t="shared" si="2"/>
        <v>417</v>
      </c>
      <c r="G34" s="7">
        <f t="shared" si="3"/>
        <v>427</v>
      </c>
      <c r="H34" s="4">
        <f t="shared" si="4"/>
        <v>2020</v>
      </c>
      <c r="I34" s="4">
        <f t="shared" si="5"/>
        <v>2010</v>
      </c>
      <c r="J34" s="4">
        <f t="shared" si="6"/>
        <v>2000</v>
      </c>
      <c r="K34" s="4">
        <f t="shared" si="11"/>
        <v>2000</v>
      </c>
      <c r="L34" s="4">
        <f t="shared" si="12"/>
        <v>2000</v>
      </c>
      <c r="M34" s="4">
        <f t="shared" si="13"/>
        <v>2000</v>
      </c>
      <c r="N34" s="4">
        <f t="shared" si="14"/>
        <v>20</v>
      </c>
      <c r="O34" s="4">
        <f t="shared" si="15"/>
        <v>10</v>
      </c>
      <c r="P34" s="4">
        <f t="shared" si="16"/>
        <v>0</v>
      </c>
      <c r="Q34" s="7">
        <v>0</v>
      </c>
      <c r="R34" s="7">
        <v>0</v>
      </c>
      <c r="S34" s="7">
        <v>0</v>
      </c>
      <c r="T34" s="5">
        <f t="shared" si="7"/>
        <v>2417</v>
      </c>
      <c r="U34" s="6">
        <f t="shared" si="17"/>
        <v>20</v>
      </c>
      <c r="V34" s="6">
        <f t="shared" si="18"/>
        <v>10</v>
      </c>
      <c r="W34" s="6">
        <f t="shared" si="19"/>
        <v>0</v>
      </c>
      <c r="X34" s="5"/>
      <c r="Y34" s="4"/>
      <c r="Z34" s="4"/>
      <c r="AA34" s="4"/>
      <c r="AB34" s="18"/>
    </row>
    <row r="35" spans="1:28" ht="16.5" customHeight="1">
      <c r="A35" s="11">
        <v>21</v>
      </c>
      <c r="B35" s="14">
        <f t="shared" si="8"/>
        <v>45064</v>
      </c>
      <c r="C35" s="9">
        <f t="shared" si="9"/>
        <v>842</v>
      </c>
      <c r="D35" s="8">
        <f t="shared" si="10"/>
        <v>1583</v>
      </c>
      <c r="E35" s="7">
        <f t="shared" si="1"/>
        <v>405</v>
      </c>
      <c r="F35" s="7">
        <f t="shared" si="2"/>
        <v>415</v>
      </c>
      <c r="G35" s="7">
        <f t="shared" si="3"/>
        <v>425</v>
      </c>
      <c r="H35" s="4">
        <f t="shared" si="4"/>
        <v>2020</v>
      </c>
      <c r="I35" s="4">
        <f t="shared" si="5"/>
        <v>2010</v>
      </c>
      <c r="J35" s="4">
        <f t="shared" si="6"/>
        <v>2000</v>
      </c>
      <c r="K35" s="4">
        <f t="shared" si="11"/>
        <v>2000</v>
      </c>
      <c r="L35" s="4">
        <f t="shared" si="12"/>
        <v>2000</v>
      </c>
      <c r="M35" s="4">
        <f t="shared" si="13"/>
        <v>2000</v>
      </c>
      <c r="N35" s="4">
        <f t="shared" si="14"/>
        <v>20</v>
      </c>
      <c r="O35" s="4">
        <f t="shared" si="15"/>
        <v>10</v>
      </c>
      <c r="P35" s="4">
        <f t="shared" si="16"/>
        <v>0</v>
      </c>
      <c r="Q35" s="7">
        <v>0</v>
      </c>
      <c r="R35" s="7">
        <v>0</v>
      </c>
      <c r="S35" s="7">
        <v>0</v>
      </c>
      <c r="T35" s="5">
        <f t="shared" si="7"/>
        <v>2415</v>
      </c>
      <c r="U35" s="6">
        <f t="shared" si="17"/>
        <v>20</v>
      </c>
      <c r="V35" s="6">
        <f t="shared" si="18"/>
        <v>10</v>
      </c>
      <c r="W35" s="6">
        <f t="shared" si="19"/>
        <v>0</v>
      </c>
      <c r="X35" s="5"/>
      <c r="Y35" s="4"/>
      <c r="Z35" s="4"/>
      <c r="AA35" s="4"/>
      <c r="AB35" s="18"/>
    </row>
    <row r="36" spans="1:28" ht="16.5" customHeight="1">
      <c r="A36" s="11">
        <v>22</v>
      </c>
      <c r="B36" s="14">
        <f t="shared" si="8"/>
        <v>45065</v>
      </c>
      <c r="C36" s="9">
        <f t="shared" si="9"/>
        <v>842</v>
      </c>
      <c r="D36" s="8">
        <f t="shared" si="10"/>
        <v>1581</v>
      </c>
      <c r="E36" s="7">
        <f t="shared" si="1"/>
        <v>403</v>
      </c>
      <c r="F36" s="7">
        <f t="shared" si="2"/>
        <v>413</v>
      </c>
      <c r="G36" s="7">
        <f t="shared" si="3"/>
        <v>423</v>
      </c>
      <c r="H36" s="4">
        <f t="shared" si="4"/>
        <v>2020</v>
      </c>
      <c r="I36" s="4">
        <f t="shared" si="5"/>
        <v>2010</v>
      </c>
      <c r="J36" s="4">
        <f t="shared" si="6"/>
        <v>2000</v>
      </c>
      <c r="K36" s="4">
        <f t="shared" si="11"/>
        <v>2000</v>
      </c>
      <c r="L36" s="4">
        <f t="shared" si="12"/>
        <v>2000</v>
      </c>
      <c r="M36" s="4">
        <f t="shared" si="13"/>
        <v>2000</v>
      </c>
      <c r="N36" s="4">
        <f t="shared" si="14"/>
        <v>20</v>
      </c>
      <c r="O36" s="4">
        <f t="shared" si="15"/>
        <v>10</v>
      </c>
      <c r="P36" s="4">
        <f t="shared" si="16"/>
        <v>0</v>
      </c>
      <c r="Q36" s="7">
        <v>0</v>
      </c>
      <c r="R36" s="7">
        <v>0</v>
      </c>
      <c r="S36" s="7">
        <v>0</v>
      </c>
      <c r="T36" s="5">
        <f t="shared" si="7"/>
        <v>2413</v>
      </c>
      <c r="U36" s="6">
        <f t="shared" si="17"/>
        <v>20</v>
      </c>
      <c r="V36" s="6">
        <f t="shared" si="18"/>
        <v>10</v>
      </c>
      <c r="W36" s="6">
        <f t="shared" si="19"/>
        <v>0</v>
      </c>
      <c r="X36" s="5"/>
      <c r="Y36" s="4"/>
      <c r="Z36" s="4"/>
      <c r="AA36" s="4"/>
      <c r="AB36" s="18"/>
    </row>
    <row r="37" spans="1:28" ht="16.5" customHeight="1">
      <c r="A37" s="11">
        <v>23</v>
      </c>
      <c r="B37" s="14">
        <f t="shared" si="8"/>
        <v>45066</v>
      </c>
      <c r="C37" s="9">
        <f t="shared" si="9"/>
        <v>842</v>
      </c>
      <c r="D37" s="8">
        <f t="shared" si="10"/>
        <v>1579</v>
      </c>
      <c r="E37" s="7">
        <f t="shared" si="1"/>
        <v>401</v>
      </c>
      <c r="F37" s="7">
        <f t="shared" si="2"/>
        <v>411</v>
      </c>
      <c r="G37" s="7">
        <f t="shared" si="3"/>
        <v>421</v>
      </c>
      <c r="H37" s="4">
        <f t="shared" si="4"/>
        <v>2020</v>
      </c>
      <c r="I37" s="4">
        <f t="shared" si="5"/>
        <v>2010</v>
      </c>
      <c r="J37" s="4">
        <f t="shared" si="6"/>
        <v>2000</v>
      </c>
      <c r="K37" s="4">
        <f t="shared" si="11"/>
        <v>2000</v>
      </c>
      <c r="L37" s="4">
        <f t="shared" si="12"/>
        <v>2000</v>
      </c>
      <c r="M37" s="4">
        <f t="shared" si="13"/>
        <v>2000</v>
      </c>
      <c r="N37" s="4">
        <f t="shared" si="14"/>
        <v>20</v>
      </c>
      <c r="O37" s="4">
        <f t="shared" si="15"/>
        <v>10</v>
      </c>
      <c r="P37" s="4">
        <f t="shared" si="16"/>
        <v>0</v>
      </c>
      <c r="Q37" s="7">
        <v>0</v>
      </c>
      <c r="R37" s="7">
        <v>0</v>
      </c>
      <c r="S37" s="7">
        <v>0</v>
      </c>
      <c r="T37" s="5">
        <f t="shared" si="7"/>
        <v>2411</v>
      </c>
      <c r="U37" s="6">
        <f t="shared" si="17"/>
        <v>20</v>
      </c>
      <c r="V37" s="6">
        <f t="shared" si="18"/>
        <v>10</v>
      </c>
      <c r="W37" s="6">
        <f t="shared" si="19"/>
        <v>0</v>
      </c>
      <c r="X37" s="5"/>
      <c r="Y37" s="4"/>
      <c r="Z37" s="4"/>
      <c r="AA37" s="4"/>
      <c r="AB37" s="18"/>
    </row>
    <row r="38" spans="1:28" ht="16.5" customHeight="1">
      <c r="A38" s="11">
        <v>24</v>
      </c>
      <c r="B38" s="14">
        <f t="shared" si="8"/>
        <v>45067</v>
      </c>
      <c r="C38" s="9">
        <f t="shared" si="9"/>
        <v>842</v>
      </c>
      <c r="D38" s="8">
        <f t="shared" si="10"/>
        <v>1577</v>
      </c>
      <c r="E38" s="7">
        <f t="shared" si="1"/>
        <v>399</v>
      </c>
      <c r="F38" s="7">
        <f t="shared" si="2"/>
        <v>409</v>
      </c>
      <c r="G38" s="7">
        <f t="shared" si="3"/>
        <v>419</v>
      </c>
      <c r="H38" s="4">
        <f t="shared" si="4"/>
        <v>2020</v>
      </c>
      <c r="I38" s="4">
        <f t="shared" si="5"/>
        <v>2010</v>
      </c>
      <c r="J38" s="4">
        <f t="shared" si="6"/>
        <v>2000</v>
      </c>
      <c r="K38" s="4">
        <f t="shared" si="11"/>
        <v>2000</v>
      </c>
      <c r="L38" s="4">
        <f t="shared" si="12"/>
        <v>2000</v>
      </c>
      <c r="M38" s="4">
        <f t="shared" si="13"/>
        <v>2000</v>
      </c>
      <c r="N38" s="4">
        <f t="shared" si="14"/>
        <v>20</v>
      </c>
      <c r="O38" s="4">
        <f t="shared" si="15"/>
        <v>10</v>
      </c>
      <c r="P38" s="4">
        <f t="shared" si="16"/>
        <v>0</v>
      </c>
      <c r="Q38" s="21">
        <v>0</v>
      </c>
      <c r="R38" s="21">
        <v>0</v>
      </c>
      <c r="S38" s="21">
        <v>0</v>
      </c>
      <c r="T38" s="5">
        <f t="shared" si="7"/>
        <v>2409</v>
      </c>
      <c r="U38" s="6">
        <f t="shared" si="17"/>
        <v>20</v>
      </c>
      <c r="V38" s="6">
        <f t="shared" si="18"/>
        <v>10</v>
      </c>
      <c r="W38" s="6">
        <f t="shared" si="19"/>
        <v>0</v>
      </c>
      <c r="X38" s="5"/>
      <c r="Y38" s="4"/>
      <c r="Z38" s="4"/>
      <c r="AA38" s="4"/>
      <c r="AB38" s="18"/>
    </row>
    <row r="39" spans="1:28" ht="16.5" customHeight="1">
      <c r="A39" s="11">
        <v>25</v>
      </c>
      <c r="B39" s="14">
        <f t="shared" si="8"/>
        <v>45068</v>
      </c>
      <c r="C39" s="9">
        <f t="shared" si="9"/>
        <v>842</v>
      </c>
      <c r="D39" s="8">
        <f t="shared" si="10"/>
        <v>1575</v>
      </c>
      <c r="E39" s="7">
        <f t="shared" si="1"/>
        <v>405</v>
      </c>
      <c r="F39" s="7">
        <f t="shared" si="2"/>
        <v>415</v>
      </c>
      <c r="G39" s="7">
        <f t="shared" si="3"/>
        <v>425</v>
      </c>
      <c r="H39" s="4">
        <f t="shared" si="4"/>
        <v>2012</v>
      </c>
      <c r="I39" s="4">
        <f t="shared" si="5"/>
        <v>2002</v>
      </c>
      <c r="J39" s="4">
        <f t="shared" si="6"/>
        <v>1992</v>
      </c>
      <c r="K39" s="4">
        <f t="shared" si="11"/>
        <v>2000</v>
      </c>
      <c r="L39" s="4">
        <f t="shared" si="12"/>
        <v>2000</v>
      </c>
      <c r="M39" s="4">
        <f t="shared" si="13"/>
        <v>2000</v>
      </c>
      <c r="N39" s="4">
        <f t="shared" si="14"/>
        <v>12</v>
      </c>
      <c r="O39" s="4">
        <f t="shared" si="15"/>
        <v>2</v>
      </c>
      <c r="P39" s="4">
        <f t="shared" si="16"/>
        <v>-8</v>
      </c>
      <c r="Q39" s="7">
        <v>8</v>
      </c>
      <c r="R39" s="7">
        <v>8</v>
      </c>
      <c r="S39" s="7">
        <v>8</v>
      </c>
      <c r="T39" s="5">
        <f t="shared" si="7"/>
        <v>2225</v>
      </c>
      <c r="U39" s="6">
        <f>U38+0.18*1000-Q39</f>
        <v>192</v>
      </c>
      <c r="V39" s="6">
        <f>V38+0.19*1000-R39</f>
        <v>192</v>
      </c>
      <c r="W39" s="6">
        <f t="shared" ref="W39:W102" si="20">W38+$X39*1000-S39</f>
        <v>192</v>
      </c>
      <c r="X39" s="5">
        <v>0.2</v>
      </c>
      <c r="Y39" s="20"/>
      <c r="Z39" s="20"/>
      <c r="AA39" s="20"/>
      <c r="AB39" s="18">
        <v>8</v>
      </c>
    </row>
    <row r="40" spans="1:28" ht="16.5" customHeight="1">
      <c r="A40" s="11">
        <v>26</v>
      </c>
      <c r="B40" s="14">
        <f t="shared" si="8"/>
        <v>45069</v>
      </c>
      <c r="C40" s="9">
        <f t="shared" si="9"/>
        <v>842</v>
      </c>
      <c r="D40" s="8">
        <f t="shared" si="10"/>
        <v>1573</v>
      </c>
      <c r="E40" s="7">
        <f t="shared" si="1"/>
        <v>407</v>
      </c>
      <c r="F40" s="7">
        <f t="shared" si="2"/>
        <v>419</v>
      </c>
      <c r="G40" s="7">
        <f t="shared" si="3"/>
        <v>427</v>
      </c>
      <c r="H40" s="4">
        <f t="shared" si="4"/>
        <v>2008</v>
      </c>
      <c r="I40" s="4">
        <f t="shared" si="5"/>
        <v>1996</v>
      </c>
      <c r="J40" s="4">
        <f t="shared" si="6"/>
        <v>1988</v>
      </c>
      <c r="K40" s="4">
        <f t="shared" si="11"/>
        <v>2000</v>
      </c>
      <c r="L40" s="4">
        <f t="shared" si="12"/>
        <v>2000</v>
      </c>
      <c r="M40" s="4">
        <f t="shared" si="13"/>
        <v>2000</v>
      </c>
      <c r="N40" s="4">
        <f t="shared" si="14"/>
        <v>8</v>
      </c>
      <c r="O40" s="4">
        <f t="shared" si="15"/>
        <v>-4</v>
      </c>
      <c r="P40" s="4">
        <f t="shared" si="16"/>
        <v>-12</v>
      </c>
      <c r="Q40" s="7">
        <v>4</v>
      </c>
      <c r="R40" s="7">
        <v>6</v>
      </c>
      <c r="S40" s="7">
        <v>4</v>
      </c>
      <c r="T40" s="5">
        <f t="shared" si="7"/>
        <v>2229</v>
      </c>
      <c r="U40" s="6">
        <f t="shared" ref="U40:U103" si="21">U39+$X40*1000-Q40</f>
        <v>188</v>
      </c>
      <c r="V40" s="6">
        <f t="shared" ref="V40:V103" si="22">V39+$X40*1000-R40</f>
        <v>186</v>
      </c>
      <c r="W40" s="6">
        <f t="shared" si="20"/>
        <v>188</v>
      </c>
      <c r="X40" s="5"/>
      <c r="Y40" s="4"/>
      <c r="Z40" s="4"/>
      <c r="AA40" s="4"/>
      <c r="AB40" s="18"/>
    </row>
    <row r="41" spans="1:28" ht="16.5" customHeight="1">
      <c r="A41" s="11">
        <v>27</v>
      </c>
      <c r="B41" s="14">
        <f t="shared" si="8"/>
        <v>45070</v>
      </c>
      <c r="C41" s="9">
        <f t="shared" si="9"/>
        <v>842</v>
      </c>
      <c r="D41" s="8">
        <f t="shared" si="10"/>
        <v>1571</v>
      </c>
      <c r="E41" s="7">
        <f t="shared" si="1"/>
        <v>409</v>
      </c>
      <c r="F41" s="7">
        <f t="shared" si="2"/>
        <v>423</v>
      </c>
      <c r="G41" s="7">
        <f t="shared" si="3"/>
        <v>429</v>
      </c>
      <c r="H41" s="4">
        <f t="shared" si="4"/>
        <v>2004</v>
      </c>
      <c r="I41" s="4">
        <f t="shared" si="5"/>
        <v>1990</v>
      </c>
      <c r="J41" s="4">
        <f t="shared" si="6"/>
        <v>1984</v>
      </c>
      <c r="K41" s="4">
        <f t="shared" si="11"/>
        <v>2000</v>
      </c>
      <c r="L41" s="4">
        <f t="shared" si="12"/>
        <v>2000</v>
      </c>
      <c r="M41" s="4">
        <f t="shared" si="13"/>
        <v>2000</v>
      </c>
      <c r="N41" s="4">
        <f t="shared" si="14"/>
        <v>4</v>
      </c>
      <c r="O41" s="4">
        <f t="shared" si="15"/>
        <v>-10</v>
      </c>
      <c r="P41" s="4">
        <f t="shared" si="16"/>
        <v>-16</v>
      </c>
      <c r="Q41" s="7">
        <v>4</v>
      </c>
      <c r="R41" s="7">
        <v>6</v>
      </c>
      <c r="S41" s="7">
        <v>4</v>
      </c>
      <c r="T41" s="5">
        <f t="shared" si="7"/>
        <v>2233</v>
      </c>
      <c r="U41" s="6">
        <f t="shared" si="21"/>
        <v>184</v>
      </c>
      <c r="V41" s="6">
        <f t="shared" si="22"/>
        <v>180</v>
      </c>
      <c r="W41" s="6">
        <f t="shared" si="20"/>
        <v>184</v>
      </c>
      <c r="X41" s="5"/>
      <c r="Y41" s="4"/>
      <c r="Z41" s="4"/>
      <c r="AA41" s="4"/>
      <c r="AB41" s="18"/>
    </row>
    <row r="42" spans="1:28" ht="16.5" customHeight="1">
      <c r="A42" s="11">
        <v>28</v>
      </c>
      <c r="B42" s="14">
        <f t="shared" si="8"/>
        <v>45071</v>
      </c>
      <c r="C42" s="9">
        <f t="shared" si="9"/>
        <v>842</v>
      </c>
      <c r="D42" s="8">
        <f t="shared" si="10"/>
        <v>1569</v>
      </c>
      <c r="E42" s="7">
        <f t="shared" si="1"/>
        <v>411</v>
      </c>
      <c r="F42" s="7">
        <f t="shared" si="2"/>
        <v>426</v>
      </c>
      <c r="G42" s="7">
        <f t="shared" si="3"/>
        <v>431</v>
      </c>
      <c r="H42" s="4">
        <f t="shared" si="4"/>
        <v>2000</v>
      </c>
      <c r="I42" s="4">
        <f t="shared" si="5"/>
        <v>1985</v>
      </c>
      <c r="J42" s="4">
        <f t="shared" si="6"/>
        <v>1980</v>
      </c>
      <c r="K42" s="4">
        <f t="shared" si="11"/>
        <v>2000</v>
      </c>
      <c r="L42" s="4">
        <f t="shared" si="12"/>
        <v>2000</v>
      </c>
      <c r="M42" s="4">
        <f t="shared" si="13"/>
        <v>2000</v>
      </c>
      <c r="N42" s="4">
        <f t="shared" si="14"/>
        <v>0</v>
      </c>
      <c r="O42" s="4">
        <f t="shared" si="15"/>
        <v>-15</v>
      </c>
      <c r="P42" s="4">
        <f t="shared" si="16"/>
        <v>-20</v>
      </c>
      <c r="Q42" s="7">
        <v>4</v>
      </c>
      <c r="R42" s="7">
        <v>5</v>
      </c>
      <c r="S42" s="7">
        <v>4</v>
      </c>
      <c r="T42" s="5">
        <f t="shared" si="7"/>
        <v>2236</v>
      </c>
      <c r="U42" s="6">
        <f t="shared" si="21"/>
        <v>180</v>
      </c>
      <c r="V42" s="6">
        <f t="shared" si="22"/>
        <v>175</v>
      </c>
      <c r="W42" s="6">
        <f t="shared" si="20"/>
        <v>180</v>
      </c>
      <c r="X42" s="5"/>
      <c r="Y42" s="4"/>
      <c r="Z42" s="4"/>
      <c r="AA42" s="4"/>
      <c r="AB42" s="18"/>
    </row>
    <row r="43" spans="1:28" ht="16.5" customHeight="1">
      <c r="A43" s="11">
        <v>29</v>
      </c>
      <c r="B43" s="14">
        <f t="shared" si="8"/>
        <v>45072</v>
      </c>
      <c r="C43" s="9">
        <f t="shared" si="9"/>
        <v>842</v>
      </c>
      <c r="D43" s="8">
        <f t="shared" si="10"/>
        <v>1567</v>
      </c>
      <c r="E43" s="7">
        <f t="shared" si="1"/>
        <v>417</v>
      </c>
      <c r="F43" s="7">
        <f t="shared" si="2"/>
        <v>432</v>
      </c>
      <c r="G43" s="7">
        <f t="shared" si="3"/>
        <v>437</v>
      </c>
      <c r="H43" s="4">
        <f t="shared" si="4"/>
        <v>1992</v>
      </c>
      <c r="I43" s="4">
        <f t="shared" si="5"/>
        <v>1977</v>
      </c>
      <c r="J43" s="4">
        <f t="shared" si="6"/>
        <v>1972</v>
      </c>
      <c r="K43" s="4">
        <f t="shared" si="11"/>
        <v>2000</v>
      </c>
      <c r="L43" s="4">
        <f t="shared" si="12"/>
        <v>2000</v>
      </c>
      <c r="M43" s="4">
        <f t="shared" si="13"/>
        <v>2000</v>
      </c>
      <c r="N43" s="4">
        <f t="shared" si="14"/>
        <v>-8</v>
      </c>
      <c r="O43" s="4">
        <f t="shared" si="15"/>
        <v>-23</v>
      </c>
      <c r="P43" s="4">
        <f t="shared" si="16"/>
        <v>-28</v>
      </c>
      <c r="Q43" s="7">
        <v>8</v>
      </c>
      <c r="R43" s="7">
        <v>8</v>
      </c>
      <c r="S43" s="7">
        <v>8</v>
      </c>
      <c r="T43" s="5">
        <f t="shared" si="7"/>
        <v>1942</v>
      </c>
      <c r="U43" s="6">
        <f t="shared" si="21"/>
        <v>472</v>
      </c>
      <c r="V43" s="6">
        <f t="shared" si="22"/>
        <v>467</v>
      </c>
      <c r="W43" s="6">
        <f t="shared" si="20"/>
        <v>472</v>
      </c>
      <c r="X43" s="16">
        <v>0.3</v>
      </c>
      <c r="Y43" s="12"/>
      <c r="Z43" s="12"/>
      <c r="AA43" s="12"/>
      <c r="AB43" s="19">
        <f>+AB39-1</f>
        <v>7</v>
      </c>
    </row>
    <row r="44" spans="1:28" ht="16.5" customHeight="1">
      <c r="A44" s="11">
        <v>30</v>
      </c>
      <c r="B44" s="14">
        <f t="shared" si="8"/>
        <v>45073</v>
      </c>
      <c r="C44" s="9">
        <f t="shared" si="9"/>
        <v>842</v>
      </c>
      <c r="D44" s="8">
        <f t="shared" si="10"/>
        <v>1565</v>
      </c>
      <c r="E44" s="7">
        <f t="shared" si="1"/>
        <v>419</v>
      </c>
      <c r="F44" s="7">
        <f t="shared" si="2"/>
        <v>436</v>
      </c>
      <c r="G44" s="7">
        <f t="shared" si="3"/>
        <v>439</v>
      </c>
      <c r="H44" s="4">
        <f t="shared" si="4"/>
        <v>1988</v>
      </c>
      <c r="I44" s="4">
        <f t="shared" si="5"/>
        <v>1971</v>
      </c>
      <c r="J44" s="4">
        <f t="shared" si="6"/>
        <v>1968</v>
      </c>
      <c r="K44" s="4">
        <f t="shared" si="11"/>
        <v>2000</v>
      </c>
      <c r="L44" s="4">
        <f t="shared" si="12"/>
        <v>2000</v>
      </c>
      <c r="M44" s="4">
        <f t="shared" si="13"/>
        <v>2000</v>
      </c>
      <c r="N44" s="4">
        <f t="shared" si="14"/>
        <v>-12</v>
      </c>
      <c r="O44" s="4">
        <f t="shared" si="15"/>
        <v>-29</v>
      </c>
      <c r="P44" s="4">
        <f t="shared" si="16"/>
        <v>-32</v>
      </c>
      <c r="Q44" s="7">
        <v>4</v>
      </c>
      <c r="R44" s="7">
        <v>6</v>
      </c>
      <c r="S44" s="7">
        <v>4</v>
      </c>
      <c r="T44" s="5">
        <f t="shared" si="7"/>
        <v>1946</v>
      </c>
      <c r="U44" s="6">
        <f t="shared" si="21"/>
        <v>468</v>
      </c>
      <c r="V44" s="6">
        <f t="shared" si="22"/>
        <v>461</v>
      </c>
      <c r="W44" s="6">
        <f t="shared" si="20"/>
        <v>468</v>
      </c>
      <c r="X44" s="5"/>
      <c r="Y44" s="4"/>
      <c r="Z44" s="4"/>
      <c r="AA44" s="4"/>
      <c r="AB44" s="18"/>
    </row>
    <row r="45" spans="1:28" ht="15">
      <c r="A45" s="11">
        <v>31</v>
      </c>
      <c r="B45" s="14">
        <f t="shared" si="8"/>
        <v>45074</v>
      </c>
      <c r="C45" s="9">
        <f t="shared" si="9"/>
        <v>842</v>
      </c>
      <c r="D45" s="8">
        <f t="shared" si="10"/>
        <v>1563</v>
      </c>
      <c r="E45" s="7">
        <f t="shared" si="1"/>
        <v>421</v>
      </c>
      <c r="F45" s="7">
        <f t="shared" si="2"/>
        <v>440</v>
      </c>
      <c r="G45" s="7">
        <f t="shared" si="3"/>
        <v>441</v>
      </c>
      <c r="H45" s="4">
        <f t="shared" si="4"/>
        <v>1984</v>
      </c>
      <c r="I45" s="4">
        <f t="shared" si="5"/>
        <v>1965</v>
      </c>
      <c r="J45" s="4">
        <f t="shared" si="6"/>
        <v>1964</v>
      </c>
      <c r="K45" s="4">
        <f t="shared" si="11"/>
        <v>2000</v>
      </c>
      <c r="L45" s="4">
        <f t="shared" si="12"/>
        <v>2000</v>
      </c>
      <c r="M45" s="4">
        <f t="shared" si="13"/>
        <v>2000</v>
      </c>
      <c r="N45" s="4">
        <f t="shared" si="14"/>
        <v>-16</v>
      </c>
      <c r="O45" s="4">
        <f t="shared" si="15"/>
        <v>-35</v>
      </c>
      <c r="P45" s="4">
        <f t="shared" si="16"/>
        <v>-36</v>
      </c>
      <c r="Q45" s="7">
        <v>4</v>
      </c>
      <c r="R45" s="7">
        <v>6</v>
      </c>
      <c r="S45" s="7">
        <v>4</v>
      </c>
      <c r="T45" s="5">
        <f t="shared" si="7"/>
        <v>1950</v>
      </c>
      <c r="U45" s="6">
        <f t="shared" si="21"/>
        <v>464</v>
      </c>
      <c r="V45" s="6">
        <f t="shared" si="22"/>
        <v>455</v>
      </c>
      <c r="W45" s="6">
        <f t="shared" si="20"/>
        <v>464</v>
      </c>
      <c r="X45" s="5"/>
      <c r="Y45" s="4"/>
      <c r="Z45" s="4"/>
      <c r="AA45" s="4"/>
      <c r="AB45" s="18"/>
    </row>
    <row r="46" spans="1:28" ht="15" customHeight="1">
      <c r="A46" s="11">
        <v>32</v>
      </c>
      <c r="B46" s="14">
        <f t="shared" si="8"/>
        <v>45075</v>
      </c>
      <c r="C46" s="9">
        <f t="shared" si="9"/>
        <v>842</v>
      </c>
      <c r="D46" s="8">
        <f t="shared" si="10"/>
        <v>1561</v>
      </c>
      <c r="E46" s="7">
        <f t="shared" si="1"/>
        <v>423</v>
      </c>
      <c r="F46" s="7">
        <f t="shared" si="2"/>
        <v>443</v>
      </c>
      <c r="G46" s="7">
        <f t="shared" si="3"/>
        <v>443</v>
      </c>
      <c r="H46" s="4">
        <f t="shared" si="4"/>
        <v>1980</v>
      </c>
      <c r="I46" s="4">
        <f t="shared" si="5"/>
        <v>1960</v>
      </c>
      <c r="J46" s="4">
        <f t="shared" si="6"/>
        <v>1960</v>
      </c>
      <c r="K46" s="4">
        <f t="shared" si="11"/>
        <v>2000</v>
      </c>
      <c r="L46" s="4">
        <f t="shared" si="12"/>
        <v>2000</v>
      </c>
      <c r="M46" s="4">
        <f t="shared" si="13"/>
        <v>2000</v>
      </c>
      <c r="N46" s="4">
        <f t="shared" si="14"/>
        <v>-20</v>
      </c>
      <c r="O46" s="4">
        <f t="shared" si="15"/>
        <v>-40</v>
      </c>
      <c r="P46" s="4">
        <f t="shared" si="16"/>
        <v>-40</v>
      </c>
      <c r="Q46" s="7">
        <v>4</v>
      </c>
      <c r="R46" s="7">
        <v>5</v>
      </c>
      <c r="S46" s="7">
        <v>4</v>
      </c>
      <c r="T46" s="5">
        <f t="shared" si="7"/>
        <v>1953</v>
      </c>
      <c r="U46" s="6">
        <f t="shared" si="21"/>
        <v>460</v>
      </c>
      <c r="V46" s="6">
        <f t="shared" si="22"/>
        <v>450</v>
      </c>
      <c r="W46" s="6">
        <f t="shared" si="20"/>
        <v>460</v>
      </c>
      <c r="X46" s="5"/>
      <c r="Y46" s="4"/>
      <c r="Z46" s="4"/>
      <c r="AA46" s="4"/>
      <c r="AB46" s="18"/>
    </row>
    <row r="47" spans="1:28" ht="15" customHeight="1">
      <c r="A47" s="11">
        <v>33</v>
      </c>
      <c r="B47" s="14">
        <f t="shared" si="8"/>
        <v>45076</v>
      </c>
      <c r="C47" s="9">
        <f t="shared" si="9"/>
        <v>842</v>
      </c>
      <c r="D47" s="8">
        <f t="shared" ref="D47:D78" si="23">D46-2</f>
        <v>1559</v>
      </c>
      <c r="E47" s="7">
        <f t="shared" si="1"/>
        <v>429</v>
      </c>
      <c r="F47" s="7">
        <f t="shared" si="2"/>
        <v>449</v>
      </c>
      <c r="G47" s="7">
        <f t="shared" si="3"/>
        <v>449</v>
      </c>
      <c r="H47" s="4">
        <f t="shared" si="4"/>
        <v>1972</v>
      </c>
      <c r="I47" s="4">
        <f t="shared" si="5"/>
        <v>1952</v>
      </c>
      <c r="J47" s="4">
        <f t="shared" si="6"/>
        <v>1952</v>
      </c>
      <c r="K47" s="4">
        <f t="shared" si="11"/>
        <v>2000</v>
      </c>
      <c r="L47" s="4">
        <f t="shared" si="12"/>
        <v>2000</v>
      </c>
      <c r="M47" s="4">
        <f t="shared" si="13"/>
        <v>2000</v>
      </c>
      <c r="N47" s="4">
        <f t="shared" si="14"/>
        <v>-28</v>
      </c>
      <c r="O47" s="4">
        <f t="shared" si="15"/>
        <v>-48</v>
      </c>
      <c r="P47" s="4">
        <f t="shared" si="16"/>
        <v>-48</v>
      </c>
      <c r="Q47" s="7">
        <v>8</v>
      </c>
      <c r="R47" s="7">
        <v>8</v>
      </c>
      <c r="S47" s="7">
        <v>8</v>
      </c>
      <c r="T47" s="5">
        <f t="shared" si="7"/>
        <v>1659</v>
      </c>
      <c r="U47" s="6">
        <f t="shared" si="21"/>
        <v>752</v>
      </c>
      <c r="V47" s="6">
        <f t="shared" si="22"/>
        <v>742</v>
      </c>
      <c r="W47" s="6">
        <f t="shared" si="20"/>
        <v>752</v>
      </c>
      <c r="X47" s="16">
        <v>0.3</v>
      </c>
      <c r="Y47" s="12"/>
      <c r="Z47" s="12"/>
      <c r="AA47" s="12"/>
      <c r="AB47" s="19">
        <f>+AB43-1</f>
        <v>6</v>
      </c>
    </row>
    <row r="48" spans="1:28" ht="15" customHeight="1">
      <c r="A48" s="11">
        <v>34</v>
      </c>
      <c r="B48" s="14">
        <f t="shared" si="8"/>
        <v>45077</v>
      </c>
      <c r="C48" s="9">
        <f t="shared" si="9"/>
        <v>842</v>
      </c>
      <c r="D48" s="8">
        <f t="shared" si="23"/>
        <v>1557</v>
      </c>
      <c r="E48" s="7">
        <f t="shared" si="1"/>
        <v>432</v>
      </c>
      <c r="F48" s="7">
        <f t="shared" si="2"/>
        <v>455</v>
      </c>
      <c r="G48" s="7">
        <f t="shared" si="3"/>
        <v>448</v>
      </c>
      <c r="H48" s="4">
        <f t="shared" si="4"/>
        <v>1967</v>
      </c>
      <c r="I48" s="4">
        <f t="shared" si="5"/>
        <v>1944</v>
      </c>
      <c r="J48" s="4">
        <f t="shared" si="6"/>
        <v>1951</v>
      </c>
      <c r="K48" s="4">
        <f t="shared" si="11"/>
        <v>2000</v>
      </c>
      <c r="L48" s="4">
        <f t="shared" si="12"/>
        <v>2000</v>
      </c>
      <c r="M48" s="4">
        <f t="shared" si="13"/>
        <v>2000</v>
      </c>
      <c r="N48" s="4">
        <f t="shared" si="14"/>
        <v>-33</v>
      </c>
      <c r="O48" s="4">
        <f t="shared" si="15"/>
        <v>-56</v>
      </c>
      <c r="P48" s="4">
        <f t="shared" si="16"/>
        <v>-49</v>
      </c>
      <c r="Q48" s="7">
        <v>5</v>
      </c>
      <c r="R48" s="7">
        <v>8</v>
      </c>
      <c r="S48" s="7">
        <v>1</v>
      </c>
      <c r="T48" s="5">
        <f t="shared" si="7"/>
        <v>1665</v>
      </c>
      <c r="U48" s="6">
        <f t="shared" si="21"/>
        <v>747</v>
      </c>
      <c r="V48" s="6">
        <f t="shared" si="22"/>
        <v>734</v>
      </c>
      <c r="W48" s="6">
        <f t="shared" si="20"/>
        <v>751</v>
      </c>
      <c r="X48" s="5"/>
      <c r="Y48" s="4"/>
      <c r="Z48" s="4"/>
      <c r="AA48" s="4"/>
      <c r="AB48" s="18"/>
    </row>
    <row r="49" spans="1:28" ht="15" customHeight="1">
      <c r="A49" s="11">
        <v>35</v>
      </c>
      <c r="B49" s="14">
        <f t="shared" si="8"/>
        <v>45078</v>
      </c>
      <c r="C49" s="9">
        <f t="shared" si="9"/>
        <v>842</v>
      </c>
      <c r="D49" s="8">
        <f t="shared" si="23"/>
        <v>1555</v>
      </c>
      <c r="E49" s="7">
        <f t="shared" si="1"/>
        <v>436</v>
      </c>
      <c r="F49" s="7">
        <f t="shared" si="2"/>
        <v>461</v>
      </c>
      <c r="G49" s="7">
        <f t="shared" si="3"/>
        <v>448</v>
      </c>
      <c r="H49" s="4">
        <f t="shared" si="4"/>
        <v>1961</v>
      </c>
      <c r="I49" s="4">
        <f t="shared" si="5"/>
        <v>1936</v>
      </c>
      <c r="J49" s="4">
        <f t="shared" si="6"/>
        <v>1949</v>
      </c>
      <c r="K49" s="4">
        <f t="shared" si="11"/>
        <v>2000</v>
      </c>
      <c r="L49" s="4">
        <f t="shared" si="12"/>
        <v>2000</v>
      </c>
      <c r="M49" s="4">
        <f t="shared" si="13"/>
        <v>2000</v>
      </c>
      <c r="N49" s="4">
        <f t="shared" si="14"/>
        <v>-39</v>
      </c>
      <c r="O49" s="4">
        <f t="shared" si="15"/>
        <v>-64</v>
      </c>
      <c r="P49" s="4">
        <f t="shared" si="16"/>
        <v>-51</v>
      </c>
      <c r="Q49" s="7">
        <v>6</v>
      </c>
      <c r="R49" s="7">
        <v>8</v>
      </c>
      <c r="S49" s="7">
        <v>2</v>
      </c>
      <c r="T49" s="5">
        <f t="shared" si="7"/>
        <v>1671</v>
      </c>
      <c r="U49" s="6">
        <f t="shared" si="21"/>
        <v>741</v>
      </c>
      <c r="V49" s="6">
        <f t="shared" si="22"/>
        <v>726</v>
      </c>
      <c r="W49" s="6">
        <f t="shared" si="20"/>
        <v>749</v>
      </c>
      <c r="X49" s="5"/>
      <c r="Y49" s="4"/>
      <c r="Z49" s="4"/>
      <c r="AA49" s="4"/>
      <c r="AB49" s="18"/>
    </row>
    <row r="50" spans="1:28" ht="15" customHeight="1">
      <c r="A50" s="11">
        <v>36</v>
      </c>
      <c r="B50" s="14">
        <f t="shared" si="8"/>
        <v>45079</v>
      </c>
      <c r="C50" s="9">
        <f t="shared" si="9"/>
        <v>842</v>
      </c>
      <c r="D50" s="8">
        <f t="shared" si="23"/>
        <v>1553</v>
      </c>
      <c r="E50" s="7">
        <f t="shared" si="1"/>
        <v>440</v>
      </c>
      <c r="F50" s="7">
        <f t="shared" si="2"/>
        <v>467</v>
      </c>
      <c r="G50" s="7">
        <f t="shared" si="3"/>
        <v>450</v>
      </c>
      <c r="H50" s="4">
        <f t="shared" si="4"/>
        <v>1955</v>
      </c>
      <c r="I50" s="4">
        <f t="shared" si="5"/>
        <v>1928</v>
      </c>
      <c r="J50" s="4">
        <f t="shared" si="6"/>
        <v>1945</v>
      </c>
      <c r="K50" s="4">
        <f t="shared" si="11"/>
        <v>2000</v>
      </c>
      <c r="L50" s="4">
        <f t="shared" si="12"/>
        <v>2000</v>
      </c>
      <c r="M50" s="4">
        <f t="shared" si="13"/>
        <v>2000</v>
      </c>
      <c r="N50" s="4">
        <f t="shared" si="14"/>
        <v>-45</v>
      </c>
      <c r="O50" s="4">
        <f t="shared" si="15"/>
        <v>-72</v>
      </c>
      <c r="P50" s="4">
        <f t="shared" si="16"/>
        <v>-55</v>
      </c>
      <c r="Q50" s="7">
        <v>6</v>
      </c>
      <c r="R50" s="7">
        <v>8</v>
      </c>
      <c r="S50" s="7">
        <v>4</v>
      </c>
      <c r="T50" s="5">
        <f t="shared" si="7"/>
        <v>1677</v>
      </c>
      <c r="U50" s="6">
        <f t="shared" si="21"/>
        <v>735</v>
      </c>
      <c r="V50" s="6">
        <f t="shared" si="22"/>
        <v>718</v>
      </c>
      <c r="W50" s="6">
        <f t="shared" si="20"/>
        <v>745</v>
      </c>
      <c r="X50" s="5"/>
      <c r="Y50" s="4"/>
      <c r="Z50" s="4"/>
      <c r="AA50" s="4"/>
      <c r="AB50" s="18"/>
    </row>
    <row r="51" spans="1:28" ht="15" customHeight="1">
      <c r="A51" s="11">
        <v>37</v>
      </c>
      <c r="B51" s="14">
        <f t="shared" si="8"/>
        <v>45080</v>
      </c>
      <c r="C51" s="9">
        <f t="shared" si="9"/>
        <v>842</v>
      </c>
      <c r="D51" s="8">
        <f t="shared" si="23"/>
        <v>1551</v>
      </c>
      <c r="E51" s="7">
        <f t="shared" si="1"/>
        <v>440</v>
      </c>
      <c r="F51" s="7">
        <f t="shared" si="2"/>
        <v>472</v>
      </c>
      <c r="G51" s="7">
        <f t="shared" si="3"/>
        <v>450</v>
      </c>
      <c r="H51" s="4">
        <f t="shared" si="4"/>
        <v>1953</v>
      </c>
      <c r="I51" s="4">
        <f t="shared" si="5"/>
        <v>1921</v>
      </c>
      <c r="J51" s="4">
        <f t="shared" si="6"/>
        <v>1943</v>
      </c>
      <c r="K51" s="4">
        <f t="shared" si="11"/>
        <v>2000</v>
      </c>
      <c r="L51" s="4">
        <f t="shared" si="12"/>
        <v>2000</v>
      </c>
      <c r="M51" s="4">
        <f t="shared" si="13"/>
        <v>2000</v>
      </c>
      <c r="N51" s="4">
        <f t="shared" si="14"/>
        <v>-47</v>
      </c>
      <c r="O51" s="4">
        <f t="shared" si="15"/>
        <v>-79</v>
      </c>
      <c r="P51" s="4">
        <f t="shared" si="16"/>
        <v>-57</v>
      </c>
      <c r="Q51" s="7">
        <v>2</v>
      </c>
      <c r="R51" s="7">
        <v>7</v>
      </c>
      <c r="S51" s="7">
        <v>2</v>
      </c>
      <c r="T51" s="5">
        <f t="shared" si="7"/>
        <v>1682</v>
      </c>
      <c r="U51" s="6">
        <f t="shared" si="21"/>
        <v>733</v>
      </c>
      <c r="V51" s="6">
        <f t="shared" si="22"/>
        <v>711</v>
      </c>
      <c r="W51" s="6">
        <f t="shared" si="20"/>
        <v>743</v>
      </c>
      <c r="X51" s="5"/>
      <c r="Y51" s="4"/>
      <c r="Z51" s="4"/>
      <c r="AA51" s="4"/>
      <c r="AB51" s="18"/>
    </row>
    <row r="52" spans="1:28" ht="15" customHeight="1">
      <c r="A52" s="11">
        <v>38</v>
      </c>
      <c r="B52" s="14">
        <f t="shared" si="8"/>
        <v>45081</v>
      </c>
      <c r="C52" s="9">
        <f t="shared" si="9"/>
        <v>842</v>
      </c>
      <c r="D52" s="8">
        <f t="shared" si="23"/>
        <v>1549</v>
      </c>
      <c r="E52" s="7">
        <f t="shared" si="1"/>
        <v>443</v>
      </c>
      <c r="F52" s="7">
        <f t="shared" si="2"/>
        <v>478</v>
      </c>
      <c r="G52" s="7">
        <f t="shared" si="3"/>
        <v>449</v>
      </c>
      <c r="H52" s="4">
        <f t="shared" si="4"/>
        <v>1948</v>
      </c>
      <c r="I52" s="4">
        <f t="shared" si="5"/>
        <v>1913</v>
      </c>
      <c r="J52" s="4">
        <f t="shared" si="6"/>
        <v>1942</v>
      </c>
      <c r="K52" s="4">
        <f t="shared" si="11"/>
        <v>2000</v>
      </c>
      <c r="L52" s="4">
        <f t="shared" si="12"/>
        <v>2000</v>
      </c>
      <c r="M52" s="4">
        <f t="shared" si="13"/>
        <v>2000</v>
      </c>
      <c r="N52" s="4">
        <f t="shared" si="14"/>
        <v>-52</v>
      </c>
      <c r="O52" s="4">
        <f t="shared" si="15"/>
        <v>-87</v>
      </c>
      <c r="P52" s="4">
        <f t="shared" si="16"/>
        <v>-58</v>
      </c>
      <c r="Q52" s="7">
        <v>5</v>
      </c>
      <c r="R52" s="7">
        <v>8</v>
      </c>
      <c r="S52" s="7">
        <v>1</v>
      </c>
      <c r="T52" s="5">
        <f t="shared" si="7"/>
        <v>1688</v>
      </c>
      <c r="U52" s="6">
        <f t="shared" si="21"/>
        <v>728</v>
      </c>
      <c r="V52" s="6">
        <f t="shared" si="22"/>
        <v>703</v>
      </c>
      <c r="W52" s="6">
        <f t="shared" si="20"/>
        <v>742</v>
      </c>
      <c r="X52" s="5"/>
      <c r="Y52" s="4"/>
      <c r="Z52" s="4"/>
      <c r="AA52" s="4"/>
      <c r="AB52" s="4"/>
    </row>
    <row r="53" spans="1:28" ht="15" customHeight="1">
      <c r="A53" s="11">
        <v>39</v>
      </c>
      <c r="B53" s="14">
        <f t="shared" si="8"/>
        <v>45082</v>
      </c>
      <c r="C53" s="9">
        <f t="shared" si="9"/>
        <v>842</v>
      </c>
      <c r="D53" s="8">
        <f t="shared" si="23"/>
        <v>1547</v>
      </c>
      <c r="E53" s="7">
        <f t="shared" si="1"/>
        <v>447</v>
      </c>
      <c r="F53" s="7">
        <f t="shared" si="2"/>
        <v>484</v>
      </c>
      <c r="G53" s="7">
        <f t="shared" si="3"/>
        <v>449</v>
      </c>
      <c r="H53" s="4">
        <f t="shared" si="4"/>
        <v>1942</v>
      </c>
      <c r="I53" s="4">
        <f t="shared" si="5"/>
        <v>1905</v>
      </c>
      <c r="J53" s="4">
        <f t="shared" si="6"/>
        <v>1940</v>
      </c>
      <c r="K53" s="4">
        <f t="shared" si="11"/>
        <v>2000</v>
      </c>
      <c r="L53" s="4">
        <f t="shared" si="12"/>
        <v>2000</v>
      </c>
      <c r="M53" s="4">
        <f t="shared" si="13"/>
        <v>2000</v>
      </c>
      <c r="N53" s="4">
        <f t="shared" si="14"/>
        <v>-58</v>
      </c>
      <c r="O53" s="4">
        <f t="shared" si="15"/>
        <v>-95</v>
      </c>
      <c r="P53" s="4">
        <f t="shared" si="16"/>
        <v>-60</v>
      </c>
      <c r="Q53" s="7">
        <v>6</v>
      </c>
      <c r="R53" s="7">
        <v>8</v>
      </c>
      <c r="S53" s="7">
        <v>2</v>
      </c>
      <c r="T53" s="5">
        <f t="shared" si="7"/>
        <v>1694</v>
      </c>
      <c r="U53" s="6">
        <f t="shared" si="21"/>
        <v>722</v>
      </c>
      <c r="V53" s="6">
        <f t="shared" si="22"/>
        <v>695</v>
      </c>
      <c r="W53" s="6">
        <f t="shared" si="20"/>
        <v>740</v>
      </c>
      <c r="X53" s="5"/>
      <c r="Y53" s="4"/>
      <c r="Z53" s="4"/>
      <c r="AA53" s="4"/>
      <c r="AB53" s="4"/>
    </row>
    <row r="54" spans="1:28" ht="15" customHeight="1">
      <c r="A54" s="11">
        <v>40</v>
      </c>
      <c r="B54" s="14">
        <f t="shared" si="8"/>
        <v>45083</v>
      </c>
      <c r="C54" s="9">
        <f t="shared" si="9"/>
        <v>842</v>
      </c>
      <c r="D54" s="8">
        <f t="shared" si="23"/>
        <v>1545</v>
      </c>
      <c r="E54" s="7">
        <f t="shared" si="1"/>
        <v>451</v>
      </c>
      <c r="F54" s="7">
        <f t="shared" si="2"/>
        <v>490</v>
      </c>
      <c r="G54" s="7">
        <f t="shared" si="3"/>
        <v>451</v>
      </c>
      <c r="H54" s="4">
        <f t="shared" si="4"/>
        <v>1936</v>
      </c>
      <c r="I54" s="4">
        <f t="shared" si="5"/>
        <v>1897</v>
      </c>
      <c r="J54" s="4">
        <f t="shared" si="6"/>
        <v>1936</v>
      </c>
      <c r="K54" s="4">
        <f t="shared" si="11"/>
        <v>2000</v>
      </c>
      <c r="L54" s="4">
        <f t="shared" si="12"/>
        <v>2000</v>
      </c>
      <c r="M54" s="4">
        <f t="shared" si="13"/>
        <v>2000</v>
      </c>
      <c r="N54" s="4">
        <f t="shared" si="14"/>
        <v>-64</v>
      </c>
      <c r="O54" s="4">
        <f t="shared" si="15"/>
        <v>-103</v>
      </c>
      <c r="P54" s="4">
        <f t="shared" si="16"/>
        <v>-64</v>
      </c>
      <c r="Q54" s="7">
        <v>6</v>
      </c>
      <c r="R54" s="7">
        <v>8</v>
      </c>
      <c r="S54" s="7">
        <v>4</v>
      </c>
      <c r="T54" s="5">
        <f t="shared" si="7"/>
        <v>1700</v>
      </c>
      <c r="U54" s="6">
        <f t="shared" si="21"/>
        <v>716</v>
      </c>
      <c r="V54" s="6">
        <f t="shared" si="22"/>
        <v>687</v>
      </c>
      <c r="W54" s="6">
        <f t="shared" si="20"/>
        <v>736</v>
      </c>
      <c r="X54" s="5"/>
      <c r="Y54" s="4"/>
      <c r="Z54" s="4"/>
      <c r="AA54" s="4"/>
      <c r="AB54" s="4"/>
    </row>
    <row r="55" spans="1:28" ht="15" customHeight="1">
      <c r="A55" s="11">
        <v>41</v>
      </c>
      <c r="B55" s="14">
        <f t="shared" si="8"/>
        <v>45084</v>
      </c>
      <c r="C55" s="9">
        <f t="shared" si="9"/>
        <v>842</v>
      </c>
      <c r="D55" s="8">
        <f t="shared" si="23"/>
        <v>1543</v>
      </c>
      <c r="E55" s="7">
        <f t="shared" si="1"/>
        <v>451</v>
      </c>
      <c r="F55" s="7">
        <f t="shared" si="2"/>
        <v>495</v>
      </c>
      <c r="G55" s="7">
        <f t="shared" si="3"/>
        <v>451</v>
      </c>
      <c r="H55" s="4">
        <f t="shared" si="4"/>
        <v>1934</v>
      </c>
      <c r="I55" s="4">
        <f t="shared" si="5"/>
        <v>1890</v>
      </c>
      <c r="J55" s="4">
        <f t="shared" si="6"/>
        <v>1934</v>
      </c>
      <c r="K55" s="4">
        <f t="shared" si="11"/>
        <v>2000</v>
      </c>
      <c r="L55" s="4">
        <f t="shared" si="12"/>
        <v>2000</v>
      </c>
      <c r="M55" s="4">
        <f t="shared" si="13"/>
        <v>2000</v>
      </c>
      <c r="N55" s="4">
        <f t="shared" si="14"/>
        <v>-66</v>
      </c>
      <c r="O55" s="4">
        <f t="shared" si="15"/>
        <v>-110</v>
      </c>
      <c r="P55" s="4">
        <f t="shared" si="16"/>
        <v>-66</v>
      </c>
      <c r="Q55" s="7">
        <v>2</v>
      </c>
      <c r="R55" s="7">
        <v>7</v>
      </c>
      <c r="S55" s="7">
        <v>2</v>
      </c>
      <c r="T55" s="5">
        <f t="shared" si="7"/>
        <v>1705</v>
      </c>
      <c r="U55" s="6">
        <f t="shared" si="21"/>
        <v>714</v>
      </c>
      <c r="V55" s="6">
        <f t="shared" si="22"/>
        <v>680</v>
      </c>
      <c r="W55" s="6">
        <f t="shared" si="20"/>
        <v>734</v>
      </c>
      <c r="X55" s="5"/>
      <c r="Y55" s="4"/>
      <c r="Z55" s="4"/>
      <c r="AA55" s="4"/>
      <c r="AB55" s="4"/>
    </row>
    <row r="56" spans="1:28" ht="15" customHeight="1">
      <c r="A56" s="11">
        <v>42</v>
      </c>
      <c r="B56" s="14">
        <f t="shared" si="8"/>
        <v>45085</v>
      </c>
      <c r="C56" s="9">
        <f t="shared" si="9"/>
        <v>842</v>
      </c>
      <c r="D56" s="8">
        <f t="shared" si="23"/>
        <v>1541</v>
      </c>
      <c r="E56" s="7">
        <f t="shared" si="1"/>
        <v>449</v>
      </c>
      <c r="F56" s="7">
        <f t="shared" si="2"/>
        <v>501</v>
      </c>
      <c r="G56" s="7">
        <f t="shared" si="3"/>
        <v>452</v>
      </c>
      <c r="H56" s="4">
        <f t="shared" si="4"/>
        <v>1934</v>
      </c>
      <c r="I56" s="4">
        <f t="shared" si="5"/>
        <v>1882</v>
      </c>
      <c r="J56" s="4">
        <f t="shared" si="6"/>
        <v>1931</v>
      </c>
      <c r="K56" s="4">
        <f t="shared" si="11"/>
        <v>2000</v>
      </c>
      <c r="L56" s="4">
        <f t="shared" si="12"/>
        <v>2000</v>
      </c>
      <c r="M56" s="4">
        <f t="shared" si="13"/>
        <v>2000</v>
      </c>
      <c r="N56" s="4">
        <f t="shared" si="14"/>
        <v>-66</v>
      </c>
      <c r="O56" s="4">
        <f t="shared" si="15"/>
        <v>-118</v>
      </c>
      <c r="P56" s="4">
        <f t="shared" si="16"/>
        <v>-69</v>
      </c>
      <c r="Q56" s="7">
        <v>0</v>
      </c>
      <c r="R56" s="7">
        <v>8</v>
      </c>
      <c r="S56" s="7">
        <v>3</v>
      </c>
      <c r="T56" s="5">
        <f t="shared" si="7"/>
        <v>1711</v>
      </c>
      <c r="U56" s="6">
        <f t="shared" si="21"/>
        <v>714</v>
      </c>
      <c r="V56" s="6">
        <f t="shared" si="22"/>
        <v>672</v>
      </c>
      <c r="W56" s="6">
        <f t="shared" si="20"/>
        <v>731</v>
      </c>
      <c r="X56" s="5"/>
      <c r="Y56" s="4"/>
      <c r="Z56" s="4"/>
      <c r="AA56" s="4"/>
      <c r="AB56" s="4"/>
    </row>
    <row r="57" spans="1:28" ht="15" customHeight="1">
      <c r="A57" s="11">
        <v>43</v>
      </c>
      <c r="B57" s="14">
        <f t="shared" si="8"/>
        <v>45086</v>
      </c>
      <c r="C57" s="9">
        <f t="shared" si="9"/>
        <v>842</v>
      </c>
      <c r="D57" s="8">
        <f t="shared" si="23"/>
        <v>1539</v>
      </c>
      <c r="E57" s="7">
        <f t="shared" si="1"/>
        <v>448</v>
      </c>
      <c r="F57" s="7">
        <f t="shared" si="2"/>
        <v>505</v>
      </c>
      <c r="G57" s="7">
        <f t="shared" si="3"/>
        <v>453</v>
      </c>
      <c r="H57" s="4">
        <f t="shared" si="4"/>
        <v>1933</v>
      </c>
      <c r="I57" s="4">
        <f t="shared" si="5"/>
        <v>1876</v>
      </c>
      <c r="J57" s="4">
        <f t="shared" si="6"/>
        <v>1928</v>
      </c>
      <c r="K57" s="4">
        <f t="shared" si="11"/>
        <v>2000</v>
      </c>
      <c r="L57" s="4">
        <f t="shared" si="12"/>
        <v>2000</v>
      </c>
      <c r="M57" s="4">
        <f t="shared" si="13"/>
        <v>2000</v>
      </c>
      <c r="N57" s="4">
        <f t="shared" si="14"/>
        <v>-67</v>
      </c>
      <c r="O57" s="4">
        <f t="shared" si="15"/>
        <v>-124</v>
      </c>
      <c r="P57" s="4">
        <f t="shared" si="16"/>
        <v>-72</v>
      </c>
      <c r="Q57" s="7">
        <v>1</v>
      </c>
      <c r="R57" s="7">
        <v>6</v>
      </c>
      <c r="S57" s="7">
        <v>3</v>
      </c>
      <c r="T57" s="5">
        <f t="shared" si="7"/>
        <v>1715</v>
      </c>
      <c r="U57" s="6">
        <f t="shared" si="21"/>
        <v>713</v>
      </c>
      <c r="V57" s="6">
        <f t="shared" si="22"/>
        <v>666</v>
      </c>
      <c r="W57" s="6">
        <f t="shared" si="20"/>
        <v>728</v>
      </c>
      <c r="X57" s="5"/>
      <c r="Y57" s="4"/>
      <c r="Z57" s="4"/>
      <c r="AA57" s="4"/>
      <c r="AB57" s="4"/>
    </row>
    <row r="58" spans="1:28" ht="15" customHeight="1">
      <c r="A58" s="11">
        <v>44</v>
      </c>
      <c r="B58" s="14">
        <f t="shared" si="8"/>
        <v>45087</v>
      </c>
      <c r="C58" s="9">
        <f t="shared" si="9"/>
        <v>842</v>
      </c>
      <c r="D58" s="8">
        <f t="shared" si="23"/>
        <v>1537</v>
      </c>
      <c r="E58" s="7">
        <f t="shared" si="1"/>
        <v>451</v>
      </c>
      <c r="F58" s="7">
        <f t="shared" si="2"/>
        <v>506</v>
      </c>
      <c r="G58" s="7">
        <f t="shared" si="3"/>
        <v>454</v>
      </c>
      <c r="H58" s="4">
        <f t="shared" si="4"/>
        <v>1928</v>
      </c>
      <c r="I58" s="4">
        <f t="shared" si="5"/>
        <v>1873</v>
      </c>
      <c r="J58" s="4">
        <f t="shared" si="6"/>
        <v>1925</v>
      </c>
      <c r="K58" s="4">
        <f t="shared" si="11"/>
        <v>2000</v>
      </c>
      <c r="L58" s="4">
        <f t="shared" si="12"/>
        <v>2000</v>
      </c>
      <c r="M58" s="4">
        <f t="shared" si="13"/>
        <v>2000</v>
      </c>
      <c r="N58" s="4">
        <f t="shared" si="14"/>
        <v>-72</v>
      </c>
      <c r="O58" s="4">
        <f t="shared" si="15"/>
        <v>-127</v>
      </c>
      <c r="P58" s="4">
        <f t="shared" si="16"/>
        <v>-75</v>
      </c>
      <c r="Q58" s="7">
        <v>5</v>
      </c>
      <c r="R58" s="7">
        <v>3</v>
      </c>
      <c r="S58" s="7">
        <v>3</v>
      </c>
      <c r="T58" s="5">
        <f t="shared" si="7"/>
        <v>1716</v>
      </c>
      <c r="U58" s="6">
        <f t="shared" si="21"/>
        <v>708</v>
      </c>
      <c r="V58" s="6">
        <f t="shared" si="22"/>
        <v>663</v>
      </c>
      <c r="W58" s="6">
        <f t="shared" si="20"/>
        <v>725</v>
      </c>
      <c r="X58" s="5"/>
      <c r="Y58" s="4"/>
      <c r="Z58" s="4"/>
      <c r="AA58" s="4"/>
      <c r="AB58" s="4"/>
    </row>
    <row r="59" spans="1:28" ht="15" customHeight="1">
      <c r="A59" s="11">
        <v>45</v>
      </c>
      <c r="B59" s="14">
        <f t="shared" si="8"/>
        <v>45088</v>
      </c>
      <c r="C59" s="9">
        <f t="shared" si="9"/>
        <v>842</v>
      </c>
      <c r="D59" s="8">
        <f t="shared" si="23"/>
        <v>1535</v>
      </c>
      <c r="E59" s="7">
        <f t="shared" si="1"/>
        <v>453</v>
      </c>
      <c r="F59" s="7">
        <f t="shared" si="2"/>
        <v>505</v>
      </c>
      <c r="G59" s="7">
        <f t="shared" si="3"/>
        <v>457</v>
      </c>
      <c r="H59" s="4">
        <f t="shared" si="4"/>
        <v>1924</v>
      </c>
      <c r="I59" s="4">
        <f t="shared" si="5"/>
        <v>1872</v>
      </c>
      <c r="J59" s="4">
        <f t="shared" si="6"/>
        <v>1920</v>
      </c>
      <c r="K59" s="4">
        <f t="shared" si="11"/>
        <v>2000</v>
      </c>
      <c r="L59" s="4">
        <f t="shared" si="12"/>
        <v>2000</v>
      </c>
      <c r="M59" s="4">
        <f t="shared" si="13"/>
        <v>2000</v>
      </c>
      <c r="N59" s="4">
        <f t="shared" si="14"/>
        <v>-76</v>
      </c>
      <c r="O59" s="4">
        <f t="shared" si="15"/>
        <v>-128</v>
      </c>
      <c r="P59" s="4">
        <f t="shared" si="16"/>
        <v>-80</v>
      </c>
      <c r="Q59" s="7">
        <v>4</v>
      </c>
      <c r="R59" s="7">
        <v>1</v>
      </c>
      <c r="S59" s="7">
        <v>5</v>
      </c>
      <c r="T59" s="5">
        <f t="shared" si="7"/>
        <v>1715</v>
      </c>
      <c r="U59" s="6">
        <f t="shared" si="21"/>
        <v>704</v>
      </c>
      <c r="V59" s="6">
        <f t="shared" si="22"/>
        <v>662</v>
      </c>
      <c r="W59" s="6">
        <f t="shared" si="20"/>
        <v>720</v>
      </c>
      <c r="X59" s="5"/>
      <c r="Y59" s="4"/>
      <c r="Z59" s="4"/>
      <c r="AA59" s="4"/>
      <c r="AB59" s="4"/>
    </row>
    <row r="60" spans="1:28" ht="15" customHeight="1">
      <c r="A60" s="11">
        <v>46</v>
      </c>
      <c r="B60" s="14">
        <f t="shared" si="8"/>
        <v>45089</v>
      </c>
      <c r="C60" s="9">
        <f t="shared" si="9"/>
        <v>842</v>
      </c>
      <c r="D60" s="8">
        <f t="shared" si="23"/>
        <v>1533</v>
      </c>
      <c r="E60" s="7">
        <f t="shared" si="1"/>
        <v>457</v>
      </c>
      <c r="F60" s="7">
        <f t="shared" si="2"/>
        <v>505</v>
      </c>
      <c r="G60" s="7">
        <f t="shared" si="3"/>
        <v>458</v>
      </c>
      <c r="H60" s="4">
        <f t="shared" si="4"/>
        <v>1918</v>
      </c>
      <c r="I60" s="4">
        <f t="shared" si="5"/>
        <v>1870</v>
      </c>
      <c r="J60" s="4">
        <f t="shared" si="6"/>
        <v>1917</v>
      </c>
      <c r="K60" s="4">
        <f t="shared" si="11"/>
        <v>2000</v>
      </c>
      <c r="L60" s="4">
        <f t="shared" si="12"/>
        <v>2000</v>
      </c>
      <c r="M60" s="4">
        <f t="shared" si="13"/>
        <v>2000</v>
      </c>
      <c r="N60" s="4">
        <f t="shared" si="14"/>
        <v>-82</v>
      </c>
      <c r="O60" s="4">
        <f t="shared" si="15"/>
        <v>-130</v>
      </c>
      <c r="P60" s="4">
        <f t="shared" si="16"/>
        <v>-83</v>
      </c>
      <c r="Q60" s="7">
        <v>6</v>
      </c>
      <c r="R60" s="7">
        <v>2</v>
      </c>
      <c r="S60" s="7">
        <v>3</v>
      </c>
      <c r="T60" s="5">
        <f t="shared" si="7"/>
        <v>1715</v>
      </c>
      <c r="U60" s="6">
        <f t="shared" si="21"/>
        <v>698</v>
      </c>
      <c r="V60" s="6">
        <f t="shared" si="22"/>
        <v>660</v>
      </c>
      <c r="W60" s="6">
        <f t="shared" si="20"/>
        <v>717</v>
      </c>
      <c r="X60" s="5"/>
      <c r="Y60" s="4"/>
      <c r="Z60" s="4"/>
      <c r="AA60" s="4"/>
      <c r="AB60" s="4"/>
    </row>
    <row r="61" spans="1:28" ht="15" customHeight="1">
      <c r="A61" s="11">
        <v>47</v>
      </c>
      <c r="B61" s="14">
        <f t="shared" si="8"/>
        <v>45090</v>
      </c>
      <c r="C61" s="9">
        <f t="shared" si="9"/>
        <v>842</v>
      </c>
      <c r="D61" s="8">
        <f t="shared" si="23"/>
        <v>1531</v>
      </c>
      <c r="E61" s="7">
        <f t="shared" si="1"/>
        <v>460</v>
      </c>
      <c r="F61" s="7">
        <f t="shared" si="2"/>
        <v>503</v>
      </c>
      <c r="G61" s="7">
        <f t="shared" si="3"/>
        <v>460</v>
      </c>
      <c r="H61" s="4">
        <f t="shared" si="4"/>
        <v>1913</v>
      </c>
      <c r="I61" s="4">
        <f t="shared" si="5"/>
        <v>1870</v>
      </c>
      <c r="J61" s="4">
        <f t="shared" si="6"/>
        <v>1913</v>
      </c>
      <c r="K61" s="4">
        <f t="shared" si="11"/>
        <v>2000</v>
      </c>
      <c r="L61" s="4">
        <f t="shared" si="12"/>
        <v>2000</v>
      </c>
      <c r="M61" s="4">
        <f t="shared" si="13"/>
        <v>2000</v>
      </c>
      <c r="N61" s="4">
        <f t="shared" si="14"/>
        <v>-87</v>
      </c>
      <c r="O61" s="4">
        <f t="shared" si="15"/>
        <v>-130</v>
      </c>
      <c r="P61" s="4">
        <f t="shared" si="16"/>
        <v>-87</v>
      </c>
      <c r="Q61" s="7">
        <v>5</v>
      </c>
      <c r="R61" s="7">
        <v>0</v>
      </c>
      <c r="S61" s="7">
        <v>4</v>
      </c>
      <c r="T61" s="5">
        <f t="shared" si="7"/>
        <v>1713</v>
      </c>
      <c r="U61" s="6">
        <f t="shared" si="21"/>
        <v>693</v>
      </c>
      <c r="V61" s="6">
        <f t="shared" si="22"/>
        <v>660</v>
      </c>
      <c r="W61" s="6">
        <f t="shared" si="20"/>
        <v>713</v>
      </c>
      <c r="X61" s="5"/>
      <c r="Y61" s="4"/>
      <c r="Z61" s="4"/>
      <c r="AA61" s="4"/>
      <c r="AB61" s="4"/>
    </row>
    <row r="62" spans="1:28" ht="15" customHeight="1">
      <c r="A62" s="11">
        <v>48</v>
      </c>
      <c r="B62" s="14">
        <f t="shared" si="8"/>
        <v>45091</v>
      </c>
      <c r="C62" s="9">
        <f t="shared" si="9"/>
        <v>842</v>
      </c>
      <c r="D62" s="8">
        <f t="shared" si="23"/>
        <v>1529</v>
      </c>
      <c r="E62" s="7">
        <f t="shared" si="1"/>
        <v>464</v>
      </c>
      <c r="F62" s="7">
        <f t="shared" si="2"/>
        <v>502</v>
      </c>
      <c r="G62" s="7">
        <f t="shared" si="3"/>
        <v>461</v>
      </c>
      <c r="H62" s="4">
        <f t="shared" si="4"/>
        <v>1907</v>
      </c>
      <c r="I62" s="4">
        <f t="shared" si="5"/>
        <v>1869</v>
      </c>
      <c r="J62" s="4">
        <f t="shared" si="6"/>
        <v>1910</v>
      </c>
      <c r="K62" s="4">
        <f t="shared" si="11"/>
        <v>2000</v>
      </c>
      <c r="L62" s="4">
        <f t="shared" si="12"/>
        <v>2000</v>
      </c>
      <c r="M62" s="4">
        <f t="shared" si="13"/>
        <v>2000</v>
      </c>
      <c r="N62" s="4">
        <f t="shared" si="14"/>
        <v>-93</v>
      </c>
      <c r="O62" s="4">
        <f t="shared" si="15"/>
        <v>-131</v>
      </c>
      <c r="P62" s="4">
        <f t="shared" si="16"/>
        <v>-90</v>
      </c>
      <c r="Q62" s="7">
        <v>6</v>
      </c>
      <c r="R62" s="7">
        <v>1</v>
      </c>
      <c r="S62" s="7">
        <v>3</v>
      </c>
      <c r="T62" s="5">
        <f t="shared" si="7"/>
        <v>1712</v>
      </c>
      <c r="U62" s="6">
        <f t="shared" si="21"/>
        <v>687</v>
      </c>
      <c r="V62" s="6">
        <f t="shared" si="22"/>
        <v>659</v>
      </c>
      <c r="W62" s="6">
        <f t="shared" si="20"/>
        <v>710</v>
      </c>
      <c r="X62" s="5"/>
      <c r="Y62" s="4"/>
      <c r="Z62" s="4"/>
      <c r="AA62" s="4"/>
      <c r="AB62" s="4"/>
    </row>
    <row r="63" spans="1:28" ht="15" customHeight="1">
      <c r="A63" s="11">
        <v>49</v>
      </c>
      <c r="B63" s="14">
        <f t="shared" si="8"/>
        <v>45092</v>
      </c>
      <c r="C63" s="9">
        <f t="shared" si="9"/>
        <v>842</v>
      </c>
      <c r="D63" s="8">
        <f t="shared" si="23"/>
        <v>1527</v>
      </c>
      <c r="E63" s="7">
        <f t="shared" si="1"/>
        <v>465</v>
      </c>
      <c r="F63" s="7">
        <f t="shared" si="2"/>
        <v>502</v>
      </c>
      <c r="G63" s="7">
        <f t="shared" si="3"/>
        <v>459</v>
      </c>
      <c r="H63" s="4">
        <f t="shared" si="4"/>
        <v>1904</v>
      </c>
      <c r="I63" s="4">
        <f t="shared" si="5"/>
        <v>1867</v>
      </c>
      <c r="J63" s="4">
        <f t="shared" si="6"/>
        <v>1910</v>
      </c>
      <c r="K63" s="4">
        <f t="shared" si="11"/>
        <v>2000</v>
      </c>
      <c r="L63" s="4">
        <f t="shared" si="12"/>
        <v>2000</v>
      </c>
      <c r="M63" s="4">
        <f t="shared" si="13"/>
        <v>2000</v>
      </c>
      <c r="N63" s="4">
        <f t="shared" si="14"/>
        <v>-96</v>
      </c>
      <c r="O63" s="4">
        <f t="shared" si="15"/>
        <v>-133</v>
      </c>
      <c r="P63" s="4">
        <f t="shared" si="16"/>
        <v>-90</v>
      </c>
      <c r="Q63" s="7">
        <v>3</v>
      </c>
      <c r="R63" s="7">
        <v>2</v>
      </c>
      <c r="S63" s="7">
        <v>0</v>
      </c>
      <c r="T63" s="5">
        <f t="shared" si="7"/>
        <v>1712</v>
      </c>
      <c r="U63" s="6">
        <f t="shared" si="21"/>
        <v>684</v>
      </c>
      <c r="V63" s="6">
        <f t="shared" si="22"/>
        <v>657</v>
      </c>
      <c r="W63" s="6">
        <f t="shared" si="20"/>
        <v>710</v>
      </c>
      <c r="X63" s="5"/>
      <c r="Y63" s="4"/>
      <c r="Z63" s="4"/>
      <c r="AA63" s="4"/>
      <c r="AB63" s="4"/>
    </row>
    <row r="64" spans="1:28" ht="15" customHeight="1">
      <c r="A64" s="11">
        <v>50</v>
      </c>
      <c r="B64" s="14">
        <f t="shared" si="8"/>
        <v>45093</v>
      </c>
      <c r="C64" s="9">
        <f t="shared" si="9"/>
        <v>842</v>
      </c>
      <c r="D64" s="8">
        <f t="shared" si="23"/>
        <v>1525</v>
      </c>
      <c r="E64" s="7">
        <f t="shared" si="1"/>
        <v>466</v>
      </c>
      <c r="F64" s="7">
        <f t="shared" si="2"/>
        <v>503</v>
      </c>
      <c r="G64" s="7">
        <f t="shared" si="3"/>
        <v>457</v>
      </c>
      <c r="H64" s="4">
        <f t="shared" si="4"/>
        <v>1901</v>
      </c>
      <c r="I64" s="4">
        <f t="shared" si="5"/>
        <v>1864</v>
      </c>
      <c r="J64" s="4">
        <f t="shared" si="6"/>
        <v>1910</v>
      </c>
      <c r="K64" s="4">
        <f t="shared" si="11"/>
        <v>2000</v>
      </c>
      <c r="L64" s="4">
        <f t="shared" si="12"/>
        <v>2000</v>
      </c>
      <c r="M64" s="4">
        <f t="shared" si="13"/>
        <v>2000</v>
      </c>
      <c r="N64" s="4">
        <f t="shared" si="14"/>
        <v>-99</v>
      </c>
      <c r="O64" s="4">
        <f t="shared" si="15"/>
        <v>-136</v>
      </c>
      <c r="P64" s="4">
        <f t="shared" si="16"/>
        <v>-90</v>
      </c>
      <c r="Q64" s="7">
        <v>3</v>
      </c>
      <c r="R64" s="7">
        <v>3</v>
      </c>
      <c r="S64" s="7">
        <v>0</v>
      </c>
      <c r="T64" s="5">
        <f t="shared" si="7"/>
        <v>1713</v>
      </c>
      <c r="U64" s="6">
        <f t="shared" si="21"/>
        <v>681</v>
      </c>
      <c r="V64" s="6">
        <f t="shared" si="22"/>
        <v>654</v>
      </c>
      <c r="W64" s="6">
        <f t="shared" si="20"/>
        <v>710</v>
      </c>
      <c r="X64" s="5"/>
      <c r="Y64" s="4"/>
      <c r="Z64" s="4"/>
      <c r="AA64" s="4"/>
      <c r="AB64" s="4"/>
    </row>
    <row r="65" spans="1:28" ht="15" customHeight="1">
      <c r="A65" s="11">
        <v>51</v>
      </c>
      <c r="B65" s="14">
        <f t="shared" si="8"/>
        <v>45094</v>
      </c>
      <c r="C65" s="9">
        <f t="shared" si="9"/>
        <v>842</v>
      </c>
      <c r="D65" s="8">
        <f t="shared" si="23"/>
        <v>1523</v>
      </c>
      <c r="E65" s="7">
        <f t="shared" si="1"/>
        <v>469</v>
      </c>
      <c r="F65" s="7">
        <f t="shared" si="2"/>
        <v>509</v>
      </c>
      <c r="G65" s="7">
        <f t="shared" si="3"/>
        <v>456</v>
      </c>
      <c r="H65" s="4">
        <f t="shared" si="4"/>
        <v>1896</v>
      </c>
      <c r="I65" s="4">
        <f t="shared" si="5"/>
        <v>1856</v>
      </c>
      <c r="J65" s="4">
        <f t="shared" si="6"/>
        <v>1909</v>
      </c>
      <c r="K65" s="4">
        <f t="shared" si="11"/>
        <v>2000</v>
      </c>
      <c r="L65" s="4">
        <f t="shared" si="12"/>
        <v>2000</v>
      </c>
      <c r="M65" s="4">
        <f t="shared" si="13"/>
        <v>2000</v>
      </c>
      <c r="N65" s="4">
        <f t="shared" si="14"/>
        <v>-104</v>
      </c>
      <c r="O65" s="4">
        <f t="shared" si="15"/>
        <v>-144</v>
      </c>
      <c r="P65" s="4">
        <f t="shared" si="16"/>
        <v>-91</v>
      </c>
      <c r="Q65" s="7">
        <v>5</v>
      </c>
      <c r="R65" s="7">
        <v>8</v>
      </c>
      <c r="S65" s="7">
        <v>1</v>
      </c>
      <c r="T65" s="5">
        <f t="shared" si="7"/>
        <v>1719</v>
      </c>
      <c r="U65" s="6">
        <f t="shared" si="21"/>
        <v>676</v>
      </c>
      <c r="V65" s="6">
        <f t="shared" si="22"/>
        <v>646</v>
      </c>
      <c r="W65" s="6">
        <f t="shared" si="20"/>
        <v>709</v>
      </c>
      <c r="X65" s="5"/>
      <c r="Y65" s="4"/>
      <c r="Z65" s="4"/>
      <c r="AA65" s="4"/>
      <c r="AB65" s="4"/>
    </row>
    <row r="66" spans="1:28" ht="15" customHeight="1">
      <c r="A66" s="11">
        <v>52</v>
      </c>
      <c r="B66" s="14">
        <f t="shared" si="8"/>
        <v>45095</v>
      </c>
      <c r="C66" s="9">
        <f t="shared" si="9"/>
        <v>842</v>
      </c>
      <c r="D66" s="8">
        <f t="shared" si="23"/>
        <v>1521</v>
      </c>
      <c r="E66" s="7">
        <f t="shared" si="1"/>
        <v>473</v>
      </c>
      <c r="F66" s="7">
        <f t="shared" si="2"/>
        <v>515</v>
      </c>
      <c r="G66" s="7">
        <f t="shared" si="3"/>
        <v>456</v>
      </c>
      <c r="H66" s="4">
        <f t="shared" si="4"/>
        <v>1890</v>
      </c>
      <c r="I66" s="4">
        <f t="shared" si="5"/>
        <v>1848</v>
      </c>
      <c r="J66" s="4">
        <f t="shared" si="6"/>
        <v>1907</v>
      </c>
      <c r="K66" s="4">
        <f t="shared" si="11"/>
        <v>2000</v>
      </c>
      <c r="L66" s="4">
        <f t="shared" si="12"/>
        <v>2000</v>
      </c>
      <c r="M66" s="4">
        <f t="shared" si="13"/>
        <v>2000</v>
      </c>
      <c r="N66" s="4">
        <f t="shared" si="14"/>
        <v>-110</v>
      </c>
      <c r="O66" s="4">
        <f t="shared" si="15"/>
        <v>-152</v>
      </c>
      <c r="P66" s="4">
        <f t="shared" si="16"/>
        <v>-93</v>
      </c>
      <c r="Q66" s="7">
        <v>6</v>
      </c>
      <c r="R66" s="7">
        <v>8</v>
      </c>
      <c r="S66" s="7">
        <v>2</v>
      </c>
      <c r="T66" s="5">
        <f t="shared" si="7"/>
        <v>1725</v>
      </c>
      <c r="U66" s="6">
        <f t="shared" si="21"/>
        <v>670</v>
      </c>
      <c r="V66" s="6">
        <f t="shared" si="22"/>
        <v>638</v>
      </c>
      <c r="W66" s="6">
        <f t="shared" si="20"/>
        <v>707</v>
      </c>
      <c r="X66" s="5"/>
      <c r="Y66" s="4"/>
      <c r="Z66" s="4"/>
      <c r="AA66" s="4"/>
      <c r="AB66" s="4"/>
    </row>
    <row r="67" spans="1:28" ht="15" customHeight="1">
      <c r="A67" s="11">
        <v>53</v>
      </c>
      <c r="B67" s="14">
        <f t="shared" si="8"/>
        <v>45096</v>
      </c>
      <c r="C67" s="9">
        <f t="shared" si="9"/>
        <v>842</v>
      </c>
      <c r="D67" s="8">
        <f t="shared" si="23"/>
        <v>1519</v>
      </c>
      <c r="E67" s="7">
        <f t="shared" si="1"/>
        <v>477</v>
      </c>
      <c r="F67" s="7">
        <f t="shared" si="2"/>
        <v>521</v>
      </c>
      <c r="G67" s="7">
        <f t="shared" si="3"/>
        <v>458</v>
      </c>
      <c r="H67" s="4">
        <f t="shared" si="4"/>
        <v>1884</v>
      </c>
      <c r="I67" s="4">
        <f t="shared" si="5"/>
        <v>1840</v>
      </c>
      <c r="J67" s="4">
        <f t="shared" si="6"/>
        <v>1903</v>
      </c>
      <c r="K67" s="4">
        <f t="shared" si="11"/>
        <v>2000</v>
      </c>
      <c r="L67" s="4">
        <f t="shared" si="12"/>
        <v>2000</v>
      </c>
      <c r="M67" s="4">
        <f t="shared" si="13"/>
        <v>2000</v>
      </c>
      <c r="N67" s="4">
        <f t="shared" si="14"/>
        <v>-116</v>
      </c>
      <c r="O67" s="4">
        <f t="shared" si="15"/>
        <v>-160</v>
      </c>
      <c r="P67" s="4">
        <f t="shared" si="16"/>
        <v>-97</v>
      </c>
      <c r="Q67" s="7">
        <v>6</v>
      </c>
      <c r="R67" s="7">
        <v>8</v>
      </c>
      <c r="S67" s="7">
        <v>4</v>
      </c>
      <c r="T67" s="5">
        <f t="shared" si="7"/>
        <v>1731</v>
      </c>
      <c r="U67" s="6">
        <f t="shared" si="21"/>
        <v>664</v>
      </c>
      <c r="V67" s="6">
        <f t="shared" si="22"/>
        <v>630</v>
      </c>
      <c r="W67" s="6">
        <f t="shared" si="20"/>
        <v>703</v>
      </c>
      <c r="X67" s="5"/>
      <c r="Y67" s="4"/>
      <c r="Z67" s="4"/>
      <c r="AA67" s="4"/>
      <c r="AB67" s="4"/>
    </row>
    <row r="68" spans="1:28" ht="15" customHeight="1">
      <c r="A68" s="11">
        <v>54</v>
      </c>
      <c r="B68" s="14">
        <f t="shared" si="8"/>
        <v>45097</v>
      </c>
      <c r="C68" s="9">
        <f t="shared" si="9"/>
        <v>842</v>
      </c>
      <c r="D68" s="8">
        <f t="shared" si="23"/>
        <v>1517</v>
      </c>
      <c r="E68" s="7">
        <f t="shared" si="1"/>
        <v>477</v>
      </c>
      <c r="F68" s="7">
        <f t="shared" si="2"/>
        <v>526</v>
      </c>
      <c r="G68" s="7">
        <f t="shared" si="3"/>
        <v>458</v>
      </c>
      <c r="H68" s="4">
        <f t="shared" si="4"/>
        <v>1882</v>
      </c>
      <c r="I68" s="4">
        <f t="shared" si="5"/>
        <v>1833</v>
      </c>
      <c r="J68" s="4">
        <f t="shared" si="6"/>
        <v>1901</v>
      </c>
      <c r="K68" s="4">
        <f t="shared" si="11"/>
        <v>2000</v>
      </c>
      <c r="L68" s="4">
        <f t="shared" si="12"/>
        <v>2000</v>
      </c>
      <c r="M68" s="4">
        <f t="shared" si="13"/>
        <v>2000</v>
      </c>
      <c r="N68" s="4">
        <f t="shared" si="14"/>
        <v>-118</v>
      </c>
      <c r="O68" s="4">
        <f t="shared" si="15"/>
        <v>-167</v>
      </c>
      <c r="P68" s="4">
        <f t="shared" si="16"/>
        <v>-99</v>
      </c>
      <c r="Q68" s="7">
        <v>2</v>
      </c>
      <c r="R68" s="7">
        <v>7</v>
      </c>
      <c r="S68" s="7">
        <v>2</v>
      </c>
      <c r="T68" s="5">
        <f t="shared" si="7"/>
        <v>1736</v>
      </c>
      <c r="U68" s="6">
        <f t="shared" si="21"/>
        <v>662</v>
      </c>
      <c r="V68" s="6">
        <f t="shared" si="22"/>
        <v>623</v>
      </c>
      <c r="W68" s="6">
        <f t="shared" si="20"/>
        <v>701</v>
      </c>
      <c r="X68" s="5"/>
      <c r="Y68" s="4"/>
      <c r="Z68" s="4"/>
      <c r="AA68" s="4"/>
      <c r="AB68" s="4"/>
    </row>
    <row r="69" spans="1:28" ht="15" customHeight="1">
      <c r="A69" s="11">
        <v>55</v>
      </c>
      <c r="B69" s="14">
        <f t="shared" si="8"/>
        <v>45098</v>
      </c>
      <c r="C69" s="9">
        <f t="shared" si="9"/>
        <v>842</v>
      </c>
      <c r="D69" s="8">
        <f t="shared" si="23"/>
        <v>1515</v>
      </c>
      <c r="E69" s="7">
        <f t="shared" si="1"/>
        <v>475</v>
      </c>
      <c r="F69" s="7">
        <f t="shared" si="2"/>
        <v>532</v>
      </c>
      <c r="G69" s="7">
        <f t="shared" si="3"/>
        <v>459</v>
      </c>
      <c r="H69" s="4">
        <f t="shared" si="4"/>
        <v>1882</v>
      </c>
      <c r="I69" s="4">
        <f t="shared" si="5"/>
        <v>1825</v>
      </c>
      <c r="J69" s="4">
        <f t="shared" si="6"/>
        <v>1898</v>
      </c>
      <c r="K69" s="4">
        <f t="shared" si="11"/>
        <v>2000</v>
      </c>
      <c r="L69" s="4">
        <f t="shared" si="12"/>
        <v>2000</v>
      </c>
      <c r="M69" s="4">
        <f t="shared" si="13"/>
        <v>2000</v>
      </c>
      <c r="N69" s="4">
        <f t="shared" si="14"/>
        <v>-118</v>
      </c>
      <c r="O69" s="4">
        <f t="shared" si="15"/>
        <v>-175</v>
      </c>
      <c r="P69" s="4">
        <f t="shared" si="16"/>
        <v>-102</v>
      </c>
      <c r="Q69" s="7">
        <v>0</v>
      </c>
      <c r="R69" s="7">
        <v>8</v>
      </c>
      <c r="S69" s="7">
        <v>3</v>
      </c>
      <c r="T69" s="5">
        <f t="shared" si="7"/>
        <v>1742</v>
      </c>
      <c r="U69" s="6">
        <f t="shared" si="21"/>
        <v>662</v>
      </c>
      <c r="V69" s="6">
        <f t="shared" si="22"/>
        <v>615</v>
      </c>
      <c r="W69" s="6">
        <f t="shared" si="20"/>
        <v>698</v>
      </c>
      <c r="X69" s="5"/>
      <c r="Y69" s="4"/>
      <c r="Z69" s="4"/>
      <c r="AA69" s="4"/>
      <c r="AB69" s="4"/>
    </row>
    <row r="70" spans="1:28" ht="15" customHeight="1">
      <c r="A70" s="11">
        <v>56</v>
      </c>
      <c r="B70" s="14">
        <f t="shared" si="8"/>
        <v>45099</v>
      </c>
      <c r="C70" s="9">
        <f t="shared" si="9"/>
        <v>842</v>
      </c>
      <c r="D70" s="8">
        <f t="shared" si="23"/>
        <v>1513</v>
      </c>
      <c r="E70" s="7">
        <f t="shared" si="1"/>
        <v>474</v>
      </c>
      <c r="F70" s="7">
        <f t="shared" si="2"/>
        <v>536</v>
      </c>
      <c r="G70" s="7">
        <f t="shared" si="3"/>
        <v>460</v>
      </c>
      <c r="H70" s="4">
        <f t="shared" si="4"/>
        <v>1881</v>
      </c>
      <c r="I70" s="4">
        <f t="shared" si="5"/>
        <v>1819</v>
      </c>
      <c r="J70" s="4">
        <f t="shared" si="6"/>
        <v>1895</v>
      </c>
      <c r="K70" s="4">
        <f t="shared" si="11"/>
        <v>2000</v>
      </c>
      <c r="L70" s="4">
        <f t="shared" si="12"/>
        <v>2000</v>
      </c>
      <c r="M70" s="4">
        <f t="shared" si="13"/>
        <v>2000</v>
      </c>
      <c r="N70" s="4">
        <f t="shared" si="14"/>
        <v>-119</v>
      </c>
      <c r="O70" s="4">
        <f t="shared" si="15"/>
        <v>-181</v>
      </c>
      <c r="P70" s="4">
        <f t="shared" si="16"/>
        <v>-105</v>
      </c>
      <c r="Q70" s="7">
        <v>1</v>
      </c>
      <c r="R70" s="7">
        <v>6</v>
      </c>
      <c r="S70" s="7">
        <v>3</v>
      </c>
      <c r="T70" s="5">
        <f t="shared" si="7"/>
        <v>1746</v>
      </c>
      <c r="U70" s="6">
        <f t="shared" si="21"/>
        <v>661</v>
      </c>
      <c r="V70" s="6">
        <f t="shared" si="22"/>
        <v>609</v>
      </c>
      <c r="W70" s="6">
        <f t="shared" si="20"/>
        <v>695</v>
      </c>
      <c r="X70" s="5"/>
      <c r="Y70" s="4"/>
      <c r="Z70" s="4"/>
      <c r="AA70" s="4"/>
      <c r="AB70" s="4"/>
    </row>
    <row r="71" spans="1:28" ht="15" customHeight="1">
      <c r="A71" s="11">
        <v>57</v>
      </c>
      <c r="B71" s="14">
        <f t="shared" si="8"/>
        <v>45100</v>
      </c>
      <c r="C71" s="9">
        <f t="shared" si="9"/>
        <v>842</v>
      </c>
      <c r="D71" s="8">
        <f t="shared" si="23"/>
        <v>1511</v>
      </c>
      <c r="E71" s="7">
        <f t="shared" si="1"/>
        <v>477</v>
      </c>
      <c r="F71" s="7">
        <f t="shared" si="2"/>
        <v>537</v>
      </c>
      <c r="G71" s="7">
        <f t="shared" si="3"/>
        <v>461</v>
      </c>
      <c r="H71" s="4">
        <f t="shared" si="4"/>
        <v>1876</v>
      </c>
      <c r="I71" s="4">
        <f t="shared" si="5"/>
        <v>1816</v>
      </c>
      <c r="J71" s="4">
        <f t="shared" si="6"/>
        <v>1892</v>
      </c>
      <c r="K71" s="4">
        <f t="shared" si="11"/>
        <v>2000</v>
      </c>
      <c r="L71" s="4">
        <f t="shared" si="12"/>
        <v>2000</v>
      </c>
      <c r="M71" s="4">
        <f t="shared" si="13"/>
        <v>2000</v>
      </c>
      <c r="N71" s="4">
        <f t="shared" si="14"/>
        <v>-124</v>
      </c>
      <c r="O71" s="4">
        <f t="shared" si="15"/>
        <v>-184</v>
      </c>
      <c r="P71" s="4">
        <f t="shared" si="16"/>
        <v>-108</v>
      </c>
      <c r="Q71" s="7">
        <v>5</v>
      </c>
      <c r="R71" s="7">
        <v>3</v>
      </c>
      <c r="S71" s="7">
        <v>3</v>
      </c>
      <c r="T71" s="5">
        <f t="shared" si="7"/>
        <v>1747</v>
      </c>
      <c r="U71" s="6">
        <f t="shared" si="21"/>
        <v>656</v>
      </c>
      <c r="V71" s="6">
        <f t="shared" si="22"/>
        <v>606</v>
      </c>
      <c r="W71" s="6">
        <f t="shared" si="20"/>
        <v>692</v>
      </c>
      <c r="X71" s="5"/>
      <c r="Y71" s="4"/>
      <c r="Z71" s="4"/>
      <c r="AA71" s="4"/>
      <c r="AB71" s="4"/>
    </row>
    <row r="72" spans="1:28" ht="15" customHeight="1">
      <c r="A72" s="11">
        <v>58</v>
      </c>
      <c r="B72" s="14">
        <f t="shared" si="8"/>
        <v>45101</v>
      </c>
      <c r="C72" s="9">
        <f t="shared" si="9"/>
        <v>842</v>
      </c>
      <c r="D72" s="8">
        <f t="shared" si="23"/>
        <v>1509</v>
      </c>
      <c r="E72" s="7">
        <f t="shared" si="1"/>
        <v>479</v>
      </c>
      <c r="F72" s="7">
        <f t="shared" si="2"/>
        <v>536</v>
      </c>
      <c r="G72" s="7">
        <f t="shared" si="3"/>
        <v>464</v>
      </c>
      <c r="H72" s="4">
        <f t="shared" si="4"/>
        <v>1872</v>
      </c>
      <c r="I72" s="4">
        <f t="shared" si="5"/>
        <v>1815</v>
      </c>
      <c r="J72" s="4">
        <f t="shared" si="6"/>
        <v>1887</v>
      </c>
      <c r="K72" s="4">
        <f t="shared" si="11"/>
        <v>2000</v>
      </c>
      <c r="L72" s="4">
        <f t="shared" si="12"/>
        <v>2000</v>
      </c>
      <c r="M72" s="4">
        <f t="shared" si="13"/>
        <v>2000</v>
      </c>
      <c r="N72" s="4">
        <f t="shared" si="14"/>
        <v>-128</v>
      </c>
      <c r="O72" s="4">
        <f t="shared" si="15"/>
        <v>-185</v>
      </c>
      <c r="P72" s="4">
        <f t="shared" si="16"/>
        <v>-113</v>
      </c>
      <c r="Q72" s="7">
        <v>4</v>
      </c>
      <c r="R72" s="7">
        <v>1</v>
      </c>
      <c r="S72" s="7">
        <v>5</v>
      </c>
      <c r="T72" s="5">
        <f t="shared" si="7"/>
        <v>1746</v>
      </c>
      <c r="U72" s="6">
        <f t="shared" si="21"/>
        <v>652</v>
      </c>
      <c r="V72" s="6">
        <f t="shared" si="22"/>
        <v>605</v>
      </c>
      <c r="W72" s="6">
        <f t="shared" si="20"/>
        <v>687</v>
      </c>
      <c r="X72" s="5"/>
      <c r="Y72" s="4"/>
      <c r="Z72" s="4"/>
      <c r="AA72" s="4"/>
      <c r="AB72" s="4"/>
    </row>
    <row r="73" spans="1:28" ht="15" customHeight="1">
      <c r="A73" s="11">
        <v>59</v>
      </c>
      <c r="B73" s="14">
        <f t="shared" si="8"/>
        <v>45102</v>
      </c>
      <c r="C73" s="9">
        <f t="shared" si="9"/>
        <v>842</v>
      </c>
      <c r="D73" s="8">
        <f t="shared" si="23"/>
        <v>1507</v>
      </c>
      <c r="E73" s="7">
        <f t="shared" si="1"/>
        <v>483</v>
      </c>
      <c r="F73" s="7">
        <f t="shared" si="2"/>
        <v>536</v>
      </c>
      <c r="G73" s="7">
        <f t="shared" si="3"/>
        <v>465</v>
      </c>
      <c r="H73" s="4">
        <f t="shared" si="4"/>
        <v>1866</v>
      </c>
      <c r="I73" s="4">
        <f t="shared" si="5"/>
        <v>1813</v>
      </c>
      <c r="J73" s="4">
        <f t="shared" si="6"/>
        <v>1884</v>
      </c>
      <c r="K73" s="4">
        <f t="shared" si="11"/>
        <v>2000</v>
      </c>
      <c r="L73" s="4">
        <f t="shared" si="12"/>
        <v>2000</v>
      </c>
      <c r="M73" s="4">
        <f t="shared" si="13"/>
        <v>2000</v>
      </c>
      <c r="N73" s="4">
        <f t="shared" si="14"/>
        <v>-134</v>
      </c>
      <c r="O73" s="4">
        <f t="shared" si="15"/>
        <v>-187</v>
      </c>
      <c r="P73" s="4">
        <f t="shared" si="16"/>
        <v>-116</v>
      </c>
      <c r="Q73" s="7">
        <v>6</v>
      </c>
      <c r="R73" s="7">
        <v>2</v>
      </c>
      <c r="S73" s="7">
        <v>3</v>
      </c>
      <c r="T73" s="5">
        <f t="shared" si="7"/>
        <v>1746</v>
      </c>
      <c r="U73" s="6">
        <f t="shared" si="21"/>
        <v>646</v>
      </c>
      <c r="V73" s="6">
        <f t="shared" si="22"/>
        <v>603</v>
      </c>
      <c r="W73" s="6">
        <f t="shared" si="20"/>
        <v>684</v>
      </c>
      <c r="X73" s="5"/>
      <c r="Y73" s="4"/>
      <c r="Z73" s="4"/>
      <c r="AA73" s="4"/>
      <c r="AB73" s="4"/>
    </row>
    <row r="74" spans="1:28" ht="15" customHeight="1">
      <c r="A74" s="11">
        <v>60</v>
      </c>
      <c r="B74" s="14">
        <f t="shared" si="8"/>
        <v>45103</v>
      </c>
      <c r="C74" s="9">
        <f t="shared" si="9"/>
        <v>842</v>
      </c>
      <c r="D74" s="8">
        <f t="shared" si="23"/>
        <v>1505</v>
      </c>
      <c r="E74" s="7">
        <f t="shared" si="1"/>
        <v>486</v>
      </c>
      <c r="F74" s="7">
        <f t="shared" si="2"/>
        <v>534</v>
      </c>
      <c r="G74" s="7">
        <f t="shared" si="3"/>
        <v>467</v>
      </c>
      <c r="H74" s="4">
        <f t="shared" si="4"/>
        <v>1861</v>
      </c>
      <c r="I74" s="4">
        <f t="shared" si="5"/>
        <v>1813</v>
      </c>
      <c r="J74" s="4">
        <f t="shared" si="6"/>
        <v>1880</v>
      </c>
      <c r="K74" s="4">
        <f t="shared" si="11"/>
        <v>2000</v>
      </c>
      <c r="L74" s="4">
        <f t="shared" si="12"/>
        <v>2000</v>
      </c>
      <c r="M74" s="4">
        <f t="shared" si="13"/>
        <v>2000</v>
      </c>
      <c r="N74" s="4">
        <f t="shared" si="14"/>
        <v>-139</v>
      </c>
      <c r="O74" s="4">
        <f t="shared" si="15"/>
        <v>-187</v>
      </c>
      <c r="P74" s="4">
        <f t="shared" si="16"/>
        <v>-120</v>
      </c>
      <c r="Q74" s="7">
        <v>5</v>
      </c>
      <c r="R74" s="7">
        <v>0</v>
      </c>
      <c r="S74" s="7">
        <v>4</v>
      </c>
      <c r="T74" s="5">
        <f t="shared" si="7"/>
        <v>1744</v>
      </c>
      <c r="U74" s="6">
        <f t="shared" si="21"/>
        <v>641</v>
      </c>
      <c r="V74" s="6">
        <f t="shared" si="22"/>
        <v>603</v>
      </c>
      <c r="W74" s="6">
        <f t="shared" si="20"/>
        <v>680</v>
      </c>
      <c r="X74" s="5"/>
      <c r="Y74" s="4"/>
      <c r="Z74" s="4"/>
      <c r="AA74" s="4"/>
      <c r="AB74" s="4"/>
    </row>
    <row r="75" spans="1:28" ht="15" customHeight="1">
      <c r="A75" s="11">
        <v>61</v>
      </c>
      <c r="B75" s="14">
        <f t="shared" si="8"/>
        <v>45104</v>
      </c>
      <c r="C75" s="9">
        <f t="shared" si="9"/>
        <v>842</v>
      </c>
      <c r="D75" s="8">
        <f t="shared" si="23"/>
        <v>1503</v>
      </c>
      <c r="E75" s="7">
        <f t="shared" si="1"/>
        <v>489</v>
      </c>
      <c r="F75" s="7">
        <f t="shared" si="2"/>
        <v>540</v>
      </c>
      <c r="G75" s="7">
        <f t="shared" si="3"/>
        <v>466</v>
      </c>
      <c r="H75" s="4">
        <f t="shared" si="4"/>
        <v>1856</v>
      </c>
      <c r="I75" s="4">
        <f t="shared" si="5"/>
        <v>1805</v>
      </c>
      <c r="J75" s="4">
        <f t="shared" si="6"/>
        <v>1879</v>
      </c>
      <c r="K75" s="4">
        <f t="shared" si="11"/>
        <v>2000</v>
      </c>
      <c r="L75" s="4">
        <f t="shared" si="12"/>
        <v>2000</v>
      </c>
      <c r="M75" s="4">
        <f t="shared" si="13"/>
        <v>2000</v>
      </c>
      <c r="N75" s="4">
        <f t="shared" si="14"/>
        <v>-144</v>
      </c>
      <c r="O75" s="4">
        <f t="shared" si="15"/>
        <v>-195</v>
      </c>
      <c r="P75" s="4">
        <f t="shared" si="16"/>
        <v>-121</v>
      </c>
      <c r="Q75" s="7">
        <v>5</v>
      </c>
      <c r="R75" s="7">
        <v>8</v>
      </c>
      <c r="S75" s="7">
        <v>1</v>
      </c>
      <c r="T75" s="5">
        <f t="shared" si="7"/>
        <v>1750</v>
      </c>
      <c r="U75" s="6">
        <f t="shared" si="21"/>
        <v>636</v>
      </c>
      <c r="V75" s="6">
        <f t="shared" si="22"/>
        <v>595</v>
      </c>
      <c r="W75" s="6">
        <f t="shared" si="20"/>
        <v>679</v>
      </c>
      <c r="X75" s="5"/>
      <c r="Y75" s="4"/>
      <c r="Z75" s="4"/>
      <c r="AA75" s="4"/>
      <c r="AB75" s="4"/>
    </row>
    <row r="76" spans="1:28" ht="15">
      <c r="A76" s="11">
        <v>62</v>
      </c>
      <c r="B76" s="14">
        <f t="shared" si="8"/>
        <v>45105</v>
      </c>
      <c r="C76" s="9">
        <f t="shared" si="9"/>
        <v>842</v>
      </c>
      <c r="D76" s="8">
        <f t="shared" si="23"/>
        <v>1501</v>
      </c>
      <c r="E76" s="7">
        <f t="shared" si="1"/>
        <v>493</v>
      </c>
      <c r="F76" s="7">
        <f t="shared" si="2"/>
        <v>546</v>
      </c>
      <c r="G76" s="7">
        <f t="shared" si="3"/>
        <v>466</v>
      </c>
      <c r="H76" s="4">
        <f t="shared" si="4"/>
        <v>1850</v>
      </c>
      <c r="I76" s="4">
        <f t="shared" si="5"/>
        <v>1797</v>
      </c>
      <c r="J76" s="4">
        <f t="shared" si="6"/>
        <v>1877</v>
      </c>
      <c r="K76" s="4">
        <f t="shared" si="11"/>
        <v>2000</v>
      </c>
      <c r="L76" s="4">
        <f t="shared" si="12"/>
        <v>2000</v>
      </c>
      <c r="M76" s="4">
        <f t="shared" si="13"/>
        <v>2000</v>
      </c>
      <c r="N76" s="4">
        <f t="shared" si="14"/>
        <v>-150</v>
      </c>
      <c r="O76" s="4">
        <f t="shared" si="15"/>
        <v>-203</v>
      </c>
      <c r="P76" s="4">
        <f t="shared" si="16"/>
        <v>-123</v>
      </c>
      <c r="Q76" s="7">
        <v>6</v>
      </c>
      <c r="R76" s="7">
        <v>8</v>
      </c>
      <c r="S76" s="7">
        <v>2</v>
      </c>
      <c r="T76" s="5">
        <f t="shared" si="7"/>
        <v>1756</v>
      </c>
      <c r="U76" s="6">
        <f t="shared" si="21"/>
        <v>630</v>
      </c>
      <c r="V76" s="6">
        <f t="shared" si="22"/>
        <v>587</v>
      </c>
      <c r="W76" s="6">
        <f t="shared" si="20"/>
        <v>677</v>
      </c>
      <c r="X76" s="5"/>
      <c r="Y76" s="4"/>
      <c r="Z76" s="4"/>
      <c r="AA76" s="4"/>
      <c r="AB76" s="4"/>
    </row>
    <row r="77" spans="1:28" ht="15" customHeight="1">
      <c r="A77" s="11">
        <v>63</v>
      </c>
      <c r="B77" s="14">
        <f t="shared" si="8"/>
        <v>45106</v>
      </c>
      <c r="C77" s="9">
        <f t="shared" si="9"/>
        <v>842</v>
      </c>
      <c r="D77" s="8">
        <f t="shared" si="23"/>
        <v>1499</v>
      </c>
      <c r="E77" s="7">
        <f t="shared" si="1"/>
        <v>497</v>
      </c>
      <c r="F77" s="7">
        <f t="shared" si="2"/>
        <v>552</v>
      </c>
      <c r="G77" s="7">
        <f t="shared" si="3"/>
        <v>468</v>
      </c>
      <c r="H77" s="4">
        <f t="shared" si="4"/>
        <v>1844</v>
      </c>
      <c r="I77" s="4">
        <f t="shared" si="5"/>
        <v>1789</v>
      </c>
      <c r="J77" s="4">
        <f t="shared" si="6"/>
        <v>1873</v>
      </c>
      <c r="K77" s="4">
        <f t="shared" si="11"/>
        <v>2000</v>
      </c>
      <c r="L77" s="4">
        <f t="shared" si="12"/>
        <v>2000</v>
      </c>
      <c r="M77" s="4">
        <f t="shared" si="13"/>
        <v>2000</v>
      </c>
      <c r="N77" s="4">
        <f t="shared" si="14"/>
        <v>-156</v>
      </c>
      <c r="O77" s="4">
        <f t="shared" si="15"/>
        <v>-211</v>
      </c>
      <c r="P77" s="4">
        <f t="shared" si="16"/>
        <v>-127</v>
      </c>
      <c r="Q77" s="7">
        <v>6</v>
      </c>
      <c r="R77" s="7">
        <v>8</v>
      </c>
      <c r="S77" s="7">
        <v>4</v>
      </c>
      <c r="T77" s="5">
        <f t="shared" si="7"/>
        <v>1762</v>
      </c>
      <c r="U77" s="6">
        <f t="shared" si="21"/>
        <v>624</v>
      </c>
      <c r="V77" s="6">
        <f t="shared" si="22"/>
        <v>579</v>
      </c>
      <c r="W77" s="6">
        <f t="shared" si="20"/>
        <v>673</v>
      </c>
      <c r="X77" s="5"/>
      <c r="Y77" s="4"/>
      <c r="Z77" s="4"/>
      <c r="AA77" s="4"/>
      <c r="AB77" s="4"/>
    </row>
    <row r="78" spans="1:28" ht="15" customHeight="1">
      <c r="A78" s="11">
        <v>64</v>
      </c>
      <c r="B78" s="14">
        <f t="shared" si="8"/>
        <v>45107</v>
      </c>
      <c r="C78" s="9">
        <f t="shared" si="9"/>
        <v>842</v>
      </c>
      <c r="D78" s="8">
        <f t="shared" si="23"/>
        <v>1497</v>
      </c>
      <c r="E78" s="7">
        <f t="shared" ref="E78:E141" si="24">C78+D78-H78</f>
        <v>503</v>
      </c>
      <c r="F78" s="7">
        <f t="shared" ref="F78:F141" si="25">C78+D78-I78</f>
        <v>558</v>
      </c>
      <c r="G78" s="7">
        <f t="shared" ref="G78:G141" si="26">D78+C78-J78</f>
        <v>471</v>
      </c>
      <c r="H78" s="4">
        <f t="shared" ref="H78:H141" si="27">K78+N78</f>
        <v>1836</v>
      </c>
      <c r="I78" s="4">
        <f t="shared" ref="I78:I141" si="28">L78+O78</f>
        <v>1781</v>
      </c>
      <c r="J78" s="4">
        <f t="shared" ref="J78:J141" si="29">M78+P78</f>
        <v>1868</v>
      </c>
      <c r="K78" s="4">
        <f t="shared" si="11"/>
        <v>2000</v>
      </c>
      <c r="L78" s="4">
        <f t="shared" si="12"/>
        <v>2000</v>
      </c>
      <c r="M78" s="4">
        <f t="shared" si="13"/>
        <v>2000</v>
      </c>
      <c r="N78" s="4">
        <f t="shared" si="14"/>
        <v>-164</v>
      </c>
      <c r="O78" s="4">
        <f t="shared" si="15"/>
        <v>-219</v>
      </c>
      <c r="P78" s="4">
        <f t="shared" si="16"/>
        <v>-132</v>
      </c>
      <c r="Q78" s="7">
        <v>8</v>
      </c>
      <c r="R78" s="7">
        <v>8</v>
      </c>
      <c r="S78" s="7">
        <v>5</v>
      </c>
      <c r="T78" s="5">
        <f t="shared" ref="T78:T141" si="30">D78+C78-V78</f>
        <v>1768</v>
      </c>
      <c r="U78" s="6">
        <f t="shared" si="21"/>
        <v>616</v>
      </c>
      <c r="V78" s="6">
        <f t="shared" si="22"/>
        <v>571</v>
      </c>
      <c r="W78" s="6">
        <f t="shared" si="20"/>
        <v>668</v>
      </c>
      <c r="X78" s="5"/>
      <c r="Y78" s="4"/>
      <c r="Z78" s="4"/>
      <c r="AA78" s="4"/>
      <c r="AB78" s="4"/>
    </row>
    <row r="79" spans="1:28" ht="15" customHeight="1">
      <c r="A79" s="11">
        <v>65</v>
      </c>
      <c r="B79" s="14">
        <f t="shared" ref="B79:B142" si="31">B78+1</f>
        <v>45108</v>
      </c>
      <c r="C79" s="9">
        <f t="shared" ref="C79:C142" si="32">C78</f>
        <v>842</v>
      </c>
      <c r="D79" s="8">
        <f t="shared" ref="D79:D110" si="33">D78-2</f>
        <v>1495</v>
      </c>
      <c r="E79" s="7">
        <f t="shared" si="24"/>
        <v>507</v>
      </c>
      <c r="F79" s="7">
        <f t="shared" si="25"/>
        <v>563</v>
      </c>
      <c r="G79" s="7">
        <f t="shared" si="26"/>
        <v>477</v>
      </c>
      <c r="H79" s="4">
        <f t="shared" si="27"/>
        <v>1830</v>
      </c>
      <c r="I79" s="4">
        <f t="shared" si="28"/>
        <v>1774</v>
      </c>
      <c r="J79" s="4">
        <f t="shared" si="29"/>
        <v>1860</v>
      </c>
      <c r="K79" s="4">
        <f t="shared" ref="K79:K142" si="34">K78</f>
        <v>2000</v>
      </c>
      <c r="L79" s="4">
        <f t="shared" ref="L79:L142" si="35">L78</f>
        <v>2000</v>
      </c>
      <c r="M79" s="4">
        <f t="shared" ref="M79:M142" si="36">M78</f>
        <v>2000</v>
      </c>
      <c r="N79" s="4">
        <f t="shared" ref="N79:N142" si="37">N78-Q79</f>
        <v>-170</v>
      </c>
      <c r="O79" s="4">
        <f t="shared" ref="O79:O142" si="38">O78-R79</f>
        <v>-226</v>
      </c>
      <c r="P79" s="4">
        <f t="shared" ref="P79:P142" si="39">P78-S79</f>
        <v>-140</v>
      </c>
      <c r="Q79" s="7">
        <v>6</v>
      </c>
      <c r="R79" s="7">
        <v>7</v>
      </c>
      <c r="S79" s="7">
        <v>8</v>
      </c>
      <c r="T79" s="5">
        <f t="shared" si="30"/>
        <v>1773</v>
      </c>
      <c r="U79" s="6">
        <f t="shared" si="21"/>
        <v>610</v>
      </c>
      <c r="V79" s="6">
        <f t="shared" si="22"/>
        <v>564</v>
      </c>
      <c r="W79" s="6">
        <f t="shared" si="20"/>
        <v>660</v>
      </c>
      <c r="X79" s="5"/>
      <c r="Y79" s="4"/>
      <c r="Z79" s="4"/>
      <c r="AA79" s="4"/>
      <c r="AB79" s="4"/>
    </row>
    <row r="80" spans="1:28" ht="15" customHeight="1">
      <c r="A80" s="11">
        <v>66</v>
      </c>
      <c r="B80" s="14">
        <f t="shared" si="31"/>
        <v>45109</v>
      </c>
      <c r="C80" s="9">
        <f t="shared" si="32"/>
        <v>842</v>
      </c>
      <c r="D80" s="8">
        <f t="shared" si="33"/>
        <v>1493</v>
      </c>
      <c r="E80" s="7">
        <f t="shared" si="24"/>
        <v>513</v>
      </c>
      <c r="F80" s="7">
        <f t="shared" si="25"/>
        <v>566</v>
      </c>
      <c r="G80" s="7">
        <f t="shared" si="26"/>
        <v>482</v>
      </c>
      <c r="H80" s="4">
        <f t="shared" si="27"/>
        <v>1822</v>
      </c>
      <c r="I80" s="4">
        <f t="shared" si="28"/>
        <v>1769</v>
      </c>
      <c r="J80" s="4">
        <f t="shared" si="29"/>
        <v>1853</v>
      </c>
      <c r="K80" s="4">
        <f t="shared" si="34"/>
        <v>2000</v>
      </c>
      <c r="L80" s="4">
        <f t="shared" si="35"/>
        <v>2000</v>
      </c>
      <c r="M80" s="4">
        <f t="shared" si="36"/>
        <v>2000</v>
      </c>
      <c r="N80" s="4">
        <f t="shared" si="37"/>
        <v>-178</v>
      </c>
      <c r="O80" s="4">
        <f t="shared" si="38"/>
        <v>-231</v>
      </c>
      <c r="P80" s="4">
        <f t="shared" si="39"/>
        <v>-147</v>
      </c>
      <c r="Q80" s="7">
        <v>8</v>
      </c>
      <c r="R80" s="7">
        <v>5</v>
      </c>
      <c r="S80" s="7">
        <v>7</v>
      </c>
      <c r="T80" s="5">
        <f t="shared" si="30"/>
        <v>1776</v>
      </c>
      <c r="U80" s="6">
        <f t="shared" si="21"/>
        <v>602</v>
      </c>
      <c r="V80" s="6">
        <f t="shared" si="22"/>
        <v>559</v>
      </c>
      <c r="W80" s="6">
        <f t="shared" si="20"/>
        <v>653</v>
      </c>
      <c r="X80" s="5"/>
      <c r="Y80" s="4"/>
      <c r="Z80" s="4"/>
      <c r="AA80" s="4"/>
      <c r="AB80" s="4"/>
    </row>
    <row r="81" spans="1:28" ht="15" customHeight="1">
      <c r="A81" s="11">
        <v>67</v>
      </c>
      <c r="B81" s="14">
        <f t="shared" si="31"/>
        <v>45110</v>
      </c>
      <c r="C81" s="9">
        <f t="shared" si="32"/>
        <v>842</v>
      </c>
      <c r="D81" s="8">
        <f t="shared" si="33"/>
        <v>1491</v>
      </c>
      <c r="E81" s="7">
        <f t="shared" si="24"/>
        <v>518</v>
      </c>
      <c r="F81" s="7">
        <f t="shared" si="25"/>
        <v>570</v>
      </c>
      <c r="G81" s="7">
        <f t="shared" si="26"/>
        <v>485</v>
      </c>
      <c r="H81" s="4">
        <f t="shared" si="27"/>
        <v>1815</v>
      </c>
      <c r="I81" s="4">
        <f t="shared" si="28"/>
        <v>1763</v>
      </c>
      <c r="J81" s="4">
        <f t="shared" si="29"/>
        <v>1848</v>
      </c>
      <c r="K81" s="4">
        <f t="shared" si="34"/>
        <v>2000</v>
      </c>
      <c r="L81" s="4">
        <f t="shared" si="35"/>
        <v>2000</v>
      </c>
      <c r="M81" s="4">
        <f t="shared" si="36"/>
        <v>2000</v>
      </c>
      <c r="N81" s="4">
        <f t="shared" si="37"/>
        <v>-185</v>
      </c>
      <c r="O81" s="4">
        <f t="shared" si="38"/>
        <v>-237</v>
      </c>
      <c r="P81" s="4">
        <f t="shared" si="39"/>
        <v>-152</v>
      </c>
      <c r="Q81" s="7">
        <v>7</v>
      </c>
      <c r="R81" s="7">
        <v>6</v>
      </c>
      <c r="S81" s="7">
        <v>5</v>
      </c>
      <c r="T81" s="5">
        <f t="shared" si="30"/>
        <v>1780</v>
      </c>
      <c r="U81" s="6">
        <f t="shared" si="21"/>
        <v>595</v>
      </c>
      <c r="V81" s="6">
        <f t="shared" si="22"/>
        <v>553</v>
      </c>
      <c r="W81" s="6">
        <f t="shared" si="20"/>
        <v>648</v>
      </c>
      <c r="X81" s="5"/>
      <c r="Y81" s="4"/>
      <c r="Z81" s="4"/>
      <c r="AA81" s="4"/>
      <c r="AB81" s="4"/>
    </row>
    <row r="82" spans="1:28" ht="15" customHeight="1">
      <c r="A82" s="11">
        <v>68</v>
      </c>
      <c r="B82" s="14">
        <f t="shared" si="31"/>
        <v>45111</v>
      </c>
      <c r="C82" s="9">
        <f t="shared" si="32"/>
        <v>842</v>
      </c>
      <c r="D82" s="8">
        <f t="shared" si="33"/>
        <v>1489</v>
      </c>
      <c r="E82" s="7">
        <f t="shared" si="24"/>
        <v>521</v>
      </c>
      <c r="F82" s="7">
        <f t="shared" si="25"/>
        <v>574</v>
      </c>
      <c r="G82" s="7">
        <f t="shared" si="26"/>
        <v>487</v>
      </c>
      <c r="H82" s="4">
        <f t="shared" si="27"/>
        <v>1810</v>
      </c>
      <c r="I82" s="4">
        <f t="shared" si="28"/>
        <v>1757</v>
      </c>
      <c r="J82" s="4">
        <f t="shared" si="29"/>
        <v>1844</v>
      </c>
      <c r="K82" s="4">
        <f t="shared" si="34"/>
        <v>2000</v>
      </c>
      <c r="L82" s="4">
        <f t="shared" si="35"/>
        <v>2000</v>
      </c>
      <c r="M82" s="4">
        <f t="shared" si="36"/>
        <v>2000</v>
      </c>
      <c r="N82" s="4">
        <f t="shared" si="37"/>
        <v>-190</v>
      </c>
      <c r="O82" s="4">
        <f t="shared" si="38"/>
        <v>-243</v>
      </c>
      <c r="P82" s="4">
        <f t="shared" si="39"/>
        <v>-156</v>
      </c>
      <c r="Q82" s="7">
        <v>5</v>
      </c>
      <c r="R82" s="7">
        <v>6</v>
      </c>
      <c r="S82" s="7">
        <v>4</v>
      </c>
      <c r="T82" s="5">
        <f t="shared" si="30"/>
        <v>1784</v>
      </c>
      <c r="U82" s="6">
        <f t="shared" si="21"/>
        <v>590</v>
      </c>
      <c r="V82" s="6">
        <f t="shared" si="22"/>
        <v>547</v>
      </c>
      <c r="W82" s="6">
        <f t="shared" si="20"/>
        <v>644</v>
      </c>
      <c r="X82" s="5"/>
      <c r="Y82" s="4"/>
      <c r="Z82" s="4"/>
      <c r="AA82" s="4"/>
      <c r="AB82" s="4"/>
    </row>
    <row r="83" spans="1:28" ht="15" customHeight="1">
      <c r="A83" s="11">
        <v>69</v>
      </c>
      <c r="B83" s="14">
        <f t="shared" si="31"/>
        <v>45112</v>
      </c>
      <c r="C83" s="9">
        <f t="shared" si="32"/>
        <v>842</v>
      </c>
      <c r="D83" s="8">
        <f t="shared" si="33"/>
        <v>1487</v>
      </c>
      <c r="E83" s="7">
        <f t="shared" si="24"/>
        <v>525</v>
      </c>
      <c r="F83" s="7">
        <f t="shared" si="25"/>
        <v>576</v>
      </c>
      <c r="G83" s="7">
        <f t="shared" si="26"/>
        <v>488</v>
      </c>
      <c r="H83" s="4">
        <f t="shared" si="27"/>
        <v>1804</v>
      </c>
      <c r="I83" s="4">
        <f t="shared" si="28"/>
        <v>1753</v>
      </c>
      <c r="J83" s="4">
        <f t="shared" si="29"/>
        <v>1841</v>
      </c>
      <c r="K83" s="4">
        <f t="shared" si="34"/>
        <v>2000</v>
      </c>
      <c r="L83" s="4">
        <f t="shared" si="35"/>
        <v>2000</v>
      </c>
      <c r="M83" s="4">
        <f t="shared" si="36"/>
        <v>2000</v>
      </c>
      <c r="N83" s="4">
        <f t="shared" si="37"/>
        <v>-196</v>
      </c>
      <c r="O83" s="4">
        <f t="shared" si="38"/>
        <v>-247</v>
      </c>
      <c r="P83" s="4">
        <f t="shared" si="39"/>
        <v>-159</v>
      </c>
      <c r="Q83" s="7">
        <v>6</v>
      </c>
      <c r="R83" s="7">
        <v>4</v>
      </c>
      <c r="S83" s="7">
        <v>3</v>
      </c>
      <c r="T83" s="5">
        <f t="shared" si="30"/>
        <v>1786</v>
      </c>
      <c r="U83" s="6">
        <f t="shared" si="21"/>
        <v>584</v>
      </c>
      <c r="V83" s="6">
        <f t="shared" si="22"/>
        <v>543</v>
      </c>
      <c r="W83" s="6">
        <f t="shared" si="20"/>
        <v>641</v>
      </c>
      <c r="X83" s="5"/>
      <c r="Y83" s="4"/>
      <c r="Z83" s="4"/>
      <c r="AA83" s="4"/>
      <c r="AB83" s="4"/>
    </row>
    <row r="84" spans="1:28" ht="15" customHeight="1">
      <c r="A84" s="11">
        <v>70</v>
      </c>
      <c r="B84" s="14">
        <f t="shared" si="31"/>
        <v>45113</v>
      </c>
      <c r="C84" s="9">
        <f t="shared" si="32"/>
        <v>842</v>
      </c>
      <c r="D84" s="8">
        <f t="shared" si="33"/>
        <v>1485</v>
      </c>
      <c r="E84" s="7">
        <f t="shared" si="24"/>
        <v>529</v>
      </c>
      <c r="F84" s="7">
        <f t="shared" si="25"/>
        <v>578</v>
      </c>
      <c r="G84" s="7">
        <f t="shared" si="26"/>
        <v>488</v>
      </c>
      <c r="H84" s="4">
        <f t="shared" si="27"/>
        <v>1798</v>
      </c>
      <c r="I84" s="4">
        <f t="shared" si="28"/>
        <v>1749</v>
      </c>
      <c r="J84" s="4">
        <f t="shared" si="29"/>
        <v>1839</v>
      </c>
      <c r="K84" s="4">
        <f t="shared" si="34"/>
        <v>2000</v>
      </c>
      <c r="L84" s="4">
        <f t="shared" si="35"/>
        <v>2000</v>
      </c>
      <c r="M84" s="4">
        <f t="shared" si="36"/>
        <v>2000</v>
      </c>
      <c r="N84" s="4">
        <f t="shared" si="37"/>
        <v>-202</v>
      </c>
      <c r="O84" s="4">
        <f t="shared" si="38"/>
        <v>-251</v>
      </c>
      <c r="P84" s="4">
        <f t="shared" si="39"/>
        <v>-161</v>
      </c>
      <c r="Q84" s="7">
        <v>6</v>
      </c>
      <c r="R84" s="7">
        <v>4</v>
      </c>
      <c r="S84" s="7">
        <v>2</v>
      </c>
      <c r="T84" s="5">
        <f t="shared" si="30"/>
        <v>1788</v>
      </c>
      <c r="U84" s="6">
        <f t="shared" si="21"/>
        <v>578</v>
      </c>
      <c r="V84" s="6">
        <f t="shared" si="22"/>
        <v>539</v>
      </c>
      <c r="W84" s="6">
        <f t="shared" si="20"/>
        <v>639</v>
      </c>
      <c r="X84" s="5"/>
      <c r="Y84" s="4"/>
      <c r="Z84" s="4"/>
      <c r="AA84" s="4"/>
      <c r="AB84" s="4"/>
    </row>
    <row r="85" spans="1:28" ht="15" customHeight="1">
      <c r="A85" s="11">
        <v>71</v>
      </c>
      <c r="B85" s="14">
        <f t="shared" si="31"/>
        <v>45114</v>
      </c>
      <c r="C85" s="9">
        <f t="shared" si="32"/>
        <v>842</v>
      </c>
      <c r="D85" s="8">
        <f t="shared" si="33"/>
        <v>1483</v>
      </c>
      <c r="E85" s="7">
        <f t="shared" si="24"/>
        <v>531</v>
      </c>
      <c r="F85" s="7">
        <f t="shared" si="25"/>
        <v>578</v>
      </c>
      <c r="G85" s="7">
        <f t="shared" si="26"/>
        <v>488</v>
      </c>
      <c r="H85" s="4">
        <f t="shared" si="27"/>
        <v>1794</v>
      </c>
      <c r="I85" s="4">
        <f t="shared" si="28"/>
        <v>1747</v>
      </c>
      <c r="J85" s="4">
        <f t="shared" si="29"/>
        <v>1837</v>
      </c>
      <c r="K85" s="4">
        <f t="shared" si="34"/>
        <v>2000</v>
      </c>
      <c r="L85" s="4">
        <f t="shared" si="35"/>
        <v>2000</v>
      </c>
      <c r="M85" s="4">
        <f t="shared" si="36"/>
        <v>2000</v>
      </c>
      <c r="N85" s="4">
        <f t="shared" si="37"/>
        <v>-206</v>
      </c>
      <c r="O85" s="4">
        <f t="shared" si="38"/>
        <v>-253</v>
      </c>
      <c r="P85" s="4">
        <f t="shared" si="39"/>
        <v>-163</v>
      </c>
      <c r="Q85" s="7">
        <v>4</v>
      </c>
      <c r="R85" s="7">
        <v>2</v>
      </c>
      <c r="S85" s="7">
        <v>2</v>
      </c>
      <c r="T85" s="5">
        <f t="shared" si="30"/>
        <v>1788</v>
      </c>
      <c r="U85" s="6">
        <f t="shared" si="21"/>
        <v>574</v>
      </c>
      <c r="V85" s="6">
        <f t="shared" si="22"/>
        <v>537</v>
      </c>
      <c r="W85" s="6">
        <f t="shared" si="20"/>
        <v>637</v>
      </c>
      <c r="X85" s="5"/>
      <c r="Y85" s="4"/>
      <c r="Z85" s="4"/>
      <c r="AA85" s="4"/>
      <c r="AB85" s="4"/>
    </row>
    <row r="86" spans="1:28" ht="15" customHeight="1">
      <c r="A86" s="11">
        <v>72</v>
      </c>
      <c r="B86" s="14">
        <f t="shared" si="31"/>
        <v>45115</v>
      </c>
      <c r="C86" s="9">
        <f t="shared" si="32"/>
        <v>842</v>
      </c>
      <c r="D86" s="8">
        <f t="shared" si="33"/>
        <v>1481</v>
      </c>
      <c r="E86" s="7">
        <f t="shared" si="24"/>
        <v>533</v>
      </c>
      <c r="F86" s="7">
        <f t="shared" si="25"/>
        <v>578</v>
      </c>
      <c r="G86" s="7">
        <f t="shared" si="26"/>
        <v>488</v>
      </c>
      <c r="H86" s="4">
        <f t="shared" si="27"/>
        <v>1790</v>
      </c>
      <c r="I86" s="4">
        <f t="shared" si="28"/>
        <v>1745</v>
      </c>
      <c r="J86" s="4">
        <f t="shared" si="29"/>
        <v>1835</v>
      </c>
      <c r="K86" s="4">
        <f t="shared" si="34"/>
        <v>2000</v>
      </c>
      <c r="L86" s="4">
        <f t="shared" si="35"/>
        <v>2000</v>
      </c>
      <c r="M86" s="4">
        <f t="shared" si="36"/>
        <v>2000</v>
      </c>
      <c r="N86" s="4">
        <f t="shared" si="37"/>
        <v>-210</v>
      </c>
      <c r="O86" s="4">
        <f t="shared" si="38"/>
        <v>-255</v>
      </c>
      <c r="P86" s="4">
        <f t="shared" si="39"/>
        <v>-165</v>
      </c>
      <c r="Q86" s="7">
        <v>4</v>
      </c>
      <c r="R86" s="7">
        <v>2</v>
      </c>
      <c r="S86" s="7">
        <v>2</v>
      </c>
      <c r="T86" s="5">
        <f t="shared" si="30"/>
        <v>1788</v>
      </c>
      <c r="U86" s="6">
        <f t="shared" si="21"/>
        <v>570</v>
      </c>
      <c r="V86" s="6">
        <f t="shared" si="22"/>
        <v>535</v>
      </c>
      <c r="W86" s="6">
        <f t="shared" si="20"/>
        <v>635</v>
      </c>
      <c r="X86" s="5"/>
      <c r="Y86" s="4"/>
      <c r="Z86" s="4"/>
      <c r="AA86" s="4"/>
      <c r="AB86" s="4"/>
    </row>
    <row r="87" spans="1:28" ht="15" customHeight="1">
      <c r="A87" s="11">
        <v>73</v>
      </c>
      <c r="B87" s="14">
        <f t="shared" si="31"/>
        <v>45116</v>
      </c>
      <c r="C87" s="9">
        <f t="shared" si="32"/>
        <v>842</v>
      </c>
      <c r="D87" s="8">
        <f t="shared" si="33"/>
        <v>1479</v>
      </c>
      <c r="E87" s="7">
        <f t="shared" si="24"/>
        <v>535</v>
      </c>
      <c r="F87" s="7">
        <f t="shared" si="25"/>
        <v>578</v>
      </c>
      <c r="G87" s="7">
        <f t="shared" si="26"/>
        <v>488</v>
      </c>
      <c r="H87" s="4">
        <f t="shared" si="27"/>
        <v>1786</v>
      </c>
      <c r="I87" s="4">
        <f t="shared" si="28"/>
        <v>1743</v>
      </c>
      <c r="J87" s="4">
        <f t="shared" si="29"/>
        <v>1833</v>
      </c>
      <c r="K87" s="4">
        <f t="shared" si="34"/>
        <v>2000</v>
      </c>
      <c r="L87" s="4">
        <f t="shared" si="35"/>
        <v>2000</v>
      </c>
      <c r="M87" s="4">
        <f t="shared" si="36"/>
        <v>2000</v>
      </c>
      <c r="N87" s="4">
        <f t="shared" si="37"/>
        <v>-214</v>
      </c>
      <c r="O87" s="4">
        <f t="shared" si="38"/>
        <v>-257</v>
      </c>
      <c r="P87" s="4">
        <f t="shared" si="39"/>
        <v>-167</v>
      </c>
      <c r="Q87" s="7">
        <v>4</v>
      </c>
      <c r="R87" s="7">
        <v>2</v>
      </c>
      <c r="S87" s="7">
        <v>2</v>
      </c>
      <c r="T87" s="5">
        <f t="shared" si="30"/>
        <v>1788</v>
      </c>
      <c r="U87" s="6">
        <f t="shared" si="21"/>
        <v>566</v>
      </c>
      <c r="V87" s="6">
        <f t="shared" si="22"/>
        <v>533</v>
      </c>
      <c r="W87" s="6">
        <f t="shared" si="20"/>
        <v>633</v>
      </c>
      <c r="X87" s="5"/>
      <c r="Y87" s="4"/>
      <c r="Z87" s="4"/>
      <c r="AA87" s="4"/>
      <c r="AB87" s="4"/>
    </row>
    <row r="88" spans="1:28" ht="15" customHeight="1">
      <c r="A88" s="11">
        <v>74</v>
      </c>
      <c r="B88" s="14">
        <f t="shared" si="31"/>
        <v>45117</v>
      </c>
      <c r="C88" s="9">
        <f t="shared" si="32"/>
        <v>842</v>
      </c>
      <c r="D88" s="8">
        <f t="shared" si="33"/>
        <v>1477</v>
      </c>
      <c r="E88" s="7">
        <f t="shared" si="24"/>
        <v>539</v>
      </c>
      <c r="F88" s="7">
        <f t="shared" si="25"/>
        <v>584</v>
      </c>
      <c r="G88" s="7">
        <f t="shared" si="26"/>
        <v>490</v>
      </c>
      <c r="H88" s="4">
        <f t="shared" si="27"/>
        <v>1780</v>
      </c>
      <c r="I88" s="4">
        <f t="shared" si="28"/>
        <v>1735</v>
      </c>
      <c r="J88" s="4">
        <f t="shared" si="29"/>
        <v>1829</v>
      </c>
      <c r="K88" s="4">
        <f t="shared" si="34"/>
        <v>2000</v>
      </c>
      <c r="L88" s="4">
        <f t="shared" si="35"/>
        <v>2000</v>
      </c>
      <c r="M88" s="4">
        <f t="shared" si="36"/>
        <v>2000</v>
      </c>
      <c r="N88" s="4">
        <f t="shared" si="37"/>
        <v>-220</v>
      </c>
      <c r="O88" s="4">
        <f t="shared" si="38"/>
        <v>-265</v>
      </c>
      <c r="P88" s="4">
        <f t="shared" si="39"/>
        <v>-171</v>
      </c>
      <c r="Q88" s="7">
        <v>6</v>
      </c>
      <c r="R88" s="7">
        <v>8</v>
      </c>
      <c r="S88" s="7">
        <v>4</v>
      </c>
      <c r="T88" s="5">
        <f t="shared" si="30"/>
        <v>1794</v>
      </c>
      <c r="U88" s="6">
        <f t="shared" si="21"/>
        <v>560</v>
      </c>
      <c r="V88" s="6">
        <f t="shared" si="22"/>
        <v>525</v>
      </c>
      <c r="W88" s="6">
        <f t="shared" si="20"/>
        <v>629</v>
      </c>
      <c r="X88" s="5"/>
      <c r="Y88" s="4"/>
      <c r="Z88" s="4"/>
      <c r="AA88" s="4"/>
      <c r="AB88" s="4"/>
    </row>
    <row r="89" spans="1:28" ht="15" customHeight="1">
      <c r="A89" s="11">
        <v>75</v>
      </c>
      <c r="B89" s="14">
        <f t="shared" si="31"/>
        <v>45118</v>
      </c>
      <c r="C89" s="9">
        <f t="shared" si="32"/>
        <v>842</v>
      </c>
      <c r="D89" s="8">
        <f t="shared" si="33"/>
        <v>1475</v>
      </c>
      <c r="E89" s="7">
        <f t="shared" si="24"/>
        <v>539</v>
      </c>
      <c r="F89" s="7">
        <f t="shared" si="25"/>
        <v>589</v>
      </c>
      <c r="G89" s="7">
        <f t="shared" si="26"/>
        <v>490</v>
      </c>
      <c r="H89" s="4">
        <f t="shared" si="27"/>
        <v>1778</v>
      </c>
      <c r="I89" s="4">
        <f t="shared" si="28"/>
        <v>1728</v>
      </c>
      <c r="J89" s="4">
        <f t="shared" si="29"/>
        <v>1827</v>
      </c>
      <c r="K89" s="4">
        <f t="shared" si="34"/>
        <v>2000</v>
      </c>
      <c r="L89" s="4">
        <f t="shared" si="35"/>
        <v>2000</v>
      </c>
      <c r="M89" s="4">
        <f t="shared" si="36"/>
        <v>2000</v>
      </c>
      <c r="N89" s="4">
        <f t="shared" si="37"/>
        <v>-222</v>
      </c>
      <c r="O89" s="4">
        <f t="shared" si="38"/>
        <v>-272</v>
      </c>
      <c r="P89" s="4">
        <f t="shared" si="39"/>
        <v>-173</v>
      </c>
      <c r="Q89" s="7">
        <v>2</v>
      </c>
      <c r="R89" s="7">
        <v>7</v>
      </c>
      <c r="S89" s="7">
        <v>2</v>
      </c>
      <c r="T89" s="5">
        <f t="shared" si="30"/>
        <v>1799</v>
      </c>
      <c r="U89" s="6">
        <f t="shared" si="21"/>
        <v>558</v>
      </c>
      <c r="V89" s="6">
        <f t="shared" si="22"/>
        <v>518</v>
      </c>
      <c r="W89" s="6">
        <f t="shared" si="20"/>
        <v>627</v>
      </c>
      <c r="X89" s="5"/>
      <c r="Y89" s="4"/>
      <c r="Z89" s="4"/>
      <c r="AA89" s="4"/>
      <c r="AB89" s="4"/>
    </row>
    <row r="90" spans="1:28" ht="15" customHeight="1">
      <c r="A90" s="11">
        <v>76</v>
      </c>
      <c r="B90" s="14">
        <f t="shared" si="31"/>
        <v>45119</v>
      </c>
      <c r="C90" s="9">
        <f t="shared" si="32"/>
        <v>842</v>
      </c>
      <c r="D90" s="8">
        <f t="shared" si="33"/>
        <v>1473</v>
      </c>
      <c r="E90" s="7">
        <f t="shared" si="24"/>
        <v>545</v>
      </c>
      <c r="F90" s="7">
        <f t="shared" si="25"/>
        <v>595</v>
      </c>
      <c r="G90" s="7">
        <f t="shared" si="26"/>
        <v>493</v>
      </c>
      <c r="H90" s="4">
        <f t="shared" si="27"/>
        <v>1770</v>
      </c>
      <c r="I90" s="4">
        <f t="shared" si="28"/>
        <v>1720</v>
      </c>
      <c r="J90" s="4">
        <f t="shared" si="29"/>
        <v>1822</v>
      </c>
      <c r="K90" s="4">
        <f t="shared" si="34"/>
        <v>2000</v>
      </c>
      <c r="L90" s="4">
        <f t="shared" si="35"/>
        <v>2000</v>
      </c>
      <c r="M90" s="4">
        <f t="shared" si="36"/>
        <v>2000</v>
      </c>
      <c r="N90" s="4">
        <f t="shared" si="37"/>
        <v>-230</v>
      </c>
      <c r="O90" s="4">
        <f t="shared" si="38"/>
        <v>-280</v>
      </c>
      <c r="P90" s="4">
        <f t="shared" si="39"/>
        <v>-178</v>
      </c>
      <c r="Q90" s="7">
        <v>8</v>
      </c>
      <c r="R90" s="7">
        <v>8</v>
      </c>
      <c r="S90" s="7">
        <v>5</v>
      </c>
      <c r="T90" s="5">
        <f t="shared" si="30"/>
        <v>1805</v>
      </c>
      <c r="U90" s="6">
        <f t="shared" si="21"/>
        <v>550</v>
      </c>
      <c r="V90" s="6">
        <f t="shared" si="22"/>
        <v>510</v>
      </c>
      <c r="W90" s="6">
        <f t="shared" si="20"/>
        <v>622</v>
      </c>
      <c r="X90" s="5"/>
      <c r="Y90" s="4"/>
      <c r="Z90" s="4"/>
      <c r="AA90" s="4"/>
      <c r="AB90" s="4"/>
    </row>
    <row r="91" spans="1:28" ht="15" customHeight="1">
      <c r="A91" s="11">
        <v>77</v>
      </c>
      <c r="B91" s="14">
        <f t="shared" si="31"/>
        <v>45120</v>
      </c>
      <c r="C91" s="9">
        <f t="shared" si="32"/>
        <v>842</v>
      </c>
      <c r="D91" s="8">
        <f t="shared" si="33"/>
        <v>1471</v>
      </c>
      <c r="E91" s="7">
        <f t="shared" si="24"/>
        <v>549</v>
      </c>
      <c r="F91" s="7">
        <f t="shared" si="25"/>
        <v>600</v>
      </c>
      <c r="G91" s="7">
        <f t="shared" si="26"/>
        <v>499</v>
      </c>
      <c r="H91" s="4">
        <f t="shared" si="27"/>
        <v>1764</v>
      </c>
      <c r="I91" s="4">
        <f t="shared" si="28"/>
        <v>1713</v>
      </c>
      <c r="J91" s="4">
        <f t="shared" si="29"/>
        <v>1814</v>
      </c>
      <c r="K91" s="4">
        <f t="shared" si="34"/>
        <v>2000</v>
      </c>
      <c r="L91" s="4">
        <f t="shared" si="35"/>
        <v>2000</v>
      </c>
      <c r="M91" s="4">
        <f t="shared" si="36"/>
        <v>2000</v>
      </c>
      <c r="N91" s="4">
        <f t="shared" si="37"/>
        <v>-236</v>
      </c>
      <c r="O91" s="4">
        <f t="shared" si="38"/>
        <v>-287</v>
      </c>
      <c r="P91" s="4">
        <f t="shared" si="39"/>
        <v>-186</v>
      </c>
      <c r="Q91" s="7">
        <v>6</v>
      </c>
      <c r="R91" s="7">
        <v>7</v>
      </c>
      <c r="S91" s="7">
        <v>8</v>
      </c>
      <c r="T91" s="5">
        <f t="shared" si="30"/>
        <v>1810</v>
      </c>
      <c r="U91" s="6">
        <f t="shared" si="21"/>
        <v>544</v>
      </c>
      <c r="V91" s="6">
        <f t="shared" si="22"/>
        <v>503</v>
      </c>
      <c r="W91" s="6">
        <f t="shared" si="20"/>
        <v>614</v>
      </c>
      <c r="X91" s="5"/>
      <c r="Y91" s="4"/>
      <c r="Z91" s="4"/>
      <c r="AA91" s="4"/>
      <c r="AB91" s="4"/>
    </row>
    <row r="92" spans="1:28" ht="15" customHeight="1">
      <c r="A92" s="11">
        <v>78</v>
      </c>
      <c r="B92" s="14">
        <f t="shared" si="31"/>
        <v>45121</v>
      </c>
      <c r="C92" s="9">
        <f t="shared" si="32"/>
        <v>842</v>
      </c>
      <c r="D92" s="8">
        <f t="shared" si="33"/>
        <v>1469</v>
      </c>
      <c r="E92" s="7">
        <f t="shared" si="24"/>
        <v>555</v>
      </c>
      <c r="F92" s="7">
        <f t="shared" si="25"/>
        <v>603</v>
      </c>
      <c r="G92" s="7">
        <f t="shared" si="26"/>
        <v>504</v>
      </c>
      <c r="H92" s="4">
        <f t="shared" si="27"/>
        <v>1756</v>
      </c>
      <c r="I92" s="4">
        <f t="shared" si="28"/>
        <v>1708</v>
      </c>
      <c r="J92" s="4">
        <f t="shared" si="29"/>
        <v>1807</v>
      </c>
      <c r="K92" s="4">
        <f t="shared" si="34"/>
        <v>2000</v>
      </c>
      <c r="L92" s="4">
        <f t="shared" si="35"/>
        <v>2000</v>
      </c>
      <c r="M92" s="4">
        <f t="shared" si="36"/>
        <v>2000</v>
      </c>
      <c r="N92" s="4">
        <f t="shared" si="37"/>
        <v>-244</v>
      </c>
      <c r="O92" s="4">
        <f t="shared" si="38"/>
        <v>-292</v>
      </c>
      <c r="P92" s="4">
        <f t="shared" si="39"/>
        <v>-193</v>
      </c>
      <c r="Q92" s="7">
        <v>8</v>
      </c>
      <c r="R92" s="7">
        <v>5</v>
      </c>
      <c r="S92" s="7">
        <v>7</v>
      </c>
      <c r="T92" s="5">
        <f t="shared" si="30"/>
        <v>1813</v>
      </c>
      <c r="U92" s="6">
        <f t="shared" si="21"/>
        <v>536</v>
      </c>
      <c r="V92" s="6">
        <f t="shared" si="22"/>
        <v>498</v>
      </c>
      <c r="W92" s="6">
        <f t="shared" si="20"/>
        <v>607</v>
      </c>
      <c r="X92" s="5"/>
      <c r="Y92" s="4"/>
      <c r="Z92" s="4"/>
      <c r="AA92" s="4"/>
      <c r="AB92" s="4"/>
    </row>
    <row r="93" spans="1:28" ht="15" customHeight="1">
      <c r="A93" s="11">
        <v>79</v>
      </c>
      <c r="B93" s="14">
        <f t="shared" si="31"/>
        <v>45122</v>
      </c>
      <c r="C93" s="9">
        <f t="shared" si="32"/>
        <v>842</v>
      </c>
      <c r="D93" s="8">
        <f t="shared" si="33"/>
        <v>1467</v>
      </c>
      <c r="E93" s="7">
        <f t="shared" si="24"/>
        <v>560</v>
      </c>
      <c r="F93" s="7">
        <f t="shared" si="25"/>
        <v>607</v>
      </c>
      <c r="G93" s="7">
        <f t="shared" si="26"/>
        <v>507</v>
      </c>
      <c r="H93" s="4">
        <f t="shared" si="27"/>
        <v>1749</v>
      </c>
      <c r="I93" s="4">
        <f t="shared" si="28"/>
        <v>1702</v>
      </c>
      <c r="J93" s="4">
        <f t="shared" si="29"/>
        <v>1802</v>
      </c>
      <c r="K93" s="4">
        <f t="shared" si="34"/>
        <v>2000</v>
      </c>
      <c r="L93" s="4">
        <f t="shared" si="35"/>
        <v>2000</v>
      </c>
      <c r="M93" s="4">
        <f t="shared" si="36"/>
        <v>2000</v>
      </c>
      <c r="N93" s="4">
        <f t="shared" si="37"/>
        <v>-251</v>
      </c>
      <c r="O93" s="4">
        <f t="shared" si="38"/>
        <v>-298</v>
      </c>
      <c r="P93" s="4">
        <f t="shared" si="39"/>
        <v>-198</v>
      </c>
      <c r="Q93" s="7">
        <v>7</v>
      </c>
      <c r="R93" s="7">
        <v>6</v>
      </c>
      <c r="S93" s="7">
        <v>5</v>
      </c>
      <c r="T93" s="5">
        <f t="shared" si="30"/>
        <v>1817</v>
      </c>
      <c r="U93" s="6">
        <f t="shared" si="21"/>
        <v>529</v>
      </c>
      <c r="V93" s="6">
        <f t="shared" si="22"/>
        <v>492</v>
      </c>
      <c r="W93" s="6">
        <f t="shared" si="20"/>
        <v>602</v>
      </c>
      <c r="X93" s="5"/>
      <c r="Y93" s="4"/>
      <c r="Z93" s="4"/>
      <c r="AA93" s="4"/>
      <c r="AB93" s="4"/>
    </row>
    <row r="94" spans="1:28" ht="15" customHeight="1">
      <c r="A94" s="11">
        <v>80</v>
      </c>
      <c r="B94" s="14">
        <f t="shared" si="31"/>
        <v>45123</v>
      </c>
      <c r="C94" s="9">
        <f t="shared" si="32"/>
        <v>842</v>
      </c>
      <c r="D94" s="8">
        <f t="shared" si="33"/>
        <v>1465</v>
      </c>
      <c r="E94" s="7">
        <f t="shared" si="24"/>
        <v>563</v>
      </c>
      <c r="F94" s="7">
        <f t="shared" si="25"/>
        <v>611</v>
      </c>
      <c r="G94" s="7">
        <f t="shared" si="26"/>
        <v>509</v>
      </c>
      <c r="H94" s="4">
        <f t="shared" si="27"/>
        <v>1744</v>
      </c>
      <c r="I94" s="4">
        <f t="shared" si="28"/>
        <v>1696</v>
      </c>
      <c r="J94" s="4">
        <f t="shared" si="29"/>
        <v>1798</v>
      </c>
      <c r="K94" s="4">
        <f t="shared" si="34"/>
        <v>2000</v>
      </c>
      <c r="L94" s="4">
        <f t="shared" si="35"/>
        <v>2000</v>
      </c>
      <c r="M94" s="4">
        <f t="shared" si="36"/>
        <v>2000</v>
      </c>
      <c r="N94" s="4">
        <f t="shared" si="37"/>
        <v>-256</v>
      </c>
      <c r="O94" s="4">
        <f t="shared" si="38"/>
        <v>-304</v>
      </c>
      <c r="P94" s="4">
        <f t="shared" si="39"/>
        <v>-202</v>
      </c>
      <c r="Q94" s="7">
        <v>5</v>
      </c>
      <c r="R94" s="7">
        <v>6</v>
      </c>
      <c r="S94" s="7">
        <v>4</v>
      </c>
      <c r="T94" s="5">
        <f t="shared" si="30"/>
        <v>1821</v>
      </c>
      <c r="U94" s="6">
        <f t="shared" si="21"/>
        <v>524</v>
      </c>
      <c r="V94" s="6">
        <f t="shared" si="22"/>
        <v>486</v>
      </c>
      <c r="W94" s="6">
        <f t="shared" si="20"/>
        <v>598</v>
      </c>
      <c r="X94" s="5"/>
      <c r="Y94" s="4"/>
      <c r="Z94" s="4"/>
      <c r="AA94" s="4"/>
      <c r="AB94" s="4"/>
    </row>
    <row r="95" spans="1:28" ht="15" customHeight="1">
      <c r="A95" s="11">
        <v>81</v>
      </c>
      <c r="B95" s="14">
        <f t="shared" si="31"/>
        <v>45124</v>
      </c>
      <c r="C95" s="9">
        <f t="shared" si="32"/>
        <v>842</v>
      </c>
      <c r="D95" s="8">
        <f t="shared" si="33"/>
        <v>1463</v>
      </c>
      <c r="E95" s="7">
        <f t="shared" si="24"/>
        <v>567</v>
      </c>
      <c r="F95" s="7">
        <f t="shared" si="25"/>
        <v>613</v>
      </c>
      <c r="G95" s="7">
        <f t="shared" si="26"/>
        <v>510</v>
      </c>
      <c r="H95" s="4">
        <f t="shared" si="27"/>
        <v>1738</v>
      </c>
      <c r="I95" s="4">
        <f t="shared" si="28"/>
        <v>1692</v>
      </c>
      <c r="J95" s="4">
        <f t="shared" si="29"/>
        <v>1795</v>
      </c>
      <c r="K95" s="4">
        <f t="shared" si="34"/>
        <v>2000</v>
      </c>
      <c r="L95" s="4">
        <f t="shared" si="35"/>
        <v>2000</v>
      </c>
      <c r="M95" s="4">
        <f t="shared" si="36"/>
        <v>2000</v>
      </c>
      <c r="N95" s="4">
        <f t="shared" si="37"/>
        <v>-262</v>
      </c>
      <c r="O95" s="4">
        <f t="shared" si="38"/>
        <v>-308</v>
      </c>
      <c r="P95" s="4">
        <f t="shared" si="39"/>
        <v>-205</v>
      </c>
      <c r="Q95" s="7">
        <v>6</v>
      </c>
      <c r="R95" s="7">
        <v>4</v>
      </c>
      <c r="S95" s="7">
        <v>3</v>
      </c>
      <c r="T95" s="5">
        <f t="shared" si="30"/>
        <v>1823</v>
      </c>
      <c r="U95" s="6">
        <f t="shared" si="21"/>
        <v>518</v>
      </c>
      <c r="V95" s="6">
        <f t="shared" si="22"/>
        <v>482</v>
      </c>
      <c r="W95" s="6">
        <f t="shared" si="20"/>
        <v>595</v>
      </c>
      <c r="X95" s="5"/>
      <c r="Y95" s="4"/>
      <c r="Z95" s="4"/>
      <c r="AA95" s="4"/>
      <c r="AB95" s="4"/>
    </row>
    <row r="96" spans="1:28" ht="15" customHeight="1">
      <c r="A96" s="11">
        <v>82</v>
      </c>
      <c r="B96" s="14">
        <f t="shared" si="31"/>
        <v>45125</v>
      </c>
      <c r="C96" s="9">
        <f t="shared" si="32"/>
        <v>842</v>
      </c>
      <c r="D96" s="8">
        <f t="shared" si="33"/>
        <v>1461</v>
      </c>
      <c r="E96" s="7">
        <f t="shared" si="24"/>
        <v>571</v>
      </c>
      <c r="F96" s="7">
        <f t="shared" si="25"/>
        <v>615</v>
      </c>
      <c r="G96" s="7">
        <f t="shared" si="26"/>
        <v>510</v>
      </c>
      <c r="H96" s="4">
        <f t="shared" si="27"/>
        <v>1732</v>
      </c>
      <c r="I96" s="4">
        <f t="shared" si="28"/>
        <v>1688</v>
      </c>
      <c r="J96" s="4">
        <f t="shared" si="29"/>
        <v>1793</v>
      </c>
      <c r="K96" s="4">
        <f t="shared" si="34"/>
        <v>2000</v>
      </c>
      <c r="L96" s="4">
        <f t="shared" si="35"/>
        <v>2000</v>
      </c>
      <c r="M96" s="4">
        <f t="shared" si="36"/>
        <v>2000</v>
      </c>
      <c r="N96" s="4">
        <f t="shared" si="37"/>
        <v>-268</v>
      </c>
      <c r="O96" s="4">
        <f t="shared" si="38"/>
        <v>-312</v>
      </c>
      <c r="P96" s="4">
        <f t="shared" si="39"/>
        <v>-207</v>
      </c>
      <c r="Q96" s="7">
        <v>6</v>
      </c>
      <c r="R96" s="7">
        <v>4</v>
      </c>
      <c r="S96" s="7">
        <v>2</v>
      </c>
      <c r="T96" s="5">
        <f t="shared" si="30"/>
        <v>1825</v>
      </c>
      <c r="U96" s="6">
        <f t="shared" si="21"/>
        <v>512</v>
      </c>
      <c r="V96" s="6">
        <f t="shared" si="22"/>
        <v>478</v>
      </c>
      <c r="W96" s="6">
        <f t="shared" si="20"/>
        <v>593</v>
      </c>
      <c r="X96" s="5"/>
      <c r="Y96" s="4"/>
      <c r="Z96" s="4"/>
      <c r="AA96" s="4"/>
      <c r="AB96" s="4"/>
    </row>
    <row r="97" spans="1:28" ht="15" customHeight="1">
      <c r="A97" s="11">
        <v>83</v>
      </c>
      <c r="B97" s="14">
        <f t="shared" si="31"/>
        <v>45126</v>
      </c>
      <c r="C97" s="9">
        <f t="shared" si="32"/>
        <v>842</v>
      </c>
      <c r="D97" s="8">
        <f t="shared" si="33"/>
        <v>1459</v>
      </c>
      <c r="E97" s="7">
        <f t="shared" si="24"/>
        <v>573</v>
      </c>
      <c r="F97" s="7">
        <f t="shared" si="25"/>
        <v>615</v>
      </c>
      <c r="G97" s="7">
        <f t="shared" si="26"/>
        <v>510</v>
      </c>
      <c r="H97" s="4">
        <f t="shared" si="27"/>
        <v>1728</v>
      </c>
      <c r="I97" s="4">
        <f t="shared" si="28"/>
        <v>1686</v>
      </c>
      <c r="J97" s="4">
        <f t="shared" si="29"/>
        <v>1791</v>
      </c>
      <c r="K97" s="4">
        <f t="shared" si="34"/>
        <v>2000</v>
      </c>
      <c r="L97" s="4">
        <f t="shared" si="35"/>
        <v>2000</v>
      </c>
      <c r="M97" s="4">
        <f t="shared" si="36"/>
        <v>2000</v>
      </c>
      <c r="N97" s="4">
        <f t="shared" si="37"/>
        <v>-272</v>
      </c>
      <c r="O97" s="4">
        <f t="shared" si="38"/>
        <v>-314</v>
      </c>
      <c r="P97" s="4">
        <f t="shared" si="39"/>
        <v>-209</v>
      </c>
      <c r="Q97" s="7">
        <v>4</v>
      </c>
      <c r="R97" s="7">
        <v>2</v>
      </c>
      <c r="S97" s="7">
        <v>2</v>
      </c>
      <c r="T97" s="5">
        <f t="shared" si="30"/>
        <v>1825</v>
      </c>
      <c r="U97" s="6">
        <f t="shared" si="21"/>
        <v>508</v>
      </c>
      <c r="V97" s="6">
        <f t="shared" si="22"/>
        <v>476</v>
      </c>
      <c r="W97" s="6">
        <f t="shared" si="20"/>
        <v>591</v>
      </c>
      <c r="X97" s="5"/>
      <c r="Y97" s="4"/>
      <c r="Z97" s="4"/>
      <c r="AA97" s="4"/>
      <c r="AB97" s="4"/>
    </row>
    <row r="98" spans="1:28" ht="15" customHeight="1">
      <c r="A98" s="11">
        <v>84</v>
      </c>
      <c r="B98" s="14">
        <f t="shared" si="31"/>
        <v>45127</v>
      </c>
      <c r="C98" s="9">
        <f t="shared" si="32"/>
        <v>842</v>
      </c>
      <c r="D98" s="8">
        <f t="shared" si="33"/>
        <v>1457</v>
      </c>
      <c r="E98" s="7">
        <f t="shared" si="24"/>
        <v>575</v>
      </c>
      <c r="F98" s="7">
        <f t="shared" si="25"/>
        <v>615</v>
      </c>
      <c r="G98" s="7">
        <f t="shared" si="26"/>
        <v>510</v>
      </c>
      <c r="H98" s="4">
        <f t="shared" si="27"/>
        <v>1724</v>
      </c>
      <c r="I98" s="4">
        <f t="shared" si="28"/>
        <v>1684</v>
      </c>
      <c r="J98" s="4">
        <f t="shared" si="29"/>
        <v>1789</v>
      </c>
      <c r="K98" s="4">
        <f t="shared" si="34"/>
        <v>2000</v>
      </c>
      <c r="L98" s="4">
        <f t="shared" si="35"/>
        <v>2000</v>
      </c>
      <c r="M98" s="4">
        <f t="shared" si="36"/>
        <v>2000</v>
      </c>
      <c r="N98" s="4">
        <f t="shared" si="37"/>
        <v>-276</v>
      </c>
      <c r="O98" s="4">
        <f t="shared" si="38"/>
        <v>-316</v>
      </c>
      <c r="P98" s="4">
        <f t="shared" si="39"/>
        <v>-211</v>
      </c>
      <c r="Q98" s="7">
        <v>4</v>
      </c>
      <c r="R98" s="7">
        <v>2</v>
      </c>
      <c r="S98" s="7">
        <v>2</v>
      </c>
      <c r="T98" s="5">
        <f t="shared" si="30"/>
        <v>1825</v>
      </c>
      <c r="U98" s="6">
        <f t="shared" si="21"/>
        <v>504</v>
      </c>
      <c r="V98" s="6">
        <f t="shared" si="22"/>
        <v>474</v>
      </c>
      <c r="W98" s="6">
        <f t="shared" si="20"/>
        <v>589</v>
      </c>
      <c r="X98" s="5"/>
      <c r="Y98" s="4"/>
      <c r="Z98" s="4"/>
      <c r="AA98" s="4"/>
      <c r="AB98" s="4"/>
    </row>
    <row r="99" spans="1:28" ht="15" customHeight="1">
      <c r="A99" s="11">
        <v>85</v>
      </c>
      <c r="B99" s="14">
        <f t="shared" si="31"/>
        <v>45128</v>
      </c>
      <c r="C99" s="9">
        <f t="shared" si="32"/>
        <v>842</v>
      </c>
      <c r="D99" s="8">
        <f t="shared" si="33"/>
        <v>1455</v>
      </c>
      <c r="E99" s="7">
        <f t="shared" si="24"/>
        <v>577</v>
      </c>
      <c r="F99" s="7">
        <f t="shared" si="25"/>
        <v>615</v>
      </c>
      <c r="G99" s="7">
        <f t="shared" si="26"/>
        <v>510</v>
      </c>
      <c r="H99" s="4">
        <f t="shared" si="27"/>
        <v>1720</v>
      </c>
      <c r="I99" s="4">
        <f t="shared" si="28"/>
        <v>1682</v>
      </c>
      <c r="J99" s="4">
        <f t="shared" si="29"/>
        <v>1787</v>
      </c>
      <c r="K99" s="4">
        <f t="shared" si="34"/>
        <v>2000</v>
      </c>
      <c r="L99" s="4">
        <f t="shared" si="35"/>
        <v>2000</v>
      </c>
      <c r="M99" s="4">
        <f t="shared" si="36"/>
        <v>2000</v>
      </c>
      <c r="N99" s="4">
        <f t="shared" si="37"/>
        <v>-280</v>
      </c>
      <c r="O99" s="4">
        <f t="shared" si="38"/>
        <v>-318</v>
      </c>
      <c r="P99" s="4">
        <f t="shared" si="39"/>
        <v>-213</v>
      </c>
      <c r="Q99" s="7">
        <v>4</v>
      </c>
      <c r="R99" s="7">
        <v>2</v>
      </c>
      <c r="S99" s="7">
        <v>2</v>
      </c>
      <c r="T99" s="5">
        <f t="shared" si="30"/>
        <v>1825</v>
      </c>
      <c r="U99" s="6">
        <f t="shared" si="21"/>
        <v>500</v>
      </c>
      <c r="V99" s="6">
        <f t="shared" si="22"/>
        <v>472</v>
      </c>
      <c r="W99" s="6">
        <f t="shared" si="20"/>
        <v>587</v>
      </c>
      <c r="X99" s="5"/>
      <c r="Y99" s="4"/>
      <c r="Z99" s="4"/>
      <c r="AA99" s="4"/>
      <c r="AB99" s="4"/>
    </row>
    <row r="100" spans="1:28" ht="15" customHeight="1">
      <c r="A100" s="11">
        <v>86</v>
      </c>
      <c r="B100" s="14">
        <f t="shared" si="31"/>
        <v>45129</v>
      </c>
      <c r="C100" s="9">
        <f t="shared" si="32"/>
        <v>842</v>
      </c>
      <c r="D100" s="8">
        <f t="shared" si="33"/>
        <v>1453</v>
      </c>
      <c r="E100" s="7">
        <f t="shared" si="24"/>
        <v>581</v>
      </c>
      <c r="F100" s="7">
        <f t="shared" si="25"/>
        <v>620</v>
      </c>
      <c r="G100" s="7">
        <f t="shared" si="26"/>
        <v>516</v>
      </c>
      <c r="H100" s="4">
        <f t="shared" si="27"/>
        <v>1714</v>
      </c>
      <c r="I100" s="4">
        <f t="shared" si="28"/>
        <v>1675</v>
      </c>
      <c r="J100" s="4">
        <f t="shared" si="29"/>
        <v>1779</v>
      </c>
      <c r="K100" s="4">
        <f t="shared" si="34"/>
        <v>2000</v>
      </c>
      <c r="L100" s="4">
        <f t="shared" si="35"/>
        <v>2000</v>
      </c>
      <c r="M100" s="4">
        <f t="shared" si="36"/>
        <v>2000</v>
      </c>
      <c r="N100" s="4">
        <f t="shared" si="37"/>
        <v>-286</v>
      </c>
      <c r="O100" s="4">
        <f t="shared" si="38"/>
        <v>-325</v>
      </c>
      <c r="P100" s="4">
        <f t="shared" si="39"/>
        <v>-221</v>
      </c>
      <c r="Q100" s="7">
        <v>6</v>
      </c>
      <c r="R100" s="7">
        <v>7</v>
      </c>
      <c r="S100" s="7">
        <v>8</v>
      </c>
      <c r="T100" s="5">
        <f t="shared" si="30"/>
        <v>1830</v>
      </c>
      <c r="U100" s="6">
        <f t="shared" si="21"/>
        <v>494</v>
      </c>
      <c r="V100" s="6">
        <f t="shared" si="22"/>
        <v>465</v>
      </c>
      <c r="W100" s="6">
        <f t="shared" si="20"/>
        <v>579</v>
      </c>
      <c r="X100" s="5"/>
      <c r="Y100" s="4"/>
      <c r="Z100" s="4"/>
      <c r="AA100" s="4"/>
      <c r="AB100" s="4"/>
    </row>
    <row r="101" spans="1:28" ht="15" customHeight="1">
      <c r="A101" s="11">
        <v>87</v>
      </c>
      <c r="B101" s="14">
        <f t="shared" si="31"/>
        <v>45130</v>
      </c>
      <c r="C101" s="9">
        <f t="shared" si="32"/>
        <v>842</v>
      </c>
      <c r="D101" s="8">
        <f t="shared" si="33"/>
        <v>1451</v>
      </c>
      <c r="E101" s="7">
        <f t="shared" si="24"/>
        <v>587</v>
      </c>
      <c r="F101" s="7">
        <f t="shared" si="25"/>
        <v>623</v>
      </c>
      <c r="G101" s="7">
        <f t="shared" si="26"/>
        <v>521</v>
      </c>
      <c r="H101" s="4">
        <f t="shared" si="27"/>
        <v>1706</v>
      </c>
      <c r="I101" s="4">
        <f t="shared" si="28"/>
        <v>1670</v>
      </c>
      <c r="J101" s="4">
        <f t="shared" si="29"/>
        <v>1772</v>
      </c>
      <c r="K101" s="4">
        <f t="shared" si="34"/>
        <v>2000</v>
      </c>
      <c r="L101" s="4">
        <f t="shared" si="35"/>
        <v>2000</v>
      </c>
      <c r="M101" s="4">
        <f t="shared" si="36"/>
        <v>2000</v>
      </c>
      <c r="N101" s="4">
        <f t="shared" si="37"/>
        <v>-294</v>
      </c>
      <c r="O101" s="4">
        <f t="shared" si="38"/>
        <v>-330</v>
      </c>
      <c r="P101" s="4">
        <f t="shared" si="39"/>
        <v>-228</v>
      </c>
      <c r="Q101" s="7">
        <v>8</v>
      </c>
      <c r="R101" s="7">
        <v>5</v>
      </c>
      <c r="S101" s="7">
        <v>7</v>
      </c>
      <c r="T101" s="5">
        <f t="shared" si="30"/>
        <v>1833</v>
      </c>
      <c r="U101" s="6">
        <f t="shared" si="21"/>
        <v>486</v>
      </c>
      <c r="V101" s="6">
        <f t="shared" si="22"/>
        <v>460</v>
      </c>
      <c r="W101" s="6">
        <f t="shared" si="20"/>
        <v>572</v>
      </c>
      <c r="X101" s="5"/>
      <c r="Y101" s="4"/>
      <c r="Z101" s="4"/>
      <c r="AA101" s="4"/>
      <c r="AB101" s="4"/>
    </row>
    <row r="102" spans="1:28" ht="15" customHeight="1">
      <c r="A102" s="11">
        <v>88</v>
      </c>
      <c r="B102" s="14">
        <f t="shared" si="31"/>
        <v>45131</v>
      </c>
      <c r="C102" s="9">
        <f t="shared" si="32"/>
        <v>842</v>
      </c>
      <c r="D102" s="8">
        <f t="shared" si="33"/>
        <v>1449</v>
      </c>
      <c r="E102" s="7">
        <f t="shared" si="24"/>
        <v>592</v>
      </c>
      <c r="F102" s="7">
        <f t="shared" si="25"/>
        <v>627</v>
      </c>
      <c r="G102" s="7">
        <f t="shared" si="26"/>
        <v>524</v>
      </c>
      <c r="H102" s="4">
        <f t="shared" si="27"/>
        <v>1699</v>
      </c>
      <c r="I102" s="4">
        <f t="shared" si="28"/>
        <v>1664</v>
      </c>
      <c r="J102" s="4">
        <f t="shared" si="29"/>
        <v>1767</v>
      </c>
      <c r="K102" s="4">
        <f t="shared" si="34"/>
        <v>2000</v>
      </c>
      <c r="L102" s="4">
        <f t="shared" si="35"/>
        <v>2000</v>
      </c>
      <c r="M102" s="4">
        <f t="shared" si="36"/>
        <v>2000</v>
      </c>
      <c r="N102" s="4">
        <f t="shared" si="37"/>
        <v>-301</v>
      </c>
      <c r="O102" s="4">
        <f t="shared" si="38"/>
        <v>-336</v>
      </c>
      <c r="P102" s="4">
        <f t="shared" si="39"/>
        <v>-233</v>
      </c>
      <c r="Q102" s="7">
        <v>7</v>
      </c>
      <c r="R102" s="7">
        <v>6</v>
      </c>
      <c r="S102" s="7">
        <v>5</v>
      </c>
      <c r="T102" s="5">
        <f t="shared" si="30"/>
        <v>1837</v>
      </c>
      <c r="U102" s="6">
        <f t="shared" si="21"/>
        <v>479</v>
      </c>
      <c r="V102" s="6">
        <f t="shared" si="22"/>
        <v>454</v>
      </c>
      <c r="W102" s="6">
        <f t="shared" si="20"/>
        <v>567</v>
      </c>
      <c r="X102" s="5"/>
      <c r="Y102" s="4"/>
      <c r="Z102" s="4"/>
      <c r="AA102" s="4"/>
      <c r="AB102" s="4"/>
    </row>
    <row r="103" spans="1:28" ht="15" customHeight="1">
      <c r="A103" s="11">
        <v>89</v>
      </c>
      <c r="B103" s="14">
        <f t="shared" si="31"/>
        <v>45132</v>
      </c>
      <c r="C103" s="9">
        <f t="shared" si="32"/>
        <v>842</v>
      </c>
      <c r="D103" s="8">
        <f t="shared" si="33"/>
        <v>1447</v>
      </c>
      <c r="E103" s="7">
        <f t="shared" si="24"/>
        <v>595</v>
      </c>
      <c r="F103" s="7">
        <f t="shared" si="25"/>
        <v>631</v>
      </c>
      <c r="G103" s="7">
        <f t="shared" si="26"/>
        <v>526</v>
      </c>
      <c r="H103" s="4">
        <f t="shared" si="27"/>
        <v>1694</v>
      </c>
      <c r="I103" s="4">
        <f t="shared" si="28"/>
        <v>1658</v>
      </c>
      <c r="J103" s="4">
        <f t="shared" si="29"/>
        <v>1763</v>
      </c>
      <c r="K103" s="4">
        <f t="shared" si="34"/>
        <v>2000</v>
      </c>
      <c r="L103" s="4">
        <f t="shared" si="35"/>
        <v>2000</v>
      </c>
      <c r="M103" s="4">
        <f t="shared" si="36"/>
        <v>2000</v>
      </c>
      <c r="N103" s="4">
        <f t="shared" si="37"/>
        <v>-306</v>
      </c>
      <c r="O103" s="4">
        <f t="shared" si="38"/>
        <v>-342</v>
      </c>
      <c r="P103" s="4">
        <f t="shared" si="39"/>
        <v>-237</v>
      </c>
      <c r="Q103" s="7">
        <v>5</v>
      </c>
      <c r="R103" s="7">
        <v>6</v>
      </c>
      <c r="S103" s="7">
        <v>4</v>
      </c>
      <c r="T103" s="5">
        <f t="shared" si="30"/>
        <v>1841</v>
      </c>
      <c r="U103" s="6">
        <f t="shared" si="21"/>
        <v>474</v>
      </c>
      <c r="V103" s="6">
        <f t="shared" si="22"/>
        <v>448</v>
      </c>
      <c r="W103" s="6">
        <f t="shared" ref="W103:W166" si="40">W102+$X103*1000-S103</f>
        <v>563</v>
      </c>
      <c r="X103" s="5"/>
      <c r="Y103" s="4"/>
      <c r="Z103" s="4"/>
      <c r="AA103" s="4"/>
      <c r="AB103" s="4"/>
    </row>
    <row r="104" spans="1:28" ht="15" customHeight="1">
      <c r="A104" s="11">
        <v>90</v>
      </c>
      <c r="B104" s="14">
        <f t="shared" si="31"/>
        <v>45133</v>
      </c>
      <c r="C104" s="9">
        <f t="shared" si="32"/>
        <v>842</v>
      </c>
      <c r="D104" s="8">
        <f t="shared" si="33"/>
        <v>1445</v>
      </c>
      <c r="E104" s="7">
        <f t="shared" si="24"/>
        <v>599</v>
      </c>
      <c r="F104" s="7">
        <f t="shared" si="25"/>
        <v>633</v>
      </c>
      <c r="G104" s="7">
        <f t="shared" si="26"/>
        <v>527</v>
      </c>
      <c r="H104" s="4">
        <f t="shared" si="27"/>
        <v>1688</v>
      </c>
      <c r="I104" s="4">
        <f t="shared" si="28"/>
        <v>1654</v>
      </c>
      <c r="J104" s="4">
        <f t="shared" si="29"/>
        <v>1760</v>
      </c>
      <c r="K104" s="4">
        <f t="shared" si="34"/>
        <v>2000</v>
      </c>
      <c r="L104" s="4">
        <f t="shared" si="35"/>
        <v>2000</v>
      </c>
      <c r="M104" s="4">
        <f t="shared" si="36"/>
        <v>2000</v>
      </c>
      <c r="N104" s="4">
        <f t="shared" si="37"/>
        <v>-312</v>
      </c>
      <c r="O104" s="4">
        <f t="shared" si="38"/>
        <v>-346</v>
      </c>
      <c r="P104" s="4">
        <f t="shared" si="39"/>
        <v>-240</v>
      </c>
      <c r="Q104" s="7">
        <v>6</v>
      </c>
      <c r="R104" s="7">
        <v>4</v>
      </c>
      <c r="S104" s="7">
        <v>3</v>
      </c>
      <c r="T104" s="5">
        <f t="shared" si="30"/>
        <v>1843</v>
      </c>
      <c r="U104" s="6">
        <f t="shared" ref="U104:U167" si="41">U103+$X104*1000-Q104</f>
        <v>468</v>
      </c>
      <c r="V104" s="6">
        <f t="shared" ref="V104:V167" si="42">V103+$X104*1000-R104</f>
        <v>444</v>
      </c>
      <c r="W104" s="6">
        <f t="shared" si="40"/>
        <v>560</v>
      </c>
      <c r="X104" s="5"/>
      <c r="Y104" s="4"/>
      <c r="Z104" s="4"/>
      <c r="AA104" s="4"/>
      <c r="AB104" s="4"/>
    </row>
    <row r="105" spans="1:28" ht="15" customHeight="1">
      <c r="A105" s="11">
        <v>91</v>
      </c>
      <c r="B105" s="14">
        <f t="shared" si="31"/>
        <v>45134</v>
      </c>
      <c r="C105" s="9">
        <f t="shared" si="32"/>
        <v>842</v>
      </c>
      <c r="D105" s="8">
        <f t="shared" si="33"/>
        <v>1443</v>
      </c>
      <c r="E105" s="7">
        <f t="shared" si="24"/>
        <v>603</v>
      </c>
      <c r="F105" s="7">
        <f t="shared" si="25"/>
        <v>635</v>
      </c>
      <c r="G105" s="7">
        <f t="shared" si="26"/>
        <v>527</v>
      </c>
      <c r="H105" s="4">
        <f t="shared" si="27"/>
        <v>1682</v>
      </c>
      <c r="I105" s="4">
        <f t="shared" si="28"/>
        <v>1650</v>
      </c>
      <c r="J105" s="4">
        <f t="shared" si="29"/>
        <v>1758</v>
      </c>
      <c r="K105" s="4">
        <f t="shared" si="34"/>
        <v>2000</v>
      </c>
      <c r="L105" s="4">
        <f t="shared" si="35"/>
        <v>2000</v>
      </c>
      <c r="M105" s="4">
        <f t="shared" si="36"/>
        <v>2000</v>
      </c>
      <c r="N105" s="4">
        <f t="shared" si="37"/>
        <v>-318</v>
      </c>
      <c r="O105" s="4">
        <f t="shared" si="38"/>
        <v>-350</v>
      </c>
      <c r="P105" s="4">
        <f t="shared" si="39"/>
        <v>-242</v>
      </c>
      <c r="Q105" s="7">
        <v>6</v>
      </c>
      <c r="R105" s="7">
        <v>4</v>
      </c>
      <c r="S105" s="7">
        <v>2</v>
      </c>
      <c r="T105" s="5">
        <f t="shared" si="30"/>
        <v>1845</v>
      </c>
      <c r="U105" s="6">
        <f t="shared" si="41"/>
        <v>462</v>
      </c>
      <c r="V105" s="6">
        <f t="shared" si="42"/>
        <v>440</v>
      </c>
      <c r="W105" s="6">
        <f t="shared" si="40"/>
        <v>558</v>
      </c>
      <c r="X105" s="5"/>
      <c r="Y105" s="4"/>
      <c r="Z105" s="4"/>
      <c r="AA105" s="4"/>
      <c r="AB105" s="4"/>
    </row>
    <row r="106" spans="1:28" ht="15" customHeight="1">
      <c r="A106" s="11">
        <v>92</v>
      </c>
      <c r="B106" s="14">
        <f t="shared" si="31"/>
        <v>45135</v>
      </c>
      <c r="C106" s="9">
        <f t="shared" si="32"/>
        <v>842</v>
      </c>
      <c r="D106" s="8">
        <f t="shared" si="33"/>
        <v>1441</v>
      </c>
      <c r="E106" s="7">
        <f t="shared" si="24"/>
        <v>605</v>
      </c>
      <c r="F106" s="7">
        <f t="shared" si="25"/>
        <v>635</v>
      </c>
      <c r="G106" s="7">
        <f t="shared" si="26"/>
        <v>527</v>
      </c>
      <c r="H106" s="4">
        <f t="shared" si="27"/>
        <v>1678</v>
      </c>
      <c r="I106" s="4">
        <f t="shared" si="28"/>
        <v>1648</v>
      </c>
      <c r="J106" s="4">
        <f t="shared" si="29"/>
        <v>1756</v>
      </c>
      <c r="K106" s="4">
        <f t="shared" si="34"/>
        <v>2000</v>
      </c>
      <c r="L106" s="4">
        <f t="shared" si="35"/>
        <v>2000</v>
      </c>
      <c r="M106" s="4">
        <f t="shared" si="36"/>
        <v>2000</v>
      </c>
      <c r="N106" s="4">
        <f t="shared" si="37"/>
        <v>-322</v>
      </c>
      <c r="O106" s="4">
        <f t="shared" si="38"/>
        <v>-352</v>
      </c>
      <c r="P106" s="4">
        <f t="shared" si="39"/>
        <v>-244</v>
      </c>
      <c r="Q106" s="7">
        <v>4</v>
      </c>
      <c r="R106" s="7">
        <v>2</v>
      </c>
      <c r="S106" s="7">
        <v>2</v>
      </c>
      <c r="T106" s="5">
        <f t="shared" si="30"/>
        <v>1845</v>
      </c>
      <c r="U106" s="6">
        <f t="shared" si="41"/>
        <v>458</v>
      </c>
      <c r="V106" s="6">
        <f t="shared" si="42"/>
        <v>438</v>
      </c>
      <c r="W106" s="6">
        <f t="shared" si="40"/>
        <v>556</v>
      </c>
      <c r="X106" s="5"/>
      <c r="Y106" s="4"/>
      <c r="Z106" s="4"/>
      <c r="AA106" s="4"/>
      <c r="AB106" s="4"/>
    </row>
    <row r="107" spans="1:28" ht="15" customHeight="1">
      <c r="A107" s="11">
        <v>93</v>
      </c>
      <c r="B107" s="14">
        <f t="shared" si="31"/>
        <v>45136</v>
      </c>
      <c r="C107" s="9">
        <f t="shared" si="32"/>
        <v>842</v>
      </c>
      <c r="D107" s="8">
        <f t="shared" si="33"/>
        <v>1439</v>
      </c>
      <c r="E107" s="7">
        <f t="shared" si="24"/>
        <v>607</v>
      </c>
      <c r="F107" s="7">
        <f t="shared" si="25"/>
        <v>635</v>
      </c>
      <c r="G107" s="7">
        <f t="shared" si="26"/>
        <v>527</v>
      </c>
      <c r="H107" s="4">
        <f t="shared" si="27"/>
        <v>1674</v>
      </c>
      <c r="I107" s="4">
        <f t="shared" si="28"/>
        <v>1646</v>
      </c>
      <c r="J107" s="4">
        <f t="shared" si="29"/>
        <v>1754</v>
      </c>
      <c r="K107" s="4">
        <f t="shared" si="34"/>
        <v>2000</v>
      </c>
      <c r="L107" s="4">
        <f t="shared" si="35"/>
        <v>2000</v>
      </c>
      <c r="M107" s="4">
        <f t="shared" si="36"/>
        <v>2000</v>
      </c>
      <c r="N107" s="4">
        <f t="shared" si="37"/>
        <v>-326</v>
      </c>
      <c r="O107" s="4">
        <f t="shared" si="38"/>
        <v>-354</v>
      </c>
      <c r="P107" s="4">
        <f t="shared" si="39"/>
        <v>-246</v>
      </c>
      <c r="Q107" s="7">
        <v>4</v>
      </c>
      <c r="R107" s="7">
        <v>2</v>
      </c>
      <c r="S107" s="7">
        <v>2</v>
      </c>
      <c r="T107" s="5">
        <f t="shared" si="30"/>
        <v>1845</v>
      </c>
      <c r="U107" s="6">
        <f t="shared" si="41"/>
        <v>454</v>
      </c>
      <c r="V107" s="6">
        <f t="shared" si="42"/>
        <v>436</v>
      </c>
      <c r="W107" s="6">
        <f t="shared" si="40"/>
        <v>554</v>
      </c>
      <c r="X107" s="5"/>
      <c r="Y107" s="4"/>
      <c r="Z107" s="4"/>
      <c r="AA107" s="4"/>
      <c r="AB107" s="4"/>
    </row>
    <row r="108" spans="1:28" ht="15" customHeight="1">
      <c r="A108" s="11">
        <v>94</v>
      </c>
      <c r="B108" s="14">
        <f t="shared" si="31"/>
        <v>45137</v>
      </c>
      <c r="C108" s="9">
        <f t="shared" si="32"/>
        <v>842</v>
      </c>
      <c r="D108" s="8">
        <f t="shared" si="33"/>
        <v>1437</v>
      </c>
      <c r="E108" s="7">
        <f t="shared" si="24"/>
        <v>609</v>
      </c>
      <c r="F108" s="7">
        <f t="shared" si="25"/>
        <v>635</v>
      </c>
      <c r="G108" s="7">
        <f t="shared" si="26"/>
        <v>527</v>
      </c>
      <c r="H108" s="4">
        <f t="shared" si="27"/>
        <v>1670</v>
      </c>
      <c r="I108" s="4">
        <f t="shared" si="28"/>
        <v>1644</v>
      </c>
      <c r="J108" s="4">
        <f t="shared" si="29"/>
        <v>1752</v>
      </c>
      <c r="K108" s="4">
        <f t="shared" si="34"/>
        <v>2000</v>
      </c>
      <c r="L108" s="4">
        <f t="shared" si="35"/>
        <v>2000</v>
      </c>
      <c r="M108" s="4">
        <f t="shared" si="36"/>
        <v>2000</v>
      </c>
      <c r="N108" s="4">
        <f t="shared" si="37"/>
        <v>-330</v>
      </c>
      <c r="O108" s="4">
        <f t="shared" si="38"/>
        <v>-356</v>
      </c>
      <c r="P108" s="4">
        <f t="shared" si="39"/>
        <v>-248</v>
      </c>
      <c r="Q108" s="7">
        <v>4</v>
      </c>
      <c r="R108" s="7">
        <v>2</v>
      </c>
      <c r="S108" s="7">
        <v>2</v>
      </c>
      <c r="T108" s="5">
        <f t="shared" si="30"/>
        <v>1845</v>
      </c>
      <c r="U108" s="6">
        <f t="shared" si="41"/>
        <v>450</v>
      </c>
      <c r="V108" s="6">
        <f t="shared" si="42"/>
        <v>434</v>
      </c>
      <c r="W108" s="6">
        <f t="shared" si="40"/>
        <v>552</v>
      </c>
      <c r="X108" s="5"/>
      <c r="Y108" s="4"/>
      <c r="Z108" s="4"/>
      <c r="AA108" s="4"/>
      <c r="AB108" s="4"/>
    </row>
    <row r="109" spans="1:28" ht="15" customHeight="1">
      <c r="A109" s="11">
        <v>95</v>
      </c>
      <c r="B109" s="14">
        <f t="shared" si="31"/>
        <v>45138</v>
      </c>
      <c r="C109" s="9">
        <f t="shared" si="32"/>
        <v>842</v>
      </c>
      <c r="D109" s="8">
        <f t="shared" si="33"/>
        <v>1435</v>
      </c>
      <c r="E109" s="7">
        <f t="shared" si="24"/>
        <v>614</v>
      </c>
      <c r="F109" s="7">
        <f t="shared" si="25"/>
        <v>639</v>
      </c>
      <c r="G109" s="7">
        <f t="shared" si="26"/>
        <v>530</v>
      </c>
      <c r="H109" s="4">
        <f t="shared" si="27"/>
        <v>1663</v>
      </c>
      <c r="I109" s="4">
        <f t="shared" si="28"/>
        <v>1638</v>
      </c>
      <c r="J109" s="4">
        <f t="shared" si="29"/>
        <v>1747</v>
      </c>
      <c r="K109" s="4">
        <f t="shared" si="34"/>
        <v>2000</v>
      </c>
      <c r="L109" s="4">
        <f t="shared" si="35"/>
        <v>2000</v>
      </c>
      <c r="M109" s="4">
        <f t="shared" si="36"/>
        <v>2000</v>
      </c>
      <c r="N109" s="4">
        <f t="shared" si="37"/>
        <v>-337</v>
      </c>
      <c r="O109" s="4">
        <f t="shared" si="38"/>
        <v>-362</v>
      </c>
      <c r="P109" s="4">
        <f t="shared" si="39"/>
        <v>-253</v>
      </c>
      <c r="Q109" s="7">
        <v>7</v>
      </c>
      <c r="R109" s="7">
        <v>6</v>
      </c>
      <c r="S109" s="7">
        <v>5</v>
      </c>
      <c r="T109" s="5">
        <f t="shared" si="30"/>
        <v>1849</v>
      </c>
      <c r="U109" s="6">
        <f t="shared" si="41"/>
        <v>443</v>
      </c>
      <c r="V109" s="6">
        <f t="shared" si="42"/>
        <v>428</v>
      </c>
      <c r="W109" s="6">
        <f t="shared" si="40"/>
        <v>547</v>
      </c>
      <c r="X109" s="5"/>
      <c r="Y109" s="4"/>
      <c r="Z109" s="4"/>
      <c r="AA109" s="4"/>
      <c r="AB109" s="4"/>
    </row>
    <row r="110" spans="1:28" ht="15" customHeight="1">
      <c r="A110" s="11">
        <v>96</v>
      </c>
      <c r="B110" s="14">
        <f t="shared" si="31"/>
        <v>45139</v>
      </c>
      <c r="C110" s="9">
        <f t="shared" si="32"/>
        <v>842</v>
      </c>
      <c r="D110" s="8">
        <f t="shared" si="33"/>
        <v>1433</v>
      </c>
      <c r="E110" s="7">
        <f t="shared" si="24"/>
        <v>617</v>
      </c>
      <c r="F110" s="7">
        <f t="shared" si="25"/>
        <v>643</v>
      </c>
      <c r="G110" s="7">
        <f t="shared" si="26"/>
        <v>532</v>
      </c>
      <c r="H110" s="4">
        <f t="shared" si="27"/>
        <v>1658</v>
      </c>
      <c r="I110" s="4">
        <f t="shared" si="28"/>
        <v>1632</v>
      </c>
      <c r="J110" s="4">
        <f t="shared" si="29"/>
        <v>1743</v>
      </c>
      <c r="K110" s="4">
        <f t="shared" si="34"/>
        <v>2000</v>
      </c>
      <c r="L110" s="4">
        <f t="shared" si="35"/>
        <v>2000</v>
      </c>
      <c r="M110" s="4">
        <f t="shared" si="36"/>
        <v>2000</v>
      </c>
      <c r="N110" s="4">
        <f t="shared" si="37"/>
        <v>-342</v>
      </c>
      <c r="O110" s="4">
        <f t="shared" si="38"/>
        <v>-368</v>
      </c>
      <c r="P110" s="4">
        <f t="shared" si="39"/>
        <v>-257</v>
      </c>
      <c r="Q110" s="7">
        <v>5</v>
      </c>
      <c r="R110" s="7">
        <v>6</v>
      </c>
      <c r="S110" s="7">
        <v>4</v>
      </c>
      <c r="T110" s="5">
        <f t="shared" si="30"/>
        <v>1853</v>
      </c>
      <c r="U110" s="6">
        <f t="shared" si="41"/>
        <v>438</v>
      </c>
      <c r="V110" s="6">
        <f t="shared" si="42"/>
        <v>422</v>
      </c>
      <c r="W110" s="6">
        <f t="shared" si="40"/>
        <v>543</v>
      </c>
      <c r="X110" s="5"/>
      <c r="Y110" s="4"/>
      <c r="Z110" s="4"/>
      <c r="AA110" s="4"/>
      <c r="AB110" s="4"/>
    </row>
    <row r="111" spans="1:28" ht="15" customHeight="1">
      <c r="A111" s="11">
        <v>97</v>
      </c>
      <c r="B111" s="14">
        <f t="shared" si="31"/>
        <v>45140</v>
      </c>
      <c r="C111" s="9">
        <f t="shared" si="32"/>
        <v>842</v>
      </c>
      <c r="D111" s="8">
        <f t="shared" ref="D111:D126" si="43">D110-2</f>
        <v>1431</v>
      </c>
      <c r="E111" s="7">
        <f t="shared" si="24"/>
        <v>621</v>
      </c>
      <c r="F111" s="7">
        <f t="shared" si="25"/>
        <v>645</v>
      </c>
      <c r="G111" s="7">
        <f t="shared" si="26"/>
        <v>533</v>
      </c>
      <c r="H111" s="4">
        <f t="shared" si="27"/>
        <v>1652</v>
      </c>
      <c r="I111" s="4">
        <f t="shared" si="28"/>
        <v>1628</v>
      </c>
      <c r="J111" s="4">
        <f t="shared" si="29"/>
        <v>1740</v>
      </c>
      <c r="K111" s="4">
        <f t="shared" si="34"/>
        <v>2000</v>
      </c>
      <c r="L111" s="4">
        <f t="shared" si="35"/>
        <v>2000</v>
      </c>
      <c r="M111" s="4">
        <f t="shared" si="36"/>
        <v>2000</v>
      </c>
      <c r="N111" s="4">
        <f t="shared" si="37"/>
        <v>-348</v>
      </c>
      <c r="O111" s="4">
        <f t="shared" si="38"/>
        <v>-372</v>
      </c>
      <c r="P111" s="4">
        <f t="shared" si="39"/>
        <v>-260</v>
      </c>
      <c r="Q111" s="7">
        <v>6</v>
      </c>
      <c r="R111" s="7">
        <v>4</v>
      </c>
      <c r="S111" s="7">
        <v>3</v>
      </c>
      <c r="T111" s="5">
        <f t="shared" si="30"/>
        <v>1855</v>
      </c>
      <c r="U111" s="6">
        <f t="shared" si="41"/>
        <v>432</v>
      </c>
      <c r="V111" s="6">
        <f t="shared" si="42"/>
        <v>418</v>
      </c>
      <c r="W111" s="6">
        <f t="shared" si="40"/>
        <v>540</v>
      </c>
      <c r="X111" s="5"/>
      <c r="Y111" s="4"/>
      <c r="Z111" s="4"/>
      <c r="AA111" s="4"/>
      <c r="AB111" s="4"/>
    </row>
    <row r="112" spans="1:28" ht="15" customHeight="1">
      <c r="A112" s="11">
        <v>98</v>
      </c>
      <c r="B112" s="14">
        <f t="shared" si="31"/>
        <v>45141</v>
      </c>
      <c r="C112" s="9">
        <f t="shared" si="32"/>
        <v>842</v>
      </c>
      <c r="D112" s="8">
        <f t="shared" si="43"/>
        <v>1429</v>
      </c>
      <c r="E112" s="7">
        <f t="shared" si="24"/>
        <v>625</v>
      </c>
      <c r="F112" s="7">
        <f t="shared" si="25"/>
        <v>647</v>
      </c>
      <c r="G112" s="7">
        <f t="shared" si="26"/>
        <v>533</v>
      </c>
      <c r="H112" s="4">
        <f t="shared" si="27"/>
        <v>1646</v>
      </c>
      <c r="I112" s="4">
        <f t="shared" si="28"/>
        <v>1624</v>
      </c>
      <c r="J112" s="4">
        <f t="shared" si="29"/>
        <v>1738</v>
      </c>
      <c r="K112" s="4">
        <f t="shared" si="34"/>
        <v>2000</v>
      </c>
      <c r="L112" s="4">
        <f t="shared" si="35"/>
        <v>2000</v>
      </c>
      <c r="M112" s="4">
        <f t="shared" si="36"/>
        <v>2000</v>
      </c>
      <c r="N112" s="4">
        <f t="shared" si="37"/>
        <v>-354</v>
      </c>
      <c r="O112" s="4">
        <f t="shared" si="38"/>
        <v>-376</v>
      </c>
      <c r="P112" s="4">
        <f t="shared" si="39"/>
        <v>-262</v>
      </c>
      <c r="Q112" s="7">
        <v>6</v>
      </c>
      <c r="R112" s="7">
        <v>4</v>
      </c>
      <c r="S112" s="7">
        <v>2</v>
      </c>
      <c r="T112" s="5">
        <f t="shared" si="30"/>
        <v>1857</v>
      </c>
      <c r="U112" s="6">
        <f t="shared" si="41"/>
        <v>426</v>
      </c>
      <c r="V112" s="6">
        <f t="shared" si="42"/>
        <v>414</v>
      </c>
      <c r="W112" s="6">
        <f t="shared" si="40"/>
        <v>538</v>
      </c>
      <c r="X112" s="5"/>
      <c r="Y112" s="4"/>
      <c r="Z112" s="4"/>
      <c r="AA112" s="4"/>
      <c r="AB112" s="4"/>
    </row>
    <row r="113" spans="1:28" ht="15" customHeight="1">
      <c r="A113" s="11">
        <v>99</v>
      </c>
      <c r="B113" s="14">
        <f t="shared" si="31"/>
        <v>45142</v>
      </c>
      <c r="C113" s="9">
        <f t="shared" si="32"/>
        <v>842</v>
      </c>
      <c r="D113" s="8">
        <f t="shared" si="43"/>
        <v>1427</v>
      </c>
      <c r="E113" s="7">
        <f t="shared" si="24"/>
        <v>627</v>
      </c>
      <c r="F113" s="7">
        <f t="shared" si="25"/>
        <v>647</v>
      </c>
      <c r="G113" s="7">
        <f t="shared" si="26"/>
        <v>533</v>
      </c>
      <c r="H113" s="4">
        <f t="shared" si="27"/>
        <v>1642</v>
      </c>
      <c r="I113" s="4">
        <f t="shared" si="28"/>
        <v>1622</v>
      </c>
      <c r="J113" s="4">
        <f t="shared" si="29"/>
        <v>1736</v>
      </c>
      <c r="K113" s="4">
        <f t="shared" si="34"/>
        <v>2000</v>
      </c>
      <c r="L113" s="4">
        <f t="shared" si="35"/>
        <v>2000</v>
      </c>
      <c r="M113" s="4">
        <f t="shared" si="36"/>
        <v>2000</v>
      </c>
      <c r="N113" s="4">
        <f t="shared" si="37"/>
        <v>-358</v>
      </c>
      <c r="O113" s="4">
        <f t="shared" si="38"/>
        <v>-378</v>
      </c>
      <c r="P113" s="4">
        <f t="shared" si="39"/>
        <v>-264</v>
      </c>
      <c r="Q113" s="7">
        <v>4</v>
      </c>
      <c r="R113" s="7">
        <v>2</v>
      </c>
      <c r="S113" s="7">
        <v>2</v>
      </c>
      <c r="T113" s="5">
        <f t="shared" si="30"/>
        <v>1857</v>
      </c>
      <c r="U113" s="6">
        <f t="shared" si="41"/>
        <v>422</v>
      </c>
      <c r="V113" s="6">
        <f t="shared" si="42"/>
        <v>412</v>
      </c>
      <c r="W113" s="6">
        <f t="shared" si="40"/>
        <v>536</v>
      </c>
      <c r="X113" s="5"/>
      <c r="Y113" s="4"/>
      <c r="Z113" s="4"/>
      <c r="AA113" s="4"/>
      <c r="AB113" s="4"/>
    </row>
    <row r="114" spans="1:28" ht="15" customHeight="1">
      <c r="A114" s="11">
        <v>100</v>
      </c>
      <c r="B114" s="14">
        <f t="shared" si="31"/>
        <v>45143</v>
      </c>
      <c r="C114" s="9">
        <f t="shared" si="32"/>
        <v>842</v>
      </c>
      <c r="D114" s="8">
        <f t="shared" si="43"/>
        <v>1425</v>
      </c>
      <c r="E114" s="7">
        <f t="shared" si="24"/>
        <v>629</v>
      </c>
      <c r="F114" s="7">
        <f t="shared" si="25"/>
        <v>647</v>
      </c>
      <c r="G114" s="7">
        <f t="shared" si="26"/>
        <v>533</v>
      </c>
      <c r="H114" s="4">
        <f t="shared" si="27"/>
        <v>1638</v>
      </c>
      <c r="I114" s="4">
        <f t="shared" si="28"/>
        <v>1620</v>
      </c>
      <c r="J114" s="4">
        <f t="shared" si="29"/>
        <v>1734</v>
      </c>
      <c r="K114" s="4">
        <f t="shared" si="34"/>
        <v>2000</v>
      </c>
      <c r="L114" s="4">
        <f t="shared" si="35"/>
        <v>2000</v>
      </c>
      <c r="M114" s="4">
        <f t="shared" si="36"/>
        <v>2000</v>
      </c>
      <c r="N114" s="4">
        <f t="shared" si="37"/>
        <v>-362</v>
      </c>
      <c r="O114" s="4">
        <f t="shared" si="38"/>
        <v>-380</v>
      </c>
      <c r="P114" s="4">
        <f t="shared" si="39"/>
        <v>-266</v>
      </c>
      <c r="Q114" s="7">
        <v>4</v>
      </c>
      <c r="R114" s="7">
        <v>2</v>
      </c>
      <c r="S114" s="7">
        <v>2</v>
      </c>
      <c r="T114" s="5">
        <f t="shared" si="30"/>
        <v>1857</v>
      </c>
      <c r="U114" s="6">
        <f t="shared" si="41"/>
        <v>418</v>
      </c>
      <c r="V114" s="6">
        <f t="shared" si="42"/>
        <v>410</v>
      </c>
      <c r="W114" s="6">
        <f t="shared" si="40"/>
        <v>534</v>
      </c>
      <c r="X114" s="5"/>
      <c r="Y114" s="4"/>
      <c r="Z114" s="4"/>
      <c r="AA114" s="4"/>
      <c r="AB114" s="4"/>
    </row>
    <row r="115" spans="1:28" ht="15" customHeight="1">
      <c r="A115" s="11">
        <v>101</v>
      </c>
      <c r="B115" s="14">
        <f t="shared" si="31"/>
        <v>45144</v>
      </c>
      <c r="C115" s="9">
        <f t="shared" si="32"/>
        <v>842</v>
      </c>
      <c r="D115" s="8">
        <f t="shared" si="43"/>
        <v>1423</v>
      </c>
      <c r="E115" s="7">
        <f t="shared" si="24"/>
        <v>631</v>
      </c>
      <c r="F115" s="7">
        <f t="shared" si="25"/>
        <v>647</v>
      </c>
      <c r="G115" s="7">
        <f t="shared" si="26"/>
        <v>533</v>
      </c>
      <c r="H115" s="4">
        <f t="shared" si="27"/>
        <v>1634</v>
      </c>
      <c r="I115" s="4">
        <f t="shared" si="28"/>
        <v>1618</v>
      </c>
      <c r="J115" s="4">
        <f t="shared" si="29"/>
        <v>1732</v>
      </c>
      <c r="K115" s="4">
        <f t="shared" si="34"/>
        <v>2000</v>
      </c>
      <c r="L115" s="4">
        <f t="shared" si="35"/>
        <v>2000</v>
      </c>
      <c r="M115" s="4">
        <f t="shared" si="36"/>
        <v>2000</v>
      </c>
      <c r="N115" s="4">
        <f t="shared" si="37"/>
        <v>-366</v>
      </c>
      <c r="O115" s="4">
        <f t="shared" si="38"/>
        <v>-382</v>
      </c>
      <c r="P115" s="4">
        <f t="shared" si="39"/>
        <v>-268</v>
      </c>
      <c r="Q115" s="7">
        <v>4</v>
      </c>
      <c r="R115" s="7">
        <v>2</v>
      </c>
      <c r="S115" s="7">
        <v>2</v>
      </c>
      <c r="T115" s="5">
        <f t="shared" si="30"/>
        <v>1857</v>
      </c>
      <c r="U115" s="6">
        <f t="shared" si="41"/>
        <v>414</v>
      </c>
      <c r="V115" s="6">
        <f t="shared" si="42"/>
        <v>408</v>
      </c>
      <c r="W115" s="6">
        <f t="shared" si="40"/>
        <v>532</v>
      </c>
      <c r="X115" s="5"/>
      <c r="Y115" s="4"/>
      <c r="Z115" s="4"/>
      <c r="AA115" s="4"/>
      <c r="AB115" s="4"/>
    </row>
    <row r="116" spans="1:28" ht="13.15" customHeight="1">
      <c r="A116" s="11">
        <v>102</v>
      </c>
      <c r="B116" s="14">
        <f t="shared" si="31"/>
        <v>45145</v>
      </c>
      <c r="C116" s="9">
        <f t="shared" si="32"/>
        <v>842</v>
      </c>
      <c r="D116" s="8">
        <f t="shared" si="43"/>
        <v>1421</v>
      </c>
      <c r="E116" s="7">
        <f t="shared" si="24"/>
        <v>635</v>
      </c>
      <c r="F116" s="7">
        <f t="shared" si="25"/>
        <v>652</v>
      </c>
      <c r="G116" s="7">
        <f t="shared" si="26"/>
        <v>539</v>
      </c>
      <c r="H116" s="4">
        <f t="shared" si="27"/>
        <v>1628</v>
      </c>
      <c r="I116" s="4">
        <f t="shared" si="28"/>
        <v>1611</v>
      </c>
      <c r="J116" s="4">
        <f t="shared" si="29"/>
        <v>1724</v>
      </c>
      <c r="K116" s="4">
        <f t="shared" si="34"/>
        <v>2000</v>
      </c>
      <c r="L116" s="4">
        <f t="shared" si="35"/>
        <v>2000</v>
      </c>
      <c r="M116" s="4">
        <f t="shared" si="36"/>
        <v>2000</v>
      </c>
      <c r="N116" s="4">
        <f t="shared" si="37"/>
        <v>-372</v>
      </c>
      <c r="O116" s="4">
        <f t="shared" si="38"/>
        <v>-389</v>
      </c>
      <c r="P116" s="4">
        <f t="shared" si="39"/>
        <v>-276</v>
      </c>
      <c r="Q116" s="7">
        <v>6</v>
      </c>
      <c r="R116" s="7">
        <v>7</v>
      </c>
      <c r="S116" s="7">
        <v>8</v>
      </c>
      <c r="T116" s="5">
        <f t="shared" si="30"/>
        <v>1862</v>
      </c>
      <c r="U116" s="6">
        <f t="shared" si="41"/>
        <v>408</v>
      </c>
      <c r="V116" s="6">
        <f t="shared" si="42"/>
        <v>401</v>
      </c>
      <c r="W116" s="6">
        <f t="shared" si="40"/>
        <v>524</v>
      </c>
      <c r="X116" s="5"/>
      <c r="Y116" s="4"/>
      <c r="Z116" s="4"/>
      <c r="AA116" s="4"/>
      <c r="AB116" s="4"/>
    </row>
    <row r="117" spans="1:28" ht="13.15" customHeight="1">
      <c r="A117" s="11">
        <v>103</v>
      </c>
      <c r="B117" s="14">
        <f t="shared" si="31"/>
        <v>45146</v>
      </c>
      <c r="C117" s="9">
        <f t="shared" si="32"/>
        <v>842</v>
      </c>
      <c r="D117" s="8">
        <f t="shared" si="43"/>
        <v>1419</v>
      </c>
      <c r="E117" s="7">
        <f t="shared" si="24"/>
        <v>641</v>
      </c>
      <c r="F117" s="7">
        <f t="shared" si="25"/>
        <v>655</v>
      </c>
      <c r="G117" s="7">
        <f t="shared" si="26"/>
        <v>544</v>
      </c>
      <c r="H117" s="4">
        <f t="shared" si="27"/>
        <v>1620</v>
      </c>
      <c r="I117" s="4">
        <f t="shared" si="28"/>
        <v>1606</v>
      </c>
      <c r="J117" s="4">
        <f t="shared" si="29"/>
        <v>1717</v>
      </c>
      <c r="K117" s="4">
        <f t="shared" si="34"/>
        <v>2000</v>
      </c>
      <c r="L117" s="4">
        <f t="shared" si="35"/>
        <v>2000</v>
      </c>
      <c r="M117" s="4">
        <f t="shared" si="36"/>
        <v>2000</v>
      </c>
      <c r="N117" s="4">
        <f t="shared" si="37"/>
        <v>-380</v>
      </c>
      <c r="O117" s="4">
        <f t="shared" si="38"/>
        <v>-394</v>
      </c>
      <c r="P117" s="4">
        <f t="shared" si="39"/>
        <v>-283</v>
      </c>
      <c r="Q117" s="7">
        <v>8</v>
      </c>
      <c r="R117" s="7">
        <v>5</v>
      </c>
      <c r="S117" s="7">
        <v>7</v>
      </c>
      <c r="T117" s="5">
        <f t="shared" si="30"/>
        <v>1865</v>
      </c>
      <c r="U117" s="6">
        <f t="shared" si="41"/>
        <v>400</v>
      </c>
      <c r="V117" s="6">
        <f t="shared" si="42"/>
        <v>396</v>
      </c>
      <c r="W117" s="6">
        <f t="shared" si="40"/>
        <v>517</v>
      </c>
      <c r="X117" s="5"/>
      <c r="Y117" s="4"/>
      <c r="Z117" s="4"/>
      <c r="AA117" s="4"/>
      <c r="AB117" s="4"/>
    </row>
    <row r="118" spans="1:28" ht="13.15" customHeight="1">
      <c r="A118" s="11">
        <v>104</v>
      </c>
      <c r="B118" s="14">
        <f t="shared" si="31"/>
        <v>45147</v>
      </c>
      <c r="C118" s="9">
        <f t="shared" si="32"/>
        <v>842</v>
      </c>
      <c r="D118" s="8">
        <f t="shared" si="43"/>
        <v>1417</v>
      </c>
      <c r="E118" s="7">
        <f t="shared" si="24"/>
        <v>646</v>
      </c>
      <c r="F118" s="7">
        <f t="shared" si="25"/>
        <v>659</v>
      </c>
      <c r="G118" s="7">
        <f t="shared" si="26"/>
        <v>547</v>
      </c>
      <c r="H118" s="4">
        <f t="shared" si="27"/>
        <v>1613</v>
      </c>
      <c r="I118" s="4">
        <f t="shared" si="28"/>
        <v>1600</v>
      </c>
      <c r="J118" s="4">
        <f t="shared" si="29"/>
        <v>1712</v>
      </c>
      <c r="K118" s="4">
        <f t="shared" si="34"/>
        <v>2000</v>
      </c>
      <c r="L118" s="4">
        <f t="shared" si="35"/>
        <v>2000</v>
      </c>
      <c r="M118" s="4">
        <f t="shared" si="36"/>
        <v>2000</v>
      </c>
      <c r="N118" s="4">
        <f t="shared" si="37"/>
        <v>-387</v>
      </c>
      <c r="O118" s="4">
        <f t="shared" si="38"/>
        <v>-400</v>
      </c>
      <c r="P118" s="4">
        <f t="shared" si="39"/>
        <v>-288</v>
      </c>
      <c r="Q118" s="7">
        <v>7</v>
      </c>
      <c r="R118" s="7">
        <v>6</v>
      </c>
      <c r="S118" s="7">
        <v>5</v>
      </c>
      <c r="T118" s="5">
        <f t="shared" si="30"/>
        <v>1869</v>
      </c>
      <c r="U118" s="6">
        <f t="shared" si="41"/>
        <v>393</v>
      </c>
      <c r="V118" s="6">
        <f t="shared" si="42"/>
        <v>390</v>
      </c>
      <c r="W118" s="6">
        <f t="shared" si="40"/>
        <v>512</v>
      </c>
      <c r="X118" s="5"/>
      <c r="Y118" s="4"/>
      <c r="Z118" s="4"/>
      <c r="AA118" s="4"/>
      <c r="AB118" s="4"/>
    </row>
    <row r="119" spans="1:28" ht="13.15" customHeight="1">
      <c r="A119" s="11">
        <v>105</v>
      </c>
      <c r="B119" s="14">
        <f t="shared" si="31"/>
        <v>45148</v>
      </c>
      <c r="C119" s="9">
        <f t="shared" si="32"/>
        <v>842</v>
      </c>
      <c r="D119" s="8">
        <f t="shared" si="43"/>
        <v>1415</v>
      </c>
      <c r="E119" s="7">
        <f t="shared" si="24"/>
        <v>649</v>
      </c>
      <c r="F119" s="7">
        <f t="shared" si="25"/>
        <v>663</v>
      </c>
      <c r="G119" s="7">
        <f t="shared" si="26"/>
        <v>549</v>
      </c>
      <c r="H119" s="4">
        <f t="shared" si="27"/>
        <v>1608</v>
      </c>
      <c r="I119" s="4">
        <f t="shared" si="28"/>
        <v>1594</v>
      </c>
      <c r="J119" s="4">
        <f t="shared" si="29"/>
        <v>1708</v>
      </c>
      <c r="K119" s="4">
        <f t="shared" si="34"/>
        <v>2000</v>
      </c>
      <c r="L119" s="4">
        <f t="shared" si="35"/>
        <v>2000</v>
      </c>
      <c r="M119" s="4">
        <f t="shared" si="36"/>
        <v>2000</v>
      </c>
      <c r="N119" s="4">
        <f t="shared" si="37"/>
        <v>-392</v>
      </c>
      <c r="O119" s="4">
        <f t="shared" si="38"/>
        <v>-406</v>
      </c>
      <c r="P119" s="4">
        <f t="shared" si="39"/>
        <v>-292</v>
      </c>
      <c r="Q119" s="7">
        <v>5</v>
      </c>
      <c r="R119" s="7">
        <v>6</v>
      </c>
      <c r="S119" s="7">
        <v>4</v>
      </c>
      <c r="T119" s="5">
        <f t="shared" si="30"/>
        <v>1873</v>
      </c>
      <c r="U119" s="6">
        <f t="shared" si="41"/>
        <v>388</v>
      </c>
      <c r="V119" s="6">
        <f t="shared" si="42"/>
        <v>384</v>
      </c>
      <c r="W119" s="6">
        <f t="shared" si="40"/>
        <v>508</v>
      </c>
      <c r="X119" s="5"/>
      <c r="Y119" s="4"/>
      <c r="Z119" s="4"/>
      <c r="AA119" s="4"/>
      <c r="AB119" s="4"/>
    </row>
    <row r="120" spans="1:28" ht="13.15" customHeight="1">
      <c r="A120" s="11">
        <v>106</v>
      </c>
      <c r="B120" s="14">
        <f t="shared" si="31"/>
        <v>45149</v>
      </c>
      <c r="C120" s="9">
        <f t="shared" si="32"/>
        <v>842</v>
      </c>
      <c r="D120" s="8">
        <f t="shared" si="43"/>
        <v>1413</v>
      </c>
      <c r="E120" s="7">
        <f t="shared" si="24"/>
        <v>653</v>
      </c>
      <c r="F120" s="7">
        <f t="shared" si="25"/>
        <v>665</v>
      </c>
      <c r="G120" s="7">
        <f t="shared" si="26"/>
        <v>550</v>
      </c>
      <c r="H120" s="4">
        <f t="shared" si="27"/>
        <v>1602</v>
      </c>
      <c r="I120" s="4">
        <f t="shared" si="28"/>
        <v>1590</v>
      </c>
      <c r="J120" s="4">
        <f t="shared" si="29"/>
        <v>1705</v>
      </c>
      <c r="K120" s="4">
        <f t="shared" si="34"/>
        <v>2000</v>
      </c>
      <c r="L120" s="4">
        <f t="shared" si="35"/>
        <v>2000</v>
      </c>
      <c r="M120" s="4">
        <f t="shared" si="36"/>
        <v>2000</v>
      </c>
      <c r="N120" s="4">
        <f t="shared" si="37"/>
        <v>-398</v>
      </c>
      <c r="O120" s="4">
        <f t="shared" si="38"/>
        <v>-410</v>
      </c>
      <c r="P120" s="4">
        <f t="shared" si="39"/>
        <v>-295</v>
      </c>
      <c r="Q120" s="7">
        <v>6</v>
      </c>
      <c r="R120" s="7">
        <v>4</v>
      </c>
      <c r="S120" s="7">
        <v>3</v>
      </c>
      <c r="T120" s="5">
        <f t="shared" si="30"/>
        <v>1875</v>
      </c>
      <c r="U120" s="6">
        <f t="shared" si="41"/>
        <v>382</v>
      </c>
      <c r="V120" s="6">
        <f t="shared" si="42"/>
        <v>380</v>
      </c>
      <c r="W120" s="6">
        <f t="shared" si="40"/>
        <v>505</v>
      </c>
      <c r="X120" s="5"/>
      <c r="Y120" s="4"/>
      <c r="Z120" s="4"/>
      <c r="AA120" s="4"/>
      <c r="AB120" s="4"/>
    </row>
    <row r="121" spans="1:28" ht="13.15" customHeight="1">
      <c r="A121" s="11">
        <v>107</v>
      </c>
      <c r="B121" s="14">
        <f t="shared" si="31"/>
        <v>45150</v>
      </c>
      <c r="C121" s="9">
        <f t="shared" si="32"/>
        <v>842</v>
      </c>
      <c r="D121" s="8">
        <f t="shared" si="43"/>
        <v>1411</v>
      </c>
      <c r="E121" s="7">
        <f t="shared" si="24"/>
        <v>658</v>
      </c>
      <c r="F121" s="7">
        <f t="shared" si="25"/>
        <v>669</v>
      </c>
      <c r="G121" s="7">
        <f t="shared" si="26"/>
        <v>553</v>
      </c>
      <c r="H121" s="4">
        <f t="shared" si="27"/>
        <v>1595</v>
      </c>
      <c r="I121" s="4">
        <f t="shared" si="28"/>
        <v>1584</v>
      </c>
      <c r="J121" s="4">
        <f t="shared" si="29"/>
        <v>1700</v>
      </c>
      <c r="K121" s="4">
        <f t="shared" si="34"/>
        <v>2000</v>
      </c>
      <c r="L121" s="4">
        <f t="shared" si="35"/>
        <v>2000</v>
      </c>
      <c r="M121" s="4">
        <f t="shared" si="36"/>
        <v>2000</v>
      </c>
      <c r="N121" s="4">
        <f t="shared" si="37"/>
        <v>-405</v>
      </c>
      <c r="O121" s="4">
        <f t="shared" si="38"/>
        <v>-416</v>
      </c>
      <c r="P121" s="4">
        <f t="shared" si="39"/>
        <v>-300</v>
      </c>
      <c r="Q121" s="7">
        <v>7</v>
      </c>
      <c r="R121" s="7">
        <v>6</v>
      </c>
      <c r="S121" s="7">
        <v>5</v>
      </c>
      <c r="T121" s="5">
        <f t="shared" si="30"/>
        <v>1879</v>
      </c>
      <c r="U121" s="6">
        <f t="shared" si="41"/>
        <v>375</v>
      </c>
      <c r="V121" s="6">
        <f t="shared" si="42"/>
        <v>374</v>
      </c>
      <c r="W121" s="6">
        <f t="shared" si="40"/>
        <v>500</v>
      </c>
      <c r="X121" s="5"/>
      <c r="Y121" s="4"/>
      <c r="Z121" s="4"/>
      <c r="AA121" s="4"/>
      <c r="AB121" s="4"/>
    </row>
    <row r="122" spans="1:28" ht="13.15" customHeight="1">
      <c r="A122" s="11">
        <v>108</v>
      </c>
      <c r="B122" s="14">
        <f t="shared" si="31"/>
        <v>45151</v>
      </c>
      <c r="C122" s="9">
        <f t="shared" si="32"/>
        <v>842</v>
      </c>
      <c r="D122" s="8">
        <f t="shared" si="43"/>
        <v>1409</v>
      </c>
      <c r="E122" s="7">
        <f t="shared" si="24"/>
        <v>661</v>
      </c>
      <c r="F122" s="7">
        <f t="shared" si="25"/>
        <v>673</v>
      </c>
      <c r="G122" s="7">
        <f t="shared" si="26"/>
        <v>555</v>
      </c>
      <c r="H122" s="4">
        <f t="shared" si="27"/>
        <v>1590</v>
      </c>
      <c r="I122" s="4">
        <f t="shared" si="28"/>
        <v>1578</v>
      </c>
      <c r="J122" s="4">
        <f t="shared" si="29"/>
        <v>1696</v>
      </c>
      <c r="K122" s="4">
        <f t="shared" si="34"/>
        <v>2000</v>
      </c>
      <c r="L122" s="4">
        <f t="shared" si="35"/>
        <v>2000</v>
      </c>
      <c r="M122" s="4">
        <f t="shared" si="36"/>
        <v>2000</v>
      </c>
      <c r="N122" s="4">
        <f t="shared" si="37"/>
        <v>-410</v>
      </c>
      <c r="O122" s="4">
        <f t="shared" si="38"/>
        <v>-422</v>
      </c>
      <c r="P122" s="4">
        <f t="shared" si="39"/>
        <v>-304</v>
      </c>
      <c r="Q122" s="7">
        <v>5</v>
      </c>
      <c r="R122" s="7">
        <v>6</v>
      </c>
      <c r="S122" s="7">
        <v>4</v>
      </c>
      <c r="T122" s="5">
        <f t="shared" si="30"/>
        <v>1883</v>
      </c>
      <c r="U122" s="6">
        <f t="shared" si="41"/>
        <v>370</v>
      </c>
      <c r="V122" s="6">
        <f t="shared" si="42"/>
        <v>368</v>
      </c>
      <c r="W122" s="6">
        <f t="shared" si="40"/>
        <v>496</v>
      </c>
      <c r="X122" s="5"/>
      <c r="Y122" s="4"/>
      <c r="Z122" s="4"/>
      <c r="AA122" s="4"/>
      <c r="AB122" s="4"/>
    </row>
    <row r="123" spans="1:28" ht="13.15" customHeight="1">
      <c r="A123" s="11">
        <v>109</v>
      </c>
      <c r="B123" s="14">
        <f t="shared" si="31"/>
        <v>45152</v>
      </c>
      <c r="C123" s="9">
        <f t="shared" si="32"/>
        <v>842</v>
      </c>
      <c r="D123" s="8">
        <f t="shared" si="43"/>
        <v>1407</v>
      </c>
      <c r="E123" s="7">
        <f t="shared" si="24"/>
        <v>665</v>
      </c>
      <c r="F123" s="7">
        <f t="shared" si="25"/>
        <v>675</v>
      </c>
      <c r="G123" s="7">
        <f t="shared" si="26"/>
        <v>556</v>
      </c>
      <c r="H123" s="4">
        <f t="shared" si="27"/>
        <v>1584</v>
      </c>
      <c r="I123" s="4">
        <f t="shared" si="28"/>
        <v>1574</v>
      </c>
      <c r="J123" s="4">
        <f t="shared" si="29"/>
        <v>1693</v>
      </c>
      <c r="K123" s="4">
        <f t="shared" si="34"/>
        <v>2000</v>
      </c>
      <c r="L123" s="4">
        <f t="shared" si="35"/>
        <v>2000</v>
      </c>
      <c r="M123" s="4">
        <f t="shared" si="36"/>
        <v>2000</v>
      </c>
      <c r="N123" s="4">
        <f t="shared" si="37"/>
        <v>-416</v>
      </c>
      <c r="O123" s="4">
        <f t="shared" si="38"/>
        <v>-426</v>
      </c>
      <c r="P123" s="4">
        <f t="shared" si="39"/>
        <v>-307</v>
      </c>
      <c r="Q123" s="7">
        <v>6</v>
      </c>
      <c r="R123" s="7">
        <v>4</v>
      </c>
      <c r="S123" s="7">
        <v>3</v>
      </c>
      <c r="T123" s="5">
        <f t="shared" si="30"/>
        <v>1885</v>
      </c>
      <c r="U123" s="6">
        <f t="shared" si="41"/>
        <v>364</v>
      </c>
      <c r="V123" s="6">
        <f t="shared" si="42"/>
        <v>364</v>
      </c>
      <c r="W123" s="6">
        <f t="shared" si="40"/>
        <v>493</v>
      </c>
      <c r="X123" s="5"/>
      <c r="Y123" s="4"/>
      <c r="Z123" s="4"/>
      <c r="AA123" s="4"/>
      <c r="AB123" s="4"/>
    </row>
    <row r="124" spans="1:28" ht="13.15" customHeight="1">
      <c r="A124" s="11">
        <v>110</v>
      </c>
      <c r="B124" s="14">
        <f t="shared" si="31"/>
        <v>45153</v>
      </c>
      <c r="C124" s="9">
        <f t="shared" si="32"/>
        <v>842</v>
      </c>
      <c r="D124" s="8">
        <f t="shared" si="43"/>
        <v>1405</v>
      </c>
      <c r="E124" s="7">
        <f t="shared" si="24"/>
        <v>669</v>
      </c>
      <c r="F124" s="7">
        <f t="shared" si="25"/>
        <v>677</v>
      </c>
      <c r="G124" s="7">
        <f t="shared" si="26"/>
        <v>556</v>
      </c>
      <c r="H124" s="4">
        <f t="shared" si="27"/>
        <v>1578</v>
      </c>
      <c r="I124" s="4">
        <f t="shared" si="28"/>
        <v>1570</v>
      </c>
      <c r="J124" s="4">
        <f t="shared" si="29"/>
        <v>1691</v>
      </c>
      <c r="K124" s="4">
        <f t="shared" si="34"/>
        <v>2000</v>
      </c>
      <c r="L124" s="4">
        <f t="shared" si="35"/>
        <v>2000</v>
      </c>
      <c r="M124" s="4">
        <f t="shared" si="36"/>
        <v>2000</v>
      </c>
      <c r="N124" s="4">
        <f t="shared" si="37"/>
        <v>-422</v>
      </c>
      <c r="O124" s="4">
        <f t="shared" si="38"/>
        <v>-430</v>
      </c>
      <c r="P124" s="4">
        <f t="shared" si="39"/>
        <v>-309</v>
      </c>
      <c r="Q124" s="7">
        <v>6</v>
      </c>
      <c r="R124" s="7">
        <v>4</v>
      </c>
      <c r="S124" s="7">
        <v>2</v>
      </c>
      <c r="T124" s="5">
        <f t="shared" si="30"/>
        <v>1887</v>
      </c>
      <c r="U124" s="6">
        <f t="shared" si="41"/>
        <v>358</v>
      </c>
      <c r="V124" s="6">
        <f t="shared" si="42"/>
        <v>360</v>
      </c>
      <c r="W124" s="6">
        <f t="shared" si="40"/>
        <v>491</v>
      </c>
      <c r="X124" s="5"/>
      <c r="Y124" s="4"/>
      <c r="Z124" s="4"/>
      <c r="AA124" s="4"/>
      <c r="AB124" s="4"/>
    </row>
    <row r="125" spans="1:28" ht="13.15" customHeight="1">
      <c r="A125" s="11">
        <v>111</v>
      </c>
      <c r="B125" s="14">
        <f t="shared" si="31"/>
        <v>45154</v>
      </c>
      <c r="C125" s="9">
        <f t="shared" si="32"/>
        <v>842</v>
      </c>
      <c r="D125" s="8">
        <f t="shared" si="43"/>
        <v>1403</v>
      </c>
      <c r="E125" s="7">
        <f t="shared" si="24"/>
        <v>671</v>
      </c>
      <c r="F125" s="7">
        <f t="shared" si="25"/>
        <v>677</v>
      </c>
      <c r="G125" s="7">
        <f t="shared" si="26"/>
        <v>556</v>
      </c>
      <c r="H125" s="4">
        <f t="shared" si="27"/>
        <v>1574</v>
      </c>
      <c r="I125" s="4">
        <f t="shared" si="28"/>
        <v>1568</v>
      </c>
      <c r="J125" s="4">
        <f t="shared" si="29"/>
        <v>1689</v>
      </c>
      <c r="K125" s="4">
        <f t="shared" si="34"/>
        <v>2000</v>
      </c>
      <c r="L125" s="4">
        <f t="shared" si="35"/>
        <v>2000</v>
      </c>
      <c r="M125" s="4">
        <f t="shared" si="36"/>
        <v>2000</v>
      </c>
      <c r="N125" s="4">
        <f t="shared" si="37"/>
        <v>-426</v>
      </c>
      <c r="O125" s="4">
        <f t="shared" si="38"/>
        <v>-432</v>
      </c>
      <c r="P125" s="4">
        <f t="shared" si="39"/>
        <v>-311</v>
      </c>
      <c r="Q125" s="7">
        <v>4</v>
      </c>
      <c r="R125" s="7">
        <v>2</v>
      </c>
      <c r="S125" s="7">
        <v>2</v>
      </c>
      <c r="T125" s="5">
        <f t="shared" si="30"/>
        <v>1887</v>
      </c>
      <c r="U125" s="6">
        <f t="shared" si="41"/>
        <v>354</v>
      </c>
      <c r="V125" s="6">
        <f t="shared" si="42"/>
        <v>358</v>
      </c>
      <c r="W125" s="6">
        <f t="shared" si="40"/>
        <v>489</v>
      </c>
      <c r="X125" s="5"/>
      <c r="Y125" s="4"/>
      <c r="Z125" s="4"/>
      <c r="AA125" s="4"/>
      <c r="AB125" s="4"/>
    </row>
    <row r="126" spans="1:28" ht="13.15" customHeight="1">
      <c r="A126" s="11">
        <v>112</v>
      </c>
      <c r="B126" s="14">
        <f t="shared" si="31"/>
        <v>45155</v>
      </c>
      <c r="C126" s="9">
        <f t="shared" si="32"/>
        <v>842</v>
      </c>
      <c r="D126" s="8">
        <f t="shared" si="43"/>
        <v>1401</v>
      </c>
      <c r="E126" s="7">
        <f t="shared" si="24"/>
        <v>673</v>
      </c>
      <c r="F126" s="7">
        <f t="shared" si="25"/>
        <v>677</v>
      </c>
      <c r="G126" s="7">
        <f t="shared" si="26"/>
        <v>556</v>
      </c>
      <c r="H126" s="4">
        <f t="shared" si="27"/>
        <v>1570</v>
      </c>
      <c r="I126" s="4">
        <f t="shared" si="28"/>
        <v>1566</v>
      </c>
      <c r="J126" s="4">
        <f t="shared" si="29"/>
        <v>1687</v>
      </c>
      <c r="K126" s="4">
        <f t="shared" si="34"/>
        <v>2000</v>
      </c>
      <c r="L126" s="4">
        <f t="shared" si="35"/>
        <v>2000</v>
      </c>
      <c r="M126" s="4">
        <f t="shared" si="36"/>
        <v>2000</v>
      </c>
      <c r="N126" s="4">
        <f t="shared" si="37"/>
        <v>-430</v>
      </c>
      <c r="O126" s="4">
        <f t="shared" si="38"/>
        <v>-434</v>
      </c>
      <c r="P126" s="4">
        <f t="shared" si="39"/>
        <v>-313</v>
      </c>
      <c r="Q126" s="7">
        <v>4</v>
      </c>
      <c r="R126" s="7">
        <v>2</v>
      </c>
      <c r="S126" s="7">
        <v>2</v>
      </c>
      <c r="T126" s="5">
        <f t="shared" si="30"/>
        <v>1887</v>
      </c>
      <c r="U126" s="6">
        <f t="shared" si="41"/>
        <v>350</v>
      </c>
      <c r="V126" s="6">
        <f t="shared" si="42"/>
        <v>356</v>
      </c>
      <c r="W126" s="6">
        <f t="shared" si="40"/>
        <v>487</v>
      </c>
      <c r="X126" s="5"/>
      <c r="Y126" s="4"/>
      <c r="Z126" s="4"/>
      <c r="AA126" s="4"/>
      <c r="AB126" s="4"/>
    </row>
    <row r="127" spans="1:28" ht="13.15" customHeight="1">
      <c r="A127" s="11">
        <v>113</v>
      </c>
      <c r="B127" s="14">
        <f t="shared" si="31"/>
        <v>45156</v>
      </c>
      <c r="C127" s="9">
        <f t="shared" si="32"/>
        <v>842</v>
      </c>
      <c r="D127" s="8">
        <f t="shared" ref="D127:D190" si="44">D126+2</f>
        <v>1403</v>
      </c>
      <c r="E127" s="7">
        <f t="shared" si="24"/>
        <v>679</v>
      </c>
      <c r="F127" s="7">
        <f t="shared" si="25"/>
        <v>681</v>
      </c>
      <c r="G127" s="7">
        <f t="shared" si="26"/>
        <v>560</v>
      </c>
      <c r="H127" s="4">
        <f t="shared" si="27"/>
        <v>1566</v>
      </c>
      <c r="I127" s="4">
        <f t="shared" si="28"/>
        <v>1564</v>
      </c>
      <c r="J127" s="4">
        <f t="shared" si="29"/>
        <v>1685</v>
      </c>
      <c r="K127" s="4">
        <f t="shared" si="34"/>
        <v>2000</v>
      </c>
      <c r="L127" s="4">
        <f t="shared" si="35"/>
        <v>2000</v>
      </c>
      <c r="M127" s="4">
        <f t="shared" si="36"/>
        <v>2000</v>
      </c>
      <c r="N127" s="4">
        <f t="shared" si="37"/>
        <v>-434</v>
      </c>
      <c r="O127" s="4">
        <f t="shared" si="38"/>
        <v>-436</v>
      </c>
      <c r="P127" s="4">
        <f t="shared" si="39"/>
        <v>-315</v>
      </c>
      <c r="Q127" s="7">
        <v>4</v>
      </c>
      <c r="R127" s="7">
        <v>2</v>
      </c>
      <c r="S127" s="7">
        <v>2</v>
      </c>
      <c r="T127" s="5">
        <f t="shared" si="30"/>
        <v>1891</v>
      </c>
      <c r="U127" s="6">
        <f t="shared" si="41"/>
        <v>346</v>
      </c>
      <c r="V127" s="6">
        <f t="shared" si="42"/>
        <v>354</v>
      </c>
      <c r="W127" s="6">
        <f t="shared" si="40"/>
        <v>485</v>
      </c>
      <c r="X127" s="5"/>
      <c r="Y127" s="4"/>
      <c r="Z127" s="4"/>
      <c r="AA127" s="4"/>
      <c r="AB127" s="4"/>
    </row>
    <row r="128" spans="1:28" ht="13.15" customHeight="1">
      <c r="A128" s="11">
        <v>114</v>
      </c>
      <c r="B128" s="14">
        <f t="shared" si="31"/>
        <v>45157</v>
      </c>
      <c r="C128" s="9">
        <f t="shared" si="32"/>
        <v>842</v>
      </c>
      <c r="D128" s="8">
        <f t="shared" si="44"/>
        <v>1405</v>
      </c>
      <c r="E128" s="7">
        <f t="shared" si="24"/>
        <v>687</v>
      </c>
      <c r="F128" s="7">
        <f t="shared" si="25"/>
        <v>690</v>
      </c>
      <c r="G128" s="7">
        <f t="shared" si="26"/>
        <v>570</v>
      </c>
      <c r="H128" s="4">
        <f t="shared" si="27"/>
        <v>1560</v>
      </c>
      <c r="I128" s="4">
        <f t="shared" si="28"/>
        <v>1557</v>
      </c>
      <c r="J128" s="4">
        <f t="shared" si="29"/>
        <v>1677</v>
      </c>
      <c r="K128" s="4">
        <f t="shared" si="34"/>
        <v>2000</v>
      </c>
      <c r="L128" s="4">
        <f t="shared" si="35"/>
        <v>2000</v>
      </c>
      <c r="M128" s="4">
        <f t="shared" si="36"/>
        <v>2000</v>
      </c>
      <c r="N128" s="4">
        <f t="shared" si="37"/>
        <v>-440</v>
      </c>
      <c r="O128" s="4">
        <f t="shared" si="38"/>
        <v>-443</v>
      </c>
      <c r="P128" s="4">
        <f t="shared" si="39"/>
        <v>-323</v>
      </c>
      <c r="Q128" s="7">
        <v>6</v>
      </c>
      <c r="R128" s="7">
        <v>7</v>
      </c>
      <c r="S128" s="7">
        <v>8</v>
      </c>
      <c r="T128" s="5">
        <f t="shared" si="30"/>
        <v>1900</v>
      </c>
      <c r="U128" s="6">
        <f t="shared" si="41"/>
        <v>340</v>
      </c>
      <c r="V128" s="6">
        <f t="shared" si="42"/>
        <v>347</v>
      </c>
      <c r="W128" s="6">
        <f t="shared" si="40"/>
        <v>477</v>
      </c>
      <c r="X128" s="5"/>
      <c r="Y128" s="4"/>
      <c r="Z128" s="4"/>
      <c r="AA128" s="4"/>
      <c r="AB128" s="4"/>
    </row>
    <row r="129" spans="1:28" ht="13.15" customHeight="1">
      <c r="A129" s="11">
        <v>115</v>
      </c>
      <c r="B129" s="14">
        <f t="shared" si="31"/>
        <v>45158</v>
      </c>
      <c r="C129" s="9">
        <f t="shared" si="32"/>
        <v>842</v>
      </c>
      <c r="D129" s="8">
        <f t="shared" si="44"/>
        <v>1407</v>
      </c>
      <c r="E129" s="7">
        <f t="shared" si="24"/>
        <v>697</v>
      </c>
      <c r="F129" s="7">
        <f t="shared" si="25"/>
        <v>697</v>
      </c>
      <c r="G129" s="7">
        <f t="shared" si="26"/>
        <v>579</v>
      </c>
      <c r="H129" s="4">
        <f t="shared" si="27"/>
        <v>1552</v>
      </c>
      <c r="I129" s="4">
        <f t="shared" si="28"/>
        <v>1552</v>
      </c>
      <c r="J129" s="4">
        <f t="shared" si="29"/>
        <v>1670</v>
      </c>
      <c r="K129" s="4">
        <f t="shared" si="34"/>
        <v>2000</v>
      </c>
      <c r="L129" s="4">
        <f t="shared" si="35"/>
        <v>2000</v>
      </c>
      <c r="M129" s="4">
        <f t="shared" si="36"/>
        <v>2000</v>
      </c>
      <c r="N129" s="4">
        <f t="shared" si="37"/>
        <v>-448</v>
      </c>
      <c r="O129" s="4">
        <f t="shared" si="38"/>
        <v>-448</v>
      </c>
      <c r="P129" s="4">
        <f t="shared" si="39"/>
        <v>-330</v>
      </c>
      <c r="Q129" s="7">
        <v>8</v>
      </c>
      <c r="R129" s="7">
        <v>5</v>
      </c>
      <c r="S129" s="7">
        <v>7</v>
      </c>
      <c r="T129" s="5">
        <f t="shared" si="30"/>
        <v>1907</v>
      </c>
      <c r="U129" s="6">
        <f t="shared" si="41"/>
        <v>332</v>
      </c>
      <c r="V129" s="6">
        <f t="shared" si="42"/>
        <v>342</v>
      </c>
      <c r="W129" s="6">
        <f t="shared" si="40"/>
        <v>470</v>
      </c>
      <c r="X129" s="5"/>
      <c r="Y129" s="4"/>
      <c r="Z129" s="4"/>
      <c r="AA129" s="4"/>
      <c r="AB129" s="4"/>
    </row>
    <row r="130" spans="1:28" ht="13.15" customHeight="1">
      <c r="A130" s="11">
        <v>116</v>
      </c>
      <c r="B130" s="14">
        <f t="shared" si="31"/>
        <v>45159</v>
      </c>
      <c r="C130" s="9">
        <f t="shared" si="32"/>
        <v>842</v>
      </c>
      <c r="D130" s="8">
        <f t="shared" si="44"/>
        <v>1409</v>
      </c>
      <c r="E130" s="7">
        <f t="shared" si="24"/>
        <v>706</v>
      </c>
      <c r="F130" s="7">
        <f t="shared" si="25"/>
        <v>705</v>
      </c>
      <c r="G130" s="7">
        <f t="shared" si="26"/>
        <v>586</v>
      </c>
      <c r="H130" s="4">
        <f t="shared" si="27"/>
        <v>1545</v>
      </c>
      <c r="I130" s="4">
        <f t="shared" si="28"/>
        <v>1546</v>
      </c>
      <c r="J130" s="4">
        <f t="shared" si="29"/>
        <v>1665</v>
      </c>
      <c r="K130" s="4">
        <f t="shared" si="34"/>
        <v>2000</v>
      </c>
      <c r="L130" s="4">
        <f t="shared" si="35"/>
        <v>2000</v>
      </c>
      <c r="M130" s="4">
        <f t="shared" si="36"/>
        <v>2000</v>
      </c>
      <c r="N130" s="4">
        <f t="shared" si="37"/>
        <v>-455</v>
      </c>
      <c r="O130" s="4">
        <f t="shared" si="38"/>
        <v>-454</v>
      </c>
      <c r="P130" s="4">
        <f t="shared" si="39"/>
        <v>-335</v>
      </c>
      <c r="Q130" s="7">
        <v>7</v>
      </c>
      <c r="R130" s="7">
        <v>6</v>
      </c>
      <c r="S130" s="7">
        <v>5</v>
      </c>
      <c r="T130" s="5">
        <f t="shared" si="30"/>
        <v>1915</v>
      </c>
      <c r="U130" s="6">
        <f t="shared" si="41"/>
        <v>325</v>
      </c>
      <c r="V130" s="6">
        <f t="shared" si="42"/>
        <v>336</v>
      </c>
      <c r="W130" s="6">
        <f t="shared" si="40"/>
        <v>465</v>
      </c>
      <c r="X130" s="5"/>
      <c r="Y130" s="4"/>
      <c r="Z130" s="4"/>
      <c r="AA130" s="4"/>
      <c r="AB130" s="4"/>
    </row>
    <row r="131" spans="1:28" ht="13.15" customHeight="1">
      <c r="A131" s="11">
        <v>117</v>
      </c>
      <c r="B131" s="14">
        <f t="shared" si="31"/>
        <v>45160</v>
      </c>
      <c r="C131" s="9">
        <f t="shared" si="32"/>
        <v>842</v>
      </c>
      <c r="D131" s="8">
        <f t="shared" si="44"/>
        <v>1411</v>
      </c>
      <c r="E131" s="7">
        <f t="shared" si="24"/>
        <v>713</v>
      </c>
      <c r="F131" s="7">
        <f t="shared" si="25"/>
        <v>713</v>
      </c>
      <c r="G131" s="7">
        <f t="shared" si="26"/>
        <v>592</v>
      </c>
      <c r="H131" s="4">
        <f t="shared" si="27"/>
        <v>1540</v>
      </c>
      <c r="I131" s="4">
        <f t="shared" si="28"/>
        <v>1540</v>
      </c>
      <c r="J131" s="4">
        <f t="shared" si="29"/>
        <v>1661</v>
      </c>
      <c r="K131" s="4">
        <f t="shared" si="34"/>
        <v>2000</v>
      </c>
      <c r="L131" s="4">
        <f t="shared" si="35"/>
        <v>2000</v>
      </c>
      <c r="M131" s="4">
        <f t="shared" si="36"/>
        <v>2000</v>
      </c>
      <c r="N131" s="4">
        <f t="shared" si="37"/>
        <v>-460</v>
      </c>
      <c r="O131" s="4">
        <f t="shared" si="38"/>
        <v>-460</v>
      </c>
      <c r="P131" s="4">
        <f t="shared" si="39"/>
        <v>-339</v>
      </c>
      <c r="Q131" s="7">
        <v>5</v>
      </c>
      <c r="R131" s="7">
        <v>6</v>
      </c>
      <c r="S131" s="7">
        <v>4</v>
      </c>
      <c r="T131" s="5">
        <f t="shared" si="30"/>
        <v>1923</v>
      </c>
      <c r="U131" s="6">
        <f t="shared" si="41"/>
        <v>320</v>
      </c>
      <c r="V131" s="6">
        <f t="shared" si="42"/>
        <v>330</v>
      </c>
      <c r="W131" s="6">
        <f t="shared" si="40"/>
        <v>461</v>
      </c>
      <c r="X131" s="5"/>
      <c r="Y131" s="4"/>
      <c r="Z131" s="4"/>
      <c r="AA131" s="4"/>
      <c r="AB131" s="4"/>
    </row>
    <row r="132" spans="1:28" ht="13.15" customHeight="1">
      <c r="A132" s="11">
        <v>118</v>
      </c>
      <c r="B132" s="14">
        <f t="shared" si="31"/>
        <v>45161</v>
      </c>
      <c r="C132" s="9">
        <f t="shared" si="32"/>
        <v>842</v>
      </c>
      <c r="D132" s="8">
        <f t="shared" si="44"/>
        <v>1413</v>
      </c>
      <c r="E132" s="7">
        <f t="shared" si="24"/>
        <v>721</v>
      </c>
      <c r="F132" s="7">
        <f t="shared" si="25"/>
        <v>719</v>
      </c>
      <c r="G132" s="7">
        <f t="shared" si="26"/>
        <v>597</v>
      </c>
      <c r="H132" s="4">
        <f t="shared" si="27"/>
        <v>1534</v>
      </c>
      <c r="I132" s="4">
        <f t="shared" si="28"/>
        <v>1536</v>
      </c>
      <c r="J132" s="4">
        <f t="shared" si="29"/>
        <v>1658</v>
      </c>
      <c r="K132" s="4">
        <f t="shared" si="34"/>
        <v>2000</v>
      </c>
      <c r="L132" s="4">
        <f t="shared" si="35"/>
        <v>2000</v>
      </c>
      <c r="M132" s="4">
        <f t="shared" si="36"/>
        <v>2000</v>
      </c>
      <c r="N132" s="4">
        <f t="shared" si="37"/>
        <v>-466</v>
      </c>
      <c r="O132" s="4">
        <f t="shared" si="38"/>
        <v>-464</v>
      </c>
      <c r="P132" s="4">
        <f t="shared" si="39"/>
        <v>-342</v>
      </c>
      <c r="Q132" s="7">
        <v>6</v>
      </c>
      <c r="R132" s="7">
        <v>4</v>
      </c>
      <c r="S132" s="7">
        <v>3</v>
      </c>
      <c r="T132" s="5">
        <f t="shared" si="30"/>
        <v>1929</v>
      </c>
      <c r="U132" s="6">
        <f t="shared" si="41"/>
        <v>314</v>
      </c>
      <c r="V132" s="6">
        <f t="shared" si="42"/>
        <v>326</v>
      </c>
      <c r="W132" s="6">
        <f t="shared" si="40"/>
        <v>458</v>
      </c>
      <c r="X132" s="5"/>
      <c r="Y132" s="4"/>
      <c r="Z132" s="4"/>
      <c r="AA132" s="4"/>
      <c r="AB132" s="4"/>
    </row>
    <row r="133" spans="1:28" ht="13.15" customHeight="1">
      <c r="A133" s="11">
        <v>119</v>
      </c>
      <c r="B133" s="14">
        <f t="shared" si="31"/>
        <v>45162</v>
      </c>
      <c r="C133" s="9">
        <f t="shared" si="32"/>
        <v>842</v>
      </c>
      <c r="D133" s="8">
        <f t="shared" si="44"/>
        <v>1415</v>
      </c>
      <c r="E133" s="7">
        <f t="shared" si="24"/>
        <v>729</v>
      </c>
      <c r="F133" s="7">
        <f t="shared" si="25"/>
        <v>725</v>
      </c>
      <c r="G133" s="7">
        <f t="shared" si="26"/>
        <v>601</v>
      </c>
      <c r="H133" s="4">
        <f t="shared" si="27"/>
        <v>1528</v>
      </c>
      <c r="I133" s="4">
        <f t="shared" si="28"/>
        <v>1532</v>
      </c>
      <c r="J133" s="4">
        <f t="shared" si="29"/>
        <v>1656</v>
      </c>
      <c r="K133" s="4">
        <f t="shared" si="34"/>
        <v>2000</v>
      </c>
      <c r="L133" s="4">
        <f t="shared" si="35"/>
        <v>2000</v>
      </c>
      <c r="M133" s="4">
        <f t="shared" si="36"/>
        <v>2000</v>
      </c>
      <c r="N133" s="4">
        <f t="shared" si="37"/>
        <v>-472</v>
      </c>
      <c r="O133" s="4">
        <f t="shared" si="38"/>
        <v>-468</v>
      </c>
      <c r="P133" s="4">
        <f t="shared" si="39"/>
        <v>-344</v>
      </c>
      <c r="Q133" s="7">
        <v>6</v>
      </c>
      <c r="R133" s="7">
        <v>4</v>
      </c>
      <c r="S133" s="7">
        <v>2</v>
      </c>
      <c r="T133" s="5">
        <f t="shared" si="30"/>
        <v>1935</v>
      </c>
      <c r="U133" s="6">
        <f t="shared" si="41"/>
        <v>308</v>
      </c>
      <c r="V133" s="6">
        <f t="shared" si="42"/>
        <v>322</v>
      </c>
      <c r="W133" s="6">
        <f t="shared" si="40"/>
        <v>456</v>
      </c>
      <c r="X133" s="5"/>
      <c r="Y133" s="4"/>
      <c r="Z133" s="4"/>
      <c r="AA133" s="4"/>
      <c r="AB133" s="4"/>
    </row>
    <row r="134" spans="1:28" ht="13.15" customHeight="1">
      <c r="A134" s="11">
        <v>120</v>
      </c>
      <c r="B134" s="14">
        <f t="shared" si="31"/>
        <v>45163</v>
      </c>
      <c r="C134" s="9">
        <f t="shared" si="32"/>
        <v>842</v>
      </c>
      <c r="D134" s="8">
        <f t="shared" si="44"/>
        <v>1417</v>
      </c>
      <c r="E134" s="7">
        <f t="shared" si="24"/>
        <v>735</v>
      </c>
      <c r="F134" s="7">
        <f t="shared" si="25"/>
        <v>729</v>
      </c>
      <c r="G134" s="7">
        <f t="shared" si="26"/>
        <v>605</v>
      </c>
      <c r="H134" s="4">
        <f t="shared" si="27"/>
        <v>1524</v>
      </c>
      <c r="I134" s="4">
        <f t="shared" si="28"/>
        <v>1530</v>
      </c>
      <c r="J134" s="4">
        <f t="shared" si="29"/>
        <v>1654</v>
      </c>
      <c r="K134" s="4">
        <f t="shared" si="34"/>
        <v>2000</v>
      </c>
      <c r="L134" s="4">
        <f t="shared" si="35"/>
        <v>2000</v>
      </c>
      <c r="M134" s="4">
        <f t="shared" si="36"/>
        <v>2000</v>
      </c>
      <c r="N134" s="4">
        <f t="shared" si="37"/>
        <v>-476</v>
      </c>
      <c r="O134" s="4">
        <f t="shared" si="38"/>
        <v>-470</v>
      </c>
      <c r="P134" s="4">
        <f t="shared" si="39"/>
        <v>-346</v>
      </c>
      <c r="Q134" s="7">
        <v>4</v>
      </c>
      <c r="R134" s="7">
        <v>2</v>
      </c>
      <c r="S134" s="7">
        <v>2</v>
      </c>
      <c r="T134" s="5">
        <f t="shared" si="30"/>
        <v>1939</v>
      </c>
      <c r="U134" s="6">
        <f t="shared" si="41"/>
        <v>304</v>
      </c>
      <c r="V134" s="6">
        <f t="shared" si="42"/>
        <v>320</v>
      </c>
      <c r="W134" s="6">
        <f t="shared" si="40"/>
        <v>454</v>
      </c>
      <c r="X134" s="5"/>
      <c r="Y134" s="4"/>
      <c r="Z134" s="4"/>
      <c r="AA134" s="4"/>
      <c r="AB134" s="4"/>
    </row>
    <row r="135" spans="1:28" ht="13.15" customHeight="1">
      <c r="A135" s="11">
        <v>121</v>
      </c>
      <c r="B135" s="14">
        <f t="shared" si="31"/>
        <v>45164</v>
      </c>
      <c r="C135" s="9">
        <f t="shared" si="32"/>
        <v>842</v>
      </c>
      <c r="D135" s="8">
        <f t="shared" si="44"/>
        <v>1419</v>
      </c>
      <c r="E135" s="7">
        <f t="shared" si="24"/>
        <v>741</v>
      </c>
      <c r="F135" s="7">
        <f t="shared" si="25"/>
        <v>733</v>
      </c>
      <c r="G135" s="7">
        <f t="shared" si="26"/>
        <v>609</v>
      </c>
      <c r="H135" s="4">
        <f t="shared" si="27"/>
        <v>1520</v>
      </c>
      <c r="I135" s="4">
        <f t="shared" si="28"/>
        <v>1528</v>
      </c>
      <c r="J135" s="4">
        <f t="shared" si="29"/>
        <v>1652</v>
      </c>
      <c r="K135" s="4">
        <f t="shared" si="34"/>
        <v>2000</v>
      </c>
      <c r="L135" s="4">
        <f t="shared" si="35"/>
        <v>2000</v>
      </c>
      <c r="M135" s="4">
        <f t="shared" si="36"/>
        <v>2000</v>
      </c>
      <c r="N135" s="4">
        <f t="shared" si="37"/>
        <v>-480</v>
      </c>
      <c r="O135" s="4">
        <f t="shared" si="38"/>
        <v>-472</v>
      </c>
      <c r="P135" s="4">
        <f t="shared" si="39"/>
        <v>-348</v>
      </c>
      <c r="Q135" s="7">
        <v>4</v>
      </c>
      <c r="R135" s="7">
        <v>2</v>
      </c>
      <c r="S135" s="7">
        <v>2</v>
      </c>
      <c r="T135" s="5">
        <f t="shared" si="30"/>
        <v>1943</v>
      </c>
      <c r="U135" s="6">
        <f t="shared" si="41"/>
        <v>300</v>
      </c>
      <c r="V135" s="6">
        <f t="shared" si="42"/>
        <v>318</v>
      </c>
      <c r="W135" s="6">
        <f t="shared" si="40"/>
        <v>452</v>
      </c>
      <c r="X135" s="5"/>
      <c r="Y135" s="4"/>
      <c r="Z135" s="4"/>
      <c r="AA135" s="4"/>
      <c r="AB135" s="4"/>
    </row>
    <row r="136" spans="1:28" ht="13.15" customHeight="1">
      <c r="A136" s="11">
        <v>122</v>
      </c>
      <c r="B136" s="14">
        <f t="shared" si="31"/>
        <v>45165</v>
      </c>
      <c r="C136" s="9">
        <f t="shared" si="32"/>
        <v>842</v>
      </c>
      <c r="D136" s="8">
        <f t="shared" si="44"/>
        <v>1421</v>
      </c>
      <c r="E136" s="7">
        <f t="shared" si="24"/>
        <v>747</v>
      </c>
      <c r="F136" s="7">
        <f t="shared" si="25"/>
        <v>737</v>
      </c>
      <c r="G136" s="7">
        <f t="shared" si="26"/>
        <v>613</v>
      </c>
      <c r="H136" s="4">
        <f t="shared" si="27"/>
        <v>1516</v>
      </c>
      <c r="I136" s="4">
        <f t="shared" si="28"/>
        <v>1526</v>
      </c>
      <c r="J136" s="4">
        <f t="shared" si="29"/>
        <v>1650</v>
      </c>
      <c r="K136" s="4">
        <f t="shared" si="34"/>
        <v>2000</v>
      </c>
      <c r="L136" s="4">
        <f t="shared" si="35"/>
        <v>2000</v>
      </c>
      <c r="M136" s="4">
        <f t="shared" si="36"/>
        <v>2000</v>
      </c>
      <c r="N136" s="4">
        <f t="shared" si="37"/>
        <v>-484</v>
      </c>
      <c r="O136" s="4">
        <f t="shared" si="38"/>
        <v>-474</v>
      </c>
      <c r="P136" s="4">
        <f t="shared" si="39"/>
        <v>-350</v>
      </c>
      <c r="Q136" s="7">
        <v>4</v>
      </c>
      <c r="R136" s="7">
        <v>2</v>
      </c>
      <c r="S136" s="7">
        <v>2</v>
      </c>
      <c r="T136" s="5">
        <f t="shared" si="30"/>
        <v>1947</v>
      </c>
      <c r="U136" s="6">
        <f t="shared" si="41"/>
        <v>296</v>
      </c>
      <c r="V136" s="6">
        <f t="shared" si="42"/>
        <v>316</v>
      </c>
      <c r="W136" s="6">
        <f t="shared" si="40"/>
        <v>450</v>
      </c>
      <c r="X136" s="5"/>
      <c r="Y136" s="4"/>
      <c r="Z136" s="4"/>
      <c r="AA136" s="4"/>
      <c r="AB136" s="4"/>
    </row>
    <row r="137" spans="1:28" ht="13.15" customHeight="1">
      <c r="A137" s="11">
        <v>123</v>
      </c>
      <c r="B137" s="14">
        <f t="shared" si="31"/>
        <v>45166</v>
      </c>
      <c r="C137" s="9">
        <f t="shared" si="32"/>
        <v>842</v>
      </c>
      <c r="D137" s="8">
        <f t="shared" si="44"/>
        <v>1423</v>
      </c>
      <c r="E137" s="7">
        <f t="shared" si="24"/>
        <v>753</v>
      </c>
      <c r="F137" s="7">
        <f t="shared" si="25"/>
        <v>741</v>
      </c>
      <c r="G137" s="7">
        <f t="shared" si="26"/>
        <v>617</v>
      </c>
      <c r="H137" s="4">
        <f t="shared" si="27"/>
        <v>1512</v>
      </c>
      <c r="I137" s="4">
        <f t="shared" si="28"/>
        <v>1524</v>
      </c>
      <c r="J137" s="4">
        <f t="shared" si="29"/>
        <v>1648</v>
      </c>
      <c r="K137" s="4">
        <f t="shared" si="34"/>
        <v>2000</v>
      </c>
      <c r="L137" s="4">
        <f t="shared" si="35"/>
        <v>2000</v>
      </c>
      <c r="M137" s="4">
        <f t="shared" si="36"/>
        <v>2000</v>
      </c>
      <c r="N137" s="4">
        <f t="shared" si="37"/>
        <v>-488</v>
      </c>
      <c r="O137" s="4">
        <f t="shared" si="38"/>
        <v>-476</v>
      </c>
      <c r="P137" s="4">
        <f t="shared" si="39"/>
        <v>-352</v>
      </c>
      <c r="Q137" s="7">
        <v>4</v>
      </c>
      <c r="R137" s="7">
        <v>2</v>
      </c>
      <c r="S137" s="7">
        <v>2</v>
      </c>
      <c r="T137" s="5">
        <f t="shared" si="30"/>
        <v>1951</v>
      </c>
      <c r="U137" s="6">
        <f t="shared" si="41"/>
        <v>292</v>
      </c>
      <c r="V137" s="6">
        <f t="shared" si="42"/>
        <v>314</v>
      </c>
      <c r="W137" s="6">
        <f t="shared" si="40"/>
        <v>448</v>
      </c>
      <c r="X137" s="5"/>
      <c r="Y137" s="4"/>
      <c r="Z137" s="4"/>
      <c r="AA137" s="4"/>
      <c r="AB137" s="4"/>
    </row>
    <row r="138" spans="1:28" ht="13.15" customHeight="1">
      <c r="A138" s="11">
        <v>124</v>
      </c>
      <c r="B138" s="14">
        <f t="shared" si="31"/>
        <v>45167</v>
      </c>
      <c r="C138" s="9">
        <f t="shared" si="32"/>
        <v>842</v>
      </c>
      <c r="D138" s="8">
        <f t="shared" si="44"/>
        <v>1425</v>
      </c>
      <c r="E138" s="7">
        <f t="shared" si="24"/>
        <v>759</v>
      </c>
      <c r="F138" s="7">
        <f t="shared" si="25"/>
        <v>745</v>
      </c>
      <c r="G138" s="7">
        <f t="shared" si="26"/>
        <v>621</v>
      </c>
      <c r="H138" s="4">
        <f t="shared" si="27"/>
        <v>1508</v>
      </c>
      <c r="I138" s="4">
        <f t="shared" si="28"/>
        <v>1522</v>
      </c>
      <c r="J138" s="4">
        <f t="shared" si="29"/>
        <v>1646</v>
      </c>
      <c r="K138" s="4">
        <f t="shared" si="34"/>
        <v>2000</v>
      </c>
      <c r="L138" s="4">
        <f t="shared" si="35"/>
        <v>2000</v>
      </c>
      <c r="M138" s="4">
        <f t="shared" si="36"/>
        <v>2000</v>
      </c>
      <c r="N138" s="4">
        <f t="shared" si="37"/>
        <v>-492</v>
      </c>
      <c r="O138" s="4">
        <f t="shared" si="38"/>
        <v>-478</v>
      </c>
      <c r="P138" s="4">
        <f t="shared" si="39"/>
        <v>-354</v>
      </c>
      <c r="Q138" s="7">
        <v>4</v>
      </c>
      <c r="R138" s="7">
        <v>2</v>
      </c>
      <c r="S138" s="7">
        <v>2</v>
      </c>
      <c r="T138" s="5">
        <f t="shared" si="30"/>
        <v>1955</v>
      </c>
      <c r="U138" s="6">
        <f t="shared" si="41"/>
        <v>288</v>
      </c>
      <c r="V138" s="6">
        <f t="shared" si="42"/>
        <v>312</v>
      </c>
      <c r="W138" s="6">
        <f t="shared" si="40"/>
        <v>446</v>
      </c>
      <c r="X138" s="5"/>
      <c r="Y138" s="4"/>
      <c r="Z138" s="4"/>
      <c r="AA138" s="4"/>
      <c r="AB138" s="4"/>
    </row>
    <row r="139" spans="1:28" ht="13.15" customHeight="1">
      <c r="A139" s="11">
        <v>125</v>
      </c>
      <c r="B139" s="14">
        <f t="shared" si="31"/>
        <v>45168</v>
      </c>
      <c r="C139" s="9">
        <f t="shared" si="32"/>
        <v>842</v>
      </c>
      <c r="D139" s="8">
        <f t="shared" si="44"/>
        <v>1427</v>
      </c>
      <c r="E139" s="7">
        <f t="shared" si="24"/>
        <v>761</v>
      </c>
      <c r="F139" s="7">
        <f t="shared" si="25"/>
        <v>747</v>
      </c>
      <c r="G139" s="7">
        <f t="shared" si="26"/>
        <v>623</v>
      </c>
      <c r="H139" s="4">
        <f t="shared" si="27"/>
        <v>1508</v>
      </c>
      <c r="I139" s="4">
        <f t="shared" si="28"/>
        <v>1522</v>
      </c>
      <c r="J139" s="4">
        <f t="shared" si="29"/>
        <v>1646</v>
      </c>
      <c r="K139" s="4">
        <f t="shared" si="34"/>
        <v>2000</v>
      </c>
      <c r="L139" s="4">
        <f t="shared" si="35"/>
        <v>2000</v>
      </c>
      <c r="M139" s="4">
        <f t="shared" si="36"/>
        <v>2000</v>
      </c>
      <c r="N139" s="4">
        <f t="shared" si="37"/>
        <v>-492</v>
      </c>
      <c r="O139" s="4">
        <f t="shared" si="38"/>
        <v>-478</v>
      </c>
      <c r="P139" s="4">
        <f t="shared" si="39"/>
        <v>-354</v>
      </c>
      <c r="Q139" s="7">
        <v>0</v>
      </c>
      <c r="R139" s="7">
        <v>0</v>
      </c>
      <c r="S139" s="7">
        <v>0</v>
      </c>
      <c r="T139" s="5">
        <f t="shared" si="30"/>
        <v>1957</v>
      </c>
      <c r="U139" s="6">
        <f t="shared" si="41"/>
        <v>288</v>
      </c>
      <c r="V139" s="6">
        <f t="shared" si="42"/>
        <v>312</v>
      </c>
      <c r="W139" s="6">
        <f t="shared" si="40"/>
        <v>446</v>
      </c>
      <c r="X139" s="5"/>
      <c r="Y139" s="4"/>
      <c r="Z139" s="4"/>
      <c r="AA139" s="4"/>
      <c r="AB139" s="4"/>
    </row>
    <row r="140" spans="1:28" ht="13.15" customHeight="1">
      <c r="A140" s="11">
        <v>126</v>
      </c>
      <c r="B140" s="14">
        <f t="shared" si="31"/>
        <v>45169</v>
      </c>
      <c r="C140" s="9">
        <f t="shared" si="32"/>
        <v>842</v>
      </c>
      <c r="D140" s="8">
        <f t="shared" si="44"/>
        <v>1429</v>
      </c>
      <c r="E140" s="7">
        <f t="shared" si="24"/>
        <v>763</v>
      </c>
      <c r="F140" s="7">
        <f t="shared" si="25"/>
        <v>749</v>
      </c>
      <c r="G140" s="7">
        <f t="shared" si="26"/>
        <v>625</v>
      </c>
      <c r="H140" s="4">
        <f t="shared" si="27"/>
        <v>1508</v>
      </c>
      <c r="I140" s="4">
        <f t="shared" si="28"/>
        <v>1522</v>
      </c>
      <c r="J140" s="4">
        <f t="shared" si="29"/>
        <v>1646</v>
      </c>
      <c r="K140" s="4">
        <f t="shared" si="34"/>
        <v>2000</v>
      </c>
      <c r="L140" s="4">
        <f t="shared" si="35"/>
        <v>2000</v>
      </c>
      <c r="M140" s="4">
        <f t="shared" si="36"/>
        <v>2000</v>
      </c>
      <c r="N140" s="4">
        <f t="shared" si="37"/>
        <v>-492</v>
      </c>
      <c r="O140" s="4">
        <f t="shared" si="38"/>
        <v>-478</v>
      </c>
      <c r="P140" s="4">
        <f t="shared" si="39"/>
        <v>-354</v>
      </c>
      <c r="Q140" s="7">
        <v>0</v>
      </c>
      <c r="R140" s="7">
        <v>0</v>
      </c>
      <c r="S140" s="7">
        <v>0</v>
      </c>
      <c r="T140" s="5">
        <f t="shared" si="30"/>
        <v>1959</v>
      </c>
      <c r="U140" s="6">
        <f t="shared" si="41"/>
        <v>288</v>
      </c>
      <c r="V140" s="6">
        <f t="shared" si="42"/>
        <v>312</v>
      </c>
      <c r="W140" s="6">
        <f t="shared" si="40"/>
        <v>446</v>
      </c>
      <c r="X140" s="5"/>
      <c r="Y140" s="4"/>
      <c r="Z140" s="4"/>
      <c r="AA140" s="4"/>
      <c r="AB140" s="4"/>
    </row>
    <row r="141" spans="1:28" ht="13.15" customHeight="1">
      <c r="A141" s="11">
        <v>127</v>
      </c>
      <c r="B141" s="14">
        <f t="shared" si="31"/>
        <v>45170</v>
      </c>
      <c r="C141" s="9">
        <f t="shared" si="32"/>
        <v>842</v>
      </c>
      <c r="D141" s="8">
        <f t="shared" si="44"/>
        <v>1431</v>
      </c>
      <c r="E141" s="7">
        <f t="shared" si="24"/>
        <v>765</v>
      </c>
      <c r="F141" s="7">
        <f t="shared" si="25"/>
        <v>751</v>
      </c>
      <c r="G141" s="7">
        <f t="shared" si="26"/>
        <v>627</v>
      </c>
      <c r="H141" s="4">
        <f t="shared" si="27"/>
        <v>1508</v>
      </c>
      <c r="I141" s="4">
        <f t="shared" si="28"/>
        <v>1522</v>
      </c>
      <c r="J141" s="4">
        <f t="shared" si="29"/>
        <v>1646</v>
      </c>
      <c r="K141" s="4">
        <f t="shared" si="34"/>
        <v>2000</v>
      </c>
      <c r="L141" s="4">
        <f t="shared" si="35"/>
        <v>2000</v>
      </c>
      <c r="M141" s="4">
        <f t="shared" si="36"/>
        <v>2000</v>
      </c>
      <c r="N141" s="4">
        <f t="shared" si="37"/>
        <v>-492</v>
      </c>
      <c r="O141" s="4">
        <f t="shared" si="38"/>
        <v>-478</v>
      </c>
      <c r="P141" s="4">
        <f t="shared" si="39"/>
        <v>-354</v>
      </c>
      <c r="Q141" s="7">
        <v>0</v>
      </c>
      <c r="R141" s="7">
        <v>0</v>
      </c>
      <c r="S141" s="7">
        <v>0</v>
      </c>
      <c r="T141" s="5">
        <f t="shared" si="30"/>
        <v>1961</v>
      </c>
      <c r="U141" s="6">
        <f t="shared" si="41"/>
        <v>288</v>
      </c>
      <c r="V141" s="6">
        <f t="shared" si="42"/>
        <v>312</v>
      </c>
      <c r="W141" s="6">
        <f t="shared" si="40"/>
        <v>446</v>
      </c>
      <c r="X141" s="5"/>
      <c r="Y141" s="4"/>
      <c r="Z141" s="4"/>
      <c r="AA141" s="4"/>
      <c r="AB141" s="4"/>
    </row>
    <row r="142" spans="1:28" ht="13.15" customHeight="1">
      <c r="A142" s="11">
        <v>128</v>
      </c>
      <c r="B142" s="14">
        <f t="shared" si="31"/>
        <v>45171</v>
      </c>
      <c r="C142" s="9">
        <f t="shared" si="32"/>
        <v>842</v>
      </c>
      <c r="D142" s="8">
        <f t="shared" si="44"/>
        <v>1433</v>
      </c>
      <c r="E142" s="7">
        <f t="shared" ref="E142:E205" si="45">C142+D142-H142</f>
        <v>767</v>
      </c>
      <c r="F142" s="7">
        <f t="shared" ref="F142:F205" si="46">C142+D142-I142</f>
        <v>753</v>
      </c>
      <c r="G142" s="7">
        <f t="shared" ref="G142:G205" si="47">D142+C142-J142</f>
        <v>629</v>
      </c>
      <c r="H142" s="4">
        <f t="shared" ref="H142:H205" si="48">K142+N142</f>
        <v>1508</v>
      </c>
      <c r="I142" s="4">
        <f t="shared" ref="I142:I205" si="49">L142+O142</f>
        <v>1522</v>
      </c>
      <c r="J142" s="4">
        <f t="shared" ref="J142:J205" si="50">M142+P142</f>
        <v>1646</v>
      </c>
      <c r="K142" s="4">
        <f t="shared" si="34"/>
        <v>2000</v>
      </c>
      <c r="L142" s="4">
        <f t="shared" si="35"/>
        <v>2000</v>
      </c>
      <c r="M142" s="4">
        <f t="shared" si="36"/>
        <v>2000</v>
      </c>
      <c r="N142" s="4">
        <f t="shared" si="37"/>
        <v>-492</v>
      </c>
      <c r="O142" s="4">
        <f t="shared" si="38"/>
        <v>-478</v>
      </c>
      <c r="P142" s="4">
        <f t="shared" si="39"/>
        <v>-354</v>
      </c>
      <c r="Q142" s="7">
        <v>0</v>
      </c>
      <c r="R142" s="7">
        <v>0</v>
      </c>
      <c r="S142" s="7">
        <v>0</v>
      </c>
      <c r="T142" s="5">
        <f t="shared" ref="T142:T205" si="51">D142+C142-V142</f>
        <v>1963</v>
      </c>
      <c r="U142" s="6">
        <f t="shared" si="41"/>
        <v>288</v>
      </c>
      <c r="V142" s="6">
        <f t="shared" si="42"/>
        <v>312</v>
      </c>
      <c r="W142" s="6">
        <f t="shared" si="40"/>
        <v>446</v>
      </c>
      <c r="X142" s="5"/>
      <c r="Y142" s="4"/>
      <c r="Z142" s="4"/>
      <c r="AA142" s="4"/>
      <c r="AB142" s="4"/>
    </row>
    <row r="143" spans="1:28" ht="13.15" customHeight="1">
      <c r="A143" s="11">
        <v>129</v>
      </c>
      <c r="B143" s="14">
        <f t="shared" ref="B143:B206" si="52">B142+1</f>
        <v>45172</v>
      </c>
      <c r="C143" s="9">
        <f t="shared" ref="C143:C206" si="53">C142</f>
        <v>842</v>
      </c>
      <c r="D143" s="8">
        <f t="shared" si="44"/>
        <v>1435</v>
      </c>
      <c r="E143" s="7">
        <f t="shared" si="45"/>
        <v>769</v>
      </c>
      <c r="F143" s="7">
        <f t="shared" si="46"/>
        <v>755</v>
      </c>
      <c r="G143" s="7">
        <f t="shared" si="47"/>
        <v>631</v>
      </c>
      <c r="H143" s="4">
        <f t="shared" si="48"/>
        <v>1508</v>
      </c>
      <c r="I143" s="4">
        <f t="shared" si="49"/>
        <v>1522</v>
      </c>
      <c r="J143" s="4">
        <f t="shared" si="50"/>
        <v>1646</v>
      </c>
      <c r="K143" s="4">
        <f t="shared" ref="K143:K206" si="54">K142</f>
        <v>2000</v>
      </c>
      <c r="L143" s="4">
        <f t="shared" ref="L143:L206" si="55">L142</f>
        <v>2000</v>
      </c>
      <c r="M143" s="4">
        <f t="shared" ref="M143:M206" si="56">M142</f>
        <v>2000</v>
      </c>
      <c r="N143" s="4">
        <f t="shared" ref="N143:N206" si="57">N142-Q143</f>
        <v>-492</v>
      </c>
      <c r="O143" s="4">
        <f t="shared" ref="O143:O206" si="58">O142-R143</f>
        <v>-478</v>
      </c>
      <c r="P143" s="4">
        <f t="shared" ref="P143:P206" si="59">P142-S143</f>
        <v>-354</v>
      </c>
      <c r="Q143" s="7">
        <v>0</v>
      </c>
      <c r="R143" s="7">
        <v>0</v>
      </c>
      <c r="S143" s="7">
        <v>0</v>
      </c>
      <c r="T143" s="5">
        <f t="shared" si="51"/>
        <v>1965</v>
      </c>
      <c r="U143" s="6">
        <f t="shared" si="41"/>
        <v>288</v>
      </c>
      <c r="V143" s="6">
        <f t="shared" si="42"/>
        <v>312</v>
      </c>
      <c r="W143" s="6">
        <f t="shared" si="40"/>
        <v>446</v>
      </c>
      <c r="X143" s="5"/>
      <c r="Y143" s="4"/>
      <c r="Z143" s="4"/>
      <c r="AA143" s="4"/>
      <c r="AB143" s="4"/>
    </row>
    <row r="144" spans="1:28" ht="13.15" customHeight="1">
      <c r="A144" s="11">
        <v>130</v>
      </c>
      <c r="B144" s="14">
        <f t="shared" si="52"/>
        <v>45173</v>
      </c>
      <c r="C144" s="9">
        <f t="shared" si="53"/>
        <v>842</v>
      </c>
      <c r="D144" s="8">
        <f t="shared" si="44"/>
        <v>1437</v>
      </c>
      <c r="E144" s="7">
        <f t="shared" si="45"/>
        <v>771</v>
      </c>
      <c r="F144" s="7">
        <f t="shared" si="46"/>
        <v>757</v>
      </c>
      <c r="G144" s="7">
        <f t="shared" si="47"/>
        <v>633</v>
      </c>
      <c r="H144" s="4">
        <f t="shared" si="48"/>
        <v>1508</v>
      </c>
      <c r="I144" s="4">
        <f t="shared" si="49"/>
        <v>1522</v>
      </c>
      <c r="J144" s="4">
        <f t="shared" si="50"/>
        <v>1646</v>
      </c>
      <c r="K144" s="4">
        <f t="shared" si="54"/>
        <v>2000</v>
      </c>
      <c r="L144" s="4">
        <f t="shared" si="55"/>
        <v>2000</v>
      </c>
      <c r="M144" s="4">
        <f t="shared" si="56"/>
        <v>2000</v>
      </c>
      <c r="N144" s="4">
        <f t="shared" si="57"/>
        <v>-492</v>
      </c>
      <c r="O144" s="4">
        <f t="shared" si="58"/>
        <v>-478</v>
      </c>
      <c r="P144" s="4">
        <f t="shared" si="59"/>
        <v>-354</v>
      </c>
      <c r="Q144" s="7">
        <v>0</v>
      </c>
      <c r="R144" s="7">
        <v>0</v>
      </c>
      <c r="S144" s="7">
        <v>0</v>
      </c>
      <c r="T144" s="5">
        <f t="shared" si="51"/>
        <v>1967</v>
      </c>
      <c r="U144" s="6">
        <f t="shared" si="41"/>
        <v>288</v>
      </c>
      <c r="V144" s="6">
        <f t="shared" si="42"/>
        <v>312</v>
      </c>
      <c r="W144" s="6">
        <f t="shared" si="40"/>
        <v>446</v>
      </c>
      <c r="X144" s="5"/>
      <c r="Y144" s="4"/>
      <c r="Z144" s="4"/>
      <c r="AA144" s="4"/>
      <c r="AB144" s="4"/>
    </row>
    <row r="145" spans="1:28" ht="13.15" customHeight="1">
      <c r="A145" s="11">
        <v>131</v>
      </c>
      <c r="B145" s="14">
        <f t="shared" si="52"/>
        <v>45174</v>
      </c>
      <c r="C145" s="9">
        <f t="shared" si="53"/>
        <v>842</v>
      </c>
      <c r="D145" s="8">
        <f t="shared" si="44"/>
        <v>1439</v>
      </c>
      <c r="E145" s="7">
        <f t="shared" si="45"/>
        <v>773</v>
      </c>
      <c r="F145" s="7">
        <f t="shared" si="46"/>
        <v>759</v>
      </c>
      <c r="G145" s="7">
        <f t="shared" si="47"/>
        <v>635</v>
      </c>
      <c r="H145" s="4">
        <f t="shared" si="48"/>
        <v>1508</v>
      </c>
      <c r="I145" s="4">
        <f t="shared" si="49"/>
        <v>1522</v>
      </c>
      <c r="J145" s="4">
        <f t="shared" si="50"/>
        <v>1646</v>
      </c>
      <c r="K145" s="4">
        <f t="shared" si="54"/>
        <v>2000</v>
      </c>
      <c r="L145" s="4">
        <f t="shared" si="55"/>
        <v>2000</v>
      </c>
      <c r="M145" s="4">
        <f t="shared" si="56"/>
        <v>2000</v>
      </c>
      <c r="N145" s="4">
        <f t="shared" si="57"/>
        <v>-492</v>
      </c>
      <c r="O145" s="4">
        <f t="shared" si="58"/>
        <v>-478</v>
      </c>
      <c r="P145" s="4">
        <f t="shared" si="59"/>
        <v>-354</v>
      </c>
      <c r="Q145" s="7">
        <v>0</v>
      </c>
      <c r="R145" s="7">
        <v>0</v>
      </c>
      <c r="S145" s="7">
        <v>0</v>
      </c>
      <c r="T145" s="5">
        <f t="shared" si="51"/>
        <v>1969</v>
      </c>
      <c r="U145" s="6">
        <f t="shared" si="41"/>
        <v>288</v>
      </c>
      <c r="V145" s="6">
        <f t="shared" si="42"/>
        <v>312</v>
      </c>
      <c r="W145" s="6">
        <f t="shared" si="40"/>
        <v>446</v>
      </c>
      <c r="X145" s="5"/>
      <c r="Y145" s="4"/>
      <c r="Z145" s="4"/>
      <c r="AA145" s="4"/>
      <c r="AB145" s="4"/>
    </row>
    <row r="146" spans="1:28" ht="13.15" customHeight="1">
      <c r="A146" s="11">
        <v>132</v>
      </c>
      <c r="B146" s="14">
        <f t="shared" si="52"/>
        <v>45175</v>
      </c>
      <c r="C146" s="9">
        <f t="shared" si="53"/>
        <v>842</v>
      </c>
      <c r="D146" s="8">
        <f t="shared" si="44"/>
        <v>1441</v>
      </c>
      <c r="E146" s="7">
        <f t="shared" si="45"/>
        <v>775</v>
      </c>
      <c r="F146" s="7">
        <f t="shared" si="46"/>
        <v>761</v>
      </c>
      <c r="G146" s="7">
        <f t="shared" si="47"/>
        <v>637</v>
      </c>
      <c r="H146" s="4">
        <f t="shared" si="48"/>
        <v>1508</v>
      </c>
      <c r="I146" s="4">
        <f t="shared" si="49"/>
        <v>1522</v>
      </c>
      <c r="J146" s="4">
        <f t="shared" si="50"/>
        <v>1646</v>
      </c>
      <c r="K146" s="4">
        <f t="shared" si="54"/>
        <v>2000</v>
      </c>
      <c r="L146" s="4">
        <f t="shared" si="55"/>
        <v>2000</v>
      </c>
      <c r="M146" s="4">
        <f t="shared" si="56"/>
        <v>2000</v>
      </c>
      <c r="N146" s="4">
        <f t="shared" si="57"/>
        <v>-492</v>
      </c>
      <c r="O146" s="4">
        <f t="shared" si="58"/>
        <v>-478</v>
      </c>
      <c r="P146" s="4">
        <f t="shared" si="59"/>
        <v>-354</v>
      </c>
      <c r="Q146" s="7">
        <v>0</v>
      </c>
      <c r="R146" s="7">
        <v>0</v>
      </c>
      <c r="S146" s="7">
        <v>0</v>
      </c>
      <c r="T146" s="5">
        <f t="shared" si="51"/>
        <v>1971</v>
      </c>
      <c r="U146" s="6">
        <f t="shared" si="41"/>
        <v>288</v>
      </c>
      <c r="V146" s="6">
        <f t="shared" si="42"/>
        <v>312</v>
      </c>
      <c r="W146" s="6">
        <f t="shared" si="40"/>
        <v>446</v>
      </c>
      <c r="X146" s="5"/>
      <c r="Y146" s="4"/>
      <c r="Z146" s="4"/>
      <c r="AA146" s="4"/>
      <c r="AB146" s="4"/>
    </row>
    <row r="147" spans="1:28" ht="13.15" customHeight="1">
      <c r="A147" s="11">
        <v>133</v>
      </c>
      <c r="B147" s="14">
        <f t="shared" si="52"/>
        <v>45176</v>
      </c>
      <c r="C147" s="9">
        <f t="shared" si="53"/>
        <v>842</v>
      </c>
      <c r="D147" s="8">
        <f t="shared" si="44"/>
        <v>1443</v>
      </c>
      <c r="E147" s="7">
        <f t="shared" si="45"/>
        <v>777</v>
      </c>
      <c r="F147" s="7">
        <f t="shared" si="46"/>
        <v>763</v>
      </c>
      <c r="G147" s="7">
        <f t="shared" si="47"/>
        <v>639</v>
      </c>
      <c r="H147" s="4">
        <f t="shared" si="48"/>
        <v>1508</v>
      </c>
      <c r="I147" s="4">
        <f t="shared" si="49"/>
        <v>1522</v>
      </c>
      <c r="J147" s="4">
        <f t="shared" si="50"/>
        <v>1646</v>
      </c>
      <c r="K147" s="4">
        <f t="shared" si="54"/>
        <v>2000</v>
      </c>
      <c r="L147" s="4">
        <f t="shared" si="55"/>
        <v>2000</v>
      </c>
      <c r="M147" s="4">
        <f t="shared" si="56"/>
        <v>2000</v>
      </c>
      <c r="N147" s="4">
        <f t="shared" si="57"/>
        <v>-492</v>
      </c>
      <c r="O147" s="4">
        <f t="shared" si="58"/>
        <v>-478</v>
      </c>
      <c r="P147" s="4">
        <f t="shared" si="59"/>
        <v>-354</v>
      </c>
      <c r="Q147" s="7">
        <v>0</v>
      </c>
      <c r="R147" s="7">
        <v>0</v>
      </c>
      <c r="S147" s="7">
        <v>0</v>
      </c>
      <c r="T147" s="5">
        <f t="shared" si="51"/>
        <v>1973</v>
      </c>
      <c r="U147" s="6">
        <f t="shared" si="41"/>
        <v>288</v>
      </c>
      <c r="V147" s="6">
        <f t="shared" si="42"/>
        <v>312</v>
      </c>
      <c r="W147" s="6">
        <f t="shared" si="40"/>
        <v>446</v>
      </c>
      <c r="X147" s="5"/>
      <c r="Y147" s="4"/>
      <c r="Z147" s="4"/>
      <c r="AA147" s="4"/>
      <c r="AB147" s="4"/>
    </row>
    <row r="148" spans="1:28" ht="13.15" customHeight="1">
      <c r="A148" s="11">
        <v>134</v>
      </c>
      <c r="B148" s="14">
        <f t="shared" si="52"/>
        <v>45177</v>
      </c>
      <c r="C148" s="9">
        <f t="shared" si="53"/>
        <v>842</v>
      </c>
      <c r="D148" s="8">
        <f t="shared" si="44"/>
        <v>1445</v>
      </c>
      <c r="E148" s="7">
        <f t="shared" si="45"/>
        <v>779</v>
      </c>
      <c r="F148" s="7">
        <f t="shared" si="46"/>
        <v>765</v>
      </c>
      <c r="G148" s="7">
        <f t="shared" si="47"/>
        <v>641</v>
      </c>
      <c r="H148" s="4">
        <f t="shared" si="48"/>
        <v>1508</v>
      </c>
      <c r="I148" s="4">
        <f t="shared" si="49"/>
        <v>1522</v>
      </c>
      <c r="J148" s="4">
        <f t="shared" si="50"/>
        <v>1646</v>
      </c>
      <c r="K148" s="4">
        <f t="shared" si="54"/>
        <v>2000</v>
      </c>
      <c r="L148" s="4">
        <f t="shared" si="55"/>
        <v>2000</v>
      </c>
      <c r="M148" s="4">
        <f t="shared" si="56"/>
        <v>2000</v>
      </c>
      <c r="N148" s="4">
        <f t="shared" si="57"/>
        <v>-492</v>
      </c>
      <c r="O148" s="4">
        <f t="shared" si="58"/>
        <v>-478</v>
      </c>
      <c r="P148" s="4">
        <f t="shared" si="59"/>
        <v>-354</v>
      </c>
      <c r="Q148" s="7">
        <v>0</v>
      </c>
      <c r="R148" s="7">
        <v>0</v>
      </c>
      <c r="S148" s="7">
        <v>0</v>
      </c>
      <c r="T148" s="5">
        <f t="shared" si="51"/>
        <v>1975</v>
      </c>
      <c r="U148" s="6">
        <f t="shared" si="41"/>
        <v>288</v>
      </c>
      <c r="V148" s="6">
        <f t="shared" si="42"/>
        <v>312</v>
      </c>
      <c r="W148" s="6">
        <f t="shared" si="40"/>
        <v>446</v>
      </c>
      <c r="X148" s="5"/>
      <c r="Y148" s="4"/>
      <c r="Z148" s="4"/>
      <c r="AA148" s="4"/>
      <c r="AB148" s="4"/>
    </row>
    <row r="149" spans="1:28" ht="13.15" customHeight="1">
      <c r="A149" s="11">
        <v>135</v>
      </c>
      <c r="B149" s="14">
        <f t="shared" si="52"/>
        <v>45178</v>
      </c>
      <c r="C149" s="9">
        <f t="shared" si="53"/>
        <v>842</v>
      </c>
      <c r="D149" s="8">
        <f t="shared" si="44"/>
        <v>1447</v>
      </c>
      <c r="E149" s="7">
        <f t="shared" si="45"/>
        <v>781</v>
      </c>
      <c r="F149" s="7">
        <f t="shared" si="46"/>
        <v>767</v>
      </c>
      <c r="G149" s="7">
        <f t="shared" si="47"/>
        <v>643</v>
      </c>
      <c r="H149" s="4">
        <f t="shared" si="48"/>
        <v>1508</v>
      </c>
      <c r="I149" s="4">
        <f t="shared" si="49"/>
        <v>1522</v>
      </c>
      <c r="J149" s="4">
        <f t="shared" si="50"/>
        <v>1646</v>
      </c>
      <c r="K149" s="4">
        <f t="shared" si="54"/>
        <v>2000</v>
      </c>
      <c r="L149" s="4">
        <f t="shared" si="55"/>
        <v>2000</v>
      </c>
      <c r="M149" s="4">
        <f t="shared" si="56"/>
        <v>2000</v>
      </c>
      <c r="N149" s="4">
        <f t="shared" si="57"/>
        <v>-492</v>
      </c>
      <c r="O149" s="4">
        <f t="shared" si="58"/>
        <v>-478</v>
      </c>
      <c r="P149" s="4">
        <f t="shared" si="59"/>
        <v>-354</v>
      </c>
      <c r="Q149" s="7">
        <v>0</v>
      </c>
      <c r="R149" s="7">
        <v>0</v>
      </c>
      <c r="S149" s="7">
        <v>0</v>
      </c>
      <c r="T149" s="5">
        <f t="shared" si="51"/>
        <v>1977</v>
      </c>
      <c r="U149" s="6">
        <f t="shared" si="41"/>
        <v>288</v>
      </c>
      <c r="V149" s="6">
        <f t="shared" si="42"/>
        <v>312</v>
      </c>
      <c r="W149" s="6">
        <f t="shared" si="40"/>
        <v>446</v>
      </c>
      <c r="X149" s="5"/>
      <c r="Y149" s="4"/>
      <c r="Z149" s="4"/>
      <c r="AA149" s="4"/>
      <c r="AB149" s="4"/>
    </row>
    <row r="150" spans="1:28" ht="13.15" customHeight="1">
      <c r="A150" s="11">
        <v>136</v>
      </c>
      <c r="B150" s="14">
        <f t="shared" si="52"/>
        <v>45179</v>
      </c>
      <c r="C150" s="9">
        <f t="shared" si="53"/>
        <v>842</v>
      </c>
      <c r="D150" s="8">
        <f t="shared" si="44"/>
        <v>1449</v>
      </c>
      <c r="E150" s="7">
        <f t="shared" si="45"/>
        <v>783</v>
      </c>
      <c r="F150" s="7">
        <f t="shared" si="46"/>
        <v>769</v>
      </c>
      <c r="G150" s="7">
        <f t="shared" si="47"/>
        <v>645</v>
      </c>
      <c r="H150" s="4">
        <f t="shared" si="48"/>
        <v>1508</v>
      </c>
      <c r="I150" s="4">
        <f t="shared" si="49"/>
        <v>1522</v>
      </c>
      <c r="J150" s="4">
        <f t="shared" si="50"/>
        <v>1646</v>
      </c>
      <c r="K150" s="4">
        <f t="shared" si="54"/>
        <v>2000</v>
      </c>
      <c r="L150" s="4">
        <f t="shared" si="55"/>
        <v>2000</v>
      </c>
      <c r="M150" s="4">
        <f t="shared" si="56"/>
        <v>2000</v>
      </c>
      <c r="N150" s="4">
        <f t="shared" si="57"/>
        <v>-492</v>
      </c>
      <c r="O150" s="4">
        <f t="shared" si="58"/>
        <v>-478</v>
      </c>
      <c r="P150" s="4">
        <f t="shared" si="59"/>
        <v>-354</v>
      </c>
      <c r="Q150" s="7">
        <v>0</v>
      </c>
      <c r="R150" s="7">
        <v>0</v>
      </c>
      <c r="S150" s="7">
        <v>0</v>
      </c>
      <c r="T150" s="5">
        <f t="shared" si="51"/>
        <v>1979</v>
      </c>
      <c r="U150" s="6">
        <f t="shared" si="41"/>
        <v>288</v>
      </c>
      <c r="V150" s="6">
        <f t="shared" si="42"/>
        <v>312</v>
      </c>
      <c r="W150" s="6">
        <f t="shared" si="40"/>
        <v>446</v>
      </c>
      <c r="X150" s="5"/>
      <c r="Y150" s="4"/>
      <c r="Z150" s="4"/>
      <c r="AA150" s="4"/>
      <c r="AB150" s="4"/>
    </row>
    <row r="151" spans="1:28" ht="13.15" customHeight="1">
      <c r="A151" s="11">
        <v>137</v>
      </c>
      <c r="B151" s="14">
        <f t="shared" si="52"/>
        <v>45180</v>
      </c>
      <c r="C151" s="9">
        <f t="shared" si="53"/>
        <v>842</v>
      </c>
      <c r="D151" s="8">
        <f t="shared" si="44"/>
        <v>1451</v>
      </c>
      <c r="E151" s="7">
        <f t="shared" si="45"/>
        <v>785</v>
      </c>
      <c r="F151" s="7">
        <f t="shared" si="46"/>
        <v>771</v>
      </c>
      <c r="G151" s="7">
        <f t="shared" si="47"/>
        <v>647</v>
      </c>
      <c r="H151" s="4">
        <f t="shared" si="48"/>
        <v>1508</v>
      </c>
      <c r="I151" s="4">
        <f t="shared" si="49"/>
        <v>1522</v>
      </c>
      <c r="J151" s="4">
        <f t="shared" si="50"/>
        <v>1646</v>
      </c>
      <c r="K151" s="4">
        <f t="shared" si="54"/>
        <v>2000</v>
      </c>
      <c r="L151" s="4">
        <f t="shared" si="55"/>
        <v>2000</v>
      </c>
      <c r="M151" s="4">
        <f t="shared" si="56"/>
        <v>2000</v>
      </c>
      <c r="N151" s="4">
        <f t="shared" si="57"/>
        <v>-492</v>
      </c>
      <c r="O151" s="4">
        <f t="shared" si="58"/>
        <v>-478</v>
      </c>
      <c r="P151" s="4">
        <f t="shared" si="59"/>
        <v>-354</v>
      </c>
      <c r="Q151" s="7">
        <v>0</v>
      </c>
      <c r="R151" s="7">
        <v>0</v>
      </c>
      <c r="S151" s="7">
        <v>0</v>
      </c>
      <c r="T151" s="5">
        <f t="shared" si="51"/>
        <v>1981</v>
      </c>
      <c r="U151" s="6">
        <f t="shared" si="41"/>
        <v>288</v>
      </c>
      <c r="V151" s="6">
        <f t="shared" si="42"/>
        <v>312</v>
      </c>
      <c r="W151" s="6">
        <f t="shared" si="40"/>
        <v>446</v>
      </c>
      <c r="X151" s="5"/>
      <c r="Y151" s="4"/>
      <c r="Z151" s="4"/>
      <c r="AA151" s="4"/>
      <c r="AB151" s="4"/>
    </row>
    <row r="152" spans="1:28" ht="13.15" customHeight="1">
      <c r="A152" s="11">
        <v>138</v>
      </c>
      <c r="B152" s="14">
        <f t="shared" si="52"/>
        <v>45181</v>
      </c>
      <c r="C152" s="9">
        <f t="shared" si="53"/>
        <v>842</v>
      </c>
      <c r="D152" s="8">
        <f t="shared" si="44"/>
        <v>1453</v>
      </c>
      <c r="E152" s="7">
        <f t="shared" si="45"/>
        <v>787</v>
      </c>
      <c r="F152" s="7">
        <f t="shared" si="46"/>
        <v>773</v>
      </c>
      <c r="G152" s="7">
        <f t="shared" si="47"/>
        <v>649</v>
      </c>
      <c r="H152" s="4">
        <f t="shared" si="48"/>
        <v>1508</v>
      </c>
      <c r="I152" s="4">
        <f t="shared" si="49"/>
        <v>1522</v>
      </c>
      <c r="J152" s="4">
        <f t="shared" si="50"/>
        <v>1646</v>
      </c>
      <c r="K152" s="4">
        <f t="shared" si="54"/>
        <v>2000</v>
      </c>
      <c r="L152" s="4">
        <f t="shared" si="55"/>
        <v>2000</v>
      </c>
      <c r="M152" s="4">
        <f t="shared" si="56"/>
        <v>2000</v>
      </c>
      <c r="N152" s="4">
        <f t="shared" si="57"/>
        <v>-492</v>
      </c>
      <c r="O152" s="4">
        <f t="shared" si="58"/>
        <v>-478</v>
      </c>
      <c r="P152" s="4">
        <f t="shared" si="59"/>
        <v>-354</v>
      </c>
      <c r="Q152" s="7">
        <v>0</v>
      </c>
      <c r="R152" s="7">
        <v>0</v>
      </c>
      <c r="S152" s="7">
        <v>0</v>
      </c>
      <c r="T152" s="5">
        <f t="shared" si="51"/>
        <v>1983</v>
      </c>
      <c r="U152" s="6">
        <f t="shared" si="41"/>
        <v>288</v>
      </c>
      <c r="V152" s="6">
        <f t="shared" si="42"/>
        <v>312</v>
      </c>
      <c r="W152" s="6">
        <f t="shared" si="40"/>
        <v>446</v>
      </c>
      <c r="X152" s="5"/>
      <c r="Y152" s="4"/>
      <c r="Z152" s="4"/>
      <c r="AA152" s="4"/>
      <c r="AB152" s="4"/>
    </row>
    <row r="153" spans="1:28" ht="13.15" customHeight="1">
      <c r="A153" s="11">
        <v>139</v>
      </c>
      <c r="B153" s="14">
        <f t="shared" si="52"/>
        <v>45182</v>
      </c>
      <c r="C153" s="9">
        <f t="shared" si="53"/>
        <v>842</v>
      </c>
      <c r="D153" s="8">
        <f t="shared" si="44"/>
        <v>1455</v>
      </c>
      <c r="E153" s="7">
        <f t="shared" si="45"/>
        <v>789</v>
      </c>
      <c r="F153" s="7">
        <f t="shared" si="46"/>
        <v>775</v>
      </c>
      <c r="G153" s="7">
        <f t="shared" si="47"/>
        <v>651</v>
      </c>
      <c r="H153" s="4">
        <f t="shared" si="48"/>
        <v>1508</v>
      </c>
      <c r="I153" s="4">
        <f t="shared" si="49"/>
        <v>1522</v>
      </c>
      <c r="J153" s="4">
        <f t="shared" si="50"/>
        <v>1646</v>
      </c>
      <c r="K153" s="4">
        <f t="shared" si="54"/>
        <v>2000</v>
      </c>
      <c r="L153" s="4">
        <f t="shared" si="55"/>
        <v>2000</v>
      </c>
      <c r="M153" s="4">
        <f t="shared" si="56"/>
        <v>2000</v>
      </c>
      <c r="N153" s="4">
        <f t="shared" si="57"/>
        <v>-492</v>
      </c>
      <c r="O153" s="4">
        <f t="shared" si="58"/>
        <v>-478</v>
      </c>
      <c r="P153" s="4">
        <f t="shared" si="59"/>
        <v>-354</v>
      </c>
      <c r="Q153" s="7">
        <v>0</v>
      </c>
      <c r="R153" s="7">
        <v>0</v>
      </c>
      <c r="S153" s="7">
        <v>0</v>
      </c>
      <c r="T153" s="5">
        <f t="shared" si="51"/>
        <v>1985</v>
      </c>
      <c r="U153" s="6">
        <f t="shared" si="41"/>
        <v>288</v>
      </c>
      <c r="V153" s="6">
        <f t="shared" si="42"/>
        <v>312</v>
      </c>
      <c r="W153" s="6">
        <f t="shared" si="40"/>
        <v>446</v>
      </c>
      <c r="X153" s="5"/>
      <c r="Y153" s="4"/>
      <c r="Z153" s="4"/>
      <c r="AA153" s="4"/>
      <c r="AB153" s="4"/>
    </row>
    <row r="154" spans="1:28" ht="13.15" customHeight="1">
      <c r="A154" s="11">
        <v>140</v>
      </c>
      <c r="B154" s="14">
        <f t="shared" si="52"/>
        <v>45183</v>
      </c>
      <c r="C154" s="9">
        <f t="shared" si="53"/>
        <v>842</v>
      </c>
      <c r="D154" s="8">
        <f t="shared" si="44"/>
        <v>1457</v>
      </c>
      <c r="E154" s="7">
        <f t="shared" si="45"/>
        <v>791</v>
      </c>
      <c r="F154" s="7">
        <f t="shared" si="46"/>
        <v>777</v>
      </c>
      <c r="G154" s="7">
        <f t="shared" si="47"/>
        <v>653</v>
      </c>
      <c r="H154" s="4">
        <f t="shared" si="48"/>
        <v>1508</v>
      </c>
      <c r="I154" s="4">
        <f t="shared" si="49"/>
        <v>1522</v>
      </c>
      <c r="J154" s="4">
        <f t="shared" si="50"/>
        <v>1646</v>
      </c>
      <c r="K154" s="4">
        <f t="shared" si="54"/>
        <v>2000</v>
      </c>
      <c r="L154" s="4">
        <f t="shared" si="55"/>
        <v>2000</v>
      </c>
      <c r="M154" s="4">
        <f t="shared" si="56"/>
        <v>2000</v>
      </c>
      <c r="N154" s="4">
        <f t="shared" si="57"/>
        <v>-492</v>
      </c>
      <c r="O154" s="4">
        <f t="shared" si="58"/>
        <v>-478</v>
      </c>
      <c r="P154" s="4">
        <f t="shared" si="59"/>
        <v>-354</v>
      </c>
      <c r="Q154" s="7">
        <v>0</v>
      </c>
      <c r="R154" s="7">
        <v>0</v>
      </c>
      <c r="S154" s="7">
        <v>0</v>
      </c>
      <c r="T154" s="5">
        <f t="shared" si="51"/>
        <v>1987</v>
      </c>
      <c r="U154" s="6">
        <f t="shared" si="41"/>
        <v>288</v>
      </c>
      <c r="V154" s="6">
        <f t="shared" si="42"/>
        <v>312</v>
      </c>
      <c r="W154" s="6">
        <f t="shared" si="40"/>
        <v>446</v>
      </c>
      <c r="X154" s="5"/>
      <c r="Y154" s="4"/>
      <c r="Z154" s="4"/>
      <c r="AA154" s="4"/>
      <c r="AB154" s="4"/>
    </row>
    <row r="155" spans="1:28" ht="13.15" customHeight="1">
      <c r="A155" s="11">
        <v>141</v>
      </c>
      <c r="B155" s="14">
        <f t="shared" si="52"/>
        <v>45184</v>
      </c>
      <c r="C155" s="9">
        <f t="shared" si="53"/>
        <v>842</v>
      </c>
      <c r="D155" s="8">
        <f t="shared" si="44"/>
        <v>1459</v>
      </c>
      <c r="E155" s="7">
        <f t="shared" si="45"/>
        <v>793</v>
      </c>
      <c r="F155" s="7">
        <f t="shared" si="46"/>
        <v>779</v>
      </c>
      <c r="G155" s="7">
        <f t="shared" si="47"/>
        <v>655</v>
      </c>
      <c r="H155" s="4">
        <f t="shared" si="48"/>
        <v>1508</v>
      </c>
      <c r="I155" s="4">
        <f t="shared" si="49"/>
        <v>1522</v>
      </c>
      <c r="J155" s="4">
        <f t="shared" si="50"/>
        <v>1646</v>
      </c>
      <c r="K155" s="4">
        <f t="shared" si="54"/>
        <v>2000</v>
      </c>
      <c r="L155" s="4">
        <f t="shared" si="55"/>
        <v>2000</v>
      </c>
      <c r="M155" s="4">
        <f t="shared" si="56"/>
        <v>2000</v>
      </c>
      <c r="N155" s="4">
        <f t="shared" si="57"/>
        <v>-492</v>
      </c>
      <c r="O155" s="4">
        <f t="shared" si="58"/>
        <v>-478</v>
      </c>
      <c r="P155" s="4">
        <f t="shared" si="59"/>
        <v>-354</v>
      </c>
      <c r="Q155" s="7">
        <v>0</v>
      </c>
      <c r="R155" s="7">
        <v>0</v>
      </c>
      <c r="S155" s="7">
        <v>0</v>
      </c>
      <c r="T155" s="5">
        <f t="shared" si="51"/>
        <v>1989</v>
      </c>
      <c r="U155" s="6">
        <f t="shared" si="41"/>
        <v>288</v>
      </c>
      <c r="V155" s="6">
        <f t="shared" si="42"/>
        <v>312</v>
      </c>
      <c r="W155" s="6">
        <f t="shared" si="40"/>
        <v>446</v>
      </c>
      <c r="X155" s="5"/>
      <c r="Y155" s="4"/>
      <c r="Z155" s="4"/>
      <c r="AA155" s="4"/>
      <c r="AB155" s="4"/>
    </row>
    <row r="156" spans="1:28" ht="13.15" customHeight="1">
      <c r="A156" s="11">
        <v>142</v>
      </c>
      <c r="B156" s="14">
        <f t="shared" si="52"/>
        <v>45185</v>
      </c>
      <c r="C156" s="9">
        <f t="shared" si="53"/>
        <v>842</v>
      </c>
      <c r="D156" s="8">
        <f t="shared" si="44"/>
        <v>1461</v>
      </c>
      <c r="E156" s="7">
        <f t="shared" si="45"/>
        <v>795</v>
      </c>
      <c r="F156" s="7">
        <f t="shared" si="46"/>
        <v>781</v>
      </c>
      <c r="G156" s="7">
        <f t="shared" si="47"/>
        <v>657</v>
      </c>
      <c r="H156" s="4">
        <f t="shared" si="48"/>
        <v>1508</v>
      </c>
      <c r="I156" s="4">
        <f t="shared" si="49"/>
        <v>1522</v>
      </c>
      <c r="J156" s="4">
        <f t="shared" si="50"/>
        <v>1646</v>
      </c>
      <c r="K156" s="4">
        <f t="shared" si="54"/>
        <v>2000</v>
      </c>
      <c r="L156" s="4">
        <f t="shared" si="55"/>
        <v>2000</v>
      </c>
      <c r="M156" s="4">
        <f t="shared" si="56"/>
        <v>2000</v>
      </c>
      <c r="N156" s="4">
        <f t="shared" si="57"/>
        <v>-492</v>
      </c>
      <c r="O156" s="4">
        <f t="shared" si="58"/>
        <v>-478</v>
      </c>
      <c r="P156" s="4">
        <f t="shared" si="59"/>
        <v>-354</v>
      </c>
      <c r="Q156" s="7">
        <v>0</v>
      </c>
      <c r="R156" s="7">
        <v>0</v>
      </c>
      <c r="S156" s="7">
        <v>0</v>
      </c>
      <c r="T156" s="5">
        <f t="shared" si="51"/>
        <v>1991</v>
      </c>
      <c r="U156" s="6">
        <f t="shared" si="41"/>
        <v>288</v>
      </c>
      <c r="V156" s="6">
        <f t="shared" si="42"/>
        <v>312</v>
      </c>
      <c r="W156" s="6">
        <f t="shared" si="40"/>
        <v>446</v>
      </c>
      <c r="X156" s="5"/>
      <c r="Y156" s="4"/>
      <c r="Z156" s="4"/>
      <c r="AA156" s="4"/>
      <c r="AB156" s="4"/>
    </row>
    <row r="157" spans="1:28" ht="13.15" customHeight="1">
      <c r="A157" s="11">
        <v>143</v>
      </c>
      <c r="B157" s="14">
        <f t="shared" si="52"/>
        <v>45186</v>
      </c>
      <c r="C157" s="9">
        <f t="shared" si="53"/>
        <v>842</v>
      </c>
      <c r="D157" s="8">
        <f t="shared" si="44"/>
        <v>1463</v>
      </c>
      <c r="E157" s="7">
        <f t="shared" si="45"/>
        <v>797</v>
      </c>
      <c r="F157" s="7">
        <f t="shared" si="46"/>
        <v>783</v>
      </c>
      <c r="G157" s="7">
        <f t="shared" si="47"/>
        <v>659</v>
      </c>
      <c r="H157" s="4">
        <f t="shared" si="48"/>
        <v>1508</v>
      </c>
      <c r="I157" s="4">
        <f t="shared" si="49"/>
        <v>1522</v>
      </c>
      <c r="J157" s="4">
        <f t="shared" si="50"/>
        <v>1646</v>
      </c>
      <c r="K157" s="4">
        <f t="shared" si="54"/>
        <v>2000</v>
      </c>
      <c r="L157" s="4">
        <f t="shared" si="55"/>
        <v>2000</v>
      </c>
      <c r="M157" s="4">
        <f t="shared" si="56"/>
        <v>2000</v>
      </c>
      <c r="N157" s="4">
        <f t="shared" si="57"/>
        <v>-492</v>
      </c>
      <c r="O157" s="4">
        <f t="shared" si="58"/>
        <v>-478</v>
      </c>
      <c r="P157" s="4">
        <f t="shared" si="59"/>
        <v>-354</v>
      </c>
      <c r="Q157" s="7">
        <v>0</v>
      </c>
      <c r="R157" s="7">
        <v>0</v>
      </c>
      <c r="S157" s="7">
        <v>0</v>
      </c>
      <c r="T157" s="5">
        <f t="shared" si="51"/>
        <v>1993</v>
      </c>
      <c r="U157" s="6">
        <f t="shared" si="41"/>
        <v>288</v>
      </c>
      <c r="V157" s="6">
        <f t="shared" si="42"/>
        <v>312</v>
      </c>
      <c r="W157" s="6">
        <f t="shared" si="40"/>
        <v>446</v>
      </c>
      <c r="X157" s="5"/>
      <c r="Y157" s="4"/>
      <c r="Z157" s="4"/>
      <c r="AA157" s="4"/>
      <c r="AB157" s="4"/>
    </row>
    <row r="158" spans="1:28" ht="13.15" customHeight="1">
      <c r="A158" s="11">
        <v>144</v>
      </c>
      <c r="B158" s="14">
        <f t="shared" si="52"/>
        <v>45187</v>
      </c>
      <c r="C158" s="9">
        <f t="shared" si="53"/>
        <v>842</v>
      </c>
      <c r="D158" s="8">
        <f t="shared" si="44"/>
        <v>1465</v>
      </c>
      <c r="E158" s="7">
        <f t="shared" si="45"/>
        <v>799</v>
      </c>
      <c r="F158" s="7">
        <f t="shared" si="46"/>
        <v>785</v>
      </c>
      <c r="G158" s="7">
        <f t="shared" si="47"/>
        <v>661</v>
      </c>
      <c r="H158" s="4">
        <f t="shared" si="48"/>
        <v>1508</v>
      </c>
      <c r="I158" s="4">
        <f t="shared" si="49"/>
        <v>1522</v>
      </c>
      <c r="J158" s="4">
        <f t="shared" si="50"/>
        <v>1646</v>
      </c>
      <c r="K158" s="4">
        <f t="shared" si="54"/>
        <v>2000</v>
      </c>
      <c r="L158" s="4">
        <f t="shared" si="55"/>
        <v>2000</v>
      </c>
      <c r="M158" s="4">
        <f t="shared" si="56"/>
        <v>2000</v>
      </c>
      <c r="N158" s="4">
        <f t="shared" si="57"/>
        <v>-492</v>
      </c>
      <c r="O158" s="4">
        <f t="shared" si="58"/>
        <v>-478</v>
      </c>
      <c r="P158" s="4">
        <f t="shared" si="59"/>
        <v>-354</v>
      </c>
      <c r="Q158" s="7">
        <v>0</v>
      </c>
      <c r="R158" s="7">
        <v>0</v>
      </c>
      <c r="S158" s="7">
        <v>0</v>
      </c>
      <c r="T158" s="5">
        <f t="shared" si="51"/>
        <v>1995</v>
      </c>
      <c r="U158" s="6">
        <f t="shared" si="41"/>
        <v>288</v>
      </c>
      <c r="V158" s="6">
        <f t="shared" si="42"/>
        <v>312</v>
      </c>
      <c r="W158" s="6">
        <f t="shared" si="40"/>
        <v>446</v>
      </c>
      <c r="X158" s="5"/>
      <c r="Y158" s="4"/>
      <c r="Z158" s="4"/>
      <c r="AA158" s="4"/>
      <c r="AB158" s="4"/>
    </row>
    <row r="159" spans="1:28" ht="13.15" customHeight="1">
      <c r="A159" s="11">
        <v>145</v>
      </c>
      <c r="B159" s="14">
        <f t="shared" si="52"/>
        <v>45188</v>
      </c>
      <c r="C159" s="9">
        <f t="shared" si="53"/>
        <v>842</v>
      </c>
      <c r="D159" s="8">
        <f t="shared" si="44"/>
        <v>1467</v>
      </c>
      <c r="E159" s="7">
        <f t="shared" si="45"/>
        <v>801</v>
      </c>
      <c r="F159" s="7">
        <f t="shared" si="46"/>
        <v>787</v>
      </c>
      <c r="G159" s="7">
        <f t="shared" si="47"/>
        <v>663</v>
      </c>
      <c r="H159" s="4">
        <f t="shared" si="48"/>
        <v>1508</v>
      </c>
      <c r="I159" s="4">
        <f t="shared" si="49"/>
        <v>1522</v>
      </c>
      <c r="J159" s="4">
        <f t="shared" si="50"/>
        <v>1646</v>
      </c>
      <c r="K159" s="4">
        <f t="shared" si="54"/>
        <v>2000</v>
      </c>
      <c r="L159" s="4">
        <f t="shared" si="55"/>
        <v>2000</v>
      </c>
      <c r="M159" s="4">
        <f t="shared" si="56"/>
        <v>2000</v>
      </c>
      <c r="N159" s="4">
        <f t="shared" si="57"/>
        <v>-492</v>
      </c>
      <c r="O159" s="4">
        <f t="shared" si="58"/>
        <v>-478</v>
      </c>
      <c r="P159" s="4">
        <f t="shared" si="59"/>
        <v>-354</v>
      </c>
      <c r="Q159" s="7">
        <v>0</v>
      </c>
      <c r="R159" s="7">
        <v>0</v>
      </c>
      <c r="S159" s="7">
        <v>0</v>
      </c>
      <c r="T159" s="5">
        <f t="shared" si="51"/>
        <v>1997</v>
      </c>
      <c r="U159" s="6">
        <f t="shared" si="41"/>
        <v>288</v>
      </c>
      <c r="V159" s="6">
        <f t="shared" si="42"/>
        <v>312</v>
      </c>
      <c r="W159" s="6">
        <f t="shared" si="40"/>
        <v>446</v>
      </c>
      <c r="X159" s="5"/>
      <c r="Y159" s="4"/>
      <c r="Z159" s="4"/>
      <c r="AA159" s="4"/>
      <c r="AB159" s="4"/>
    </row>
    <row r="160" spans="1:28" ht="13.15" customHeight="1">
      <c r="A160" s="11">
        <v>146</v>
      </c>
      <c r="B160" s="14">
        <f t="shared" si="52"/>
        <v>45189</v>
      </c>
      <c r="C160" s="9">
        <f t="shared" si="53"/>
        <v>842</v>
      </c>
      <c r="D160" s="8">
        <f t="shared" si="44"/>
        <v>1469</v>
      </c>
      <c r="E160" s="7">
        <f t="shared" si="45"/>
        <v>803</v>
      </c>
      <c r="F160" s="7">
        <f t="shared" si="46"/>
        <v>789</v>
      </c>
      <c r="G160" s="7">
        <f t="shared" si="47"/>
        <v>665</v>
      </c>
      <c r="H160" s="4">
        <f t="shared" si="48"/>
        <v>1508</v>
      </c>
      <c r="I160" s="4">
        <f t="shared" si="49"/>
        <v>1522</v>
      </c>
      <c r="J160" s="4">
        <f t="shared" si="50"/>
        <v>1646</v>
      </c>
      <c r="K160" s="4">
        <f t="shared" si="54"/>
        <v>2000</v>
      </c>
      <c r="L160" s="4">
        <f t="shared" si="55"/>
        <v>2000</v>
      </c>
      <c r="M160" s="4">
        <f t="shared" si="56"/>
        <v>2000</v>
      </c>
      <c r="N160" s="4">
        <f t="shared" si="57"/>
        <v>-492</v>
      </c>
      <c r="O160" s="4">
        <f t="shared" si="58"/>
        <v>-478</v>
      </c>
      <c r="P160" s="4">
        <f t="shared" si="59"/>
        <v>-354</v>
      </c>
      <c r="Q160" s="7">
        <v>0</v>
      </c>
      <c r="R160" s="7">
        <v>0</v>
      </c>
      <c r="S160" s="7">
        <v>0</v>
      </c>
      <c r="T160" s="5">
        <f t="shared" si="51"/>
        <v>1999</v>
      </c>
      <c r="U160" s="6">
        <f t="shared" si="41"/>
        <v>288</v>
      </c>
      <c r="V160" s="6">
        <f t="shared" si="42"/>
        <v>312</v>
      </c>
      <c r="W160" s="6">
        <f t="shared" si="40"/>
        <v>446</v>
      </c>
      <c r="X160" s="5"/>
      <c r="Y160" s="4"/>
      <c r="Z160" s="4"/>
      <c r="AA160" s="4"/>
      <c r="AB160" s="4"/>
    </row>
    <row r="161" spans="1:28" ht="13.15" customHeight="1">
      <c r="A161" s="11">
        <v>147</v>
      </c>
      <c r="B161" s="14">
        <f t="shared" si="52"/>
        <v>45190</v>
      </c>
      <c r="C161" s="9">
        <f t="shared" si="53"/>
        <v>842</v>
      </c>
      <c r="D161" s="8">
        <f t="shared" si="44"/>
        <v>1471</v>
      </c>
      <c r="E161" s="7">
        <f t="shared" si="45"/>
        <v>805</v>
      </c>
      <c r="F161" s="7">
        <f t="shared" si="46"/>
        <v>791</v>
      </c>
      <c r="G161" s="7">
        <f t="shared" si="47"/>
        <v>667</v>
      </c>
      <c r="H161" s="4">
        <f t="shared" si="48"/>
        <v>1508</v>
      </c>
      <c r="I161" s="4">
        <f t="shared" si="49"/>
        <v>1522</v>
      </c>
      <c r="J161" s="4">
        <f t="shared" si="50"/>
        <v>1646</v>
      </c>
      <c r="K161" s="4">
        <f t="shared" si="54"/>
        <v>2000</v>
      </c>
      <c r="L161" s="4">
        <f t="shared" si="55"/>
        <v>2000</v>
      </c>
      <c r="M161" s="4">
        <f t="shared" si="56"/>
        <v>2000</v>
      </c>
      <c r="N161" s="4">
        <f t="shared" si="57"/>
        <v>-492</v>
      </c>
      <c r="O161" s="4">
        <f t="shared" si="58"/>
        <v>-478</v>
      </c>
      <c r="P161" s="4">
        <f t="shared" si="59"/>
        <v>-354</v>
      </c>
      <c r="Q161" s="7">
        <v>0</v>
      </c>
      <c r="R161" s="7">
        <v>0</v>
      </c>
      <c r="S161" s="7">
        <v>0</v>
      </c>
      <c r="T161" s="5">
        <f t="shared" si="51"/>
        <v>2001</v>
      </c>
      <c r="U161" s="6">
        <f t="shared" si="41"/>
        <v>288</v>
      </c>
      <c r="V161" s="6">
        <f t="shared" si="42"/>
        <v>312</v>
      </c>
      <c r="W161" s="6">
        <f t="shared" si="40"/>
        <v>446</v>
      </c>
      <c r="X161" s="5"/>
      <c r="Y161" s="4"/>
      <c r="Z161" s="4"/>
      <c r="AA161" s="4"/>
      <c r="AB161" s="4"/>
    </row>
    <row r="162" spans="1:28" ht="13.15" customHeight="1">
      <c r="A162" s="11">
        <v>148</v>
      </c>
      <c r="B162" s="14">
        <f t="shared" si="52"/>
        <v>45191</v>
      </c>
      <c r="C162" s="9">
        <f t="shared" si="53"/>
        <v>842</v>
      </c>
      <c r="D162" s="8">
        <f t="shared" si="44"/>
        <v>1473</v>
      </c>
      <c r="E162" s="7">
        <f t="shared" si="45"/>
        <v>807</v>
      </c>
      <c r="F162" s="7">
        <f t="shared" si="46"/>
        <v>793</v>
      </c>
      <c r="G162" s="7">
        <f t="shared" si="47"/>
        <v>669</v>
      </c>
      <c r="H162" s="4">
        <f t="shared" si="48"/>
        <v>1508</v>
      </c>
      <c r="I162" s="4">
        <f t="shared" si="49"/>
        <v>1522</v>
      </c>
      <c r="J162" s="4">
        <f t="shared" si="50"/>
        <v>1646</v>
      </c>
      <c r="K162" s="4">
        <f t="shared" si="54"/>
        <v>2000</v>
      </c>
      <c r="L162" s="4">
        <f t="shared" si="55"/>
        <v>2000</v>
      </c>
      <c r="M162" s="4">
        <f t="shared" si="56"/>
        <v>2000</v>
      </c>
      <c r="N162" s="4">
        <f t="shared" si="57"/>
        <v>-492</v>
      </c>
      <c r="O162" s="4">
        <f t="shared" si="58"/>
        <v>-478</v>
      </c>
      <c r="P162" s="4">
        <f t="shared" si="59"/>
        <v>-354</v>
      </c>
      <c r="Q162" s="7">
        <v>0</v>
      </c>
      <c r="R162" s="7">
        <v>0</v>
      </c>
      <c r="S162" s="7">
        <v>0</v>
      </c>
      <c r="T162" s="5">
        <f t="shared" si="51"/>
        <v>2003</v>
      </c>
      <c r="U162" s="6">
        <f t="shared" si="41"/>
        <v>288</v>
      </c>
      <c r="V162" s="6">
        <f t="shared" si="42"/>
        <v>312</v>
      </c>
      <c r="W162" s="6">
        <f t="shared" si="40"/>
        <v>446</v>
      </c>
      <c r="X162" s="5"/>
      <c r="Y162" s="4"/>
      <c r="Z162" s="4"/>
      <c r="AA162" s="4"/>
      <c r="AB162" s="4"/>
    </row>
    <row r="163" spans="1:28" ht="13.15" customHeight="1">
      <c r="A163" s="11">
        <v>149</v>
      </c>
      <c r="B163" s="14">
        <f t="shared" si="52"/>
        <v>45192</v>
      </c>
      <c r="C163" s="9">
        <f t="shared" si="53"/>
        <v>842</v>
      </c>
      <c r="D163" s="8">
        <f t="shared" si="44"/>
        <v>1475</v>
      </c>
      <c r="E163" s="7">
        <f t="shared" si="45"/>
        <v>809</v>
      </c>
      <c r="F163" s="7">
        <f t="shared" si="46"/>
        <v>795</v>
      </c>
      <c r="G163" s="7">
        <f t="shared" si="47"/>
        <v>671</v>
      </c>
      <c r="H163" s="4">
        <f t="shared" si="48"/>
        <v>1508</v>
      </c>
      <c r="I163" s="4">
        <f t="shared" si="49"/>
        <v>1522</v>
      </c>
      <c r="J163" s="4">
        <f t="shared" si="50"/>
        <v>1646</v>
      </c>
      <c r="K163" s="4">
        <f t="shared" si="54"/>
        <v>2000</v>
      </c>
      <c r="L163" s="4">
        <f t="shared" si="55"/>
        <v>2000</v>
      </c>
      <c r="M163" s="4">
        <f t="shared" si="56"/>
        <v>2000</v>
      </c>
      <c r="N163" s="4">
        <f t="shared" si="57"/>
        <v>-492</v>
      </c>
      <c r="O163" s="4">
        <f t="shared" si="58"/>
        <v>-478</v>
      </c>
      <c r="P163" s="4">
        <f t="shared" si="59"/>
        <v>-354</v>
      </c>
      <c r="Q163" s="7">
        <v>0</v>
      </c>
      <c r="R163" s="7">
        <v>0</v>
      </c>
      <c r="S163" s="7">
        <v>0</v>
      </c>
      <c r="T163" s="5">
        <f t="shared" si="51"/>
        <v>2005</v>
      </c>
      <c r="U163" s="6">
        <f t="shared" si="41"/>
        <v>288</v>
      </c>
      <c r="V163" s="6">
        <f t="shared" si="42"/>
        <v>312</v>
      </c>
      <c r="W163" s="6">
        <f t="shared" si="40"/>
        <v>446</v>
      </c>
      <c r="X163" s="5"/>
      <c r="Y163" s="4"/>
      <c r="Z163" s="4"/>
      <c r="AA163" s="4"/>
      <c r="AB163" s="4"/>
    </row>
    <row r="164" spans="1:28" ht="13.15" customHeight="1">
      <c r="A164" s="11">
        <v>150</v>
      </c>
      <c r="B164" s="14">
        <f t="shared" si="52"/>
        <v>45193</v>
      </c>
      <c r="C164" s="9">
        <f t="shared" si="53"/>
        <v>842</v>
      </c>
      <c r="D164" s="8">
        <f t="shared" si="44"/>
        <v>1477</v>
      </c>
      <c r="E164" s="7">
        <f t="shared" si="45"/>
        <v>811</v>
      </c>
      <c r="F164" s="7">
        <f t="shared" si="46"/>
        <v>797</v>
      </c>
      <c r="G164" s="7">
        <f t="shared" si="47"/>
        <v>673</v>
      </c>
      <c r="H164" s="4">
        <f t="shared" si="48"/>
        <v>1508</v>
      </c>
      <c r="I164" s="4">
        <f t="shared" si="49"/>
        <v>1522</v>
      </c>
      <c r="J164" s="4">
        <f t="shared" si="50"/>
        <v>1646</v>
      </c>
      <c r="K164" s="4">
        <f t="shared" si="54"/>
        <v>2000</v>
      </c>
      <c r="L164" s="4">
        <f t="shared" si="55"/>
        <v>2000</v>
      </c>
      <c r="M164" s="4">
        <f t="shared" si="56"/>
        <v>2000</v>
      </c>
      <c r="N164" s="4">
        <f t="shared" si="57"/>
        <v>-492</v>
      </c>
      <c r="O164" s="4">
        <f t="shared" si="58"/>
        <v>-478</v>
      </c>
      <c r="P164" s="4">
        <f t="shared" si="59"/>
        <v>-354</v>
      </c>
      <c r="Q164" s="7">
        <v>0</v>
      </c>
      <c r="R164" s="7">
        <v>0</v>
      </c>
      <c r="S164" s="7">
        <v>0</v>
      </c>
      <c r="T164" s="5">
        <f t="shared" si="51"/>
        <v>2007</v>
      </c>
      <c r="U164" s="6">
        <f t="shared" si="41"/>
        <v>288</v>
      </c>
      <c r="V164" s="6">
        <f t="shared" si="42"/>
        <v>312</v>
      </c>
      <c r="W164" s="6">
        <f t="shared" si="40"/>
        <v>446</v>
      </c>
      <c r="X164" s="5"/>
      <c r="Y164" s="4"/>
      <c r="Z164" s="4"/>
      <c r="AA164" s="4"/>
      <c r="AB164" s="4"/>
    </row>
    <row r="165" spans="1:28" ht="13.15" customHeight="1">
      <c r="A165" s="11">
        <v>151</v>
      </c>
      <c r="B165" s="14">
        <f t="shared" si="52"/>
        <v>45194</v>
      </c>
      <c r="C165" s="9">
        <f t="shared" si="53"/>
        <v>842</v>
      </c>
      <c r="D165" s="8">
        <f t="shared" si="44"/>
        <v>1479</v>
      </c>
      <c r="E165" s="7">
        <f t="shared" si="45"/>
        <v>813</v>
      </c>
      <c r="F165" s="7">
        <f t="shared" si="46"/>
        <v>799</v>
      </c>
      <c r="G165" s="7">
        <f t="shared" si="47"/>
        <v>675</v>
      </c>
      <c r="H165" s="4">
        <f t="shared" si="48"/>
        <v>1508</v>
      </c>
      <c r="I165" s="4">
        <f t="shared" si="49"/>
        <v>1522</v>
      </c>
      <c r="J165" s="4">
        <f t="shared" si="50"/>
        <v>1646</v>
      </c>
      <c r="K165" s="4">
        <f t="shared" si="54"/>
        <v>2000</v>
      </c>
      <c r="L165" s="4">
        <f t="shared" si="55"/>
        <v>2000</v>
      </c>
      <c r="M165" s="4">
        <f t="shared" si="56"/>
        <v>2000</v>
      </c>
      <c r="N165" s="4">
        <f t="shared" si="57"/>
        <v>-492</v>
      </c>
      <c r="O165" s="4">
        <f t="shared" si="58"/>
        <v>-478</v>
      </c>
      <c r="P165" s="4">
        <f t="shared" si="59"/>
        <v>-354</v>
      </c>
      <c r="Q165" s="7">
        <v>0</v>
      </c>
      <c r="R165" s="7">
        <v>0</v>
      </c>
      <c r="S165" s="7">
        <v>0</v>
      </c>
      <c r="T165" s="5">
        <f t="shared" si="51"/>
        <v>2009</v>
      </c>
      <c r="U165" s="6">
        <f t="shared" si="41"/>
        <v>288</v>
      </c>
      <c r="V165" s="6">
        <f t="shared" si="42"/>
        <v>312</v>
      </c>
      <c r="W165" s="6">
        <f t="shared" si="40"/>
        <v>446</v>
      </c>
      <c r="X165" s="5"/>
      <c r="Y165" s="4"/>
      <c r="Z165" s="4"/>
      <c r="AA165" s="4"/>
      <c r="AB165" s="4"/>
    </row>
    <row r="166" spans="1:28" ht="13.15" customHeight="1">
      <c r="A166" s="11">
        <v>152</v>
      </c>
      <c r="B166" s="14">
        <f t="shared" si="52"/>
        <v>45195</v>
      </c>
      <c r="C166" s="9">
        <f t="shared" si="53"/>
        <v>842</v>
      </c>
      <c r="D166" s="8">
        <f t="shared" si="44"/>
        <v>1481</v>
      </c>
      <c r="E166" s="7">
        <f t="shared" si="45"/>
        <v>815</v>
      </c>
      <c r="F166" s="7">
        <f t="shared" si="46"/>
        <v>801</v>
      </c>
      <c r="G166" s="7">
        <f t="shared" si="47"/>
        <v>677</v>
      </c>
      <c r="H166" s="4">
        <f t="shared" si="48"/>
        <v>1508</v>
      </c>
      <c r="I166" s="4">
        <f t="shared" si="49"/>
        <v>1522</v>
      </c>
      <c r="J166" s="4">
        <f t="shared" si="50"/>
        <v>1646</v>
      </c>
      <c r="K166" s="4">
        <f t="shared" si="54"/>
        <v>2000</v>
      </c>
      <c r="L166" s="4">
        <f t="shared" si="55"/>
        <v>2000</v>
      </c>
      <c r="M166" s="4">
        <f t="shared" si="56"/>
        <v>2000</v>
      </c>
      <c r="N166" s="4">
        <f t="shared" si="57"/>
        <v>-492</v>
      </c>
      <c r="O166" s="4">
        <f t="shared" si="58"/>
        <v>-478</v>
      </c>
      <c r="P166" s="4">
        <f t="shared" si="59"/>
        <v>-354</v>
      </c>
      <c r="Q166" s="7">
        <v>0</v>
      </c>
      <c r="R166" s="7">
        <v>0</v>
      </c>
      <c r="S166" s="7">
        <v>0</v>
      </c>
      <c r="T166" s="5">
        <f t="shared" si="51"/>
        <v>2011</v>
      </c>
      <c r="U166" s="6">
        <f t="shared" si="41"/>
        <v>288</v>
      </c>
      <c r="V166" s="6">
        <f t="shared" si="42"/>
        <v>312</v>
      </c>
      <c r="W166" s="6">
        <f t="shared" si="40"/>
        <v>446</v>
      </c>
      <c r="X166" s="5"/>
      <c r="Y166" s="4"/>
      <c r="Z166" s="4"/>
      <c r="AA166" s="4"/>
      <c r="AB166" s="4"/>
    </row>
    <row r="167" spans="1:28" ht="13.15" customHeight="1">
      <c r="A167" s="11">
        <v>153</v>
      </c>
      <c r="B167" s="14">
        <f t="shared" si="52"/>
        <v>45196</v>
      </c>
      <c r="C167" s="9">
        <f t="shared" si="53"/>
        <v>842</v>
      </c>
      <c r="D167" s="8">
        <f t="shared" si="44"/>
        <v>1483</v>
      </c>
      <c r="E167" s="7">
        <f t="shared" si="45"/>
        <v>817</v>
      </c>
      <c r="F167" s="7">
        <f t="shared" si="46"/>
        <v>803</v>
      </c>
      <c r="G167" s="7">
        <f t="shared" si="47"/>
        <v>679</v>
      </c>
      <c r="H167" s="4">
        <f t="shared" si="48"/>
        <v>1508</v>
      </c>
      <c r="I167" s="4">
        <f t="shared" si="49"/>
        <v>1522</v>
      </c>
      <c r="J167" s="4">
        <f t="shared" si="50"/>
        <v>1646</v>
      </c>
      <c r="K167" s="4">
        <f t="shared" si="54"/>
        <v>2000</v>
      </c>
      <c r="L167" s="4">
        <f t="shared" si="55"/>
        <v>2000</v>
      </c>
      <c r="M167" s="4">
        <f t="shared" si="56"/>
        <v>2000</v>
      </c>
      <c r="N167" s="4">
        <f t="shared" si="57"/>
        <v>-492</v>
      </c>
      <c r="O167" s="4">
        <f t="shared" si="58"/>
        <v>-478</v>
      </c>
      <c r="P167" s="4">
        <f t="shared" si="59"/>
        <v>-354</v>
      </c>
      <c r="Q167" s="7">
        <v>0</v>
      </c>
      <c r="R167" s="7">
        <v>0</v>
      </c>
      <c r="S167" s="7">
        <v>0</v>
      </c>
      <c r="T167" s="5">
        <f t="shared" si="51"/>
        <v>2013</v>
      </c>
      <c r="U167" s="6">
        <f t="shared" si="41"/>
        <v>288</v>
      </c>
      <c r="V167" s="6">
        <f t="shared" si="42"/>
        <v>312</v>
      </c>
      <c r="W167" s="6">
        <f t="shared" ref="W167:W230" si="60">W166+$X167*1000-S167</f>
        <v>446</v>
      </c>
      <c r="X167" s="5"/>
      <c r="Y167" s="4"/>
      <c r="Z167" s="4"/>
      <c r="AA167" s="4"/>
      <c r="AB167" s="4"/>
    </row>
    <row r="168" spans="1:28" ht="13.15" customHeight="1">
      <c r="A168" s="11">
        <v>154</v>
      </c>
      <c r="B168" s="14">
        <f t="shared" si="52"/>
        <v>45197</v>
      </c>
      <c r="C168" s="9">
        <f t="shared" si="53"/>
        <v>842</v>
      </c>
      <c r="D168" s="8">
        <f t="shared" si="44"/>
        <v>1485</v>
      </c>
      <c r="E168" s="7">
        <f t="shared" si="45"/>
        <v>819</v>
      </c>
      <c r="F168" s="7">
        <f t="shared" si="46"/>
        <v>805</v>
      </c>
      <c r="G168" s="7">
        <f t="shared" si="47"/>
        <v>681</v>
      </c>
      <c r="H168" s="4">
        <f t="shared" si="48"/>
        <v>1508</v>
      </c>
      <c r="I168" s="4">
        <f t="shared" si="49"/>
        <v>1522</v>
      </c>
      <c r="J168" s="4">
        <f t="shared" si="50"/>
        <v>1646</v>
      </c>
      <c r="K168" s="4">
        <f t="shared" si="54"/>
        <v>2000</v>
      </c>
      <c r="L168" s="4">
        <f t="shared" si="55"/>
        <v>2000</v>
      </c>
      <c r="M168" s="4">
        <f t="shared" si="56"/>
        <v>2000</v>
      </c>
      <c r="N168" s="4">
        <f t="shared" si="57"/>
        <v>-492</v>
      </c>
      <c r="O168" s="4">
        <f t="shared" si="58"/>
        <v>-478</v>
      </c>
      <c r="P168" s="4">
        <f t="shared" si="59"/>
        <v>-354</v>
      </c>
      <c r="Q168" s="7">
        <v>0</v>
      </c>
      <c r="R168" s="7">
        <v>0</v>
      </c>
      <c r="S168" s="7">
        <v>0</v>
      </c>
      <c r="T168" s="5">
        <f t="shared" si="51"/>
        <v>2015</v>
      </c>
      <c r="U168" s="6">
        <f t="shared" ref="U168:U231" si="61">U167+$X168*1000-Q168</f>
        <v>288</v>
      </c>
      <c r="V168" s="6">
        <f t="shared" ref="V168:V231" si="62">V167+$X168*1000-R168</f>
        <v>312</v>
      </c>
      <c r="W168" s="6">
        <f t="shared" si="60"/>
        <v>446</v>
      </c>
      <c r="X168" s="5"/>
      <c r="Y168" s="4"/>
      <c r="Z168" s="4"/>
      <c r="AA168" s="4"/>
      <c r="AB168" s="4"/>
    </row>
    <row r="169" spans="1:28" ht="13.15" customHeight="1">
      <c r="A169" s="11">
        <v>155</v>
      </c>
      <c r="B169" s="14">
        <f t="shared" si="52"/>
        <v>45198</v>
      </c>
      <c r="C169" s="9">
        <f t="shared" si="53"/>
        <v>842</v>
      </c>
      <c r="D169" s="8">
        <f t="shared" si="44"/>
        <v>1487</v>
      </c>
      <c r="E169" s="7">
        <f t="shared" si="45"/>
        <v>821</v>
      </c>
      <c r="F169" s="7">
        <f t="shared" si="46"/>
        <v>807</v>
      </c>
      <c r="G169" s="7">
        <f t="shared" si="47"/>
        <v>683</v>
      </c>
      <c r="H169" s="4">
        <f t="shared" si="48"/>
        <v>1508</v>
      </c>
      <c r="I169" s="4">
        <f t="shared" si="49"/>
        <v>1522</v>
      </c>
      <c r="J169" s="4">
        <f t="shared" si="50"/>
        <v>1646</v>
      </c>
      <c r="K169" s="4">
        <f t="shared" si="54"/>
        <v>2000</v>
      </c>
      <c r="L169" s="4">
        <f t="shared" si="55"/>
        <v>2000</v>
      </c>
      <c r="M169" s="4">
        <f t="shared" si="56"/>
        <v>2000</v>
      </c>
      <c r="N169" s="4">
        <f t="shared" si="57"/>
        <v>-492</v>
      </c>
      <c r="O169" s="4">
        <f t="shared" si="58"/>
        <v>-478</v>
      </c>
      <c r="P169" s="4">
        <f t="shared" si="59"/>
        <v>-354</v>
      </c>
      <c r="Q169" s="7">
        <v>0</v>
      </c>
      <c r="R169" s="7">
        <v>0</v>
      </c>
      <c r="S169" s="7">
        <v>0</v>
      </c>
      <c r="T169" s="5">
        <f t="shared" si="51"/>
        <v>2017</v>
      </c>
      <c r="U169" s="6">
        <f t="shared" si="61"/>
        <v>288</v>
      </c>
      <c r="V169" s="6">
        <f t="shared" si="62"/>
        <v>312</v>
      </c>
      <c r="W169" s="6">
        <f t="shared" si="60"/>
        <v>446</v>
      </c>
      <c r="X169" s="5"/>
      <c r="Y169" s="4"/>
      <c r="Z169" s="4"/>
      <c r="AA169" s="4"/>
      <c r="AB169" s="4"/>
    </row>
    <row r="170" spans="1:28" ht="13.15" customHeight="1">
      <c r="A170" s="11">
        <v>156</v>
      </c>
      <c r="B170" s="14">
        <f t="shared" si="52"/>
        <v>45199</v>
      </c>
      <c r="C170" s="9">
        <f t="shared" si="53"/>
        <v>842</v>
      </c>
      <c r="D170" s="8">
        <f t="shared" si="44"/>
        <v>1489</v>
      </c>
      <c r="E170" s="7">
        <f t="shared" si="45"/>
        <v>823</v>
      </c>
      <c r="F170" s="7">
        <f t="shared" si="46"/>
        <v>809</v>
      </c>
      <c r="G170" s="7">
        <f t="shared" si="47"/>
        <v>685</v>
      </c>
      <c r="H170" s="4">
        <f t="shared" si="48"/>
        <v>1508</v>
      </c>
      <c r="I170" s="4">
        <f t="shared" si="49"/>
        <v>1522</v>
      </c>
      <c r="J170" s="4">
        <f t="shared" si="50"/>
        <v>1646</v>
      </c>
      <c r="K170" s="4">
        <f t="shared" si="54"/>
        <v>2000</v>
      </c>
      <c r="L170" s="4">
        <f t="shared" si="55"/>
        <v>2000</v>
      </c>
      <c r="M170" s="4">
        <f t="shared" si="56"/>
        <v>2000</v>
      </c>
      <c r="N170" s="4">
        <f t="shared" si="57"/>
        <v>-492</v>
      </c>
      <c r="O170" s="4">
        <f t="shared" si="58"/>
        <v>-478</v>
      </c>
      <c r="P170" s="4">
        <f t="shared" si="59"/>
        <v>-354</v>
      </c>
      <c r="Q170" s="7">
        <v>0</v>
      </c>
      <c r="R170" s="7">
        <v>0</v>
      </c>
      <c r="S170" s="7">
        <v>0</v>
      </c>
      <c r="T170" s="5">
        <f t="shared" si="51"/>
        <v>2019</v>
      </c>
      <c r="U170" s="6">
        <f t="shared" si="61"/>
        <v>288</v>
      </c>
      <c r="V170" s="6">
        <f t="shared" si="62"/>
        <v>312</v>
      </c>
      <c r="W170" s="6">
        <f t="shared" si="60"/>
        <v>446</v>
      </c>
      <c r="X170" s="5"/>
      <c r="Y170" s="4"/>
      <c r="Z170" s="4"/>
      <c r="AA170" s="4"/>
      <c r="AB170" s="4"/>
    </row>
    <row r="171" spans="1:28" ht="13.15" customHeight="1">
      <c r="A171" s="11">
        <v>157</v>
      </c>
      <c r="B171" s="14">
        <f t="shared" si="52"/>
        <v>45200</v>
      </c>
      <c r="C171" s="9">
        <f t="shared" si="53"/>
        <v>842</v>
      </c>
      <c r="D171" s="8">
        <f t="shared" si="44"/>
        <v>1491</v>
      </c>
      <c r="E171" s="7">
        <f t="shared" si="45"/>
        <v>825</v>
      </c>
      <c r="F171" s="7">
        <f t="shared" si="46"/>
        <v>811</v>
      </c>
      <c r="G171" s="7">
        <f t="shared" si="47"/>
        <v>687</v>
      </c>
      <c r="H171" s="4">
        <f t="shared" si="48"/>
        <v>1508</v>
      </c>
      <c r="I171" s="4">
        <f t="shared" si="49"/>
        <v>1522</v>
      </c>
      <c r="J171" s="4">
        <f t="shared" si="50"/>
        <v>1646</v>
      </c>
      <c r="K171" s="4">
        <f t="shared" si="54"/>
        <v>2000</v>
      </c>
      <c r="L171" s="4">
        <f t="shared" si="55"/>
        <v>2000</v>
      </c>
      <c r="M171" s="4">
        <f t="shared" si="56"/>
        <v>2000</v>
      </c>
      <c r="N171" s="4">
        <f t="shared" si="57"/>
        <v>-492</v>
      </c>
      <c r="O171" s="4">
        <f t="shared" si="58"/>
        <v>-478</v>
      </c>
      <c r="P171" s="4">
        <f t="shared" si="59"/>
        <v>-354</v>
      </c>
      <c r="Q171" s="7">
        <v>0</v>
      </c>
      <c r="R171" s="7">
        <v>0</v>
      </c>
      <c r="S171" s="7">
        <v>0</v>
      </c>
      <c r="T171" s="5">
        <f t="shared" si="51"/>
        <v>2021</v>
      </c>
      <c r="U171" s="6">
        <f t="shared" si="61"/>
        <v>288</v>
      </c>
      <c r="V171" s="6">
        <f t="shared" si="62"/>
        <v>312</v>
      </c>
      <c r="W171" s="6">
        <f t="shared" si="60"/>
        <v>446</v>
      </c>
      <c r="X171" s="5"/>
      <c r="Y171" s="4"/>
      <c r="Z171" s="4"/>
      <c r="AA171" s="4"/>
      <c r="AB171" s="4"/>
    </row>
    <row r="172" spans="1:28" ht="13.15" customHeight="1">
      <c r="A172" s="11">
        <v>158</v>
      </c>
      <c r="B172" s="14">
        <f t="shared" si="52"/>
        <v>45201</v>
      </c>
      <c r="C172" s="9">
        <f t="shared" si="53"/>
        <v>842</v>
      </c>
      <c r="D172" s="8">
        <f t="shared" si="44"/>
        <v>1493</v>
      </c>
      <c r="E172" s="7">
        <f t="shared" si="45"/>
        <v>827</v>
      </c>
      <c r="F172" s="7">
        <f t="shared" si="46"/>
        <v>813</v>
      </c>
      <c r="G172" s="7">
        <f t="shared" si="47"/>
        <v>689</v>
      </c>
      <c r="H172" s="4">
        <f t="shared" si="48"/>
        <v>1508</v>
      </c>
      <c r="I172" s="4">
        <f t="shared" si="49"/>
        <v>1522</v>
      </c>
      <c r="J172" s="4">
        <f t="shared" si="50"/>
        <v>1646</v>
      </c>
      <c r="K172" s="4">
        <f t="shared" si="54"/>
        <v>2000</v>
      </c>
      <c r="L172" s="4">
        <f t="shared" si="55"/>
        <v>2000</v>
      </c>
      <c r="M172" s="4">
        <f t="shared" si="56"/>
        <v>2000</v>
      </c>
      <c r="N172" s="4">
        <f t="shared" si="57"/>
        <v>-492</v>
      </c>
      <c r="O172" s="4">
        <f t="shared" si="58"/>
        <v>-478</v>
      </c>
      <c r="P172" s="4">
        <f t="shared" si="59"/>
        <v>-354</v>
      </c>
      <c r="Q172" s="7">
        <v>0</v>
      </c>
      <c r="R172" s="7">
        <v>0</v>
      </c>
      <c r="S172" s="7">
        <v>0</v>
      </c>
      <c r="T172" s="5">
        <f t="shared" si="51"/>
        <v>2023</v>
      </c>
      <c r="U172" s="6">
        <f t="shared" si="61"/>
        <v>288</v>
      </c>
      <c r="V172" s="6">
        <f t="shared" si="62"/>
        <v>312</v>
      </c>
      <c r="W172" s="6">
        <f t="shared" si="60"/>
        <v>446</v>
      </c>
      <c r="X172" s="5"/>
      <c r="Y172" s="4"/>
      <c r="Z172" s="4"/>
      <c r="AA172" s="4"/>
      <c r="AB172" s="4"/>
    </row>
    <row r="173" spans="1:28" ht="13.15" customHeight="1">
      <c r="A173" s="11">
        <v>159</v>
      </c>
      <c r="B173" s="14">
        <f t="shared" si="52"/>
        <v>45202</v>
      </c>
      <c r="C173" s="9">
        <f t="shared" si="53"/>
        <v>842</v>
      </c>
      <c r="D173" s="8">
        <f t="shared" si="44"/>
        <v>1495</v>
      </c>
      <c r="E173" s="7">
        <f t="shared" si="45"/>
        <v>829</v>
      </c>
      <c r="F173" s="7">
        <f t="shared" si="46"/>
        <v>815</v>
      </c>
      <c r="G173" s="7">
        <f t="shared" si="47"/>
        <v>691</v>
      </c>
      <c r="H173" s="4">
        <f t="shared" si="48"/>
        <v>1508</v>
      </c>
      <c r="I173" s="4">
        <f t="shared" si="49"/>
        <v>1522</v>
      </c>
      <c r="J173" s="4">
        <f t="shared" si="50"/>
        <v>1646</v>
      </c>
      <c r="K173" s="4">
        <f t="shared" si="54"/>
        <v>2000</v>
      </c>
      <c r="L173" s="4">
        <f t="shared" si="55"/>
        <v>2000</v>
      </c>
      <c r="M173" s="4">
        <f t="shared" si="56"/>
        <v>2000</v>
      </c>
      <c r="N173" s="4">
        <f t="shared" si="57"/>
        <v>-492</v>
      </c>
      <c r="O173" s="4">
        <f t="shared" si="58"/>
        <v>-478</v>
      </c>
      <c r="P173" s="4">
        <f t="shared" si="59"/>
        <v>-354</v>
      </c>
      <c r="Q173" s="7">
        <v>0</v>
      </c>
      <c r="R173" s="7">
        <v>0</v>
      </c>
      <c r="S173" s="7">
        <v>0</v>
      </c>
      <c r="T173" s="5">
        <f t="shared" si="51"/>
        <v>2025</v>
      </c>
      <c r="U173" s="6">
        <f t="shared" si="61"/>
        <v>288</v>
      </c>
      <c r="V173" s="6">
        <f t="shared" si="62"/>
        <v>312</v>
      </c>
      <c r="W173" s="6">
        <f t="shared" si="60"/>
        <v>446</v>
      </c>
      <c r="X173" s="5"/>
      <c r="Y173" s="4"/>
      <c r="Z173" s="4"/>
      <c r="AA173" s="4"/>
      <c r="AB173" s="4"/>
    </row>
    <row r="174" spans="1:28" ht="13.15" customHeight="1">
      <c r="A174" s="11">
        <v>160</v>
      </c>
      <c r="B174" s="14">
        <f t="shared" si="52"/>
        <v>45203</v>
      </c>
      <c r="C174" s="9">
        <f t="shared" si="53"/>
        <v>842</v>
      </c>
      <c r="D174" s="8">
        <f t="shared" si="44"/>
        <v>1497</v>
      </c>
      <c r="E174" s="7">
        <f t="shared" si="45"/>
        <v>831</v>
      </c>
      <c r="F174" s="7">
        <f t="shared" si="46"/>
        <v>817</v>
      </c>
      <c r="G174" s="7">
        <f t="shared" si="47"/>
        <v>693</v>
      </c>
      <c r="H174" s="4">
        <f t="shared" si="48"/>
        <v>1508</v>
      </c>
      <c r="I174" s="4">
        <f t="shared" si="49"/>
        <v>1522</v>
      </c>
      <c r="J174" s="4">
        <f t="shared" si="50"/>
        <v>1646</v>
      </c>
      <c r="K174" s="4">
        <f t="shared" si="54"/>
        <v>2000</v>
      </c>
      <c r="L174" s="4">
        <f t="shared" si="55"/>
        <v>2000</v>
      </c>
      <c r="M174" s="4">
        <f t="shared" si="56"/>
        <v>2000</v>
      </c>
      <c r="N174" s="4">
        <f t="shared" si="57"/>
        <v>-492</v>
      </c>
      <c r="O174" s="4">
        <f t="shared" si="58"/>
        <v>-478</v>
      </c>
      <c r="P174" s="4">
        <f t="shared" si="59"/>
        <v>-354</v>
      </c>
      <c r="Q174" s="7">
        <v>0</v>
      </c>
      <c r="R174" s="7">
        <v>0</v>
      </c>
      <c r="S174" s="7">
        <v>0</v>
      </c>
      <c r="T174" s="5">
        <f t="shared" si="51"/>
        <v>2027</v>
      </c>
      <c r="U174" s="6">
        <f t="shared" si="61"/>
        <v>288</v>
      </c>
      <c r="V174" s="6">
        <f t="shared" si="62"/>
        <v>312</v>
      </c>
      <c r="W174" s="6">
        <f t="shared" si="60"/>
        <v>446</v>
      </c>
      <c r="X174" s="5"/>
      <c r="Y174" s="4"/>
      <c r="Z174" s="4"/>
      <c r="AA174" s="4"/>
      <c r="AB174" s="4"/>
    </row>
    <row r="175" spans="1:28" ht="13.15" customHeight="1">
      <c r="A175" s="11">
        <v>161</v>
      </c>
      <c r="B175" s="14">
        <f t="shared" si="52"/>
        <v>45204</v>
      </c>
      <c r="C175" s="9">
        <f t="shared" si="53"/>
        <v>842</v>
      </c>
      <c r="D175" s="8">
        <f t="shared" si="44"/>
        <v>1499</v>
      </c>
      <c r="E175" s="7">
        <f t="shared" si="45"/>
        <v>833</v>
      </c>
      <c r="F175" s="7">
        <f t="shared" si="46"/>
        <v>819</v>
      </c>
      <c r="G175" s="7">
        <f t="shared" si="47"/>
        <v>695</v>
      </c>
      <c r="H175" s="4">
        <f t="shared" si="48"/>
        <v>1508</v>
      </c>
      <c r="I175" s="4">
        <f t="shared" si="49"/>
        <v>1522</v>
      </c>
      <c r="J175" s="4">
        <f t="shared" si="50"/>
        <v>1646</v>
      </c>
      <c r="K175" s="4">
        <f t="shared" si="54"/>
        <v>2000</v>
      </c>
      <c r="L175" s="4">
        <f t="shared" si="55"/>
        <v>2000</v>
      </c>
      <c r="M175" s="4">
        <f t="shared" si="56"/>
        <v>2000</v>
      </c>
      <c r="N175" s="4">
        <f t="shared" si="57"/>
        <v>-492</v>
      </c>
      <c r="O175" s="4">
        <f t="shared" si="58"/>
        <v>-478</v>
      </c>
      <c r="P175" s="4">
        <f t="shared" si="59"/>
        <v>-354</v>
      </c>
      <c r="Q175" s="7">
        <v>0</v>
      </c>
      <c r="R175" s="7">
        <v>0</v>
      </c>
      <c r="S175" s="7">
        <v>0</v>
      </c>
      <c r="T175" s="5">
        <f t="shared" si="51"/>
        <v>2029</v>
      </c>
      <c r="U175" s="6">
        <f t="shared" si="61"/>
        <v>288</v>
      </c>
      <c r="V175" s="6">
        <f t="shared" si="62"/>
        <v>312</v>
      </c>
      <c r="W175" s="6">
        <f t="shared" si="60"/>
        <v>446</v>
      </c>
      <c r="X175" s="5"/>
      <c r="Y175" s="4"/>
      <c r="Z175" s="4"/>
      <c r="AA175" s="4"/>
      <c r="AB175" s="4"/>
    </row>
    <row r="176" spans="1:28" ht="13.15" customHeight="1">
      <c r="A176" s="11">
        <v>162</v>
      </c>
      <c r="B176" s="14">
        <f t="shared" si="52"/>
        <v>45205</v>
      </c>
      <c r="C176" s="9">
        <f t="shared" si="53"/>
        <v>842</v>
      </c>
      <c r="D176" s="8">
        <f t="shared" si="44"/>
        <v>1501</v>
      </c>
      <c r="E176" s="7">
        <f t="shared" si="45"/>
        <v>835</v>
      </c>
      <c r="F176" s="7">
        <f t="shared" si="46"/>
        <v>821</v>
      </c>
      <c r="G176" s="7">
        <f t="shared" si="47"/>
        <v>697</v>
      </c>
      <c r="H176" s="4">
        <f t="shared" si="48"/>
        <v>1508</v>
      </c>
      <c r="I176" s="4">
        <f t="shared" si="49"/>
        <v>1522</v>
      </c>
      <c r="J176" s="4">
        <f t="shared" si="50"/>
        <v>1646</v>
      </c>
      <c r="K176" s="4">
        <f t="shared" si="54"/>
        <v>2000</v>
      </c>
      <c r="L176" s="4">
        <f t="shared" si="55"/>
        <v>2000</v>
      </c>
      <c r="M176" s="4">
        <f t="shared" si="56"/>
        <v>2000</v>
      </c>
      <c r="N176" s="4">
        <f t="shared" si="57"/>
        <v>-492</v>
      </c>
      <c r="O176" s="4">
        <f t="shared" si="58"/>
        <v>-478</v>
      </c>
      <c r="P176" s="4">
        <f t="shared" si="59"/>
        <v>-354</v>
      </c>
      <c r="Q176" s="7">
        <v>0</v>
      </c>
      <c r="R176" s="7">
        <v>0</v>
      </c>
      <c r="S176" s="7">
        <v>0</v>
      </c>
      <c r="T176" s="5">
        <f t="shared" si="51"/>
        <v>2031</v>
      </c>
      <c r="U176" s="6">
        <f t="shared" si="61"/>
        <v>288</v>
      </c>
      <c r="V176" s="6">
        <f t="shared" si="62"/>
        <v>312</v>
      </c>
      <c r="W176" s="6">
        <f t="shared" si="60"/>
        <v>446</v>
      </c>
      <c r="X176" s="5"/>
      <c r="Y176" s="4"/>
      <c r="Z176" s="4"/>
      <c r="AA176" s="4"/>
      <c r="AB176" s="4"/>
    </row>
    <row r="177" spans="1:28" ht="13.15" customHeight="1">
      <c r="A177" s="11">
        <v>163</v>
      </c>
      <c r="B177" s="14">
        <f t="shared" si="52"/>
        <v>45206</v>
      </c>
      <c r="C177" s="9">
        <f t="shared" si="53"/>
        <v>842</v>
      </c>
      <c r="D177" s="8">
        <f t="shared" si="44"/>
        <v>1503</v>
      </c>
      <c r="E177" s="7">
        <f t="shared" si="45"/>
        <v>837</v>
      </c>
      <c r="F177" s="7">
        <f t="shared" si="46"/>
        <v>823</v>
      </c>
      <c r="G177" s="7">
        <f t="shared" si="47"/>
        <v>699</v>
      </c>
      <c r="H177" s="4">
        <f t="shared" si="48"/>
        <v>1508</v>
      </c>
      <c r="I177" s="4">
        <f t="shared" si="49"/>
        <v>1522</v>
      </c>
      <c r="J177" s="4">
        <f t="shared" si="50"/>
        <v>1646</v>
      </c>
      <c r="K177" s="4">
        <f t="shared" si="54"/>
        <v>2000</v>
      </c>
      <c r="L177" s="4">
        <f t="shared" si="55"/>
        <v>2000</v>
      </c>
      <c r="M177" s="4">
        <f t="shared" si="56"/>
        <v>2000</v>
      </c>
      <c r="N177" s="4">
        <f t="shared" si="57"/>
        <v>-492</v>
      </c>
      <c r="O177" s="4">
        <f t="shared" si="58"/>
        <v>-478</v>
      </c>
      <c r="P177" s="4">
        <f t="shared" si="59"/>
        <v>-354</v>
      </c>
      <c r="Q177" s="7">
        <v>0</v>
      </c>
      <c r="R177" s="7">
        <v>0</v>
      </c>
      <c r="S177" s="7">
        <v>0</v>
      </c>
      <c r="T177" s="5">
        <f t="shared" si="51"/>
        <v>2033</v>
      </c>
      <c r="U177" s="6">
        <f t="shared" si="61"/>
        <v>288</v>
      </c>
      <c r="V177" s="6">
        <f t="shared" si="62"/>
        <v>312</v>
      </c>
      <c r="W177" s="6">
        <f t="shared" si="60"/>
        <v>446</v>
      </c>
      <c r="X177" s="5"/>
      <c r="Y177" s="4"/>
      <c r="Z177" s="4"/>
      <c r="AA177" s="4"/>
      <c r="AB177" s="4"/>
    </row>
    <row r="178" spans="1:28" ht="13.15" customHeight="1">
      <c r="A178" s="11">
        <v>164</v>
      </c>
      <c r="B178" s="14">
        <f t="shared" si="52"/>
        <v>45207</v>
      </c>
      <c r="C178" s="9">
        <f t="shared" si="53"/>
        <v>842</v>
      </c>
      <c r="D178" s="8">
        <f t="shared" si="44"/>
        <v>1505</v>
      </c>
      <c r="E178" s="7">
        <f t="shared" si="45"/>
        <v>839</v>
      </c>
      <c r="F178" s="7">
        <f t="shared" si="46"/>
        <v>825</v>
      </c>
      <c r="G178" s="7">
        <f t="shared" si="47"/>
        <v>701</v>
      </c>
      <c r="H178" s="4">
        <f t="shared" si="48"/>
        <v>1508</v>
      </c>
      <c r="I178" s="4">
        <f t="shared" si="49"/>
        <v>1522</v>
      </c>
      <c r="J178" s="4">
        <f t="shared" si="50"/>
        <v>1646</v>
      </c>
      <c r="K178" s="4">
        <f t="shared" si="54"/>
        <v>2000</v>
      </c>
      <c r="L178" s="4">
        <f t="shared" si="55"/>
        <v>2000</v>
      </c>
      <c r="M178" s="4">
        <f t="shared" si="56"/>
        <v>2000</v>
      </c>
      <c r="N178" s="4">
        <f t="shared" si="57"/>
        <v>-492</v>
      </c>
      <c r="O178" s="4">
        <f t="shared" si="58"/>
        <v>-478</v>
      </c>
      <c r="P178" s="4">
        <f t="shared" si="59"/>
        <v>-354</v>
      </c>
      <c r="Q178" s="7">
        <v>0</v>
      </c>
      <c r="R178" s="7">
        <v>0</v>
      </c>
      <c r="S178" s="7">
        <v>0</v>
      </c>
      <c r="T178" s="5">
        <f t="shared" si="51"/>
        <v>2035</v>
      </c>
      <c r="U178" s="6">
        <f t="shared" si="61"/>
        <v>288</v>
      </c>
      <c r="V178" s="6">
        <f t="shared" si="62"/>
        <v>312</v>
      </c>
      <c r="W178" s="6">
        <f t="shared" si="60"/>
        <v>446</v>
      </c>
      <c r="X178" s="5"/>
      <c r="Y178" s="4"/>
      <c r="Z178" s="4"/>
      <c r="AA178" s="4"/>
      <c r="AB178" s="4"/>
    </row>
    <row r="179" spans="1:28" ht="13.15" customHeight="1">
      <c r="A179" s="11">
        <v>165</v>
      </c>
      <c r="B179" s="14">
        <f t="shared" si="52"/>
        <v>45208</v>
      </c>
      <c r="C179" s="9">
        <f t="shared" si="53"/>
        <v>842</v>
      </c>
      <c r="D179" s="8">
        <f t="shared" si="44"/>
        <v>1507</v>
      </c>
      <c r="E179" s="7">
        <f t="shared" si="45"/>
        <v>841</v>
      </c>
      <c r="F179" s="7">
        <f t="shared" si="46"/>
        <v>827</v>
      </c>
      <c r="G179" s="7">
        <f t="shared" si="47"/>
        <v>703</v>
      </c>
      <c r="H179" s="4">
        <f t="shared" si="48"/>
        <v>1508</v>
      </c>
      <c r="I179" s="4">
        <f t="shared" si="49"/>
        <v>1522</v>
      </c>
      <c r="J179" s="4">
        <f t="shared" si="50"/>
        <v>1646</v>
      </c>
      <c r="K179" s="4">
        <f t="shared" si="54"/>
        <v>2000</v>
      </c>
      <c r="L179" s="4">
        <f t="shared" si="55"/>
        <v>2000</v>
      </c>
      <c r="M179" s="4">
        <f t="shared" si="56"/>
        <v>2000</v>
      </c>
      <c r="N179" s="4">
        <f t="shared" si="57"/>
        <v>-492</v>
      </c>
      <c r="O179" s="4">
        <f t="shared" si="58"/>
        <v>-478</v>
      </c>
      <c r="P179" s="4">
        <f t="shared" si="59"/>
        <v>-354</v>
      </c>
      <c r="Q179" s="7">
        <v>0</v>
      </c>
      <c r="R179" s="7">
        <v>0</v>
      </c>
      <c r="S179" s="7">
        <v>0</v>
      </c>
      <c r="T179" s="5">
        <f t="shared" si="51"/>
        <v>2037</v>
      </c>
      <c r="U179" s="6">
        <f t="shared" si="61"/>
        <v>288</v>
      </c>
      <c r="V179" s="6">
        <f t="shared" si="62"/>
        <v>312</v>
      </c>
      <c r="W179" s="6">
        <f t="shared" si="60"/>
        <v>446</v>
      </c>
      <c r="X179" s="5"/>
      <c r="Y179" s="4"/>
      <c r="Z179" s="4"/>
      <c r="AA179" s="4"/>
      <c r="AB179" s="4"/>
    </row>
    <row r="180" spans="1:28" ht="13.15" customHeight="1">
      <c r="A180" s="11">
        <v>166</v>
      </c>
      <c r="B180" s="14">
        <f t="shared" si="52"/>
        <v>45209</v>
      </c>
      <c r="C180" s="9">
        <f t="shared" si="53"/>
        <v>842</v>
      </c>
      <c r="D180" s="8">
        <f t="shared" si="44"/>
        <v>1509</v>
      </c>
      <c r="E180" s="7">
        <f t="shared" si="45"/>
        <v>843</v>
      </c>
      <c r="F180" s="7">
        <f t="shared" si="46"/>
        <v>829</v>
      </c>
      <c r="G180" s="7">
        <f t="shared" si="47"/>
        <v>705</v>
      </c>
      <c r="H180" s="4">
        <f t="shared" si="48"/>
        <v>1508</v>
      </c>
      <c r="I180" s="4">
        <f t="shared" si="49"/>
        <v>1522</v>
      </c>
      <c r="J180" s="4">
        <f t="shared" si="50"/>
        <v>1646</v>
      </c>
      <c r="K180" s="4">
        <f t="shared" si="54"/>
        <v>2000</v>
      </c>
      <c r="L180" s="4">
        <f t="shared" si="55"/>
        <v>2000</v>
      </c>
      <c r="M180" s="4">
        <f t="shared" si="56"/>
        <v>2000</v>
      </c>
      <c r="N180" s="4">
        <f t="shared" si="57"/>
        <v>-492</v>
      </c>
      <c r="O180" s="4">
        <f t="shared" si="58"/>
        <v>-478</v>
      </c>
      <c r="P180" s="4">
        <f t="shared" si="59"/>
        <v>-354</v>
      </c>
      <c r="Q180" s="7">
        <v>0</v>
      </c>
      <c r="R180" s="7">
        <v>0</v>
      </c>
      <c r="S180" s="7">
        <v>0</v>
      </c>
      <c r="T180" s="5">
        <f t="shared" si="51"/>
        <v>2039</v>
      </c>
      <c r="U180" s="6">
        <f t="shared" si="61"/>
        <v>288</v>
      </c>
      <c r="V180" s="6">
        <f t="shared" si="62"/>
        <v>312</v>
      </c>
      <c r="W180" s="6">
        <f t="shared" si="60"/>
        <v>446</v>
      </c>
      <c r="X180" s="5"/>
      <c r="Y180" s="4"/>
      <c r="Z180" s="4"/>
      <c r="AA180" s="4"/>
      <c r="AB180" s="4"/>
    </row>
    <row r="181" spans="1:28" ht="13.15" customHeight="1">
      <c r="A181" s="11">
        <v>167</v>
      </c>
      <c r="B181" s="14">
        <f t="shared" si="52"/>
        <v>45210</v>
      </c>
      <c r="C181" s="9">
        <f t="shared" si="53"/>
        <v>842</v>
      </c>
      <c r="D181" s="8">
        <f t="shared" si="44"/>
        <v>1511</v>
      </c>
      <c r="E181" s="7">
        <f t="shared" si="45"/>
        <v>845</v>
      </c>
      <c r="F181" s="7">
        <f t="shared" si="46"/>
        <v>831</v>
      </c>
      <c r="G181" s="7">
        <f t="shared" si="47"/>
        <v>707</v>
      </c>
      <c r="H181" s="4">
        <f t="shared" si="48"/>
        <v>1508</v>
      </c>
      <c r="I181" s="4">
        <f t="shared" si="49"/>
        <v>1522</v>
      </c>
      <c r="J181" s="4">
        <f t="shared" si="50"/>
        <v>1646</v>
      </c>
      <c r="K181" s="4">
        <f t="shared" si="54"/>
        <v>2000</v>
      </c>
      <c r="L181" s="4">
        <f t="shared" si="55"/>
        <v>2000</v>
      </c>
      <c r="M181" s="4">
        <f t="shared" si="56"/>
        <v>2000</v>
      </c>
      <c r="N181" s="4">
        <f t="shared" si="57"/>
        <v>-492</v>
      </c>
      <c r="O181" s="4">
        <f t="shared" si="58"/>
        <v>-478</v>
      </c>
      <c r="P181" s="4">
        <f t="shared" si="59"/>
        <v>-354</v>
      </c>
      <c r="Q181" s="7">
        <v>0</v>
      </c>
      <c r="R181" s="7">
        <v>0</v>
      </c>
      <c r="S181" s="7">
        <v>0</v>
      </c>
      <c r="T181" s="5">
        <f t="shared" si="51"/>
        <v>2041</v>
      </c>
      <c r="U181" s="6">
        <f t="shared" si="61"/>
        <v>288</v>
      </c>
      <c r="V181" s="6">
        <f t="shared" si="62"/>
        <v>312</v>
      </c>
      <c r="W181" s="6">
        <f t="shared" si="60"/>
        <v>446</v>
      </c>
      <c r="X181" s="5"/>
      <c r="Y181" s="4"/>
      <c r="Z181" s="4"/>
      <c r="AA181" s="4"/>
      <c r="AB181" s="4"/>
    </row>
    <row r="182" spans="1:28" ht="13.15" customHeight="1">
      <c r="A182" s="11">
        <v>168</v>
      </c>
      <c r="B182" s="14">
        <f t="shared" si="52"/>
        <v>45211</v>
      </c>
      <c r="C182" s="9">
        <f t="shared" si="53"/>
        <v>842</v>
      </c>
      <c r="D182" s="8">
        <f t="shared" si="44"/>
        <v>1513</v>
      </c>
      <c r="E182" s="7">
        <f t="shared" si="45"/>
        <v>847</v>
      </c>
      <c r="F182" s="7">
        <f t="shared" si="46"/>
        <v>833</v>
      </c>
      <c r="G182" s="7">
        <f t="shared" si="47"/>
        <v>709</v>
      </c>
      <c r="H182" s="4">
        <f t="shared" si="48"/>
        <v>1508</v>
      </c>
      <c r="I182" s="4">
        <f t="shared" si="49"/>
        <v>1522</v>
      </c>
      <c r="J182" s="4">
        <f t="shared" si="50"/>
        <v>1646</v>
      </c>
      <c r="K182" s="4">
        <f t="shared" si="54"/>
        <v>2000</v>
      </c>
      <c r="L182" s="4">
        <f t="shared" si="55"/>
        <v>2000</v>
      </c>
      <c r="M182" s="4">
        <f t="shared" si="56"/>
        <v>2000</v>
      </c>
      <c r="N182" s="4">
        <f t="shared" si="57"/>
        <v>-492</v>
      </c>
      <c r="O182" s="4">
        <f t="shared" si="58"/>
        <v>-478</v>
      </c>
      <c r="P182" s="4">
        <f t="shared" si="59"/>
        <v>-354</v>
      </c>
      <c r="Q182" s="7">
        <v>0</v>
      </c>
      <c r="R182" s="7">
        <v>0</v>
      </c>
      <c r="S182" s="7">
        <v>0</v>
      </c>
      <c r="T182" s="5">
        <f t="shared" si="51"/>
        <v>2043</v>
      </c>
      <c r="U182" s="6">
        <f t="shared" si="61"/>
        <v>288</v>
      </c>
      <c r="V182" s="6">
        <f t="shared" si="62"/>
        <v>312</v>
      </c>
      <c r="W182" s="6">
        <f t="shared" si="60"/>
        <v>446</v>
      </c>
      <c r="X182" s="5"/>
      <c r="Y182" s="4"/>
      <c r="Z182" s="4"/>
      <c r="AA182" s="4"/>
      <c r="AB182" s="4"/>
    </row>
    <row r="183" spans="1:28" ht="13.15" customHeight="1">
      <c r="A183" s="11">
        <v>169</v>
      </c>
      <c r="B183" s="14">
        <f t="shared" si="52"/>
        <v>45212</v>
      </c>
      <c r="C183" s="9">
        <f t="shared" si="53"/>
        <v>842</v>
      </c>
      <c r="D183" s="8">
        <f t="shared" si="44"/>
        <v>1515</v>
      </c>
      <c r="E183" s="7">
        <f t="shared" si="45"/>
        <v>849</v>
      </c>
      <c r="F183" s="7">
        <f t="shared" si="46"/>
        <v>835</v>
      </c>
      <c r="G183" s="7">
        <f t="shared" si="47"/>
        <v>711</v>
      </c>
      <c r="H183" s="4">
        <f t="shared" si="48"/>
        <v>1508</v>
      </c>
      <c r="I183" s="4">
        <f t="shared" si="49"/>
        <v>1522</v>
      </c>
      <c r="J183" s="4">
        <f t="shared" si="50"/>
        <v>1646</v>
      </c>
      <c r="K183" s="4">
        <f t="shared" si="54"/>
        <v>2000</v>
      </c>
      <c r="L183" s="4">
        <f t="shared" si="55"/>
        <v>2000</v>
      </c>
      <c r="M183" s="4">
        <f t="shared" si="56"/>
        <v>2000</v>
      </c>
      <c r="N183" s="4">
        <f t="shared" si="57"/>
        <v>-492</v>
      </c>
      <c r="O183" s="4">
        <f t="shared" si="58"/>
        <v>-478</v>
      </c>
      <c r="P183" s="4">
        <f t="shared" si="59"/>
        <v>-354</v>
      </c>
      <c r="Q183" s="7">
        <v>0</v>
      </c>
      <c r="R183" s="7">
        <v>0</v>
      </c>
      <c r="S183" s="7">
        <v>0</v>
      </c>
      <c r="T183" s="5">
        <f t="shared" si="51"/>
        <v>2045</v>
      </c>
      <c r="U183" s="6">
        <f t="shared" si="61"/>
        <v>288</v>
      </c>
      <c r="V183" s="6">
        <f t="shared" si="62"/>
        <v>312</v>
      </c>
      <c r="W183" s="6">
        <f t="shared" si="60"/>
        <v>446</v>
      </c>
      <c r="X183" s="5"/>
      <c r="Y183" s="4"/>
      <c r="Z183" s="4"/>
      <c r="AA183" s="4"/>
      <c r="AB183" s="4"/>
    </row>
    <row r="184" spans="1:28" ht="13.15" customHeight="1">
      <c r="A184" s="11">
        <v>170</v>
      </c>
      <c r="B184" s="14">
        <f t="shared" si="52"/>
        <v>45213</v>
      </c>
      <c r="C184" s="9">
        <f t="shared" si="53"/>
        <v>842</v>
      </c>
      <c r="D184" s="8">
        <f t="shared" si="44"/>
        <v>1517</v>
      </c>
      <c r="E184" s="7">
        <f t="shared" si="45"/>
        <v>851</v>
      </c>
      <c r="F184" s="7">
        <f t="shared" si="46"/>
        <v>837</v>
      </c>
      <c r="G184" s="7">
        <f t="shared" si="47"/>
        <v>713</v>
      </c>
      <c r="H184" s="4">
        <f t="shared" si="48"/>
        <v>1508</v>
      </c>
      <c r="I184" s="4">
        <f t="shared" si="49"/>
        <v>1522</v>
      </c>
      <c r="J184" s="4">
        <f t="shared" si="50"/>
        <v>1646</v>
      </c>
      <c r="K184" s="4">
        <f t="shared" si="54"/>
        <v>2000</v>
      </c>
      <c r="L184" s="4">
        <f t="shared" si="55"/>
        <v>2000</v>
      </c>
      <c r="M184" s="4">
        <f t="shared" si="56"/>
        <v>2000</v>
      </c>
      <c r="N184" s="4">
        <f t="shared" si="57"/>
        <v>-492</v>
      </c>
      <c r="O184" s="4">
        <f t="shared" si="58"/>
        <v>-478</v>
      </c>
      <c r="P184" s="4">
        <f t="shared" si="59"/>
        <v>-354</v>
      </c>
      <c r="Q184" s="7">
        <v>0</v>
      </c>
      <c r="R184" s="7">
        <v>0</v>
      </c>
      <c r="S184" s="7">
        <v>0</v>
      </c>
      <c r="T184" s="5">
        <f t="shared" si="51"/>
        <v>2047</v>
      </c>
      <c r="U184" s="6">
        <f t="shared" si="61"/>
        <v>288</v>
      </c>
      <c r="V184" s="6">
        <f t="shared" si="62"/>
        <v>312</v>
      </c>
      <c r="W184" s="6">
        <f t="shared" si="60"/>
        <v>446</v>
      </c>
      <c r="X184" s="5"/>
      <c r="Y184" s="4"/>
      <c r="Z184" s="4"/>
      <c r="AA184" s="4"/>
      <c r="AB184" s="4"/>
    </row>
    <row r="185" spans="1:28" ht="13.15" customHeight="1">
      <c r="A185" s="11">
        <v>171</v>
      </c>
      <c r="B185" s="14">
        <f t="shared" si="52"/>
        <v>45214</v>
      </c>
      <c r="C185" s="9">
        <f t="shared" si="53"/>
        <v>842</v>
      </c>
      <c r="D185" s="8">
        <f t="shared" si="44"/>
        <v>1519</v>
      </c>
      <c r="E185" s="7">
        <f t="shared" si="45"/>
        <v>853</v>
      </c>
      <c r="F185" s="7">
        <f t="shared" si="46"/>
        <v>839</v>
      </c>
      <c r="G185" s="7">
        <f t="shared" si="47"/>
        <v>715</v>
      </c>
      <c r="H185" s="4">
        <f t="shared" si="48"/>
        <v>1508</v>
      </c>
      <c r="I185" s="4">
        <f t="shared" si="49"/>
        <v>1522</v>
      </c>
      <c r="J185" s="4">
        <f t="shared" si="50"/>
        <v>1646</v>
      </c>
      <c r="K185" s="4">
        <f t="shared" si="54"/>
        <v>2000</v>
      </c>
      <c r="L185" s="4">
        <f t="shared" si="55"/>
        <v>2000</v>
      </c>
      <c r="M185" s="4">
        <f t="shared" si="56"/>
        <v>2000</v>
      </c>
      <c r="N185" s="4">
        <f t="shared" si="57"/>
        <v>-492</v>
      </c>
      <c r="O185" s="4">
        <f t="shared" si="58"/>
        <v>-478</v>
      </c>
      <c r="P185" s="4">
        <f t="shared" si="59"/>
        <v>-354</v>
      </c>
      <c r="Q185" s="7">
        <v>0</v>
      </c>
      <c r="R185" s="7">
        <v>0</v>
      </c>
      <c r="S185" s="7">
        <v>0</v>
      </c>
      <c r="T185" s="5">
        <f t="shared" si="51"/>
        <v>2049</v>
      </c>
      <c r="U185" s="6">
        <f t="shared" si="61"/>
        <v>288</v>
      </c>
      <c r="V185" s="6">
        <f t="shared" si="62"/>
        <v>312</v>
      </c>
      <c r="W185" s="6">
        <f t="shared" si="60"/>
        <v>446</v>
      </c>
      <c r="X185" s="5"/>
      <c r="Y185" s="4"/>
      <c r="Z185" s="4"/>
      <c r="AA185" s="4"/>
      <c r="AB185" s="4"/>
    </row>
    <row r="186" spans="1:28" ht="13.15" customHeight="1">
      <c r="A186" s="11">
        <v>172</v>
      </c>
      <c r="B186" s="14">
        <f t="shared" si="52"/>
        <v>45215</v>
      </c>
      <c r="C186" s="9">
        <f t="shared" si="53"/>
        <v>842</v>
      </c>
      <c r="D186" s="8">
        <f t="shared" si="44"/>
        <v>1521</v>
      </c>
      <c r="E186" s="7">
        <f t="shared" si="45"/>
        <v>855</v>
      </c>
      <c r="F186" s="7">
        <f t="shared" si="46"/>
        <v>841</v>
      </c>
      <c r="G186" s="7">
        <f t="shared" si="47"/>
        <v>717</v>
      </c>
      <c r="H186" s="4">
        <f t="shared" si="48"/>
        <v>1508</v>
      </c>
      <c r="I186" s="4">
        <f t="shared" si="49"/>
        <v>1522</v>
      </c>
      <c r="J186" s="4">
        <f t="shared" si="50"/>
        <v>1646</v>
      </c>
      <c r="K186" s="4">
        <f t="shared" si="54"/>
        <v>2000</v>
      </c>
      <c r="L186" s="4">
        <f t="shared" si="55"/>
        <v>2000</v>
      </c>
      <c r="M186" s="4">
        <f t="shared" si="56"/>
        <v>2000</v>
      </c>
      <c r="N186" s="4">
        <f t="shared" si="57"/>
        <v>-492</v>
      </c>
      <c r="O186" s="4">
        <f t="shared" si="58"/>
        <v>-478</v>
      </c>
      <c r="P186" s="4">
        <f t="shared" si="59"/>
        <v>-354</v>
      </c>
      <c r="Q186" s="7">
        <v>0</v>
      </c>
      <c r="R186" s="7">
        <v>0</v>
      </c>
      <c r="S186" s="7">
        <v>0</v>
      </c>
      <c r="T186" s="5">
        <f t="shared" si="51"/>
        <v>2051</v>
      </c>
      <c r="U186" s="6">
        <f t="shared" si="61"/>
        <v>288</v>
      </c>
      <c r="V186" s="6">
        <f t="shared" si="62"/>
        <v>312</v>
      </c>
      <c r="W186" s="6">
        <f t="shared" si="60"/>
        <v>446</v>
      </c>
      <c r="X186" s="5"/>
      <c r="Y186" s="4"/>
      <c r="Z186" s="4"/>
      <c r="AA186" s="4"/>
      <c r="AB186" s="4"/>
    </row>
    <row r="187" spans="1:28" ht="13.15" customHeight="1">
      <c r="A187" s="11">
        <v>173</v>
      </c>
      <c r="B187" s="14">
        <f t="shared" si="52"/>
        <v>45216</v>
      </c>
      <c r="C187" s="9">
        <f t="shared" si="53"/>
        <v>842</v>
      </c>
      <c r="D187" s="8">
        <f t="shared" si="44"/>
        <v>1523</v>
      </c>
      <c r="E187" s="7">
        <f t="shared" si="45"/>
        <v>857</v>
      </c>
      <c r="F187" s="7">
        <f t="shared" si="46"/>
        <v>843</v>
      </c>
      <c r="G187" s="7">
        <f t="shared" si="47"/>
        <v>719</v>
      </c>
      <c r="H187" s="4">
        <f t="shared" si="48"/>
        <v>1508</v>
      </c>
      <c r="I187" s="4">
        <f t="shared" si="49"/>
        <v>1522</v>
      </c>
      <c r="J187" s="4">
        <f t="shared" si="50"/>
        <v>1646</v>
      </c>
      <c r="K187" s="4">
        <f t="shared" si="54"/>
        <v>2000</v>
      </c>
      <c r="L187" s="4">
        <f t="shared" si="55"/>
        <v>2000</v>
      </c>
      <c r="M187" s="4">
        <f t="shared" si="56"/>
        <v>2000</v>
      </c>
      <c r="N187" s="4">
        <f t="shared" si="57"/>
        <v>-492</v>
      </c>
      <c r="O187" s="4">
        <f t="shared" si="58"/>
        <v>-478</v>
      </c>
      <c r="P187" s="4">
        <f t="shared" si="59"/>
        <v>-354</v>
      </c>
      <c r="Q187" s="7">
        <v>0</v>
      </c>
      <c r="R187" s="7">
        <v>0</v>
      </c>
      <c r="S187" s="7">
        <v>0</v>
      </c>
      <c r="T187" s="5">
        <f t="shared" si="51"/>
        <v>2053</v>
      </c>
      <c r="U187" s="6">
        <f t="shared" si="61"/>
        <v>288</v>
      </c>
      <c r="V187" s="6">
        <f t="shared" si="62"/>
        <v>312</v>
      </c>
      <c r="W187" s="6">
        <f t="shared" si="60"/>
        <v>446</v>
      </c>
      <c r="X187" s="5"/>
      <c r="Y187" s="4"/>
      <c r="Z187" s="4"/>
      <c r="AA187" s="4"/>
      <c r="AB187" s="4"/>
    </row>
    <row r="188" spans="1:28" ht="13.15" customHeight="1">
      <c r="A188" s="11">
        <v>174</v>
      </c>
      <c r="B188" s="14">
        <f t="shared" si="52"/>
        <v>45217</v>
      </c>
      <c r="C188" s="9">
        <f t="shared" si="53"/>
        <v>842</v>
      </c>
      <c r="D188" s="8">
        <f t="shared" si="44"/>
        <v>1525</v>
      </c>
      <c r="E188" s="7">
        <f t="shared" si="45"/>
        <v>859</v>
      </c>
      <c r="F188" s="7">
        <f t="shared" si="46"/>
        <v>845</v>
      </c>
      <c r="G188" s="7">
        <f t="shared" si="47"/>
        <v>721</v>
      </c>
      <c r="H188" s="4">
        <f t="shared" si="48"/>
        <v>1508</v>
      </c>
      <c r="I188" s="4">
        <f t="shared" si="49"/>
        <v>1522</v>
      </c>
      <c r="J188" s="4">
        <f t="shared" si="50"/>
        <v>1646</v>
      </c>
      <c r="K188" s="4">
        <f t="shared" si="54"/>
        <v>2000</v>
      </c>
      <c r="L188" s="4">
        <f t="shared" si="55"/>
        <v>2000</v>
      </c>
      <c r="M188" s="4">
        <f t="shared" si="56"/>
        <v>2000</v>
      </c>
      <c r="N188" s="4">
        <f t="shared" si="57"/>
        <v>-492</v>
      </c>
      <c r="O188" s="4">
        <f t="shared" si="58"/>
        <v>-478</v>
      </c>
      <c r="P188" s="4">
        <f t="shared" si="59"/>
        <v>-354</v>
      </c>
      <c r="Q188" s="7">
        <v>0</v>
      </c>
      <c r="R188" s="7">
        <v>0</v>
      </c>
      <c r="S188" s="7">
        <v>0</v>
      </c>
      <c r="T188" s="5">
        <f t="shared" si="51"/>
        <v>2055</v>
      </c>
      <c r="U188" s="6">
        <f t="shared" si="61"/>
        <v>288</v>
      </c>
      <c r="V188" s="6">
        <f t="shared" si="62"/>
        <v>312</v>
      </c>
      <c r="W188" s="6">
        <f t="shared" si="60"/>
        <v>446</v>
      </c>
      <c r="X188" s="5"/>
      <c r="Y188" s="4"/>
      <c r="Z188" s="4"/>
      <c r="AA188" s="4"/>
      <c r="AB188" s="4"/>
    </row>
    <row r="189" spans="1:28" ht="13.15" customHeight="1">
      <c r="A189" s="11">
        <v>175</v>
      </c>
      <c r="B189" s="14">
        <f t="shared" si="52"/>
        <v>45218</v>
      </c>
      <c r="C189" s="9">
        <f t="shared" si="53"/>
        <v>842</v>
      </c>
      <c r="D189" s="8">
        <f t="shared" si="44"/>
        <v>1527</v>
      </c>
      <c r="E189" s="7">
        <f t="shared" si="45"/>
        <v>861</v>
      </c>
      <c r="F189" s="7">
        <f t="shared" si="46"/>
        <v>847</v>
      </c>
      <c r="G189" s="7">
        <f t="shared" si="47"/>
        <v>723</v>
      </c>
      <c r="H189" s="4">
        <f t="shared" si="48"/>
        <v>1508</v>
      </c>
      <c r="I189" s="4">
        <f t="shared" si="49"/>
        <v>1522</v>
      </c>
      <c r="J189" s="4">
        <f t="shared" si="50"/>
        <v>1646</v>
      </c>
      <c r="K189" s="4">
        <f t="shared" si="54"/>
        <v>2000</v>
      </c>
      <c r="L189" s="4">
        <f t="shared" si="55"/>
        <v>2000</v>
      </c>
      <c r="M189" s="4">
        <f t="shared" si="56"/>
        <v>2000</v>
      </c>
      <c r="N189" s="4">
        <f t="shared" si="57"/>
        <v>-492</v>
      </c>
      <c r="O189" s="4">
        <f t="shared" si="58"/>
        <v>-478</v>
      </c>
      <c r="P189" s="4">
        <f t="shared" si="59"/>
        <v>-354</v>
      </c>
      <c r="Q189" s="7">
        <v>0</v>
      </c>
      <c r="R189" s="7">
        <v>0</v>
      </c>
      <c r="S189" s="7">
        <v>0</v>
      </c>
      <c r="T189" s="5">
        <f t="shared" si="51"/>
        <v>2057</v>
      </c>
      <c r="U189" s="6">
        <f t="shared" si="61"/>
        <v>288</v>
      </c>
      <c r="V189" s="6">
        <f t="shared" si="62"/>
        <v>312</v>
      </c>
      <c r="W189" s="6">
        <f t="shared" si="60"/>
        <v>446</v>
      </c>
      <c r="X189" s="5"/>
      <c r="Y189" s="4"/>
      <c r="Z189" s="4"/>
      <c r="AA189" s="4"/>
      <c r="AB189" s="4"/>
    </row>
    <row r="190" spans="1:28" ht="13.15" customHeight="1">
      <c r="A190" s="11">
        <v>176</v>
      </c>
      <c r="B190" s="14">
        <f t="shared" si="52"/>
        <v>45219</v>
      </c>
      <c r="C190" s="9">
        <f t="shared" si="53"/>
        <v>842</v>
      </c>
      <c r="D190" s="8">
        <f t="shared" si="44"/>
        <v>1529</v>
      </c>
      <c r="E190" s="7">
        <f t="shared" si="45"/>
        <v>863</v>
      </c>
      <c r="F190" s="7">
        <f t="shared" si="46"/>
        <v>849</v>
      </c>
      <c r="G190" s="7">
        <f t="shared" si="47"/>
        <v>725</v>
      </c>
      <c r="H190" s="4">
        <f t="shared" si="48"/>
        <v>1508</v>
      </c>
      <c r="I190" s="4">
        <f t="shared" si="49"/>
        <v>1522</v>
      </c>
      <c r="J190" s="4">
        <f t="shared" si="50"/>
        <v>1646</v>
      </c>
      <c r="K190" s="4">
        <f t="shared" si="54"/>
        <v>2000</v>
      </c>
      <c r="L190" s="4">
        <f t="shared" si="55"/>
        <v>2000</v>
      </c>
      <c r="M190" s="4">
        <f t="shared" si="56"/>
        <v>2000</v>
      </c>
      <c r="N190" s="4">
        <f t="shared" si="57"/>
        <v>-492</v>
      </c>
      <c r="O190" s="4">
        <f t="shared" si="58"/>
        <v>-478</v>
      </c>
      <c r="P190" s="4">
        <f t="shared" si="59"/>
        <v>-354</v>
      </c>
      <c r="Q190" s="7">
        <v>0</v>
      </c>
      <c r="R190" s="7">
        <v>0</v>
      </c>
      <c r="S190" s="7">
        <v>0</v>
      </c>
      <c r="T190" s="5">
        <f t="shared" si="51"/>
        <v>2059</v>
      </c>
      <c r="U190" s="6">
        <f t="shared" si="61"/>
        <v>288</v>
      </c>
      <c r="V190" s="6">
        <f t="shared" si="62"/>
        <v>312</v>
      </c>
      <c r="W190" s="6">
        <f t="shared" si="60"/>
        <v>446</v>
      </c>
      <c r="X190" s="5"/>
      <c r="Y190" s="4"/>
      <c r="Z190" s="4"/>
      <c r="AA190" s="4"/>
      <c r="AB190" s="4"/>
    </row>
    <row r="191" spans="1:28" ht="13.15" customHeight="1">
      <c r="A191" s="11">
        <v>177</v>
      </c>
      <c r="B191" s="14">
        <f t="shared" si="52"/>
        <v>45220</v>
      </c>
      <c r="C191" s="9">
        <f t="shared" si="53"/>
        <v>842</v>
      </c>
      <c r="D191" s="8">
        <f t="shared" ref="D191:D254" si="63">D190+2</f>
        <v>1531</v>
      </c>
      <c r="E191" s="7">
        <f t="shared" si="45"/>
        <v>865</v>
      </c>
      <c r="F191" s="7">
        <f t="shared" si="46"/>
        <v>851</v>
      </c>
      <c r="G191" s="7">
        <f t="shared" si="47"/>
        <v>727</v>
      </c>
      <c r="H191" s="4">
        <f t="shared" si="48"/>
        <v>1508</v>
      </c>
      <c r="I191" s="4">
        <f t="shared" si="49"/>
        <v>1522</v>
      </c>
      <c r="J191" s="4">
        <f t="shared" si="50"/>
        <v>1646</v>
      </c>
      <c r="K191" s="4">
        <f t="shared" si="54"/>
        <v>2000</v>
      </c>
      <c r="L191" s="4">
        <f t="shared" si="55"/>
        <v>2000</v>
      </c>
      <c r="M191" s="4">
        <f t="shared" si="56"/>
        <v>2000</v>
      </c>
      <c r="N191" s="4">
        <f t="shared" si="57"/>
        <v>-492</v>
      </c>
      <c r="O191" s="4">
        <f t="shared" si="58"/>
        <v>-478</v>
      </c>
      <c r="P191" s="4">
        <f t="shared" si="59"/>
        <v>-354</v>
      </c>
      <c r="Q191" s="7">
        <v>0</v>
      </c>
      <c r="R191" s="7">
        <v>0</v>
      </c>
      <c r="S191" s="7">
        <v>0</v>
      </c>
      <c r="T191" s="5">
        <f t="shared" si="51"/>
        <v>2061</v>
      </c>
      <c r="U191" s="6">
        <f t="shared" si="61"/>
        <v>288</v>
      </c>
      <c r="V191" s="6">
        <f t="shared" si="62"/>
        <v>312</v>
      </c>
      <c r="W191" s="6">
        <f t="shared" si="60"/>
        <v>446</v>
      </c>
      <c r="X191" s="5"/>
      <c r="Y191" s="4"/>
      <c r="Z191" s="4"/>
      <c r="AA191" s="4"/>
      <c r="AB191" s="4"/>
    </row>
    <row r="192" spans="1:28" ht="13.15" customHeight="1">
      <c r="A192" s="11">
        <v>178</v>
      </c>
      <c r="B192" s="14">
        <f t="shared" si="52"/>
        <v>45221</v>
      </c>
      <c r="C192" s="9">
        <f t="shared" si="53"/>
        <v>842</v>
      </c>
      <c r="D192" s="8">
        <f t="shared" si="63"/>
        <v>1533</v>
      </c>
      <c r="E192" s="7">
        <f t="shared" si="45"/>
        <v>867</v>
      </c>
      <c r="F192" s="7">
        <f t="shared" si="46"/>
        <v>853</v>
      </c>
      <c r="G192" s="7">
        <f t="shared" si="47"/>
        <v>729</v>
      </c>
      <c r="H192" s="4">
        <f t="shared" si="48"/>
        <v>1508</v>
      </c>
      <c r="I192" s="4">
        <f t="shared" si="49"/>
        <v>1522</v>
      </c>
      <c r="J192" s="4">
        <f t="shared" si="50"/>
        <v>1646</v>
      </c>
      <c r="K192" s="4">
        <f t="shared" si="54"/>
        <v>2000</v>
      </c>
      <c r="L192" s="4">
        <f t="shared" si="55"/>
        <v>2000</v>
      </c>
      <c r="M192" s="4">
        <f t="shared" si="56"/>
        <v>2000</v>
      </c>
      <c r="N192" s="4">
        <f t="shared" si="57"/>
        <v>-492</v>
      </c>
      <c r="O192" s="4">
        <f t="shared" si="58"/>
        <v>-478</v>
      </c>
      <c r="P192" s="4">
        <f t="shared" si="59"/>
        <v>-354</v>
      </c>
      <c r="Q192" s="7">
        <v>0</v>
      </c>
      <c r="R192" s="7">
        <v>0</v>
      </c>
      <c r="S192" s="7">
        <v>0</v>
      </c>
      <c r="T192" s="5">
        <f t="shared" si="51"/>
        <v>2063</v>
      </c>
      <c r="U192" s="6">
        <f t="shared" si="61"/>
        <v>288</v>
      </c>
      <c r="V192" s="6">
        <f t="shared" si="62"/>
        <v>312</v>
      </c>
      <c r="W192" s="6">
        <f t="shared" si="60"/>
        <v>446</v>
      </c>
      <c r="X192" s="5"/>
      <c r="Y192" s="4"/>
      <c r="Z192" s="4"/>
      <c r="AA192" s="4"/>
      <c r="AB192" s="4"/>
    </row>
    <row r="193" spans="1:28" ht="13.15" customHeight="1">
      <c r="A193" s="11">
        <v>179</v>
      </c>
      <c r="B193" s="14">
        <f t="shared" si="52"/>
        <v>45222</v>
      </c>
      <c r="C193" s="9">
        <f t="shared" si="53"/>
        <v>842</v>
      </c>
      <c r="D193" s="8">
        <f t="shared" si="63"/>
        <v>1535</v>
      </c>
      <c r="E193" s="7">
        <f t="shared" si="45"/>
        <v>869</v>
      </c>
      <c r="F193" s="7">
        <f t="shared" si="46"/>
        <v>855</v>
      </c>
      <c r="G193" s="7">
        <f t="shared" si="47"/>
        <v>731</v>
      </c>
      <c r="H193" s="4">
        <f t="shared" si="48"/>
        <v>1508</v>
      </c>
      <c r="I193" s="4">
        <f t="shared" si="49"/>
        <v>1522</v>
      </c>
      <c r="J193" s="4">
        <f t="shared" si="50"/>
        <v>1646</v>
      </c>
      <c r="K193" s="4">
        <f t="shared" si="54"/>
        <v>2000</v>
      </c>
      <c r="L193" s="4">
        <f t="shared" si="55"/>
        <v>2000</v>
      </c>
      <c r="M193" s="4">
        <f t="shared" si="56"/>
        <v>2000</v>
      </c>
      <c r="N193" s="4">
        <f t="shared" si="57"/>
        <v>-492</v>
      </c>
      <c r="O193" s="4">
        <f t="shared" si="58"/>
        <v>-478</v>
      </c>
      <c r="P193" s="4">
        <f t="shared" si="59"/>
        <v>-354</v>
      </c>
      <c r="Q193" s="7">
        <v>0</v>
      </c>
      <c r="R193" s="7">
        <v>0</v>
      </c>
      <c r="S193" s="7">
        <v>0</v>
      </c>
      <c r="T193" s="5">
        <f t="shared" si="51"/>
        <v>2065</v>
      </c>
      <c r="U193" s="6">
        <f t="shared" si="61"/>
        <v>288</v>
      </c>
      <c r="V193" s="6">
        <f t="shared" si="62"/>
        <v>312</v>
      </c>
      <c r="W193" s="6">
        <f t="shared" si="60"/>
        <v>446</v>
      </c>
      <c r="X193" s="5"/>
      <c r="Y193" s="4"/>
      <c r="Z193" s="4"/>
      <c r="AA193" s="4"/>
      <c r="AB193" s="4"/>
    </row>
    <row r="194" spans="1:28" ht="13.15" customHeight="1">
      <c r="A194" s="11">
        <v>180</v>
      </c>
      <c r="B194" s="14">
        <f t="shared" si="52"/>
        <v>45223</v>
      </c>
      <c r="C194" s="9">
        <f t="shared" si="53"/>
        <v>842</v>
      </c>
      <c r="D194" s="8">
        <f t="shared" si="63"/>
        <v>1537</v>
      </c>
      <c r="E194" s="7">
        <f t="shared" si="45"/>
        <v>871</v>
      </c>
      <c r="F194" s="7">
        <f t="shared" si="46"/>
        <v>857</v>
      </c>
      <c r="G194" s="7">
        <f t="shared" si="47"/>
        <v>733</v>
      </c>
      <c r="H194" s="4">
        <f t="shared" si="48"/>
        <v>1508</v>
      </c>
      <c r="I194" s="4">
        <f t="shared" si="49"/>
        <v>1522</v>
      </c>
      <c r="J194" s="4">
        <f t="shared" si="50"/>
        <v>1646</v>
      </c>
      <c r="K194" s="4">
        <f t="shared" si="54"/>
        <v>2000</v>
      </c>
      <c r="L194" s="4">
        <f t="shared" si="55"/>
        <v>2000</v>
      </c>
      <c r="M194" s="4">
        <f t="shared" si="56"/>
        <v>2000</v>
      </c>
      <c r="N194" s="4">
        <f t="shared" si="57"/>
        <v>-492</v>
      </c>
      <c r="O194" s="4">
        <f t="shared" si="58"/>
        <v>-478</v>
      </c>
      <c r="P194" s="4">
        <f t="shared" si="59"/>
        <v>-354</v>
      </c>
      <c r="Q194" s="7">
        <v>0</v>
      </c>
      <c r="R194" s="7">
        <v>0</v>
      </c>
      <c r="S194" s="7">
        <v>0</v>
      </c>
      <c r="T194" s="5">
        <f t="shared" si="51"/>
        <v>2067</v>
      </c>
      <c r="U194" s="6">
        <f t="shared" si="61"/>
        <v>288</v>
      </c>
      <c r="V194" s="6">
        <f t="shared" si="62"/>
        <v>312</v>
      </c>
      <c r="W194" s="6">
        <f t="shared" si="60"/>
        <v>446</v>
      </c>
      <c r="X194" s="5"/>
      <c r="Y194" s="4"/>
      <c r="Z194" s="4"/>
      <c r="AA194" s="4"/>
      <c r="AB194" s="4"/>
    </row>
    <row r="195" spans="1:28" ht="13.15" customHeight="1">
      <c r="A195" s="11">
        <v>181</v>
      </c>
      <c r="B195" s="14">
        <f t="shared" si="52"/>
        <v>45224</v>
      </c>
      <c r="C195" s="9">
        <f t="shared" si="53"/>
        <v>842</v>
      </c>
      <c r="D195" s="8">
        <f t="shared" si="63"/>
        <v>1539</v>
      </c>
      <c r="E195" s="7">
        <f t="shared" si="45"/>
        <v>873</v>
      </c>
      <c r="F195" s="7">
        <f t="shared" si="46"/>
        <v>859</v>
      </c>
      <c r="G195" s="7">
        <f t="shared" si="47"/>
        <v>735</v>
      </c>
      <c r="H195" s="4">
        <f t="shared" si="48"/>
        <v>1508</v>
      </c>
      <c r="I195" s="4">
        <f t="shared" si="49"/>
        <v>1522</v>
      </c>
      <c r="J195" s="4">
        <f t="shared" si="50"/>
        <v>1646</v>
      </c>
      <c r="K195" s="4">
        <f t="shared" si="54"/>
        <v>2000</v>
      </c>
      <c r="L195" s="4">
        <f t="shared" si="55"/>
        <v>2000</v>
      </c>
      <c r="M195" s="4">
        <f t="shared" si="56"/>
        <v>2000</v>
      </c>
      <c r="N195" s="4">
        <f t="shared" si="57"/>
        <v>-492</v>
      </c>
      <c r="O195" s="4">
        <f t="shared" si="58"/>
        <v>-478</v>
      </c>
      <c r="P195" s="4">
        <f t="shared" si="59"/>
        <v>-354</v>
      </c>
      <c r="Q195" s="7">
        <v>0</v>
      </c>
      <c r="R195" s="7">
        <v>0</v>
      </c>
      <c r="S195" s="7">
        <v>0</v>
      </c>
      <c r="T195" s="5">
        <f t="shared" si="51"/>
        <v>2069</v>
      </c>
      <c r="U195" s="6">
        <f t="shared" si="61"/>
        <v>288</v>
      </c>
      <c r="V195" s="6">
        <f t="shared" si="62"/>
        <v>312</v>
      </c>
      <c r="W195" s="6">
        <f t="shared" si="60"/>
        <v>446</v>
      </c>
      <c r="X195" s="5"/>
      <c r="Y195" s="4"/>
      <c r="Z195" s="4"/>
      <c r="AA195" s="4"/>
      <c r="AB195" s="4"/>
    </row>
    <row r="196" spans="1:28" ht="13.15" customHeight="1">
      <c r="A196" s="11">
        <v>182</v>
      </c>
      <c r="B196" s="14">
        <f t="shared" si="52"/>
        <v>45225</v>
      </c>
      <c r="C196" s="9">
        <f t="shared" si="53"/>
        <v>842</v>
      </c>
      <c r="D196" s="8">
        <f t="shared" si="63"/>
        <v>1541</v>
      </c>
      <c r="E196" s="7">
        <f t="shared" si="45"/>
        <v>875</v>
      </c>
      <c r="F196" s="7">
        <f t="shared" si="46"/>
        <v>861</v>
      </c>
      <c r="G196" s="7">
        <f t="shared" si="47"/>
        <v>737</v>
      </c>
      <c r="H196" s="4">
        <f t="shared" si="48"/>
        <v>1508</v>
      </c>
      <c r="I196" s="4">
        <f t="shared" si="49"/>
        <v>1522</v>
      </c>
      <c r="J196" s="4">
        <f t="shared" si="50"/>
        <v>1646</v>
      </c>
      <c r="K196" s="4">
        <f t="shared" si="54"/>
        <v>2000</v>
      </c>
      <c r="L196" s="4">
        <f t="shared" si="55"/>
        <v>2000</v>
      </c>
      <c r="M196" s="4">
        <f t="shared" si="56"/>
        <v>2000</v>
      </c>
      <c r="N196" s="4">
        <f t="shared" si="57"/>
        <v>-492</v>
      </c>
      <c r="O196" s="4">
        <f t="shared" si="58"/>
        <v>-478</v>
      </c>
      <c r="P196" s="4">
        <f t="shared" si="59"/>
        <v>-354</v>
      </c>
      <c r="Q196" s="7">
        <v>0</v>
      </c>
      <c r="R196" s="7">
        <v>0</v>
      </c>
      <c r="S196" s="7">
        <v>0</v>
      </c>
      <c r="T196" s="5">
        <f t="shared" si="51"/>
        <v>2071</v>
      </c>
      <c r="U196" s="6">
        <f t="shared" si="61"/>
        <v>288</v>
      </c>
      <c r="V196" s="6">
        <f t="shared" si="62"/>
        <v>312</v>
      </c>
      <c r="W196" s="6">
        <f t="shared" si="60"/>
        <v>446</v>
      </c>
      <c r="X196" s="5"/>
      <c r="Y196" s="4"/>
      <c r="Z196" s="4"/>
      <c r="AA196" s="4"/>
      <c r="AB196" s="4"/>
    </row>
    <row r="197" spans="1:28" ht="13.15" customHeight="1">
      <c r="A197" s="11">
        <v>183</v>
      </c>
      <c r="B197" s="14">
        <f t="shared" si="52"/>
        <v>45226</v>
      </c>
      <c r="C197" s="9">
        <f t="shared" si="53"/>
        <v>842</v>
      </c>
      <c r="D197" s="8">
        <f t="shared" si="63"/>
        <v>1543</v>
      </c>
      <c r="E197" s="7">
        <f t="shared" si="45"/>
        <v>877</v>
      </c>
      <c r="F197" s="7">
        <f t="shared" si="46"/>
        <v>863</v>
      </c>
      <c r="G197" s="7">
        <f t="shared" si="47"/>
        <v>739</v>
      </c>
      <c r="H197" s="4">
        <f t="shared" si="48"/>
        <v>1508</v>
      </c>
      <c r="I197" s="4">
        <f t="shared" si="49"/>
        <v>1522</v>
      </c>
      <c r="J197" s="4">
        <f t="shared" si="50"/>
        <v>1646</v>
      </c>
      <c r="K197" s="4">
        <f t="shared" si="54"/>
        <v>2000</v>
      </c>
      <c r="L197" s="4">
        <f t="shared" si="55"/>
        <v>2000</v>
      </c>
      <c r="M197" s="4">
        <f t="shared" si="56"/>
        <v>2000</v>
      </c>
      <c r="N197" s="4">
        <f t="shared" si="57"/>
        <v>-492</v>
      </c>
      <c r="O197" s="4">
        <f t="shared" si="58"/>
        <v>-478</v>
      </c>
      <c r="P197" s="4">
        <f t="shared" si="59"/>
        <v>-354</v>
      </c>
      <c r="Q197" s="7">
        <v>0</v>
      </c>
      <c r="R197" s="7">
        <v>0</v>
      </c>
      <c r="S197" s="7">
        <v>0</v>
      </c>
      <c r="T197" s="5">
        <f t="shared" si="51"/>
        <v>2073</v>
      </c>
      <c r="U197" s="6">
        <f t="shared" si="61"/>
        <v>288</v>
      </c>
      <c r="V197" s="6">
        <f t="shared" si="62"/>
        <v>312</v>
      </c>
      <c r="W197" s="6">
        <f t="shared" si="60"/>
        <v>446</v>
      </c>
      <c r="X197" s="5"/>
      <c r="Y197" s="4"/>
      <c r="Z197" s="4"/>
      <c r="AA197" s="4"/>
      <c r="AB197" s="4"/>
    </row>
    <row r="198" spans="1:28" ht="13.15" customHeight="1">
      <c r="A198" s="11">
        <v>184</v>
      </c>
      <c r="B198" s="14">
        <f t="shared" si="52"/>
        <v>45227</v>
      </c>
      <c r="C198" s="9">
        <f t="shared" si="53"/>
        <v>842</v>
      </c>
      <c r="D198" s="8">
        <f t="shared" si="63"/>
        <v>1545</v>
      </c>
      <c r="E198" s="7">
        <f t="shared" si="45"/>
        <v>879</v>
      </c>
      <c r="F198" s="7">
        <f t="shared" si="46"/>
        <v>865</v>
      </c>
      <c r="G198" s="7">
        <f t="shared" si="47"/>
        <v>741</v>
      </c>
      <c r="H198" s="4">
        <f t="shared" si="48"/>
        <v>1508</v>
      </c>
      <c r="I198" s="4">
        <f t="shared" si="49"/>
        <v>1522</v>
      </c>
      <c r="J198" s="4">
        <f t="shared" si="50"/>
        <v>1646</v>
      </c>
      <c r="K198" s="4">
        <f t="shared" si="54"/>
        <v>2000</v>
      </c>
      <c r="L198" s="4">
        <f t="shared" si="55"/>
        <v>2000</v>
      </c>
      <c r="M198" s="4">
        <f t="shared" si="56"/>
        <v>2000</v>
      </c>
      <c r="N198" s="4">
        <f t="shared" si="57"/>
        <v>-492</v>
      </c>
      <c r="O198" s="4">
        <f t="shared" si="58"/>
        <v>-478</v>
      </c>
      <c r="P198" s="4">
        <f t="shared" si="59"/>
        <v>-354</v>
      </c>
      <c r="Q198" s="7">
        <v>0</v>
      </c>
      <c r="R198" s="7">
        <v>0</v>
      </c>
      <c r="S198" s="7">
        <v>0</v>
      </c>
      <c r="T198" s="5">
        <f t="shared" si="51"/>
        <v>2075</v>
      </c>
      <c r="U198" s="6">
        <f t="shared" si="61"/>
        <v>288</v>
      </c>
      <c r="V198" s="6">
        <f t="shared" si="62"/>
        <v>312</v>
      </c>
      <c r="W198" s="6">
        <f t="shared" si="60"/>
        <v>446</v>
      </c>
      <c r="X198" s="5"/>
      <c r="Y198" s="4"/>
      <c r="Z198" s="4"/>
      <c r="AA198" s="4"/>
      <c r="AB198" s="4"/>
    </row>
    <row r="199" spans="1:28" ht="13.15" customHeight="1">
      <c r="A199" s="11">
        <v>185</v>
      </c>
      <c r="B199" s="14">
        <f t="shared" si="52"/>
        <v>45228</v>
      </c>
      <c r="C199" s="9">
        <f t="shared" si="53"/>
        <v>842</v>
      </c>
      <c r="D199" s="8">
        <f t="shared" si="63"/>
        <v>1547</v>
      </c>
      <c r="E199" s="7">
        <f t="shared" si="45"/>
        <v>881</v>
      </c>
      <c r="F199" s="7">
        <f t="shared" si="46"/>
        <v>867</v>
      </c>
      <c r="G199" s="7">
        <f t="shared" si="47"/>
        <v>743</v>
      </c>
      <c r="H199" s="4">
        <f t="shared" si="48"/>
        <v>1508</v>
      </c>
      <c r="I199" s="4">
        <f t="shared" si="49"/>
        <v>1522</v>
      </c>
      <c r="J199" s="4">
        <f t="shared" si="50"/>
        <v>1646</v>
      </c>
      <c r="K199" s="4">
        <f t="shared" si="54"/>
        <v>2000</v>
      </c>
      <c r="L199" s="4">
        <f t="shared" si="55"/>
        <v>2000</v>
      </c>
      <c r="M199" s="4">
        <f t="shared" si="56"/>
        <v>2000</v>
      </c>
      <c r="N199" s="4">
        <f t="shared" si="57"/>
        <v>-492</v>
      </c>
      <c r="O199" s="4">
        <f t="shared" si="58"/>
        <v>-478</v>
      </c>
      <c r="P199" s="4">
        <f t="shared" si="59"/>
        <v>-354</v>
      </c>
      <c r="Q199" s="7">
        <v>0</v>
      </c>
      <c r="R199" s="7">
        <v>0</v>
      </c>
      <c r="S199" s="7">
        <v>0</v>
      </c>
      <c r="T199" s="5">
        <f t="shared" si="51"/>
        <v>2077</v>
      </c>
      <c r="U199" s="6">
        <f t="shared" si="61"/>
        <v>288</v>
      </c>
      <c r="V199" s="6">
        <f t="shared" si="62"/>
        <v>312</v>
      </c>
      <c r="W199" s="6">
        <f t="shared" si="60"/>
        <v>446</v>
      </c>
      <c r="X199" s="5"/>
      <c r="Y199" s="4"/>
      <c r="Z199" s="4"/>
      <c r="AA199" s="4"/>
      <c r="AB199" s="4"/>
    </row>
    <row r="200" spans="1:28" ht="13.15" customHeight="1">
      <c r="A200" s="11">
        <v>186</v>
      </c>
      <c r="B200" s="14">
        <f t="shared" si="52"/>
        <v>45229</v>
      </c>
      <c r="C200" s="9">
        <f t="shared" si="53"/>
        <v>842</v>
      </c>
      <c r="D200" s="8">
        <f t="shared" si="63"/>
        <v>1549</v>
      </c>
      <c r="E200" s="7">
        <f t="shared" si="45"/>
        <v>883</v>
      </c>
      <c r="F200" s="7">
        <f t="shared" si="46"/>
        <v>869</v>
      </c>
      <c r="G200" s="7">
        <f t="shared" si="47"/>
        <v>745</v>
      </c>
      <c r="H200" s="4">
        <f t="shared" si="48"/>
        <v>1508</v>
      </c>
      <c r="I200" s="4">
        <f t="shared" si="49"/>
        <v>1522</v>
      </c>
      <c r="J200" s="4">
        <f t="shared" si="50"/>
        <v>1646</v>
      </c>
      <c r="K200" s="4">
        <f t="shared" si="54"/>
        <v>2000</v>
      </c>
      <c r="L200" s="4">
        <f t="shared" si="55"/>
        <v>2000</v>
      </c>
      <c r="M200" s="4">
        <f t="shared" si="56"/>
        <v>2000</v>
      </c>
      <c r="N200" s="4">
        <f t="shared" si="57"/>
        <v>-492</v>
      </c>
      <c r="O200" s="4">
        <f t="shared" si="58"/>
        <v>-478</v>
      </c>
      <c r="P200" s="4">
        <f t="shared" si="59"/>
        <v>-354</v>
      </c>
      <c r="Q200" s="7">
        <v>0</v>
      </c>
      <c r="R200" s="7">
        <v>0</v>
      </c>
      <c r="S200" s="7">
        <v>0</v>
      </c>
      <c r="T200" s="5">
        <f t="shared" si="51"/>
        <v>2079</v>
      </c>
      <c r="U200" s="6">
        <f t="shared" si="61"/>
        <v>288</v>
      </c>
      <c r="V200" s="6">
        <f t="shared" si="62"/>
        <v>312</v>
      </c>
      <c r="W200" s="6">
        <f t="shared" si="60"/>
        <v>446</v>
      </c>
      <c r="X200" s="5"/>
      <c r="Y200" s="4"/>
      <c r="Z200" s="4"/>
      <c r="AA200" s="4"/>
      <c r="AB200" s="4"/>
    </row>
    <row r="201" spans="1:28" ht="13.15" customHeight="1">
      <c r="A201" s="11">
        <v>187</v>
      </c>
      <c r="B201" s="14">
        <f t="shared" si="52"/>
        <v>45230</v>
      </c>
      <c r="C201" s="9">
        <f t="shared" si="53"/>
        <v>842</v>
      </c>
      <c r="D201" s="8">
        <f t="shared" si="63"/>
        <v>1551</v>
      </c>
      <c r="E201" s="7">
        <f t="shared" si="45"/>
        <v>885</v>
      </c>
      <c r="F201" s="7">
        <f t="shared" si="46"/>
        <v>871</v>
      </c>
      <c r="G201" s="7">
        <f t="shared" si="47"/>
        <v>747</v>
      </c>
      <c r="H201" s="4">
        <f t="shared" si="48"/>
        <v>1508</v>
      </c>
      <c r="I201" s="4">
        <f t="shared" si="49"/>
        <v>1522</v>
      </c>
      <c r="J201" s="4">
        <f t="shared" si="50"/>
        <v>1646</v>
      </c>
      <c r="K201" s="4">
        <f t="shared" si="54"/>
        <v>2000</v>
      </c>
      <c r="L201" s="4">
        <f t="shared" si="55"/>
        <v>2000</v>
      </c>
      <c r="M201" s="4">
        <f t="shared" si="56"/>
        <v>2000</v>
      </c>
      <c r="N201" s="4">
        <f t="shared" si="57"/>
        <v>-492</v>
      </c>
      <c r="O201" s="4">
        <f t="shared" si="58"/>
        <v>-478</v>
      </c>
      <c r="P201" s="4">
        <f t="shared" si="59"/>
        <v>-354</v>
      </c>
      <c r="Q201" s="7">
        <v>0</v>
      </c>
      <c r="R201" s="7">
        <v>0</v>
      </c>
      <c r="S201" s="7">
        <v>0</v>
      </c>
      <c r="T201" s="5">
        <f t="shared" si="51"/>
        <v>2081</v>
      </c>
      <c r="U201" s="6">
        <f t="shared" si="61"/>
        <v>288</v>
      </c>
      <c r="V201" s="6">
        <f t="shared" si="62"/>
        <v>312</v>
      </c>
      <c r="W201" s="6">
        <f t="shared" si="60"/>
        <v>446</v>
      </c>
      <c r="X201" s="5"/>
      <c r="Y201" s="4"/>
      <c r="Z201" s="4"/>
      <c r="AA201" s="4"/>
      <c r="AB201" s="4"/>
    </row>
    <row r="202" spans="1:28" ht="13.15" customHeight="1">
      <c r="A202" s="11">
        <v>188</v>
      </c>
      <c r="B202" s="14">
        <f t="shared" si="52"/>
        <v>45231</v>
      </c>
      <c r="C202" s="9">
        <f t="shared" si="53"/>
        <v>842</v>
      </c>
      <c r="D202" s="8">
        <f t="shared" si="63"/>
        <v>1553</v>
      </c>
      <c r="E202" s="7">
        <f t="shared" si="45"/>
        <v>887</v>
      </c>
      <c r="F202" s="7">
        <f t="shared" si="46"/>
        <v>873</v>
      </c>
      <c r="G202" s="7">
        <f t="shared" si="47"/>
        <v>749</v>
      </c>
      <c r="H202" s="4">
        <f t="shared" si="48"/>
        <v>1508</v>
      </c>
      <c r="I202" s="4">
        <f t="shared" si="49"/>
        <v>1522</v>
      </c>
      <c r="J202" s="4">
        <f t="shared" si="50"/>
        <v>1646</v>
      </c>
      <c r="K202" s="4">
        <f t="shared" si="54"/>
        <v>2000</v>
      </c>
      <c r="L202" s="4">
        <f t="shared" si="55"/>
        <v>2000</v>
      </c>
      <c r="M202" s="4">
        <f t="shared" si="56"/>
        <v>2000</v>
      </c>
      <c r="N202" s="4">
        <f t="shared" si="57"/>
        <v>-492</v>
      </c>
      <c r="O202" s="4">
        <f t="shared" si="58"/>
        <v>-478</v>
      </c>
      <c r="P202" s="4">
        <f t="shared" si="59"/>
        <v>-354</v>
      </c>
      <c r="Q202" s="7">
        <v>0</v>
      </c>
      <c r="R202" s="7">
        <v>0</v>
      </c>
      <c r="S202" s="7">
        <v>0</v>
      </c>
      <c r="T202" s="5">
        <f t="shared" si="51"/>
        <v>2083</v>
      </c>
      <c r="U202" s="6">
        <f t="shared" si="61"/>
        <v>288</v>
      </c>
      <c r="V202" s="6">
        <f t="shared" si="62"/>
        <v>312</v>
      </c>
      <c r="W202" s="6">
        <f t="shared" si="60"/>
        <v>446</v>
      </c>
      <c r="X202" s="5"/>
      <c r="Y202" s="4"/>
      <c r="Z202" s="4"/>
      <c r="AA202" s="4"/>
      <c r="AB202" s="4"/>
    </row>
    <row r="203" spans="1:28" ht="13.15" customHeight="1">
      <c r="A203" s="11">
        <v>189</v>
      </c>
      <c r="B203" s="14">
        <f t="shared" si="52"/>
        <v>45232</v>
      </c>
      <c r="C203" s="9">
        <f t="shared" si="53"/>
        <v>842</v>
      </c>
      <c r="D203" s="8">
        <f t="shared" si="63"/>
        <v>1555</v>
      </c>
      <c r="E203" s="7">
        <f t="shared" si="45"/>
        <v>889</v>
      </c>
      <c r="F203" s="7">
        <f t="shared" si="46"/>
        <v>875</v>
      </c>
      <c r="G203" s="7">
        <f t="shared" si="47"/>
        <v>751</v>
      </c>
      <c r="H203" s="4">
        <f t="shared" si="48"/>
        <v>1508</v>
      </c>
      <c r="I203" s="4">
        <f t="shared" si="49"/>
        <v>1522</v>
      </c>
      <c r="J203" s="4">
        <f t="shared" si="50"/>
        <v>1646</v>
      </c>
      <c r="K203" s="4">
        <f t="shared" si="54"/>
        <v>2000</v>
      </c>
      <c r="L203" s="4">
        <f t="shared" si="55"/>
        <v>2000</v>
      </c>
      <c r="M203" s="4">
        <f t="shared" si="56"/>
        <v>2000</v>
      </c>
      <c r="N203" s="4">
        <f t="shared" si="57"/>
        <v>-492</v>
      </c>
      <c r="O203" s="4">
        <f t="shared" si="58"/>
        <v>-478</v>
      </c>
      <c r="P203" s="4">
        <f t="shared" si="59"/>
        <v>-354</v>
      </c>
      <c r="Q203" s="7">
        <v>0</v>
      </c>
      <c r="R203" s="7">
        <v>0</v>
      </c>
      <c r="S203" s="7">
        <v>0</v>
      </c>
      <c r="T203" s="5">
        <f t="shared" si="51"/>
        <v>2085</v>
      </c>
      <c r="U203" s="6">
        <f t="shared" si="61"/>
        <v>288</v>
      </c>
      <c r="V203" s="6">
        <f t="shared" si="62"/>
        <v>312</v>
      </c>
      <c r="W203" s="6">
        <f t="shared" si="60"/>
        <v>446</v>
      </c>
      <c r="X203" s="5"/>
      <c r="Y203" s="4"/>
      <c r="Z203" s="4"/>
      <c r="AA203" s="4"/>
      <c r="AB203" s="4"/>
    </row>
    <row r="204" spans="1:28" ht="13.15" customHeight="1">
      <c r="A204" s="11">
        <v>190</v>
      </c>
      <c r="B204" s="14">
        <f t="shared" si="52"/>
        <v>45233</v>
      </c>
      <c r="C204" s="9">
        <f t="shared" si="53"/>
        <v>842</v>
      </c>
      <c r="D204" s="8">
        <f t="shared" si="63"/>
        <v>1557</v>
      </c>
      <c r="E204" s="7">
        <f t="shared" si="45"/>
        <v>891</v>
      </c>
      <c r="F204" s="7">
        <f t="shared" si="46"/>
        <v>877</v>
      </c>
      <c r="G204" s="7">
        <f t="shared" si="47"/>
        <v>753</v>
      </c>
      <c r="H204" s="4">
        <f t="shared" si="48"/>
        <v>1508</v>
      </c>
      <c r="I204" s="4">
        <f t="shared" si="49"/>
        <v>1522</v>
      </c>
      <c r="J204" s="4">
        <f t="shared" si="50"/>
        <v>1646</v>
      </c>
      <c r="K204" s="4">
        <f t="shared" si="54"/>
        <v>2000</v>
      </c>
      <c r="L204" s="4">
        <f t="shared" si="55"/>
        <v>2000</v>
      </c>
      <c r="M204" s="4">
        <f t="shared" si="56"/>
        <v>2000</v>
      </c>
      <c r="N204" s="4">
        <f t="shared" si="57"/>
        <v>-492</v>
      </c>
      <c r="O204" s="4">
        <f t="shared" si="58"/>
        <v>-478</v>
      </c>
      <c r="P204" s="4">
        <f t="shared" si="59"/>
        <v>-354</v>
      </c>
      <c r="Q204" s="7">
        <v>0</v>
      </c>
      <c r="R204" s="7">
        <v>0</v>
      </c>
      <c r="S204" s="7">
        <v>0</v>
      </c>
      <c r="T204" s="5">
        <f t="shared" si="51"/>
        <v>2087</v>
      </c>
      <c r="U204" s="6">
        <f t="shared" si="61"/>
        <v>288</v>
      </c>
      <c r="V204" s="6">
        <f t="shared" si="62"/>
        <v>312</v>
      </c>
      <c r="W204" s="6">
        <f t="shared" si="60"/>
        <v>446</v>
      </c>
      <c r="X204" s="5"/>
      <c r="Y204" s="4"/>
      <c r="Z204" s="4"/>
      <c r="AA204" s="4"/>
      <c r="AB204" s="4"/>
    </row>
    <row r="205" spans="1:28" ht="13.15" customHeight="1">
      <c r="A205" s="11">
        <v>191</v>
      </c>
      <c r="B205" s="14">
        <f t="shared" si="52"/>
        <v>45234</v>
      </c>
      <c r="C205" s="9">
        <f t="shared" si="53"/>
        <v>842</v>
      </c>
      <c r="D205" s="8">
        <f t="shared" si="63"/>
        <v>1559</v>
      </c>
      <c r="E205" s="7">
        <f t="shared" si="45"/>
        <v>893</v>
      </c>
      <c r="F205" s="7">
        <f t="shared" si="46"/>
        <v>879</v>
      </c>
      <c r="G205" s="7">
        <f t="shared" si="47"/>
        <v>755</v>
      </c>
      <c r="H205" s="4">
        <f t="shared" si="48"/>
        <v>1508</v>
      </c>
      <c r="I205" s="4">
        <f t="shared" si="49"/>
        <v>1522</v>
      </c>
      <c r="J205" s="4">
        <f t="shared" si="50"/>
        <v>1646</v>
      </c>
      <c r="K205" s="4">
        <f t="shared" si="54"/>
        <v>2000</v>
      </c>
      <c r="L205" s="4">
        <f t="shared" si="55"/>
        <v>2000</v>
      </c>
      <c r="M205" s="4">
        <f t="shared" si="56"/>
        <v>2000</v>
      </c>
      <c r="N205" s="4">
        <f t="shared" si="57"/>
        <v>-492</v>
      </c>
      <c r="O205" s="4">
        <f t="shared" si="58"/>
        <v>-478</v>
      </c>
      <c r="P205" s="4">
        <f t="shared" si="59"/>
        <v>-354</v>
      </c>
      <c r="Q205" s="7">
        <v>0</v>
      </c>
      <c r="R205" s="7">
        <v>0</v>
      </c>
      <c r="S205" s="7">
        <v>0</v>
      </c>
      <c r="T205" s="5">
        <f t="shared" si="51"/>
        <v>2089</v>
      </c>
      <c r="U205" s="6">
        <f t="shared" si="61"/>
        <v>288</v>
      </c>
      <c r="V205" s="6">
        <f t="shared" si="62"/>
        <v>312</v>
      </c>
      <c r="W205" s="6">
        <f t="shared" si="60"/>
        <v>446</v>
      </c>
      <c r="X205" s="5"/>
      <c r="Y205" s="4"/>
      <c r="Z205" s="4"/>
      <c r="AA205" s="4"/>
      <c r="AB205" s="4"/>
    </row>
    <row r="206" spans="1:28" ht="13.15" customHeight="1">
      <c r="A206" s="11">
        <v>192</v>
      </c>
      <c r="B206" s="14">
        <f t="shared" si="52"/>
        <v>45235</v>
      </c>
      <c r="C206" s="9">
        <f t="shared" si="53"/>
        <v>842</v>
      </c>
      <c r="D206" s="8">
        <f t="shared" si="63"/>
        <v>1561</v>
      </c>
      <c r="E206" s="7">
        <f t="shared" ref="E206:E269" si="64">C206+D206-H206</f>
        <v>895</v>
      </c>
      <c r="F206" s="7">
        <f t="shared" ref="F206:F269" si="65">C206+D206-I206</f>
        <v>881</v>
      </c>
      <c r="G206" s="7">
        <f t="shared" ref="G206:G269" si="66">D206+C206-J206</f>
        <v>757</v>
      </c>
      <c r="H206" s="4">
        <f t="shared" ref="H206:H269" si="67">K206+N206</f>
        <v>1508</v>
      </c>
      <c r="I206" s="4">
        <f t="shared" ref="I206:I269" si="68">L206+O206</f>
        <v>1522</v>
      </c>
      <c r="J206" s="4">
        <f t="shared" ref="J206:J269" si="69">M206+P206</f>
        <v>1646</v>
      </c>
      <c r="K206" s="4">
        <f t="shared" si="54"/>
        <v>2000</v>
      </c>
      <c r="L206" s="4">
        <f t="shared" si="55"/>
        <v>2000</v>
      </c>
      <c r="M206" s="4">
        <f t="shared" si="56"/>
        <v>2000</v>
      </c>
      <c r="N206" s="4">
        <f t="shared" si="57"/>
        <v>-492</v>
      </c>
      <c r="O206" s="4">
        <f t="shared" si="58"/>
        <v>-478</v>
      </c>
      <c r="P206" s="4">
        <f t="shared" si="59"/>
        <v>-354</v>
      </c>
      <c r="Q206" s="7">
        <v>0</v>
      </c>
      <c r="R206" s="7">
        <v>0</v>
      </c>
      <c r="S206" s="7">
        <v>0</v>
      </c>
      <c r="T206" s="5">
        <f t="shared" ref="T206:T269" si="70">D206+C206-V206</f>
        <v>2091</v>
      </c>
      <c r="U206" s="6">
        <f t="shared" si="61"/>
        <v>288</v>
      </c>
      <c r="V206" s="6">
        <f t="shared" si="62"/>
        <v>312</v>
      </c>
      <c r="W206" s="6">
        <f t="shared" si="60"/>
        <v>446</v>
      </c>
      <c r="X206" s="5"/>
      <c r="Y206" s="4"/>
      <c r="Z206" s="4"/>
      <c r="AA206" s="4"/>
      <c r="AB206" s="4"/>
    </row>
    <row r="207" spans="1:28" ht="13.15" customHeight="1">
      <c r="A207" s="11">
        <v>193</v>
      </c>
      <c r="B207" s="14">
        <f t="shared" ref="B207:B270" si="71">B206+1</f>
        <v>45236</v>
      </c>
      <c r="C207" s="9">
        <f t="shared" ref="C207:C270" si="72">C206</f>
        <v>842</v>
      </c>
      <c r="D207" s="8">
        <f t="shared" si="63"/>
        <v>1563</v>
      </c>
      <c r="E207" s="7">
        <f t="shared" si="64"/>
        <v>897</v>
      </c>
      <c r="F207" s="7">
        <f t="shared" si="65"/>
        <v>883</v>
      </c>
      <c r="G207" s="7">
        <f t="shared" si="66"/>
        <v>759</v>
      </c>
      <c r="H207" s="4">
        <f t="shared" si="67"/>
        <v>1508</v>
      </c>
      <c r="I207" s="4">
        <f t="shared" si="68"/>
        <v>1522</v>
      </c>
      <c r="J207" s="4">
        <f t="shared" si="69"/>
        <v>1646</v>
      </c>
      <c r="K207" s="4">
        <f t="shared" ref="K207:K270" si="73">K206</f>
        <v>2000</v>
      </c>
      <c r="L207" s="4">
        <f t="shared" ref="L207:L270" si="74">L206</f>
        <v>2000</v>
      </c>
      <c r="M207" s="4">
        <f t="shared" ref="M207:M270" si="75">M206</f>
        <v>2000</v>
      </c>
      <c r="N207" s="4">
        <f t="shared" ref="N207:N270" si="76">N206-Q207</f>
        <v>-492</v>
      </c>
      <c r="O207" s="4">
        <f t="shared" ref="O207:O270" si="77">O206-R207</f>
        <v>-478</v>
      </c>
      <c r="P207" s="4">
        <f t="shared" ref="P207:P270" si="78">P206-S207</f>
        <v>-354</v>
      </c>
      <c r="Q207" s="7">
        <v>0</v>
      </c>
      <c r="R207" s="7">
        <v>0</v>
      </c>
      <c r="S207" s="7">
        <v>0</v>
      </c>
      <c r="T207" s="5">
        <f t="shared" si="70"/>
        <v>2093</v>
      </c>
      <c r="U207" s="6">
        <f t="shared" si="61"/>
        <v>288</v>
      </c>
      <c r="V207" s="6">
        <f t="shared" si="62"/>
        <v>312</v>
      </c>
      <c r="W207" s="6">
        <f t="shared" si="60"/>
        <v>446</v>
      </c>
      <c r="X207" s="5"/>
      <c r="Y207" s="4"/>
      <c r="Z207" s="4"/>
      <c r="AA207" s="4"/>
      <c r="AB207" s="4"/>
    </row>
    <row r="208" spans="1:28" ht="13.15" customHeight="1">
      <c r="A208" s="11">
        <v>194</v>
      </c>
      <c r="B208" s="14">
        <f t="shared" si="71"/>
        <v>45237</v>
      </c>
      <c r="C208" s="9">
        <f t="shared" si="72"/>
        <v>842</v>
      </c>
      <c r="D208" s="8">
        <f t="shared" si="63"/>
        <v>1565</v>
      </c>
      <c r="E208" s="7">
        <f t="shared" si="64"/>
        <v>899</v>
      </c>
      <c r="F208" s="7">
        <f t="shared" si="65"/>
        <v>885</v>
      </c>
      <c r="G208" s="7">
        <f t="shared" si="66"/>
        <v>761</v>
      </c>
      <c r="H208" s="4">
        <f t="shared" si="67"/>
        <v>1508</v>
      </c>
      <c r="I208" s="4">
        <f t="shared" si="68"/>
        <v>1522</v>
      </c>
      <c r="J208" s="4">
        <f t="shared" si="69"/>
        <v>1646</v>
      </c>
      <c r="K208" s="4">
        <f t="shared" si="73"/>
        <v>2000</v>
      </c>
      <c r="L208" s="4">
        <f t="shared" si="74"/>
        <v>2000</v>
      </c>
      <c r="M208" s="4">
        <f t="shared" si="75"/>
        <v>2000</v>
      </c>
      <c r="N208" s="4">
        <f t="shared" si="76"/>
        <v>-492</v>
      </c>
      <c r="O208" s="4">
        <f t="shared" si="77"/>
        <v>-478</v>
      </c>
      <c r="P208" s="4">
        <f t="shared" si="78"/>
        <v>-354</v>
      </c>
      <c r="Q208" s="7">
        <v>0</v>
      </c>
      <c r="R208" s="7">
        <v>0</v>
      </c>
      <c r="S208" s="7">
        <v>0</v>
      </c>
      <c r="T208" s="5">
        <f t="shared" si="70"/>
        <v>2095</v>
      </c>
      <c r="U208" s="6">
        <f t="shared" si="61"/>
        <v>288</v>
      </c>
      <c r="V208" s="6">
        <f t="shared" si="62"/>
        <v>312</v>
      </c>
      <c r="W208" s="6">
        <f t="shared" si="60"/>
        <v>446</v>
      </c>
      <c r="X208" s="5"/>
      <c r="Y208" s="4"/>
      <c r="Z208" s="4"/>
      <c r="AA208" s="4"/>
      <c r="AB208" s="4"/>
    </row>
    <row r="209" spans="1:28" ht="13.15" customHeight="1">
      <c r="A209" s="11">
        <v>195</v>
      </c>
      <c r="B209" s="14">
        <f t="shared" si="71"/>
        <v>45238</v>
      </c>
      <c r="C209" s="9">
        <f t="shared" si="72"/>
        <v>842</v>
      </c>
      <c r="D209" s="8">
        <f t="shared" si="63"/>
        <v>1567</v>
      </c>
      <c r="E209" s="7">
        <f t="shared" si="64"/>
        <v>901</v>
      </c>
      <c r="F209" s="7">
        <f t="shared" si="65"/>
        <v>887</v>
      </c>
      <c r="G209" s="7">
        <f t="shared" si="66"/>
        <v>763</v>
      </c>
      <c r="H209" s="4">
        <f t="shared" si="67"/>
        <v>1508</v>
      </c>
      <c r="I209" s="4">
        <f t="shared" si="68"/>
        <v>1522</v>
      </c>
      <c r="J209" s="4">
        <f t="shared" si="69"/>
        <v>1646</v>
      </c>
      <c r="K209" s="4">
        <f t="shared" si="73"/>
        <v>2000</v>
      </c>
      <c r="L209" s="4">
        <f t="shared" si="74"/>
        <v>2000</v>
      </c>
      <c r="M209" s="4">
        <f t="shared" si="75"/>
        <v>2000</v>
      </c>
      <c r="N209" s="4">
        <f t="shared" si="76"/>
        <v>-492</v>
      </c>
      <c r="O209" s="4">
        <f t="shared" si="77"/>
        <v>-478</v>
      </c>
      <c r="P209" s="4">
        <f t="shared" si="78"/>
        <v>-354</v>
      </c>
      <c r="Q209" s="7">
        <v>0</v>
      </c>
      <c r="R209" s="7">
        <v>0</v>
      </c>
      <c r="S209" s="7">
        <v>0</v>
      </c>
      <c r="T209" s="5">
        <f t="shared" si="70"/>
        <v>2097</v>
      </c>
      <c r="U209" s="6">
        <f t="shared" si="61"/>
        <v>288</v>
      </c>
      <c r="V209" s="6">
        <f t="shared" si="62"/>
        <v>312</v>
      </c>
      <c r="W209" s="6">
        <f t="shared" si="60"/>
        <v>446</v>
      </c>
      <c r="X209" s="5"/>
      <c r="Y209" s="4"/>
      <c r="Z209" s="4"/>
      <c r="AA209" s="4"/>
      <c r="AB209" s="4"/>
    </row>
    <row r="210" spans="1:28" ht="13.15" customHeight="1">
      <c r="A210" s="11">
        <v>196</v>
      </c>
      <c r="B210" s="14">
        <f t="shared" si="71"/>
        <v>45239</v>
      </c>
      <c r="C210" s="9">
        <f t="shared" si="72"/>
        <v>842</v>
      </c>
      <c r="D210" s="8">
        <f t="shared" si="63"/>
        <v>1569</v>
      </c>
      <c r="E210" s="7">
        <f t="shared" si="64"/>
        <v>903</v>
      </c>
      <c r="F210" s="7">
        <f t="shared" si="65"/>
        <v>889</v>
      </c>
      <c r="G210" s="7">
        <f t="shared" si="66"/>
        <v>765</v>
      </c>
      <c r="H210" s="4">
        <f t="shared" si="67"/>
        <v>1508</v>
      </c>
      <c r="I210" s="4">
        <f t="shared" si="68"/>
        <v>1522</v>
      </c>
      <c r="J210" s="4">
        <f t="shared" si="69"/>
        <v>1646</v>
      </c>
      <c r="K210" s="4">
        <f t="shared" si="73"/>
        <v>2000</v>
      </c>
      <c r="L210" s="4">
        <f t="shared" si="74"/>
        <v>2000</v>
      </c>
      <c r="M210" s="4">
        <f t="shared" si="75"/>
        <v>2000</v>
      </c>
      <c r="N210" s="4">
        <f t="shared" si="76"/>
        <v>-492</v>
      </c>
      <c r="O210" s="4">
        <f t="shared" si="77"/>
        <v>-478</v>
      </c>
      <c r="P210" s="4">
        <f t="shared" si="78"/>
        <v>-354</v>
      </c>
      <c r="Q210" s="7">
        <v>0</v>
      </c>
      <c r="R210" s="7">
        <v>0</v>
      </c>
      <c r="S210" s="7">
        <v>0</v>
      </c>
      <c r="T210" s="5">
        <f t="shared" si="70"/>
        <v>2099</v>
      </c>
      <c r="U210" s="6">
        <f t="shared" si="61"/>
        <v>288</v>
      </c>
      <c r="V210" s="6">
        <f t="shared" si="62"/>
        <v>312</v>
      </c>
      <c r="W210" s="6">
        <f t="shared" si="60"/>
        <v>446</v>
      </c>
      <c r="X210" s="5"/>
      <c r="Y210" s="4"/>
      <c r="Z210" s="4"/>
      <c r="AA210" s="4"/>
      <c r="AB210" s="4"/>
    </row>
    <row r="211" spans="1:28" ht="13.15" customHeight="1">
      <c r="A211" s="11">
        <v>197</v>
      </c>
      <c r="B211" s="14">
        <f t="shared" si="71"/>
        <v>45240</v>
      </c>
      <c r="C211" s="9">
        <f t="shared" si="72"/>
        <v>842</v>
      </c>
      <c r="D211" s="8">
        <f t="shared" si="63"/>
        <v>1571</v>
      </c>
      <c r="E211" s="7">
        <f t="shared" si="64"/>
        <v>905</v>
      </c>
      <c r="F211" s="7">
        <f t="shared" si="65"/>
        <v>891</v>
      </c>
      <c r="G211" s="7">
        <f t="shared" si="66"/>
        <v>767</v>
      </c>
      <c r="H211" s="4">
        <f t="shared" si="67"/>
        <v>1508</v>
      </c>
      <c r="I211" s="4">
        <f t="shared" si="68"/>
        <v>1522</v>
      </c>
      <c r="J211" s="4">
        <f t="shared" si="69"/>
        <v>1646</v>
      </c>
      <c r="K211" s="4">
        <f t="shared" si="73"/>
        <v>2000</v>
      </c>
      <c r="L211" s="4">
        <f t="shared" si="74"/>
        <v>2000</v>
      </c>
      <c r="M211" s="4">
        <f t="shared" si="75"/>
        <v>2000</v>
      </c>
      <c r="N211" s="4">
        <f t="shared" si="76"/>
        <v>-492</v>
      </c>
      <c r="O211" s="4">
        <f t="shared" si="77"/>
        <v>-478</v>
      </c>
      <c r="P211" s="4">
        <f t="shared" si="78"/>
        <v>-354</v>
      </c>
      <c r="Q211" s="7">
        <v>0</v>
      </c>
      <c r="R211" s="7">
        <v>0</v>
      </c>
      <c r="S211" s="7">
        <v>0</v>
      </c>
      <c r="T211" s="5">
        <f t="shared" si="70"/>
        <v>2101</v>
      </c>
      <c r="U211" s="6">
        <f t="shared" si="61"/>
        <v>288</v>
      </c>
      <c r="V211" s="6">
        <f t="shared" si="62"/>
        <v>312</v>
      </c>
      <c r="W211" s="6">
        <f t="shared" si="60"/>
        <v>446</v>
      </c>
      <c r="X211" s="5"/>
      <c r="Y211" s="4"/>
      <c r="Z211" s="4"/>
      <c r="AA211" s="4"/>
      <c r="AB211" s="4"/>
    </row>
    <row r="212" spans="1:28" ht="13.15" customHeight="1">
      <c r="A212" s="11">
        <v>198</v>
      </c>
      <c r="B212" s="14">
        <f t="shared" si="71"/>
        <v>45241</v>
      </c>
      <c r="C212" s="9">
        <f t="shared" si="72"/>
        <v>842</v>
      </c>
      <c r="D212" s="8">
        <f t="shared" si="63"/>
        <v>1573</v>
      </c>
      <c r="E212" s="7">
        <f t="shared" si="64"/>
        <v>907</v>
      </c>
      <c r="F212" s="7">
        <f t="shared" si="65"/>
        <v>893</v>
      </c>
      <c r="G212" s="7">
        <f t="shared" si="66"/>
        <v>769</v>
      </c>
      <c r="H212" s="4">
        <f t="shared" si="67"/>
        <v>1508</v>
      </c>
      <c r="I212" s="4">
        <f t="shared" si="68"/>
        <v>1522</v>
      </c>
      <c r="J212" s="4">
        <f t="shared" si="69"/>
        <v>1646</v>
      </c>
      <c r="K212" s="4">
        <f t="shared" si="73"/>
        <v>2000</v>
      </c>
      <c r="L212" s="4">
        <f t="shared" si="74"/>
        <v>2000</v>
      </c>
      <c r="M212" s="4">
        <f t="shared" si="75"/>
        <v>2000</v>
      </c>
      <c r="N212" s="4">
        <f t="shared" si="76"/>
        <v>-492</v>
      </c>
      <c r="O212" s="4">
        <f t="shared" si="77"/>
        <v>-478</v>
      </c>
      <c r="P212" s="4">
        <f t="shared" si="78"/>
        <v>-354</v>
      </c>
      <c r="Q212" s="7">
        <v>0</v>
      </c>
      <c r="R212" s="7">
        <v>0</v>
      </c>
      <c r="S212" s="7">
        <v>0</v>
      </c>
      <c r="T212" s="5">
        <f t="shared" si="70"/>
        <v>2103</v>
      </c>
      <c r="U212" s="6">
        <f t="shared" si="61"/>
        <v>288</v>
      </c>
      <c r="V212" s="6">
        <f t="shared" si="62"/>
        <v>312</v>
      </c>
      <c r="W212" s="6">
        <f t="shared" si="60"/>
        <v>446</v>
      </c>
      <c r="X212" s="5"/>
      <c r="Y212" s="4"/>
      <c r="Z212" s="4"/>
      <c r="AA212" s="4"/>
      <c r="AB212" s="4"/>
    </row>
    <row r="213" spans="1:28" ht="13.15" customHeight="1">
      <c r="A213" s="11">
        <v>199</v>
      </c>
      <c r="B213" s="14">
        <f t="shared" si="71"/>
        <v>45242</v>
      </c>
      <c r="C213" s="9">
        <f t="shared" si="72"/>
        <v>842</v>
      </c>
      <c r="D213" s="8">
        <f t="shared" si="63"/>
        <v>1575</v>
      </c>
      <c r="E213" s="7">
        <f t="shared" si="64"/>
        <v>909</v>
      </c>
      <c r="F213" s="7">
        <f t="shared" si="65"/>
        <v>895</v>
      </c>
      <c r="G213" s="7">
        <f t="shared" si="66"/>
        <v>771</v>
      </c>
      <c r="H213" s="4">
        <f t="shared" si="67"/>
        <v>1508</v>
      </c>
      <c r="I213" s="4">
        <f t="shared" si="68"/>
        <v>1522</v>
      </c>
      <c r="J213" s="4">
        <f t="shared" si="69"/>
        <v>1646</v>
      </c>
      <c r="K213" s="4">
        <f t="shared" si="73"/>
        <v>2000</v>
      </c>
      <c r="L213" s="4">
        <f t="shared" si="74"/>
        <v>2000</v>
      </c>
      <c r="M213" s="4">
        <f t="shared" si="75"/>
        <v>2000</v>
      </c>
      <c r="N213" s="4">
        <f t="shared" si="76"/>
        <v>-492</v>
      </c>
      <c r="O213" s="4">
        <f t="shared" si="77"/>
        <v>-478</v>
      </c>
      <c r="P213" s="4">
        <f t="shared" si="78"/>
        <v>-354</v>
      </c>
      <c r="Q213" s="7">
        <v>0</v>
      </c>
      <c r="R213" s="7">
        <v>0</v>
      </c>
      <c r="S213" s="7">
        <v>0</v>
      </c>
      <c r="T213" s="5">
        <f t="shared" si="70"/>
        <v>2105</v>
      </c>
      <c r="U213" s="6">
        <f t="shared" si="61"/>
        <v>288</v>
      </c>
      <c r="V213" s="6">
        <f t="shared" si="62"/>
        <v>312</v>
      </c>
      <c r="W213" s="6">
        <f t="shared" si="60"/>
        <v>446</v>
      </c>
      <c r="X213" s="5"/>
      <c r="Y213" s="4"/>
      <c r="Z213" s="4"/>
      <c r="AA213" s="4"/>
      <c r="AB213" s="4"/>
    </row>
    <row r="214" spans="1:28" ht="13.15" customHeight="1">
      <c r="A214" s="11">
        <v>200</v>
      </c>
      <c r="B214" s="14">
        <f t="shared" si="71"/>
        <v>45243</v>
      </c>
      <c r="C214" s="9">
        <f t="shared" si="72"/>
        <v>842</v>
      </c>
      <c r="D214" s="8">
        <f t="shared" si="63"/>
        <v>1577</v>
      </c>
      <c r="E214" s="7">
        <f t="shared" si="64"/>
        <v>911</v>
      </c>
      <c r="F214" s="7">
        <f t="shared" si="65"/>
        <v>897</v>
      </c>
      <c r="G214" s="7">
        <f t="shared" si="66"/>
        <v>773</v>
      </c>
      <c r="H214" s="4">
        <f t="shared" si="67"/>
        <v>1508</v>
      </c>
      <c r="I214" s="4">
        <f t="shared" si="68"/>
        <v>1522</v>
      </c>
      <c r="J214" s="4">
        <f t="shared" si="69"/>
        <v>1646</v>
      </c>
      <c r="K214" s="4">
        <f t="shared" si="73"/>
        <v>2000</v>
      </c>
      <c r="L214" s="4">
        <f t="shared" si="74"/>
        <v>2000</v>
      </c>
      <c r="M214" s="4">
        <f t="shared" si="75"/>
        <v>2000</v>
      </c>
      <c r="N214" s="4">
        <f t="shared" si="76"/>
        <v>-492</v>
      </c>
      <c r="O214" s="4">
        <f t="shared" si="77"/>
        <v>-478</v>
      </c>
      <c r="P214" s="4">
        <f t="shared" si="78"/>
        <v>-354</v>
      </c>
      <c r="Q214" s="7">
        <v>0</v>
      </c>
      <c r="R214" s="7">
        <v>0</v>
      </c>
      <c r="S214" s="7">
        <v>0</v>
      </c>
      <c r="T214" s="5">
        <f t="shared" si="70"/>
        <v>2107</v>
      </c>
      <c r="U214" s="6">
        <f t="shared" si="61"/>
        <v>288</v>
      </c>
      <c r="V214" s="6">
        <f t="shared" si="62"/>
        <v>312</v>
      </c>
      <c r="W214" s="6">
        <f t="shared" si="60"/>
        <v>446</v>
      </c>
      <c r="X214" s="5"/>
      <c r="Y214" s="4"/>
      <c r="Z214" s="4"/>
      <c r="AA214" s="4"/>
      <c r="AB214" s="4"/>
    </row>
    <row r="215" spans="1:28" ht="13.15" customHeight="1">
      <c r="A215" s="11">
        <v>201</v>
      </c>
      <c r="B215" s="14">
        <f t="shared" si="71"/>
        <v>45244</v>
      </c>
      <c r="C215" s="9">
        <f t="shared" si="72"/>
        <v>842</v>
      </c>
      <c r="D215" s="8">
        <f t="shared" si="63"/>
        <v>1579</v>
      </c>
      <c r="E215" s="7">
        <f t="shared" si="64"/>
        <v>913</v>
      </c>
      <c r="F215" s="7">
        <f t="shared" si="65"/>
        <v>899</v>
      </c>
      <c r="G215" s="7">
        <f t="shared" si="66"/>
        <v>775</v>
      </c>
      <c r="H215" s="4">
        <f t="shared" si="67"/>
        <v>1508</v>
      </c>
      <c r="I215" s="4">
        <f t="shared" si="68"/>
        <v>1522</v>
      </c>
      <c r="J215" s="4">
        <f t="shared" si="69"/>
        <v>1646</v>
      </c>
      <c r="K215" s="4">
        <f t="shared" si="73"/>
        <v>2000</v>
      </c>
      <c r="L215" s="4">
        <f t="shared" si="74"/>
        <v>2000</v>
      </c>
      <c r="M215" s="4">
        <f t="shared" si="75"/>
        <v>2000</v>
      </c>
      <c r="N215" s="4">
        <f t="shared" si="76"/>
        <v>-492</v>
      </c>
      <c r="O215" s="4">
        <f t="shared" si="77"/>
        <v>-478</v>
      </c>
      <c r="P215" s="4">
        <f t="shared" si="78"/>
        <v>-354</v>
      </c>
      <c r="Q215" s="7">
        <v>0</v>
      </c>
      <c r="R215" s="7">
        <v>0</v>
      </c>
      <c r="S215" s="7">
        <v>0</v>
      </c>
      <c r="T215" s="5">
        <f t="shared" si="70"/>
        <v>2109</v>
      </c>
      <c r="U215" s="6">
        <f t="shared" si="61"/>
        <v>288</v>
      </c>
      <c r="V215" s="6">
        <f t="shared" si="62"/>
        <v>312</v>
      </c>
      <c r="W215" s="6">
        <f t="shared" si="60"/>
        <v>446</v>
      </c>
      <c r="X215" s="5"/>
      <c r="Y215" s="4"/>
      <c r="Z215" s="4"/>
      <c r="AA215" s="4"/>
      <c r="AB215" s="4"/>
    </row>
    <row r="216" spans="1:28" ht="13.15" customHeight="1">
      <c r="A216" s="11">
        <v>202</v>
      </c>
      <c r="B216" s="14">
        <f t="shared" si="71"/>
        <v>45245</v>
      </c>
      <c r="C216" s="9">
        <f t="shared" si="72"/>
        <v>842</v>
      </c>
      <c r="D216" s="8">
        <f t="shared" si="63"/>
        <v>1581</v>
      </c>
      <c r="E216" s="7">
        <f t="shared" si="64"/>
        <v>915</v>
      </c>
      <c r="F216" s="7">
        <f t="shared" si="65"/>
        <v>901</v>
      </c>
      <c r="G216" s="7">
        <f t="shared" si="66"/>
        <v>777</v>
      </c>
      <c r="H216" s="4">
        <f t="shared" si="67"/>
        <v>1508</v>
      </c>
      <c r="I216" s="4">
        <f t="shared" si="68"/>
        <v>1522</v>
      </c>
      <c r="J216" s="4">
        <f t="shared" si="69"/>
        <v>1646</v>
      </c>
      <c r="K216" s="4">
        <f t="shared" si="73"/>
        <v>2000</v>
      </c>
      <c r="L216" s="4">
        <f t="shared" si="74"/>
        <v>2000</v>
      </c>
      <c r="M216" s="4">
        <f t="shared" si="75"/>
        <v>2000</v>
      </c>
      <c r="N216" s="4">
        <f t="shared" si="76"/>
        <v>-492</v>
      </c>
      <c r="O216" s="4">
        <f t="shared" si="77"/>
        <v>-478</v>
      </c>
      <c r="P216" s="4">
        <f t="shared" si="78"/>
        <v>-354</v>
      </c>
      <c r="Q216" s="7">
        <v>0</v>
      </c>
      <c r="R216" s="7">
        <v>0</v>
      </c>
      <c r="S216" s="7">
        <v>0</v>
      </c>
      <c r="T216" s="5">
        <f t="shared" si="70"/>
        <v>2111</v>
      </c>
      <c r="U216" s="6">
        <f t="shared" si="61"/>
        <v>288</v>
      </c>
      <c r="V216" s="6">
        <f t="shared" si="62"/>
        <v>312</v>
      </c>
      <c r="W216" s="6">
        <f t="shared" si="60"/>
        <v>446</v>
      </c>
      <c r="X216" s="5"/>
      <c r="Y216" s="4"/>
      <c r="Z216" s="4"/>
      <c r="AA216" s="4"/>
      <c r="AB216" s="4"/>
    </row>
    <row r="217" spans="1:28" ht="13.15" customHeight="1">
      <c r="A217" s="11">
        <v>203</v>
      </c>
      <c r="B217" s="14">
        <f t="shared" si="71"/>
        <v>45246</v>
      </c>
      <c r="C217" s="9">
        <f t="shared" si="72"/>
        <v>842</v>
      </c>
      <c r="D217" s="8">
        <f t="shared" si="63"/>
        <v>1583</v>
      </c>
      <c r="E217" s="7">
        <f t="shared" si="64"/>
        <v>917</v>
      </c>
      <c r="F217" s="7">
        <f t="shared" si="65"/>
        <v>903</v>
      </c>
      <c r="G217" s="7">
        <f t="shared" si="66"/>
        <v>779</v>
      </c>
      <c r="H217" s="4">
        <f t="shared" si="67"/>
        <v>1508</v>
      </c>
      <c r="I217" s="4">
        <f t="shared" si="68"/>
        <v>1522</v>
      </c>
      <c r="J217" s="4">
        <f t="shared" si="69"/>
        <v>1646</v>
      </c>
      <c r="K217" s="4">
        <f t="shared" si="73"/>
        <v>2000</v>
      </c>
      <c r="L217" s="4">
        <f t="shared" si="74"/>
        <v>2000</v>
      </c>
      <c r="M217" s="4">
        <f t="shared" si="75"/>
        <v>2000</v>
      </c>
      <c r="N217" s="4">
        <f t="shared" si="76"/>
        <v>-492</v>
      </c>
      <c r="O217" s="4">
        <f t="shared" si="77"/>
        <v>-478</v>
      </c>
      <c r="P217" s="4">
        <f t="shared" si="78"/>
        <v>-354</v>
      </c>
      <c r="Q217" s="7">
        <v>0</v>
      </c>
      <c r="R217" s="7">
        <v>0</v>
      </c>
      <c r="S217" s="7">
        <v>0</v>
      </c>
      <c r="T217" s="5">
        <f t="shared" si="70"/>
        <v>2113</v>
      </c>
      <c r="U217" s="6">
        <f t="shared" si="61"/>
        <v>288</v>
      </c>
      <c r="V217" s="6">
        <f t="shared" si="62"/>
        <v>312</v>
      </c>
      <c r="W217" s="6">
        <f t="shared" si="60"/>
        <v>446</v>
      </c>
      <c r="X217" s="5"/>
      <c r="Y217" s="4"/>
      <c r="Z217" s="4"/>
      <c r="AA217" s="4"/>
      <c r="AB217" s="4"/>
    </row>
    <row r="218" spans="1:28" ht="13.15" customHeight="1">
      <c r="A218" s="11">
        <v>204</v>
      </c>
      <c r="B218" s="14">
        <f t="shared" si="71"/>
        <v>45247</v>
      </c>
      <c r="C218" s="9">
        <f t="shared" si="72"/>
        <v>842</v>
      </c>
      <c r="D218" s="8">
        <f t="shared" si="63"/>
        <v>1585</v>
      </c>
      <c r="E218" s="7">
        <f t="shared" si="64"/>
        <v>919</v>
      </c>
      <c r="F218" s="7">
        <f t="shared" si="65"/>
        <v>905</v>
      </c>
      <c r="G218" s="7">
        <f t="shared" si="66"/>
        <v>781</v>
      </c>
      <c r="H218" s="4">
        <f t="shared" si="67"/>
        <v>1508</v>
      </c>
      <c r="I218" s="4">
        <f t="shared" si="68"/>
        <v>1522</v>
      </c>
      <c r="J218" s="4">
        <f t="shared" si="69"/>
        <v>1646</v>
      </c>
      <c r="K218" s="4">
        <f t="shared" si="73"/>
        <v>2000</v>
      </c>
      <c r="L218" s="4">
        <f t="shared" si="74"/>
        <v>2000</v>
      </c>
      <c r="M218" s="4">
        <f t="shared" si="75"/>
        <v>2000</v>
      </c>
      <c r="N218" s="4">
        <f t="shared" si="76"/>
        <v>-492</v>
      </c>
      <c r="O218" s="4">
        <f t="shared" si="77"/>
        <v>-478</v>
      </c>
      <c r="P218" s="4">
        <f t="shared" si="78"/>
        <v>-354</v>
      </c>
      <c r="Q218" s="7">
        <v>0</v>
      </c>
      <c r="R218" s="7">
        <v>0</v>
      </c>
      <c r="S218" s="7">
        <v>0</v>
      </c>
      <c r="T218" s="5">
        <f t="shared" si="70"/>
        <v>2115</v>
      </c>
      <c r="U218" s="6">
        <f t="shared" si="61"/>
        <v>288</v>
      </c>
      <c r="V218" s="6">
        <f t="shared" si="62"/>
        <v>312</v>
      </c>
      <c r="W218" s="6">
        <f t="shared" si="60"/>
        <v>446</v>
      </c>
      <c r="X218" s="5"/>
      <c r="Y218" s="4"/>
      <c r="Z218" s="4"/>
      <c r="AA218" s="4"/>
      <c r="AB218" s="4"/>
    </row>
    <row r="219" spans="1:28" ht="13.15" customHeight="1">
      <c r="A219" s="11">
        <v>205</v>
      </c>
      <c r="B219" s="14">
        <f t="shared" si="71"/>
        <v>45248</v>
      </c>
      <c r="C219" s="9">
        <f t="shared" si="72"/>
        <v>842</v>
      </c>
      <c r="D219" s="8">
        <f t="shared" si="63"/>
        <v>1587</v>
      </c>
      <c r="E219" s="7">
        <f t="shared" si="64"/>
        <v>921</v>
      </c>
      <c r="F219" s="7">
        <f t="shared" si="65"/>
        <v>907</v>
      </c>
      <c r="G219" s="7">
        <f t="shared" si="66"/>
        <v>783</v>
      </c>
      <c r="H219" s="4">
        <f t="shared" si="67"/>
        <v>1508</v>
      </c>
      <c r="I219" s="4">
        <f t="shared" si="68"/>
        <v>1522</v>
      </c>
      <c r="J219" s="4">
        <f t="shared" si="69"/>
        <v>1646</v>
      </c>
      <c r="K219" s="4">
        <f t="shared" si="73"/>
        <v>2000</v>
      </c>
      <c r="L219" s="4">
        <f t="shared" si="74"/>
        <v>2000</v>
      </c>
      <c r="M219" s="4">
        <f t="shared" si="75"/>
        <v>2000</v>
      </c>
      <c r="N219" s="4">
        <f t="shared" si="76"/>
        <v>-492</v>
      </c>
      <c r="O219" s="4">
        <f t="shared" si="77"/>
        <v>-478</v>
      </c>
      <c r="P219" s="4">
        <f t="shared" si="78"/>
        <v>-354</v>
      </c>
      <c r="Q219" s="7">
        <v>0</v>
      </c>
      <c r="R219" s="7">
        <v>0</v>
      </c>
      <c r="S219" s="7">
        <v>0</v>
      </c>
      <c r="T219" s="5">
        <f t="shared" si="70"/>
        <v>2117</v>
      </c>
      <c r="U219" s="6">
        <f t="shared" si="61"/>
        <v>288</v>
      </c>
      <c r="V219" s="6">
        <f t="shared" si="62"/>
        <v>312</v>
      </c>
      <c r="W219" s="6">
        <f t="shared" si="60"/>
        <v>446</v>
      </c>
      <c r="X219" s="5"/>
      <c r="Y219" s="4"/>
      <c r="Z219" s="4"/>
      <c r="AA219" s="4"/>
      <c r="AB219" s="4"/>
    </row>
    <row r="220" spans="1:28" ht="13.15" customHeight="1">
      <c r="A220" s="11">
        <v>206</v>
      </c>
      <c r="B220" s="14">
        <f t="shared" si="71"/>
        <v>45249</v>
      </c>
      <c r="C220" s="9">
        <f t="shared" si="72"/>
        <v>842</v>
      </c>
      <c r="D220" s="8">
        <f t="shared" si="63"/>
        <v>1589</v>
      </c>
      <c r="E220" s="7">
        <f t="shared" si="64"/>
        <v>923</v>
      </c>
      <c r="F220" s="7">
        <f t="shared" si="65"/>
        <v>909</v>
      </c>
      <c r="G220" s="7">
        <f t="shared" si="66"/>
        <v>785</v>
      </c>
      <c r="H220" s="4">
        <f t="shared" si="67"/>
        <v>1508</v>
      </c>
      <c r="I220" s="4">
        <f t="shared" si="68"/>
        <v>1522</v>
      </c>
      <c r="J220" s="4">
        <f t="shared" si="69"/>
        <v>1646</v>
      </c>
      <c r="K220" s="4">
        <f t="shared" si="73"/>
        <v>2000</v>
      </c>
      <c r="L220" s="4">
        <f t="shared" si="74"/>
        <v>2000</v>
      </c>
      <c r="M220" s="4">
        <f t="shared" si="75"/>
        <v>2000</v>
      </c>
      <c r="N220" s="4">
        <f t="shared" si="76"/>
        <v>-492</v>
      </c>
      <c r="O220" s="4">
        <f t="shared" si="77"/>
        <v>-478</v>
      </c>
      <c r="P220" s="4">
        <f t="shared" si="78"/>
        <v>-354</v>
      </c>
      <c r="Q220" s="7">
        <v>0</v>
      </c>
      <c r="R220" s="7">
        <v>0</v>
      </c>
      <c r="S220" s="7">
        <v>0</v>
      </c>
      <c r="T220" s="5">
        <f t="shared" si="70"/>
        <v>2119</v>
      </c>
      <c r="U220" s="6">
        <f t="shared" si="61"/>
        <v>288</v>
      </c>
      <c r="V220" s="6">
        <f t="shared" si="62"/>
        <v>312</v>
      </c>
      <c r="W220" s="6">
        <f t="shared" si="60"/>
        <v>446</v>
      </c>
      <c r="X220" s="5"/>
      <c r="Y220" s="4"/>
      <c r="Z220" s="4"/>
      <c r="AA220" s="4"/>
      <c r="AB220" s="4"/>
    </row>
    <row r="221" spans="1:28" ht="13.15" customHeight="1">
      <c r="A221" s="11">
        <v>207</v>
      </c>
      <c r="B221" s="14">
        <f t="shared" si="71"/>
        <v>45250</v>
      </c>
      <c r="C221" s="9">
        <f t="shared" si="72"/>
        <v>842</v>
      </c>
      <c r="D221" s="8">
        <f t="shared" si="63"/>
        <v>1591</v>
      </c>
      <c r="E221" s="7">
        <f t="shared" si="64"/>
        <v>925</v>
      </c>
      <c r="F221" s="7">
        <f t="shared" si="65"/>
        <v>911</v>
      </c>
      <c r="G221" s="7">
        <f t="shared" si="66"/>
        <v>787</v>
      </c>
      <c r="H221" s="4">
        <f t="shared" si="67"/>
        <v>1508</v>
      </c>
      <c r="I221" s="4">
        <f t="shared" si="68"/>
        <v>1522</v>
      </c>
      <c r="J221" s="4">
        <f t="shared" si="69"/>
        <v>1646</v>
      </c>
      <c r="K221" s="4">
        <f t="shared" si="73"/>
        <v>2000</v>
      </c>
      <c r="L221" s="4">
        <f t="shared" si="74"/>
        <v>2000</v>
      </c>
      <c r="M221" s="4">
        <f t="shared" si="75"/>
        <v>2000</v>
      </c>
      <c r="N221" s="4">
        <f t="shared" si="76"/>
        <v>-492</v>
      </c>
      <c r="O221" s="4">
        <f t="shared" si="77"/>
        <v>-478</v>
      </c>
      <c r="P221" s="4">
        <f t="shared" si="78"/>
        <v>-354</v>
      </c>
      <c r="Q221" s="7">
        <v>0</v>
      </c>
      <c r="R221" s="7">
        <v>0</v>
      </c>
      <c r="S221" s="7">
        <v>0</v>
      </c>
      <c r="T221" s="5">
        <f t="shared" si="70"/>
        <v>2121</v>
      </c>
      <c r="U221" s="6">
        <f t="shared" si="61"/>
        <v>288</v>
      </c>
      <c r="V221" s="6">
        <f t="shared" si="62"/>
        <v>312</v>
      </c>
      <c r="W221" s="6">
        <f t="shared" si="60"/>
        <v>446</v>
      </c>
      <c r="X221" s="5"/>
      <c r="Y221" s="4"/>
      <c r="Z221" s="4"/>
      <c r="AA221" s="4"/>
      <c r="AB221" s="4"/>
    </row>
    <row r="222" spans="1:28" ht="13.15" customHeight="1">
      <c r="A222" s="11">
        <v>208</v>
      </c>
      <c r="B222" s="14">
        <f t="shared" si="71"/>
        <v>45251</v>
      </c>
      <c r="C222" s="9">
        <f t="shared" si="72"/>
        <v>842</v>
      </c>
      <c r="D222" s="8">
        <f t="shared" si="63"/>
        <v>1593</v>
      </c>
      <c r="E222" s="7">
        <f t="shared" si="64"/>
        <v>927</v>
      </c>
      <c r="F222" s="7">
        <f t="shared" si="65"/>
        <v>913</v>
      </c>
      <c r="G222" s="7">
        <f t="shared" si="66"/>
        <v>789</v>
      </c>
      <c r="H222" s="4">
        <f t="shared" si="67"/>
        <v>1508</v>
      </c>
      <c r="I222" s="4">
        <f t="shared" si="68"/>
        <v>1522</v>
      </c>
      <c r="J222" s="4">
        <f t="shared" si="69"/>
        <v>1646</v>
      </c>
      <c r="K222" s="4">
        <f t="shared" si="73"/>
        <v>2000</v>
      </c>
      <c r="L222" s="4">
        <f t="shared" si="74"/>
        <v>2000</v>
      </c>
      <c r="M222" s="4">
        <f t="shared" si="75"/>
        <v>2000</v>
      </c>
      <c r="N222" s="4">
        <f t="shared" si="76"/>
        <v>-492</v>
      </c>
      <c r="O222" s="4">
        <f t="shared" si="77"/>
        <v>-478</v>
      </c>
      <c r="P222" s="4">
        <f t="shared" si="78"/>
        <v>-354</v>
      </c>
      <c r="Q222" s="7">
        <v>0</v>
      </c>
      <c r="R222" s="7">
        <v>0</v>
      </c>
      <c r="S222" s="7">
        <v>0</v>
      </c>
      <c r="T222" s="5">
        <f t="shared" si="70"/>
        <v>2123</v>
      </c>
      <c r="U222" s="6">
        <f t="shared" si="61"/>
        <v>288</v>
      </c>
      <c r="V222" s="6">
        <f t="shared" si="62"/>
        <v>312</v>
      </c>
      <c r="W222" s="6">
        <f t="shared" si="60"/>
        <v>446</v>
      </c>
      <c r="X222" s="5"/>
      <c r="Y222" s="4"/>
      <c r="Z222" s="4"/>
      <c r="AA222" s="4"/>
      <c r="AB222" s="4"/>
    </row>
    <row r="223" spans="1:28" ht="13.15" customHeight="1">
      <c r="A223" s="11">
        <v>209</v>
      </c>
      <c r="B223" s="14">
        <f t="shared" si="71"/>
        <v>45252</v>
      </c>
      <c r="C223" s="9">
        <f t="shared" si="72"/>
        <v>842</v>
      </c>
      <c r="D223" s="8">
        <f t="shared" si="63"/>
        <v>1595</v>
      </c>
      <c r="E223" s="7">
        <f t="shared" si="64"/>
        <v>929</v>
      </c>
      <c r="F223" s="7">
        <f t="shared" si="65"/>
        <v>915</v>
      </c>
      <c r="G223" s="7">
        <f t="shared" si="66"/>
        <v>791</v>
      </c>
      <c r="H223" s="4">
        <f t="shared" si="67"/>
        <v>1508</v>
      </c>
      <c r="I223" s="4">
        <f t="shared" si="68"/>
        <v>1522</v>
      </c>
      <c r="J223" s="4">
        <f t="shared" si="69"/>
        <v>1646</v>
      </c>
      <c r="K223" s="4">
        <f t="shared" si="73"/>
        <v>2000</v>
      </c>
      <c r="L223" s="4">
        <f t="shared" si="74"/>
        <v>2000</v>
      </c>
      <c r="M223" s="4">
        <f t="shared" si="75"/>
        <v>2000</v>
      </c>
      <c r="N223" s="4">
        <f t="shared" si="76"/>
        <v>-492</v>
      </c>
      <c r="O223" s="4">
        <f t="shared" si="77"/>
        <v>-478</v>
      </c>
      <c r="P223" s="4">
        <f t="shared" si="78"/>
        <v>-354</v>
      </c>
      <c r="Q223" s="7">
        <v>0</v>
      </c>
      <c r="R223" s="7">
        <v>0</v>
      </c>
      <c r="S223" s="7">
        <v>0</v>
      </c>
      <c r="T223" s="5">
        <f t="shared" si="70"/>
        <v>2125</v>
      </c>
      <c r="U223" s="6">
        <f t="shared" si="61"/>
        <v>288</v>
      </c>
      <c r="V223" s="6">
        <f t="shared" si="62"/>
        <v>312</v>
      </c>
      <c r="W223" s="6">
        <f t="shared" si="60"/>
        <v>446</v>
      </c>
      <c r="X223" s="5"/>
      <c r="Y223" s="4"/>
      <c r="Z223" s="4"/>
      <c r="AA223" s="4"/>
      <c r="AB223" s="4"/>
    </row>
    <row r="224" spans="1:28" ht="13.15" customHeight="1">
      <c r="A224" s="11">
        <v>210</v>
      </c>
      <c r="B224" s="14">
        <f t="shared" si="71"/>
        <v>45253</v>
      </c>
      <c r="C224" s="9">
        <f t="shared" si="72"/>
        <v>842</v>
      </c>
      <c r="D224" s="8">
        <f t="shared" si="63"/>
        <v>1597</v>
      </c>
      <c r="E224" s="7">
        <f t="shared" si="64"/>
        <v>931</v>
      </c>
      <c r="F224" s="7">
        <f t="shared" si="65"/>
        <v>917</v>
      </c>
      <c r="G224" s="7">
        <f t="shared" si="66"/>
        <v>793</v>
      </c>
      <c r="H224" s="4">
        <f t="shared" si="67"/>
        <v>1508</v>
      </c>
      <c r="I224" s="4">
        <f t="shared" si="68"/>
        <v>1522</v>
      </c>
      <c r="J224" s="4">
        <f t="shared" si="69"/>
        <v>1646</v>
      </c>
      <c r="K224" s="4">
        <f t="shared" si="73"/>
        <v>2000</v>
      </c>
      <c r="L224" s="4">
        <f t="shared" si="74"/>
        <v>2000</v>
      </c>
      <c r="M224" s="4">
        <f t="shared" si="75"/>
        <v>2000</v>
      </c>
      <c r="N224" s="4">
        <f t="shared" si="76"/>
        <v>-492</v>
      </c>
      <c r="O224" s="4">
        <f t="shared" si="77"/>
        <v>-478</v>
      </c>
      <c r="P224" s="4">
        <f t="shared" si="78"/>
        <v>-354</v>
      </c>
      <c r="Q224" s="7">
        <v>0</v>
      </c>
      <c r="R224" s="7">
        <v>0</v>
      </c>
      <c r="S224" s="7">
        <v>0</v>
      </c>
      <c r="T224" s="5">
        <f t="shared" si="70"/>
        <v>2127</v>
      </c>
      <c r="U224" s="6">
        <f t="shared" si="61"/>
        <v>288</v>
      </c>
      <c r="V224" s="6">
        <f t="shared" si="62"/>
        <v>312</v>
      </c>
      <c r="W224" s="6">
        <f t="shared" si="60"/>
        <v>446</v>
      </c>
      <c r="X224" s="5"/>
      <c r="Y224" s="4"/>
      <c r="Z224" s="4"/>
      <c r="AA224" s="4"/>
      <c r="AB224" s="4"/>
    </row>
    <row r="225" spans="1:28" ht="13.15" customHeight="1">
      <c r="A225" s="11">
        <v>211</v>
      </c>
      <c r="B225" s="14">
        <f t="shared" si="71"/>
        <v>45254</v>
      </c>
      <c r="C225" s="9">
        <f t="shared" si="72"/>
        <v>842</v>
      </c>
      <c r="D225" s="8">
        <f t="shared" si="63"/>
        <v>1599</v>
      </c>
      <c r="E225" s="7">
        <f t="shared" si="64"/>
        <v>933</v>
      </c>
      <c r="F225" s="7">
        <f t="shared" si="65"/>
        <v>919</v>
      </c>
      <c r="G225" s="7">
        <f t="shared" si="66"/>
        <v>795</v>
      </c>
      <c r="H225" s="4">
        <f t="shared" si="67"/>
        <v>1508</v>
      </c>
      <c r="I225" s="4">
        <f t="shared" si="68"/>
        <v>1522</v>
      </c>
      <c r="J225" s="4">
        <f t="shared" si="69"/>
        <v>1646</v>
      </c>
      <c r="K225" s="4">
        <f t="shared" si="73"/>
        <v>2000</v>
      </c>
      <c r="L225" s="4">
        <f t="shared" si="74"/>
        <v>2000</v>
      </c>
      <c r="M225" s="4">
        <f t="shared" si="75"/>
        <v>2000</v>
      </c>
      <c r="N225" s="4">
        <f t="shared" si="76"/>
        <v>-492</v>
      </c>
      <c r="O225" s="4">
        <f t="shared" si="77"/>
        <v>-478</v>
      </c>
      <c r="P225" s="4">
        <f t="shared" si="78"/>
        <v>-354</v>
      </c>
      <c r="Q225" s="7">
        <v>0</v>
      </c>
      <c r="R225" s="7">
        <v>0</v>
      </c>
      <c r="S225" s="7">
        <v>0</v>
      </c>
      <c r="T225" s="5">
        <f t="shared" si="70"/>
        <v>2129</v>
      </c>
      <c r="U225" s="6">
        <f t="shared" si="61"/>
        <v>288</v>
      </c>
      <c r="V225" s="6">
        <f t="shared" si="62"/>
        <v>312</v>
      </c>
      <c r="W225" s="6">
        <f t="shared" si="60"/>
        <v>446</v>
      </c>
      <c r="X225" s="5"/>
      <c r="Y225" s="4"/>
      <c r="Z225" s="4"/>
      <c r="AA225" s="4"/>
      <c r="AB225" s="4"/>
    </row>
    <row r="226" spans="1:28" ht="13.15" customHeight="1">
      <c r="A226" s="11">
        <v>212</v>
      </c>
      <c r="B226" s="14">
        <f t="shared" si="71"/>
        <v>45255</v>
      </c>
      <c r="C226" s="9">
        <f t="shared" si="72"/>
        <v>842</v>
      </c>
      <c r="D226" s="8">
        <f t="shared" si="63"/>
        <v>1601</v>
      </c>
      <c r="E226" s="7">
        <f t="shared" si="64"/>
        <v>935</v>
      </c>
      <c r="F226" s="7">
        <f t="shared" si="65"/>
        <v>921</v>
      </c>
      <c r="G226" s="7">
        <f t="shared" si="66"/>
        <v>797</v>
      </c>
      <c r="H226" s="4">
        <f t="shared" si="67"/>
        <v>1508</v>
      </c>
      <c r="I226" s="4">
        <f t="shared" si="68"/>
        <v>1522</v>
      </c>
      <c r="J226" s="4">
        <f t="shared" si="69"/>
        <v>1646</v>
      </c>
      <c r="K226" s="4">
        <f t="shared" si="73"/>
        <v>2000</v>
      </c>
      <c r="L226" s="4">
        <f t="shared" si="74"/>
        <v>2000</v>
      </c>
      <c r="M226" s="4">
        <f t="shared" si="75"/>
        <v>2000</v>
      </c>
      <c r="N226" s="4">
        <f t="shared" si="76"/>
        <v>-492</v>
      </c>
      <c r="O226" s="4">
        <f t="shared" si="77"/>
        <v>-478</v>
      </c>
      <c r="P226" s="4">
        <f t="shared" si="78"/>
        <v>-354</v>
      </c>
      <c r="Q226" s="7">
        <v>0</v>
      </c>
      <c r="R226" s="7">
        <v>0</v>
      </c>
      <c r="S226" s="7">
        <v>0</v>
      </c>
      <c r="T226" s="5">
        <f t="shared" si="70"/>
        <v>2131</v>
      </c>
      <c r="U226" s="6">
        <f t="shared" si="61"/>
        <v>288</v>
      </c>
      <c r="V226" s="6">
        <f t="shared" si="62"/>
        <v>312</v>
      </c>
      <c r="W226" s="6">
        <f t="shared" si="60"/>
        <v>446</v>
      </c>
      <c r="X226" s="5"/>
      <c r="Y226" s="4"/>
      <c r="Z226" s="4"/>
      <c r="AA226" s="4"/>
      <c r="AB226" s="4"/>
    </row>
    <row r="227" spans="1:28" ht="13.15" customHeight="1">
      <c r="A227" s="11">
        <v>213</v>
      </c>
      <c r="B227" s="14">
        <f t="shared" si="71"/>
        <v>45256</v>
      </c>
      <c r="C227" s="9">
        <f t="shared" si="72"/>
        <v>842</v>
      </c>
      <c r="D227" s="8">
        <f t="shared" si="63"/>
        <v>1603</v>
      </c>
      <c r="E227" s="7">
        <f t="shared" si="64"/>
        <v>937</v>
      </c>
      <c r="F227" s="7">
        <f t="shared" si="65"/>
        <v>923</v>
      </c>
      <c r="G227" s="7">
        <f t="shared" si="66"/>
        <v>799</v>
      </c>
      <c r="H227" s="4">
        <f t="shared" si="67"/>
        <v>1508</v>
      </c>
      <c r="I227" s="4">
        <f t="shared" si="68"/>
        <v>1522</v>
      </c>
      <c r="J227" s="4">
        <f t="shared" si="69"/>
        <v>1646</v>
      </c>
      <c r="K227" s="4">
        <f t="shared" si="73"/>
        <v>2000</v>
      </c>
      <c r="L227" s="4">
        <f t="shared" si="74"/>
        <v>2000</v>
      </c>
      <c r="M227" s="4">
        <f t="shared" si="75"/>
        <v>2000</v>
      </c>
      <c r="N227" s="4">
        <f t="shared" si="76"/>
        <v>-492</v>
      </c>
      <c r="O227" s="4">
        <f t="shared" si="77"/>
        <v>-478</v>
      </c>
      <c r="P227" s="4">
        <f t="shared" si="78"/>
        <v>-354</v>
      </c>
      <c r="Q227" s="7">
        <v>0</v>
      </c>
      <c r="R227" s="7">
        <v>0</v>
      </c>
      <c r="S227" s="7">
        <v>0</v>
      </c>
      <c r="T227" s="5">
        <f t="shared" si="70"/>
        <v>2133</v>
      </c>
      <c r="U227" s="6">
        <f t="shared" si="61"/>
        <v>288</v>
      </c>
      <c r="V227" s="6">
        <f t="shared" si="62"/>
        <v>312</v>
      </c>
      <c r="W227" s="6">
        <f t="shared" si="60"/>
        <v>446</v>
      </c>
      <c r="X227" s="5"/>
      <c r="Y227" s="4"/>
      <c r="Z227" s="4"/>
      <c r="AA227" s="4"/>
      <c r="AB227" s="4"/>
    </row>
    <row r="228" spans="1:28" ht="13.15" customHeight="1">
      <c r="A228" s="11">
        <v>214</v>
      </c>
      <c r="B228" s="14">
        <f t="shared" si="71"/>
        <v>45257</v>
      </c>
      <c r="C228" s="9">
        <f t="shared" si="72"/>
        <v>842</v>
      </c>
      <c r="D228" s="8">
        <f t="shared" si="63"/>
        <v>1605</v>
      </c>
      <c r="E228" s="7">
        <f t="shared" si="64"/>
        <v>939</v>
      </c>
      <c r="F228" s="7">
        <f t="shared" si="65"/>
        <v>925</v>
      </c>
      <c r="G228" s="7">
        <f t="shared" si="66"/>
        <v>801</v>
      </c>
      <c r="H228" s="4">
        <f t="shared" si="67"/>
        <v>1508</v>
      </c>
      <c r="I228" s="4">
        <f t="shared" si="68"/>
        <v>1522</v>
      </c>
      <c r="J228" s="4">
        <f t="shared" si="69"/>
        <v>1646</v>
      </c>
      <c r="K228" s="4">
        <f t="shared" si="73"/>
        <v>2000</v>
      </c>
      <c r="L228" s="4">
        <f t="shared" si="74"/>
        <v>2000</v>
      </c>
      <c r="M228" s="4">
        <f t="shared" si="75"/>
        <v>2000</v>
      </c>
      <c r="N228" s="4">
        <f t="shared" si="76"/>
        <v>-492</v>
      </c>
      <c r="O228" s="4">
        <f t="shared" si="77"/>
        <v>-478</v>
      </c>
      <c r="P228" s="4">
        <f t="shared" si="78"/>
        <v>-354</v>
      </c>
      <c r="Q228" s="7">
        <v>0</v>
      </c>
      <c r="R228" s="7">
        <v>0</v>
      </c>
      <c r="S228" s="7">
        <v>0</v>
      </c>
      <c r="T228" s="5">
        <f t="shared" si="70"/>
        <v>2135</v>
      </c>
      <c r="U228" s="6">
        <f t="shared" si="61"/>
        <v>288</v>
      </c>
      <c r="V228" s="6">
        <f t="shared" si="62"/>
        <v>312</v>
      </c>
      <c r="W228" s="6">
        <f t="shared" si="60"/>
        <v>446</v>
      </c>
      <c r="X228" s="5"/>
      <c r="Y228" s="4"/>
      <c r="Z228" s="4"/>
      <c r="AA228" s="4"/>
      <c r="AB228" s="4"/>
    </row>
    <row r="229" spans="1:28" ht="13.15" customHeight="1">
      <c r="A229" s="11">
        <v>215</v>
      </c>
      <c r="B229" s="14">
        <f t="shared" si="71"/>
        <v>45258</v>
      </c>
      <c r="C229" s="9">
        <f t="shared" si="72"/>
        <v>842</v>
      </c>
      <c r="D229" s="8">
        <f t="shared" si="63"/>
        <v>1607</v>
      </c>
      <c r="E229" s="7">
        <f t="shared" si="64"/>
        <v>941</v>
      </c>
      <c r="F229" s="7">
        <f t="shared" si="65"/>
        <v>927</v>
      </c>
      <c r="G229" s="7">
        <f t="shared" si="66"/>
        <v>803</v>
      </c>
      <c r="H229" s="4">
        <f t="shared" si="67"/>
        <v>1508</v>
      </c>
      <c r="I229" s="4">
        <f t="shared" si="68"/>
        <v>1522</v>
      </c>
      <c r="J229" s="4">
        <f t="shared" si="69"/>
        <v>1646</v>
      </c>
      <c r="K229" s="4">
        <f t="shared" si="73"/>
        <v>2000</v>
      </c>
      <c r="L229" s="4">
        <f t="shared" si="74"/>
        <v>2000</v>
      </c>
      <c r="M229" s="4">
        <f t="shared" si="75"/>
        <v>2000</v>
      </c>
      <c r="N229" s="4">
        <f t="shared" si="76"/>
        <v>-492</v>
      </c>
      <c r="O229" s="4">
        <f t="shared" si="77"/>
        <v>-478</v>
      </c>
      <c r="P229" s="4">
        <f t="shared" si="78"/>
        <v>-354</v>
      </c>
      <c r="Q229" s="7">
        <v>0</v>
      </c>
      <c r="R229" s="7">
        <v>0</v>
      </c>
      <c r="S229" s="7">
        <v>0</v>
      </c>
      <c r="T229" s="5">
        <f t="shared" si="70"/>
        <v>2137</v>
      </c>
      <c r="U229" s="6">
        <f t="shared" si="61"/>
        <v>288</v>
      </c>
      <c r="V229" s="6">
        <f t="shared" si="62"/>
        <v>312</v>
      </c>
      <c r="W229" s="6">
        <f t="shared" si="60"/>
        <v>446</v>
      </c>
      <c r="X229" s="5"/>
      <c r="Y229" s="4"/>
      <c r="Z229" s="4"/>
      <c r="AA229" s="4"/>
      <c r="AB229" s="4"/>
    </row>
    <row r="230" spans="1:28" ht="13.15" customHeight="1">
      <c r="A230" s="11">
        <v>216</v>
      </c>
      <c r="B230" s="14">
        <f t="shared" si="71"/>
        <v>45259</v>
      </c>
      <c r="C230" s="9">
        <f t="shared" si="72"/>
        <v>842</v>
      </c>
      <c r="D230" s="8">
        <f t="shared" si="63"/>
        <v>1609</v>
      </c>
      <c r="E230" s="7">
        <f t="shared" si="64"/>
        <v>943</v>
      </c>
      <c r="F230" s="7">
        <f t="shared" si="65"/>
        <v>929</v>
      </c>
      <c r="G230" s="7">
        <f t="shared" si="66"/>
        <v>805</v>
      </c>
      <c r="H230" s="4">
        <f t="shared" si="67"/>
        <v>1508</v>
      </c>
      <c r="I230" s="4">
        <f t="shared" si="68"/>
        <v>1522</v>
      </c>
      <c r="J230" s="4">
        <f t="shared" si="69"/>
        <v>1646</v>
      </c>
      <c r="K230" s="4">
        <f t="shared" si="73"/>
        <v>2000</v>
      </c>
      <c r="L230" s="4">
        <f t="shared" si="74"/>
        <v>2000</v>
      </c>
      <c r="M230" s="4">
        <f t="shared" si="75"/>
        <v>2000</v>
      </c>
      <c r="N230" s="4">
        <f t="shared" si="76"/>
        <v>-492</v>
      </c>
      <c r="O230" s="4">
        <f t="shared" si="77"/>
        <v>-478</v>
      </c>
      <c r="P230" s="4">
        <f t="shared" si="78"/>
        <v>-354</v>
      </c>
      <c r="Q230" s="7">
        <v>0</v>
      </c>
      <c r="R230" s="7">
        <v>0</v>
      </c>
      <c r="S230" s="7">
        <v>0</v>
      </c>
      <c r="T230" s="5">
        <f t="shared" si="70"/>
        <v>2139</v>
      </c>
      <c r="U230" s="6">
        <f t="shared" si="61"/>
        <v>288</v>
      </c>
      <c r="V230" s="6">
        <f t="shared" si="62"/>
        <v>312</v>
      </c>
      <c r="W230" s="6">
        <f t="shared" si="60"/>
        <v>446</v>
      </c>
      <c r="X230" s="5"/>
      <c r="Y230" s="4"/>
      <c r="Z230" s="4"/>
      <c r="AA230" s="4"/>
      <c r="AB230" s="4"/>
    </row>
    <row r="231" spans="1:28" ht="13.15" customHeight="1">
      <c r="A231" s="11">
        <v>217</v>
      </c>
      <c r="B231" s="14">
        <f t="shared" si="71"/>
        <v>45260</v>
      </c>
      <c r="C231" s="9">
        <f t="shared" si="72"/>
        <v>842</v>
      </c>
      <c r="D231" s="8">
        <f t="shared" si="63"/>
        <v>1611</v>
      </c>
      <c r="E231" s="7">
        <f t="shared" si="64"/>
        <v>945</v>
      </c>
      <c r="F231" s="7">
        <f t="shared" si="65"/>
        <v>931</v>
      </c>
      <c r="G231" s="7">
        <f t="shared" si="66"/>
        <v>807</v>
      </c>
      <c r="H231" s="4">
        <f t="shared" si="67"/>
        <v>1508</v>
      </c>
      <c r="I231" s="4">
        <f t="shared" si="68"/>
        <v>1522</v>
      </c>
      <c r="J231" s="4">
        <f t="shared" si="69"/>
        <v>1646</v>
      </c>
      <c r="K231" s="4">
        <f t="shared" si="73"/>
        <v>2000</v>
      </c>
      <c r="L231" s="4">
        <f t="shared" si="74"/>
        <v>2000</v>
      </c>
      <c r="M231" s="4">
        <f t="shared" si="75"/>
        <v>2000</v>
      </c>
      <c r="N231" s="4">
        <f t="shared" si="76"/>
        <v>-492</v>
      </c>
      <c r="O231" s="4">
        <f t="shared" si="77"/>
        <v>-478</v>
      </c>
      <c r="P231" s="4">
        <f t="shared" si="78"/>
        <v>-354</v>
      </c>
      <c r="Q231" s="7">
        <v>0</v>
      </c>
      <c r="R231" s="7">
        <v>0</v>
      </c>
      <c r="S231" s="7">
        <v>0</v>
      </c>
      <c r="T231" s="5">
        <f t="shared" si="70"/>
        <v>2141</v>
      </c>
      <c r="U231" s="6">
        <f t="shared" si="61"/>
        <v>288</v>
      </c>
      <c r="V231" s="6">
        <f t="shared" si="62"/>
        <v>312</v>
      </c>
      <c r="W231" s="6">
        <f t="shared" ref="W231:W294" si="79">W230+$X231*1000-S231</f>
        <v>446</v>
      </c>
      <c r="X231" s="5"/>
      <c r="Y231" s="4"/>
      <c r="Z231" s="4"/>
      <c r="AA231" s="4"/>
      <c r="AB231" s="4"/>
    </row>
    <row r="232" spans="1:28" ht="13.15" customHeight="1">
      <c r="A232" s="11">
        <v>218</v>
      </c>
      <c r="B232" s="14">
        <f t="shared" si="71"/>
        <v>45261</v>
      </c>
      <c r="C232" s="9">
        <f t="shared" si="72"/>
        <v>842</v>
      </c>
      <c r="D232" s="8">
        <f t="shared" si="63"/>
        <v>1613</v>
      </c>
      <c r="E232" s="7">
        <f t="shared" si="64"/>
        <v>947</v>
      </c>
      <c r="F232" s="7">
        <f t="shared" si="65"/>
        <v>933</v>
      </c>
      <c r="G232" s="7">
        <f t="shared" si="66"/>
        <v>809</v>
      </c>
      <c r="H232" s="4">
        <f t="shared" si="67"/>
        <v>1508</v>
      </c>
      <c r="I232" s="4">
        <f t="shared" si="68"/>
        <v>1522</v>
      </c>
      <c r="J232" s="4">
        <f t="shared" si="69"/>
        <v>1646</v>
      </c>
      <c r="K232" s="4">
        <f t="shared" si="73"/>
        <v>2000</v>
      </c>
      <c r="L232" s="4">
        <f t="shared" si="74"/>
        <v>2000</v>
      </c>
      <c r="M232" s="4">
        <f t="shared" si="75"/>
        <v>2000</v>
      </c>
      <c r="N232" s="4">
        <f t="shared" si="76"/>
        <v>-492</v>
      </c>
      <c r="O232" s="4">
        <f t="shared" si="77"/>
        <v>-478</v>
      </c>
      <c r="P232" s="4">
        <f t="shared" si="78"/>
        <v>-354</v>
      </c>
      <c r="Q232" s="7">
        <v>0</v>
      </c>
      <c r="R232" s="7">
        <v>0</v>
      </c>
      <c r="S232" s="7">
        <v>0</v>
      </c>
      <c r="T232" s="5">
        <f t="shared" si="70"/>
        <v>2143</v>
      </c>
      <c r="U232" s="6">
        <f t="shared" ref="U232:U295" si="80">U231+$X232*1000-Q232</f>
        <v>288</v>
      </c>
      <c r="V232" s="6">
        <f t="shared" ref="V232:V295" si="81">V231+$X232*1000-R232</f>
        <v>312</v>
      </c>
      <c r="W232" s="6">
        <f t="shared" si="79"/>
        <v>446</v>
      </c>
      <c r="X232" s="5"/>
      <c r="Y232" s="4"/>
      <c r="Z232" s="4"/>
      <c r="AA232" s="4"/>
      <c r="AB232" s="4"/>
    </row>
    <row r="233" spans="1:28" ht="13.15" customHeight="1">
      <c r="A233" s="11">
        <v>219</v>
      </c>
      <c r="B233" s="14">
        <f t="shared" si="71"/>
        <v>45262</v>
      </c>
      <c r="C233" s="9">
        <f t="shared" si="72"/>
        <v>842</v>
      </c>
      <c r="D233" s="8">
        <f t="shared" si="63"/>
        <v>1615</v>
      </c>
      <c r="E233" s="7">
        <f t="shared" si="64"/>
        <v>949</v>
      </c>
      <c r="F233" s="7">
        <f t="shared" si="65"/>
        <v>935</v>
      </c>
      <c r="G233" s="7">
        <f t="shared" si="66"/>
        <v>811</v>
      </c>
      <c r="H233" s="4">
        <f t="shared" si="67"/>
        <v>1508</v>
      </c>
      <c r="I233" s="4">
        <f t="shared" si="68"/>
        <v>1522</v>
      </c>
      <c r="J233" s="4">
        <f t="shared" si="69"/>
        <v>1646</v>
      </c>
      <c r="K233" s="4">
        <f t="shared" si="73"/>
        <v>2000</v>
      </c>
      <c r="L233" s="4">
        <f t="shared" si="74"/>
        <v>2000</v>
      </c>
      <c r="M233" s="4">
        <f t="shared" si="75"/>
        <v>2000</v>
      </c>
      <c r="N233" s="4">
        <f t="shared" si="76"/>
        <v>-492</v>
      </c>
      <c r="O233" s="4">
        <f t="shared" si="77"/>
        <v>-478</v>
      </c>
      <c r="P233" s="4">
        <f t="shared" si="78"/>
        <v>-354</v>
      </c>
      <c r="Q233" s="7">
        <v>0</v>
      </c>
      <c r="R233" s="7">
        <v>0</v>
      </c>
      <c r="S233" s="7">
        <v>0</v>
      </c>
      <c r="T233" s="5">
        <f t="shared" si="70"/>
        <v>2145</v>
      </c>
      <c r="U233" s="6">
        <f t="shared" si="80"/>
        <v>288</v>
      </c>
      <c r="V233" s="6">
        <f t="shared" si="81"/>
        <v>312</v>
      </c>
      <c r="W233" s="6">
        <f t="shared" si="79"/>
        <v>446</v>
      </c>
      <c r="X233" s="5"/>
      <c r="Y233" s="4"/>
      <c r="Z233" s="4"/>
      <c r="AA233" s="4"/>
      <c r="AB233" s="4"/>
    </row>
    <row r="234" spans="1:28" ht="13.15" customHeight="1">
      <c r="A234" s="11">
        <v>220</v>
      </c>
      <c r="B234" s="14">
        <f t="shared" si="71"/>
        <v>45263</v>
      </c>
      <c r="C234" s="9">
        <f t="shared" si="72"/>
        <v>842</v>
      </c>
      <c r="D234" s="8">
        <f t="shared" si="63"/>
        <v>1617</v>
      </c>
      <c r="E234" s="7">
        <f t="shared" si="64"/>
        <v>951</v>
      </c>
      <c r="F234" s="7">
        <f t="shared" si="65"/>
        <v>937</v>
      </c>
      <c r="G234" s="7">
        <f t="shared" si="66"/>
        <v>813</v>
      </c>
      <c r="H234" s="4">
        <f t="shared" si="67"/>
        <v>1508</v>
      </c>
      <c r="I234" s="4">
        <f t="shared" si="68"/>
        <v>1522</v>
      </c>
      <c r="J234" s="4">
        <f t="shared" si="69"/>
        <v>1646</v>
      </c>
      <c r="K234" s="4">
        <f t="shared" si="73"/>
        <v>2000</v>
      </c>
      <c r="L234" s="4">
        <f t="shared" si="74"/>
        <v>2000</v>
      </c>
      <c r="M234" s="4">
        <f t="shared" si="75"/>
        <v>2000</v>
      </c>
      <c r="N234" s="4">
        <f t="shared" si="76"/>
        <v>-492</v>
      </c>
      <c r="O234" s="4">
        <f t="shared" si="77"/>
        <v>-478</v>
      </c>
      <c r="P234" s="4">
        <f t="shared" si="78"/>
        <v>-354</v>
      </c>
      <c r="Q234" s="7">
        <v>0</v>
      </c>
      <c r="R234" s="7">
        <v>0</v>
      </c>
      <c r="S234" s="7">
        <v>0</v>
      </c>
      <c r="T234" s="5">
        <f t="shared" si="70"/>
        <v>2147</v>
      </c>
      <c r="U234" s="6">
        <f t="shared" si="80"/>
        <v>288</v>
      </c>
      <c r="V234" s="6">
        <f t="shared" si="81"/>
        <v>312</v>
      </c>
      <c r="W234" s="6">
        <f t="shared" si="79"/>
        <v>446</v>
      </c>
      <c r="X234" s="5"/>
      <c r="Y234" s="4"/>
      <c r="Z234" s="4"/>
      <c r="AA234" s="4"/>
      <c r="AB234" s="4"/>
    </row>
    <row r="235" spans="1:28" ht="13.15" customHeight="1">
      <c r="A235" s="11">
        <v>221</v>
      </c>
      <c r="B235" s="14">
        <f t="shared" si="71"/>
        <v>45264</v>
      </c>
      <c r="C235" s="9">
        <f t="shared" si="72"/>
        <v>842</v>
      </c>
      <c r="D235" s="8">
        <f t="shared" si="63"/>
        <v>1619</v>
      </c>
      <c r="E235" s="7">
        <f t="shared" si="64"/>
        <v>953</v>
      </c>
      <c r="F235" s="7">
        <f t="shared" si="65"/>
        <v>939</v>
      </c>
      <c r="G235" s="7">
        <f t="shared" si="66"/>
        <v>815</v>
      </c>
      <c r="H235" s="4">
        <f t="shared" si="67"/>
        <v>1508</v>
      </c>
      <c r="I235" s="4">
        <f t="shared" si="68"/>
        <v>1522</v>
      </c>
      <c r="J235" s="4">
        <f t="shared" si="69"/>
        <v>1646</v>
      </c>
      <c r="K235" s="4">
        <f t="shared" si="73"/>
        <v>2000</v>
      </c>
      <c r="L235" s="4">
        <f t="shared" si="74"/>
        <v>2000</v>
      </c>
      <c r="M235" s="4">
        <f t="shared" si="75"/>
        <v>2000</v>
      </c>
      <c r="N235" s="4">
        <f t="shared" si="76"/>
        <v>-492</v>
      </c>
      <c r="O235" s="4">
        <f t="shared" si="77"/>
        <v>-478</v>
      </c>
      <c r="P235" s="4">
        <f t="shared" si="78"/>
        <v>-354</v>
      </c>
      <c r="Q235" s="7">
        <v>0</v>
      </c>
      <c r="R235" s="7">
        <v>0</v>
      </c>
      <c r="S235" s="7">
        <v>0</v>
      </c>
      <c r="T235" s="5">
        <f t="shared" si="70"/>
        <v>2149</v>
      </c>
      <c r="U235" s="6">
        <f t="shared" si="80"/>
        <v>288</v>
      </c>
      <c r="V235" s="6">
        <f t="shared" si="81"/>
        <v>312</v>
      </c>
      <c r="W235" s="6">
        <f t="shared" si="79"/>
        <v>446</v>
      </c>
      <c r="X235" s="5"/>
      <c r="Y235" s="4"/>
      <c r="Z235" s="4"/>
      <c r="AA235" s="4"/>
      <c r="AB235" s="4"/>
    </row>
    <row r="236" spans="1:28" ht="13.15" customHeight="1">
      <c r="A236" s="11">
        <v>222</v>
      </c>
      <c r="B236" s="14">
        <f t="shared" si="71"/>
        <v>45265</v>
      </c>
      <c r="C236" s="9">
        <f t="shared" si="72"/>
        <v>842</v>
      </c>
      <c r="D236" s="8">
        <f t="shared" si="63"/>
        <v>1621</v>
      </c>
      <c r="E236" s="7">
        <f t="shared" si="64"/>
        <v>955</v>
      </c>
      <c r="F236" s="7">
        <f t="shared" si="65"/>
        <v>941</v>
      </c>
      <c r="G236" s="7">
        <f t="shared" si="66"/>
        <v>817</v>
      </c>
      <c r="H236" s="4">
        <f t="shared" si="67"/>
        <v>1508</v>
      </c>
      <c r="I236" s="4">
        <f t="shared" si="68"/>
        <v>1522</v>
      </c>
      <c r="J236" s="4">
        <f t="shared" si="69"/>
        <v>1646</v>
      </c>
      <c r="K236" s="4">
        <f t="shared" si="73"/>
        <v>2000</v>
      </c>
      <c r="L236" s="4">
        <f t="shared" si="74"/>
        <v>2000</v>
      </c>
      <c r="M236" s="4">
        <f t="shared" si="75"/>
        <v>2000</v>
      </c>
      <c r="N236" s="4">
        <f t="shared" si="76"/>
        <v>-492</v>
      </c>
      <c r="O236" s="4">
        <f t="shared" si="77"/>
        <v>-478</v>
      </c>
      <c r="P236" s="4">
        <f t="shared" si="78"/>
        <v>-354</v>
      </c>
      <c r="Q236" s="7">
        <v>0</v>
      </c>
      <c r="R236" s="7">
        <v>0</v>
      </c>
      <c r="S236" s="7">
        <v>0</v>
      </c>
      <c r="T236" s="5">
        <f t="shared" si="70"/>
        <v>2151</v>
      </c>
      <c r="U236" s="6">
        <f t="shared" si="80"/>
        <v>288</v>
      </c>
      <c r="V236" s="6">
        <f t="shared" si="81"/>
        <v>312</v>
      </c>
      <c r="W236" s="6">
        <f t="shared" si="79"/>
        <v>446</v>
      </c>
      <c r="X236" s="5"/>
      <c r="Y236" s="4"/>
      <c r="Z236" s="4"/>
      <c r="AA236" s="4"/>
      <c r="AB236" s="4"/>
    </row>
    <row r="237" spans="1:28" ht="13.15" customHeight="1">
      <c r="A237" s="11">
        <v>223</v>
      </c>
      <c r="B237" s="14">
        <f t="shared" si="71"/>
        <v>45266</v>
      </c>
      <c r="C237" s="9">
        <f t="shared" si="72"/>
        <v>842</v>
      </c>
      <c r="D237" s="8">
        <f t="shared" si="63"/>
        <v>1623</v>
      </c>
      <c r="E237" s="7">
        <f t="shared" si="64"/>
        <v>957</v>
      </c>
      <c r="F237" s="7">
        <f t="shared" si="65"/>
        <v>943</v>
      </c>
      <c r="G237" s="7">
        <f t="shared" si="66"/>
        <v>819</v>
      </c>
      <c r="H237" s="4">
        <f t="shared" si="67"/>
        <v>1508</v>
      </c>
      <c r="I237" s="4">
        <f t="shared" si="68"/>
        <v>1522</v>
      </c>
      <c r="J237" s="4">
        <f t="shared" si="69"/>
        <v>1646</v>
      </c>
      <c r="K237" s="4">
        <f t="shared" si="73"/>
        <v>2000</v>
      </c>
      <c r="L237" s="4">
        <f t="shared" si="74"/>
        <v>2000</v>
      </c>
      <c r="M237" s="4">
        <f t="shared" si="75"/>
        <v>2000</v>
      </c>
      <c r="N237" s="4">
        <f t="shared" si="76"/>
        <v>-492</v>
      </c>
      <c r="O237" s="4">
        <f t="shared" si="77"/>
        <v>-478</v>
      </c>
      <c r="P237" s="4">
        <f t="shared" si="78"/>
        <v>-354</v>
      </c>
      <c r="Q237" s="7">
        <v>0</v>
      </c>
      <c r="R237" s="7">
        <v>0</v>
      </c>
      <c r="S237" s="7">
        <v>0</v>
      </c>
      <c r="T237" s="5">
        <f t="shared" si="70"/>
        <v>2153</v>
      </c>
      <c r="U237" s="6">
        <f t="shared" si="80"/>
        <v>288</v>
      </c>
      <c r="V237" s="6">
        <f t="shared" si="81"/>
        <v>312</v>
      </c>
      <c r="W237" s="6">
        <f t="shared" si="79"/>
        <v>446</v>
      </c>
      <c r="X237" s="5"/>
      <c r="Y237" s="4"/>
      <c r="Z237" s="4"/>
      <c r="AA237" s="4"/>
      <c r="AB237" s="4"/>
    </row>
    <row r="238" spans="1:28" ht="13.15" customHeight="1">
      <c r="A238" s="11">
        <v>224</v>
      </c>
      <c r="B238" s="14">
        <f t="shared" si="71"/>
        <v>45267</v>
      </c>
      <c r="C238" s="9">
        <f t="shared" si="72"/>
        <v>842</v>
      </c>
      <c r="D238" s="8">
        <f t="shared" si="63"/>
        <v>1625</v>
      </c>
      <c r="E238" s="7">
        <f t="shared" si="64"/>
        <v>959</v>
      </c>
      <c r="F238" s="7">
        <f t="shared" si="65"/>
        <v>945</v>
      </c>
      <c r="G238" s="7">
        <f t="shared" si="66"/>
        <v>821</v>
      </c>
      <c r="H238" s="4">
        <f t="shared" si="67"/>
        <v>1508</v>
      </c>
      <c r="I238" s="4">
        <f t="shared" si="68"/>
        <v>1522</v>
      </c>
      <c r="J238" s="4">
        <f t="shared" si="69"/>
        <v>1646</v>
      </c>
      <c r="K238" s="4">
        <f t="shared" si="73"/>
        <v>2000</v>
      </c>
      <c r="L238" s="4">
        <f t="shared" si="74"/>
        <v>2000</v>
      </c>
      <c r="M238" s="4">
        <f t="shared" si="75"/>
        <v>2000</v>
      </c>
      <c r="N238" s="4">
        <f t="shared" si="76"/>
        <v>-492</v>
      </c>
      <c r="O238" s="4">
        <f t="shared" si="77"/>
        <v>-478</v>
      </c>
      <c r="P238" s="4">
        <f t="shared" si="78"/>
        <v>-354</v>
      </c>
      <c r="Q238" s="7">
        <v>0</v>
      </c>
      <c r="R238" s="7">
        <v>0</v>
      </c>
      <c r="S238" s="7">
        <v>0</v>
      </c>
      <c r="T238" s="5">
        <f t="shared" si="70"/>
        <v>2155</v>
      </c>
      <c r="U238" s="6">
        <f t="shared" si="80"/>
        <v>288</v>
      </c>
      <c r="V238" s="6">
        <f t="shared" si="81"/>
        <v>312</v>
      </c>
      <c r="W238" s="6">
        <f t="shared" si="79"/>
        <v>446</v>
      </c>
      <c r="X238" s="5"/>
      <c r="Y238" s="4"/>
      <c r="Z238" s="4"/>
      <c r="AA238" s="4"/>
      <c r="AB238" s="4"/>
    </row>
    <row r="239" spans="1:28" ht="13.15" customHeight="1">
      <c r="A239" s="11">
        <v>225</v>
      </c>
      <c r="B239" s="14">
        <f t="shared" si="71"/>
        <v>45268</v>
      </c>
      <c r="C239" s="9">
        <f t="shared" si="72"/>
        <v>842</v>
      </c>
      <c r="D239" s="8">
        <f t="shared" si="63"/>
        <v>1627</v>
      </c>
      <c r="E239" s="7">
        <f t="shared" si="64"/>
        <v>961</v>
      </c>
      <c r="F239" s="7">
        <f t="shared" si="65"/>
        <v>947</v>
      </c>
      <c r="G239" s="7">
        <f t="shared" si="66"/>
        <v>823</v>
      </c>
      <c r="H239" s="4">
        <f t="shared" si="67"/>
        <v>1508</v>
      </c>
      <c r="I239" s="4">
        <f t="shared" si="68"/>
        <v>1522</v>
      </c>
      <c r="J239" s="4">
        <f t="shared" si="69"/>
        <v>1646</v>
      </c>
      <c r="K239" s="4">
        <f t="shared" si="73"/>
        <v>2000</v>
      </c>
      <c r="L239" s="4">
        <f t="shared" si="74"/>
        <v>2000</v>
      </c>
      <c r="M239" s="4">
        <f t="shared" si="75"/>
        <v>2000</v>
      </c>
      <c r="N239" s="4">
        <f t="shared" si="76"/>
        <v>-492</v>
      </c>
      <c r="O239" s="4">
        <f t="shared" si="77"/>
        <v>-478</v>
      </c>
      <c r="P239" s="4">
        <f t="shared" si="78"/>
        <v>-354</v>
      </c>
      <c r="Q239" s="7">
        <v>0</v>
      </c>
      <c r="R239" s="7">
        <v>0</v>
      </c>
      <c r="S239" s="7">
        <v>0</v>
      </c>
      <c r="T239" s="5">
        <f t="shared" si="70"/>
        <v>2157</v>
      </c>
      <c r="U239" s="6">
        <f t="shared" si="80"/>
        <v>288</v>
      </c>
      <c r="V239" s="6">
        <f t="shared" si="81"/>
        <v>312</v>
      </c>
      <c r="W239" s="6">
        <f t="shared" si="79"/>
        <v>446</v>
      </c>
      <c r="X239" s="5"/>
      <c r="Y239" s="4"/>
      <c r="Z239" s="4"/>
      <c r="AA239" s="4"/>
      <c r="AB239" s="4"/>
    </row>
    <row r="240" spans="1:28" ht="13.15" customHeight="1">
      <c r="A240" s="11">
        <v>226</v>
      </c>
      <c r="B240" s="14">
        <f t="shared" si="71"/>
        <v>45269</v>
      </c>
      <c r="C240" s="9">
        <f t="shared" si="72"/>
        <v>842</v>
      </c>
      <c r="D240" s="8">
        <f t="shared" si="63"/>
        <v>1629</v>
      </c>
      <c r="E240" s="7">
        <f t="shared" si="64"/>
        <v>963</v>
      </c>
      <c r="F240" s="7">
        <f t="shared" si="65"/>
        <v>949</v>
      </c>
      <c r="G240" s="7">
        <f t="shared" si="66"/>
        <v>825</v>
      </c>
      <c r="H240" s="4">
        <f t="shared" si="67"/>
        <v>1508</v>
      </c>
      <c r="I240" s="4">
        <f t="shared" si="68"/>
        <v>1522</v>
      </c>
      <c r="J240" s="4">
        <f t="shared" si="69"/>
        <v>1646</v>
      </c>
      <c r="K240" s="4">
        <f t="shared" si="73"/>
        <v>2000</v>
      </c>
      <c r="L240" s="4">
        <f t="shared" si="74"/>
        <v>2000</v>
      </c>
      <c r="M240" s="4">
        <f t="shared" si="75"/>
        <v>2000</v>
      </c>
      <c r="N240" s="4">
        <f t="shared" si="76"/>
        <v>-492</v>
      </c>
      <c r="O240" s="4">
        <f t="shared" si="77"/>
        <v>-478</v>
      </c>
      <c r="P240" s="4">
        <f t="shared" si="78"/>
        <v>-354</v>
      </c>
      <c r="Q240" s="7">
        <v>0</v>
      </c>
      <c r="R240" s="7">
        <v>0</v>
      </c>
      <c r="S240" s="7">
        <v>0</v>
      </c>
      <c r="T240" s="5">
        <f t="shared" si="70"/>
        <v>2159</v>
      </c>
      <c r="U240" s="6">
        <f t="shared" si="80"/>
        <v>288</v>
      </c>
      <c r="V240" s="6">
        <f t="shared" si="81"/>
        <v>312</v>
      </c>
      <c r="W240" s="6">
        <f t="shared" si="79"/>
        <v>446</v>
      </c>
      <c r="X240" s="5"/>
      <c r="Y240" s="4"/>
      <c r="Z240" s="4"/>
      <c r="AA240" s="4"/>
      <c r="AB240" s="4"/>
    </row>
    <row r="241" spans="1:28" ht="13.15" customHeight="1">
      <c r="A241" s="11">
        <v>227</v>
      </c>
      <c r="B241" s="14">
        <f t="shared" si="71"/>
        <v>45270</v>
      </c>
      <c r="C241" s="9">
        <f t="shared" si="72"/>
        <v>842</v>
      </c>
      <c r="D241" s="8">
        <f t="shared" si="63"/>
        <v>1631</v>
      </c>
      <c r="E241" s="7">
        <f t="shared" si="64"/>
        <v>965</v>
      </c>
      <c r="F241" s="7">
        <f t="shared" si="65"/>
        <v>951</v>
      </c>
      <c r="G241" s="7">
        <f t="shared" si="66"/>
        <v>827</v>
      </c>
      <c r="H241" s="4">
        <f t="shared" si="67"/>
        <v>1508</v>
      </c>
      <c r="I241" s="4">
        <f t="shared" si="68"/>
        <v>1522</v>
      </c>
      <c r="J241" s="4">
        <f t="shared" si="69"/>
        <v>1646</v>
      </c>
      <c r="K241" s="4">
        <f t="shared" si="73"/>
        <v>2000</v>
      </c>
      <c r="L241" s="4">
        <f t="shared" si="74"/>
        <v>2000</v>
      </c>
      <c r="M241" s="4">
        <f t="shared" si="75"/>
        <v>2000</v>
      </c>
      <c r="N241" s="4">
        <f t="shared" si="76"/>
        <v>-492</v>
      </c>
      <c r="O241" s="4">
        <f t="shared" si="77"/>
        <v>-478</v>
      </c>
      <c r="P241" s="4">
        <f t="shared" si="78"/>
        <v>-354</v>
      </c>
      <c r="Q241" s="7">
        <v>0</v>
      </c>
      <c r="R241" s="7">
        <v>0</v>
      </c>
      <c r="S241" s="7">
        <v>0</v>
      </c>
      <c r="T241" s="5">
        <f t="shared" si="70"/>
        <v>2161</v>
      </c>
      <c r="U241" s="6">
        <f t="shared" si="80"/>
        <v>288</v>
      </c>
      <c r="V241" s="6">
        <f t="shared" si="81"/>
        <v>312</v>
      </c>
      <c r="W241" s="6">
        <f t="shared" si="79"/>
        <v>446</v>
      </c>
      <c r="X241" s="5"/>
      <c r="Y241" s="4"/>
      <c r="Z241" s="4"/>
      <c r="AA241" s="4"/>
      <c r="AB241" s="4"/>
    </row>
    <row r="242" spans="1:28" ht="13.15" customHeight="1">
      <c r="A242" s="11">
        <v>228</v>
      </c>
      <c r="B242" s="14">
        <f t="shared" si="71"/>
        <v>45271</v>
      </c>
      <c r="C242" s="9">
        <f t="shared" si="72"/>
        <v>842</v>
      </c>
      <c r="D242" s="8">
        <f t="shared" si="63"/>
        <v>1633</v>
      </c>
      <c r="E242" s="7">
        <f t="shared" si="64"/>
        <v>967</v>
      </c>
      <c r="F242" s="7">
        <f t="shared" si="65"/>
        <v>953</v>
      </c>
      <c r="G242" s="7">
        <f t="shared" si="66"/>
        <v>829</v>
      </c>
      <c r="H242" s="4">
        <f t="shared" si="67"/>
        <v>1508</v>
      </c>
      <c r="I242" s="4">
        <f t="shared" si="68"/>
        <v>1522</v>
      </c>
      <c r="J242" s="4">
        <f t="shared" si="69"/>
        <v>1646</v>
      </c>
      <c r="K242" s="4">
        <f t="shared" si="73"/>
        <v>2000</v>
      </c>
      <c r="L242" s="4">
        <f t="shared" si="74"/>
        <v>2000</v>
      </c>
      <c r="M242" s="4">
        <f t="shared" si="75"/>
        <v>2000</v>
      </c>
      <c r="N242" s="4">
        <f t="shared" si="76"/>
        <v>-492</v>
      </c>
      <c r="O242" s="4">
        <f t="shared" si="77"/>
        <v>-478</v>
      </c>
      <c r="P242" s="4">
        <f t="shared" si="78"/>
        <v>-354</v>
      </c>
      <c r="Q242" s="7">
        <v>0</v>
      </c>
      <c r="R242" s="7">
        <v>0</v>
      </c>
      <c r="S242" s="7">
        <v>0</v>
      </c>
      <c r="T242" s="5">
        <f t="shared" si="70"/>
        <v>2163</v>
      </c>
      <c r="U242" s="6">
        <f t="shared" si="80"/>
        <v>288</v>
      </c>
      <c r="V242" s="6">
        <f t="shared" si="81"/>
        <v>312</v>
      </c>
      <c r="W242" s="6">
        <f t="shared" si="79"/>
        <v>446</v>
      </c>
      <c r="X242" s="5"/>
      <c r="Y242" s="4"/>
      <c r="Z242" s="4"/>
      <c r="AA242" s="4"/>
      <c r="AB242" s="4"/>
    </row>
    <row r="243" spans="1:28" ht="13.15" customHeight="1">
      <c r="A243" s="11">
        <v>229</v>
      </c>
      <c r="B243" s="14">
        <f t="shared" si="71"/>
        <v>45272</v>
      </c>
      <c r="C243" s="9">
        <f t="shared" si="72"/>
        <v>842</v>
      </c>
      <c r="D243" s="8">
        <f t="shared" si="63"/>
        <v>1635</v>
      </c>
      <c r="E243" s="7">
        <f t="shared" si="64"/>
        <v>969</v>
      </c>
      <c r="F243" s="7">
        <f t="shared" si="65"/>
        <v>955</v>
      </c>
      <c r="G243" s="7">
        <f t="shared" si="66"/>
        <v>831</v>
      </c>
      <c r="H243" s="4">
        <f t="shared" si="67"/>
        <v>1508</v>
      </c>
      <c r="I243" s="4">
        <f t="shared" si="68"/>
        <v>1522</v>
      </c>
      <c r="J243" s="4">
        <f t="shared" si="69"/>
        <v>1646</v>
      </c>
      <c r="K243" s="4">
        <f t="shared" si="73"/>
        <v>2000</v>
      </c>
      <c r="L243" s="4">
        <f t="shared" si="74"/>
        <v>2000</v>
      </c>
      <c r="M243" s="4">
        <f t="shared" si="75"/>
        <v>2000</v>
      </c>
      <c r="N243" s="4">
        <f t="shared" si="76"/>
        <v>-492</v>
      </c>
      <c r="O243" s="4">
        <f t="shared" si="77"/>
        <v>-478</v>
      </c>
      <c r="P243" s="4">
        <f t="shared" si="78"/>
        <v>-354</v>
      </c>
      <c r="Q243" s="7">
        <v>0</v>
      </c>
      <c r="R243" s="7">
        <v>0</v>
      </c>
      <c r="S243" s="7">
        <v>0</v>
      </c>
      <c r="T243" s="5">
        <f t="shared" si="70"/>
        <v>2165</v>
      </c>
      <c r="U243" s="6">
        <f t="shared" si="80"/>
        <v>288</v>
      </c>
      <c r="V243" s="6">
        <f t="shared" si="81"/>
        <v>312</v>
      </c>
      <c r="W243" s="6">
        <f t="shared" si="79"/>
        <v>446</v>
      </c>
      <c r="X243" s="5"/>
      <c r="Y243" s="4"/>
      <c r="Z243" s="4"/>
      <c r="AA243" s="4"/>
      <c r="AB243" s="4"/>
    </row>
    <row r="244" spans="1:28" ht="13.15" customHeight="1">
      <c r="A244" s="11">
        <v>230</v>
      </c>
      <c r="B244" s="14">
        <f t="shared" si="71"/>
        <v>45273</v>
      </c>
      <c r="C244" s="9">
        <f t="shared" si="72"/>
        <v>842</v>
      </c>
      <c r="D244" s="8">
        <f t="shared" si="63"/>
        <v>1637</v>
      </c>
      <c r="E244" s="7">
        <f t="shared" si="64"/>
        <v>971</v>
      </c>
      <c r="F244" s="7">
        <f t="shared" si="65"/>
        <v>957</v>
      </c>
      <c r="G244" s="7">
        <f t="shared" si="66"/>
        <v>833</v>
      </c>
      <c r="H244" s="4">
        <f t="shared" si="67"/>
        <v>1508</v>
      </c>
      <c r="I244" s="4">
        <f t="shared" si="68"/>
        <v>1522</v>
      </c>
      <c r="J244" s="4">
        <f t="shared" si="69"/>
        <v>1646</v>
      </c>
      <c r="K244" s="4">
        <f t="shared" si="73"/>
        <v>2000</v>
      </c>
      <c r="L244" s="4">
        <f t="shared" si="74"/>
        <v>2000</v>
      </c>
      <c r="M244" s="4">
        <f t="shared" si="75"/>
        <v>2000</v>
      </c>
      <c r="N244" s="4">
        <f t="shared" si="76"/>
        <v>-492</v>
      </c>
      <c r="O244" s="4">
        <f t="shared" si="77"/>
        <v>-478</v>
      </c>
      <c r="P244" s="4">
        <f t="shared" si="78"/>
        <v>-354</v>
      </c>
      <c r="Q244" s="7">
        <v>0</v>
      </c>
      <c r="R244" s="7">
        <v>0</v>
      </c>
      <c r="S244" s="7">
        <v>0</v>
      </c>
      <c r="T244" s="5">
        <f t="shared" si="70"/>
        <v>2167</v>
      </c>
      <c r="U244" s="6">
        <f t="shared" si="80"/>
        <v>288</v>
      </c>
      <c r="V244" s="6">
        <f t="shared" si="81"/>
        <v>312</v>
      </c>
      <c r="W244" s="6">
        <f t="shared" si="79"/>
        <v>446</v>
      </c>
      <c r="X244" s="5"/>
      <c r="Y244" s="4"/>
      <c r="Z244" s="4"/>
      <c r="AA244" s="4"/>
      <c r="AB244" s="4"/>
    </row>
    <row r="245" spans="1:28" ht="13.15" customHeight="1">
      <c r="A245" s="11">
        <v>231</v>
      </c>
      <c r="B245" s="14">
        <f t="shared" si="71"/>
        <v>45274</v>
      </c>
      <c r="C245" s="9">
        <f t="shared" si="72"/>
        <v>842</v>
      </c>
      <c r="D245" s="8">
        <f t="shared" si="63"/>
        <v>1639</v>
      </c>
      <c r="E245" s="7">
        <f t="shared" si="64"/>
        <v>973</v>
      </c>
      <c r="F245" s="7">
        <f t="shared" si="65"/>
        <v>959</v>
      </c>
      <c r="G245" s="7">
        <f t="shared" si="66"/>
        <v>835</v>
      </c>
      <c r="H245" s="4">
        <f t="shared" si="67"/>
        <v>1508</v>
      </c>
      <c r="I245" s="4">
        <f t="shared" si="68"/>
        <v>1522</v>
      </c>
      <c r="J245" s="4">
        <f t="shared" si="69"/>
        <v>1646</v>
      </c>
      <c r="K245" s="4">
        <f t="shared" si="73"/>
        <v>2000</v>
      </c>
      <c r="L245" s="4">
        <f t="shared" si="74"/>
        <v>2000</v>
      </c>
      <c r="M245" s="4">
        <f t="shared" si="75"/>
        <v>2000</v>
      </c>
      <c r="N245" s="4">
        <f t="shared" si="76"/>
        <v>-492</v>
      </c>
      <c r="O245" s="4">
        <f t="shared" si="77"/>
        <v>-478</v>
      </c>
      <c r="P245" s="4">
        <f t="shared" si="78"/>
        <v>-354</v>
      </c>
      <c r="Q245" s="7">
        <v>0</v>
      </c>
      <c r="R245" s="7">
        <v>0</v>
      </c>
      <c r="S245" s="7">
        <v>0</v>
      </c>
      <c r="T245" s="5">
        <f t="shared" si="70"/>
        <v>2169</v>
      </c>
      <c r="U245" s="6">
        <f t="shared" si="80"/>
        <v>288</v>
      </c>
      <c r="V245" s="6">
        <f t="shared" si="81"/>
        <v>312</v>
      </c>
      <c r="W245" s="6">
        <f t="shared" si="79"/>
        <v>446</v>
      </c>
      <c r="X245" s="5"/>
      <c r="Y245" s="4"/>
      <c r="Z245" s="4"/>
      <c r="AA245" s="4"/>
      <c r="AB245" s="4"/>
    </row>
    <row r="246" spans="1:28" ht="13.15" customHeight="1">
      <c r="A246" s="11">
        <v>232</v>
      </c>
      <c r="B246" s="14">
        <f t="shared" si="71"/>
        <v>45275</v>
      </c>
      <c r="C246" s="9">
        <f t="shared" si="72"/>
        <v>842</v>
      </c>
      <c r="D246" s="8">
        <f t="shared" si="63"/>
        <v>1641</v>
      </c>
      <c r="E246" s="7">
        <f t="shared" si="64"/>
        <v>975</v>
      </c>
      <c r="F246" s="7">
        <f t="shared" si="65"/>
        <v>961</v>
      </c>
      <c r="G246" s="7">
        <f t="shared" si="66"/>
        <v>837</v>
      </c>
      <c r="H246" s="4">
        <f t="shared" si="67"/>
        <v>1508</v>
      </c>
      <c r="I246" s="4">
        <f t="shared" si="68"/>
        <v>1522</v>
      </c>
      <c r="J246" s="4">
        <f t="shared" si="69"/>
        <v>1646</v>
      </c>
      <c r="K246" s="4">
        <f t="shared" si="73"/>
        <v>2000</v>
      </c>
      <c r="L246" s="4">
        <f t="shared" si="74"/>
        <v>2000</v>
      </c>
      <c r="M246" s="4">
        <f t="shared" si="75"/>
        <v>2000</v>
      </c>
      <c r="N246" s="4">
        <f t="shared" si="76"/>
        <v>-492</v>
      </c>
      <c r="O246" s="4">
        <f t="shared" si="77"/>
        <v>-478</v>
      </c>
      <c r="P246" s="4">
        <f t="shared" si="78"/>
        <v>-354</v>
      </c>
      <c r="Q246" s="7">
        <v>0</v>
      </c>
      <c r="R246" s="7">
        <v>0</v>
      </c>
      <c r="S246" s="7">
        <v>0</v>
      </c>
      <c r="T246" s="5">
        <f t="shared" si="70"/>
        <v>2171</v>
      </c>
      <c r="U246" s="6">
        <f t="shared" si="80"/>
        <v>288</v>
      </c>
      <c r="V246" s="6">
        <f t="shared" si="81"/>
        <v>312</v>
      </c>
      <c r="W246" s="6">
        <f t="shared" si="79"/>
        <v>446</v>
      </c>
      <c r="X246" s="5"/>
      <c r="Y246" s="4"/>
      <c r="Z246" s="4"/>
      <c r="AA246" s="4"/>
      <c r="AB246" s="4"/>
    </row>
    <row r="247" spans="1:28" ht="13.15" customHeight="1">
      <c r="A247" s="11">
        <v>233</v>
      </c>
      <c r="B247" s="14">
        <f t="shared" si="71"/>
        <v>45276</v>
      </c>
      <c r="C247" s="9">
        <f t="shared" si="72"/>
        <v>842</v>
      </c>
      <c r="D247" s="8">
        <f t="shared" si="63"/>
        <v>1643</v>
      </c>
      <c r="E247" s="7">
        <f t="shared" si="64"/>
        <v>977</v>
      </c>
      <c r="F247" s="7">
        <f t="shared" si="65"/>
        <v>963</v>
      </c>
      <c r="G247" s="7">
        <f t="shared" si="66"/>
        <v>839</v>
      </c>
      <c r="H247" s="4">
        <f t="shared" si="67"/>
        <v>1508</v>
      </c>
      <c r="I247" s="4">
        <f t="shared" si="68"/>
        <v>1522</v>
      </c>
      <c r="J247" s="4">
        <f t="shared" si="69"/>
        <v>1646</v>
      </c>
      <c r="K247" s="4">
        <f t="shared" si="73"/>
        <v>2000</v>
      </c>
      <c r="L247" s="4">
        <f t="shared" si="74"/>
        <v>2000</v>
      </c>
      <c r="M247" s="4">
        <f t="shared" si="75"/>
        <v>2000</v>
      </c>
      <c r="N247" s="4">
        <f t="shared" si="76"/>
        <v>-492</v>
      </c>
      <c r="O247" s="4">
        <f t="shared" si="77"/>
        <v>-478</v>
      </c>
      <c r="P247" s="4">
        <f t="shared" si="78"/>
        <v>-354</v>
      </c>
      <c r="Q247" s="7">
        <v>0</v>
      </c>
      <c r="R247" s="7">
        <v>0</v>
      </c>
      <c r="S247" s="7">
        <v>0</v>
      </c>
      <c r="T247" s="5">
        <f t="shared" si="70"/>
        <v>2173</v>
      </c>
      <c r="U247" s="6">
        <f t="shared" si="80"/>
        <v>288</v>
      </c>
      <c r="V247" s="6">
        <f t="shared" si="81"/>
        <v>312</v>
      </c>
      <c r="W247" s="6">
        <f t="shared" si="79"/>
        <v>446</v>
      </c>
      <c r="X247" s="5"/>
      <c r="Y247" s="4"/>
      <c r="Z247" s="4"/>
      <c r="AA247" s="4"/>
      <c r="AB247" s="4"/>
    </row>
    <row r="248" spans="1:28" ht="13.15" customHeight="1">
      <c r="A248" s="11">
        <v>234</v>
      </c>
      <c r="B248" s="14">
        <f t="shared" si="71"/>
        <v>45277</v>
      </c>
      <c r="C248" s="9">
        <f t="shared" si="72"/>
        <v>842</v>
      </c>
      <c r="D248" s="8">
        <f t="shared" si="63"/>
        <v>1645</v>
      </c>
      <c r="E248" s="7">
        <f t="shared" si="64"/>
        <v>979</v>
      </c>
      <c r="F248" s="7">
        <f t="shared" si="65"/>
        <v>965</v>
      </c>
      <c r="G248" s="7">
        <f t="shared" si="66"/>
        <v>841</v>
      </c>
      <c r="H248" s="4">
        <f t="shared" si="67"/>
        <v>1508</v>
      </c>
      <c r="I248" s="4">
        <f t="shared" si="68"/>
        <v>1522</v>
      </c>
      <c r="J248" s="4">
        <f t="shared" si="69"/>
        <v>1646</v>
      </c>
      <c r="K248" s="4">
        <f t="shared" si="73"/>
        <v>2000</v>
      </c>
      <c r="L248" s="4">
        <f t="shared" si="74"/>
        <v>2000</v>
      </c>
      <c r="M248" s="4">
        <f t="shared" si="75"/>
        <v>2000</v>
      </c>
      <c r="N248" s="4">
        <f t="shared" si="76"/>
        <v>-492</v>
      </c>
      <c r="O248" s="4">
        <f t="shared" si="77"/>
        <v>-478</v>
      </c>
      <c r="P248" s="4">
        <f t="shared" si="78"/>
        <v>-354</v>
      </c>
      <c r="Q248" s="7">
        <v>0</v>
      </c>
      <c r="R248" s="7">
        <v>0</v>
      </c>
      <c r="S248" s="7">
        <v>0</v>
      </c>
      <c r="T248" s="5">
        <f t="shared" si="70"/>
        <v>2175</v>
      </c>
      <c r="U248" s="6">
        <f t="shared" si="80"/>
        <v>288</v>
      </c>
      <c r="V248" s="6">
        <f t="shared" si="81"/>
        <v>312</v>
      </c>
      <c r="W248" s="6">
        <f t="shared" si="79"/>
        <v>446</v>
      </c>
      <c r="X248" s="5"/>
      <c r="Y248" s="4"/>
      <c r="Z248" s="4"/>
      <c r="AA248" s="4"/>
      <c r="AB248" s="4"/>
    </row>
    <row r="249" spans="1:28" ht="13.15" customHeight="1">
      <c r="A249" s="11">
        <v>235</v>
      </c>
      <c r="B249" s="14">
        <f t="shared" si="71"/>
        <v>45278</v>
      </c>
      <c r="C249" s="9">
        <f t="shared" si="72"/>
        <v>842</v>
      </c>
      <c r="D249" s="8">
        <f t="shared" si="63"/>
        <v>1647</v>
      </c>
      <c r="E249" s="7">
        <f t="shared" si="64"/>
        <v>981</v>
      </c>
      <c r="F249" s="7">
        <f t="shared" si="65"/>
        <v>967</v>
      </c>
      <c r="G249" s="7">
        <f t="shared" si="66"/>
        <v>843</v>
      </c>
      <c r="H249" s="4">
        <f t="shared" si="67"/>
        <v>1508</v>
      </c>
      <c r="I249" s="4">
        <f t="shared" si="68"/>
        <v>1522</v>
      </c>
      <c r="J249" s="4">
        <f t="shared" si="69"/>
        <v>1646</v>
      </c>
      <c r="K249" s="4">
        <f t="shared" si="73"/>
        <v>2000</v>
      </c>
      <c r="L249" s="4">
        <f t="shared" si="74"/>
        <v>2000</v>
      </c>
      <c r="M249" s="4">
        <f t="shared" si="75"/>
        <v>2000</v>
      </c>
      <c r="N249" s="4">
        <f t="shared" si="76"/>
        <v>-492</v>
      </c>
      <c r="O249" s="4">
        <f t="shared" si="77"/>
        <v>-478</v>
      </c>
      <c r="P249" s="4">
        <f t="shared" si="78"/>
        <v>-354</v>
      </c>
      <c r="Q249" s="7">
        <v>0</v>
      </c>
      <c r="R249" s="7">
        <v>0</v>
      </c>
      <c r="S249" s="7">
        <v>0</v>
      </c>
      <c r="T249" s="5">
        <f t="shared" si="70"/>
        <v>2177</v>
      </c>
      <c r="U249" s="6">
        <f t="shared" si="80"/>
        <v>288</v>
      </c>
      <c r="V249" s="6">
        <f t="shared" si="81"/>
        <v>312</v>
      </c>
      <c r="W249" s="6">
        <f t="shared" si="79"/>
        <v>446</v>
      </c>
      <c r="X249" s="5"/>
      <c r="Y249" s="4"/>
      <c r="Z249" s="4"/>
      <c r="AA249" s="4"/>
      <c r="AB249" s="4"/>
    </row>
    <row r="250" spans="1:28" ht="13.15" customHeight="1">
      <c r="A250" s="11">
        <v>236</v>
      </c>
      <c r="B250" s="14">
        <f t="shared" si="71"/>
        <v>45279</v>
      </c>
      <c r="C250" s="9">
        <f t="shared" si="72"/>
        <v>842</v>
      </c>
      <c r="D250" s="8">
        <f t="shared" si="63"/>
        <v>1649</v>
      </c>
      <c r="E250" s="7">
        <f t="shared" si="64"/>
        <v>983</v>
      </c>
      <c r="F250" s="7">
        <f t="shared" si="65"/>
        <v>969</v>
      </c>
      <c r="G250" s="7">
        <f t="shared" si="66"/>
        <v>845</v>
      </c>
      <c r="H250" s="4">
        <f t="shared" si="67"/>
        <v>1508</v>
      </c>
      <c r="I250" s="4">
        <f t="shared" si="68"/>
        <v>1522</v>
      </c>
      <c r="J250" s="4">
        <f t="shared" si="69"/>
        <v>1646</v>
      </c>
      <c r="K250" s="4">
        <f t="shared" si="73"/>
        <v>2000</v>
      </c>
      <c r="L250" s="4">
        <f t="shared" si="74"/>
        <v>2000</v>
      </c>
      <c r="M250" s="4">
        <f t="shared" si="75"/>
        <v>2000</v>
      </c>
      <c r="N250" s="4">
        <f t="shared" si="76"/>
        <v>-492</v>
      </c>
      <c r="O250" s="4">
        <f t="shared" si="77"/>
        <v>-478</v>
      </c>
      <c r="P250" s="4">
        <f t="shared" si="78"/>
        <v>-354</v>
      </c>
      <c r="Q250" s="7">
        <v>0</v>
      </c>
      <c r="R250" s="7">
        <v>0</v>
      </c>
      <c r="S250" s="7">
        <v>0</v>
      </c>
      <c r="T250" s="5">
        <f t="shared" si="70"/>
        <v>2179</v>
      </c>
      <c r="U250" s="6">
        <f t="shared" si="80"/>
        <v>288</v>
      </c>
      <c r="V250" s="6">
        <f t="shared" si="81"/>
        <v>312</v>
      </c>
      <c r="W250" s="6">
        <f t="shared" si="79"/>
        <v>446</v>
      </c>
      <c r="X250" s="5"/>
      <c r="Y250" s="4"/>
      <c r="Z250" s="4"/>
      <c r="AA250" s="4"/>
      <c r="AB250" s="4"/>
    </row>
    <row r="251" spans="1:28" ht="13.15" customHeight="1">
      <c r="A251" s="11">
        <v>237</v>
      </c>
      <c r="B251" s="14">
        <f t="shared" si="71"/>
        <v>45280</v>
      </c>
      <c r="C251" s="9">
        <f t="shared" si="72"/>
        <v>842</v>
      </c>
      <c r="D251" s="8">
        <f t="shared" si="63"/>
        <v>1651</v>
      </c>
      <c r="E251" s="7">
        <f t="shared" si="64"/>
        <v>985</v>
      </c>
      <c r="F251" s="7">
        <f t="shared" si="65"/>
        <v>971</v>
      </c>
      <c r="G251" s="7">
        <f t="shared" si="66"/>
        <v>847</v>
      </c>
      <c r="H251" s="4">
        <f t="shared" si="67"/>
        <v>1508</v>
      </c>
      <c r="I251" s="4">
        <f t="shared" si="68"/>
        <v>1522</v>
      </c>
      <c r="J251" s="4">
        <f t="shared" si="69"/>
        <v>1646</v>
      </c>
      <c r="K251" s="4">
        <f t="shared" si="73"/>
        <v>2000</v>
      </c>
      <c r="L251" s="4">
        <f t="shared" si="74"/>
        <v>2000</v>
      </c>
      <c r="M251" s="4">
        <f t="shared" si="75"/>
        <v>2000</v>
      </c>
      <c r="N251" s="4">
        <f t="shared" si="76"/>
        <v>-492</v>
      </c>
      <c r="O251" s="4">
        <f t="shared" si="77"/>
        <v>-478</v>
      </c>
      <c r="P251" s="4">
        <f t="shared" si="78"/>
        <v>-354</v>
      </c>
      <c r="Q251" s="7">
        <v>0</v>
      </c>
      <c r="R251" s="7">
        <v>0</v>
      </c>
      <c r="S251" s="7">
        <v>0</v>
      </c>
      <c r="T251" s="5">
        <f t="shared" si="70"/>
        <v>2181</v>
      </c>
      <c r="U251" s="6">
        <f t="shared" si="80"/>
        <v>288</v>
      </c>
      <c r="V251" s="6">
        <f t="shared" si="81"/>
        <v>312</v>
      </c>
      <c r="W251" s="6">
        <f t="shared" si="79"/>
        <v>446</v>
      </c>
      <c r="X251" s="5"/>
      <c r="Y251" s="4"/>
      <c r="Z251" s="4"/>
      <c r="AA251" s="4"/>
      <c r="AB251" s="4"/>
    </row>
    <row r="252" spans="1:28" ht="13.15" customHeight="1">
      <c r="A252" s="11">
        <v>238</v>
      </c>
      <c r="B252" s="14">
        <f t="shared" si="71"/>
        <v>45281</v>
      </c>
      <c r="C252" s="9">
        <f t="shared" si="72"/>
        <v>842</v>
      </c>
      <c r="D252" s="8">
        <f t="shared" si="63"/>
        <v>1653</v>
      </c>
      <c r="E252" s="7">
        <f t="shared" si="64"/>
        <v>987</v>
      </c>
      <c r="F252" s="7">
        <f t="shared" si="65"/>
        <v>973</v>
      </c>
      <c r="G252" s="7">
        <f t="shared" si="66"/>
        <v>849</v>
      </c>
      <c r="H252" s="4">
        <f t="shared" si="67"/>
        <v>1508</v>
      </c>
      <c r="I252" s="4">
        <f t="shared" si="68"/>
        <v>1522</v>
      </c>
      <c r="J252" s="4">
        <f t="shared" si="69"/>
        <v>1646</v>
      </c>
      <c r="K252" s="4">
        <f t="shared" si="73"/>
        <v>2000</v>
      </c>
      <c r="L252" s="4">
        <f t="shared" si="74"/>
        <v>2000</v>
      </c>
      <c r="M252" s="4">
        <f t="shared" si="75"/>
        <v>2000</v>
      </c>
      <c r="N252" s="4">
        <f t="shared" si="76"/>
        <v>-492</v>
      </c>
      <c r="O252" s="4">
        <f t="shared" si="77"/>
        <v>-478</v>
      </c>
      <c r="P252" s="4">
        <f t="shared" si="78"/>
        <v>-354</v>
      </c>
      <c r="Q252" s="7">
        <v>0</v>
      </c>
      <c r="R252" s="7">
        <v>0</v>
      </c>
      <c r="S252" s="7">
        <v>0</v>
      </c>
      <c r="T252" s="5">
        <f t="shared" si="70"/>
        <v>2183</v>
      </c>
      <c r="U252" s="6">
        <f t="shared" si="80"/>
        <v>288</v>
      </c>
      <c r="V252" s="6">
        <f t="shared" si="81"/>
        <v>312</v>
      </c>
      <c r="W252" s="6">
        <f t="shared" si="79"/>
        <v>446</v>
      </c>
      <c r="X252" s="5"/>
      <c r="Y252" s="4"/>
      <c r="Z252" s="4"/>
      <c r="AA252" s="4"/>
      <c r="AB252" s="4"/>
    </row>
    <row r="253" spans="1:28" ht="13.15" customHeight="1">
      <c r="A253" s="11">
        <v>239</v>
      </c>
      <c r="B253" s="14">
        <f t="shared" si="71"/>
        <v>45282</v>
      </c>
      <c r="C253" s="9">
        <f t="shared" si="72"/>
        <v>842</v>
      </c>
      <c r="D253" s="8">
        <f t="shared" si="63"/>
        <v>1655</v>
      </c>
      <c r="E253" s="7">
        <f t="shared" si="64"/>
        <v>989</v>
      </c>
      <c r="F253" s="7">
        <f t="shared" si="65"/>
        <v>975</v>
      </c>
      <c r="G253" s="7">
        <f t="shared" si="66"/>
        <v>851</v>
      </c>
      <c r="H253" s="4">
        <f t="shared" si="67"/>
        <v>1508</v>
      </c>
      <c r="I253" s="4">
        <f t="shared" si="68"/>
        <v>1522</v>
      </c>
      <c r="J253" s="4">
        <f t="shared" si="69"/>
        <v>1646</v>
      </c>
      <c r="K253" s="4">
        <f t="shared" si="73"/>
        <v>2000</v>
      </c>
      <c r="L253" s="4">
        <f t="shared" si="74"/>
        <v>2000</v>
      </c>
      <c r="M253" s="4">
        <f t="shared" si="75"/>
        <v>2000</v>
      </c>
      <c r="N253" s="4">
        <f t="shared" si="76"/>
        <v>-492</v>
      </c>
      <c r="O253" s="4">
        <f t="shared" si="77"/>
        <v>-478</v>
      </c>
      <c r="P253" s="4">
        <f t="shared" si="78"/>
        <v>-354</v>
      </c>
      <c r="Q253" s="7">
        <v>0</v>
      </c>
      <c r="R253" s="7">
        <v>0</v>
      </c>
      <c r="S253" s="7">
        <v>0</v>
      </c>
      <c r="T253" s="5">
        <f t="shared" si="70"/>
        <v>2185</v>
      </c>
      <c r="U253" s="6">
        <f t="shared" si="80"/>
        <v>288</v>
      </c>
      <c r="V253" s="6">
        <f t="shared" si="81"/>
        <v>312</v>
      </c>
      <c r="W253" s="6">
        <f t="shared" si="79"/>
        <v>446</v>
      </c>
      <c r="X253" s="5"/>
      <c r="Y253" s="4"/>
      <c r="Z253" s="4"/>
      <c r="AA253" s="4"/>
      <c r="AB253" s="4"/>
    </row>
    <row r="254" spans="1:28" ht="13.15" customHeight="1">
      <c r="A254" s="11">
        <v>240</v>
      </c>
      <c r="B254" s="14">
        <f t="shared" si="71"/>
        <v>45283</v>
      </c>
      <c r="C254" s="9">
        <f t="shared" si="72"/>
        <v>842</v>
      </c>
      <c r="D254" s="8">
        <f t="shared" si="63"/>
        <v>1657</v>
      </c>
      <c r="E254" s="7">
        <f t="shared" si="64"/>
        <v>991</v>
      </c>
      <c r="F254" s="7">
        <f t="shared" si="65"/>
        <v>977</v>
      </c>
      <c r="G254" s="7">
        <f t="shared" si="66"/>
        <v>853</v>
      </c>
      <c r="H254" s="4">
        <f t="shared" si="67"/>
        <v>1508</v>
      </c>
      <c r="I254" s="4">
        <f t="shared" si="68"/>
        <v>1522</v>
      </c>
      <c r="J254" s="4">
        <f t="shared" si="69"/>
        <v>1646</v>
      </c>
      <c r="K254" s="4">
        <f t="shared" si="73"/>
        <v>2000</v>
      </c>
      <c r="L254" s="4">
        <f t="shared" si="74"/>
        <v>2000</v>
      </c>
      <c r="M254" s="4">
        <f t="shared" si="75"/>
        <v>2000</v>
      </c>
      <c r="N254" s="4">
        <f t="shared" si="76"/>
        <v>-492</v>
      </c>
      <c r="O254" s="4">
        <f t="shared" si="77"/>
        <v>-478</v>
      </c>
      <c r="P254" s="4">
        <f t="shared" si="78"/>
        <v>-354</v>
      </c>
      <c r="Q254" s="7">
        <v>0</v>
      </c>
      <c r="R254" s="7">
        <v>0</v>
      </c>
      <c r="S254" s="7">
        <v>0</v>
      </c>
      <c r="T254" s="5">
        <f t="shared" si="70"/>
        <v>2187</v>
      </c>
      <c r="U254" s="6">
        <f t="shared" si="80"/>
        <v>288</v>
      </c>
      <c r="V254" s="6">
        <f t="shared" si="81"/>
        <v>312</v>
      </c>
      <c r="W254" s="6">
        <f t="shared" si="79"/>
        <v>446</v>
      </c>
      <c r="X254" s="5"/>
      <c r="Y254" s="4"/>
      <c r="Z254" s="4"/>
      <c r="AA254" s="4"/>
      <c r="AB254" s="4"/>
    </row>
    <row r="255" spans="1:28" ht="13.15" customHeight="1">
      <c r="A255" s="11">
        <v>241</v>
      </c>
      <c r="B255" s="14">
        <f t="shared" si="71"/>
        <v>45284</v>
      </c>
      <c r="C255" s="9">
        <f t="shared" si="72"/>
        <v>842</v>
      </c>
      <c r="D255" s="8">
        <f t="shared" ref="D255:D318" si="82">D254+2</f>
        <v>1659</v>
      </c>
      <c r="E255" s="7">
        <f t="shared" si="64"/>
        <v>993</v>
      </c>
      <c r="F255" s="7">
        <f t="shared" si="65"/>
        <v>979</v>
      </c>
      <c r="G255" s="7">
        <f t="shared" si="66"/>
        <v>855</v>
      </c>
      <c r="H255" s="4">
        <f t="shared" si="67"/>
        <v>1508</v>
      </c>
      <c r="I255" s="4">
        <f t="shared" si="68"/>
        <v>1522</v>
      </c>
      <c r="J255" s="4">
        <f t="shared" si="69"/>
        <v>1646</v>
      </c>
      <c r="K255" s="4">
        <f t="shared" si="73"/>
        <v>2000</v>
      </c>
      <c r="L255" s="4">
        <f t="shared" si="74"/>
        <v>2000</v>
      </c>
      <c r="M255" s="4">
        <f t="shared" si="75"/>
        <v>2000</v>
      </c>
      <c r="N255" s="4">
        <f t="shared" si="76"/>
        <v>-492</v>
      </c>
      <c r="O255" s="4">
        <f t="shared" si="77"/>
        <v>-478</v>
      </c>
      <c r="P255" s="4">
        <f t="shared" si="78"/>
        <v>-354</v>
      </c>
      <c r="Q255" s="7">
        <v>0</v>
      </c>
      <c r="R255" s="7">
        <v>0</v>
      </c>
      <c r="S255" s="7">
        <v>0</v>
      </c>
      <c r="T255" s="5">
        <f t="shared" si="70"/>
        <v>2189</v>
      </c>
      <c r="U255" s="6">
        <f t="shared" si="80"/>
        <v>288</v>
      </c>
      <c r="V255" s="6">
        <f t="shared" si="81"/>
        <v>312</v>
      </c>
      <c r="W255" s="6">
        <f t="shared" si="79"/>
        <v>446</v>
      </c>
      <c r="X255" s="5"/>
      <c r="Y255" s="4"/>
      <c r="Z255" s="4"/>
      <c r="AA255" s="4"/>
      <c r="AB255" s="4"/>
    </row>
    <row r="256" spans="1:28" ht="13.15" customHeight="1">
      <c r="A256" s="11">
        <v>242</v>
      </c>
      <c r="B256" s="14">
        <f t="shared" si="71"/>
        <v>45285</v>
      </c>
      <c r="C256" s="9">
        <f t="shared" si="72"/>
        <v>842</v>
      </c>
      <c r="D256" s="8">
        <f t="shared" si="82"/>
        <v>1661</v>
      </c>
      <c r="E256" s="7">
        <f t="shared" si="64"/>
        <v>995</v>
      </c>
      <c r="F256" s="7">
        <f t="shared" si="65"/>
        <v>981</v>
      </c>
      <c r="G256" s="7">
        <f t="shared" si="66"/>
        <v>857</v>
      </c>
      <c r="H256" s="4">
        <f t="shared" si="67"/>
        <v>1508</v>
      </c>
      <c r="I256" s="4">
        <f t="shared" si="68"/>
        <v>1522</v>
      </c>
      <c r="J256" s="4">
        <f t="shared" si="69"/>
        <v>1646</v>
      </c>
      <c r="K256" s="4">
        <f t="shared" si="73"/>
        <v>2000</v>
      </c>
      <c r="L256" s="4">
        <f t="shared" si="74"/>
        <v>2000</v>
      </c>
      <c r="M256" s="4">
        <f t="shared" si="75"/>
        <v>2000</v>
      </c>
      <c r="N256" s="4">
        <f t="shared" si="76"/>
        <v>-492</v>
      </c>
      <c r="O256" s="4">
        <f t="shared" si="77"/>
        <v>-478</v>
      </c>
      <c r="P256" s="4">
        <f t="shared" si="78"/>
        <v>-354</v>
      </c>
      <c r="Q256" s="7">
        <v>0</v>
      </c>
      <c r="R256" s="7">
        <v>0</v>
      </c>
      <c r="S256" s="7">
        <v>0</v>
      </c>
      <c r="T256" s="5">
        <f t="shared" si="70"/>
        <v>2191</v>
      </c>
      <c r="U256" s="6">
        <f t="shared" si="80"/>
        <v>288</v>
      </c>
      <c r="V256" s="6">
        <f t="shared" si="81"/>
        <v>312</v>
      </c>
      <c r="W256" s="6">
        <f t="shared" si="79"/>
        <v>446</v>
      </c>
      <c r="X256" s="5"/>
      <c r="Y256" s="4"/>
      <c r="Z256" s="4"/>
      <c r="AA256" s="4"/>
      <c r="AB256" s="4"/>
    </row>
    <row r="257" spans="1:28" ht="13.15" customHeight="1">
      <c r="A257" s="11">
        <v>243</v>
      </c>
      <c r="B257" s="14">
        <f t="shared" si="71"/>
        <v>45286</v>
      </c>
      <c r="C257" s="9">
        <f t="shared" si="72"/>
        <v>842</v>
      </c>
      <c r="D257" s="8">
        <f t="shared" si="82"/>
        <v>1663</v>
      </c>
      <c r="E257" s="7">
        <f t="shared" si="64"/>
        <v>997</v>
      </c>
      <c r="F257" s="7">
        <f t="shared" si="65"/>
        <v>983</v>
      </c>
      <c r="G257" s="7">
        <f t="shared" si="66"/>
        <v>859</v>
      </c>
      <c r="H257" s="4">
        <f t="shared" si="67"/>
        <v>1508</v>
      </c>
      <c r="I257" s="4">
        <f t="shared" si="68"/>
        <v>1522</v>
      </c>
      <c r="J257" s="4">
        <f t="shared" si="69"/>
        <v>1646</v>
      </c>
      <c r="K257" s="4">
        <f t="shared" si="73"/>
        <v>2000</v>
      </c>
      <c r="L257" s="4">
        <f t="shared" si="74"/>
        <v>2000</v>
      </c>
      <c r="M257" s="4">
        <f t="shared" si="75"/>
        <v>2000</v>
      </c>
      <c r="N257" s="4">
        <f t="shared" si="76"/>
        <v>-492</v>
      </c>
      <c r="O257" s="4">
        <f t="shared" si="77"/>
        <v>-478</v>
      </c>
      <c r="P257" s="4">
        <f t="shared" si="78"/>
        <v>-354</v>
      </c>
      <c r="Q257" s="7">
        <v>0</v>
      </c>
      <c r="R257" s="7">
        <v>0</v>
      </c>
      <c r="S257" s="7">
        <v>0</v>
      </c>
      <c r="T257" s="5">
        <f t="shared" si="70"/>
        <v>2193</v>
      </c>
      <c r="U257" s="6">
        <f t="shared" si="80"/>
        <v>288</v>
      </c>
      <c r="V257" s="6">
        <f t="shared" si="81"/>
        <v>312</v>
      </c>
      <c r="W257" s="6">
        <f t="shared" si="79"/>
        <v>446</v>
      </c>
      <c r="X257" s="5"/>
      <c r="Y257" s="4"/>
      <c r="Z257" s="4"/>
      <c r="AA257" s="4"/>
      <c r="AB257" s="4"/>
    </row>
    <row r="258" spans="1:28" ht="13.15" customHeight="1">
      <c r="A258" s="11">
        <v>244</v>
      </c>
      <c r="B258" s="14">
        <f t="shared" si="71"/>
        <v>45287</v>
      </c>
      <c r="C258" s="9">
        <f t="shared" si="72"/>
        <v>842</v>
      </c>
      <c r="D258" s="8">
        <f t="shared" si="82"/>
        <v>1665</v>
      </c>
      <c r="E258" s="7">
        <f t="shared" si="64"/>
        <v>999</v>
      </c>
      <c r="F258" s="7">
        <f t="shared" si="65"/>
        <v>985</v>
      </c>
      <c r="G258" s="7">
        <f t="shared" si="66"/>
        <v>861</v>
      </c>
      <c r="H258" s="4">
        <f t="shared" si="67"/>
        <v>1508</v>
      </c>
      <c r="I258" s="4">
        <f t="shared" si="68"/>
        <v>1522</v>
      </c>
      <c r="J258" s="4">
        <f t="shared" si="69"/>
        <v>1646</v>
      </c>
      <c r="K258" s="4">
        <f t="shared" si="73"/>
        <v>2000</v>
      </c>
      <c r="L258" s="4">
        <f t="shared" si="74"/>
        <v>2000</v>
      </c>
      <c r="M258" s="4">
        <f t="shared" si="75"/>
        <v>2000</v>
      </c>
      <c r="N258" s="4">
        <f t="shared" si="76"/>
        <v>-492</v>
      </c>
      <c r="O258" s="4">
        <f t="shared" si="77"/>
        <v>-478</v>
      </c>
      <c r="P258" s="4">
        <f t="shared" si="78"/>
        <v>-354</v>
      </c>
      <c r="Q258" s="7">
        <v>0</v>
      </c>
      <c r="R258" s="7">
        <v>0</v>
      </c>
      <c r="S258" s="7">
        <v>0</v>
      </c>
      <c r="T258" s="5">
        <f t="shared" si="70"/>
        <v>2195</v>
      </c>
      <c r="U258" s="6">
        <f t="shared" si="80"/>
        <v>288</v>
      </c>
      <c r="V258" s="6">
        <f t="shared" si="81"/>
        <v>312</v>
      </c>
      <c r="W258" s="6">
        <f t="shared" si="79"/>
        <v>446</v>
      </c>
      <c r="X258" s="5"/>
      <c r="Y258" s="4"/>
      <c r="Z258" s="4"/>
      <c r="AA258" s="4"/>
      <c r="AB258" s="4"/>
    </row>
    <row r="259" spans="1:28" ht="13.15" customHeight="1">
      <c r="A259" s="11">
        <v>245</v>
      </c>
      <c r="B259" s="14">
        <f t="shared" si="71"/>
        <v>45288</v>
      </c>
      <c r="C259" s="9">
        <f t="shared" si="72"/>
        <v>842</v>
      </c>
      <c r="D259" s="8">
        <f t="shared" si="82"/>
        <v>1667</v>
      </c>
      <c r="E259" s="7">
        <f t="shared" si="64"/>
        <v>1001</v>
      </c>
      <c r="F259" s="7">
        <f t="shared" si="65"/>
        <v>987</v>
      </c>
      <c r="G259" s="7">
        <f t="shared" si="66"/>
        <v>863</v>
      </c>
      <c r="H259" s="4">
        <f t="shared" si="67"/>
        <v>1508</v>
      </c>
      <c r="I259" s="4">
        <f t="shared" si="68"/>
        <v>1522</v>
      </c>
      <c r="J259" s="4">
        <f t="shared" si="69"/>
        <v>1646</v>
      </c>
      <c r="K259" s="4">
        <f t="shared" si="73"/>
        <v>2000</v>
      </c>
      <c r="L259" s="4">
        <f t="shared" si="74"/>
        <v>2000</v>
      </c>
      <c r="M259" s="4">
        <f t="shared" si="75"/>
        <v>2000</v>
      </c>
      <c r="N259" s="4">
        <f t="shared" si="76"/>
        <v>-492</v>
      </c>
      <c r="O259" s="4">
        <f t="shared" si="77"/>
        <v>-478</v>
      </c>
      <c r="P259" s="4">
        <f t="shared" si="78"/>
        <v>-354</v>
      </c>
      <c r="Q259" s="7">
        <v>0</v>
      </c>
      <c r="R259" s="7">
        <v>0</v>
      </c>
      <c r="S259" s="7">
        <v>0</v>
      </c>
      <c r="T259" s="5">
        <f t="shared" si="70"/>
        <v>2197</v>
      </c>
      <c r="U259" s="6">
        <f t="shared" si="80"/>
        <v>288</v>
      </c>
      <c r="V259" s="6">
        <f t="shared" si="81"/>
        <v>312</v>
      </c>
      <c r="W259" s="6">
        <f t="shared" si="79"/>
        <v>446</v>
      </c>
      <c r="X259" s="5"/>
      <c r="Y259" s="4"/>
      <c r="Z259" s="4"/>
      <c r="AA259" s="4"/>
      <c r="AB259" s="4"/>
    </row>
    <row r="260" spans="1:28" ht="13.15" customHeight="1">
      <c r="A260" s="11">
        <v>246</v>
      </c>
      <c r="B260" s="14">
        <f t="shared" si="71"/>
        <v>45289</v>
      </c>
      <c r="C260" s="9">
        <f t="shared" si="72"/>
        <v>842</v>
      </c>
      <c r="D260" s="8">
        <f t="shared" si="82"/>
        <v>1669</v>
      </c>
      <c r="E260" s="7">
        <f t="shared" si="64"/>
        <v>1003</v>
      </c>
      <c r="F260" s="7">
        <f t="shared" si="65"/>
        <v>989</v>
      </c>
      <c r="G260" s="7">
        <f t="shared" si="66"/>
        <v>865</v>
      </c>
      <c r="H260" s="4">
        <f t="shared" si="67"/>
        <v>1508</v>
      </c>
      <c r="I260" s="4">
        <f t="shared" si="68"/>
        <v>1522</v>
      </c>
      <c r="J260" s="4">
        <f t="shared" si="69"/>
        <v>1646</v>
      </c>
      <c r="K260" s="4">
        <f t="shared" si="73"/>
        <v>2000</v>
      </c>
      <c r="L260" s="4">
        <f t="shared" si="74"/>
        <v>2000</v>
      </c>
      <c r="M260" s="4">
        <f t="shared" si="75"/>
        <v>2000</v>
      </c>
      <c r="N260" s="4">
        <f t="shared" si="76"/>
        <v>-492</v>
      </c>
      <c r="O260" s="4">
        <f t="shared" si="77"/>
        <v>-478</v>
      </c>
      <c r="P260" s="4">
        <f t="shared" si="78"/>
        <v>-354</v>
      </c>
      <c r="Q260" s="7">
        <v>0</v>
      </c>
      <c r="R260" s="7">
        <v>0</v>
      </c>
      <c r="S260" s="7">
        <v>0</v>
      </c>
      <c r="T260" s="5">
        <f t="shared" si="70"/>
        <v>2199</v>
      </c>
      <c r="U260" s="6">
        <f t="shared" si="80"/>
        <v>288</v>
      </c>
      <c r="V260" s="6">
        <f t="shared" si="81"/>
        <v>312</v>
      </c>
      <c r="W260" s="6">
        <f t="shared" si="79"/>
        <v>446</v>
      </c>
      <c r="X260" s="5"/>
      <c r="Y260" s="4"/>
      <c r="Z260" s="4"/>
      <c r="AA260" s="4"/>
      <c r="AB260" s="4"/>
    </row>
    <row r="261" spans="1:28" ht="13.15" customHeight="1">
      <c r="A261" s="11">
        <v>247</v>
      </c>
      <c r="B261" s="14">
        <f t="shared" si="71"/>
        <v>45290</v>
      </c>
      <c r="C261" s="9">
        <f t="shared" si="72"/>
        <v>842</v>
      </c>
      <c r="D261" s="8">
        <f t="shared" si="82"/>
        <v>1671</v>
      </c>
      <c r="E261" s="7">
        <f t="shared" si="64"/>
        <v>1005</v>
      </c>
      <c r="F261" s="7">
        <f t="shared" si="65"/>
        <v>991</v>
      </c>
      <c r="G261" s="7">
        <f t="shared" si="66"/>
        <v>867</v>
      </c>
      <c r="H261" s="4">
        <f t="shared" si="67"/>
        <v>1508</v>
      </c>
      <c r="I261" s="4">
        <f t="shared" si="68"/>
        <v>1522</v>
      </c>
      <c r="J261" s="4">
        <f t="shared" si="69"/>
        <v>1646</v>
      </c>
      <c r="K261" s="4">
        <f t="shared" si="73"/>
        <v>2000</v>
      </c>
      <c r="L261" s="4">
        <f t="shared" si="74"/>
        <v>2000</v>
      </c>
      <c r="M261" s="4">
        <f t="shared" si="75"/>
        <v>2000</v>
      </c>
      <c r="N261" s="4">
        <f t="shared" si="76"/>
        <v>-492</v>
      </c>
      <c r="O261" s="4">
        <f t="shared" si="77"/>
        <v>-478</v>
      </c>
      <c r="P261" s="4">
        <f t="shared" si="78"/>
        <v>-354</v>
      </c>
      <c r="Q261" s="7">
        <v>0</v>
      </c>
      <c r="R261" s="7">
        <v>0</v>
      </c>
      <c r="S261" s="7">
        <v>0</v>
      </c>
      <c r="T261" s="5">
        <f t="shared" si="70"/>
        <v>2201</v>
      </c>
      <c r="U261" s="6">
        <f t="shared" si="80"/>
        <v>288</v>
      </c>
      <c r="V261" s="6">
        <f t="shared" si="81"/>
        <v>312</v>
      </c>
      <c r="W261" s="6">
        <f t="shared" si="79"/>
        <v>446</v>
      </c>
      <c r="X261" s="5"/>
      <c r="Y261" s="4"/>
      <c r="Z261" s="4"/>
      <c r="AA261" s="4"/>
      <c r="AB261" s="4"/>
    </row>
    <row r="262" spans="1:28" ht="13.15" customHeight="1">
      <c r="A262" s="11">
        <v>248</v>
      </c>
      <c r="B262" s="14">
        <f t="shared" si="71"/>
        <v>45291</v>
      </c>
      <c r="C262" s="9">
        <f t="shared" si="72"/>
        <v>842</v>
      </c>
      <c r="D262" s="8">
        <f t="shared" si="82"/>
        <v>1673</v>
      </c>
      <c r="E262" s="7">
        <f t="shared" si="64"/>
        <v>1007</v>
      </c>
      <c r="F262" s="7">
        <f t="shared" si="65"/>
        <v>993</v>
      </c>
      <c r="G262" s="7">
        <f t="shared" si="66"/>
        <v>869</v>
      </c>
      <c r="H262" s="4">
        <f t="shared" si="67"/>
        <v>1508</v>
      </c>
      <c r="I262" s="4">
        <f t="shared" si="68"/>
        <v>1522</v>
      </c>
      <c r="J262" s="4">
        <f t="shared" si="69"/>
        <v>1646</v>
      </c>
      <c r="K262" s="4">
        <f t="shared" si="73"/>
        <v>2000</v>
      </c>
      <c r="L262" s="4">
        <f t="shared" si="74"/>
        <v>2000</v>
      </c>
      <c r="M262" s="4">
        <f t="shared" si="75"/>
        <v>2000</v>
      </c>
      <c r="N262" s="4">
        <f t="shared" si="76"/>
        <v>-492</v>
      </c>
      <c r="O262" s="4">
        <f t="shared" si="77"/>
        <v>-478</v>
      </c>
      <c r="P262" s="4">
        <f t="shared" si="78"/>
        <v>-354</v>
      </c>
      <c r="Q262" s="7">
        <v>0</v>
      </c>
      <c r="R262" s="7">
        <v>0</v>
      </c>
      <c r="S262" s="7">
        <v>0</v>
      </c>
      <c r="T262" s="5">
        <f t="shared" si="70"/>
        <v>2203</v>
      </c>
      <c r="U262" s="6">
        <f t="shared" si="80"/>
        <v>288</v>
      </c>
      <c r="V262" s="6">
        <f t="shared" si="81"/>
        <v>312</v>
      </c>
      <c r="W262" s="6">
        <f t="shared" si="79"/>
        <v>446</v>
      </c>
      <c r="X262" s="5"/>
      <c r="Y262" s="4"/>
      <c r="Z262" s="4"/>
      <c r="AA262" s="4"/>
      <c r="AB262" s="4"/>
    </row>
    <row r="263" spans="1:28" ht="13.15" customHeight="1">
      <c r="A263" s="11">
        <v>249</v>
      </c>
      <c r="B263" s="14">
        <f t="shared" si="71"/>
        <v>45292</v>
      </c>
      <c r="C263" s="9">
        <f t="shared" si="72"/>
        <v>842</v>
      </c>
      <c r="D263" s="8">
        <f t="shared" si="82"/>
        <v>1675</v>
      </c>
      <c r="E263" s="7">
        <f t="shared" si="64"/>
        <v>1009</v>
      </c>
      <c r="F263" s="7">
        <f t="shared" si="65"/>
        <v>995</v>
      </c>
      <c r="G263" s="7">
        <f t="shared" si="66"/>
        <v>871</v>
      </c>
      <c r="H263" s="4">
        <f t="shared" si="67"/>
        <v>1508</v>
      </c>
      <c r="I263" s="4">
        <f t="shared" si="68"/>
        <v>1522</v>
      </c>
      <c r="J263" s="4">
        <f t="shared" si="69"/>
        <v>1646</v>
      </c>
      <c r="K263" s="4">
        <f t="shared" si="73"/>
        <v>2000</v>
      </c>
      <c r="L263" s="4">
        <f t="shared" si="74"/>
        <v>2000</v>
      </c>
      <c r="M263" s="4">
        <f t="shared" si="75"/>
        <v>2000</v>
      </c>
      <c r="N263" s="4">
        <f t="shared" si="76"/>
        <v>-492</v>
      </c>
      <c r="O263" s="4">
        <f t="shared" si="77"/>
        <v>-478</v>
      </c>
      <c r="P263" s="4">
        <f t="shared" si="78"/>
        <v>-354</v>
      </c>
      <c r="Q263" s="7">
        <v>0</v>
      </c>
      <c r="R263" s="7">
        <v>0</v>
      </c>
      <c r="S263" s="7">
        <v>0</v>
      </c>
      <c r="T263" s="5">
        <f t="shared" si="70"/>
        <v>2205</v>
      </c>
      <c r="U263" s="6">
        <f t="shared" si="80"/>
        <v>288</v>
      </c>
      <c r="V263" s="6">
        <f t="shared" si="81"/>
        <v>312</v>
      </c>
      <c r="W263" s="6">
        <f t="shared" si="79"/>
        <v>446</v>
      </c>
      <c r="X263" s="5"/>
      <c r="Y263" s="4"/>
      <c r="Z263" s="4"/>
      <c r="AA263" s="4"/>
      <c r="AB263" s="4"/>
    </row>
    <row r="264" spans="1:28" ht="13.15" customHeight="1">
      <c r="A264" s="11">
        <v>250</v>
      </c>
      <c r="B264" s="14">
        <f t="shared" si="71"/>
        <v>45293</v>
      </c>
      <c r="C264" s="9">
        <f t="shared" si="72"/>
        <v>842</v>
      </c>
      <c r="D264" s="8">
        <f t="shared" si="82"/>
        <v>1677</v>
      </c>
      <c r="E264" s="7">
        <f t="shared" si="64"/>
        <v>1011</v>
      </c>
      <c r="F264" s="7">
        <f t="shared" si="65"/>
        <v>997</v>
      </c>
      <c r="G264" s="7">
        <f t="shared" si="66"/>
        <v>873</v>
      </c>
      <c r="H264" s="4">
        <f t="shared" si="67"/>
        <v>1508</v>
      </c>
      <c r="I264" s="4">
        <f t="shared" si="68"/>
        <v>1522</v>
      </c>
      <c r="J264" s="4">
        <f t="shared" si="69"/>
        <v>1646</v>
      </c>
      <c r="K264" s="4">
        <f t="shared" si="73"/>
        <v>2000</v>
      </c>
      <c r="L264" s="4">
        <f t="shared" si="74"/>
        <v>2000</v>
      </c>
      <c r="M264" s="4">
        <f t="shared" si="75"/>
        <v>2000</v>
      </c>
      <c r="N264" s="4">
        <f t="shared" si="76"/>
        <v>-492</v>
      </c>
      <c r="O264" s="4">
        <f t="shared" si="77"/>
        <v>-478</v>
      </c>
      <c r="P264" s="4">
        <f t="shared" si="78"/>
        <v>-354</v>
      </c>
      <c r="Q264" s="7">
        <v>0</v>
      </c>
      <c r="R264" s="7">
        <v>0</v>
      </c>
      <c r="S264" s="7">
        <v>0</v>
      </c>
      <c r="T264" s="5">
        <f t="shared" si="70"/>
        <v>2207</v>
      </c>
      <c r="U264" s="6">
        <f t="shared" si="80"/>
        <v>288</v>
      </c>
      <c r="V264" s="6">
        <f t="shared" si="81"/>
        <v>312</v>
      </c>
      <c r="W264" s="6">
        <f t="shared" si="79"/>
        <v>446</v>
      </c>
      <c r="X264" s="5"/>
      <c r="Y264" s="4"/>
      <c r="Z264" s="4"/>
      <c r="AA264" s="4"/>
      <c r="AB264" s="4"/>
    </row>
    <row r="265" spans="1:28" ht="13.15" customHeight="1">
      <c r="A265" s="11">
        <v>251</v>
      </c>
      <c r="B265" s="14">
        <f t="shared" si="71"/>
        <v>45294</v>
      </c>
      <c r="C265" s="9">
        <f t="shared" si="72"/>
        <v>842</v>
      </c>
      <c r="D265" s="8">
        <f t="shared" si="82"/>
        <v>1679</v>
      </c>
      <c r="E265" s="7">
        <f t="shared" si="64"/>
        <v>1013</v>
      </c>
      <c r="F265" s="7">
        <f t="shared" si="65"/>
        <v>999</v>
      </c>
      <c r="G265" s="7">
        <f t="shared" si="66"/>
        <v>875</v>
      </c>
      <c r="H265" s="4">
        <f t="shared" si="67"/>
        <v>1508</v>
      </c>
      <c r="I265" s="4">
        <f t="shared" si="68"/>
        <v>1522</v>
      </c>
      <c r="J265" s="4">
        <f t="shared" si="69"/>
        <v>1646</v>
      </c>
      <c r="K265" s="4">
        <f t="shared" si="73"/>
        <v>2000</v>
      </c>
      <c r="L265" s="4">
        <f t="shared" si="74"/>
        <v>2000</v>
      </c>
      <c r="M265" s="4">
        <f t="shared" si="75"/>
        <v>2000</v>
      </c>
      <c r="N265" s="4">
        <f t="shared" si="76"/>
        <v>-492</v>
      </c>
      <c r="O265" s="4">
        <f t="shared" si="77"/>
        <v>-478</v>
      </c>
      <c r="P265" s="4">
        <f t="shared" si="78"/>
        <v>-354</v>
      </c>
      <c r="Q265" s="7">
        <v>0</v>
      </c>
      <c r="R265" s="7">
        <v>0</v>
      </c>
      <c r="S265" s="7">
        <v>0</v>
      </c>
      <c r="T265" s="5">
        <f t="shared" si="70"/>
        <v>2209</v>
      </c>
      <c r="U265" s="6">
        <f t="shared" si="80"/>
        <v>288</v>
      </c>
      <c r="V265" s="6">
        <f t="shared" si="81"/>
        <v>312</v>
      </c>
      <c r="W265" s="6">
        <f t="shared" si="79"/>
        <v>446</v>
      </c>
      <c r="X265" s="5"/>
      <c r="Y265" s="4"/>
      <c r="Z265" s="4"/>
      <c r="AA265" s="4"/>
      <c r="AB265" s="4"/>
    </row>
    <row r="266" spans="1:28" ht="13.15" customHeight="1">
      <c r="A266" s="11">
        <v>252</v>
      </c>
      <c r="B266" s="14">
        <f t="shared" si="71"/>
        <v>45295</v>
      </c>
      <c r="C266" s="9">
        <f t="shared" si="72"/>
        <v>842</v>
      </c>
      <c r="D266" s="8">
        <f t="shared" si="82"/>
        <v>1681</v>
      </c>
      <c r="E266" s="7">
        <f t="shared" si="64"/>
        <v>1015</v>
      </c>
      <c r="F266" s="7">
        <f t="shared" si="65"/>
        <v>1001</v>
      </c>
      <c r="G266" s="7">
        <f t="shared" si="66"/>
        <v>877</v>
      </c>
      <c r="H266" s="4">
        <f t="shared" si="67"/>
        <v>1508</v>
      </c>
      <c r="I266" s="4">
        <f t="shared" si="68"/>
        <v>1522</v>
      </c>
      <c r="J266" s="4">
        <f t="shared" si="69"/>
        <v>1646</v>
      </c>
      <c r="K266" s="4">
        <f t="shared" si="73"/>
        <v>2000</v>
      </c>
      <c r="L266" s="4">
        <f t="shared" si="74"/>
        <v>2000</v>
      </c>
      <c r="M266" s="4">
        <f t="shared" si="75"/>
        <v>2000</v>
      </c>
      <c r="N266" s="4">
        <f t="shared" si="76"/>
        <v>-492</v>
      </c>
      <c r="O266" s="4">
        <f t="shared" si="77"/>
        <v>-478</v>
      </c>
      <c r="P266" s="4">
        <f t="shared" si="78"/>
        <v>-354</v>
      </c>
      <c r="Q266" s="7">
        <v>0</v>
      </c>
      <c r="R266" s="7">
        <v>0</v>
      </c>
      <c r="S266" s="7">
        <v>0</v>
      </c>
      <c r="T266" s="5">
        <f t="shared" si="70"/>
        <v>2211</v>
      </c>
      <c r="U266" s="6">
        <f t="shared" si="80"/>
        <v>288</v>
      </c>
      <c r="V266" s="6">
        <f t="shared" si="81"/>
        <v>312</v>
      </c>
      <c r="W266" s="6">
        <f t="shared" si="79"/>
        <v>446</v>
      </c>
      <c r="X266" s="5"/>
      <c r="Y266" s="4"/>
      <c r="Z266" s="4"/>
      <c r="AA266" s="4"/>
      <c r="AB266" s="4"/>
    </row>
    <row r="267" spans="1:28" ht="13.15" customHeight="1">
      <c r="A267" s="11">
        <v>253</v>
      </c>
      <c r="B267" s="14">
        <f t="shared" si="71"/>
        <v>45296</v>
      </c>
      <c r="C267" s="9">
        <f t="shared" si="72"/>
        <v>842</v>
      </c>
      <c r="D267" s="8">
        <f t="shared" si="82"/>
        <v>1683</v>
      </c>
      <c r="E267" s="7">
        <f t="shared" si="64"/>
        <v>1017</v>
      </c>
      <c r="F267" s="7">
        <f t="shared" si="65"/>
        <v>1003</v>
      </c>
      <c r="G267" s="7">
        <f t="shared" si="66"/>
        <v>879</v>
      </c>
      <c r="H267" s="4">
        <f t="shared" si="67"/>
        <v>1508</v>
      </c>
      <c r="I267" s="4">
        <f t="shared" si="68"/>
        <v>1522</v>
      </c>
      <c r="J267" s="4">
        <f t="shared" si="69"/>
        <v>1646</v>
      </c>
      <c r="K267" s="4">
        <f t="shared" si="73"/>
        <v>2000</v>
      </c>
      <c r="L267" s="4">
        <f t="shared" si="74"/>
        <v>2000</v>
      </c>
      <c r="M267" s="4">
        <f t="shared" si="75"/>
        <v>2000</v>
      </c>
      <c r="N267" s="4">
        <f t="shared" si="76"/>
        <v>-492</v>
      </c>
      <c r="O267" s="4">
        <f t="shared" si="77"/>
        <v>-478</v>
      </c>
      <c r="P267" s="4">
        <f t="shared" si="78"/>
        <v>-354</v>
      </c>
      <c r="Q267" s="7">
        <v>0</v>
      </c>
      <c r="R267" s="7">
        <v>0</v>
      </c>
      <c r="S267" s="7">
        <v>0</v>
      </c>
      <c r="T267" s="5">
        <f t="shared" si="70"/>
        <v>2213</v>
      </c>
      <c r="U267" s="6">
        <f t="shared" si="80"/>
        <v>288</v>
      </c>
      <c r="V267" s="6">
        <f t="shared" si="81"/>
        <v>312</v>
      </c>
      <c r="W267" s="6">
        <f t="shared" si="79"/>
        <v>446</v>
      </c>
      <c r="X267" s="5"/>
      <c r="Y267" s="4"/>
      <c r="Z267" s="4"/>
      <c r="AA267" s="4"/>
      <c r="AB267" s="4"/>
    </row>
    <row r="268" spans="1:28" ht="13.15" customHeight="1">
      <c r="A268" s="11">
        <v>254</v>
      </c>
      <c r="B268" s="14">
        <f t="shared" si="71"/>
        <v>45297</v>
      </c>
      <c r="C268" s="9">
        <f t="shared" si="72"/>
        <v>842</v>
      </c>
      <c r="D268" s="8">
        <f t="shared" si="82"/>
        <v>1685</v>
      </c>
      <c r="E268" s="7">
        <f t="shared" si="64"/>
        <v>1019</v>
      </c>
      <c r="F268" s="7">
        <f t="shared" si="65"/>
        <v>1005</v>
      </c>
      <c r="G268" s="7">
        <f t="shared" si="66"/>
        <v>881</v>
      </c>
      <c r="H268" s="4">
        <f t="shared" si="67"/>
        <v>1508</v>
      </c>
      <c r="I268" s="4">
        <f t="shared" si="68"/>
        <v>1522</v>
      </c>
      <c r="J268" s="4">
        <f t="shared" si="69"/>
        <v>1646</v>
      </c>
      <c r="K268" s="4">
        <f t="shared" si="73"/>
        <v>2000</v>
      </c>
      <c r="L268" s="4">
        <f t="shared" si="74"/>
        <v>2000</v>
      </c>
      <c r="M268" s="4">
        <f t="shared" si="75"/>
        <v>2000</v>
      </c>
      <c r="N268" s="4">
        <f t="shared" si="76"/>
        <v>-492</v>
      </c>
      <c r="O268" s="4">
        <f t="shared" si="77"/>
        <v>-478</v>
      </c>
      <c r="P268" s="4">
        <f t="shared" si="78"/>
        <v>-354</v>
      </c>
      <c r="Q268" s="7">
        <v>0</v>
      </c>
      <c r="R268" s="7">
        <v>0</v>
      </c>
      <c r="S268" s="7">
        <v>0</v>
      </c>
      <c r="T268" s="5">
        <f t="shared" si="70"/>
        <v>2215</v>
      </c>
      <c r="U268" s="6">
        <f t="shared" si="80"/>
        <v>288</v>
      </c>
      <c r="V268" s="6">
        <f t="shared" si="81"/>
        <v>312</v>
      </c>
      <c r="W268" s="6">
        <f t="shared" si="79"/>
        <v>446</v>
      </c>
      <c r="X268" s="5"/>
      <c r="Y268" s="4"/>
      <c r="Z268" s="4"/>
      <c r="AA268" s="4"/>
      <c r="AB268" s="4"/>
    </row>
    <row r="269" spans="1:28" ht="13.15" customHeight="1">
      <c r="A269" s="11">
        <v>255</v>
      </c>
      <c r="B269" s="14">
        <f t="shared" si="71"/>
        <v>45298</v>
      </c>
      <c r="C269" s="9">
        <f t="shared" si="72"/>
        <v>842</v>
      </c>
      <c r="D269" s="8">
        <f t="shared" si="82"/>
        <v>1687</v>
      </c>
      <c r="E269" s="7">
        <f t="shared" si="64"/>
        <v>1021</v>
      </c>
      <c r="F269" s="7">
        <f t="shared" si="65"/>
        <v>1007</v>
      </c>
      <c r="G269" s="7">
        <f t="shared" si="66"/>
        <v>883</v>
      </c>
      <c r="H269" s="4">
        <f t="shared" si="67"/>
        <v>1508</v>
      </c>
      <c r="I269" s="4">
        <f t="shared" si="68"/>
        <v>1522</v>
      </c>
      <c r="J269" s="4">
        <f t="shared" si="69"/>
        <v>1646</v>
      </c>
      <c r="K269" s="4">
        <f t="shared" si="73"/>
        <v>2000</v>
      </c>
      <c r="L269" s="4">
        <f t="shared" si="74"/>
        <v>2000</v>
      </c>
      <c r="M269" s="4">
        <f t="shared" si="75"/>
        <v>2000</v>
      </c>
      <c r="N269" s="4">
        <f t="shared" si="76"/>
        <v>-492</v>
      </c>
      <c r="O269" s="4">
        <f t="shared" si="77"/>
        <v>-478</v>
      </c>
      <c r="P269" s="4">
        <f t="shared" si="78"/>
        <v>-354</v>
      </c>
      <c r="Q269" s="7">
        <v>0</v>
      </c>
      <c r="R269" s="7">
        <v>0</v>
      </c>
      <c r="S269" s="7">
        <v>0</v>
      </c>
      <c r="T269" s="5">
        <f t="shared" si="70"/>
        <v>2217</v>
      </c>
      <c r="U269" s="6">
        <f t="shared" si="80"/>
        <v>288</v>
      </c>
      <c r="V269" s="6">
        <f t="shared" si="81"/>
        <v>312</v>
      </c>
      <c r="W269" s="6">
        <f t="shared" si="79"/>
        <v>446</v>
      </c>
      <c r="X269" s="5"/>
      <c r="Y269" s="4"/>
      <c r="Z269" s="4"/>
      <c r="AA269" s="4"/>
      <c r="AB269" s="4"/>
    </row>
    <row r="270" spans="1:28" ht="13.15" customHeight="1">
      <c r="A270" s="11">
        <v>256</v>
      </c>
      <c r="B270" s="14">
        <f t="shared" si="71"/>
        <v>45299</v>
      </c>
      <c r="C270" s="9">
        <f t="shared" si="72"/>
        <v>842</v>
      </c>
      <c r="D270" s="8">
        <f t="shared" si="82"/>
        <v>1689</v>
      </c>
      <c r="E270" s="7">
        <f t="shared" ref="E270:E333" si="83">C270+D270-H270</f>
        <v>1023</v>
      </c>
      <c r="F270" s="7">
        <f t="shared" ref="F270:F333" si="84">C270+D270-I270</f>
        <v>1009</v>
      </c>
      <c r="G270" s="7">
        <f t="shared" ref="G270:G333" si="85">D270+C270-J270</f>
        <v>885</v>
      </c>
      <c r="H270" s="4">
        <f t="shared" ref="H270:H333" si="86">K270+N270</f>
        <v>1508</v>
      </c>
      <c r="I270" s="4">
        <f t="shared" ref="I270:I333" si="87">L270+O270</f>
        <v>1522</v>
      </c>
      <c r="J270" s="4">
        <f t="shared" ref="J270:J333" si="88">M270+P270</f>
        <v>1646</v>
      </c>
      <c r="K270" s="4">
        <f t="shared" si="73"/>
        <v>2000</v>
      </c>
      <c r="L270" s="4">
        <f t="shared" si="74"/>
        <v>2000</v>
      </c>
      <c r="M270" s="4">
        <f t="shared" si="75"/>
        <v>2000</v>
      </c>
      <c r="N270" s="4">
        <f t="shared" si="76"/>
        <v>-492</v>
      </c>
      <c r="O270" s="4">
        <f t="shared" si="77"/>
        <v>-478</v>
      </c>
      <c r="P270" s="4">
        <f t="shared" si="78"/>
        <v>-354</v>
      </c>
      <c r="Q270" s="7">
        <v>0</v>
      </c>
      <c r="R270" s="7">
        <v>0</v>
      </c>
      <c r="S270" s="7">
        <v>0</v>
      </c>
      <c r="T270" s="5">
        <f t="shared" ref="T270:T333" si="89">D270+C270-V270</f>
        <v>2219</v>
      </c>
      <c r="U270" s="6">
        <f t="shared" si="80"/>
        <v>288</v>
      </c>
      <c r="V270" s="6">
        <f t="shared" si="81"/>
        <v>312</v>
      </c>
      <c r="W270" s="6">
        <f t="shared" si="79"/>
        <v>446</v>
      </c>
      <c r="X270" s="5"/>
      <c r="Y270" s="4"/>
      <c r="Z270" s="4"/>
      <c r="AA270" s="4"/>
      <c r="AB270" s="4"/>
    </row>
    <row r="271" spans="1:28" ht="13.15" customHeight="1">
      <c r="A271" s="11">
        <v>257</v>
      </c>
      <c r="B271" s="14">
        <f t="shared" ref="B271:B334" si="90">B270+1</f>
        <v>45300</v>
      </c>
      <c r="C271" s="9">
        <f t="shared" ref="C271:C334" si="91">C270</f>
        <v>842</v>
      </c>
      <c r="D271" s="8">
        <f t="shared" si="82"/>
        <v>1691</v>
      </c>
      <c r="E271" s="7">
        <f t="shared" si="83"/>
        <v>1025</v>
      </c>
      <c r="F271" s="7">
        <f t="shared" si="84"/>
        <v>1011</v>
      </c>
      <c r="G271" s="7">
        <f t="shared" si="85"/>
        <v>887</v>
      </c>
      <c r="H271" s="4">
        <f t="shared" si="86"/>
        <v>1508</v>
      </c>
      <c r="I271" s="4">
        <f t="shared" si="87"/>
        <v>1522</v>
      </c>
      <c r="J271" s="4">
        <f t="shared" si="88"/>
        <v>1646</v>
      </c>
      <c r="K271" s="4">
        <f t="shared" ref="K271:K334" si="92">K270</f>
        <v>2000</v>
      </c>
      <c r="L271" s="4">
        <f t="shared" ref="L271:L334" si="93">L270</f>
        <v>2000</v>
      </c>
      <c r="M271" s="4">
        <f t="shared" ref="M271:M334" si="94">M270</f>
        <v>2000</v>
      </c>
      <c r="N271" s="4">
        <f t="shared" ref="N271:N334" si="95">N270-Q271</f>
        <v>-492</v>
      </c>
      <c r="O271" s="4">
        <f t="shared" ref="O271:O334" si="96">O270-R271</f>
        <v>-478</v>
      </c>
      <c r="P271" s="4">
        <f t="shared" ref="P271:P334" si="97">P270-S271</f>
        <v>-354</v>
      </c>
      <c r="Q271" s="7">
        <v>0</v>
      </c>
      <c r="R271" s="7">
        <v>0</v>
      </c>
      <c r="S271" s="7">
        <v>0</v>
      </c>
      <c r="T271" s="5">
        <f t="shared" si="89"/>
        <v>2221</v>
      </c>
      <c r="U271" s="6">
        <f t="shared" si="80"/>
        <v>288</v>
      </c>
      <c r="V271" s="6">
        <f t="shared" si="81"/>
        <v>312</v>
      </c>
      <c r="W271" s="6">
        <f t="shared" si="79"/>
        <v>446</v>
      </c>
      <c r="X271" s="5"/>
      <c r="Y271" s="4"/>
      <c r="Z271" s="4"/>
      <c r="AA271" s="4"/>
      <c r="AB271" s="4"/>
    </row>
    <row r="272" spans="1:28" ht="13.15" customHeight="1">
      <c r="A272" s="11">
        <v>258</v>
      </c>
      <c r="B272" s="14">
        <f t="shared" si="90"/>
        <v>45301</v>
      </c>
      <c r="C272" s="9">
        <f t="shared" si="91"/>
        <v>842</v>
      </c>
      <c r="D272" s="8">
        <f t="shared" si="82"/>
        <v>1693</v>
      </c>
      <c r="E272" s="7">
        <f t="shared" si="83"/>
        <v>1027</v>
      </c>
      <c r="F272" s="7">
        <f t="shared" si="84"/>
        <v>1013</v>
      </c>
      <c r="G272" s="7">
        <f t="shared" si="85"/>
        <v>889</v>
      </c>
      <c r="H272" s="4">
        <f t="shared" si="86"/>
        <v>1508</v>
      </c>
      <c r="I272" s="4">
        <f t="shared" si="87"/>
        <v>1522</v>
      </c>
      <c r="J272" s="4">
        <f t="shared" si="88"/>
        <v>1646</v>
      </c>
      <c r="K272" s="4">
        <f t="shared" si="92"/>
        <v>2000</v>
      </c>
      <c r="L272" s="4">
        <f t="shared" si="93"/>
        <v>2000</v>
      </c>
      <c r="M272" s="4">
        <f t="shared" si="94"/>
        <v>2000</v>
      </c>
      <c r="N272" s="4">
        <f t="shared" si="95"/>
        <v>-492</v>
      </c>
      <c r="O272" s="4">
        <f t="shared" si="96"/>
        <v>-478</v>
      </c>
      <c r="P272" s="4">
        <f t="shared" si="97"/>
        <v>-354</v>
      </c>
      <c r="Q272" s="7">
        <v>0</v>
      </c>
      <c r="R272" s="7">
        <v>0</v>
      </c>
      <c r="S272" s="7">
        <v>0</v>
      </c>
      <c r="T272" s="5">
        <f t="shared" si="89"/>
        <v>2223</v>
      </c>
      <c r="U272" s="6">
        <f t="shared" si="80"/>
        <v>288</v>
      </c>
      <c r="V272" s="6">
        <f t="shared" si="81"/>
        <v>312</v>
      </c>
      <c r="W272" s="6">
        <f t="shared" si="79"/>
        <v>446</v>
      </c>
      <c r="X272" s="5"/>
      <c r="Y272" s="4"/>
      <c r="Z272" s="4"/>
      <c r="AA272" s="4"/>
      <c r="AB272" s="4"/>
    </row>
    <row r="273" spans="1:28" ht="13.15" customHeight="1">
      <c r="A273" s="11">
        <v>259</v>
      </c>
      <c r="B273" s="14">
        <f t="shared" si="90"/>
        <v>45302</v>
      </c>
      <c r="C273" s="9">
        <f t="shared" si="91"/>
        <v>842</v>
      </c>
      <c r="D273" s="8">
        <f t="shared" si="82"/>
        <v>1695</v>
      </c>
      <c r="E273" s="7">
        <f t="shared" si="83"/>
        <v>1029</v>
      </c>
      <c r="F273" s="7">
        <f t="shared" si="84"/>
        <v>1015</v>
      </c>
      <c r="G273" s="7">
        <f t="shared" si="85"/>
        <v>891</v>
      </c>
      <c r="H273" s="4">
        <f t="shared" si="86"/>
        <v>1508</v>
      </c>
      <c r="I273" s="4">
        <f t="shared" si="87"/>
        <v>1522</v>
      </c>
      <c r="J273" s="4">
        <f t="shared" si="88"/>
        <v>1646</v>
      </c>
      <c r="K273" s="4">
        <f t="shared" si="92"/>
        <v>2000</v>
      </c>
      <c r="L273" s="4">
        <f t="shared" si="93"/>
        <v>2000</v>
      </c>
      <c r="M273" s="4">
        <f t="shared" si="94"/>
        <v>2000</v>
      </c>
      <c r="N273" s="4">
        <f t="shared" si="95"/>
        <v>-492</v>
      </c>
      <c r="O273" s="4">
        <f t="shared" si="96"/>
        <v>-478</v>
      </c>
      <c r="P273" s="4">
        <f t="shared" si="97"/>
        <v>-354</v>
      </c>
      <c r="Q273" s="7">
        <v>0</v>
      </c>
      <c r="R273" s="7">
        <v>0</v>
      </c>
      <c r="S273" s="7">
        <v>0</v>
      </c>
      <c r="T273" s="5">
        <f t="shared" si="89"/>
        <v>2225</v>
      </c>
      <c r="U273" s="6">
        <f t="shared" si="80"/>
        <v>288</v>
      </c>
      <c r="V273" s="6">
        <f t="shared" si="81"/>
        <v>312</v>
      </c>
      <c r="W273" s="6">
        <f t="shared" si="79"/>
        <v>446</v>
      </c>
      <c r="X273" s="5"/>
      <c r="Y273" s="4"/>
      <c r="Z273" s="4"/>
      <c r="AA273" s="4"/>
      <c r="AB273" s="4"/>
    </row>
    <row r="274" spans="1:28" ht="13.15" customHeight="1">
      <c r="A274" s="11">
        <v>260</v>
      </c>
      <c r="B274" s="14">
        <f t="shared" si="90"/>
        <v>45303</v>
      </c>
      <c r="C274" s="9">
        <f t="shared" si="91"/>
        <v>842</v>
      </c>
      <c r="D274" s="8">
        <f t="shared" si="82"/>
        <v>1697</v>
      </c>
      <c r="E274" s="7">
        <f t="shared" si="83"/>
        <v>1031</v>
      </c>
      <c r="F274" s="7">
        <f t="shared" si="84"/>
        <v>1017</v>
      </c>
      <c r="G274" s="7">
        <f t="shared" si="85"/>
        <v>893</v>
      </c>
      <c r="H274" s="4">
        <f t="shared" si="86"/>
        <v>1508</v>
      </c>
      <c r="I274" s="4">
        <f t="shared" si="87"/>
        <v>1522</v>
      </c>
      <c r="J274" s="4">
        <f t="shared" si="88"/>
        <v>1646</v>
      </c>
      <c r="K274" s="4">
        <f t="shared" si="92"/>
        <v>2000</v>
      </c>
      <c r="L274" s="4">
        <f t="shared" si="93"/>
        <v>2000</v>
      </c>
      <c r="M274" s="4">
        <f t="shared" si="94"/>
        <v>2000</v>
      </c>
      <c r="N274" s="4">
        <f t="shared" si="95"/>
        <v>-492</v>
      </c>
      <c r="O274" s="4">
        <f t="shared" si="96"/>
        <v>-478</v>
      </c>
      <c r="P274" s="4">
        <f t="shared" si="97"/>
        <v>-354</v>
      </c>
      <c r="Q274" s="7">
        <v>0</v>
      </c>
      <c r="R274" s="7">
        <v>0</v>
      </c>
      <c r="S274" s="7">
        <v>0</v>
      </c>
      <c r="T274" s="5">
        <f t="shared" si="89"/>
        <v>2227</v>
      </c>
      <c r="U274" s="6">
        <f t="shared" si="80"/>
        <v>288</v>
      </c>
      <c r="V274" s="6">
        <f t="shared" si="81"/>
        <v>312</v>
      </c>
      <c r="W274" s="6">
        <f t="shared" si="79"/>
        <v>446</v>
      </c>
      <c r="X274" s="5"/>
      <c r="Y274" s="4"/>
      <c r="Z274" s="4"/>
      <c r="AA274" s="4"/>
      <c r="AB274" s="4"/>
    </row>
    <row r="275" spans="1:28" ht="13.15" customHeight="1">
      <c r="A275" s="11">
        <v>261</v>
      </c>
      <c r="B275" s="14">
        <f t="shared" si="90"/>
        <v>45304</v>
      </c>
      <c r="C275" s="9">
        <f t="shared" si="91"/>
        <v>842</v>
      </c>
      <c r="D275" s="8">
        <f t="shared" si="82"/>
        <v>1699</v>
      </c>
      <c r="E275" s="7">
        <f t="shared" si="83"/>
        <v>1033</v>
      </c>
      <c r="F275" s="7">
        <f t="shared" si="84"/>
        <v>1019</v>
      </c>
      <c r="G275" s="7">
        <f t="shared" si="85"/>
        <v>895</v>
      </c>
      <c r="H275" s="4">
        <f t="shared" si="86"/>
        <v>1508</v>
      </c>
      <c r="I275" s="4">
        <f t="shared" si="87"/>
        <v>1522</v>
      </c>
      <c r="J275" s="4">
        <f t="shared" si="88"/>
        <v>1646</v>
      </c>
      <c r="K275" s="4">
        <f t="shared" si="92"/>
        <v>2000</v>
      </c>
      <c r="L275" s="4">
        <f t="shared" si="93"/>
        <v>2000</v>
      </c>
      <c r="M275" s="4">
        <f t="shared" si="94"/>
        <v>2000</v>
      </c>
      <c r="N275" s="4">
        <f t="shared" si="95"/>
        <v>-492</v>
      </c>
      <c r="O275" s="4">
        <f t="shared" si="96"/>
        <v>-478</v>
      </c>
      <c r="P275" s="4">
        <f t="shared" si="97"/>
        <v>-354</v>
      </c>
      <c r="Q275" s="7">
        <v>0</v>
      </c>
      <c r="R275" s="7">
        <v>0</v>
      </c>
      <c r="S275" s="7">
        <v>0</v>
      </c>
      <c r="T275" s="5">
        <f t="shared" si="89"/>
        <v>2229</v>
      </c>
      <c r="U275" s="6">
        <f t="shared" si="80"/>
        <v>288</v>
      </c>
      <c r="V275" s="6">
        <f t="shared" si="81"/>
        <v>312</v>
      </c>
      <c r="W275" s="6">
        <f t="shared" si="79"/>
        <v>446</v>
      </c>
      <c r="X275" s="5"/>
      <c r="Y275" s="4"/>
      <c r="Z275" s="4"/>
      <c r="AA275" s="4"/>
      <c r="AB275" s="4"/>
    </row>
    <row r="276" spans="1:28" ht="13.15" customHeight="1">
      <c r="A276" s="11">
        <v>262</v>
      </c>
      <c r="B276" s="14">
        <f t="shared" si="90"/>
        <v>45305</v>
      </c>
      <c r="C276" s="9">
        <f t="shared" si="91"/>
        <v>842</v>
      </c>
      <c r="D276" s="8">
        <f t="shared" si="82"/>
        <v>1701</v>
      </c>
      <c r="E276" s="7">
        <f t="shared" si="83"/>
        <v>1035</v>
      </c>
      <c r="F276" s="7">
        <f t="shared" si="84"/>
        <v>1021</v>
      </c>
      <c r="G276" s="7">
        <f t="shared" si="85"/>
        <v>897</v>
      </c>
      <c r="H276" s="4">
        <f t="shared" si="86"/>
        <v>1508</v>
      </c>
      <c r="I276" s="4">
        <f t="shared" si="87"/>
        <v>1522</v>
      </c>
      <c r="J276" s="4">
        <f t="shared" si="88"/>
        <v>1646</v>
      </c>
      <c r="K276" s="4">
        <f t="shared" si="92"/>
        <v>2000</v>
      </c>
      <c r="L276" s="4">
        <f t="shared" si="93"/>
        <v>2000</v>
      </c>
      <c r="M276" s="4">
        <f t="shared" si="94"/>
        <v>2000</v>
      </c>
      <c r="N276" s="4">
        <f t="shared" si="95"/>
        <v>-492</v>
      </c>
      <c r="O276" s="4">
        <f t="shared" si="96"/>
        <v>-478</v>
      </c>
      <c r="P276" s="4">
        <f t="shared" si="97"/>
        <v>-354</v>
      </c>
      <c r="Q276" s="7">
        <v>0</v>
      </c>
      <c r="R276" s="7">
        <v>0</v>
      </c>
      <c r="S276" s="7">
        <v>0</v>
      </c>
      <c r="T276" s="5">
        <f t="shared" si="89"/>
        <v>2231</v>
      </c>
      <c r="U276" s="6">
        <f t="shared" si="80"/>
        <v>288</v>
      </c>
      <c r="V276" s="6">
        <f t="shared" si="81"/>
        <v>312</v>
      </c>
      <c r="W276" s="6">
        <f t="shared" si="79"/>
        <v>446</v>
      </c>
      <c r="X276" s="5"/>
      <c r="Y276" s="4"/>
      <c r="Z276" s="4"/>
      <c r="AA276" s="4"/>
      <c r="AB276" s="4"/>
    </row>
    <row r="277" spans="1:28" ht="13.15" customHeight="1">
      <c r="A277" s="11">
        <v>263</v>
      </c>
      <c r="B277" s="14">
        <f t="shared" si="90"/>
        <v>45306</v>
      </c>
      <c r="C277" s="9">
        <f t="shared" si="91"/>
        <v>842</v>
      </c>
      <c r="D277" s="8">
        <f t="shared" si="82"/>
        <v>1703</v>
      </c>
      <c r="E277" s="7">
        <f t="shared" si="83"/>
        <v>1037</v>
      </c>
      <c r="F277" s="7">
        <f t="shared" si="84"/>
        <v>1023</v>
      </c>
      <c r="G277" s="7">
        <f t="shared" si="85"/>
        <v>899</v>
      </c>
      <c r="H277" s="4">
        <f t="shared" si="86"/>
        <v>1508</v>
      </c>
      <c r="I277" s="4">
        <f t="shared" si="87"/>
        <v>1522</v>
      </c>
      <c r="J277" s="4">
        <f t="shared" si="88"/>
        <v>1646</v>
      </c>
      <c r="K277" s="4">
        <f t="shared" si="92"/>
        <v>2000</v>
      </c>
      <c r="L277" s="4">
        <f t="shared" si="93"/>
        <v>2000</v>
      </c>
      <c r="M277" s="4">
        <f t="shared" si="94"/>
        <v>2000</v>
      </c>
      <c r="N277" s="4">
        <f t="shared" si="95"/>
        <v>-492</v>
      </c>
      <c r="O277" s="4">
        <f t="shared" si="96"/>
        <v>-478</v>
      </c>
      <c r="P277" s="4">
        <f t="shared" si="97"/>
        <v>-354</v>
      </c>
      <c r="Q277" s="7">
        <v>0</v>
      </c>
      <c r="R277" s="7">
        <v>0</v>
      </c>
      <c r="S277" s="7">
        <v>0</v>
      </c>
      <c r="T277" s="5">
        <f t="shared" si="89"/>
        <v>2233</v>
      </c>
      <c r="U277" s="6">
        <f t="shared" si="80"/>
        <v>288</v>
      </c>
      <c r="V277" s="6">
        <f t="shared" si="81"/>
        <v>312</v>
      </c>
      <c r="W277" s="6">
        <f t="shared" si="79"/>
        <v>446</v>
      </c>
      <c r="X277" s="5"/>
      <c r="Y277" s="4"/>
      <c r="Z277" s="4"/>
      <c r="AA277" s="4"/>
      <c r="AB277" s="4"/>
    </row>
    <row r="278" spans="1:28" ht="13.15" customHeight="1">
      <c r="A278" s="11">
        <v>264</v>
      </c>
      <c r="B278" s="14">
        <f t="shared" si="90"/>
        <v>45307</v>
      </c>
      <c r="C278" s="9">
        <f t="shared" si="91"/>
        <v>842</v>
      </c>
      <c r="D278" s="8">
        <f t="shared" si="82"/>
        <v>1705</v>
      </c>
      <c r="E278" s="7">
        <f t="shared" si="83"/>
        <v>1039</v>
      </c>
      <c r="F278" s="7">
        <f t="shared" si="84"/>
        <v>1025</v>
      </c>
      <c r="G278" s="7">
        <f t="shared" si="85"/>
        <v>901</v>
      </c>
      <c r="H278" s="4">
        <f t="shared" si="86"/>
        <v>1508</v>
      </c>
      <c r="I278" s="4">
        <f t="shared" si="87"/>
        <v>1522</v>
      </c>
      <c r="J278" s="4">
        <f t="shared" si="88"/>
        <v>1646</v>
      </c>
      <c r="K278" s="4">
        <f t="shared" si="92"/>
        <v>2000</v>
      </c>
      <c r="L278" s="4">
        <f t="shared" si="93"/>
        <v>2000</v>
      </c>
      <c r="M278" s="4">
        <f t="shared" si="94"/>
        <v>2000</v>
      </c>
      <c r="N278" s="4">
        <f t="shared" si="95"/>
        <v>-492</v>
      </c>
      <c r="O278" s="4">
        <f t="shared" si="96"/>
        <v>-478</v>
      </c>
      <c r="P278" s="4">
        <f t="shared" si="97"/>
        <v>-354</v>
      </c>
      <c r="Q278" s="7">
        <v>0</v>
      </c>
      <c r="R278" s="7">
        <v>0</v>
      </c>
      <c r="S278" s="7">
        <v>0</v>
      </c>
      <c r="T278" s="5">
        <f t="shared" si="89"/>
        <v>2235</v>
      </c>
      <c r="U278" s="6">
        <f t="shared" si="80"/>
        <v>288</v>
      </c>
      <c r="V278" s="6">
        <f t="shared" si="81"/>
        <v>312</v>
      </c>
      <c r="W278" s="6">
        <f t="shared" si="79"/>
        <v>446</v>
      </c>
      <c r="X278" s="5"/>
      <c r="Y278" s="4"/>
      <c r="Z278" s="4"/>
      <c r="AA278" s="4"/>
      <c r="AB278" s="4"/>
    </row>
    <row r="279" spans="1:28" ht="13.15" customHeight="1">
      <c r="A279" s="11">
        <v>265</v>
      </c>
      <c r="B279" s="14">
        <f t="shared" si="90"/>
        <v>45308</v>
      </c>
      <c r="C279" s="9">
        <f t="shared" si="91"/>
        <v>842</v>
      </c>
      <c r="D279" s="8">
        <f t="shared" si="82"/>
        <v>1707</v>
      </c>
      <c r="E279" s="7">
        <f t="shared" si="83"/>
        <v>1041</v>
      </c>
      <c r="F279" s="7">
        <f t="shared" si="84"/>
        <v>1027</v>
      </c>
      <c r="G279" s="7">
        <f t="shared" si="85"/>
        <v>903</v>
      </c>
      <c r="H279" s="4">
        <f t="shared" si="86"/>
        <v>1508</v>
      </c>
      <c r="I279" s="4">
        <f t="shared" si="87"/>
        <v>1522</v>
      </c>
      <c r="J279" s="4">
        <f t="shared" si="88"/>
        <v>1646</v>
      </c>
      <c r="K279" s="4">
        <f t="shared" si="92"/>
        <v>2000</v>
      </c>
      <c r="L279" s="4">
        <f t="shared" si="93"/>
        <v>2000</v>
      </c>
      <c r="M279" s="4">
        <f t="shared" si="94"/>
        <v>2000</v>
      </c>
      <c r="N279" s="4">
        <f t="shared" si="95"/>
        <v>-492</v>
      </c>
      <c r="O279" s="4">
        <f t="shared" si="96"/>
        <v>-478</v>
      </c>
      <c r="P279" s="4">
        <f t="shared" si="97"/>
        <v>-354</v>
      </c>
      <c r="Q279" s="7">
        <v>0</v>
      </c>
      <c r="R279" s="7">
        <v>0</v>
      </c>
      <c r="S279" s="7">
        <v>0</v>
      </c>
      <c r="T279" s="5">
        <f t="shared" si="89"/>
        <v>2237</v>
      </c>
      <c r="U279" s="6">
        <f t="shared" si="80"/>
        <v>288</v>
      </c>
      <c r="V279" s="6">
        <f t="shared" si="81"/>
        <v>312</v>
      </c>
      <c r="W279" s="6">
        <f t="shared" si="79"/>
        <v>446</v>
      </c>
      <c r="X279" s="5"/>
      <c r="Y279" s="4"/>
      <c r="Z279" s="4"/>
      <c r="AA279" s="4"/>
      <c r="AB279" s="4"/>
    </row>
    <row r="280" spans="1:28" ht="13.15" customHeight="1">
      <c r="A280" s="11">
        <v>266</v>
      </c>
      <c r="B280" s="14">
        <f t="shared" si="90"/>
        <v>45309</v>
      </c>
      <c r="C280" s="9">
        <f t="shared" si="91"/>
        <v>842</v>
      </c>
      <c r="D280" s="8">
        <f t="shared" si="82"/>
        <v>1709</v>
      </c>
      <c r="E280" s="7">
        <f t="shared" si="83"/>
        <v>1043</v>
      </c>
      <c r="F280" s="7">
        <f t="shared" si="84"/>
        <v>1029</v>
      </c>
      <c r="G280" s="7">
        <f t="shared" si="85"/>
        <v>905</v>
      </c>
      <c r="H280" s="4">
        <f t="shared" si="86"/>
        <v>1508</v>
      </c>
      <c r="I280" s="4">
        <f t="shared" si="87"/>
        <v>1522</v>
      </c>
      <c r="J280" s="4">
        <f t="shared" si="88"/>
        <v>1646</v>
      </c>
      <c r="K280" s="4">
        <f t="shared" si="92"/>
        <v>2000</v>
      </c>
      <c r="L280" s="4">
        <f t="shared" si="93"/>
        <v>2000</v>
      </c>
      <c r="M280" s="4">
        <f t="shared" si="94"/>
        <v>2000</v>
      </c>
      <c r="N280" s="4">
        <f t="shared" si="95"/>
        <v>-492</v>
      </c>
      <c r="O280" s="4">
        <f t="shared" si="96"/>
        <v>-478</v>
      </c>
      <c r="P280" s="4">
        <f t="shared" si="97"/>
        <v>-354</v>
      </c>
      <c r="Q280" s="7">
        <v>0</v>
      </c>
      <c r="R280" s="7">
        <v>0</v>
      </c>
      <c r="S280" s="7">
        <v>0</v>
      </c>
      <c r="T280" s="5">
        <f t="shared" si="89"/>
        <v>2239</v>
      </c>
      <c r="U280" s="6">
        <f t="shared" si="80"/>
        <v>288</v>
      </c>
      <c r="V280" s="6">
        <f t="shared" si="81"/>
        <v>312</v>
      </c>
      <c r="W280" s="6">
        <f t="shared" si="79"/>
        <v>446</v>
      </c>
      <c r="X280" s="5"/>
      <c r="Y280" s="4"/>
      <c r="Z280" s="4"/>
      <c r="AA280" s="4"/>
      <c r="AB280" s="4"/>
    </row>
    <row r="281" spans="1:28" ht="13.15" customHeight="1">
      <c r="A281" s="11">
        <v>267</v>
      </c>
      <c r="B281" s="14">
        <f t="shared" si="90"/>
        <v>45310</v>
      </c>
      <c r="C281" s="9">
        <f t="shared" si="91"/>
        <v>842</v>
      </c>
      <c r="D281" s="8">
        <f t="shared" si="82"/>
        <v>1711</v>
      </c>
      <c r="E281" s="7">
        <f t="shared" si="83"/>
        <v>1045</v>
      </c>
      <c r="F281" s="7">
        <f t="shared" si="84"/>
        <v>1031</v>
      </c>
      <c r="G281" s="7">
        <f t="shared" si="85"/>
        <v>907</v>
      </c>
      <c r="H281" s="4">
        <f t="shared" si="86"/>
        <v>1508</v>
      </c>
      <c r="I281" s="4">
        <f t="shared" si="87"/>
        <v>1522</v>
      </c>
      <c r="J281" s="4">
        <f t="shared" si="88"/>
        <v>1646</v>
      </c>
      <c r="K281" s="4">
        <f t="shared" si="92"/>
        <v>2000</v>
      </c>
      <c r="L281" s="4">
        <f t="shared" si="93"/>
        <v>2000</v>
      </c>
      <c r="M281" s="4">
        <f t="shared" si="94"/>
        <v>2000</v>
      </c>
      <c r="N281" s="4">
        <f t="shared" si="95"/>
        <v>-492</v>
      </c>
      <c r="O281" s="4">
        <f t="shared" si="96"/>
        <v>-478</v>
      </c>
      <c r="P281" s="4">
        <f t="shared" si="97"/>
        <v>-354</v>
      </c>
      <c r="Q281" s="7">
        <v>0</v>
      </c>
      <c r="R281" s="7">
        <v>0</v>
      </c>
      <c r="S281" s="7">
        <v>0</v>
      </c>
      <c r="T281" s="5">
        <f t="shared" si="89"/>
        <v>2241</v>
      </c>
      <c r="U281" s="6">
        <f t="shared" si="80"/>
        <v>288</v>
      </c>
      <c r="V281" s="6">
        <f t="shared" si="81"/>
        <v>312</v>
      </c>
      <c r="W281" s="6">
        <f t="shared" si="79"/>
        <v>446</v>
      </c>
      <c r="X281" s="5"/>
      <c r="Y281" s="4"/>
      <c r="Z281" s="4"/>
      <c r="AA281" s="4"/>
      <c r="AB281" s="4"/>
    </row>
    <row r="282" spans="1:28" ht="13.15" customHeight="1">
      <c r="A282" s="11">
        <v>268</v>
      </c>
      <c r="B282" s="14">
        <f t="shared" si="90"/>
        <v>45311</v>
      </c>
      <c r="C282" s="9">
        <f t="shared" si="91"/>
        <v>842</v>
      </c>
      <c r="D282" s="8">
        <f t="shared" si="82"/>
        <v>1713</v>
      </c>
      <c r="E282" s="7">
        <f t="shared" si="83"/>
        <v>1047</v>
      </c>
      <c r="F282" s="7">
        <f t="shared" si="84"/>
        <v>1033</v>
      </c>
      <c r="G282" s="7">
        <f t="shared" si="85"/>
        <v>909</v>
      </c>
      <c r="H282" s="4">
        <f t="shared" si="86"/>
        <v>1508</v>
      </c>
      <c r="I282" s="4">
        <f t="shared" si="87"/>
        <v>1522</v>
      </c>
      <c r="J282" s="4">
        <f t="shared" si="88"/>
        <v>1646</v>
      </c>
      <c r="K282" s="4">
        <f t="shared" si="92"/>
        <v>2000</v>
      </c>
      <c r="L282" s="4">
        <f t="shared" si="93"/>
        <v>2000</v>
      </c>
      <c r="M282" s="4">
        <f t="shared" si="94"/>
        <v>2000</v>
      </c>
      <c r="N282" s="4">
        <f t="shared" si="95"/>
        <v>-492</v>
      </c>
      <c r="O282" s="4">
        <f t="shared" si="96"/>
        <v>-478</v>
      </c>
      <c r="P282" s="4">
        <f t="shared" si="97"/>
        <v>-354</v>
      </c>
      <c r="Q282" s="7">
        <v>0</v>
      </c>
      <c r="R282" s="7">
        <v>0</v>
      </c>
      <c r="S282" s="7">
        <v>0</v>
      </c>
      <c r="T282" s="5">
        <f t="shared" si="89"/>
        <v>2243</v>
      </c>
      <c r="U282" s="6">
        <f t="shared" si="80"/>
        <v>288</v>
      </c>
      <c r="V282" s="6">
        <f t="shared" si="81"/>
        <v>312</v>
      </c>
      <c r="W282" s="6">
        <f t="shared" si="79"/>
        <v>446</v>
      </c>
      <c r="X282" s="5"/>
      <c r="Y282" s="4"/>
      <c r="Z282" s="4"/>
      <c r="AA282" s="4"/>
      <c r="AB282" s="4"/>
    </row>
    <row r="283" spans="1:28" ht="13.15" customHeight="1">
      <c r="A283" s="11">
        <v>269</v>
      </c>
      <c r="B283" s="14">
        <f t="shared" si="90"/>
        <v>45312</v>
      </c>
      <c r="C283" s="9">
        <f t="shared" si="91"/>
        <v>842</v>
      </c>
      <c r="D283" s="8">
        <f t="shared" si="82"/>
        <v>1715</v>
      </c>
      <c r="E283" s="7">
        <f t="shared" si="83"/>
        <v>1049</v>
      </c>
      <c r="F283" s="7">
        <f t="shared" si="84"/>
        <v>1035</v>
      </c>
      <c r="G283" s="7">
        <f t="shared" si="85"/>
        <v>911</v>
      </c>
      <c r="H283" s="4">
        <f t="shared" si="86"/>
        <v>1508</v>
      </c>
      <c r="I283" s="4">
        <f t="shared" si="87"/>
        <v>1522</v>
      </c>
      <c r="J283" s="4">
        <f t="shared" si="88"/>
        <v>1646</v>
      </c>
      <c r="K283" s="4">
        <f t="shared" si="92"/>
        <v>2000</v>
      </c>
      <c r="L283" s="4">
        <f t="shared" si="93"/>
        <v>2000</v>
      </c>
      <c r="M283" s="4">
        <f t="shared" si="94"/>
        <v>2000</v>
      </c>
      <c r="N283" s="4">
        <f t="shared" si="95"/>
        <v>-492</v>
      </c>
      <c r="O283" s="4">
        <f t="shared" si="96"/>
        <v>-478</v>
      </c>
      <c r="P283" s="4">
        <f t="shared" si="97"/>
        <v>-354</v>
      </c>
      <c r="Q283" s="7">
        <v>0</v>
      </c>
      <c r="R283" s="7">
        <v>0</v>
      </c>
      <c r="S283" s="7">
        <v>0</v>
      </c>
      <c r="T283" s="5">
        <f t="shared" si="89"/>
        <v>2245</v>
      </c>
      <c r="U283" s="6">
        <f t="shared" si="80"/>
        <v>288</v>
      </c>
      <c r="V283" s="6">
        <f t="shared" si="81"/>
        <v>312</v>
      </c>
      <c r="W283" s="6">
        <f t="shared" si="79"/>
        <v>446</v>
      </c>
      <c r="X283" s="5"/>
      <c r="Y283" s="4"/>
      <c r="Z283" s="4"/>
      <c r="AA283" s="4"/>
      <c r="AB283" s="4"/>
    </row>
    <row r="284" spans="1:28" ht="13.15" customHeight="1">
      <c r="A284" s="11">
        <v>270</v>
      </c>
      <c r="B284" s="14">
        <f t="shared" si="90"/>
        <v>45313</v>
      </c>
      <c r="C284" s="9">
        <f t="shared" si="91"/>
        <v>842</v>
      </c>
      <c r="D284" s="8">
        <f t="shared" si="82"/>
        <v>1717</v>
      </c>
      <c r="E284" s="7">
        <f t="shared" si="83"/>
        <v>1051</v>
      </c>
      <c r="F284" s="7">
        <f t="shared" si="84"/>
        <v>1037</v>
      </c>
      <c r="G284" s="7">
        <f t="shared" si="85"/>
        <v>913</v>
      </c>
      <c r="H284" s="4">
        <f t="shared" si="86"/>
        <v>1508</v>
      </c>
      <c r="I284" s="4">
        <f t="shared" si="87"/>
        <v>1522</v>
      </c>
      <c r="J284" s="4">
        <f t="shared" si="88"/>
        <v>1646</v>
      </c>
      <c r="K284" s="4">
        <f t="shared" si="92"/>
        <v>2000</v>
      </c>
      <c r="L284" s="4">
        <f t="shared" si="93"/>
        <v>2000</v>
      </c>
      <c r="M284" s="4">
        <f t="shared" si="94"/>
        <v>2000</v>
      </c>
      <c r="N284" s="4">
        <f t="shared" si="95"/>
        <v>-492</v>
      </c>
      <c r="O284" s="4">
        <f t="shared" si="96"/>
        <v>-478</v>
      </c>
      <c r="P284" s="4">
        <f t="shared" si="97"/>
        <v>-354</v>
      </c>
      <c r="Q284" s="7">
        <v>0</v>
      </c>
      <c r="R284" s="7">
        <v>0</v>
      </c>
      <c r="S284" s="7">
        <v>0</v>
      </c>
      <c r="T284" s="5">
        <f t="shared" si="89"/>
        <v>2247</v>
      </c>
      <c r="U284" s="6">
        <f t="shared" si="80"/>
        <v>288</v>
      </c>
      <c r="V284" s="6">
        <f t="shared" si="81"/>
        <v>312</v>
      </c>
      <c r="W284" s="6">
        <f t="shared" si="79"/>
        <v>446</v>
      </c>
      <c r="X284" s="5"/>
      <c r="Y284" s="4"/>
      <c r="Z284" s="4"/>
      <c r="AA284" s="4"/>
      <c r="AB284" s="4"/>
    </row>
    <row r="285" spans="1:28" ht="13.15" customHeight="1">
      <c r="A285" s="11">
        <v>271</v>
      </c>
      <c r="B285" s="14">
        <f t="shared" si="90"/>
        <v>45314</v>
      </c>
      <c r="C285" s="9">
        <f t="shared" si="91"/>
        <v>842</v>
      </c>
      <c r="D285" s="8">
        <f t="shared" si="82"/>
        <v>1719</v>
      </c>
      <c r="E285" s="7">
        <f t="shared" si="83"/>
        <v>1053</v>
      </c>
      <c r="F285" s="7">
        <f t="shared" si="84"/>
        <v>1039</v>
      </c>
      <c r="G285" s="7">
        <f t="shared" si="85"/>
        <v>915</v>
      </c>
      <c r="H285" s="4">
        <f t="shared" si="86"/>
        <v>1508</v>
      </c>
      <c r="I285" s="4">
        <f t="shared" si="87"/>
        <v>1522</v>
      </c>
      <c r="J285" s="4">
        <f t="shared" si="88"/>
        <v>1646</v>
      </c>
      <c r="K285" s="4">
        <f t="shared" si="92"/>
        <v>2000</v>
      </c>
      <c r="L285" s="4">
        <f t="shared" si="93"/>
        <v>2000</v>
      </c>
      <c r="M285" s="4">
        <f t="shared" si="94"/>
        <v>2000</v>
      </c>
      <c r="N285" s="4">
        <f t="shared" si="95"/>
        <v>-492</v>
      </c>
      <c r="O285" s="4">
        <f t="shared" si="96"/>
        <v>-478</v>
      </c>
      <c r="P285" s="4">
        <f t="shared" si="97"/>
        <v>-354</v>
      </c>
      <c r="Q285" s="7">
        <v>0</v>
      </c>
      <c r="R285" s="7">
        <v>0</v>
      </c>
      <c r="S285" s="7">
        <v>0</v>
      </c>
      <c r="T285" s="5">
        <f t="shared" si="89"/>
        <v>2249</v>
      </c>
      <c r="U285" s="6">
        <f t="shared" si="80"/>
        <v>288</v>
      </c>
      <c r="V285" s="6">
        <f t="shared" si="81"/>
        <v>312</v>
      </c>
      <c r="W285" s="6">
        <f t="shared" si="79"/>
        <v>446</v>
      </c>
      <c r="X285" s="5"/>
      <c r="Y285" s="4"/>
      <c r="Z285" s="4"/>
      <c r="AA285" s="4"/>
      <c r="AB285" s="4"/>
    </row>
    <row r="286" spans="1:28" ht="13.15" customHeight="1">
      <c r="A286" s="11">
        <v>272</v>
      </c>
      <c r="B286" s="14">
        <f t="shared" si="90"/>
        <v>45315</v>
      </c>
      <c r="C286" s="9">
        <f t="shared" si="91"/>
        <v>842</v>
      </c>
      <c r="D286" s="8">
        <f t="shared" si="82"/>
        <v>1721</v>
      </c>
      <c r="E286" s="7">
        <f t="shared" si="83"/>
        <v>1055</v>
      </c>
      <c r="F286" s="7">
        <f t="shared" si="84"/>
        <v>1041</v>
      </c>
      <c r="G286" s="7">
        <f t="shared" si="85"/>
        <v>917</v>
      </c>
      <c r="H286" s="4">
        <f t="shared" si="86"/>
        <v>1508</v>
      </c>
      <c r="I286" s="4">
        <f t="shared" si="87"/>
        <v>1522</v>
      </c>
      <c r="J286" s="4">
        <f t="shared" si="88"/>
        <v>1646</v>
      </c>
      <c r="K286" s="4">
        <f t="shared" si="92"/>
        <v>2000</v>
      </c>
      <c r="L286" s="4">
        <f t="shared" si="93"/>
        <v>2000</v>
      </c>
      <c r="M286" s="4">
        <f t="shared" si="94"/>
        <v>2000</v>
      </c>
      <c r="N286" s="4">
        <f t="shared" si="95"/>
        <v>-492</v>
      </c>
      <c r="O286" s="4">
        <f t="shared" si="96"/>
        <v>-478</v>
      </c>
      <c r="P286" s="4">
        <f t="shared" si="97"/>
        <v>-354</v>
      </c>
      <c r="Q286" s="7">
        <v>0</v>
      </c>
      <c r="R286" s="7">
        <v>0</v>
      </c>
      <c r="S286" s="7">
        <v>0</v>
      </c>
      <c r="T286" s="5">
        <f t="shared" si="89"/>
        <v>2251</v>
      </c>
      <c r="U286" s="6">
        <f t="shared" si="80"/>
        <v>288</v>
      </c>
      <c r="V286" s="6">
        <f t="shared" si="81"/>
        <v>312</v>
      </c>
      <c r="W286" s="6">
        <f t="shared" si="79"/>
        <v>446</v>
      </c>
      <c r="X286" s="5"/>
      <c r="Y286" s="4"/>
      <c r="Z286" s="4"/>
      <c r="AA286" s="4"/>
      <c r="AB286" s="4"/>
    </row>
    <row r="287" spans="1:28" ht="13.15" customHeight="1">
      <c r="A287" s="11">
        <v>273</v>
      </c>
      <c r="B287" s="14">
        <f t="shared" si="90"/>
        <v>45316</v>
      </c>
      <c r="C287" s="9">
        <f t="shared" si="91"/>
        <v>842</v>
      </c>
      <c r="D287" s="8">
        <f t="shared" si="82"/>
        <v>1723</v>
      </c>
      <c r="E287" s="7">
        <f t="shared" si="83"/>
        <v>1057</v>
      </c>
      <c r="F287" s="7">
        <f t="shared" si="84"/>
        <v>1043</v>
      </c>
      <c r="G287" s="7">
        <f t="shared" si="85"/>
        <v>919</v>
      </c>
      <c r="H287" s="4">
        <f t="shared" si="86"/>
        <v>1508</v>
      </c>
      <c r="I287" s="4">
        <f t="shared" si="87"/>
        <v>1522</v>
      </c>
      <c r="J287" s="4">
        <f t="shared" si="88"/>
        <v>1646</v>
      </c>
      <c r="K287" s="4">
        <f t="shared" si="92"/>
        <v>2000</v>
      </c>
      <c r="L287" s="4">
        <f t="shared" si="93"/>
        <v>2000</v>
      </c>
      <c r="M287" s="4">
        <f t="shared" si="94"/>
        <v>2000</v>
      </c>
      <c r="N287" s="4">
        <f t="shared" si="95"/>
        <v>-492</v>
      </c>
      <c r="O287" s="4">
        <f t="shared" si="96"/>
        <v>-478</v>
      </c>
      <c r="P287" s="4">
        <f t="shared" si="97"/>
        <v>-354</v>
      </c>
      <c r="Q287" s="7">
        <v>0</v>
      </c>
      <c r="R287" s="7">
        <v>0</v>
      </c>
      <c r="S287" s="7">
        <v>0</v>
      </c>
      <c r="T287" s="5">
        <f t="shared" si="89"/>
        <v>2253</v>
      </c>
      <c r="U287" s="6">
        <f t="shared" si="80"/>
        <v>288</v>
      </c>
      <c r="V287" s="6">
        <f t="shared" si="81"/>
        <v>312</v>
      </c>
      <c r="W287" s="6">
        <f t="shared" si="79"/>
        <v>446</v>
      </c>
      <c r="X287" s="5"/>
      <c r="Y287" s="4"/>
      <c r="Z287" s="4"/>
      <c r="AA287" s="4"/>
      <c r="AB287" s="4"/>
    </row>
    <row r="288" spans="1:28" ht="13.15" customHeight="1">
      <c r="A288" s="11">
        <v>274</v>
      </c>
      <c r="B288" s="14">
        <f t="shared" si="90"/>
        <v>45317</v>
      </c>
      <c r="C288" s="9">
        <f t="shared" si="91"/>
        <v>842</v>
      </c>
      <c r="D288" s="8">
        <f t="shared" si="82"/>
        <v>1725</v>
      </c>
      <c r="E288" s="7">
        <f t="shared" si="83"/>
        <v>1059</v>
      </c>
      <c r="F288" s="7">
        <f t="shared" si="84"/>
        <v>1045</v>
      </c>
      <c r="G288" s="7">
        <f t="shared" si="85"/>
        <v>921</v>
      </c>
      <c r="H288" s="4">
        <f t="shared" si="86"/>
        <v>1508</v>
      </c>
      <c r="I288" s="4">
        <f t="shared" si="87"/>
        <v>1522</v>
      </c>
      <c r="J288" s="4">
        <f t="shared" si="88"/>
        <v>1646</v>
      </c>
      <c r="K288" s="4">
        <f t="shared" si="92"/>
        <v>2000</v>
      </c>
      <c r="L288" s="4">
        <f t="shared" si="93"/>
        <v>2000</v>
      </c>
      <c r="M288" s="4">
        <f t="shared" si="94"/>
        <v>2000</v>
      </c>
      <c r="N288" s="4">
        <f t="shared" si="95"/>
        <v>-492</v>
      </c>
      <c r="O288" s="4">
        <f t="shared" si="96"/>
        <v>-478</v>
      </c>
      <c r="P288" s="4">
        <f t="shared" si="97"/>
        <v>-354</v>
      </c>
      <c r="Q288" s="7">
        <v>0</v>
      </c>
      <c r="R288" s="7">
        <v>0</v>
      </c>
      <c r="S288" s="7">
        <v>0</v>
      </c>
      <c r="T288" s="5">
        <f t="shared" si="89"/>
        <v>2255</v>
      </c>
      <c r="U288" s="6">
        <f t="shared" si="80"/>
        <v>288</v>
      </c>
      <c r="V288" s="6">
        <f t="shared" si="81"/>
        <v>312</v>
      </c>
      <c r="W288" s="6">
        <f t="shared" si="79"/>
        <v>446</v>
      </c>
      <c r="X288" s="5"/>
      <c r="Y288" s="4"/>
      <c r="Z288" s="4"/>
      <c r="AA288" s="4"/>
      <c r="AB288" s="4"/>
    </row>
    <row r="289" spans="1:28" ht="13.15" customHeight="1">
      <c r="A289" s="11">
        <v>275</v>
      </c>
      <c r="B289" s="14">
        <f t="shared" si="90"/>
        <v>45318</v>
      </c>
      <c r="C289" s="9">
        <f t="shared" si="91"/>
        <v>842</v>
      </c>
      <c r="D289" s="8">
        <f t="shared" si="82"/>
        <v>1727</v>
      </c>
      <c r="E289" s="7">
        <f t="shared" si="83"/>
        <v>1061</v>
      </c>
      <c r="F289" s="7">
        <f t="shared" si="84"/>
        <v>1047</v>
      </c>
      <c r="G289" s="7">
        <f t="shared" si="85"/>
        <v>923</v>
      </c>
      <c r="H289" s="4">
        <f t="shared" si="86"/>
        <v>1508</v>
      </c>
      <c r="I289" s="4">
        <f t="shared" si="87"/>
        <v>1522</v>
      </c>
      <c r="J289" s="4">
        <f t="shared" si="88"/>
        <v>1646</v>
      </c>
      <c r="K289" s="4">
        <f t="shared" si="92"/>
        <v>2000</v>
      </c>
      <c r="L289" s="4">
        <f t="shared" si="93"/>
        <v>2000</v>
      </c>
      <c r="M289" s="4">
        <f t="shared" si="94"/>
        <v>2000</v>
      </c>
      <c r="N289" s="4">
        <f t="shared" si="95"/>
        <v>-492</v>
      </c>
      <c r="O289" s="4">
        <f t="shared" si="96"/>
        <v>-478</v>
      </c>
      <c r="P289" s="4">
        <f t="shared" si="97"/>
        <v>-354</v>
      </c>
      <c r="Q289" s="7">
        <v>0</v>
      </c>
      <c r="R289" s="7">
        <v>0</v>
      </c>
      <c r="S289" s="7">
        <v>0</v>
      </c>
      <c r="T289" s="5">
        <f t="shared" si="89"/>
        <v>2257</v>
      </c>
      <c r="U289" s="6">
        <f t="shared" si="80"/>
        <v>288</v>
      </c>
      <c r="V289" s="6">
        <f t="shared" si="81"/>
        <v>312</v>
      </c>
      <c r="W289" s="6">
        <f t="shared" si="79"/>
        <v>446</v>
      </c>
      <c r="X289" s="5"/>
      <c r="Y289" s="4"/>
      <c r="Z289" s="4"/>
      <c r="AA289" s="4"/>
      <c r="AB289" s="4"/>
    </row>
    <row r="290" spans="1:28" ht="13.15" customHeight="1">
      <c r="A290" s="11">
        <v>276</v>
      </c>
      <c r="B290" s="14">
        <f t="shared" si="90"/>
        <v>45319</v>
      </c>
      <c r="C290" s="9">
        <f t="shared" si="91"/>
        <v>842</v>
      </c>
      <c r="D290" s="8">
        <f t="shared" si="82"/>
        <v>1729</v>
      </c>
      <c r="E290" s="7">
        <f t="shared" si="83"/>
        <v>1063</v>
      </c>
      <c r="F290" s="7">
        <f t="shared" si="84"/>
        <v>1049</v>
      </c>
      <c r="G290" s="7">
        <f t="shared" si="85"/>
        <v>925</v>
      </c>
      <c r="H290" s="4">
        <f t="shared" si="86"/>
        <v>1508</v>
      </c>
      <c r="I290" s="4">
        <f t="shared" si="87"/>
        <v>1522</v>
      </c>
      <c r="J290" s="4">
        <f t="shared" si="88"/>
        <v>1646</v>
      </c>
      <c r="K290" s="4">
        <f t="shared" si="92"/>
        <v>2000</v>
      </c>
      <c r="L290" s="4">
        <f t="shared" si="93"/>
        <v>2000</v>
      </c>
      <c r="M290" s="4">
        <f t="shared" si="94"/>
        <v>2000</v>
      </c>
      <c r="N290" s="4">
        <f t="shared" si="95"/>
        <v>-492</v>
      </c>
      <c r="O290" s="4">
        <f t="shared" si="96"/>
        <v>-478</v>
      </c>
      <c r="P290" s="4">
        <f t="shared" si="97"/>
        <v>-354</v>
      </c>
      <c r="Q290" s="7">
        <v>0</v>
      </c>
      <c r="R290" s="7">
        <v>0</v>
      </c>
      <c r="S290" s="7">
        <v>0</v>
      </c>
      <c r="T290" s="5">
        <f t="shared" si="89"/>
        <v>2259</v>
      </c>
      <c r="U290" s="6">
        <f t="shared" si="80"/>
        <v>288</v>
      </c>
      <c r="V290" s="6">
        <f t="shared" si="81"/>
        <v>312</v>
      </c>
      <c r="W290" s="6">
        <f t="shared" si="79"/>
        <v>446</v>
      </c>
      <c r="X290" s="5"/>
      <c r="Y290" s="4"/>
      <c r="Z290" s="4"/>
      <c r="AA290" s="4"/>
      <c r="AB290" s="4"/>
    </row>
    <row r="291" spans="1:28" ht="13.15" customHeight="1">
      <c r="A291" s="11">
        <v>277</v>
      </c>
      <c r="B291" s="14">
        <f t="shared" si="90"/>
        <v>45320</v>
      </c>
      <c r="C291" s="9">
        <f t="shared" si="91"/>
        <v>842</v>
      </c>
      <c r="D291" s="8">
        <f t="shared" si="82"/>
        <v>1731</v>
      </c>
      <c r="E291" s="7">
        <f t="shared" si="83"/>
        <v>1065</v>
      </c>
      <c r="F291" s="7">
        <f t="shared" si="84"/>
        <v>1051</v>
      </c>
      <c r="G291" s="7">
        <f t="shared" si="85"/>
        <v>927</v>
      </c>
      <c r="H291" s="4">
        <f t="shared" si="86"/>
        <v>1508</v>
      </c>
      <c r="I291" s="4">
        <f t="shared" si="87"/>
        <v>1522</v>
      </c>
      <c r="J291" s="4">
        <f t="shared" si="88"/>
        <v>1646</v>
      </c>
      <c r="K291" s="4">
        <f t="shared" si="92"/>
        <v>2000</v>
      </c>
      <c r="L291" s="4">
        <f t="shared" si="93"/>
        <v>2000</v>
      </c>
      <c r="M291" s="4">
        <f t="shared" si="94"/>
        <v>2000</v>
      </c>
      <c r="N291" s="4">
        <f t="shared" si="95"/>
        <v>-492</v>
      </c>
      <c r="O291" s="4">
        <f t="shared" si="96"/>
        <v>-478</v>
      </c>
      <c r="P291" s="4">
        <f t="shared" si="97"/>
        <v>-354</v>
      </c>
      <c r="Q291" s="7">
        <v>0</v>
      </c>
      <c r="R291" s="7">
        <v>0</v>
      </c>
      <c r="S291" s="7">
        <v>0</v>
      </c>
      <c r="T291" s="5">
        <f t="shared" si="89"/>
        <v>2261</v>
      </c>
      <c r="U291" s="6">
        <f t="shared" si="80"/>
        <v>288</v>
      </c>
      <c r="V291" s="6">
        <f t="shared" si="81"/>
        <v>312</v>
      </c>
      <c r="W291" s="6">
        <f t="shared" si="79"/>
        <v>446</v>
      </c>
      <c r="X291" s="5"/>
      <c r="Y291" s="4"/>
      <c r="Z291" s="4"/>
      <c r="AA291" s="4"/>
      <c r="AB291" s="4"/>
    </row>
    <row r="292" spans="1:28" ht="13.15" customHeight="1">
      <c r="A292" s="11">
        <v>278</v>
      </c>
      <c r="B292" s="14">
        <f t="shared" si="90"/>
        <v>45321</v>
      </c>
      <c r="C292" s="9">
        <f t="shared" si="91"/>
        <v>842</v>
      </c>
      <c r="D292" s="8">
        <f t="shared" si="82"/>
        <v>1733</v>
      </c>
      <c r="E292" s="7">
        <f t="shared" si="83"/>
        <v>1067</v>
      </c>
      <c r="F292" s="7">
        <f t="shared" si="84"/>
        <v>1053</v>
      </c>
      <c r="G292" s="7">
        <f t="shared" si="85"/>
        <v>929</v>
      </c>
      <c r="H292" s="4">
        <f t="shared" si="86"/>
        <v>1508</v>
      </c>
      <c r="I292" s="4">
        <f t="shared" si="87"/>
        <v>1522</v>
      </c>
      <c r="J292" s="4">
        <f t="shared" si="88"/>
        <v>1646</v>
      </c>
      <c r="K292" s="4">
        <f t="shared" si="92"/>
        <v>2000</v>
      </c>
      <c r="L292" s="4">
        <f t="shared" si="93"/>
        <v>2000</v>
      </c>
      <c r="M292" s="4">
        <f t="shared" si="94"/>
        <v>2000</v>
      </c>
      <c r="N292" s="4">
        <f t="shared" si="95"/>
        <v>-492</v>
      </c>
      <c r="O292" s="4">
        <f t="shared" si="96"/>
        <v>-478</v>
      </c>
      <c r="P292" s="4">
        <f t="shared" si="97"/>
        <v>-354</v>
      </c>
      <c r="Q292" s="7">
        <v>0</v>
      </c>
      <c r="R292" s="7">
        <v>0</v>
      </c>
      <c r="S292" s="7">
        <v>0</v>
      </c>
      <c r="T292" s="5">
        <f t="shared" si="89"/>
        <v>2263</v>
      </c>
      <c r="U292" s="6">
        <f t="shared" si="80"/>
        <v>288</v>
      </c>
      <c r="V292" s="6">
        <f t="shared" si="81"/>
        <v>312</v>
      </c>
      <c r="W292" s="6">
        <f t="shared" si="79"/>
        <v>446</v>
      </c>
      <c r="X292" s="5"/>
      <c r="Y292" s="4"/>
      <c r="Z292" s="4"/>
      <c r="AA292" s="4"/>
      <c r="AB292" s="4"/>
    </row>
    <row r="293" spans="1:28" ht="13.15" customHeight="1">
      <c r="A293" s="11">
        <v>279</v>
      </c>
      <c r="B293" s="14">
        <f t="shared" si="90"/>
        <v>45322</v>
      </c>
      <c r="C293" s="9">
        <f t="shared" si="91"/>
        <v>842</v>
      </c>
      <c r="D293" s="8">
        <f t="shared" si="82"/>
        <v>1735</v>
      </c>
      <c r="E293" s="7">
        <f t="shared" si="83"/>
        <v>1069</v>
      </c>
      <c r="F293" s="7">
        <f t="shared" si="84"/>
        <v>1055</v>
      </c>
      <c r="G293" s="7">
        <f t="shared" si="85"/>
        <v>931</v>
      </c>
      <c r="H293" s="4">
        <f t="shared" si="86"/>
        <v>1508</v>
      </c>
      <c r="I293" s="4">
        <f t="shared" si="87"/>
        <v>1522</v>
      </c>
      <c r="J293" s="4">
        <f t="shared" si="88"/>
        <v>1646</v>
      </c>
      <c r="K293" s="4">
        <f t="shared" si="92"/>
        <v>2000</v>
      </c>
      <c r="L293" s="4">
        <f t="shared" si="93"/>
        <v>2000</v>
      </c>
      <c r="M293" s="4">
        <f t="shared" si="94"/>
        <v>2000</v>
      </c>
      <c r="N293" s="4">
        <f t="shared" si="95"/>
        <v>-492</v>
      </c>
      <c r="O293" s="4">
        <f t="shared" si="96"/>
        <v>-478</v>
      </c>
      <c r="P293" s="4">
        <f t="shared" si="97"/>
        <v>-354</v>
      </c>
      <c r="Q293" s="7">
        <v>0</v>
      </c>
      <c r="R293" s="7">
        <v>0</v>
      </c>
      <c r="S293" s="7">
        <v>0</v>
      </c>
      <c r="T293" s="5">
        <f t="shared" si="89"/>
        <v>2265</v>
      </c>
      <c r="U293" s="6">
        <f t="shared" si="80"/>
        <v>288</v>
      </c>
      <c r="V293" s="6">
        <f t="shared" si="81"/>
        <v>312</v>
      </c>
      <c r="W293" s="6">
        <f t="shared" si="79"/>
        <v>446</v>
      </c>
      <c r="X293" s="5"/>
      <c r="Y293" s="4"/>
      <c r="Z293" s="4"/>
      <c r="AA293" s="4"/>
      <c r="AB293" s="4"/>
    </row>
    <row r="294" spans="1:28" ht="13.15" customHeight="1">
      <c r="A294" s="11">
        <v>280</v>
      </c>
      <c r="B294" s="14">
        <f t="shared" si="90"/>
        <v>45323</v>
      </c>
      <c r="C294" s="9">
        <f t="shared" si="91"/>
        <v>842</v>
      </c>
      <c r="D294" s="8">
        <f t="shared" si="82"/>
        <v>1737</v>
      </c>
      <c r="E294" s="7">
        <f t="shared" si="83"/>
        <v>1071</v>
      </c>
      <c r="F294" s="7">
        <f t="shared" si="84"/>
        <v>1057</v>
      </c>
      <c r="G294" s="7">
        <f t="shared" si="85"/>
        <v>933</v>
      </c>
      <c r="H294" s="4">
        <f t="shared" si="86"/>
        <v>1508</v>
      </c>
      <c r="I294" s="4">
        <f t="shared" si="87"/>
        <v>1522</v>
      </c>
      <c r="J294" s="4">
        <f t="shared" si="88"/>
        <v>1646</v>
      </c>
      <c r="K294" s="4">
        <f t="shared" si="92"/>
        <v>2000</v>
      </c>
      <c r="L294" s="4">
        <f t="shared" si="93"/>
        <v>2000</v>
      </c>
      <c r="M294" s="4">
        <f t="shared" si="94"/>
        <v>2000</v>
      </c>
      <c r="N294" s="4">
        <f t="shared" si="95"/>
        <v>-492</v>
      </c>
      <c r="O294" s="4">
        <f t="shared" si="96"/>
        <v>-478</v>
      </c>
      <c r="P294" s="4">
        <f t="shared" si="97"/>
        <v>-354</v>
      </c>
      <c r="Q294" s="7">
        <v>0</v>
      </c>
      <c r="R294" s="7">
        <v>0</v>
      </c>
      <c r="S294" s="7">
        <v>0</v>
      </c>
      <c r="T294" s="5">
        <f t="shared" si="89"/>
        <v>2267</v>
      </c>
      <c r="U294" s="6">
        <f t="shared" si="80"/>
        <v>288</v>
      </c>
      <c r="V294" s="6">
        <f t="shared" si="81"/>
        <v>312</v>
      </c>
      <c r="W294" s="6">
        <f t="shared" si="79"/>
        <v>446</v>
      </c>
      <c r="X294" s="5"/>
      <c r="Y294" s="4"/>
      <c r="Z294" s="4"/>
      <c r="AA294" s="4"/>
      <c r="AB294" s="4"/>
    </row>
    <row r="295" spans="1:28" ht="13.15" customHeight="1">
      <c r="A295" s="11">
        <v>281</v>
      </c>
      <c r="B295" s="14">
        <f t="shared" si="90"/>
        <v>45324</v>
      </c>
      <c r="C295" s="9">
        <f t="shared" si="91"/>
        <v>842</v>
      </c>
      <c r="D295" s="8">
        <f t="shared" si="82"/>
        <v>1739</v>
      </c>
      <c r="E295" s="7">
        <f t="shared" si="83"/>
        <v>1073</v>
      </c>
      <c r="F295" s="7">
        <f t="shared" si="84"/>
        <v>1059</v>
      </c>
      <c r="G295" s="7">
        <f t="shared" si="85"/>
        <v>935</v>
      </c>
      <c r="H295" s="4">
        <f t="shared" si="86"/>
        <v>1508</v>
      </c>
      <c r="I295" s="4">
        <f t="shared" si="87"/>
        <v>1522</v>
      </c>
      <c r="J295" s="4">
        <f t="shared" si="88"/>
        <v>1646</v>
      </c>
      <c r="K295" s="4">
        <f t="shared" si="92"/>
        <v>2000</v>
      </c>
      <c r="L295" s="4">
        <f t="shared" si="93"/>
        <v>2000</v>
      </c>
      <c r="M295" s="4">
        <f t="shared" si="94"/>
        <v>2000</v>
      </c>
      <c r="N295" s="4">
        <f t="shared" si="95"/>
        <v>-492</v>
      </c>
      <c r="O295" s="4">
        <f t="shared" si="96"/>
        <v>-478</v>
      </c>
      <c r="P295" s="4">
        <f t="shared" si="97"/>
        <v>-354</v>
      </c>
      <c r="Q295" s="7">
        <v>0</v>
      </c>
      <c r="R295" s="7">
        <v>0</v>
      </c>
      <c r="S295" s="7">
        <v>0</v>
      </c>
      <c r="T295" s="5">
        <f t="shared" si="89"/>
        <v>2269</v>
      </c>
      <c r="U295" s="6">
        <f t="shared" si="80"/>
        <v>288</v>
      </c>
      <c r="V295" s="6">
        <f t="shared" si="81"/>
        <v>312</v>
      </c>
      <c r="W295" s="6">
        <f t="shared" ref="W295:W358" si="98">W294+$X295*1000-S295</f>
        <v>446</v>
      </c>
      <c r="X295" s="5"/>
      <c r="Y295" s="4"/>
      <c r="Z295" s="4"/>
      <c r="AA295" s="4"/>
      <c r="AB295" s="4"/>
    </row>
    <row r="296" spans="1:28" ht="13.15" customHeight="1">
      <c r="A296" s="11">
        <v>282</v>
      </c>
      <c r="B296" s="14">
        <f t="shared" si="90"/>
        <v>45325</v>
      </c>
      <c r="C296" s="9">
        <f t="shared" si="91"/>
        <v>842</v>
      </c>
      <c r="D296" s="8">
        <f t="shared" si="82"/>
        <v>1741</v>
      </c>
      <c r="E296" s="7">
        <f t="shared" si="83"/>
        <v>1075</v>
      </c>
      <c r="F296" s="7">
        <f t="shared" si="84"/>
        <v>1061</v>
      </c>
      <c r="G296" s="7">
        <f t="shared" si="85"/>
        <v>937</v>
      </c>
      <c r="H296" s="4">
        <f t="shared" si="86"/>
        <v>1508</v>
      </c>
      <c r="I296" s="4">
        <f t="shared" si="87"/>
        <v>1522</v>
      </c>
      <c r="J296" s="4">
        <f t="shared" si="88"/>
        <v>1646</v>
      </c>
      <c r="K296" s="4">
        <f t="shared" si="92"/>
        <v>2000</v>
      </c>
      <c r="L296" s="4">
        <f t="shared" si="93"/>
        <v>2000</v>
      </c>
      <c r="M296" s="4">
        <f t="shared" si="94"/>
        <v>2000</v>
      </c>
      <c r="N296" s="4">
        <f t="shared" si="95"/>
        <v>-492</v>
      </c>
      <c r="O296" s="4">
        <f t="shared" si="96"/>
        <v>-478</v>
      </c>
      <c r="P296" s="4">
        <f t="shared" si="97"/>
        <v>-354</v>
      </c>
      <c r="Q296" s="7">
        <v>0</v>
      </c>
      <c r="R296" s="7">
        <v>0</v>
      </c>
      <c r="S296" s="7">
        <v>0</v>
      </c>
      <c r="T296" s="5">
        <f t="shared" si="89"/>
        <v>2271</v>
      </c>
      <c r="U296" s="6">
        <f t="shared" ref="U296:U359" si="99">U295+$X296*1000-Q296</f>
        <v>288</v>
      </c>
      <c r="V296" s="6">
        <f t="shared" ref="V296:V359" si="100">V295+$X296*1000-R296</f>
        <v>312</v>
      </c>
      <c r="W296" s="6">
        <f t="shared" si="98"/>
        <v>446</v>
      </c>
      <c r="X296" s="5"/>
      <c r="Y296" s="4"/>
      <c r="Z296" s="4"/>
      <c r="AA296" s="4"/>
      <c r="AB296" s="4"/>
    </row>
    <row r="297" spans="1:28" ht="13.15" customHeight="1">
      <c r="A297" s="11">
        <v>283</v>
      </c>
      <c r="B297" s="14">
        <f t="shared" si="90"/>
        <v>45326</v>
      </c>
      <c r="C297" s="9">
        <f t="shared" si="91"/>
        <v>842</v>
      </c>
      <c r="D297" s="8">
        <f t="shared" si="82"/>
        <v>1743</v>
      </c>
      <c r="E297" s="7">
        <f t="shared" si="83"/>
        <v>1077</v>
      </c>
      <c r="F297" s="7">
        <f t="shared" si="84"/>
        <v>1063</v>
      </c>
      <c r="G297" s="7">
        <f t="shared" si="85"/>
        <v>939</v>
      </c>
      <c r="H297" s="4">
        <f t="shared" si="86"/>
        <v>1508</v>
      </c>
      <c r="I297" s="4">
        <f t="shared" si="87"/>
        <v>1522</v>
      </c>
      <c r="J297" s="4">
        <f t="shared" si="88"/>
        <v>1646</v>
      </c>
      <c r="K297" s="4">
        <f t="shared" si="92"/>
        <v>2000</v>
      </c>
      <c r="L297" s="4">
        <f t="shared" si="93"/>
        <v>2000</v>
      </c>
      <c r="M297" s="4">
        <f t="shared" si="94"/>
        <v>2000</v>
      </c>
      <c r="N297" s="4">
        <f t="shared" si="95"/>
        <v>-492</v>
      </c>
      <c r="O297" s="4">
        <f t="shared" si="96"/>
        <v>-478</v>
      </c>
      <c r="P297" s="4">
        <f t="shared" si="97"/>
        <v>-354</v>
      </c>
      <c r="Q297" s="7">
        <v>0</v>
      </c>
      <c r="R297" s="7">
        <v>0</v>
      </c>
      <c r="S297" s="7">
        <v>0</v>
      </c>
      <c r="T297" s="5">
        <f t="shared" si="89"/>
        <v>2273</v>
      </c>
      <c r="U297" s="6">
        <f t="shared" si="99"/>
        <v>288</v>
      </c>
      <c r="V297" s="6">
        <f t="shared" si="100"/>
        <v>312</v>
      </c>
      <c r="W297" s="6">
        <f t="shared" si="98"/>
        <v>446</v>
      </c>
      <c r="X297" s="5"/>
      <c r="Y297" s="4"/>
      <c r="Z297" s="4"/>
      <c r="AA297" s="4"/>
      <c r="AB297" s="4"/>
    </row>
    <row r="298" spans="1:28" ht="13.15" customHeight="1">
      <c r="A298" s="11">
        <v>284</v>
      </c>
      <c r="B298" s="14">
        <f t="shared" si="90"/>
        <v>45327</v>
      </c>
      <c r="C298" s="9">
        <f t="shared" si="91"/>
        <v>842</v>
      </c>
      <c r="D298" s="8">
        <f t="shared" si="82"/>
        <v>1745</v>
      </c>
      <c r="E298" s="7">
        <f t="shared" si="83"/>
        <v>1079</v>
      </c>
      <c r="F298" s="7">
        <f t="shared" si="84"/>
        <v>1065</v>
      </c>
      <c r="G298" s="7">
        <f t="shared" si="85"/>
        <v>941</v>
      </c>
      <c r="H298" s="4">
        <f t="shared" si="86"/>
        <v>1508</v>
      </c>
      <c r="I298" s="4">
        <f t="shared" si="87"/>
        <v>1522</v>
      </c>
      <c r="J298" s="4">
        <f t="shared" si="88"/>
        <v>1646</v>
      </c>
      <c r="K298" s="4">
        <f t="shared" si="92"/>
        <v>2000</v>
      </c>
      <c r="L298" s="4">
        <f t="shared" si="93"/>
        <v>2000</v>
      </c>
      <c r="M298" s="4">
        <f t="shared" si="94"/>
        <v>2000</v>
      </c>
      <c r="N298" s="4">
        <f t="shared" si="95"/>
        <v>-492</v>
      </c>
      <c r="O298" s="4">
        <f t="shared" si="96"/>
        <v>-478</v>
      </c>
      <c r="P298" s="4">
        <f t="shared" si="97"/>
        <v>-354</v>
      </c>
      <c r="Q298" s="7">
        <v>0</v>
      </c>
      <c r="R298" s="7">
        <v>0</v>
      </c>
      <c r="S298" s="7">
        <v>0</v>
      </c>
      <c r="T298" s="5">
        <f t="shared" si="89"/>
        <v>2275</v>
      </c>
      <c r="U298" s="6">
        <f t="shared" si="99"/>
        <v>288</v>
      </c>
      <c r="V298" s="6">
        <f t="shared" si="100"/>
        <v>312</v>
      </c>
      <c r="W298" s="6">
        <f t="shared" si="98"/>
        <v>446</v>
      </c>
      <c r="X298" s="5"/>
      <c r="Y298" s="4"/>
      <c r="Z298" s="4"/>
      <c r="AA298" s="4"/>
      <c r="AB298" s="4"/>
    </row>
    <row r="299" spans="1:28" ht="13.15" customHeight="1">
      <c r="A299" s="11">
        <v>285</v>
      </c>
      <c r="B299" s="14">
        <f t="shared" si="90"/>
        <v>45328</v>
      </c>
      <c r="C299" s="9">
        <f t="shared" si="91"/>
        <v>842</v>
      </c>
      <c r="D299" s="8">
        <f t="shared" si="82"/>
        <v>1747</v>
      </c>
      <c r="E299" s="7">
        <f t="shared" si="83"/>
        <v>1081</v>
      </c>
      <c r="F299" s="7">
        <f t="shared" si="84"/>
        <v>1067</v>
      </c>
      <c r="G299" s="7">
        <f t="shared" si="85"/>
        <v>943</v>
      </c>
      <c r="H299" s="4">
        <f t="shared" si="86"/>
        <v>1508</v>
      </c>
      <c r="I299" s="4">
        <f t="shared" si="87"/>
        <v>1522</v>
      </c>
      <c r="J299" s="4">
        <f t="shared" si="88"/>
        <v>1646</v>
      </c>
      <c r="K299" s="4">
        <f t="shared" si="92"/>
        <v>2000</v>
      </c>
      <c r="L299" s="4">
        <f t="shared" si="93"/>
        <v>2000</v>
      </c>
      <c r="M299" s="4">
        <f t="shared" si="94"/>
        <v>2000</v>
      </c>
      <c r="N299" s="4">
        <f t="shared" si="95"/>
        <v>-492</v>
      </c>
      <c r="O299" s="4">
        <f t="shared" si="96"/>
        <v>-478</v>
      </c>
      <c r="P299" s="4">
        <f t="shared" si="97"/>
        <v>-354</v>
      </c>
      <c r="Q299" s="7">
        <v>0</v>
      </c>
      <c r="R299" s="7">
        <v>0</v>
      </c>
      <c r="S299" s="7">
        <v>0</v>
      </c>
      <c r="T299" s="5">
        <f t="shared" si="89"/>
        <v>2277</v>
      </c>
      <c r="U299" s="6">
        <f t="shared" si="99"/>
        <v>288</v>
      </c>
      <c r="V299" s="6">
        <f t="shared" si="100"/>
        <v>312</v>
      </c>
      <c r="W299" s="6">
        <f t="shared" si="98"/>
        <v>446</v>
      </c>
      <c r="X299" s="5"/>
      <c r="Y299" s="4"/>
      <c r="Z299" s="4"/>
      <c r="AA299" s="4"/>
      <c r="AB299" s="4"/>
    </row>
    <row r="300" spans="1:28" ht="13.15" customHeight="1">
      <c r="A300" s="11">
        <v>286</v>
      </c>
      <c r="B300" s="14">
        <f t="shared" si="90"/>
        <v>45329</v>
      </c>
      <c r="C300" s="9">
        <f t="shared" si="91"/>
        <v>842</v>
      </c>
      <c r="D300" s="8">
        <f t="shared" si="82"/>
        <v>1749</v>
      </c>
      <c r="E300" s="7">
        <f t="shared" si="83"/>
        <v>1083</v>
      </c>
      <c r="F300" s="7">
        <f t="shared" si="84"/>
        <v>1069</v>
      </c>
      <c r="G300" s="7">
        <f t="shared" si="85"/>
        <v>945</v>
      </c>
      <c r="H300" s="4">
        <f t="shared" si="86"/>
        <v>1508</v>
      </c>
      <c r="I300" s="4">
        <f t="shared" si="87"/>
        <v>1522</v>
      </c>
      <c r="J300" s="4">
        <f t="shared" si="88"/>
        <v>1646</v>
      </c>
      <c r="K300" s="4">
        <f t="shared" si="92"/>
        <v>2000</v>
      </c>
      <c r="L300" s="4">
        <f t="shared" si="93"/>
        <v>2000</v>
      </c>
      <c r="M300" s="4">
        <f t="shared" si="94"/>
        <v>2000</v>
      </c>
      <c r="N300" s="4">
        <f t="shared" si="95"/>
        <v>-492</v>
      </c>
      <c r="O300" s="4">
        <f t="shared" si="96"/>
        <v>-478</v>
      </c>
      <c r="P300" s="4">
        <f t="shared" si="97"/>
        <v>-354</v>
      </c>
      <c r="Q300" s="7">
        <v>0</v>
      </c>
      <c r="R300" s="7">
        <v>0</v>
      </c>
      <c r="S300" s="7">
        <v>0</v>
      </c>
      <c r="T300" s="5">
        <f t="shared" si="89"/>
        <v>2279</v>
      </c>
      <c r="U300" s="6">
        <f t="shared" si="99"/>
        <v>288</v>
      </c>
      <c r="V300" s="6">
        <f t="shared" si="100"/>
        <v>312</v>
      </c>
      <c r="W300" s="6">
        <f t="shared" si="98"/>
        <v>446</v>
      </c>
      <c r="X300" s="5"/>
      <c r="Y300" s="4"/>
      <c r="Z300" s="4"/>
      <c r="AA300" s="4"/>
      <c r="AB300" s="4"/>
    </row>
    <row r="301" spans="1:28" ht="13.15" customHeight="1">
      <c r="A301" s="11">
        <v>287</v>
      </c>
      <c r="B301" s="14">
        <f t="shared" si="90"/>
        <v>45330</v>
      </c>
      <c r="C301" s="9">
        <f t="shared" si="91"/>
        <v>842</v>
      </c>
      <c r="D301" s="8">
        <f t="shared" si="82"/>
        <v>1751</v>
      </c>
      <c r="E301" s="7">
        <f t="shared" si="83"/>
        <v>1085</v>
      </c>
      <c r="F301" s="7">
        <f t="shared" si="84"/>
        <v>1071</v>
      </c>
      <c r="G301" s="7">
        <f t="shared" si="85"/>
        <v>947</v>
      </c>
      <c r="H301" s="4">
        <f t="shared" si="86"/>
        <v>1508</v>
      </c>
      <c r="I301" s="4">
        <f t="shared" si="87"/>
        <v>1522</v>
      </c>
      <c r="J301" s="4">
        <f t="shared" si="88"/>
        <v>1646</v>
      </c>
      <c r="K301" s="4">
        <f t="shared" si="92"/>
        <v>2000</v>
      </c>
      <c r="L301" s="4">
        <f t="shared" si="93"/>
        <v>2000</v>
      </c>
      <c r="M301" s="4">
        <f t="shared" si="94"/>
        <v>2000</v>
      </c>
      <c r="N301" s="4">
        <f t="shared" si="95"/>
        <v>-492</v>
      </c>
      <c r="O301" s="4">
        <f t="shared" si="96"/>
        <v>-478</v>
      </c>
      <c r="P301" s="4">
        <f t="shared" si="97"/>
        <v>-354</v>
      </c>
      <c r="Q301" s="7">
        <v>0</v>
      </c>
      <c r="R301" s="7">
        <v>0</v>
      </c>
      <c r="S301" s="7">
        <v>0</v>
      </c>
      <c r="T301" s="5">
        <f t="shared" si="89"/>
        <v>2281</v>
      </c>
      <c r="U301" s="6">
        <f t="shared" si="99"/>
        <v>288</v>
      </c>
      <c r="V301" s="6">
        <f t="shared" si="100"/>
        <v>312</v>
      </c>
      <c r="W301" s="6">
        <f t="shared" si="98"/>
        <v>446</v>
      </c>
      <c r="X301" s="5"/>
      <c r="Y301" s="4"/>
      <c r="Z301" s="4"/>
      <c r="AA301" s="4"/>
      <c r="AB301" s="4"/>
    </row>
    <row r="302" spans="1:28" ht="13.15" customHeight="1">
      <c r="A302" s="11">
        <v>288</v>
      </c>
      <c r="B302" s="14">
        <f t="shared" si="90"/>
        <v>45331</v>
      </c>
      <c r="C302" s="9">
        <f t="shared" si="91"/>
        <v>842</v>
      </c>
      <c r="D302" s="8">
        <f t="shared" si="82"/>
        <v>1753</v>
      </c>
      <c r="E302" s="7">
        <f t="shared" si="83"/>
        <v>1087</v>
      </c>
      <c r="F302" s="7">
        <f t="shared" si="84"/>
        <v>1073</v>
      </c>
      <c r="G302" s="7">
        <f t="shared" si="85"/>
        <v>949</v>
      </c>
      <c r="H302" s="4">
        <f t="shared" si="86"/>
        <v>1508</v>
      </c>
      <c r="I302" s="4">
        <f t="shared" si="87"/>
        <v>1522</v>
      </c>
      <c r="J302" s="4">
        <f t="shared" si="88"/>
        <v>1646</v>
      </c>
      <c r="K302" s="4">
        <f t="shared" si="92"/>
        <v>2000</v>
      </c>
      <c r="L302" s="4">
        <f t="shared" si="93"/>
        <v>2000</v>
      </c>
      <c r="M302" s="4">
        <f t="shared" si="94"/>
        <v>2000</v>
      </c>
      <c r="N302" s="4">
        <f t="shared" si="95"/>
        <v>-492</v>
      </c>
      <c r="O302" s="4">
        <f t="shared" si="96"/>
        <v>-478</v>
      </c>
      <c r="P302" s="4">
        <f t="shared" si="97"/>
        <v>-354</v>
      </c>
      <c r="Q302" s="7">
        <v>0</v>
      </c>
      <c r="R302" s="7">
        <v>0</v>
      </c>
      <c r="S302" s="7">
        <v>0</v>
      </c>
      <c r="T302" s="5">
        <f t="shared" si="89"/>
        <v>2283</v>
      </c>
      <c r="U302" s="6">
        <f t="shared" si="99"/>
        <v>288</v>
      </c>
      <c r="V302" s="6">
        <f t="shared" si="100"/>
        <v>312</v>
      </c>
      <c r="W302" s="6">
        <f t="shared" si="98"/>
        <v>446</v>
      </c>
      <c r="X302" s="5"/>
      <c r="Y302" s="4"/>
      <c r="Z302" s="4"/>
      <c r="AA302" s="4"/>
      <c r="AB302" s="4"/>
    </row>
    <row r="303" spans="1:28" ht="13.15" customHeight="1">
      <c r="A303" s="11">
        <v>289</v>
      </c>
      <c r="B303" s="14">
        <f t="shared" si="90"/>
        <v>45332</v>
      </c>
      <c r="C303" s="9">
        <f t="shared" si="91"/>
        <v>842</v>
      </c>
      <c r="D303" s="8">
        <f t="shared" si="82"/>
        <v>1755</v>
      </c>
      <c r="E303" s="7">
        <f t="shared" si="83"/>
        <v>1089</v>
      </c>
      <c r="F303" s="7">
        <f t="shared" si="84"/>
        <v>1075</v>
      </c>
      <c r="G303" s="7">
        <f t="shared" si="85"/>
        <v>951</v>
      </c>
      <c r="H303" s="4">
        <f t="shared" si="86"/>
        <v>1508</v>
      </c>
      <c r="I303" s="4">
        <f t="shared" si="87"/>
        <v>1522</v>
      </c>
      <c r="J303" s="4">
        <f t="shared" si="88"/>
        <v>1646</v>
      </c>
      <c r="K303" s="4">
        <f t="shared" si="92"/>
        <v>2000</v>
      </c>
      <c r="L303" s="4">
        <f t="shared" si="93"/>
        <v>2000</v>
      </c>
      <c r="M303" s="4">
        <f t="shared" si="94"/>
        <v>2000</v>
      </c>
      <c r="N303" s="4">
        <f t="shared" si="95"/>
        <v>-492</v>
      </c>
      <c r="O303" s="4">
        <f t="shared" si="96"/>
        <v>-478</v>
      </c>
      <c r="P303" s="4">
        <f t="shared" si="97"/>
        <v>-354</v>
      </c>
      <c r="Q303" s="7">
        <v>0</v>
      </c>
      <c r="R303" s="7">
        <v>0</v>
      </c>
      <c r="S303" s="7">
        <v>0</v>
      </c>
      <c r="T303" s="5">
        <f t="shared" si="89"/>
        <v>2285</v>
      </c>
      <c r="U303" s="6">
        <f t="shared" si="99"/>
        <v>288</v>
      </c>
      <c r="V303" s="6">
        <f t="shared" si="100"/>
        <v>312</v>
      </c>
      <c r="W303" s="6">
        <f t="shared" si="98"/>
        <v>446</v>
      </c>
      <c r="X303" s="5"/>
      <c r="Y303" s="4"/>
      <c r="Z303" s="4"/>
      <c r="AA303" s="4"/>
      <c r="AB303" s="4"/>
    </row>
    <row r="304" spans="1:28" ht="13.15" customHeight="1">
      <c r="A304" s="11">
        <v>290</v>
      </c>
      <c r="B304" s="14">
        <f t="shared" si="90"/>
        <v>45333</v>
      </c>
      <c r="C304" s="9">
        <f t="shared" si="91"/>
        <v>842</v>
      </c>
      <c r="D304" s="8">
        <f t="shared" si="82"/>
        <v>1757</v>
      </c>
      <c r="E304" s="7">
        <f t="shared" si="83"/>
        <v>1091</v>
      </c>
      <c r="F304" s="7">
        <f t="shared" si="84"/>
        <v>1077</v>
      </c>
      <c r="G304" s="7">
        <f t="shared" si="85"/>
        <v>953</v>
      </c>
      <c r="H304" s="4">
        <f t="shared" si="86"/>
        <v>1508</v>
      </c>
      <c r="I304" s="4">
        <f t="shared" si="87"/>
        <v>1522</v>
      </c>
      <c r="J304" s="4">
        <f t="shared" si="88"/>
        <v>1646</v>
      </c>
      <c r="K304" s="4">
        <f t="shared" si="92"/>
        <v>2000</v>
      </c>
      <c r="L304" s="4">
        <f t="shared" si="93"/>
        <v>2000</v>
      </c>
      <c r="M304" s="4">
        <f t="shared" si="94"/>
        <v>2000</v>
      </c>
      <c r="N304" s="4">
        <f t="shared" si="95"/>
        <v>-492</v>
      </c>
      <c r="O304" s="4">
        <f t="shared" si="96"/>
        <v>-478</v>
      </c>
      <c r="P304" s="4">
        <f t="shared" si="97"/>
        <v>-354</v>
      </c>
      <c r="Q304" s="7">
        <v>0</v>
      </c>
      <c r="R304" s="7">
        <v>0</v>
      </c>
      <c r="S304" s="7">
        <v>0</v>
      </c>
      <c r="T304" s="5">
        <f t="shared" si="89"/>
        <v>2287</v>
      </c>
      <c r="U304" s="6">
        <f t="shared" si="99"/>
        <v>288</v>
      </c>
      <c r="V304" s="6">
        <f t="shared" si="100"/>
        <v>312</v>
      </c>
      <c r="W304" s="6">
        <f t="shared" si="98"/>
        <v>446</v>
      </c>
      <c r="X304" s="5"/>
      <c r="Y304" s="4"/>
      <c r="Z304" s="4"/>
      <c r="AA304" s="4"/>
      <c r="AB304" s="4"/>
    </row>
    <row r="305" spans="1:28" ht="13.15" customHeight="1">
      <c r="A305" s="11">
        <v>291</v>
      </c>
      <c r="B305" s="14">
        <f t="shared" si="90"/>
        <v>45334</v>
      </c>
      <c r="C305" s="9">
        <f t="shared" si="91"/>
        <v>842</v>
      </c>
      <c r="D305" s="8">
        <f t="shared" si="82"/>
        <v>1759</v>
      </c>
      <c r="E305" s="7">
        <f t="shared" si="83"/>
        <v>1093</v>
      </c>
      <c r="F305" s="7">
        <f t="shared" si="84"/>
        <v>1079</v>
      </c>
      <c r="G305" s="7">
        <f t="shared" si="85"/>
        <v>955</v>
      </c>
      <c r="H305" s="4">
        <f t="shared" si="86"/>
        <v>1508</v>
      </c>
      <c r="I305" s="4">
        <f t="shared" si="87"/>
        <v>1522</v>
      </c>
      <c r="J305" s="4">
        <f t="shared" si="88"/>
        <v>1646</v>
      </c>
      <c r="K305" s="4">
        <f t="shared" si="92"/>
        <v>2000</v>
      </c>
      <c r="L305" s="4">
        <f t="shared" si="93"/>
        <v>2000</v>
      </c>
      <c r="M305" s="4">
        <f t="shared" si="94"/>
        <v>2000</v>
      </c>
      <c r="N305" s="4">
        <f t="shared" si="95"/>
        <v>-492</v>
      </c>
      <c r="O305" s="4">
        <f t="shared" si="96"/>
        <v>-478</v>
      </c>
      <c r="P305" s="4">
        <f t="shared" si="97"/>
        <v>-354</v>
      </c>
      <c r="Q305" s="7">
        <v>0</v>
      </c>
      <c r="R305" s="7">
        <v>0</v>
      </c>
      <c r="S305" s="7">
        <v>0</v>
      </c>
      <c r="T305" s="5">
        <f t="shared" si="89"/>
        <v>2289</v>
      </c>
      <c r="U305" s="6">
        <f t="shared" si="99"/>
        <v>288</v>
      </c>
      <c r="V305" s="6">
        <f t="shared" si="100"/>
        <v>312</v>
      </c>
      <c r="W305" s="6">
        <f t="shared" si="98"/>
        <v>446</v>
      </c>
      <c r="X305" s="5"/>
      <c r="Y305" s="4"/>
      <c r="Z305" s="4"/>
      <c r="AA305" s="4"/>
      <c r="AB305" s="4"/>
    </row>
    <row r="306" spans="1:28" ht="13.15" customHeight="1">
      <c r="A306" s="11">
        <v>292</v>
      </c>
      <c r="B306" s="14">
        <f t="shared" si="90"/>
        <v>45335</v>
      </c>
      <c r="C306" s="9">
        <f t="shared" si="91"/>
        <v>842</v>
      </c>
      <c r="D306" s="8">
        <f t="shared" si="82"/>
        <v>1761</v>
      </c>
      <c r="E306" s="7">
        <f t="shared" si="83"/>
        <v>1095</v>
      </c>
      <c r="F306" s="7">
        <f t="shared" si="84"/>
        <v>1081</v>
      </c>
      <c r="G306" s="7">
        <f t="shared" si="85"/>
        <v>957</v>
      </c>
      <c r="H306" s="4">
        <f t="shared" si="86"/>
        <v>1508</v>
      </c>
      <c r="I306" s="4">
        <f t="shared" si="87"/>
        <v>1522</v>
      </c>
      <c r="J306" s="4">
        <f t="shared" si="88"/>
        <v>1646</v>
      </c>
      <c r="K306" s="4">
        <f t="shared" si="92"/>
        <v>2000</v>
      </c>
      <c r="L306" s="4">
        <f t="shared" si="93"/>
        <v>2000</v>
      </c>
      <c r="M306" s="4">
        <f t="shared" si="94"/>
        <v>2000</v>
      </c>
      <c r="N306" s="4">
        <f t="shared" si="95"/>
        <v>-492</v>
      </c>
      <c r="O306" s="4">
        <f t="shared" si="96"/>
        <v>-478</v>
      </c>
      <c r="P306" s="4">
        <f t="shared" si="97"/>
        <v>-354</v>
      </c>
      <c r="Q306" s="7">
        <v>0</v>
      </c>
      <c r="R306" s="7">
        <v>0</v>
      </c>
      <c r="S306" s="7">
        <v>0</v>
      </c>
      <c r="T306" s="5">
        <f t="shared" si="89"/>
        <v>2291</v>
      </c>
      <c r="U306" s="6">
        <f t="shared" si="99"/>
        <v>288</v>
      </c>
      <c r="V306" s="6">
        <f t="shared" si="100"/>
        <v>312</v>
      </c>
      <c r="W306" s="6">
        <f t="shared" si="98"/>
        <v>446</v>
      </c>
      <c r="X306" s="5"/>
      <c r="Y306" s="4"/>
      <c r="Z306" s="4"/>
      <c r="AA306" s="4"/>
      <c r="AB306" s="4"/>
    </row>
    <row r="307" spans="1:28" ht="13.15" customHeight="1">
      <c r="A307" s="11">
        <v>293</v>
      </c>
      <c r="B307" s="14">
        <f t="shared" si="90"/>
        <v>45336</v>
      </c>
      <c r="C307" s="9">
        <f t="shared" si="91"/>
        <v>842</v>
      </c>
      <c r="D307" s="8">
        <f t="shared" si="82"/>
        <v>1763</v>
      </c>
      <c r="E307" s="7">
        <f t="shared" si="83"/>
        <v>1097</v>
      </c>
      <c r="F307" s="7">
        <f t="shared" si="84"/>
        <v>1083</v>
      </c>
      <c r="G307" s="7">
        <f t="shared" si="85"/>
        <v>959</v>
      </c>
      <c r="H307" s="4">
        <f t="shared" si="86"/>
        <v>1508</v>
      </c>
      <c r="I307" s="4">
        <f t="shared" si="87"/>
        <v>1522</v>
      </c>
      <c r="J307" s="4">
        <f t="shared" si="88"/>
        <v>1646</v>
      </c>
      <c r="K307" s="4">
        <f t="shared" si="92"/>
        <v>2000</v>
      </c>
      <c r="L307" s="4">
        <f t="shared" si="93"/>
        <v>2000</v>
      </c>
      <c r="M307" s="4">
        <f t="shared" si="94"/>
        <v>2000</v>
      </c>
      <c r="N307" s="4">
        <f t="shared" si="95"/>
        <v>-492</v>
      </c>
      <c r="O307" s="4">
        <f t="shared" si="96"/>
        <v>-478</v>
      </c>
      <c r="P307" s="4">
        <f t="shared" si="97"/>
        <v>-354</v>
      </c>
      <c r="Q307" s="7">
        <v>0</v>
      </c>
      <c r="R307" s="7">
        <v>0</v>
      </c>
      <c r="S307" s="7">
        <v>0</v>
      </c>
      <c r="T307" s="5">
        <f t="shared" si="89"/>
        <v>2293</v>
      </c>
      <c r="U307" s="6">
        <f t="shared" si="99"/>
        <v>288</v>
      </c>
      <c r="V307" s="6">
        <f t="shared" si="100"/>
        <v>312</v>
      </c>
      <c r="W307" s="6">
        <f t="shared" si="98"/>
        <v>446</v>
      </c>
      <c r="X307" s="5"/>
      <c r="Y307" s="4"/>
      <c r="Z307" s="4"/>
      <c r="AA307" s="4"/>
      <c r="AB307" s="4"/>
    </row>
    <row r="308" spans="1:28" ht="13.15" customHeight="1">
      <c r="A308" s="11">
        <v>294</v>
      </c>
      <c r="B308" s="14">
        <f t="shared" si="90"/>
        <v>45337</v>
      </c>
      <c r="C308" s="9">
        <f t="shared" si="91"/>
        <v>842</v>
      </c>
      <c r="D308" s="8">
        <f t="shared" si="82"/>
        <v>1765</v>
      </c>
      <c r="E308" s="7">
        <f t="shared" si="83"/>
        <v>1099</v>
      </c>
      <c r="F308" s="7">
        <f t="shared" si="84"/>
        <v>1085</v>
      </c>
      <c r="G308" s="7">
        <f t="shared" si="85"/>
        <v>961</v>
      </c>
      <c r="H308" s="4">
        <f t="shared" si="86"/>
        <v>1508</v>
      </c>
      <c r="I308" s="4">
        <f t="shared" si="87"/>
        <v>1522</v>
      </c>
      <c r="J308" s="4">
        <f t="shared" si="88"/>
        <v>1646</v>
      </c>
      <c r="K308" s="4">
        <f t="shared" si="92"/>
        <v>2000</v>
      </c>
      <c r="L308" s="4">
        <f t="shared" si="93"/>
        <v>2000</v>
      </c>
      <c r="M308" s="4">
        <f t="shared" si="94"/>
        <v>2000</v>
      </c>
      <c r="N308" s="4">
        <f t="shared" si="95"/>
        <v>-492</v>
      </c>
      <c r="O308" s="4">
        <f t="shared" si="96"/>
        <v>-478</v>
      </c>
      <c r="P308" s="4">
        <f t="shared" si="97"/>
        <v>-354</v>
      </c>
      <c r="Q308" s="7">
        <v>0</v>
      </c>
      <c r="R308" s="7">
        <v>0</v>
      </c>
      <c r="S308" s="7">
        <v>0</v>
      </c>
      <c r="T308" s="5">
        <f t="shared" si="89"/>
        <v>2295</v>
      </c>
      <c r="U308" s="6">
        <f t="shared" si="99"/>
        <v>288</v>
      </c>
      <c r="V308" s="6">
        <f t="shared" si="100"/>
        <v>312</v>
      </c>
      <c r="W308" s="6">
        <f t="shared" si="98"/>
        <v>446</v>
      </c>
      <c r="X308" s="5"/>
      <c r="Y308" s="4"/>
      <c r="Z308" s="4"/>
      <c r="AA308" s="4"/>
      <c r="AB308" s="4"/>
    </row>
    <row r="309" spans="1:28" ht="13.15" customHeight="1">
      <c r="A309" s="11">
        <v>295</v>
      </c>
      <c r="B309" s="14">
        <f t="shared" si="90"/>
        <v>45338</v>
      </c>
      <c r="C309" s="9">
        <f t="shared" si="91"/>
        <v>842</v>
      </c>
      <c r="D309" s="8">
        <f t="shared" si="82"/>
        <v>1767</v>
      </c>
      <c r="E309" s="7">
        <f t="shared" si="83"/>
        <v>1101</v>
      </c>
      <c r="F309" s="7">
        <f t="shared" si="84"/>
        <v>1087</v>
      </c>
      <c r="G309" s="7">
        <f t="shared" si="85"/>
        <v>963</v>
      </c>
      <c r="H309" s="4">
        <f t="shared" si="86"/>
        <v>1508</v>
      </c>
      <c r="I309" s="4">
        <f t="shared" si="87"/>
        <v>1522</v>
      </c>
      <c r="J309" s="4">
        <f t="shared" si="88"/>
        <v>1646</v>
      </c>
      <c r="K309" s="4">
        <f t="shared" si="92"/>
        <v>2000</v>
      </c>
      <c r="L309" s="4">
        <f t="shared" si="93"/>
        <v>2000</v>
      </c>
      <c r="M309" s="4">
        <f t="shared" si="94"/>
        <v>2000</v>
      </c>
      <c r="N309" s="4">
        <f t="shared" si="95"/>
        <v>-492</v>
      </c>
      <c r="O309" s="4">
        <f t="shared" si="96"/>
        <v>-478</v>
      </c>
      <c r="P309" s="4">
        <f t="shared" si="97"/>
        <v>-354</v>
      </c>
      <c r="Q309" s="7">
        <v>0</v>
      </c>
      <c r="R309" s="7">
        <v>0</v>
      </c>
      <c r="S309" s="7">
        <v>0</v>
      </c>
      <c r="T309" s="5">
        <f t="shared" si="89"/>
        <v>2297</v>
      </c>
      <c r="U309" s="6">
        <f t="shared" si="99"/>
        <v>288</v>
      </c>
      <c r="V309" s="6">
        <f t="shared" si="100"/>
        <v>312</v>
      </c>
      <c r="W309" s="6">
        <f t="shared" si="98"/>
        <v>446</v>
      </c>
      <c r="X309" s="5"/>
      <c r="Y309" s="4"/>
      <c r="Z309" s="4"/>
      <c r="AA309" s="4"/>
      <c r="AB309" s="4"/>
    </row>
    <row r="310" spans="1:28" ht="13.15" customHeight="1">
      <c r="A310" s="11">
        <v>296</v>
      </c>
      <c r="B310" s="14">
        <f t="shared" si="90"/>
        <v>45339</v>
      </c>
      <c r="C310" s="9">
        <f t="shared" si="91"/>
        <v>842</v>
      </c>
      <c r="D310" s="8">
        <f t="shared" si="82"/>
        <v>1769</v>
      </c>
      <c r="E310" s="7">
        <f t="shared" si="83"/>
        <v>1103</v>
      </c>
      <c r="F310" s="7">
        <f t="shared" si="84"/>
        <v>1089</v>
      </c>
      <c r="G310" s="7">
        <f t="shared" si="85"/>
        <v>965</v>
      </c>
      <c r="H310" s="4">
        <f t="shared" si="86"/>
        <v>1508</v>
      </c>
      <c r="I310" s="4">
        <f t="shared" si="87"/>
        <v>1522</v>
      </c>
      <c r="J310" s="4">
        <f t="shared" si="88"/>
        <v>1646</v>
      </c>
      <c r="K310" s="4">
        <f t="shared" si="92"/>
        <v>2000</v>
      </c>
      <c r="L310" s="4">
        <f t="shared" si="93"/>
        <v>2000</v>
      </c>
      <c r="M310" s="4">
        <f t="shared" si="94"/>
        <v>2000</v>
      </c>
      <c r="N310" s="4">
        <f t="shared" si="95"/>
        <v>-492</v>
      </c>
      <c r="O310" s="4">
        <f t="shared" si="96"/>
        <v>-478</v>
      </c>
      <c r="P310" s="4">
        <f t="shared" si="97"/>
        <v>-354</v>
      </c>
      <c r="Q310" s="7">
        <v>0</v>
      </c>
      <c r="R310" s="7">
        <v>0</v>
      </c>
      <c r="S310" s="7">
        <v>0</v>
      </c>
      <c r="T310" s="5">
        <f t="shared" si="89"/>
        <v>2299</v>
      </c>
      <c r="U310" s="6">
        <f t="shared" si="99"/>
        <v>288</v>
      </c>
      <c r="V310" s="6">
        <f t="shared" si="100"/>
        <v>312</v>
      </c>
      <c r="W310" s="6">
        <f t="shared" si="98"/>
        <v>446</v>
      </c>
      <c r="X310" s="5"/>
      <c r="Y310" s="4"/>
      <c r="Z310" s="4"/>
      <c r="AA310" s="4"/>
      <c r="AB310" s="4"/>
    </row>
    <row r="311" spans="1:28" ht="13.15" customHeight="1">
      <c r="A311" s="11">
        <v>297</v>
      </c>
      <c r="B311" s="14">
        <f t="shared" si="90"/>
        <v>45340</v>
      </c>
      <c r="C311" s="9">
        <f t="shared" si="91"/>
        <v>842</v>
      </c>
      <c r="D311" s="8">
        <f t="shared" si="82"/>
        <v>1771</v>
      </c>
      <c r="E311" s="7">
        <f t="shared" si="83"/>
        <v>1105</v>
      </c>
      <c r="F311" s="7">
        <f t="shared" si="84"/>
        <v>1091</v>
      </c>
      <c r="G311" s="7">
        <f t="shared" si="85"/>
        <v>967</v>
      </c>
      <c r="H311" s="4">
        <f t="shared" si="86"/>
        <v>1508</v>
      </c>
      <c r="I311" s="4">
        <f t="shared" si="87"/>
        <v>1522</v>
      </c>
      <c r="J311" s="4">
        <f t="shared" si="88"/>
        <v>1646</v>
      </c>
      <c r="K311" s="4">
        <f t="shared" si="92"/>
        <v>2000</v>
      </c>
      <c r="L311" s="4">
        <f t="shared" si="93"/>
        <v>2000</v>
      </c>
      <c r="M311" s="4">
        <f t="shared" si="94"/>
        <v>2000</v>
      </c>
      <c r="N311" s="4">
        <f t="shared" si="95"/>
        <v>-492</v>
      </c>
      <c r="O311" s="4">
        <f t="shared" si="96"/>
        <v>-478</v>
      </c>
      <c r="P311" s="4">
        <f t="shared" si="97"/>
        <v>-354</v>
      </c>
      <c r="Q311" s="7">
        <v>0</v>
      </c>
      <c r="R311" s="7">
        <v>0</v>
      </c>
      <c r="S311" s="7">
        <v>0</v>
      </c>
      <c r="T311" s="5">
        <f t="shared" si="89"/>
        <v>2301</v>
      </c>
      <c r="U311" s="6">
        <f t="shared" si="99"/>
        <v>288</v>
      </c>
      <c r="V311" s="6">
        <f t="shared" si="100"/>
        <v>312</v>
      </c>
      <c r="W311" s="6">
        <f t="shared" si="98"/>
        <v>446</v>
      </c>
      <c r="X311" s="5"/>
      <c r="Y311" s="4"/>
      <c r="Z311" s="4"/>
      <c r="AA311" s="4"/>
      <c r="AB311" s="4"/>
    </row>
    <row r="312" spans="1:28" ht="13.15" customHeight="1">
      <c r="A312" s="11">
        <v>298</v>
      </c>
      <c r="B312" s="14">
        <f t="shared" si="90"/>
        <v>45341</v>
      </c>
      <c r="C312" s="9">
        <f t="shared" si="91"/>
        <v>842</v>
      </c>
      <c r="D312" s="8">
        <f t="shared" si="82"/>
        <v>1773</v>
      </c>
      <c r="E312" s="7">
        <f t="shared" si="83"/>
        <v>1107</v>
      </c>
      <c r="F312" s="7">
        <f t="shared" si="84"/>
        <v>1093</v>
      </c>
      <c r="G312" s="7">
        <f t="shared" si="85"/>
        <v>969</v>
      </c>
      <c r="H312" s="4">
        <f t="shared" si="86"/>
        <v>1508</v>
      </c>
      <c r="I312" s="4">
        <f t="shared" si="87"/>
        <v>1522</v>
      </c>
      <c r="J312" s="4">
        <f t="shared" si="88"/>
        <v>1646</v>
      </c>
      <c r="K312" s="4">
        <f t="shared" si="92"/>
        <v>2000</v>
      </c>
      <c r="L312" s="4">
        <f t="shared" si="93"/>
        <v>2000</v>
      </c>
      <c r="M312" s="4">
        <f t="shared" si="94"/>
        <v>2000</v>
      </c>
      <c r="N312" s="4">
        <f t="shared" si="95"/>
        <v>-492</v>
      </c>
      <c r="O312" s="4">
        <f t="shared" si="96"/>
        <v>-478</v>
      </c>
      <c r="P312" s="4">
        <f t="shared" si="97"/>
        <v>-354</v>
      </c>
      <c r="Q312" s="7">
        <v>0</v>
      </c>
      <c r="R312" s="7">
        <v>0</v>
      </c>
      <c r="S312" s="7">
        <v>0</v>
      </c>
      <c r="T312" s="5">
        <f t="shared" si="89"/>
        <v>2303</v>
      </c>
      <c r="U312" s="6">
        <f t="shared" si="99"/>
        <v>288</v>
      </c>
      <c r="V312" s="6">
        <f t="shared" si="100"/>
        <v>312</v>
      </c>
      <c r="W312" s="6">
        <f t="shared" si="98"/>
        <v>446</v>
      </c>
      <c r="X312" s="5"/>
      <c r="Y312" s="4"/>
      <c r="Z312" s="4"/>
      <c r="AA312" s="4"/>
      <c r="AB312" s="4"/>
    </row>
    <row r="313" spans="1:28" ht="13.15" customHeight="1">
      <c r="A313" s="11">
        <v>299</v>
      </c>
      <c r="B313" s="14">
        <f t="shared" si="90"/>
        <v>45342</v>
      </c>
      <c r="C313" s="9">
        <f t="shared" si="91"/>
        <v>842</v>
      </c>
      <c r="D313" s="8">
        <f t="shared" si="82"/>
        <v>1775</v>
      </c>
      <c r="E313" s="7">
        <f t="shared" si="83"/>
        <v>1109</v>
      </c>
      <c r="F313" s="7">
        <f t="shared" si="84"/>
        <v>1095</v>
      </c>
      <c r="G313" s="7">
        <f t="shared" si="85"/>
        <v>971</v>
      </c>
      <c r="H313" s="4">
        <f t="shared" si="86"/>
        <v>1508</v>
      </c>
      <c r="I313" s="4">
        <f t="shared" si="87"/>
        <v>1522</v>
      </c>
      <c r="J313" s="4">
        <f t="shared" si="88"/>
        <v>1646</v>
      </c>
      <c r="K313" s="4">
        <f t="shared" si="92"/>
        <v>2000</v>
      </c>
      <c r="L313" s="4">
        <f t="shared" si="93"/>
        <v>2000</v>
      </c>
      <c r="M313" s="4">
        <f t="shared" si="94"/>
        <v>2000</v>
      </c>
      <c r="N313" s="4">
        <f t="shared" si="95"/>
        <v>-492</v>
      </c>
      <c r="O313" s="4">
        <f t="shared" si="96"/>
        <v>-478</v>
      </c>
      <c r="P313" s="4">
        <f t="shared" si="97"/>
        <v>-354</v>
      </c>
      <c r="Q313" s="7">
        <v>0</v>
      </c>
      <c r="R313" s="7">
        <v>0</v>
      </c>
      <c r="S313" s="7">
        <v>0</v>
      </c>
      <c r="T313" s="5">
        <f t="shared" si="89"/>
        <v>2305</v>
      </c>
      <c r="U313" s="6">
        <f t="shared" si="99"/>
        <v>288</v>
      </c>
      <c r="V313" s="6">
        <f t="shared" si="100"/>
        <v>312</v>
      </c>
      <c r="W313" s="6">
        <f t="shared" si="98"/>
        <v>446</v>
      </c>
      <c r="X313" s="5"/>
      <c r="Y313" s="4"/>
      <c r="Z313" s="4"/>
      <c r="AA313" s="4"/>
      <c r="AB313" s="4"/>
    </row>
    <row r="314" spans="1:28" ht="13.15" customHeight="1">
      <c r="A314" s="11">
        <v>300</v>
      </c>
      <c r="B314" s="14">
        <f t="shared" si="90"/>
        <v>45343</v>
      </c>
      <c r="C314" s="9">
        <f t="shared" si="91"/>
        <v>842</v>
      </c>
      <c r="D314" s="8">
        <f t="shared" si="82"/>
        <v>1777</v>
      </c>
      <c r="E314" s="7">
        <f t="shared" si="83"/>
        <v>1111</v>
      </c>
      <c r="F314" s="7">
        <f t="shared" si="84"/>
        <v>1097</v>
      </c>
      <c r="G314" s="7">
        <f t="shared" si="85"/>
        <v>973</v>
      </c>
      <c r="H314" s="4">
        <f t="shared" si="86"/>
        <v>1508</v>
      </c>
      <c r="I314" s="4">
        <f t="shared" si="87"/>
        <v>1522</v>
      </c>
      <c r="J314" s="4">
        <f t="shared" si="88"/>
        <v>1646</v>
      </c>
      <c r="K314" s="4">
        <f t="shared" si="92"/>
        <v>2000</v>
      </c>
      <c r="L314" s="4">
        <f t="shared" si="93"/>
        <v>2000</v>
      </c>
      <c r="M314" s="4">
        <f t="shared" si="94"/>
        <v>2000</v>
      </c>
      <c r="N314" s="4">
        <f t="shared" si="95"/>
        <v>-492</v>
      </c>
      <c r="O314" s="4">
        <f t="shared" si="96"/>
        <v>-478</v>
      </c>
      <c r="P314" s="4">
        <f t="shared" si="97"/>
        <v>-354</v>
      </c>
      <c r="Q314" s="7">
        <v>0</v>
      </c>
      <c r="R314" s="7">
        <v>0</v>
      </c>
      <c r="S314" s="7">
        <v>0</v>
      </c>
      <c r="T314" s="5">
        <f t="shared" si="89"/>
        <v>2307</v>
      </c>
      <c r="U314" s="6">
        <f t="shared" si="99"/>
        <v>288</v>
      </c>
      <c r="V314" s="6">
        <f t="shared" si="100"/>
        <v>312</v>
      </c>
      <c r="W314" s="6">
        <f t="shared" si="98"/>
        <v>446</v>
      </c>
      <c r="X314" s="5"/>
      <c r="Y314" s="4"/>
      <c r="Z314" s="4"/>
      <c r="AA314" s="4"/>
      <c r="AB314" s="4"/>
    </row>
    <row r="315" spans="1:28" ht="13.15" customHeight="1">
      <c r="A315" s="11">
        <v>301</v>
      </c>
      <c r="B315" s="14">
        <f t="shared" si="90"/>
        <v>45344</v>
      </c>
      <c r="C315" s="9">
        <f t="shared" si="91"/>
        <v>842</v>
      </c>
      <c r="D315" s="8">
        <f t="shared" si="82"/>
        <v>1779</v>
      </c>
      <c r="E315" s="7">
        <f t="shared" si="83"/>
        <v>1113</v>
      </c>
      <c r="F315" s="7">
        <f t="shared" si="84"/>
        <v>1099</v>
      </c>
      <c r="G315" s="7">
        <f t="shared" si="85"/>
        <v>975</v>
      </c>
      <c r="H315" s="4">
        <f t="shared" si="86"/>
        <v>1508</v>
      </c>
      <c r="I315" s="4">
        <f t="shared" si="87"/>
        <v>1522</v>
      </c>
      <c r="J315" s="4">
        <f t="shared" si="88"/>
        <v>1646</v>
      </c>
      <c r="K315" s="4">
        <f t="shared" si="92"/>
        <v>2000</v>
      </c>
      <c r="L315" s="4">
        <f t="shared" si="93"/>
        <v>2000</v>
      </c>
      <c r="M315" s="4">
        <f t="shared" si="94"/>
        <v>2000</v>
      </c>
      <c r="N315" s="4">
        <f t="shared" si="95"/>
        <v>-492</v>
      </c>
      <c r="O315" s="4">
        <f t="shared" si="96"/>
        <v>-478</v>
      </c>
      <c r="P315" s="4">
        <f t="shared" si="97"/>
        <v>-354</v>
      </c>
      <c r="Q315" s="7">
        <v>0</v>
      </c>
      <c r="R315" s="7">
        <v>0</v>
      </c>
      <c r="S315" s="7">
        <v>0</v>
      </c>
      <c r="T315" s="5">
        <f t="shared" si="89"/>
        <v>2309</v>
      </c>
      <c r="U315" s="6">
        <f t="shared" si="99"/>
        <v>288</v>
      </c>
      <c r="V315" s="6">
        <f t="shared" si="100"/>
        <v>312</v>
      </c>
      <c r="W315" s="6">
        <f t="shared" si="98"/>
        <v>446</v>
      </c>
      <c r="X315" s="5"/>
      <c r="Y315" s="4"/>
      <c r="Z315" s="4"/>
      <c r="AA315" s="4"/>
      <c r="AB315" s="4"/>
    </row>
    <row r="316" spans="1:28" ht="13.15" customHeight="1">
      <c r="A316" s="11">
        <v>302</v>
      </c>
      <c r="B316" s="14">
        <f t="shared" si="90"/>
        <v>45345</v>
      </c>
      <c r="C316" s="9">
        <f t="shared" si="91"/>
        <v>842</v>
      </c>
      <c r="D316" s="8">
        <f t="shared" si="82"/>
        <v>1781</v>
      </c>
      <c r="E316" s="7">
        <f t="shared" si="83"/>
        <v>1115</v>
      </c>
      <c r="F316" s="7">
        <f t="shared" si="84"/>
        <v>1101</v>
      </c>
      <c r="G316" s="7">
        <f t="shared" si="85"/>
        <v>977</v>
      </c>
      <c r="H316" s="4">
        <f t="shared" si="86"/>
        <v>1508</v>
      </c>
      <c r="I316" s="4">
        <f t="shared" si="87"/>
        <v>1522</v>
      </c>
      <c r="J316" s="4">
        <f t="shared" si="88"/>
        <v>1646</v>
      </c>
      <c r="K316" s="4">
        <f t="shared" si="92"/>
        <v>2000</v>
      </c>
      <c r="L316" s="4">
        <f t="shared" si="93"/>
        <v>2000</v>
      </c>
      <c r="M316" s="4">
        <f t="shared" si="94"/>
        <v>2000</v>
      </c>
      <c r="N316" s="4">
        <f t="shared" si="95"/>
        <v>-492</v>
      </c>
      <c r="O316" s="4">
        <f t="shared" si="96"/>
        <v>-478</v>
      </c>
      <c r="P316" s="4">
        <f t="shared" si="97"/>
        <v>-354</v>
      </c>
      <c r="Q316" s="7">
        <v>0</v>
      </c>
      <c r="R316" s="7">
        <v>0</v>
      </c>
      <c r="S316" s="7">
        <v>0</v>
      </c>
      <c r="T316" s="5">
        <f t="shared" si="89"/>
        <v>2311</v>
      </c>
      <c r="U316" s="6">
        <f t="shared" si="99"/>
        <v>288</v>
      </c>
      <c r="V316" s="6">
        <f t="shared" si="100"/>
        <v>312</v>
      </c>
      <c r="W316" s="6">
        <f t="shared" si="98"/>
        <v>446</v>
      </c>
      <c r="X316" s="5"/>
      <c r="Y316" s="4"/>
      <c r="Z316" s="4"/>
      <c r="AA316" s="4"/>
      <c r="AB316" s="4"/>
    </row>
    <row r="317" spans="1:28" ht="13.15" customHeight="1">
      <c r="A317" s="11">
        <v>303</v>
      </c>
      <c r="B317" s="14">
        <f t="shared" si="90"/>
        <v>45346</v>
      </c>
      <c r="C317" s="9">
        <f t="shared" si="91"/>
        <v>842</v>
      </c>
      <c r="D317" s="8">
        <f t="shared" si="82"/>
        <v>1783</v>
      </c>
      <c r="E317" s="7">
        <f t="shared" si="83"/>
        <v>1117</v>
      </c>
      <c r="F317" s="7">
        <f t="shared" si="84"/>
        <v>1103</v>
      </c>
      <c r="G317" s="7">
        <f t="shared" si="85"/>
        <v>979</v>
      </c>
      <c r="H317" s="4">
        <f t="shared" si="86"/>
        <v>1508</v>
      </c>
      <c r="I317" s="4">
        <f t="shared" si="87"/>
        <v>1522</v>
      </c>
      <c r="J317" s="4">
        <f t="shared" si="88"/>
        <v>1646</v>
      </c>
      <c r="K317" s="4">
        <f t="shared" si="92"/>
        <v>2000</v>
      </c>
      <c r="L317" s="4">
        <f t="shared" si="93"/>
        <v>2000</v>
      </c>
      <c r="M317" s="4">
        <f t="shared" si="94"/>
        <v>2000</v>
      </c>
      <c r="N317" s="4">
        <f t="shared" si="95"/>
        <v>-492</v>
      </c>
      <c r="O317" s="4">
        <f t="shared" si="96"/>
        <v>-478</v>
      </c>
      <c r="P317" s="4">
        <f t="shared" si="97"/>
        <v>-354</v>
      </c>
      <c r="Q317" s="7">
        <v>0</v>
      </c>
      <c r="R317" s="7">
        <v>0</v>
      </c>
      <c r="S317" s="7">
        <v>0</v>
      </c>
      <c r="T317" s="5">
        <f t="shared" si="89"/>
        <v>2313</v>
      </c>
      <c r="U317" s="6">
        <f t="shared" si="99"/>
        <v>288</v>
      </c>
      <c r="V317" s="6">
        <f t="shared" si="100"/>
        <v>312</v>
      </c>
      <c r="W317" s="6">
        <f t="shared" si="98"/>
        <v>446</v>
      </c>
      <c r="X317" s="5"/>
      <c r="Y317" s="4"/>
      <c r="Z317" s="4"/>
      <c r="AA317" s="4"/>
      <c r="AB317" s="4"/>
    </row>
    <row r="318" spans="1:28" ht="13.15" customHeight="1">
      <c r="A318" s="11">
        <v>304</v>
      </c>
      <c r="B318" s="14">
        <f t="shared" si="90"/>
        <v>45347</v>
      </c>
      <c r="C318" s="9">
        <f t="shared" si="91"/>
        <v>842</v>
      </c>
      <c r="D318" s="8">
        <f t="shared" si="82"/>
        <v>1785</v>
      </c>
      <c r="E318" s="7">
        <f t="shared" si="83"/>
        <v>1119</v>
      </c>
      <c r="F318" s="7">
        <f t="shared" si="84"/>
        <v>1105</v>
      </c>
      <c r="G318" s="7">
        <f t="shared" si="85"/>
        <v>981</v>
      </c>
      <c r="H318" s="4">
        <f t="shared" si="86"/>
        <v>1508</v>
      </c>
      <c r="I318" s="4">
        <f t="shared" si="87"/>
        <v>1522</v>
      </c>
      <c r="J318" s="4">
        <f t="shared" si="88"/>
        <v>1646</v>
      </c>
      <c r="K318" s="4">
        <f t="shared" si="92"/>
        <v>2000</v>
      </c>
      <c r="L318" s="4">
        <f t="shared" si="93"/>
        <v>2000</v>
      </c>
      <c r="M318" s="4">
        <f t="shared" si="94"/>
        <v>2000</v>
      </c>
      <c r="N318" s="4">
        <f t="shared" si="95"/>
        <v>-492</v>
      </c>
      <c r="O318" s="4">
        <f t="shared" si="96"/>
        <v>-478</v>
      </c>
      <c r="P318" s="4">
        <f t="shared" si="97"/>
        <v>-354</v>
      </c>
      <c r="Q318" s="7">
        <v>0</v>
      </c>
      <c r="R318" s="7">
        <v>0</v>
      </c>
      <c r="S318" s="7">
        <v>0</v>
      </c>
      <c r="T318" s="5">
        <f t="shared" si="89"/>
        <v>2315</v>
      </c>
      <c r="U318" s="6">
        <f t="shared" si="99"/>
        <v>288</v>
      </c>
      <c r="V318" s="6">
        <f t="shared" si="100"/>
        <v>312</v>
      </c>
      <c r="W318" s="6">
        <f t="shared" si="98"/>
        <v>446</v>
      </c>
      <c r="X318" s="5"/>
      <c r="Y318" s="4"/>
      <c r="Z318" s="4"/>
      <c r="AA318" s="4"/>
      <c r="AB318" s="4"/>
    </row>
    <row r="319" spans="1:28" ht="13.15" customHeight="1">
      <c r="A319" s="11">
        <v>305</v>
      </c>
      <c r="B319" s="14">
        <f t="shared" si="90"/>
        <v>45348</v>
      </c>
      <c r="C319" s="9">
        <f t="shared" si="91"/>
        <v>842</v>
      </c>
      <c r="D319" s="8">
        <f t="shared" ref="D319:D382" si="101">D318+2</f>
        <v>1787</v>
      </c>
      <c r="E319" s="7">
        <f t="shared" si="83"/>
        <v>1121</v>
      </c>
      <c r="F319" s="7">
        <f t="shared" si="84"/>
        <v>1107</v>
      </c>
      <c r="G319" s="7">
        <f t="shared" si="85"/>
        <v>983</v>
      </c>
      <c r="H319" s="4">
        <f t="shared" si="86"/>
        <v>1508</v>
      </c>
      <c r="I319" s="4">
        <f t="shared" si="87"/>
        <v>1522</v>
      </c>
      <c r="J319" s="4">
        <f t="shared" si="88"/>
        <v>1646</v>
      </c>
      <c r="K319" s="4">
        <f t="shared" si="92"/>
        <v>2000</v>
      </c>
      <c r="L319" s="4">
        <f t="shared" si="93"/>
        <v>2000</v>
      </c>
      <c r="M319" s="4">
        <f t="shared" si="94"/>
        <v>2000</v>
      </c>
      <c r="N319" s="4">
        <f t="shared" si="95"/>
        <v>-492</v>
      </c>
      <c r="O319" s="4">
        <f t="shared" si="96"/>
        <v>-478</v>
      </c>
      <c r="P319" s="4">
        <f t="shared" si="97"/>
        <v>-354</v>
      </c>
      <c r="Q319" s="7">
        <v>0</v>
      </c>
      <c r="R319" s="7">
        <v>0</v>
      </c>
      <c r="S319" s="7">
        <v>0</v>
      </c>
      <c r="T319" s="5">
        <f t="shared" si="89"/>
        <v>2317</v>
      </c>
      <c r="U319" s="6">
        <f t="shared" si="99"/>
        <v>288</v>
      </c>
      <c r="V319" s="6">
        <f t="shared" si="100"/>
        <v>312</v>
      </c>
      <c r="W319" s="6">
        <f t="shared" si="98"/>
        <v>446</v>
      </c>
      <c r="X319" s="5"/>
      <c r="Y319" s="4"/>
      <c r="Z319" s="4"/>
      <c r="AA319" s="4"/>
      <c r="AB319" s="4"/>
    </row>
    <row r="320" spans="1:28" ht="13.15" customHeight="1">
      <c r="A320" s="11">
        <v>306</v>
      </c>
      <c r="B320" s="14">
        <f t="shared" si="90"/>
        <v>45349</v>
      </c>
      <c r="C320" s="9">
        <f t="shared" si="91"/>
        <v>842</v>
      </c>
      <c r="D320" s="8">
        <f t="shared" si="101"/>
        <v>1789</v>
      </c>
      <c r="E320" s="7">
        <f t="shared" si="83"/>
        <v>1123</v>
      </c>
      <c r="F320" s="7">
        <f t="shared" si="84"/>
        <v>1109</v>
      </c>
      <c r="G320" s="7">
        <f t="shared" si="85"/>
        <v>985</v>
      </c>
      <c r="H320" s="4">
        <f t="shared" si="86"/>
        <v>1508</v>
      </c>
      <c r="I320" s="4">
        <f t="shared" si="87"/>
        <v>1522</v>
      </c>
      <c r="J320" s="4">
        <f t="shared" si="88"/>
        <v>1646</v>
      </c>
      <c r="K320" s="4">
        <f t="shared" si="92"/>
        <v>2000</v>
      </c>
      <c r="L320" s="4">
        <f t="shared" si="93"/>
        <v>2000</v>
      </c>
      <c r="M320" s="4">
        <f t="shared" si="94"/>
        <v>2000</v>
      </c>
      <c r="N320" s="4">
        <f t="shared" si="95"/>
        <v>-492</v>
      </c>
      <c r="O320" s="4">
        <f t="shared" si="96"/>
        <v>-478</v>
      </c>
      <c r="P320" s="4">
        <f t="shared" si="97"/>
        <v>-354</v>
      </c>
      <c r="Q320" s="7">
        <v>0</v>
      </c>
      <c r="R320" s="7">
        <v>0</v>
      </c>
      <c r="S320" s="7">
        <v>0</v>
      </c>
      <c r="T320" s="5">
        <f t="shared" si="89"/>
        <v>2319</v>
      </c>
      <c r="U320" s="6">
        <f t="shared" si="99"/>
        <v>288</v>
      </c>
      <c r="V320" s="6">
        <f t="shared" si="100"/>
        <v>312</v>
      </c>
      <c r="W320" s="6">
        <f t="shared" si="98"/>
        <v>446</v>
      </c>
      <c r="X320" s="5"/>
      <c r="Y320" s="4"/>
      <c r="Z320" s="4"/>
      <c r="AA320" s="4"/>
      <c r="AB320" s="4"/>
    </row>
    <row r="321" spans="1:28" ht="13.15" customHeight="1">
      <c r="A321" s="11">
        <v>307</v>
      </c>
      <c r="B321" s="14">
        <f t="shared" si="90"/>
        <v>45350</v>
      </c>
      <c r="C321" s="9">
        <f t="shared" si="91"/>
        <v>842</v>
      </c>
      <c r="D321" s="8">
        <f t="shared" si="101"/>
        <v>1791</v>
      </c>
      <c r="E321" s="7">
        <f t="shared" si="83"/>
        <v>1125</v>
      </c>
      <c r="F321" s="7">
        <f t="shared" si="84"/>
        <v>1111</v>
      </c>
      <c r="G321" s="7">
        <f t="shared" si="85"/>
        <v>987</v>
      </c>
      <c r="H321" s="4">
        <f t="shared" si="86"/>
        <v>1508</v>
      </c>
      <c r="I321" s="4">
        <f t="shared" si="87"/>
        <v>1522</v>
      </c>
      <c r="J321" s="4">
        <f t="shared" si="88"/>
        <v>1646</v>
      </c>
      <c r="K321" s="4">
        <f t="shared" si="92"/>
        <v>2000</v>
      </c>
      <c r="L321" s="4">
        <f t="shared" si="93"/>
        <v>2000</v>
      </c>
      <c r="M321" s="4">
        <f t="shared" si="94"/>
        <v>2000</v>
      </c>
      <c r="N321" s="4">
        <f t="shared" si="95"/>
        <v>-492</v>
      </c>
      <c r="O321" s="4">
        <f t="shared" si="96"/>
        <v>-478</v>
      </c>
      <c r="P321" s="4">
        <f t="shared" si="97"/>
        <v>-354</v>
      </c>
      <c r="Q321" s="7">
        <v>0</v>
      </c>
      <c r="R321" s="7">
        <v>0</v>
      </c>
      <c r="S321" s="7">
        <v>0</v>
      </c>
      <c r="T321" s="5">
        <f t="shared" si="89"/>
        <v>2321</v>
      </c>
      <c r="U321" s="6">
        <f t="shared" si="99"/>
        <v>288</v>
      </c>
      <c r="V321" s="6">
        <f t="shared" si="100"/>
        <v>312</v>
      </c>
      <c r="W321" s="6">
        <f t="shared" si="98"/>
        <v>446</v>
      </c>
      <c r="X321" s="5"/>
      <c r="Y321" s="4"/>
      <c r="Z321" s="4"/>
      <c r="AA321" s="4"/>
      <c r="AB321" s="4"/>
    </row>
    <row r="322" spans="1:28" ht="13.15" customHeight="1">
      <c r="A322" s="11">
        <v>308</v>
      </c>
      <c r="B322" s="14">
        <f t="shared" si="90"/>
        <v>45351</v>
      </c>
      <c r="C322" s="9">
        <f t="shared" si="91"/>
        <v>842</v>
      </c>
      <c r="D322" s="8">
        <f t="shared" si="101"/>
        <v>1793</v>
      </c>
      <c r="E322" s="7">
        <f t="shared" si="83"/>
        <v>1127</v>
      </c>
      <c r="F322" s="7">
        <f t="shared" si="84"/>
        <v>1113</v>
      </c>
      <c r="G322" s="7">
        <f t="shared" si="85"/>
        <v>989</v>
      </c>
      <c r="H322" s="4">
        <f t="shared" si="86"/>
        <v>1508</v>
      </c>
      <c r="I322" s="4">
        <f t="shared" si="87"/>
        <v>1522</v>
      </c>
      <c r="J322" s="4">
        <f t="shared" si="88"/>
        <v>1646</v>
      </c>
      <c r="K322" s="4">
        <f t="shared" si="92"/>
        <v>2000</v>
      </c>
      <c r="L322" s="4">
        <f t="shared" si="93"/>
        <v>2000</v>
      </c>
      <c r="M322" s="4">
        <f t="shared" si="94"/>
        <v>2000</v>
      </c>
      <c r="N322" s="4">
        <f t="shared" si="95"/>
        <v>-492</v>
      </c>
      <c r="O322" s="4">
        <f t="shared" si="96"/>
        <v>-478</v>
      </c>
      <c r="P322" s="4">
        <f t="shared" si="97"/>
        <v>-354</v>
      </c>
      <c r="Q322" s="7">
        <v>0</v>
      </c>
      <c r="R322" s="7">
        <v>0</v>
      </c>
      <c r="S322" s="7">
        <v>0</v>
      </c>
      <c r="T322" s="5">
        <f t="shared" si="89"/>
        <v>2323</v>
      </c>
      <c r="U322" s="6">
        <f t="shared" si="99"/>
        <v>288</v>
      </c>
      <c r="V322" s="6">
        <f t="shared" si="100"/>
        <v>312</v>
      </c>
      <c r="W322" s="6">
        <f t="shared" si="98"/>
        <v>446</v>
      </c>
      <c r="X322" s="5"/>
      <c r="Y322" s="4"/>
      <c r="Z322" s="4"/>
      <c r="AA322" s="4"/>
      <c r="AB322" s="4"/>
    </row>
    <row r="323" spans="1:28" ht="13.15" customHeight="1">
      <c r="A323" s="11">
        <v>309</v>
      </c>
      <c r="B323" s="14">
        <f t="shared" si="90"/>
        <v>45352</v>
      </c>
      <c r="C323" s="9">
        <f t="shared" si="91"/>
        <v>842</v>
      </c>
      <c r="D323" s="8">
        <f t="shared" si="101"/>
        <v>1795</v>
      </c>
      <c r="E323" s="7">
        <f t="shared" si="83"/>
        <v>1129</v>
      </c>
      <c r="F323" s="7">
        <f t="shared" si="84"/>
        <v>1115</v>
      </c>
      <c r="G323" s="7">
        <f t="shared" si="85"/>
        <v>991</v>
      </c>
      <c r="H323" s="4">
        <f t="shared" si="86"/>
        <v>1508</v>
      </c>
      <c r="I323" s="4">
        <f t="shared" si="87"/>
        <v>1522</v>
      </c>
      <c r="J323" s="4">
        <f t="shared" si="88"/>
        <v>1646</v>
      </c>
      <c r="K323" s="4">
        <f t="shared" si="92"/>
        <v>2000</v>
      </c>
      <c r="L323" s="4">
        <f t="shared" si="93"/>
        <v>2000</v>
      </c>
      <c r="M323" s="4">
        <f t="shared" si="94"/>
        <v>2000</v>
      </c>
      <c r="N323" s="4">
        <f t="shared" si="95"/>
        <v>-492</v>
      </c>
      <c r="O323" s="4">
        <f t="shared" si="96"/>
        <v>-478</v>
      </c>
      <c r="P323" s="4">
        <f t="shared" si="97"/>
        <v>-354</v>
      </c>
      <c r="Q323" s="7">
        <v>0</v>
      </c>
      <c r="R323" s="7">
        <v>0</v>
      </c>
      <c r="S323" s="7">
        <v>0</v>
      </c>
      <c r="T323" s="5">
        <f t="shared" si="89"/>
        <v>2325</v>
      </c>
      <c r="U323" s="6">
        <f t="shared" si="99"/>
        <v>288</v>
      </c>
      <c r="V323" s="6">
        <f t="shared" si="100"/>
        <v>312</v>
      </c>
      <c r="W323" s="6">
        <f t="shared" si="98"/>
        <v>446</v>
      </c>
      <c r="X323" s="5"/>
      <c r="Y323" s="4"/>
      <c r="Z323" s="4"/>
      <c r="AA323" s="4"/>
      <c r="AB323" s="4"/>
    </row>
    <row r="324" spans="1:28" ht="13.15" customHeight="1">
      <c r="A324" s="11">
        <v>310</v>
      </c>
      <c r="B324" s="14">
        <f t="shared" si="90"/>
        <v>45353</v>
      </c>
      <c r="C324" s="9">
        <f t="shared" si="91"/>
        <v>842</v>
      </c>
      <c r="D324" s="8">
        <f t="shared" si="101"/>
        <v>1797</v>
      </c>
      <c r="E324" s="7">
        <f t="shared" si="83"/>
        <v>1131</v>
      </c>
      <c r="F324" s="7">
        <f t="shared" si="84"/>
        <v>1117</v>
      </c>
      <c r="G324" s="7">
        <f t="shared" si="85"/>
        <v>993</v>
      </c>
      <c r="H324" s="4">
        <f t="shared" si="86"/>
        <v>1508</v>
      </c>
      <c r="I324" s="4">
        <f t="shared" si="87"/>
        <v>1522</v>
      </c>
      <c r="J324" s="4">
        <f t="shared" si="88"/>
        <v>1646</v>
      </c>
      <c r="K324" s="4">
        <f t="shared" si="92"/>
        <v>2000</v>
      </c>
      <c r="L324" s="4">
        <f t="shared" si="93"/>
        <v>2000</v>
      </c>
      <c r="M324" s="4">
        <f t="shared" si="94"/>
        <v>2000</v>
      </c>
      <c r="N324" s="4">
        <f t="shared" si="95"/>
        <v>-492</v>
      </c>
      <c r="O324" s="4">
        <f t="shared" si="96"/>
        <v>-478</v>
      </c>
      <c r="P324" s="4">
        <f t="shared" si="97"/>
        <v>-354</v>
      </c>
      <c r="Q324" s="7">
        <v>0</v>
      </c>
      <c r="R324" s="7">
        <v>0</v>
      </c>
      <c r="S324" s="7">
        <v>0</v>
      </c>
      <c r="T324" s="5">
        <f t="shared" si="89"/>
        <v>2327</v>
      </c>
      <c r="U324" s="6">
        <f t="shared" si="99"/>
        <v>288</v>
      </c>
      <c r="V324" s="6">
        <f t="shared" si="100"/>
        <v>312</v>
      </c>
      <c r="W324" s="6">
        <f t="shared" si="98"/>
        <v>446</v>
      </c>
      <c r="X324" s="5"/>
      <c r="Y324" s="4"/>
      <c r="Z324" s="4"/>
      <c r="AA324" s="4"/>
      <c r="AB324" s="4"/>
    </row>
    <row r="325" spans="1:28" ht="13.15" customHeight="1">
      <c r="A325" s="11">
        <v>311</v>
      </c>
      <c r="B325" s="14">
        <f t="shared" si="90"/>
        <v>45354</v>
      </c>
      <c r="C325" s="9">
        <f t="shared" si="91"/>
        <v>842</v>
      </c>
      <c r="D325" s="8">
        <f t="shared" si="101"/>
        <v>1799</v>
      </c>
      <c r="E325" s="7">
        <f t="shared" si="83"/>
        <v>1133</v>
      </c>
      <c r="F325" s="7">
        <f t="shared" si="84"/>
        <v>1119</v>
      </c>
      <c r="G325" s="7">
        <f t="shared" si="85"/>
        <v>995</v>
      </c>
      <c r="H325" s="4">
        <f t="shared" si="86"/>
        <v>1508</v>
      </c>
      <c r="I325" s="4">
        <f t="shared" si="87"/>
        <v>1522</v>
      </c>
      <c r="J325" s="4">
        <f t="shared" si="88"/>
        <v>1646</v>
      </c>
      <c r="K325" s="4">
        <f t="shared" si="92"/>
        <v>2000</v>
      </c>
      <c r="L325" s="4">
        <f t="shared" si="93"/>
        <v>2000</v>
      </c>
      <c r="M325" s="4">
        <f t="shared" si="94"/>
        <v>2000</v>
      </c>
      <c r="N325" s="4">
        <f t="shared" si="95"/>
        <v>-492</v>
      </c>
      <c r="O325" s="4">
        <f t="shared" si="96"/>
        <v>-478</v>
      </c>
      <c r="P325" s="4">
        <f t="shared" si="97"/>
        <v>-354</v>
      </c>
      <c r="Q325" s="7">
        <v>0</v>
      </c>
      <c r="R325" s="7">
        <v>0</v>
      </c>
      <c r="S325" s="7">
        <v>0</v>
      </c>
      <c r="T325" s="5">
        <f t="shared" si="89"/>
        <v>2329</v>
      </c>
      <c r="U325" s="6">
        <f t="shared" si="99"/>
        <v>288</v>
      </c>
      <c r="V325" s="6">
        <f t="shared" si="100"/>
        <v>312</v>
      </c>
      <c r="W325" s="6">
        <f t="shared" si="98"/>
        <v>446</v>
      </c>
      <c r="X325" s="5"/>
      <c r="Y325" s="4"/>
      <c r="Z325" s="4"/>
      <c r="AA325" s="4"/>
      <c r="AB325" s="4"/>
    </row>
    <row r="326" spans="1:28" ht="13.15" customHeight="1">
      <c r="A326" s="11">
        <v>312</v>
      </c>
      <c r="B326" s="14">
        <f t="shared" si="90"/>
        <v>45355</v>
      </c>
      <c r="C326" s="9">
        <f t="shared" si="91"/>
        <v>842</v>
      </c>
      <c r="D326" s="8">
        <f t="shared" si="101"/>
        <v>1801</v>
      </c>
      <c r="E326" s="7">
        <f t="shared" si="83"/>
        <v>1135</v>
      </c>
      <c r="F326" s="7">
        <f t="shared" si="84"/>
        <v>1121</v>
      </c>
      <c r="G326" s="7">
        <f t="shared" si="85"/>
        <v>997</v>
      </c>
      <c r="H326" s="4">
        <f t="shared" si="86"/>
        <v>1508</v>
      </c>
      <c r="I326" s="4">
        <f t="shared" si="87"/>
        <v>1522</v>
      </c>
      <c r="J326" s="4">
        <f t="shared" si="88"/>
        <v>1646</v>
      </c>
      <c r="K326" s="4">
        <f t="shared" si="92"/>
        <v>2000</v>
      </c>
      <c r="L326" s="4">
        <f t="shared" si="93"/>
        <v>2000</v>
      </c>
      <c r="M326" s="4">
        <f t="shared" si="94"/>
        <v>2000</v>
      </c>
      <c r="N326" s="4">
        <f t="shared" si="95"/>
        <v>-492</v>
      </c>
      <c r="O326" s="4">
        <f t="shared" si="96"/>
        <v>-478</v>
      </c>
      <c r="P326" s="4">
        <f t="shared" si="97"/>
        <v>-354</v>
      </c>
      <c r="Q326" s="7">
        <v>0</v>
      </c>
      <c r="R326" s="7">
        <v>0</v>
      </c>
      <c r="S326" s="7">
        <v>0</v>
      </c>
      <c r="T326" s="5">
        <f t="shared" si="89"/>
        <v>2331</v>
      </c>
      <c r="U326" s="6">
        <f t="shared" si="99"/>
        <v>288</v>
      </c>
      <c r="V326" s="6">
        <f t="shared" si="100"/>
        <v>312</v>
      </c>
      <c r="W326" s="6">
        <f t="shared" si="98"/>
        <v>446</v>
      </c>
      <c r="X326" s="5"/>
      <c r="Y326" s="4"/>
      <c r="Z326" s="4"/>
      <c r="AA326" s="4"/>
      <c r="AB326" s="4"/>
    </row>
    <row r="327" spans="1:28" ht="13.15" customHeight="1">
      <c r="A327" s="11">
        <v>313</v>
      </c>
      <c r="B327" s="14">
        <f t="shared" si="90"/>
        <v>45356</v>
      </c>
      <c r="C327" s="9">
        <f t="shared" si="91"/>
        <v>842</v>
      </c>
      <c r="D327" s="8">
        <f t="shared" si="101"/>
        <v>1803</v>
      </c>
      <c r="E327" s="7">
        <f t="shared" si="83"/>
        <v>1137</v>
      </c>
      <c r="F327" s="7">
        <f t="shared" si="84"/>
        <v>1123</v>
      </c>
      <c r="G327" s="7">
        <f t="shared" si="85"/>
        <v>999</v>
      </c>
      <c r="H327" s="4">
        <f t="shared" si="86"/>
        <v>1508</v>
      </c>
      <c r="I327" s="4">
        <f t="shared" si="87"/>
        <v>1522</v>
      </c>
      <c r="J327" s="4">
        <f t="shared" si="88"/>
        <v>1646</v>
      </c>
      <c r="K327" s="4">
        <f t="shared" si="92"/>
        <v>2000</v>
      </c>
      <c r="L327" s="4">
        <f t="shared" si="93"/>
        <v>2000</v>
      </c>
      <c r="M327" s="4">
        <f t="shared" si="94"/>
        <v>2000</v>
      </c>
      <c r="N327" s="4">
        <f t="shared" si="95"/>
        <v>-492</v>
      </c>
      <c r="O327" s="4">
        <f t="shared" si="96"/>
        <v>-478</v>
      </c>
      <c r="P327" s="4">
        <f t="shared" si="97"/>
        <v>-354</v>
      </c>
      <c r="Q327" s="7">
        <v>0</v>
      </c>
      <c r="R327" s="7">
        <v>0</v>
      </c>
      <c r="S327" s="7">
        <v>0</v>
      </c>
      <c r="T327" s="5">
        <f t="shared" si="89"/>
        <v>2333</v>
      </c>
      <c r="U327" s="6">
        <f t="shared" si="99"/>
        <v>288</v>
      </c>
      <c r="V327" s="6">
        <f t="shared" si="100"/>
        <v>312</v>
      </c>
      <c r="W327" s="6">
        <f t="shared" si="98"/>
        <v>446</v>
      </c>
      <c r="X327" s="5"/>
      <c r="Y327" s="4"/>
      <c r="Z327" s="4"/>
      <c r="AA327" s="4"/>
      <c r="AB327" s="4"/>
    </row>
    <row r="328" spans="1:28" ht="13.15" customHeight="1">
      <c r="A328" s="11">
        <v>314</v>
      </c>
      <c r="B328" s="14">
        <f t="shared" si="90"/>
        <v>45357</v>
      </c>
      <c r="C328" s="9">
        <f t="shared" si="91"/>
        <v>842</v>
      </c>
      <c r="D328" s="8">
        <f t="shared" si="101"/>
        <v>1805</v>
      </c>
      <c r="E328" s="7">
        <f t="shared" si="83"/>
        <v>1139</v>
      </c>
      <c r="F328" s="7">
        <f t="shared" si="84"/>
        <v>1125</v>
      </c>
      <c r="G328" s="7">
        <f t="shared" si="85"/>
        <v>1001</v>
      </c>
      <c r="H328" s="4">
        <f t="shared" si="86"/>
        <v>1508</v>
      </c>
      <c r="I328" s="4">
        <f t="shared" si="87"/>
        <v>1522</v>
      </c>
      <c r="J328" s="4">
        <f t="shared" si="88"/>
        <v>1646</v>
      </c>
      <c r="K328" s="4">
        <f t="shared" si="92"/>
        <v>2000</v>
      </c>
      <c r="L328" s="4">
        <f t="shared" si="93"/>
        <v>2000</v>
      </c>
      <c r="M328" s="4">
        <f t="shared" si="94"/>
        <v>2000</v>
      </c>
      <c r="N328" s="4">
        <f t="shared" si="95"/>
        <v>-492</v>
      </c>
      <c r="O328" s="4">
        <f t="shared" si="96"/>
        <v>-478</v>
      </c>
      <c r="P328" s="4">
        <f t="shared" si="97"/>
        <v>-354</v>
      </c>
      <c r="Q328" s="7">
        <v>0</v>
      </c>
      <c r="R328" s="7">
        <v>0</v>
      </c>
      <c r="S328" s="7">
        <v>0</v>
      </c>
      <c r="T328" s="5">
        <f t="shared" si="89"/>
        <v>2335</v>
      </c>
      <c r="U328" s="6">
        <f t="shared" si="99"/>
        <v>288</v>
      </c>
      <c r="V328" s="6">
        <f t="shared" si="100"/>
        <v>312</v>
      </c>
      <c r="W328" s="6">
        <f t="shared" si="98"/>
        <v>446</v>
      </c>
      <c r="X328" s="5"/>
      <c r="Y328" s="4"/>
      <c r="Z328" s="4"/>
      <c r="AA328" s="4"/>
      <c r="AB328" s="4"/>
    </row>
    <row r="329" spans="1:28" ht="13.15" customHeight="1">
      <c r="A329" s="11">
        <v>315</v>
      </c>
      <c r="B329" s="14">
        <f t="shared" si="90"/>
        <v>45358</v>
      </c>
      <c r="C329" s="9">
        <f t="shared" si="91"/>
        <v>842</v>
      </c>
      <c r="D329" s="8">
        <f t="shared" si="101"/>
        <v>1807</v>
      </c>
      <c r="E329" s="7">
        <f t="shared" si="83"/>
        <v>1141</v>
      </c>
      <c r="F329" s="7">
        <f t="shared" si="84"/>
        <v>1127</v>
      </c>
      <c r="G329" s="7">
        <f t="shared" si="85"/>
        <v>1003</v>
      </c>
      <c r="H329" s="4">
        <f t="shared" si="86"/>
        <v>1508</v>
      </c>
      <c r="I329" s="4">
        <f t="shared" si="87"/>
        <v>1522</v>
      </c>
      <c r="J329" s="4">
        <f t="shared" si="88"/>
        <v>1646</v>
      </c>
      <c r="K329" s="4">
        <f t="shared" si="92"/>
        <v>2000</v>
      </c>
      <c r="L329" s="4">
        <f t="shared" si="93"/>
        <v>2000</v>
      </c>
      <c r="M329" s="4">
        <f t="shared" si="94"/>
        <v>2000</v>
      </c>
      <c r="N329" s="4">
        <f t="shared" si="95"/>
        <v>-492</v>
      </c>
      <c r="O329" s="4">
        <f t="shared" si="96"/>
        <v>-478</v>
      </c>
      <c r="P329" s="4">
        <f t="shared" si="97"/>
        <v>-354</v>
      </c>
      <c r="Q329" s="7">
        <v>0</v>
      </c>
      <c r="R329" s="7">
        <v>0</v>
      </c>
      <c r="S329" s="7">
        <v>0</v>
      </c>
      <c r="T329" s="5">
        <f t="shared" si="89"/>
        <v>2337</v>
      </c>
      <c r="U329" s="6">
        <f t="shared" si="99"/>
        <v>288</v>
      </c>
      <c r="V329" s="6">
        <f t="shared" si="100"/>
        <v>312</v>
      </c>
      <c r="W329" s="6">
        <f t="shared" si="98"/>
        <v>446</v>
      </c>
      <c r="X329" s="5"/>
      <c r="Y329" s="4"/>
      <c r="Z329" s="4"/>
      <c r="AA329" s="4"/>
      <c r="AB329" s="4"/>
    </row>
    <row r="330" spans="1:28" ht="13.15" customHeight="1">
      <c r="A330" s="11">
        <v>316</v>
      </c>
      <c r="B330" s="14">
        <f t="shared" si="90"/>
        <v>45359</v>
      </c>
      <c r="C330" s="9">
        <f t="shared" si="91"/>
        <v>842</v>
      </c>
      <c r="D330" s="8">
        <f t="shared" si="101"/>
        <v>1809</v>
      </c>
      <c r="E330" s="7">
        <f t="shared" si="83"/>
        <v>1143</v>
      </c>
      <c r="F330" s="7">
        <f t="shared" si="84"/>
        <v>1129</v>
      </c>
      <c r="G330" s="7">
        <f t="shared" si="85"/>
        <v>1005</v>
      </c>
      <c r="H330" s="4">
        <f t="shared" si="86"/>
        <v>1508</v>
      </c>
      <c r="I330" s="4">
        <f t="shared" si="87"/>
        <v>1522</v>
      </c>
      <c r="J330" s="4">
        <f t="shared" si="88"/>
        <v>1646</v>
      </c>
      <c r="K330" s="4">
        <f t="shared" si="92"/>
        <v>2000</v>
      </c>
      <c r="L330" s="4">
        <f t="shared" si="93"/>
        <v>2000</v>
      </c>
      <c r="M330" s="4">
        <f t="shared" si="94"/>
        <v>2000</v>
      </c>
      <c r="N330" s="4">
        <f t="shared" si="95"/>
        <v>-492</v>
      </c>
      <c r="O330" s="4">
        <f t="shared" si="96"/>
        <v>-478</v>
      </c>
      <c r="P330" s="4">
        <f t="shared" si="97"/>
        <v>-354</v>
      </c>
      <c r="Q330" s="7">
        <v>0</v>
      </c>
      <c r="R330" s="7">
        <v>0</v>
      </c>
      <c r="S330" s="7">
        <v>0</v>
      </c>
      <c r="T330" s="5">
        <f t="shared" si="89"/>
        <v>2339</v>
      </c>
      <c r="U330" s="6">
        <f t="shared" si="99"/>
        <v>288</v>
      </c>
      <c r="V330" s="6">
        <f t="shared" si="100"/>
        <v>312</v>
      </c>
      <c r="W330" s="6">
        <f t="shared" si="98"/>
        <v>446</v>
      </c>
      <c r="X330" s="5"/>
      <c r="Y330" s="4"/>
      <c r="Z330" s="4"/>
      <c r="AA330" s="4"/>
      <c r="AB330" s="4"/>
    </row>
    <row r="331" spans="1:28" ht="13.15" customHeight="1">
      <c r="A331" s="11">
        <v>317</v>
      </c>
      <c r="B331" s="14">
        <f t="shared" si="90"/>
        <v>45360</v>
      </c>
      <c r="C331" s="9">
        <f t="shared" si="91"/>
        <v>842</v>
      </c>
      <c r="D331" s="8">
        <f t="shared" si="101"/>
        <v>1811</v>
      </c>
      <c r="E331" s="7">
        <f t="shared" si="83"/>
        <v>1145</v>
      </c>
      <c r="F331" s="7">
        <f t="shared" si="84"/>
        <v>1131</v>
      </c>
      <c r="G331" s="7">
        <f t="shared" si="85"/>
        <v>1007</v>
      </c>
      <c r="H331" s="4">
        <f t="shared" si="86"/>
        <v>1508</v>
      </c>
      <c r="I331" s="4">
        <f t="shared" si="87"/>
        <v>1522</v>
      </c>
      <c r="J331" s="4">
        <f t="shared" si="88"/>
        <v>1646</v>
      </c>
      <c r="K331" s="4">
        <f t="shared" si="92"/>
        <v>2000</v>
      </c>
      <c r="L331" s="4">
        <f t="shared" si="93"/>
        <v>2000</v>
      </c>
      <c r="M331" s="4">
        <f t="shared" si="94"/>
        <v>2000</v>
      </c>
      <c r="N331" s="4">
        <f t="shared" si="95"/>
        <v>-492</v>
      </c>
      <c r="O331" s="4">
        <f t="shared" si="96"/>
        <v>-478</v>
      </c>
      <c r="P331" s="4">
        <f t="shared" si="97"/>
        <v>-354</v>
      </c>
      <c r="Q331" s="7">
        <v>0</v>
      </c>
      <c r="R331" s="7">
        <v>0</v>
      </c>
      <c r="S331" s="7">
        <v>0</v>
      </c>
      <c r="T331" s="5">
        <f t="shared" si="89"/>
        <v>2341</v>
      </c>
      <c r="U331" s="6">
        <f t="shared" si="99"/>
        <v>288</v>
      </c>
      <c r="V331" s="6">
        <f t="shared" si="100"/>
        <v>312</v>
      </c>
      <c r="W331" s="6">
        <f t="shared" si="98"/>
        <v>446</v>
      </c>
      <c r="X331" s="5"/>
      <c r="Y331" s="4"/>
      <c r="Z331" s="4"/>
      <c r="AA331" s="4"/>
      <c r="AB331" s="4"/>
    </row>
    <row r="332" spans="1:28" ht="13.15" customHeight="1">
      <c r="A332" s="11">
        <v>318</v>
      </c>
      <c r="B332" s="14">
        <f t="shared" si="90"/>
        <v>45361</v>
      </c>
      <c r="C332" s="9">
        <f t="shared" si="91"/>
        <v>842</v>
      </c>
      <c r="D332" s="8">
        <f t="shared" si="101"/>
        <v>1813</v>
      </c>
      <c r="E332" s="7">
        <f t="shared" si="83"/>
        <v>1147</v>
      </c>
      <c r="F332" s="7">
        <f t="shared" si="84"/>
        <v>1133</v>
      </c>
      <c r="G332" s="7">
        <f t="shared" si="85"/>
        <v>1009</v>
      </c>
      <c r="H332" s="4">
        <f t="shared" si="86"/>
        <v>1508</v>
      </c>
      <c r="I332" s="4">
        <f t="shared" si="87"/>
        <v>1522</v>
      </c>
      <c r="J332" s="4">
        <f t="shared" si="88"/>
        <v>1646</v>
      </c>
      <c r="K332" s="4">
        <f t="shared" si="92"/>
        <v>2000</v>
      </c>
      <c r="L332" s="4">
        <f t="shared" si="93"/>
        <v>2000</v>
      </c>
      <c r="M332" s="4">
        <f t="shared" si="94"/>
        <v>2000</v>
      </c>
      <c r="N332" s="4">
        <f t="shared" si="95"/>
        <v>-492</v>
      </c>
      <c r="O332" s="4">
        <f t="shared" si="96"/>
        <v>-478</v>
      </c>
      <c r="P332" s="4">
        <f t="shared" si="97"/>
        <v>-354</v>
      </c>
      <c r="Q332" s="7">
        <v>0</v>
      </c>
      <c r="R332" s="7">
        <v>0</v>
      </c>
      <c r="S332" s="7">
        <v>0</v>
      </c>
      <c r="T332" s="5">
        <f t="shared" si="89"/>
        <v>2343</v>
      </c>
      <c r="U332" s="6">
        <f t="shared" si="99"/>
        <v>288</v>
      </c>
      <c r="V332" s="6">
        <f t="shared" si="100"/>
        <v>312</v>
      </c>
      <c r="W332" s="6">
        <f t="shared" si="98"/>
        <v>446</v>
      </c>
      <c r="X332" s="5"/>
      <c r="Y332" s="4"/>
      <c r="Z332" s="4"/>
      <c r="AA332" s="4"/>
      <c r="AB332" s="4"/>
    </row>
    <row r="333" spans="1:28" ht="13.15" customHeight="1">
      <c r="A333" s="11">
        <v>319</v>
      </c>
      <c r="B333" s="14">
        <f t="shared" si="90"/>
        <v>45362</v>
      </c>
      <c r="C333" s="9">
        <f t="shared" si="91"/>
        <v>842</v>
      </c>
      <c r="D333" s="8">
        <f t="shared" si="101"/>
        <v>1815</v>
      </c>
      <c r="E333" s="7">
        <f t="shared" si="83"/>
        <v>1149</v>
      </c>
      <c r="F333" s="7">
        <f t="shared" si="84"/>
        <v>1135</v>
      </c>
      <c r="G333" s="7">
        <f t="shared" si="85"/>
        <v>1011</v>
      </c>
      <c r="H333" s="4">
        <f t="shared" si="86"/>
        <v>1508</v>
      </c>
      <c r="I333" s="4">
        <f t="shared" si="87"/>
        <v>1522</v>
      </c>
      <c r="J333" s="4">
        <f t="shared" si="88"/>
        <v>1646</v>
      </c>
      <c r="K333" s="4">
        <f t="shared" si="92"/>
        <v>2000</v>
      </c>
      <c r="L333" s="4">
        <f t="shared" si="93"/>
        <v>2000</v>
      </c>
      <c r="M333" s="4">
        <f t="shared" si="94"/>
        <v>2000</v>
      </c>
      <c r="N333" s="4">
        <f t="shared" si="95"/>
        <v>-492</v>
      </c>
      <c r="O333" s="4">
        <f t="shared" si="96"/>
        <v>-478</v>
      </c>
      <c r="P333" s="4">
        <f t="shared" si="97"/>
        <v>-354</v>
      </c>
      <c r="Q333" s="7">
        <v>0</v>
      </c>
      <c r="R333" s="7">
        <v>0</v>
      </c>
      <c r="S333" s="7">
        <v>0</v>
      </c>
      <c r="T333" s="5">
        <f t="shared" si="89"/>
        <v>2345</v>
      </c>
      <c r="U333" s="6">
        <f t="shared" si="99"/>
        <v>288</v>
      </c>
      <c r="V333" s="6">
        <f t="shared" si="100"/>
        <v>312</v>
      </c>
      <c r="W333" s="6">
        <f t="shared" si="98"/>
        <v>446</v>
      </c>
      <c r="X333" s="5"/>
      <c r="Y333" s="4"/>
      <c r="Z333" s="4"/>
      <c r="AA333" s="4"/>
      <c r="AB333" s="4"/>
    </row>
    <row r="334" spans="1:28" ht="13.15" customHeight="1">
      <c r="A334" s="11">
        <v>320</v>
      </c>
      <c r="B334" s="14">
        <f t="shared" si="90"/>
        <v>45363</v>
      </c>
      <c r="C334" s="9">
        <f t="shared" si="91"/>
        <v>842</v>
      </c>
      <c r="D334" s="8">
        <f t="shared" si="101"/>
        <v>1817</v>
      </c>
      <c r="E334" s="7">
        <f t="shared" ref="E334:E397" si="102">C334+D334-H334</f>
        <v>1151</v>
      </c>
      <c r="F334" s="7">
        <f t="shared" ref="F334:F397" si="103">C334+D334-I334</f>
        <v>1137</v>
      </c>
      <c r="G334" s="7">
        <f t="shared" ref="G334:G397" si="104">D334+C334-J334</f>
        <v>1013</v>
      </c>
      <c r="H334" s="4">
        <f t="shared" ref="H334:H397" si="105">K334+N334</f>
        <v>1508</v>
      </c>
      <c r="I334" s="4">
        <f t="shared" ref="I334:I397" si="106">L334+O334</f>
        <v>1522</v>
      </c>
      <c r="J334" s="4">
        <f t="shared" ref="J334:J397" si="107">M334+P334</f>
        <v>1646</v>
      </c>
      <c r="K334" s="4">
        <f t="shared" si="92"/>
        <v>2000</v>
      </c>
      <c r="L334" s="4">
        <f t="shared" si="93"/>
        <v>2000</v>
      </c>
      <c r="M334" s="4">
        <f t="shared" si="94"/>
        <v>2000</v>
      </c>
      <c r="N334" s="4">
        <f t="shared" si="95"/>
        <v>-492</v>
      </c>
      <c r="O334" s="4">
        <f t="shared" si="96"/>
        <v>-478</v>
      </c>
      <c r="P334" s="4">
        <f t="shared" si="97"/>
        <v>-354</v>
      </c>
      <c r="Q334" s="7">
        <v>0</v>
      </c>
      <c r="R334" s="7">
        <v>0</v>
      </c>
      <c r="S334" s="7">
        <v>0</v>
      </c>
      <c r="T334" s="5">
        <f t="shared" ref="T334:T397" si="108">D334+C334-V334</f>
        <v>2347</v>
      </c>
      <c r="U334" s="6">
        <f t="shared" si="99"/>
        <v>288</v>
      </c>
      <c r="V334" s="6">
        <f t="shared" si="100"/>
        <v>312</v>
      </c>
      <c r="W334" s="6">
        <f t="shared" si="98"/>
        <v>446</v>
      </c>
      <c r="X334" s="5"/>
      <c r="Y334" s="4"/>
      <c r="Z334" s="4"/>
      <c r="AA334" s="4"/>
      <c r="AB334" s="4"/>
    </row>
    <row r="335" spans="1:28" ht="13.15" customHeight="1">
      <c r="A335" s="11">
        <v>321</v>
      </c>
      <c r="B335" s="14">
        <f t="shared" ref="B335:B398" si="109">B334+1</f>
        <v>45364</v>
      </c>
      <c r="C335" s="9">
        <f t="shared" ref="C335:C398" si="110">C334</f>
        <v>842</v>
      </c>
      <c r="D335" s="8">
        <f t="shared" si="101"/>
        <v>1819</v>
      </c>
      <c r="E335" s="7">
        <f t="shared" si="102"/>
        <v>1153</v>
      </c>
      <c r="F335" s="7">
        <f t="shared" si="103"/>
        <v>1139</v>
      </c>
      <c r="G335" s="7">
        <f t="shared" si="104"/>
        <v>1015</v>
      </c>
      <c r="H335" s="4">
        <f t="shared" si="105"/>
        <v>1508</v>
      </c>
      <c r="I335" s="4">
        <f t="shared" si="106"/>
        <v>1522</v>
      </c>
      <c r="J335" s="4">
        <f t="shared" si="107"/>
        <v>1646</v>
      </c>
      <c r="K335" s="4">
        <f t="shared" ref="K335:K362" si="111">K334</f>
        <v>2000</v>
      </c>
      <c r="L335" s="4">
        <f t="shared" ref="L335:L362" si="112">L334</f>
        <v>2000</v>
      </c>
      <c r="M335" s="4">
        <f t="shared" ref="M335:M362" si="113">M334</f>
        <v>2000</v>
      </c>
      <c r="N335" s="4">
        <f t="shared" ref="N335:N398" si="114">N334-Q335</f>
        <v>-492</v>
      </c>
      <c r="O335" s="4">
        <f t="shared" ref="O335:O398" si="115">O334-R335</f>
        <v>-478</v>
      </c>
      <c r="P335" s="4">
        <f t="shared" ref="P335:P398" si="116">P334-S335</f>
        <v>-354</v>
      </c>
      <c r="Q335" s="7">
        <v>0</v>
      </c>
      <c r="R335" s="7">
        <v>0</v>
      </c>
      <c r="S335" s="7">
        <v>0</v>
      </c>
      <c r="T335" s="5">
        <f t="shared" si="108"/>
        <v>2349</v>
      </c>
      <c r="U335" s="6">
        <f t="shared" si="99"/>
        <v>288</v>
      </c>
      <c r="V335" s="6">
        <f t="shared" si="100"/>
        <v>312</v>
      </c>
      <c r="W335" s="6">
        <f t="shared" si="98"/>
        <v>446</v>
      </c>
      <c r="X335" s="5"/>
      <c r="Y335" s="4"/>
      <c r="Z335" s="4"/>
      <c r="AA335" s="4"/>
      <c r="AB335" s="4"/>
    </row>
    <row r="336" spans="1:28" ht="13.15" customHeight="1">
      <c r="A336" s="11">
        <v>322</v>
      </c>
      <c r="B336" s="14">
        <f t="shared" si="109"/>
        <v>45365</v>
      </c>
      <c r="C336" s="9">
        <f t="shared" si="110"/>
        <v>842</v>
      </c>
      <c r="D336" s="8">
        <f t="shared" si="101"/>
        <v>1821</v>
      </c>
      <c r="E336" s="7">
        <f t="shared" si="102"/>
        <v>1155</v>
      </c>
      <c r="F336" s="7">
        <f t="shared" si="103"/>
        <v>1141</v>
      </c>
      <c r="G336" s="7">
        <f t="shared" si="104"/>
        <v>1017</v>
      </c>
      <c r="H336" s="4">
        <f t="shared" si="105"/>
        <v>1508</v>
      </c>
      <c r="I336" s="4">
        <f t="shared" si="106"/>
        <v>1522</v>
      </c>
      <c r="J336" s="4">
        <f t="shared" si="107"/>
        <v>1646</v>
      </c>
      <c r="K336" s="4">
        <f t="shared" si="111"/>
        <v>2000</v>
      </c>
      <c r="L336" s="4">
        <f t="shared" si="112"/>
        <v>2000</v>
      </c>
      <c r="M336" s="4">
        <f t="shared" si="113"/>
        <v>2000</v>
      </c>
      <c r="N336" s="4">
        <f t="shared" si="114"/>
        <v>-492</v>
      </c>
      <c r="O336" s="4">
        <f t="shared" si="115"/>
        <v>-478</v>
      </c>
      <c r="P336" s="4">
        <f t="shared" si="116"/>
        <v>-354</v>
      </c>
      <c r="Q336" s="7">
        <v>0</v>
      </c>
      <c r="R336" s="7">
        <v>0</v>
      </c>
      <c r="S336" s="7">
        <v>0</v>
      </c>
      <c r="T336" s="5">
        <f t="shared" si="108"/>
        <v>2351</v>
      </c>
      <c r="U336" s="6">
        <f t="shared" si="99"/>
        <v>288</v>
      </c>
      <c r="V336" s="6">
        <f t="shared" si="100"/>
        <v>312</v>
      </c>
      <c r="W336" s="6">
        <f t="shared" si="98"/>
        <v>446</v>
      </c>
      <c r="X336" s="5"/>
      <c r="Y336" s="4"/>
      <c r="Z336" s="4"/>
      <c r="AA336" s="4"/>
      <c r="AB336" s="4"/>
    </row>
    <row r="337" spans="1:28" ht="13.15" customHeight="1">
      <c r="A337" s="11">
        <v>323</v>
      </c>
      <c r="B337" s="14">
        <f t="shared" si="109"/>
        <v>45366</v>
      </c>
      <c r="C337" s="9">
        <f t="shared" si="110"/>
        <v>842</v>
      </c>
      <c r="D337" s="8">
        <f t="shared" si="101"/>
        <v>1823</v>
      </c>
      <c r="E337" s="7">
        <f t="shared" si="102"/>
        <v>1157</v>
      </c>
      <c r="F337" s="7">
        <f t="shared" si="103"/>
        <v>1143</v>
      </c>
      <c r="G337" s="7">
        <f t="shared" si="104"/>
        <v>1019</v>
      </c>
      <c r="H337" s="4">
        <f t="shared" si="105"/>
        <v>1508</v>
      </c>
      <c r="I337" s="4">
        <f t="shared" si="106"/>
        <v>1522</v>
      </c>
      <c r="J337" s="4">
        <f t="shared" si="107"/>
        <v>1646</v>
      </c>
      <c r="K337" s="4">
        <f t="shared" si="111"/>
        <v>2000</v>
      </c>
      <c r="L337" s="4">
        <f t="shared" si="112"/>
        <v>2000</v>
      </c>
      <c r="M337" s="4">
        <f t="shared" si="113"/>
        <v>2000</v>
      </c>
      <c r="N337" s="4">
        <f t="shared" si="114"/>
        <v>-492</v>
      </c>
      <c r="O337" s="4">
        <f t="shared" si="115"/>
        <v>-478</v>
      </c>
      <c r="P337" s="4">
        <f t="shared" si="116"/>
        <v>-354</v>
      </c>
      <c r="Q337" s="7">
        <v>0</v>
      </c>
      <c r="R337" s="7">
        <v>0</v>
      </c>
      <c r="S337" s="7">
        <v>0</v>
      </c>
      <c r="T337" s="5">
        <f t="shared" si="108"/>
        <v>2353</v>
      </c>
      <c r="U337" s="6">
        <f t="shared" si="99"/>
        <v>288</v>
      </c>
      <c r="V337" s="6">
        <f t="shared" si="100"/>
        <v>312</v>
      </c>
      <c r="W337" s="6">
        <f t="shared" si="98"/>
        <v>446</v>
      </c>
      <c r="X337" s="5"/>
      <c r="Y337" s="4"/>
      <c r="Z337" s="4"/>
      <c r="AA337" s="4"/>
      <c r="AB337" s="4"/>
    </row>
    <row r="338" spans="1:28" ht="13.15" customHeight="1">
      <c r="A338" s="11">
        <v>324</v>
      </c>
      <c r="B338" s="14">
        <f t="shared" si="109"/>
        <v>45367</v>
      </c>
      <c r="C338" s="9">
        <f t="shared" si="110"/>
        <v>842</v>
      </c>
      <c r="D338" s="8">
        <f t="shared" si="101"/>
        <v>1825</v>
      </c>
      <c r="E338" s="7">
        <f t="shared" si="102"/>
        <v>1159</v>
      </c>
      <c r="F338" s="7">
        <f t="shared" si="103"/>
        <v>1145</v>
      </c>
      <c r="G338" s="7">
        <f t="shared" si="104"/>
        <v>1021</v>
      </c>
      <c r="H338" s="4">
        <f t="shared" si="105"/>
        <v>1508</v>
      </c>
      <c r="I338" s="4">
        <f t="shared" si="106"/>
        <v>1522</v>
      </c>
      <c r="J338" s="4">
        <f t="shared" si="107"/>
        <v>1646</v>
      </c>
      <c r="K338" s="4">
        <f t="shared" si="111"/>
        <v>2000</v>
      </c>
      <c r="L338" s="4">
        <f t="shared" si="112"/>
        <v>2000</v>
      </c>
      <c r="M338" s="4">
        <f t="shared" si="113"/>
        <v>2000</v>
      </c>
      <c r="N338" s="4">
        <f t="shared" si="114"/>
        <v>-492</v>
      </c>
      <c r="O338" s="4">
        <f t="shared" si="115"/>
        <v>-478</v>
      </c>
      <c r="P338" s="4">
        <f t="shared" si="116"/>
        <v>-354</v>
      </c>
      <c r="Q338" s="7">
        <v>0</v>
      </c>
      <c r="R338" s="7">
        <v>0</v>
      </c>
      <c r="S338" s="7">
        <v>0</v>
      </c>
      <c r="T338" s="5">
        <f t="shared" si="108"/>
        <v>2355</v>
      </c>
      <c r="U338" s="6">
        <f t="shared" si="99"/>
        <v>288</v>
      </c>
      <c r="V338" s="6">
        <f t="shared" si="100"/>
        <v>312</v>
      </c>
      <c r="W338" s="6">
        <f t="shared" si="98"/>
        <v>446</v>
      </c>
      <c r="X338" s="5"/>
      <c r="Y338" s="4"/>
      <c r="Z338" s="4"/>
      <c r="AA338" s="4"/>
      <c r="AB338" s="4"/>
    </row>
    <row r="339" spans="1:28" ht="13.15" customHeight="1">
      <c r="A339" s="11">
        <v>325</v>
      </c>
      <c r="B339" s="14">
        <f t="shared" si="109"/>
        <v>45368</v>
      </c>
      <c r="C339" s="9">
        <f t="shared" si="110"/>
        <v>842</v>
      </c>
      <c r="D339" s="8">
        <f t="shared" si="101"/>
        <v>1827</v>
      </c>
      <c r="E339" s="7">
        <f t="shared" si="102"/>
        <v>1161</v>
      </c>
      <c r="F339" s="7">
        <f t="shared" si="103"/>
        <v>1147</v>
      </c>
      <c r="G339" s="7">
        <f t="shared" si="104"/>
        <v>1023</v>
      </c>
      <c r="H339" s="4">
        <f t="shared" si="105"/>
        <v>1508</v>
      </c>
      <c r="I339" s="4">
        <f t="shared" si="106"/>
        <v>1522</v>
      </c>
      <c r="J339" s="4">
        <f t="shared" si="107"/>
        <v>1646</v>
      </c>
      <c r="K339" s="4">
        <f t="shared" si="111"/>
        <v>2000</v>
      </c>
      <c r="L339" s="4">
        <f t="shared" si="112"/>
        <v>2000</v>
      </c>
      <c r="M339" s="4">
        <f t="shared" si="113"/>
        <v>2000</v>
      </c>
      <c r="N339" s="4">
        <f t="shared" si="114"/>
        <v>-492</v>
      </c>
      <c r="O339" s="4">
        <f t="shared" si="115"/>
        <v>-478</v>
      </c>
      <c r="P339" s="4">
        <f t="shared" si="116"/>
        <v>-354</v>
      </c>
      <c r="Q339" s="7">
        <v>0</v>
      </c>
      <c r="R339" s="7">
        <v>0</v>
      </c>
      <c r="S339" s="7">
        <v>0</v>
      </c>
      <c r="T339" s="5">
        <f t="shared" si="108"/>
        <v>2357</v>
      </c>
      <c r="U339" s="6">
        <f t="shared" si="99"/>
        <v>288</v>
      </c>
      <c r="V339" s="6">
        <f t="shared" si="100"/>
        <v>312</v>
      </c>
      <c r="W339" s="6">
        <f t="shared" si="98"/>
        <v>446</v>
      </c>
      <c r="X339" s="5"/>
      <c r="Y339" s="4"/>
      <c r="Z339" s="4"/>
      <c r="AA339" s="4"/>
      <c r="AB339" s="4"/>
    </row>
    <row r="340" spans="1:28" ht="13.15" customHeight="1">
      <c r="A340" s="11">
        <v>326</v>
      </c>
      <c r="B340" s="14">
        <f t="shared" si="109"/>
        <v>45369</v>
      </c>
      <c r="C340" s="9">
        <f t="shared" si="110"/>
        <v>842</v>
      </c>
      <c r="D340" s="8">
        <f t="shared" si="101"/>
        <v>1829</v>
      </c>
      <c r="E340" s="7">
        <f t="shared" si="102"/>
        <v>1163</v>
      </c>
      <c r="F340" s="7">
        <f t="shared" si="103"/>
        <v>1149</v>
      </c>
      <c r="G340" s="7">
        <f t="shared" si="104"/>
        <v>1025</v>
      </c>
      <c r="H340" s="4">
        <f t="shared" si="105"/>
        <v>1508</v>
      </c>
      <c r="I340" s="4">
        <f t="shared" si="106"/>
        <v>1522</v>
      </c>
      <c r="J340" s="4">
        <f t="shared" si="107"/>
        <v>1646</v>
      </c>
      <c r="K340" s="4">
        <f t="shared" si="111"/>
        <v>2000</v>
      </c>
      <c r="L340" s="4">
        <f t="shared" si="112"/>
        <v>2000</v>
      </c>
      <c r="M340" s="4">
        <f t="shared" si="113"/>
        <v>2000</v>
      </c>
      <c r="N340" s="4">
        <f t="shared" si="114"/>
        <v>-492</v>
      </c>
      <c r="O340" s="4">
        <f t="shared" si="115"/>
        <v>-478</v>
      </c>
      <c r="P340" s="4">
        <f t="shared" si="116"/>
        <v>-354</v>
      </c>
      <c r="Q340" s="7">
        <v>0</v>
      </c>
      <c r="R340" s="7">
        <v>0</v>
      </c>
      <c r="S340" s="7">
        <v>0</v>
      </c>
      <c r="T340" s="5">
        <f t="shared" si="108"/>
        <v>2359</v>
      </c>
      <c r="U340" s="6">
        <f t="shared" si="99"/>
        <v>288</v>
      </c>
      <c r="V340" s="6">
        <f t="shared" si="100"/>
        <v>312</v>
      </c>
      <c r="W340" s="6">
        <f t="shared" si="98"/>
        <v>446</v>
      </c>
      <c r="X340" s="5"/>
      <c r="Y340" s="4"/>
      <c r="Z340" s="4"/>
      <c r="AA340" s="4"/>
      <c r="AB340" s="4"/>
    </row>
    <row r="341" spans="1:28" ht="13.15" customHeight="1">
      <c r="A341" s="11">
        <v>327</v>
      </c>
      <c r="B341" s="14">
        <f t="shared" si="109"/>
        <v>45370</v>
      </c>
      <c r="C341" s="9">
        <f t="shared" si="110"/>
        <v>842</v>
      </c>
      <c r="D341" s="8">
        <f t="shared" si="101"/>
        <v>1831</v>
      </c>
      <c r="E341" s="7">
        <f t="shared" si="102"/>
        <v>1165</v>
      </c>
      <c r="F341" s="7">
        <f t="shared" si="103"/>
        <v>1151</v>
      </c>
      <c r="G341" s="7">
        <f t="shared" si="104"/>
        <v>1027</v>
      </c>
      <c r="H341" s="4">
        <f t="shared" si="105"/>
        <v>1508</v>
      </c>
      <c r="I341" s="4">
        <f t="shared" si="106"/>
        <v>1522</v>
      </c>
      <c r="J341" s="4">
        <f t="shared" si="107"/>
        <v>1646</v>
      </c>
      <c r="K341" s="4">
        <f t="shared" si="111"/>
        <v>2000</v>
      </c>
      <c r="L341" s="4">
        <f t="shared" si="112"/>
        <v>2000</v>
      </c>
      <c r="M341" s="4">
        <f t="shared" si="113"/>
        <v>2000</v>
      </c>
      <c r="N341" s="4">
        <f t="shared" si="114"/>
        <v>-492</v>
      </c>
      <c r="O341" s="4">
        <f t="shared" si="115"/>
        <v>-478</v>
      </c>
      <c r="P341" s="4">
        <f t="shared" si="116"/>
        <v>-354</v>
      </c>
      <c r="Q341" s="7">
        <v>0</v>
      </c>
      <c r="R341" s="7">
        <v>0</v>
      </c>
      <c r="S341" s="7">
        <v>0</v>
      </c>
      <c r="T341" s="5">
        <f t="shared" si="108"/>
        <v>2361</v>
      </c>
      <c r="U341" s="6">
        <f t="shared" si="99"/>
        <v>288</v>
      </c>
      <c r="V341" s="6">
        <f t="shared" si="100"/>
        <v>312</v>
      </c>
      <c r="W341" s="6">
        <f t="shared" si="98"/>
        <v>446</v>
      </c>
      <c r="X341" s="5"/>
      <c r="Y341" s="4"/>
      <c r="Z341" s="4"/>
      <c r="AA341" s="4"/>
      <c r="AB341" s="4"/>
    </row>
    <row r="342" spans="1:28" ht="13.15" customHeight="1">
      <c r="A342" s="11">
        <v>328</v>
      </c>
      <c r="B342" s="14">
        <f t="shared" si="109"/>
        <v>45371</v>
      </c>
      <c r="C342" s="9">
        <f t="shared" si="110"/>
        <v>842</v>
      </c>
      <c r="D342" s="8">
        <f t="shared" si="101"/>
        <v>1833</v>
      </c>
      <c r="E342" s="7">
        <f t="shared" si="102"/>
        <v>1167</v>
      </c>
      <c r="F342" s="7">
        <f t="shared" si="103"/>
        <v>1153</v>
      </c>
      <c r="G342" s="7">
        <f t="shared" si="104"/>
        <v>1029</v>
      </c>
      <c r="H342" s="4">
        <f t="shared" si="105"/>
        <v>1508</v>
      </c>
      <c r="I342" s="4">
        <f t="shared" si="106"/>
        <v>1522</v>
      </c>
      <c r="J342" s="4">
        <f t="shared" si="107"/>
        <v>1646</v>
      </c>
      <c r="K342" s="4">
        <f t="shared" si="111"/>
        <v>2000</v>
      </c>
      <c r="L342" s="4">
        <f t="shared" si="112"/>
        <v>2000</v>
      </c>
      <c r="M342" s="4">
        <f t="shared" si="113"/>
        <v>2000</v>
      </c>
      <c r="N342" s="4">
        <f t="shared" si="114"/>
        <v>-492</v>
      </c>
      <c r="O342" s="4">
        <f t="shared" si="115"/>
        <v>-478</v>
      </c>
      <c r="P342" s="4">
        <f t="shared" si="116"/>
        <v>-354</v>
      </c>
      <c r="Q342" s="7">
        <v>0</v>
      </c>
      <c r="R342" s="7">
        <v>0</v>
      </c>
      <c r="S342" s="7">
        <v>0</v>
      </c>
      <c r="T342" s="5">
        <f t="shared" si="108"/>
        <v>2363</v>
      </c>
      <c r="U342" s="6">
        <f t="shared" si="99"/>
        <v>288</v>
      </c>
      <c r="V342" s="6">
        <f t="shared" si="100"/>
        <v>312</v>
      </c>
      <c r="W342" s="6">
        <f t="shared" si="98"/>
        <v>446</v>
      </c>
      <c r="X342" s="5"/>
      <c r="Y342" s="4"/>
      <c r="Z342" s="4"/>
      <c r="AA342" s="4"/>
      <c r="AB342" s="4"/>
    </row>
    <row r="343" spans="1:28" ht="13.15" customHeight="1">
      <c r="A343" s="11">
        <v>329</v>
      </c>
      <c r="B343" s="14">
        <f t="shared" si="109"/>
        <v>45372</v>
      </c>
      <c r="C343" s="9">
        <f t="shared" si="110"/>
        <v>842</v>
      </c>
      <c r="D343" s="8">
        <f t="shared" si="101"/>
        <v>1835</v>
      </c>
      <c r="E343" s="7">
        <f t="shared" si="102"/>
        <v>1169</v>
      </c>
      <c r="F343" s="7">
        <f t="shared" si="103"/>
        <v>1155</v>
      </c>
      <c r="G343" s="7">
        <f t="shared" si="104"/>
        <v>1031</v>
      </c>
      <c r="H343" s="4">
        <f t="shared" si="105"/>
        <v>1508</v>
      </c>
      <c r="I343" s="4">
        <f t="shared" si="106"/>
        <v>1522</v>
      </c>
      <c r="J343" s="4">
        <f t="shared" si="107"/>
        <v>1646</v>
      </c>
      <c r="K343" s="4">
        <f t="shared" si="111"/>
        <v>2000</v>
      </c>
      <c r="L343" s="4">
        <f t="shared" si="112"/>
        <v>2000</v>
      </c>
      <c r="M343" s="4">
        <f t="shared" si="113"/>
        <v>2000</v>
      </c>
      <c r="N343" s="4">
        <f t="shared" si="114"/>
        <v>-492</v>
      </c>
      <c r="O343" s="4">
        <f t="shared" si="115"/>
        <v>-478</v>
      </c>
      <c r="P343" s="4">
        <f t="shared" si="116"/>
        <v>-354</v>
      </c>
      <c r="Q343" s="7">
        <v>0</v>
      </c>
      <c r="R343" s="7">
        <v>0</v>
      </c>
      <c r="S343" s="7">
        <v>0</v>
      </c>
      <c r="T343" s="5">
        <f t="shared" si="108"/>
        <v>2365</v>
      </c>
      <c r="U343" s="6">
        <f t="shared" si="99"/>
        <v>288</v>
      </c>
      <c r="V343" s="6">
        <f t="shared" si="100"/>
        <v>312</v>
      </c>
      <c r="W343" s="6">
        <f t="shared" si="98"/>
        <v>446</v>
      </c>
      <c r="X343" s="5"/>
      <c r="Y343" s="4"/>
      <c r="Z343" s="4"/>
      <c r="AA343" s="4"/>
      <c r="AB343" s="4"/>
    </row>
    <row r="344" spans="1:28" ht="13.15" customHeight="1">
      <c r="A344" s="11">
        <v>330</v>
      </c>
      <c r="B344" s="14">
        <f t="shared" si="109"/>
        <v>45373</v>
      </c>
      <c r="C344" s="9">
        <f t="shared" si="110"/>
        <v>842</v>
      </c>
      <c r="D344" s="8">
        <f t="shared" si="101"/>
        <v>1837</v>
      </c>
      <c r="E344" s="7">
        <f t="shared" si="102"/>
        <v>1171</v>
      </c>
      <c r="F344" s="7">
        <f t="shared" si="103"/>
        <v>1157</v>
      </c>
      <c r="G344" s="7">
        <f t="shared" si="104"/>
        <v>1033</v>
      </c>
      <c r="H344" s="4">
        <f t="shared" si="105"/>
        <v>1508</v>
      </c>
      <c r="I344" s="4">
        <f t="shared" si="106"/>
        <v>1522</v>
      </c>
      <c r="J344" s="4">
        <f t="shared" si="107"/>
        <v>1646</v>
      </c>
      <c r="K344" s="4">
        <f t="shared" si="111"/>
        <v>2000</v>
      </c>
      <c r="L344" s="4">
        <f t="shared" si="112"/>
        <v>2000</v>
      </c>
      <c r="M344" s="4">
        <f t="shared" si="113"/>
        <v>2000</v>
      </c>
      <c r="N344" s="4">
        <f t="shared" si="114"/>
        <v>-492</v>
      </c>
      <c r="O344" s="4">
        <f t="shared" si="115"/>
        <v>-478</v>
      </c>
      <c r="P344" s="4">
        <f t="shared" si="116"/>
        <v>-354</v>
      </c>
      <c r="Q344" s="7">
        <v>0</v>
      </c>
      <c r="R344" s="7">
        <v>0</v>
      </c>
      <c r="S344" s="7">
        <v>0</v>
      </c>
      <c r="T344" s="5">
        <f t="shared" si="108"/>
        <v>2367</v>
      </c>
      <c r="U344" s="6">
        <f t="shared" si="99"/>
        <v>288</v>
      </c>
      <c r="V344" s="6">
        <f t="shared" si="100"/>
        <v>312</v>
      </c>
      <c r="W344" s="6">
        <f t="shared" si="98"/>
        <v>446</v>
      </c>
      <c r="X344" s="5"/>
      <c r="Y344" s="4"/>
      <c r="Z344" s="4"/>
      <c r="AA344" s="4"/>
      <c r="AB344" s="4"/>
    </row>
    <row r="345" spans="1:28" ht="13.15" customHeight="1">
      <c r="A345" s="11">
        <v>331</v>
      </c>
      <c r="B345" s="14">
        <f t="shared" si="109"/>
        <v>45374</v>
      </c>
      <c r="C345" s="9">
        <f t="shared" si="110"/>
        <v>842</v>
      </c>
      <c r="D345" s="8">
        <f t="shared" si="101"/>
        <v>1839</v>
      </c>
      <c r="E345" s="7">
        <f t="shared" si="102"/>
        <v>1173</v>
      </c>
      <c r="F345" s="7">
        <f t="shared" si="103"/>
        <v>1159</v>
      </c>
      <c r="G345" s="7">
        <f t="shared" si="104"/>
        <v>1035</v>
      </c>
      <c r="H345" s="4">
        <f t="shared" si="105"/>
        <v>1508</v>
      </c>
      <c r="I345" s="4">
        <f t="shared" si="106"/>
        <v>1522</v>
      </c>
      <c r="J345" s="4">
        <f t="shared" si="107"/>
        <v>1646</v>
      </c>
      <c r="K345" s="4">
        <f t="shared" si="111"/>
        <v>2000</v>
      </c>
      <c r="L345" s="4">
        <f t="shared" si="112"/>
        <v>2000</v>
      </c>
      <c r="M345" s="4">
        <f t="shared" si="113"/>
        <v>2000</v>
      </c>
      <c r="N345" s="4">
        <f t="shared" si="114"/>
        <v>-492</v>
      </c>
      <c r="O345" s="4">
        <f t="shared" si="115"/>
        <v>-478</v>
      </c>
      <c r="P345" s="4">
        <f t="shared" si="116"/>
        <v>-354</v>
      </c>
      <c r="Q345" s="7">
        <v>0</v>
      </c>
      <c r="R345" s="7">
        <v>0</v>
      </c>
      <c r="S345" s="7">
        <v>0</v>
      </c>
      <c r="T345" s="5">
        <f t="shared" si="108"/>
        <v>2369</v>
      </c>
      <c r="U345" s="6">
        <f t="shared" si="99"/>
        <v>288</v>
      </c>
      <c r="V345" s="6">
        <f t="shared" si="100"/>
        <v>312</v>
      </c>
      <c r="W345" s="6">
        <f t="shared" si="98"/>
        <v>446</v>
      </c>
      <c r="X345" s="5"/>
      <c r="Y345" s="4"/>
      <c r="Z345" s="4"/>
      <c r="AA345" s="4"/>
      <c r="AB345" s="4"/>
    </row>
    <row r="346" spans="1:28" ht="13.15" customHeight="1">
      <c r="A346" s="11">
        <v>332</v>
      </c>
      <c r="B346" s="14">
        <f t="shared" si="109"/>
        <v>45375</v>
      </c>
      <c r="C346" s="9">
        <f t="shared" si="110"/>
        <v>842</v>
      </c>
      <c r="D346" s="8">
        <f t="shared" si="101"/>
        <v>1841</v>
      </c>
      <c r="E346" s="7">
        <f t="shared" si="102"/>
        <v>1175</v>
      </c>
      <c r="F346" s="7">
        <f t="shared" si="103"/>
        <v>1161</v>
      </c>
      <c r="G346" s="7">
        <f t="shared" si="104"/>
        <v>1037</v>
      </c>
      <c r="H346" s="4">
        <f t="shared" si="105"/>
        <v>1508</v>
      </c>
      <c r="I346" s="4">
        <f t="shared" si="106"/>
        <v>1522</v>
      </c>
      <c r="J346" s="4">
        <f t="shared" si="107"/>
        <v>1646</v>
      </c>
      <c r="K346" s="4">
        <f t="shared" si="111"/>
        <v>2000</v>
      </c>
      <c r="L346" s="4">
        <f t="shared" si="112"/>
        <v>2000</v>
      </c>
      <c r="M346" s="4">
        <f t="shared" si="113"/>
        <v>2000</v>
      </c>
      <c r="N346" s="4">
        <f t="shared" si="114"/>
        <v>-492</v>
      </c>
      <c r="O346" s="4">
        <f t="shared" si="115"/>
        <v>-478</v>
      </c>
      <c r="P346" s="4">
        <f t="shared" si="116"/>
        <v>-354</v>
      </c>
      <c r="Q346" s="7">
        <v>0</v>
      </c>
      <c r="R346" s="7">
        <v>0</v>
      </c>
      <c r="S346" s="7">
        <v>0</v>
      </c>
      <c r="T346" s="5">
        <f t="shared" si="108"/>
        <v>2371</v>
      </c>
      <c r="U346" s="6">
        <f t="shared" si="99"/>
        <v>288</v>
      </c>
      <c r="V346" s="6">
        <f t="shared" si="100"/>
        <v>312</v>
      </c>
      <c r="W346" s="6">
        <f t="shared" si="98"/>
        <v>446</v>
      </c>
      <c r="X346" s="5"/>
      <c r="Y346" s="4"/>
      <c r="Z346" s="4"/>
      <c r="AA346" s="4"/>
      <c r="AB346" s="4"/>
    </row>
    <row r="347" spans="1:28" ht="13.15" customHeight="1">
      <c r="A347" s="11">
        <v>333</v>
      </c>
      <c r="B347" s="14">
        <f t="shared" si="109"/>
        <v>45376</v>
      </c>
      <c r="C347" s="9">
        <f t="shared" si="110"/>
        <v>842</v>
      </c>
      <c r="D347" s="8">
        <f t="shared" si="101"/>
        <v>1843</v>
      </c>
      <c r="E347" s="7">
        <f t="shared" si="102"/>
        <v>1177</v>
      </c>
      <c r="F347" s="7">
        <f t="shared" si="103"/>
        <v>1163</v>
      </c>
      <c r="G347" s="7">
        <f t="shared" si="104"/>
        <v>1039</v>
      </c>
      <c r="H347" s="4">
        <f t="shared" si="105"/>
        <v>1508</v>
      </c>
      <c r="I347" s="4">
        <f t="shared" si="106"/>
        <v>1522</v>
      </c>
      <c r="J347" s="4">
        <f t="shared" si="107"/>
        <v>1646</v>
      </c>
      <c r="K347" s="4">
        <f t="shared" si="111"/>
        <v>2000</v>
      </c>
      <c r="L347" s="4">
        <f t="shared" si="112"/>
        <v>2000</v>
      </c>
      <c r="M347" s="4">
        <f t="shared" si="113"/>
        <v>2000</v>
      </c>
      <c r="N347" s="4">
        <f t="shared" si="114"/>
        <v>-492</v>
      </c>
      <c r="O347" s="4">
        <f t="shared" si="115"/>
        <v>-478</v>
      </c>
      <c r="P347" s="4">
        <f t="shared" si="116"/>
        <v>-354</v>
      </c>
      <c r="Q347" s="7">
        <v>0</v>
      </c>
      <c r="R347" s="7">
        <v>0</v>
      </c>
      <c r="S347" s="7">
        <v>0</v>
      </c>
      <c r="T347" s="5">
        <f t="shared" si="108"/>
        <v>2373</v>
      </c>
      <c r="U347" s="6">
        <f t="shared" si="99"/>
        <v>288</v>
      </c>
      <c r="V347" s="6">
        <f t="shared" si="100"/>
        <v>312</v>
      </c>
      <c r="W347" s="6">
        <f t="shared" si="98"/>
        <v>446</v>
      </c>
      <c r="X347" s="5"/>
      <c r="Y347" s="4"/>
      <c r="Z347" s="4"/>
      <c r="AA347" s="4"/>
      <c r="AB347" s="4"/>
    </row>
    <row r="348" spans="1:28" ht="13.15" customHeight="1">
      <c r="A348" s="11">
        <v>334</v>
      </c>
      <c r="B348" s="14">
        <f t="shared" si="109"/>
        <v>45377</v>
      </c>
      <c r="C348" s="9">
        <f t="shared" si="110"/>
        <v>842</v>
      </c>
      <c r="D348" s="8">
        <f t="shared" si="101"/>
        <v>1845</v>
      </c>
      <c r="E348" s="7">
        <f t="shared" si="102"/>
        <v>1179</v>
      </c>
      <c r="F348" s="7">
        <f t="shared" si="103"/>
        <v>1165</v>
      </c>
      <c r="G348" s="7">
        <f t="shared" si="104"/>
        <v>1041</v>
      </c>
      <c r="H348" s="4">
        <f t="shared" si="105"/>
        <v>1508</v>
      </c>
      <c r="I348" s="4">
        <f t="shared" si="106"/>
        <v>1522</v>
      </c>
      <c r="J348" s="4">
        <f t="shared" si="107"/>
        <v>1646</v>
      </c>
      <c r="K348" s="4">
        <f t="shared" si="111"/>
        <v>2000</v>
      </c>
      <c r="L348" s="4">
        <f t="shared" si="112"/>
        <v>2000</v>
      </c>
      <c r="M348" s="4">
        <f t="shared" si="113"/>
        <v>2000</v>
      </c>
      <c r="N348" s="4">
        <f t="shared" si="114"/>
        <v>-492</v>
      </c>
      <c r="O348" s="4">
        <f t="shared" si="115"/>
        <v>-478</v>
      </c>
      <c r="P348" s="4">
        <f t="shared" si="116"/>
        <v>-354</v>
      </c>
      <c r="Q348" s="7">
        <v>0</v>
      </c>
      <c r="R348" s="7">
        <v>0</v>
      </c>
      <c r="S348" s="7">
        <v>0</v>
      </c>
      <c r="T348" s="5">
        <f t="shared" si="108"/>
        <v>2375</v>
      </c>
      <c r="U348" s="6">
        <f t="shared" si="99"/>
        <v>288</v>
      </c>
      <c r="V348" s="6">
        <f t="shared" si="100"/>
        <v>312</v>
      </c>
      <c r="W348" s="6">
        <f t="shared" si="98"/>
        <v>446</v>
      </c>
      <c r="X348" s="5"/>
      <c r="Y348" s="4"/>
      <c r="Z348" s="4"/>
      <c r="AA348" s="4"/>
      <c r="AB348" s="4"/>
    </row>
    <row r="349" spans="1:28" ht="13.15" customHeight="1">
      <c r="A349" s="11">
        <v>335</v>
      </c>
      <c r="B349" s="14">
        <f t="shared" si="109"/>
        <v>45378</v>
      </c>
      <c r="C349" s="9">
        <f t="shared" si="110"/>
        <v>842</v>
      </c>
      <c r="D349" s="8">
        <f t="shared" si="101"/>
        <v>1847</v>
      </c>
      <c r="E349" s="7">
        <f t="shared" si="102"/>
        <v>1181</v>
      </c>
      <c r="F349" s="7">
        <f t="shared" si="103"/>
        <v>1167</v>
      </c>
      <c r="G349" s="7">
        <f t="shared" si="104"/>
        <v>1043</v>
      </c>
      <c r="H349" s="4">
        <f t="shared" si="105"/>
        <v>1508</v>
      </c>
      <c r="I349" s="4">
        <f t="shared" si="106"/>
        <v>1522</v>
      </c>
      <c r="J349" s="4">
        <f t="shared" si="107"/>
        <v>1646</v>
      </c>
      <c r="K349" s="4">
        <f t="shared" si="111"/>
        <v>2000</v>
      </c>
      <c r="L349" s="4">
        <f t="shared" si="112"/>
        <v>2000</v>
      </c>
      <c r="M349" s="4">
        <f t="shared" si="113"/>
        <v>2000</v>
      </c>
      <c r="N349" s="4">
        <f t="shared" si="114"/>
        <v>-492</v>
      </c>
      <c r="O349" s="4">
        <f t="shared" si="115"/>
        <v>-478</v>
      </c>
      <c r="P349" s="4">
        <f t="shared" si="116"/>
        <v>-354</v>
      </c>
      <c r="Q349" s="7">
        <v>0</v>
      </c>
      <c r="R349" s="7">
        <v>0</v>
      </c>
      <c r="S349" s="7">
        <v>0</v>
      </c>
      <c r="T349" s="5">
        <f t="shared" si="108"/>
        <v>2377</v>
      </c>
      <c r="U349" s="6">
        <f t="shared" si="99"/>
        <v>288</v>
      </c>
      <c r="V349" s="6">
        <f t="shared" si="100"/>
        <v>312</v>
      </c>
      <c r="W349" s="6">
        <f t="shared" si="98"/>
        <v>446</v>
      </c>
      <c r="X349" s="5"/>
      <c r="Y349" s="4"/>
      <c r="Z349" s="4"/>
      <c r="AA349" s="4"/>
      <c r="AB349" s="4"/>
    </row>
    <row r="350" spans="1:28" ht="13.15" customHeight="1">
      <c r="A350" s="11">
        <v>336</v>
      </c>
      <c r="B350" s="14">
        <f t="shared" si="109"/>
        <v>45379</v>
      </c>
      <c r="C350" s="9">
        <f t="shared" si="110"/>
        <v>842</v>
      </c>
      <c r="D350" s="8">
        <f t="shared" si="101"/>
        <v>1849</v>
      </c>
      <c r="E350" s="7">
        <f t="shared" si="102"/>
        <v>1183</v>
      </c>
      <c r="F350" s="7">
        <f t="shared" si="103"/>
        <v>1169</v>
      </c>
      <c r="G350" s="7">
        <f t="shared" si="104"/>
        <v>1045</v>
      </c>
      <c r="H350" s="4">
        <f t="shared" si="105"/>
        <v>1508</v>
      </c>
      <c r="I350" s="4">
        <f t="shared" si="106"/>
        <v>1522</v>
      </c>
      <c r="J350" s="4">
        <f t="shared" si="107"/>
        <v>1646</v>
      </c>
      <c r="K350" s="4">
        <f t="shared" si="111"/>
        <v>2000</v>
      </c>
      <c r="L350" s="4">
        <f t="shared" si="112"/>
        <v>2000</v>
      </c>
      <c r="M350" s="4">
        <f t="shared" si="113"/>
        <v>2000</v>
      </c>
      <c r="N350" s="4">
        <f t="shared" si="114"/>
        <v>-492</v>
      </c>
      <c r="O350" s="4">
        <f t="shared" si="115"/>
        <v>-478</v>
      </c>
      <c r="P350" s="4">
        <f t="shared" si="116"/>
        <v>-354</v>
      </c>
      <c r="Q350" s="7">
        <v>0</v>
      </c>
      <c r="R350" s="7">
        <v>0</v>
      </c>
      <c r="S350" s="7">
        <v>0</v>
      </c>
      <c r="T350" s="5">
        <f t="shared" si="108"/>
        <v>2379</v>
      </c>
      <c r="U350" s="6">
        <f t="shared" si="99"/>
        <v>288</v>
      </c>
      <c r="V350" s="6">
        <f t="shared" si="100"/>
        <v>312</v>
      </c>
      <c r="W350" s="6">
        <f t="shared" si="98"/>
        <v>446</v>
      </c>
      <c r="X350" s="5"/>
      <c r="Y350" s="4"/>
      <c r="Z350" s="4"/>
      <c r="AA350" s="4"/>
      <c r="AB350" s="4"/>
    </row>
    <row r="351" spans="1:28" ht="13.15" customHeight="1">
      <c r="A351" s="11">
        <v>337</v>
      </c>
      <c r="B351" s="14">
        <f t="shared" si="109"/>
        <v>45380</v>
      </c>
      <c r="C351" s="9">
        <f t="shared" si="110"/>
        <v>842</v>
      </c>
      <c r="D351" s="8">
        <f t="shared" si="101"/>
        <v>1851</v>
      </c>
      <c r="E351" s="7">
        <f t="shared" si="102"/>
        <v>1193</v>
      </c>
      <c r="F351" s="7">
        <f t="shared" si="103"/>
        <v>1179</v>
      </c>
      <c r="G351" s="7">
        <f t="shared" si="104"/>
        <v>1055</v>
      </c>
      <c r="H351" s="4">
        <f t="shared" si="105"/>
        <v>1500</v>
      </c>
      <c r="I351" s="4">
        <f t="shared" si="106"/>
        <v>1514</v>
      </c>
      <c r="J351" s="4">
        <f t="shared" si="107"/>
        <v>1638</v>
      </c>
      <c r="K351" s="4">
        <f t="shared" si="111"/>
        <v>2000</v>
      </c>
      <c r="L351" s="4">
        <f t="shared" si="112"/>
        <v>2000</v>
      </c>
      <c r="M351" s="4">
        <f t="shared" si="113"/>
        <v>2000</v>
      </c>
      <c r="N351" s="4">
        <f t="shared" si="114"/>
        <v>-500</v>
      </c>
      <c r="O351" s="4">
        <f t="shared" si="115"/>
        <v>-486</v>
      </c>
      <c r="P351" s="4">
        <f t="shared" si="116"/>
        <v>-362</v>
      </c>
      <c r="Q351" s="7">
        <v>8</v>
      </c>
      <c r="R351" s="7">
        <v>8</v>
      </c>
      <c r="S351" s="7">
        <v>8</v>
      </c>
      <c r="T351" s="5">
        <f t="shared" si="108"/>
        <v>2089</v>
      </c>
      <c r="U351" s="6">
        <f t="shared" si="99"/>
        <v>580</v>
      </c>
      <c r="V351" s="6">
        <f t="shared" si="100"/>
        <v>604</v>
      </c>
      <c r="W351" s="6">
        <f t="shared" si="98"/>
        <v>738</v>
      </c>
      <c r="X351" s="16">
        <v>0.3</v>
      </c>
      <c r="Y351" s="4"/>
      <c r="Z351" s="4"/>
      <c r="AA351" s="4"/>
      <c r="AB351" s="15">
        <v>5</v>
      </c>
    </row>
    <row r="352" spans="1:28" ht="13.15" customHeight="1">
      <c r="A352" s="11">
        <v>338</v>
      </c>
      <c r="B352" s="14">
        <f t="shared" si="109"/>
        <v>45381</v>
      </c>
      <c r="C352" s="9">
        <f t="shared" si="110"/>
        <v>842</v>
      </c>
      <c r="D352" s="8">
        <f t="shared" si="101"/>
        <v>1853</v>
      </c>
      <c r="E352" s="7">
        <f t="shared" si="102"/>
        <v>1199</v>
      </c>
      <c r="F352" s="7">
        <f t="shared" si="103"/>
        <v>1187</v>
      </c>
      <c r="G352" s="7">
        <f t="shared" si="104"/>
        <v>1061</v>
      </c>
      <c r="H352" s="4">
        <f t="shared" si="105"/>
        <v>1496</v>
      </c>
      <c r="I352" s="4">
        <f t="shared" si="106"/>
        <v>1508</v>
      </c>
      <c r="J352" s="4">
        <f t="shared" si="107"/>
        <v>1634</v>
      </c>
      <c r="K352" s="4">
        <f t="shared" si="111"/>
        <v>2000</v>
      </c>
      <c r="L352" s="4">
        <f t="shared" si="112"/>
        <v>2000</v>
      </c>
      <c r="M352" s="4">
        <f t="shared" si="113"/>
        <v>2000</v>
      </c>
      <c r="N352" s="4">
        <f t="shared" si="114"/>
        <v>-504</v>
      </c>
      <c r="O352" s="4">
        <f t="shared" si="115"/>
        <v>-492</v>
      </c>
      <c r="P352" s="4">
        <f t="shared" si="116"/>
        <v>-366</v>
      </c>
      <c r="Q352" s="7">
        <v>4</v>
      </c>
      <c r="R352" s="7">
        <v>6</v>
      </c>
      <c r="S352" s="7">
        <v>4</v>
      </c>
      <c r="T352" s="5">
        <f t="shared" si="108"/>
        <v>2097</v>
      </c>
      <c r="U352" s="6">
        <f t="shared" si="99"/>
        <v>576</v>
      </c>
      <c r="V352" s="6">
        <f t="shared" si="100"/>
        <v>598</v>
      </c>
      <c r="W352" s="6">
        <f t="shared" si="98"/>
        <v>734</v>
      </c>
      <c r="X352" s="5"/>
      <c r="Y352" s="4"/>
      <c r="Z352" s="4"/>
      <c r="AA352" s="4"/>
      <c r="AB352" s="4"/>
    </row>
    <row r="353" spans="1:28" ht="13.15" customHeight="1">
      <c r="A353" s="11">
        <v>339</v>
      </c>
      <c r="B353" s="14">
        <f t="shared" si="109"/>
        <v>45382</v>
      </c>
      <c r="C353" s="9">
        <f t="shared" si="110"/>
        <v>842</v>
      </c>
      <c r="D353" s="8">
        <f t="shared" si="101"/>
        <v>1855</v>
      </c>
      <c r="E353" s="7">
        <f t="shared" si="102"/>
        <v>1205</v>
      </c>
      <c r="F353" s="7">
        <f t="shared" si="103"/>
        <v>1195</v>
      </c>
      <c r="G353" s="7">
        <f t="shared" si="104"/>
        <v>1067</v>
      </c>
      <c r="H353" s="4">
        <f t="shared" si="105"/>
        <v>1492</v>
      </c>
      <c r="I353" s="4">
        <f t="shared" si="106"/>
        <v>1502</v>
      </c>
      <c r="J353" s="4">
        <f t="shared" si="107"/>
        <v>1630</v>
      </c>
      <c r="K353" s="4">
        <f t="shared" si="111"/>
        <v>2000</v>
      </c>
      <c r="L353" s="4">
        <f t="shared" si="112"/>
        <v>2000</v>
      </c>
      <c r="M353" s="4">
        <f t="shared" si="113"/>
        <v>2000</v>
      </c>
      <c r="N353" s="4">
        <f t="shared" si="114"/>
        <v>-508</v>
      </c>
      <c r="O353" s="4">
        <f t="shared" si="115"/>
        <v>-498</v>
      </c>
      <c r="P353" s="4">
        <f t="shared" si="116"/>
        <v>-370</v>
      </c>
      <c r="Q353" s="7">
        <v>4</v>
      </c>
      <c r="R353" s="7">
        <v>6</v>
      </c>
      <c r="S353" s="7">
        <v>4</v>
      </c>
      <c r="T353" s="5">
        <f t="shared" si="108"/>
        <v>2105</v>
      </c>
      <c r="U353" s="6">
        <f t="shared" si="99"/>
        <v>572</v>
      </c>
      <c r="V353" s="6">
        <f t="shared" si="100"/>
        <v>592</v>
      </c>
      <c r="W353" s="6">
        <f t="shared" si="98"/>
        <v>730</v>
      </c>
      <c r="X353" s="5"/>
      <c r="Y353" s="4"/>
      <c r="Z353" s="4"/>
      <c r="AA353" s="4"/>
      <c r="AB353" s="4"/>
    </row>
    <row r="354" spans="1:28" ht="13.15" customHeight="1">
      <c r="A354" s="11">
        <v>340</v>
      </c>
      <c r="B354" s="14">
        <f t="shared" si="109"/>
        <v>45383</v>
      </c>
      <c r="C354" s="9">
        <f t="shared" si="110"/>
        <v>842</v>
      </c>
      <c r="D354" s="8">
        <f t="shared" si="101"/>
        <v>1857</v>
      </c>
      <c r="E354" s="7">
        <f t="shared" si="102"/>
        <v>1211</v>
      </c>
      <c r="F354" s="7">
        <f t="shared" si="103"/>
        <v>1202</v>
      </c>
      <c r="G354" s="7">
        <f t="shared" si="104"/>
        <v>1073</v>
      </c>
      <c r="H354" s="4">
        <f t="shared" si="105"/>
        <v>1488</v>
      </c>
      <c r="I354" s="4">
        <f t="shared" si="106"/>
        <v>1497</v>
      </c>
      <c r="J354" s="4">
        <f t="shared" si="107"/>
        <v>1626</v>
      </c>
      <c r="K354" s="4">
        <f t="shared" si="111"/>
        <v>2000</v>
      </c>
      <c r="L354" s="4">
        <f t="shared" si="112"/>
        <v>2000</v>
      </c>
      <c r="M354" s="4">
        <f t="shared" si="113"/>
        <v>2000</v>
      </c>
      <c r="N354" s="4">
        <f t="shared" si="114"/>
        <v>-512</v>
      </c>
      <c r="O354" s="4">
        <f t="shared" si="115"/>
        <v>-503</v>
      </c>
      <c r="P354" s="4">
        <f t="shared" si="116"/>
        <v>-374</v>
      </c>
      <c r="Q354" s="7">
        <v>4</v>
      </c>
      <c r="R354" s="7">
        <v>5</v>
      </c>
      <c r="S354" s="7">
        <v>4</v>
      </c>
      <c r="T354" s="5">
        <f t="shared" si="108"/>
        <v>2112</v>
      </c>
      <c r="U354" s="6">
        <f t="shared" si="99"/>
        <v>568</v>
      </c>
      <c r="V354" s="6">
        <f t="shared" si="100"/>
        <v>587</v>
      </c>
      <c r="W354" s="6">
        <f t="shared" si="98"/>
        <v>726</v>
      </c>
      <c r="X354" s="5"/>
      <c r="Y354" s="4"/>
      <c r="Z354" s="4"/>
      <c r="AA354" s="4"/>
      <c r="AB354" s="15"/>
    </row>
    <row r="355" spans="1:28" ht="15">
      <c r="A355" s="11">
        <v>341</v>
      </c>
      <c r="B355" s="14">
        <f t="shared" si="109"/>
        <v>45384</v>
      </c>
      <c r="C355" s="9">
        <f t="shared" si="110"/>
        <v>842</v>
      </c>
      <c r="D355" s="8">
        <f t="shared" si="101"/>
        <v>1859</v>
      </c>
      <c r="E355" s="7">
        <f t="shared" si="102"/>
        <v>1221</v>
      </c>
      <c r="F355" s="7">
        <f t="shared" si="103"/>
        <v>1212</v>
      </c>
      <c r="G355" s="7">
        <f t="shared" si="104"/>
        <v>1083</v>
      </c>
      <c r="H355" s="4">
        <f t="shared" si="105"/>
        <v>1480</v>
      </c>
      <c r="I355" s="4">
        <f t="shared" si="106"/>
        <v>1489</v>
      </c>
      <c r="J355" s="4">
        <f t="shared" si="107"/>
        <v>1618</v>
      </c>
      <c r="K355" s="4">
        <f t="shared" si="111"/>
        <v>2000</v>
      </c>
      <c r="L355" s="4">
        <f t="shared" si="112"/>
        <v>2000</v>
      </c>
      <c r="M355" s="4">
        <f t="shared" si="113"/>
        <v>2000</v>
      </c>
      <c r="N355" s="4">
        <f t="shared" si="114"/>
        <v>-520</v>
      </c>
      <c r="O355" s="4">
        <f t="shared" si="115"/>
        <v>-511</v>
      </c>
      <c r="P355" s="4">
        <f t="shared" si="116"/>
        <v>-382</v>
      </c>
      <c r="Q355" s="7">
        <v>8</v>
      </c>
      <c r="R355" s="7">
        <v>8</v>
      </c>
      <c r="S355" s="7">
        <v>8</v>
      </c>
      <c r="T355" s="5">
        <f t="shared" si="108"/>
        <v>1822</v>
      </c>
      <c r="U355" s="6">
        <f t="shared" si="99"/>
        <v>860</v>
      </c>
      <c r="V355" s="6">
        <f t="shared" si="100"/>
        <v>879</v>
      </c>
      <c r="W355" s="6">
        <f t="shared" si="98"/>
        <v>1018</v>
      </c>
      <c r="X355" s="16">
        <v>0.3</v>
      </c>
      <c r="Y355" s="4"/>
      <c r="Z355" s="4"/>
      <c r="AA355" s="4"/>
      <c r="AB355" s="15">
        <f>+AB351-1</f>
        <v>4</v>
      </c>
    </row>
    <row r="356" spans="1:28" ht="13.15" customHeight="1">
      <c r="A356" s="11">
        <v>342</v>
      </c>
      <c r="B356" s="14">
        <f t="shared" si="109"/>
        <v>45385</v>
      </c>
      <c r="C356" s="9">
        <f t="shared" si="110"/>
        <v>842</v>
      </c>
      <c r="D356" s="8">
        <f t="shared" si="101"/>
        <v>1861</v>
      </c>
      <c r="E356" s="7">
        <f t="shared" si="102"/>
        <v>1227</v>
      </c>
      <c r="F356" s="7">
        <f t="shared" si="103"/>
        <v>1220</v>
      </c>
      <c r="G356" s="7">
        <f t="shared" si="104"/>
        <v>1089</v>
      </c>
      <c r="H356" s="4">
        <f t="shared" si="105"/>
        <v>1476</v>
      </c>
      <c r="I356" s="4">
        <f t="shared" si="106"/>
        <v>1483</v>
      </c>
      <c r="J356" s="4">
        <f t="shared" si="107"/>
        <v>1614</v>
      </c>
      <c r="K356" s="4">
        <f t="shared" si="111"/>
        <v>2000</v>
      </c>
      <c r="L356" s="4">
        <f t="shared" si="112"/>
        <v>2000</v>
      </c>
      <c r="M356" s="4">
        <f t="shared" si="113"/>
        <v>2000</v>
      </c>
      <c r="N356" s="4">
        <f t="shared" si="114"/>
        <v>-524</v>
      </c>
      <c r="O356" s="4">
        <f t="shared" si="115"/>
        <v>-517</v>
      </c>
      <c r="P356" s="4">
        <f t="shared" si="116"/>
        <v>-386</v>
      </c>
      <c r="Q356" s="7">
        <v>4</v>
      </c>
      <c r="R356" s="7">
        <v>6</v>
      </c>
      <c r="S356" s="7">
        <v>4</v>
      </c>
      <c r="T356" s="5">
        <f t="shared" si="108"/>
        <v>1830</v>
      </c>
      <c r="U356" s="6">
        <f t="shared" si="99"/>
        <v>856</v>
      </c>
      <c r="V356" s="6">
        <f t="shared" si="100"/>
        <v>873</v>
      </c>
      <c r="W356" s="6">
        <f t="shared" si="98"/>
        <v>1014</v>
      </c>
      <c r="X356" s="5"/>
      <c r="Y356" s="4"/>
      <c r="Z356" s="4"/>
      <c r="AA356" s="4"/>
      <c r="AB356" s="15"/>
    </row>
    <row r="357" spans="1:28" ht="13.15" customHeight="1">
      <c r="A357" s="11">
        <v>343</v>
      </c>
      <c r="B357" s="14">
        <f t="shared" si="109"/>
        <v>45386</v>
      </c>
      <c r="C357" s="9">
        <f t="shared" si="110"/>
        <v>842</v>
      </c>
      <c r="D357" s="8">
        <f t="shared" si="101"/>
        <v>1863</v>
      </c>
      <c r="E357" s="7">
        <f t="shared" si="102"/>
        <v>1233</v>
      </c>
      <c r="F357" s="7">
        <f t="shared" si="103"/>
        <v>1228</v>
      </c>
      <c r="G357" s="7">
        <f t="shared" si="104"/>
        <v>1095</v>
      </c>
      <c r="H357" s="4">
        <f t="shared" si="105"/>
        <v>1472</v>
      </c>
      <c r="I357" s="4">
        <f t="shared" si="106"/>
        <v>1477</v>
      </c>
      <c r="J357" s="4">
        <f t="shared" si="107"/>
        <v>1610</v>
      </c>
      <c r="K357" s="4">
        <f t="shared" si="111"/>
        <v>2000</v>
      </c>
      <c r="L357" s="4">
        <f t="shared" si="112"/>
        <v>2000</v>
      </c>
      <c r="M357" s="4">
        <f t="shared" si="113"/>
        <v>2000</v>
      </c>
      <c r="N357" s="4">
        <f t="shared" si="114"/>
        <v>-528</v>
      </c>
      <c r="O357" s="4">
        <f t="shared" si="115"/>
        <v>-523</v>
      </c>
      <c r="P357" s="4">
        <f t="shared" si="116"/>
        <v>-390</v>
      </c>
      <c r="Q357" s="7">
        <v>4</v>
      </c>
      <c r="R357" s="7">
        <v>6</v>
      </c>
      <c r="S357" s="7">
        <v>4</v>
      </c>
      <c r="T357" s="5">
        <f t="shared" si="108"/>
        <v>1838</v>
      </c>
      <c r="U357" s="6">
        <f t="shared" si="99"/>
        <v>852</v>
      </c>
      <c r="V357" s="6">
        <f t="shared" si="100"/>
        <v>867</v>
      </c>
      <c r="W357" s="6">
        <f t="shared" si="98"/>
        <v>1010</v>
      </c>
      <c r="X357" s="5"/>
      <c r="Y357" s="4"/>
      <c r="Z357" s="4"/>
      <c r="AA357" s="4"/>
      <c r="AB357" s="15"/>
    </row>
    <row r="358" spans="1:28" ht="13.15" customHeight="1">
      <c r="A358" s="11">
        <v>344</v>
      </c>
      <c r="B358" s="14">
        <f t="shared" si="109"/>
        <v>45387</v>
      </c>
      <c r="C358" s="9">
        <f t="shared" si="110"/>
        <v>842</v>
      </c>
      <c r="D358" s="8">
        <f t="shared" si="101"/>
        <v>1865</v>
      </c>
      <c r="E358" s="7">
        <f t="shared" si="102"/>
        <v>1239</v>
      </c>
      <c r="F358" s="7">
        <f t="shared" si="103"/>
        <v>1235</v>
      </c>
      <c r="G358" s="7">
        <f t="shared" si="104"/>
        <v>1101</v>
      </c>
      <c r="H358" s="4">
        <f t="shared" si="105"/>
        <v>1468</v>
      </c>
      <c r="I358" s="4">
        <f t="shared" si="106"/>
        <v>1472</v>
      </c>
      <c r="J358" s="4">
        <f t="shared" si="107"/>
        <v>1606</v>
      </c>
      <c r="K358" s="4">
        <f t="shared" si="111"/>
        <v>2000</v>
      </c>
      <c r="L358" s="4">
        <f t="shared" si="112"/>
        <v>2000</v>
      </c>
      <c r="M358" s="4">
        <f t="shared" si="113"/>
        <v>2000</v>
      </c>
      <c r="N358" s="4">
        <f t="shared" si="114"/>
        <v>-532</v>
      </c>
      <c r="O358" s="4">
        <f t="shared" si="115"/>
        <v>-528</v>
      </c>
      <c r="P358" s="4">
        <f t="shared" si="116"/>
        <v>-394</v>
      </c>
      <c r="Q358" s="7">
        <v>4</v>
      </c>
      <c r="R358" s="7">
        <v>5</v>
      </c>
      <c r="S358" s="7">
        <v>4</v>
      </c>
      <c r="T358" s="5">
        <f t="shared" si="108"/>
        <v>1845</v>
      </c>
      <c r="U358" s="6">
        <f t="shared" si="99"/>
        <v>848</v>
      </c>
      <c r="V358" s="6">
        <f t="shared" si="100"/>
        <v>862</v>
      </c>
      <c r="W358" s="6">
        <f t="shared" si="98"/>
        <v>1006</v>
      </c>
      <c r="X358" s="5"/>
      <c r="Y358" s="4"/>
      <c r="Z358" s="4"/>
      <c r="AA358" s="4"/>
      <c r="AB358" s="17" t="s">
        <v>6</v>
      </c>
    </row>
    <row r="359" spans="1:28" ht="13.15" customHeight="1">
      <c r="A359" s="11">
        <v>345</v>
      </c>
      <c r="B359" s="14">
        <f t="shared" si="109"/>
        <v>45388</v>
      </c>
      <c r="C359" s="9">
        <f t="shared" si="110"/>
        <v>842</v>
      </c>
      <c r="D359" s="8">
        <f t="shared" si="101"/>
        <v>1867</v>
      </c>
      <c r="E359" s="7">
        <f t="shared" si="102"/>
        <v>1249</v>
      </c>
      <c r="F359" s="7">
        <f t="shared" si="103"/>
        <v>1241</v>
      </c>
      <c r="G359" s="7">
        <f t="shared" si="104"/>
        <v>1107</v>
      </c>
      <c r="H359" s="4">
        <f t="shared" si="105"/>
        <v>1460</v>
      </c>
      <c r="I359" s="4">
        <f t="shared" si="106"/>
        <v>1468</v>
      </c>
      <c r="J359" s="4">
        <f t="shared" si="107"/>
        <v>1602</v>
      </c>
      <c r="K359" s="4">
        <f t="shared" si="111"/>
        <v>2000</v>
      </c>
      <c r="L359" s="4">
        <f t="shared" si="112"/>
        <v>2000</v>
      </c>
      <c r="M359" s="4">
        <f t="shared" si="113"/>
        <v>2000</v>
      </c>
      <c r="N359" s="4">
        <f t="shared" si="114"/>
        <v>-540</v>
      </c>
      <c r="O359" s="4">
        <f t="shared" si="115"/>
        <v>-532</v>
      </c>
      <c r="P359" s="4">
        <f t="shared" si="116"/>
        <v>-398</v>
      </c>
      <c r="Q359" s="7">
        <v>8</v>
      </c>
      <c r="R359" s="7">
        <v>4</v>
      </c>
      <c r="S359" s="7">
        <v>4</v>
      </c>
      <c r="T359" s="5">
        <f t="shared" si="108"/>
        <v>1851</v>
      </c>
      <c r="U359" s="6">
        <f t="shared" si="99"/>
        <v>840</v>
      </c>
      <c r="V359" s="6">
        <f t="shared" si="100"/>
        <v>858</v>
      </c>
      <c r="W359" s="6">
        <f t="shared" ref="W359:W422" si="117">W358+$X359*1000-S359</f>
        <v>1002</v>
      </c>
      <c r="X359" s="5"/>
      <c r="Y359" s="4"/>
      <c r="Z359" s="4"/>
      <c r="AA359" s="4"/>
      <c r="AB359" s="17" t="s">
        <v>5</v>
      </c>
    </row>
    <row r="360" spans="1:28" ht="13.15" customHeight="1">
      <c r="A360" s="11">
        <v>346</v>
      </c>
      <c r="B360" s="14">
        <f t="shared" si="109"/>
        <v>45389</v>
      </c>
      <c r="C360" s="9">
        <f t="shared" si="110"/>
        <v>842</v>
      </c>
      <c r="D360" s="8">
        <f t="shared" si="101"/>
        <v>1869</v>
      </c>
      <c r="E360" s="7">
        <f t="shared" si="102"/>
        <v>1259</v>
      </c>
      <c r="F360" s="7">
        <f t="shared" si="103"/>
        <v>1251</v>
      </c>
      <c r="G360" s="7">
        <f t="shared" si="104"/>
        <v>1117</v>
      </c>
      <c r="H360" s="4">
        <f t="shared" si="105"/>
        <v>1452</v>
      </c>
      <c r="I360" s="4">
        <f t="shared" si="106"/>
        <v>1460</v>
      </c>
      <c r="J360" s="4">
        <f t="shared" si="107"/>
        <v>1594</v>
      </c>
      <c r="K360" s="4">
        <f t="shared" si="111"/>
        <v>2000</v>
      </c>
      <c r="L360" s="4">
        <f t="shared" si="112"/>
        <v>2000</v>
      </c>
      <c r="M360" s="4">
        <f t="shared" si="113"/>
        <v>2000</v>
      </c>
      <c r="N360" s="4">
        <f t="shared" si="114"/>
        <v>-548</v>
      </c>
      <c r="O360" s="4">
        <f t="shared" si="115"/>
        <v>-540</v>
      </c>
      <c r="P360" s="4">
        <f t="shared" si="116"/>
        <v>-406</v>
      </c>
      <c r="Q360" s="7">
        <v>8</v>
      </c>
      <c r="R360" s="7">
        <v>8</v>
      </c>
      <c r="S360" s="7">
        <v>8</v>
      </c>
      <c r="T360" s="5">
        <f t="shared" si="108"/>
        <v>1561</v>
      </c>
      <c r="U360" s="6">
        <f t="shared" ref="U360:U423" si="118">U359+$X360*1000-Q360</f>
        <v>1132</v>
      </c>
      <c r="V360" s="6">
        <f t="shared" ref="V360:V423" si="119">V359+$X360*1000-R360</f>
        <v>1150</v>
      </c>
      <c r="W360" s="6">
        <f t="shared" si="117"/>
        <v>1294</v>
      </c>
      <c r="X360" s="16">
        <v>0.3</v>
      </c>
      <c r="Y360" s="4"/>
      <c r="Z360" s="4"/>
      <c r="AA360" s="4"/>
      <c r="AB360" s="15">
        <f>+AB355-1</f>
        <v>3</v>
      </c>
    </row>
    <row r="361" spans="1:28" ht="13.15" customHeight="1">
      <c r="A361" s="11">
        <v>347</v>
      </c>
      <c r="B361" s="14">
        <f t="shared" si="109"/>
        <v>45390</v>
      </c>
      <c r="C361" s="9">
        <f t="shared" si="110"/>
        <v>842</v>
      </c>
      <c r="D361" s="8">
        <f t="shared" si="101"/>
        <v>1871</v>
      </c>
      <c r="E361" s="7">
        <f t="shared" si="102"/>
        <v>1265</v>
      </c>
      <c r="F361" s="7">
        <f t="shared" si="103"/>
        <v>1259</v>
      </c>
      <c r="G361" s="7">
        <f t="shared" si="104"/>
        <v>1123</v>
      </c>
      <c r="H361" s="4">
        <f t="shared" si="105"/>
        <v>1448</v>
      </c>
      <c r="I361" s="4">
        <f t="shared" si="106"/>
        <v>1454</v>
      </c>
      <c r="J361" s="4">
        <f t="shared" si="107"/>
        <v>1590</v>
      </c>
      <c r="K361" s="4">
        <f t="shared" si="111"/>
        <v>2000</v>
      </c>
      <c r="L361" s="4">
        <f t="shared" si="112"/>
        <v>2000</v>
      </c>
      <c r="M361" s="4">
        <f t="shared" si="113"/>
        <v>2000</v>
      </c>
      <c r="N361" s="4">
        <f t="shared" si="114"/>
        <v>-552</v>
      </c>
      <c r="O361" s="4">
        <f t="shared" si="115"/>
        <v>-546</v>
      </c>
      <c r="P361" s="4">
        <f t="shared" si="116"/>
        <v>-410</v>
      </c>
      <c r="Q361" s="7">
        <v>4</v>
      </c>
      <c r="R361" s="7">
        <v>6</v>
      </c>
      <c r="S361" s="7">
        <v>4</v>
      </c>
      <c r="T361" s="5">
        <f t="shared" si="108"/>
        <v>1569</v>
      </c>
      <c r="U361" s="6">
        <f t="shared" si="118"/>
        <v>1128</v>
      </c>
      <c r="V361" s="6">
        <f t="shared" si="119"/>
        <v>1144</v>
      </c>
      <c r="W361" s="6">
        <f t="shared" si="117"/>
        <v>1290</v>
      </c>
      <c r="X361" s="5"/>
      <c r="Y361" s="4"/>
      <c r="Z361" s="4"/>
      <c r="AA361" s="4"/>
      <c r="AB361" s="15"/>
    </row>
    <row r="362" spans="1:28" ht="13.15" customHeight="1">
      <c r="A362" s="11">
        <v>348</v>
      </c>
      <c r="B362" s="14">
        <f t="shared" si="109"/>
        <v>45391</v>
      </c>
      <c r="C362" s="9">
        <f t="shared" si="110"/>
        <v>842</v>
      </c>
      <c r="D362" s="8">
        <f t="shared" si="101"/>
        <v>1873</v>
      </c>
      <c r="E362" s="7">
        <f t="shared" si="102"/>
        <v>1271</v>
      </c>
      <c r="F362" s="7">
        <f t="shared" si="103"/>
        <v>1267</v>
      </c>
      <c r="G362" s="7">
        <f t="shared" si="104"/>
        <v>1129</v>
      </c>
      <c r="H362" s="4">
        <f t="shared" si="105"/>
        <v>1444</v>
      </c>
      <c r="I362" s="4">
        <f t="shared" si="106"/>
        <v>1448</v>
      </c>
      <c r="J362" s="4">
        <f t="shared" si="107"/>
        <v>1586</v>
      </c>
      <c r="K362" s="4">
        <f t="shared" si="111"/>
        <v>2000</v>
      </c>
      <c r="L362" s="4">
        <f t="shared" si="112"/>
        <v>2000</v>
      </c>
      <c r="M362" s="4">
        <f t="shared" si="113"/>
        <v>2000</v>
      </c>
      <c r="N362" s="4">
        <f t="shared" si="114"/>
        <v>-556</v>
      </c>
      <c r="O362" s="4">
        <f t="shared" si="115"/>
        <v>-552</v>
      </c>
      <c r="P362" s="4">
        <f t="shared" si="116"/>
        <v>-414</v>
      </c>
      <c r="Q362" s="7">
        <v>4</v>
      </c>
      <c r="R362" s="7">
        <v>6</v>
      </c>
      <c r="S362" s="7">
        <v>4</v>
      </c>
      <c r="T362" s="5">
        <f t="shared" si="108"/>
        <v>1577</v>
      </c>
      <c r="U362" s="6">
        <f t="shared" si="118"/>
        <v>1124</v>
      </c>
      <c r="V362" s="6">
        <f t="shared" si="119"/>
        <v>1138</v>
      </c>
      <c r="W362" s="6">
        <f t="shared" si="117"/>
        <v>1286</v>
      </c>
      <c r="X362" s="5"/>
      <c r="Y362" s="4"/>
      <c r="Z362" s="4"/>
      <c r="AA362" s="4"/>
      <c r="AB362" s="17" t="s">
        <v>6</v>
      </c>
    </row>
    <row r="363" spans="1:28" ht="13.15" customHeight="1">
      <c r="A363" s="11">
        <v>349</v>
      </c>
      <c r="B363" s="14">
        <f t="shared" si="109"/>
        <v>45392</v>
      </c>
      <c r="C363" s="9">
        <f t="shared" si="110"/>
        <v>842</v>
      </c>
      <c r="D363" s="8">
        <f t="shared" si="101"/>
        <v>1875</v>
      </c>
      <c r="E363" s="7">
        <f t="shared" si="102"/>
        <v>277</v>
      </c>
      <c r="F363" s="7">
        <f t="shared" si="103"/>
        <v>274</v>
      </c>
      <c r="G363" s="7">
        <f t="shared" si="104"/>
        <v>135</v>
      </c>
      <c r="H363" s="4">
        <f t="shared" si="105"/>
        <v>2440</v>
      </c>
      <c r="I363" s="4">
        <f t="shared" si="106"/>
        <v>2443</v>
      </c>
      <c r="J363" s="4">
        <f t="shared" si="107"/>
        <v>2582</v>
      </c>
      <c r="K363" s="4">
        <f>K362+1000</f>
        <v>3000</v>
      </c>
      <c r="L363" s="4">
        <f>L362+1000</f>
        <v>3000</v>
      </c>
      <c r="M363" s="4">
        <f>M362+1000</f>
        <v>3000</v>
      </c>
      <c r="N363" s="4">
        <f t="shared" si="114"/>
        <v>-560</v>
      </c>
      <c r="O363" s="4">
        <f t="shared" si="115"/>
        <v>-557</v>
      </c>
      <c r="P363" s="4">
        <f t="shared" si="116"/>
        <v>-418</v>
      </c>
      <c r="Q363" s="7">
        <v>4</v>
      </c>
      <c r="R363" s="7">
        <v>5</v>
      </c>
      <c r="S363" s="7">
        <v>4</v>
      </c>
      <c r="T363" s="5">
        <f t="shared" si="108"/>
        <v>1584</v>
      </c>
      <c r="U363" s="6">
        <f t="shared" si="118"/>
        <v>1120</v>
      </c>
      <c r="V363" s="6">
        <f t="shared" si="119"/>
        <v>1133</v>
      </c>
      <c r="W363" s="6">
        <f t="shared" si="117"/>
        <v>1282</v>
      </c>
      <c r="X363" s="5"/>
      <c r="Y363" s="4"/>
      <c r="Z363" s="4"/>
      <c r="AA363" s="4"/>
      <c r="AB363" s="17" t="s">
        <v>5</v>
      </c>
    </row>
    <row r="364" spans="1:28" ht="13.15" customHeight="1">
      <c r="A364" s="11">
        <v>350</v>
      </c>
      <c r="B364" s="14">
        <f t="shared" si="109"/>
        <v>45393</v>
      </c>
      <c r="C364" s="9">
        <f t="shared" si="110"/>
        <v>842</v>
      </c>
      <c r="D364" s="8">
        <f t="shared" si="101"/>
        <v>1877</v>
      </c>
      <c r="E364" s="7">
        <f t="shared" si="102"/>
        <v>287</v>
      </c>
      <c r="F364" s="7">
        <f t="shared" si="103"/>
        <v>284</v>
      </c>
      <c r="G364" s="7">
        <f t="shared" si="104"/>
        <v>145</v>
      </c>
      <c r="H364" s="4">
        <f t="shared" si="105"/>
        <v>2432</v>
      </c>
      <c r="I364" s="4">
        <f t="shared" si="106"/>
        <v>2435</v>
      </c>
      <c r="J364" s="4">
        <f t="shared" si="107"/>
        <v>2574</v>
      </c>
      <c r="K364" s="4">
        <f t="shared" ref="K364:K395" si="120">K363</f>
        <v>3000</v>
      </c>
      <c r="L364" s="4">
        <f t="shared" ref="L364:L395" si="121">L363</f>
        <v>3000</v>
      </c>
      <c r="M364" s="4">
        <f t="shared" ref="M364:M395" si="122">M363</f>
        <v>3000</v>
      </c>
      <c r="N364" s="4">
        <f t="shared" si="114"/>
        <v>-568</v>
      </c>
      <c r="O364" s="4">
        <f t="shared" si="115"/>
        <v>-565</v>
      </c>
      <c r="P364" s="4">
        <f t="shared" si="116"/>
        <v>-426</v>
      </c>
      <c r="Q364" s="7">
        <v>8</v>
      </c>
      <c r="R364" s="7">
        <v>8</v>
      </c>
      <c r="S364" s="7">
        <v>8</v>
      </c>
      <c r="T364" s="5">
        <f t="shared" si="108"/>
        <v>1294</v>
      </c>
      <c r="U364" s="6">
        <f t="shared" si="118"/>
        <v>1412</v>
      </c>
      <c r="V364" s="6">
        <f t="shared" si="119"/>
        <v>1425</v>
      </c>
      <c r="W364" s="6">
        <f t="shared" si="117"/>
        <v>1574</v>
      </c>
      <c r="X364" s="16">
        <v>0.3</v>
      </c>
      <c r="Y364" s="4"/>
      <c r="Z364" s="4"/>
      <c r="AA364" s="4"/>
      <c r="AB364" s="15">
        <f>+AB360-1</f>
        <v>2</v>
      </c>
    </row>
    <row r="365" spans="1:28" ht="13.15" customHeight="1">
      <c r="A365" s="11">
        <v>351</v>
      </c>
      <c r="B365" s="14">
        <f t="shared" si="109"/>
        <v>45394</v>
      </c>
      <c r="C365" s="9">
        <f t="shared" si="110"/>
        <v>842</v>
      </c>
      <c r="D365" s="8">
        <f t="shared" si="101"/>
        <v>1879</v>
      </c>
      <c r="E365" s="7">
        <f t="shared" si="102"/>
        <v>293</v>
      </c>
      <c r="F365" s="7">
        <f t="shared" si="103"/>
        <v>292</v>
      </c>
      <c r="G365" s="7">
        <f t="shared" si="104"/>
        <v>151</v>
      </c>
      <c r="H365" s="4">
        <f t="shared" si="105"/>
        <v>2428</v>
      </c>
      <c r="I365" s="4">
        <f t="shared" si="106"/>
        <v>2429</v>
      </c>
      <c r="J365" s="4">
        <f t="shared" si="107"/>
        <v>2570</v>
      </c>
      <c r="K365" s="4">
        <f t="shared" si="120"/>
        <v>3000</v>
      </c>
      <c r="L365" s="4">
        <f t="shared" si="121"/>
        <v>3000</v>
      </c>
      <c r="M365" s="4">
        <f t="shared" si="122"/>
        <v>3000</v>
      </c>
      <c r="N365" s="4">
        <f t="shared" si="114"/>
        <v>-572</v>
      </c>
      <c r="O365" s="4">
        <f t="shared" si="115"/>
        <v>-571</v>
      </c>
      <c r="P365" s="4">
        <f t="shared" si="116"/>
        <v>-430</v>
      </c>
      <c r="Q365" s="7">
        <v>4</v>
      </c>
      <c r="R365" s="7">
        <v>6</v>
      </c>
      <c r="S365" s="7">
        <v>4</v>
      </c>
      <c r="T365" s="5">
        <f t="shared" si="108"/>
        <v>1302</v>
      </c>
      <c r="U365" s="6">
        <f t="shared" si="118"/>
        <v>1408</v>
      </c>
      <c r="V365" s="6">
        <f t="shared" si="119"/>
        <v>1419</v>
      </c>
      <c r="W365" s="6">
        <f t="shared" si="117"/>
        <v>1570</v>
      </c>
      <c r="X365" s="5"/>
      <c r="Y365" s="4"/>
      <c r="Z365" s="4"/>
      <c r="AA365" s="4"/>
      <c r="AB365" s="15"/>
    </row>
    <row r="366" spans="1:28" ht="13.15" customHeight="1">
      <c r="A366" s="11">
        <v>352</v>
      </c>
      <c r="B366" s="14">
        <f t="shared" si="109"/>
        <v>45395</v>
      </c>
      <c r="C366" s="9">
        <f t="shared" si="110"/>
        <v>842</v>
      </c>
      <c r="D366" s="8">
        <f t="shared" si="101"/>
        <v>1881</v>
      </c>
      <c r="E366" s="7">
        <f t="shared" si="102"/>
        <v>299</v>
      </c>
      <c r="F366" s="7">
        <f t="shared" si="103"/>
        <v>300</v>
      </c>
      <c r="G366" s="7">
        <f t="shared" si="104"/>
        <v>157</v>
      </c>
      <c r="H366" s="4">
        <f t="shared" si="105"/>
        <v>2424</v>
      </c>
      <c r="I366" s="4">
        <f t="shared" si="106"/>
        <v>2423</v>
      </c>
      <c r="J366" s="4">
        <f t="shared" si="107"/>
        <v>2566</v>
      </c>
      <c r="K366" s="4">
        <f t="shared" si="120"/>
        <v>3000</v>
      </c>
      <c r="L366" s="4">
        <f t="shared" si="121"/>
        <v>3000</v>
      </c>
      <c r="M366" s="4">
        <f t="shared" si="122"/>
        <v>3000</v>
      </c>
      <c r="N366" s="4">
        <f t="shared" si="114"/>
        <v>-576</v>
      </c>
      <c r="O366" s="4">
        <f t="shared" si="115"/>
        <v>-577</v>
      </c>
      <c r="P366" s="4">
        <f t="shared" si="116"/>
        <v>-434</v>
      </c>
      <c r="Q366" s="7">
        <v>4</v>
      </c>
      <c r="R366" s="7">
        <v>6</v>
      </c>
      <c r="S366" s="7">
        <v>4</v>
      </c>
      <c r="T366" s="5">
        <f t="shared" si="108"/>
        <v>1310</v>
      </c>
      <c r="U366" s="6">
        <f t="shared" si="118"/>
        <v>1404</v>
      </c>
      <c r="V366" s="6">
        <f t="shared" si="119"/>
        <v>1413</v>
      </c>
      <c r="W366" s="6">
        <f t="shared" si="117"/>
        <v>1566</v>
      </c>
      <c r="X366" s="5"/>
      <c r="Y366" s="4"/>
      <c r="Z366" s="4"/>
      <c r="AA366" s="4"/>
      <c r="AB366" s="15"/>
    </row>
    <row r="367" spans="1:28" ht="13.15" customHeight="1">
      <c r="A367" s="11">
        <v>353</v>
      </c>
      <c r="B367" s="14">
        <f t="shared" si="109"/>
        <v>45396</v>
      </c>
      <c r="C367" s="9">
        <f t="shared" si="110"/>
        <v>842</v>
      </c>
      <c r="D367" s="8">
        <f t="shared" si="101"/>
        <v>1883</v>
      </c>
      <c r="E367" s="7">
        <f t="shared" si="102"/>
        <v>305</v>
      </c>
      <c r="F367" s="7">
        <f t="shared" si="103"/>
        <v>307</v>
      </c>
      <c r="G367" s="7">
        <f t="shared" si="104"/>
        <v>163</v>
      </c>
      <c r="H367" s="4">
        <f t="shared" si="105"/>
        <v>2420</v>
      </c>
      <c r="I367" s="4">
        <f t="shared" si="106"/>
        <v>2418</v>
      </c>
      <c r="J367" s="4">
        <f t="shared" si="107"/>
        <v>2562</v>
      </c>
      <c r="K367" s="4">
        <f t="shared" si="120"/>
        <v>3000</v>
      </c>
      <c r="L367" s="4">
        <f t="shared" si="121"/>
        <v>3000</v>
      </c>
      <c r="M367" s="4">
        <f t="shared" si="122"/>
        <v>3000</v>
      </c>
      <c r="N367" s="4">
        <f t="shared" si="114"/>
        <v>-580</v>
      </c>
      <c r="O367" s="4">
        <f t="shared" si="115"/>
        <v>-582</v>
      </c>
      <c r="P367" s="4">
        <f t="shared" si="116"/>
        <v>-438</v>
      </c>
      <c r="Q367" s="7">
        <v>4</v>
      </c>
      <c r="R367" s="7">
        <v>5</v>
      </c>
      <c r="S367" s="7">
        <v>4</v>
      </c>
      <c r="T367" s="5">
        <f t="shared" si="108"/>
        <v>1317</v>
      </c>
      <c r="U367" s="6">
        <f t="shared" si="118"/>
        <v>1400</v>
      </c>
      <c r="V367" s="6">
        <f t="shared" si="119"/>
        <v>1408</v>
      </c>
      <c r="W367" s="6">
        <f t="shared" si="117"/>
        <v>1562</v>
      </c>
      <c r="X367" s="5"/>
      <c r="Y367" s="4"/>
      <c r="Z367" s="4"/>
      <c r="AA367" s="4"/>
      <c r="AB367" s="15"/>
    </row>
    <row r="368" spans="1:28" ht="13.15" customHeight="1">
      <c r="A368" s="11">
        <v>354</v>
      </c>
      <c r="B368" s="14">
        <f t="shared" si="109"/>
        <v>45397</v>
      </c>
      <c r="C368" s="9">
        <f t="shared" si="110"/>
        <v>842</v>
      </c>
      <c r="D368" s="8">
        <f t="shared" si="101"/>
        <v>1885</v>
      </c>
      <c r="E368" s="7">
        <f t="shared" si="102"/>
        <v>315</v>
      </c>
      <c r="F368" s="7">
        <f t="shared" si="103"/>
        <v>313</v>
      </c>
      <c r="G368" s="7">
        <f t="shared" si="104"/>
        <v>169</v>
      </c>
      <c r="H368" s="4">
        <f t="shared" si="105"/>
        <v>2412</v>
      </c>
      <c r="I368" s="4">
        <f t="shared" si="106"/>
        <v>2414</v>
      </c>
      <c r="J368" s="4">
        <f t="shared" si="107"/>
        <v>2558</v>
      </c>
      <c r="K368" s="4">
        <f t="shared" si="120"/>
        <v>3000</v>
      </c>
      <c r="L368" s="4">
        <f t="shared" si="121"/>
        <v>3000</v>
      </c>
      <c r="M368" s="4">
        <f t="shared" si="122"/>
        <v>3000</v>
      </c>
      <c r="N368" s="4">
        <f t="shared" si="114"/>
        <v>-588</v>
      </c>
      <c r="O368" s="4">
        <f t="shared" si="115"/>
        <v>-586</v>
      </c>
      <c r="P368" s="4">
        <f t="shared" si="116"/>
        <v>-442</v>
      </c>
      <c r="Q368" s="7">
        <v>8</v>
      </c>
      <c r="R368" s="7">
        <v>4</v>
      </c>
      <c r="S368" s="7">
        <v>4</v>
      </c>
      <c r="T368" s="5">
        <f t="shared" si="108"/>
        <v>1323</v>
      </c>
      <c r="U368" s="6">
        <f t="shared" si="118"/>
        <v>1392</v>
      </c>
      <c r="V368" s="6">
        <f t="shared" si="119"/>
        <v>1404</v>
      </c>
      <c r="W368" s="6">
        <f t="shared" si="117"/>
        <v>1558</v>
      </c>
      <c r="X368" s="5"/>
      <c r="Y368" s="4"/>
      <c r="Z368" s="4"/>
      <c r="AA368" s="4"/>
      <c r="AB368" s="15"/>
    </row>
    <row r="369" spans="1:28" ht="13.15" customHeight="1">
      <c r="A369" s="11">
        <v>355</v>
      </c>
      <c r="B369" s="14">
        <f t="shared" si="109"/>
        <v>45398</v>
      </c>
      <c r="C369" s="9">
        <f t="shared" si="110"/>
        <v>842</v>
      </c>
      <c r="D369" s="8">
        <f t="shared" si="101"/>
        <v>1887</v>
      </c>
      <c r="E369" s="7">
        <f t="shared" si="102"/>
        <v>325</v>
      </c>
      <c r="F369" s="7">
        <f t="shared" si="103"/>
        <v>323</v>
      </c>
      <c r="G369" s="7">
        <f t="shared" si="104"/>
        <v>179</v>
      </c>
      <c r="H369" s="4">
        <f t="shared" si="105"/>
        <v>2404</v>
      </c>
      <c r="I369" s="4">
        <f t="shared" si="106"/>
        <v>2406</v>
      </c>
      <c r="J369" s="4">
        <f t="shared" si="107"/>
        <v>2550</v>
      </c>
      <c r="K369" s="4">
        <f t="shared" si="120"/>
        <v>3000</v>
      </c>
      <c r="L369" s="4">
        <f t="shared" si="121"/>
        <v>3000</v>
      </c>
      <c r="M369" s="4">
        <f t="shared" si="122"/>
        <v>3000</v>
      </c>
      <c r="N369" s="4">
        <f t="shared" si="114"/>
        <v>-596</v>
      </c>
      <c r="O369" s="4">
        <f t="shared" si="115"/>
        <v>-594</v>
      </c>
      <c r="P369" s="4">
        <f t="shared" si="116"/>
        <v>-450</v>
      </c>
      <c r="Q369" s="7">
        <v>8</v>
      </c>
      <c r="R369" s="7">
        <v>8</v>
      </c>
      <c r="S369" s="7">
        <v>8</v>
      </c>
      <c r="T369" s="5">
        <f t="shared" si="108"/>
        <v>1033</v>
      </c>
      <c r="U369" s="6">
        <f t="shared" si="118"/>
        <v>1684</v>
      </c>
      <c r="V369" s="6">
        <f t="shared" si="119"/>
        <v>1696</v>
      </c>
      <c r="W369" s="6">
        <f t="shared" si="117"/>
        <v>1850</v>
      </c>
      <c r="X369" s="16">
        <v>0.3</v>
      </c>
      <c r="Y369" s="4"/>
      <c r="Z369" s="4"/>
      <c r="AA369" s="4"/>
      <c r="AB369" s="15">
        <f>+AB364-1</f>
        <v>1</v>
      </c>
    </row>
    <row r="370" spans="1:28" ht="13.15" customHeight="1">
      <c r="A370" s="11">
        <v>356</v>
      </c>
      <c r="B370" s="14">
        <f t="shared" si="109"/>
        <v>45399</v>
      </c>
      <c r="C370" s="9">
        <f t="shared" si="110"/>
        <v>842</v>
      </c>
      <c r="D370" s="8">
        <f t="shared" si="101"/>
        <v>1889</v>
      </c>
      <c r="E370" s="7">
        <f t="shared" si="102"/>
        <v>331</v>
      </c>
      <c r="F370" s="7">
        <f t="shared" si="103"/>
        <v>331</v>
      </c>
      <c r="G370" s="7">
        <f t="shared" si="104"/>
        <v>185</v>
      </c>
      <c r="H370" s="4">
        <f t="shared" si="105"/>
        <v>2400</v>
      </c>
      <c r="I370" s="4">
        <f t="shared" si="106"/>
        <v>2400</v>
      </c>
      <c r="J370" s="4">
        <f t="shared" si="107"/>
        <v>2546</v>
      </c>
      <c r="K370" s="4">
        <f t="shared" si="120"/>
        <v>3000</v>
      </c>
      <c r="L370" s="4">
        <f t="shared" si="121"/>
        <v>3000</v>
      </c>
      <c r="M370" s="4">
        <f t="shared" si="122"/>
        <v>3000</v>
      </c>
      <c r="N370" s="4">
        <f t="shared" si="114"/>
        <v>-600</v>
      </c>
      <c r="O370" s="4">
        <f t="shared" si="115"/>
        <v>-600</v>
      </c>
      <c r="P370" s="4">
        <f t="shared" si="116"/>
        <v>-454</v>
      </c>
      <c r="Q370" s="7">
        <v>4</v>
      </c>
      <c r="R370" s="7">
        <v>6</v>
      </c>
      <c r="S370" s="7">
        <v>4</v>
      </c>
      <c r="T370" s="5">
        <f t="shared" si="108"/>
        <v>1041</v>
      </c>
      <c r="U370" s="6">
        <f t="shared" si="118"/>
        <v>1680</v>
      </c>
      <c r="V370" s="6">
        <f t="shared" si="119"/>
        <v>1690</v>
      </c>
      <c r="W370" s="6">
        <f t="shared" si="117"/>
        <v>1846</v>
      </c>
      <c r="X370" s="5"/>
      <c r="Y370" s="4"/>
      <c r="Z370" s="4"/>
      <c r="AA370" s="4"/>
      <c r="AB370" s="4"/>
    </row>
    <row r="371" spans="1:28" ht="13.15" customHeight="1">
      <c r="A371" s="11">
        <v>357</v>
      </c>
      <c r="B371" s="14">
        <f t="shared" si="109"/>
        <v>45400</v>
      </c>
      <c r="C371" s="9">
        <f t="shared" si="110"/>
        <v>842</v>
      </c>
      <c r="D371" s="8">
        <f t="shared" si="101"/>
        <v>1891</v>
      </c>
      <c r="E371" s="7">
        <f t="shared" si="102"/>
        <v>337</v>
      </c>
      <c r="F371" s="7">
        <f t="shared" si="103"/>
        <v>339</v>
      </c>
      <c r="G371" s="7">
        <f t="shared" si="104"/>
        <v>191</v>
      </c>
      <c r="H371" s="4">
        <f t="shared" si="105"/>
        <v>2396</v>
      </c>
      <c r="I371" s="4">
        <f t="shared" si="106"/>
        <v>2394</v>
      </c>
      <c r="J371" s="4">
        <f t="shared" si="107"/>
        <v>2542</v>
      </c>
      <c r="K371" s="4">
        <f t="shared" si="120"/>
        <v>3000</v>
      </c>
      <c r="L371" s="4">
        <f t="shared" si="121"/>
        <v>3000</v>
      </c>
      <c r="M371" s="4">
        <f t="shared" si="122"/>
        <v>3000</v>
      </c>
      <c r="N371" s="4">
        <f t="shared" si="114"/>
        <v>-604</v>
      </c>
      <c r="O371" s="4">
        <f t="shared" si="115"/>
        <v>-606</v>
      </c>
      <c r="P371" s="4">
        <f t="shared" si="116"/>
        <v>-458</v>
      </c>
      <c r="Q371" s="7">
        <v>4</v>
      </c>
      <c r="R371" s="7">
        <v>6</v>
      </c>
      <c r="S371" s="7">
        <v>4</v>
      </c>
      <c r="T371" s="5">
        <f t="shared" si="108"/>
        <v>1049</v>
      </c>
      <c r="U371" s="6">
        <f t="shared" si="118"/>
        <v>1676</v>
      </c>
      <c r="V371" s="6">
        <f t="shared" si="119"/>
        <v>1684</v>
      </c>
      <c r="W371" s="6">
        <f t="shared" si="117"/>
        <v>1842</v>
      </c>
      <c r="X371" s="5"/>
      <c r="Y371" s="4"/>
      <c r="Z371" s="4"/>
      <c r="AA371" s="4"/>
      <c r="AB371" s="4"/>
    </row>
    <row r="372" spans="1:28" ht="13.15" customHeight="1">
      <c r="A372" s="11">
        <v>358</v>
      </c>
      <c r="B372" s="14">
        <f t="shared" si="109"/>
        <v>45401</v>
      </c>
      <c r="C372" s="9">
        <f t="shared" si="110"/>
        <v>842</v>
      </c>
      <c r="D372" s="8">
        <f t="shared" si="101"/>
        <v>1893</v>
      </c>
      <c r="E372" s="7">
        <f t="shared" si="102"/>
        <v>343</v>
      </c>
      <c r="F372" s="7">
        <f t="shared" si="103"/>
        <v>346</v>
      </c>
      <c r="G372" s="7">
        <f t="shared" si="104"/>
        <v>197</v>
      </c>
      <c r="H372" s="4">
        <f t="shared" si="105"/>
        <v>2392</v>
      </c>
      <c r="I372" s="4">
        <f t="shared" si="106"/>
        <v>2389</v>
      </c>
      <c r="J372" s="4">
        <f t="shared" si="107"/>
        <v>2538</v>
      </c>
      <c r="K372" s="4">
        <f t="shared" si="120"/>
        <v>3000</v>
      </c>
      <c r="L372" s="4">
        <f t="shared" si="121"/>
        <v>3000</v>
      </c>
      <c r="M372" s="4">
        <f t="shared" si="122"/>
        <v>3000</v>
      </c>
      <c r="N372" s="4">
        <f t="shared" si="114"/>
        <v>-608</v>
      </c>
      <c r="O372" s="4">
        <f t="shared" si="115"/>
        <v>-611</v>
      </c>
      <c r="P372" s="4">
        <f t="shared" si="116"/>
        <v>-462</v>
      </c>
      <c r="Q372" s="7">
        <v>4</v>
      </c>
      <c r="R372" s="7">
        <v>5</v>
      </c>
      <c r="S372" s="7">
        <v>4</v>
      </c>
      <c r="T372" s="5">
        <f t="shared" si="108"/>
        <v>1056</v>
      </c>
      <c r="U372" s="6">
        <f t="shared" si="118"/>
        <v>1672</v>
      </c>
      <c r="V372" s="6">
        <f t="shared" si="119"/>
        <v>1679</v>
      </c>
      <c r="W372" s="6">
        <f t="shared" si="117"/>
        <v>1838</v>
      </c>
      <c r="X372" s="5"/>
      <c r="Y372" s="4"/>
      <c r="Z372" s="4"/>
      <c r="AA372" s="4"/>
      <c r="AB372" s="4"/>
    </row>
    <row r="373" spans="1:28" ht="13.15" customHeight="1">
      <c r="A373" s="11">
        <v>359</v>
      </c>
      <c r="B373" s="14">
        <f t="shared" si="109"/>
        <v>45402</v>
      </c>
      <c r="C373" s="9">
        <f t="shared" si="110"/>
        <v>842</v>
      </c>
      <c r="D373" s="8">
        <f t="shared" si="101"/>
        <v>1895</v>
      </c>
      <c r="E373" s="7">
        <f t="shared" si="102"/>
        <v>353</v>
      </c>
      <c r="F373" s="7">
        <f t="shared" si="103"/>
        <v>352</v>
      </c>
      <c r="G373" s="7">
        <f t="shared" si="104"/>
        <v>203</v>
      </c>
      <c r="H373" s="4">
        <f t="shared" si="105"/>
        <v>2384</v>
      </c>
      <c r="I373" s="4">
        <f t="shared" si="106"/>
        <v>2385</v>
      </c>
      <c r="J373" s="4">
        <f t="shared" si="107"/>
        <v>2534</v>
      </c>
      <c r="K373" s="4">
        <f t="shared" si="120"/>
        <v>3000</v>
      </c>
      <c r="L373" s="4">
        <f t="shared" si="121"/>
        <v>3000</v>
      </c>
      <c r="M373" s="4">
        <f t="shared" si="122"/>
        <v>3000</v>
      </c>
      <c r="N373" s="4">
        <f t="shared" si="114"/>
        <v>-616</v>
      </c>
      <c r="O373" s="4">
        <f t="shared" si="115"/>
        <v>-615</v>
      </c>
      <c r="P373" s="4">
        <f t="shared" si="116"/>
        <v>-466</v>
      </c>
      <c r="Q373" s="7">
        <v>8</v>
      </c>
      <c r="R373" s="7">
        <v>4</v>
      </c>
      <c r="S373" s="7">
        <v>4</v>
      </c>
      <c r="T373" s="5">
        <f t="shared" si="108"/>
        <v>1062</v>
      </c>
      <c r="U373" s="6">
        <f t="shared" si="118"/>
        <v>1664</v>
      </c>
      <c r="V373" s="6">
        <f t="shared" si="119"/>
        <v>1675</v>
      </c>
      <c r="W373" s="6">
        <f t="shared" si="117"/>
        <v>1834</v>
      </c>
      <c r="X373" s="5"/>
      <c r="Y373" s="4"/>
      <c r="Z373" s="4"/>
      <c r="AA373" s="4"/>
      <c r="AB373" s="4"/>
    </row>
    <row r="374" spans="1:28" ht="13.15" customHeight="1">
      <c r="A374" s="11">
        <v>360</v>
      </c>
      <c r="B374" s="14">
        <f t="shared" si="109"/>
        <v>45403</v>
      </c>
      <c r="C374" s="9">
        <f t="shared" si="110"/>
        <v>842</v>
      </c>
      <c r="D374" s="8">
        <f t="shared" si="101"/>
        <v>1897</v>
      </c>
      <c r="E374" s="7">
        <f t="shared" si="102"/>
        <v>361</v>
      </c>
      <c r="F374" s="7">
        <f t="shared" si="103"/>
        <v>358</v>
      </c>
      <c r="G374" s="7">
        <f t="shared" si="104"/>
        <v>211</v>
      </c>
      <c r="H374" s="4">
        <f t="shared" si="105"/>
        <v>2378</v>
      </c>
      <c r="I374" s="4">
        <f t="shared" si="106"/>
        <v>2381</v>
      </c>
      <c r="J374" s="4">
        <f t="shared" si="107"/>
        <v>2528</v>
      </c>
      <c r="K374" s="4">
        <f t="shared" si="120"/>
        <v>3000</v>
      </c>
      <c r="L374" s="4">
        <f t="shared" si="121"/>
        <v>3000</v>
      </c>
      <c r="M374" s="4">
        <f t="shared" si="122"/>
        <v>3000</v>
      </c>
      <c r="N374" s="4">
        <f t="shared" si="114"/>
        <v>-622</v>
      </c>
      <c r="O374" s="4">
        <f t="shared" si="115"/>
        <v>-619</v>
      </c>
      <c r="P374" s="4">
        <f t="shared" si="116"/>
        <v>-472</v>
      </c>
      <c r="Q374" s="7">
        <v>6</v>
      </c>
      <c r="R374" s="7">
        <v>4</v>
      </c>
      <c r="S374" s="7">
        <v>6</v>
      </c>
      <c r="T374" s="5">
        <f t="shared" si="108"/>
        <v>1068</v>
      </c>
      <c r="U374" s="6">
        <f t="shared" si="118"/>
        <v>1658</v>
      </c>
      <c r="V374" s="6">
        <f t="shared" si="119"/>
        <v>1671</v>
      </c>
      <c r="W374" s="6">
        <f t="shared" si="117"/>
        <v>1828</v>
      </c>
      <c r="X374" s="5"/>
      <c r="Y374" s="4"/>
      <c r="Z374" s="4"/>
      <c r="AA374" s="4"/>
      <c r="AB374" s="4"/>
    </row>
    <row r="375" spans="1:28" ht="13.15" customHeight="1">
      <c r="A375" s="11">
        <v>361</v>
      </c>
      <c r="B375" s="14">
        <f t="shared" si="109"/>
        <v>45404</v>
      </c>
      <c r="C375" s="9">
        <f t="shared" si="110"/>
        <v>842</v>
      </c>
      <c r="D375" s="8">
        <f t="shared" si="101"/>
        <v>1899</v>
      </c>
      <c r="E375" s="7">
        <f t="shared" si="102"/>
        <v>369</v>
      </c>
      <c r="F375" s="7">
        <f t="shared" si="103"/>
        <v>364</v>
      </c>
      <c r="G375" s="7">
        <f t="shared" si="104"/>
        <v>219</v>
      </c>
      <c r="H375" s="4">
        <f t="shared" si="105"/>
        <v>2372</v>
      </c>
      <c r="I375" s="4">
        <f t="shared" si="106"/>
        <v>2377</v>
      </c>
      <c r="J375" s="4">
        <f t="shared" si="107"/>
        <v>2522</v>
      </c>
      <c r="K375" s="4">
        <f t="shared" si="120"/>
        <v>3000</v>
      </c>
      <c r="L375" s="4">
        <f t="shared" si="121"/>
        <v>3000</v>
      </c>
      <c r="M375" s="4">
        <f t="shared" si="122"/>
        <v>3000</v>
      </c>
      <c r="N375" s="4">
        <f t="shared" si="114"/>
        <v>-628</v>
      </c>
      <c r="O375" s="4">
        <f t="shared" si="115"/>
        <v>-623</v>
      </c>
      <c r="P375" s="4">
        <f t="shared" si="116"/>
        <v>-478</v>
      </c>
      <c r="Q375" s="7">
        <v>6</v>
      </c>
      <c r="R375" s="7">
        <v>4</v>
      </c>
      <c r="S375" s="7">
        <v>6</v>
      </c>
      <c r="T375" s="5">
        <f t="shared" si="108"/>
        <v>1074</v>
      </c>
      <c r="U375" s="6">
        <f t="shared" si="118"/>
        <v>1652</v>
      </c>
      <c r="V375" s="6">
        <f t="shared" si="119"/>
        <v>1667</v>
      </c>
      <c r="W375" s="6">
        <f t="shared" si="117"/>
        <v>1822</v>
      </c>
      <c r="X375" s="5"/>
      <c r="Y375" s="4"/>
      <c r="Z375" s="4"/>
      <c r="AA375" s="4"/>
      <c r="AB375" s="4"/>
    </row>
    <row r="376" spans="1:28" ht="13.15" customHeight="1">
      <c r="A376" s="11">
        <v>362</v>
      </c>
      <c r="B376" s="14">
        <f t="shared" si="109"/>
        <v>45405</v>
      </c>
      <c r="C376" s="9">
        <f t="shared" si="110"/>
        <v>842</v>
      </c>
      <c r="D376" s="8">
        <f t="shared" si="101"/>
        <v>1901</v>
      </c>
      <c r="E376" s="7">
        <f t="shared" si="102"/>
        <v>377</v>
      </c>
      <c r="F376" s="7">
        <f t="shared" si="103"/>
        <v>368</v>
      </c>
      <c r="G376" s="7">
        <f t="shared" si="104"/>
        <v>227</v>
      </c>
      <c r="H376" s="4">
        <f t="shared" si="105"/>
        <v>2366</v>
      </c>
      <c r="I376" s="4">
        <f t="shared" si="106"/>
        <v>2375</v>
      </c>
      <c r="J376" s="4">
        <f t="shared" si="107"/>
        <v>2516</v>
      </c>
      <c r="K376" s="4">
        <f t="shared" si="120"/>
        <v>3000</v>
      </c>
      <c r="L376" s="4">
        <f t="shared" si="121"/>
        <v>3000</v>
      </c>
      <c r="M376" s="4">
        <f t="shared" si="122"/>
        <v>3000</v>
      </c>
      <c r="N376" s="4">
        <f t="shared" si="114"/>
        <v>-634</v>
      </c>
      <c r="O376" s="4">
        <f t="shared" si="115"/>
        <v>-625</v>
      </c>
      <c r="P376" s="4">
        <f t="shared" si="116"/>
        <v>-484</v>
      </c>
      <c r="Q376" s="7">
        <v>6</v>
      </c>
      <c r="R376" s="7">
        <v>2</v>
      </c>
      <c r="S376" s="7">
        <v>6</v>
      </c>
      <c r="T376" s="5">
        <f t="shared" si="108"/>
        <v>1078</v>
      </c>
      <c r="U376" s="6">
        <f t="shared" si="118"/>
        <v>1646</v>
      </c>
      <c r="V376" s="6">
        <f t="shared" si="119"/>
        <v>1665</v>
      </c>
      <c r="W376" s="6">
        <f t="shared" si="117"/>
        <v>1816</v>
      </c>
      <c r="X376" s="5"/>
      <c r="Y376" s="4"/>
      <c r="Z376" s="4"/>
      <c r="AA376" s="4"/>
      <c r="AB376" s="4"/>
    </row>
    <row r="377" spans="1:28" ht="13.15" customHeight="1">
      <c r="A377" s="11">
        <v>363</v>
      </c>
      <c r="B377" s="14">
        <f t="shared" si="109"/>
        <v>45406</v>
      </c>
      <c r="C377" s="9">
        <f t="shared" si="110"/>
        <v>842</v>
      </c>
      <c r="D377" s="8">
        <f t="shared" si="101"/>
        <v>1903</v>
      </c>
      <c r="E377" s="7">
        <f t="shared" si="102"/>
        <v>383</v>
      </c>
      <c r="F377" s="7">
        <f t="shared" si="103"/>
        <v>372</v>
      </c>
      <c r="G377" s="7">
        <f t="shared" si="104"/>
        <v>233</v>
      </c>
      <c r="H377" s="4">
        <f t="shared" si="105"/>
        <v>2362</v>
      </c>
      <c r="I377" s="4">
        <f t="shared" si="106"/>
        <v>2373</v>
      </c>
      <c r="J377" s="4">
        <f t="shared" si="107"/>
        <v>2512</v>
      </c>
      <c r="K377" s="4">
        <f t="shared" si="120"/>
        <v>3000</v>
      </c>
      <c r="L377" s="4">
        <f t="shared" si="121"/>
        <v>3000</v>
      </c>
      <c r="M377" s="4">
        <f t="shared" si="122"/>
        <v>3000</v>
      </c>
      <c r="N377" s="4">
        <f t="shared" si="114"/>
        <v>-638</v>
      </c>
      <c r="O377" s="4">
        <f t="shared" si="115"/>
        <v>-627</v>
      </c>
      <c r="P377" s="4">
        <f t="shared" si="116"/>
        <v>-488</v>
      </c>
      <c r="Q377" s="7">
        <v>4</v>
      </c>
      <c r="R377" s="7">
        <v>2</v>
      </c>
      <c r="S377" s="7">
        <v>4</v>
      </c>
      <c r="T377" s="5">
        <f t="shared" si="108"/>
        <v>1082</v>
      </c>
      <c r="U377" s="6">
        <f t="shared" si="118"/>
        <v>1642</v>
      </c>
      <c r="V377" s="6">
        <f t="shared" si="119"/>
        <v>1663</v>
      </c>
      <c r="W377" s="6">
        <f t="shared" si="117"/>
        <v>1812</v>
      </c>
      <c r="X377" s="5"/>
      <c r="Y377" s="4"/>
      <c r="Z377" s="4"/>
      <c r="AA377" s="4"/>
      <c r="AB377" s="4"/>
    </row>
    <row r="378" spans="1:28" ht="13.15" customHeight="1">
      <c r="A378" s="11">
        <v>364</v>
      </c>
      <c r="B378" s="14">
        <f t="shared" si="109"/>
        <v>45407</v>
      </c>
      <c r="C378" s="9">
        <f t="shared" si="110"/>
        <v>842</v>
      </c>
      <c r="D378" s="8">
        <f t="shared" si="101"/>
        <v>1905</v>
      </c>
      <c r="E378" s="7">
        <f t="shared" si="102"/>
        <v>385</v>
      </c>
      <c r="F378" s="7">
        <f t="shared" si="103"/>
        <v>374</v>
      </c>
      <c r="G378" s="7">
        <f t="shared" si="104"/>
        <v>235</v>
      </c>
      <c r="H378" s="4">
        <f t="shared" si="105"/>
        <v>2362</v>
      </c>
      <c r="I378" s="4">
        <f t="shared" si="106"/>
        <v>2373</v>
      </c>
      <c r="J378" s="4">
        <f t="shared" si="107"/>
        <v>2512</v>
      </c>
      <c r="K378" s="4">
        <f t="shared" si="120"/>
        <v>3000</v>
      </c>
      <c r="L378" s="4">
        <f t="shared" si="121"/>
        <v>3000</v>
      </c>
      <c r="M378" s="4">
        <f t="shared" si="122"/>
        <v>3000</v>
      </c>
      <c r="N378" s="4">
        <f t="shared" si="114"/>
        <v>-638</v>
      </c>
      <c r="O378" s="4">
        <f t="shared" si="115"/>
        <v>-627</v>
      </c>
      <c r="P378" s="4">
        <f t="shared" si="116"/>
        <v>-488</v>
      </c>
      <c r="Q378" s="7">
        <v>0</v>
      </c>
      <c r="R378" s="7">
        <v>0</v>
      </c>
      <c r="S378" s="7">
        <v>0</v>
      </c>
      <c r="T378" s="5">
        <f t="shared" si="108"/>
        <v>1084</v>
      </c>
      <c r="U378" s="6">
        <f t="shared" si="118"/>
        <v>1642</v>
      </c>
      <c r="V378" s="6">
        <f t="shared" si="119"/>
        <v>1663</v>
      </c>
      <c r="W378" s="6">
        <f t="shared" si="117"/>
        <v>1812</v>
      </c>
      <c r="X378" s="5"/>
      <c r="Y378" s="4"/>
      <c r="Z378" s="4"/>
      <c r="AA378" s="4"/>
      <c r="AB378" s="4"/>
    </row>
    <row r="379" spans="1:28" ht="13.15" customHeight="1">
      <c r="A379" s="11">
        <v>365</v>
      </c>
      <c r="B379" s="14">
        <f t="shared" si="109"/>
        <v>45408</v>
      </c>
      <c r="C379" s="9">
        <f t="shared" si="110"/>
        <v>842</v>
      </c>
      <c r="D379" s="8">
        <f t="shared" si="101"/>
        <v>1907</v>
      </c>
      <c r="E379" s="7">
        <f t="shared" si="102"/>
        <v>387</v>
      </c>
      <c r="F379" s="7">
        <f t="shared" si="103"/>
        <v>376</v>
      </c>
      <c r="G379" s="7">
        <f t="shared" si="104"/>
        <v>237</v>
      </c>
      <c r="H379" s="4">
        <f t="shared" si="105"/>
        <v>2362</v>
      </c>
      <c r="I379" s="4">
        <f t="shared" si="106"/>
        <v>2373</v>
      </c>
      <c r="J379" s="4">
        <f t="shared" si="107"/>
        <v>2512</v>
      </c>
      <c r="K379" s="4">
        <f t="shared" si="120"/>
        <v>3000</v>
      </c>
      <c r="L379" s="4">
        <f t="shared" si="121"/>
        <v>3000</v>
      </c>
      <c r="M379" s="4">
        <f t="shared" si="122"/>
        <v>3000</v>
      </c>
      <c r="N379" s="4">
        <f t="shared" si="114"/>
        <v>-638</v>
      </c>
      <c r="O379" s="4">
        <f t="shared" si="115"/>
        <v>-627</v>
      </c>
      <c r="P379" s="4">
        <f t="shared" si="116"/>
        <v>-488</v>
      </c>
      <c r="Q379" s="7">
        <v>0</v>
      </c>
      <c r="R379" s="7">
        <v>0</v>
      </c>
      <c r="S379" s="7">
        <v>0</v>
      </c>
      <c r="T379" s="5">
        <f t="shared" si="108"/>
        <v>1086</v>
      </c>
      <c r="U379" s="6">
        <f t="shared" si="118"/>
        <v>1642</v>
      </c>
      <c r="V379" s="6">
        <f t="shared" si="119"/>
        <v>1663</v>
      </c>
      <c r="W379" s="6">
        <f t="shared" si="117"/>
        <v>1812</v>
      </c>
      <c r="X379" s="5"/>
      <c r="Y379" s="4"/>
      <c r="Z379" s="4"/>
      <c r="AA379" s="4"/>
      <c r="AB379" s="4"/>
    </row>
    <row r="380" spans="1:28" ht="13.15" customHeight="1">
      <c r="A380" s="11">
        <v>366</v>
      </c>
      <c r="B380" s="14">
        <f t="shared" si="109"/>
        <v>45409</v>
      </c>
      <c r="C380" s="9">
        <f t="shared" si="110"/>
        <v>842</v>
      </c>
      <c r="D380" s="8">
        <f t="shared" si="101"/>
        <v>1909</v>
      </c>
      <c r="E380" s="7">
        <f t="shared" si="102"/>
        <v>389</v>
      </c>
      <c r="F380" s="7">
        <f t="shared" si="103"/>
        <v>378</v>
      </c>
      <c r="G380" s="7">
        <f t="shared" si="104"/>
        <v>239</v>
      </c>
      <c r="H380" s="4">
        <f t="shared" si="105"/>
        <v>2362</v>
      </c>
      <c r="I380" s="4">
        <f t="shared" si="106"/>
        <v>2373</v>
      </c>
      <c r="J380" s="4">
        <f t="shared" si="107"/>
        <v>2512</v>
      </c>
      <c r="K380" s="4">
        <f t="shared" si="120"/>
        <v>3000</v>
      </c>
      <c r="L380" s="4">
        <f t="shared" si="121"/>
        <v>3000</v>
      </c>
      <c r="M380" s="4">
        <f t="shared" si="122"/>
        <v>3000</v>
      </c>
      <c r="N380" s="4">
        <f t="shared" si="114"/>
        <v>-638</v>
      </c>
      <c r="O380" s="4">
        <f t="shared" si="115"/>
        <v>-627</v>
      </c>
      <c r="P380" s="4">
        <f t="shared" si="116"/>
        <v>-488</v>
      </c>
      <c r="Q380" s="7">
        <v>0</v>
      </c>
      <c r="R380" s="7">
        <v>0</v>
      </c>
      <c r="S380" s="7">
        <v>0</v>
      </c>
      <c r="T380" s="5">
        <f t="shared" si="108"/>
        <v>1088</v>
      </c>
      <c r="U380" s="6">
        <f t="shared" si="118"/>
        <v>1642</v>
      </c>
      <c r="V380" s="6">
        <f t="shared" si="119"/>
        <v>1663</v>
      </c>
      <c r="W380" s="6">
        <f t="shared" si="117"/>
        <v>1812</v>
      </c>
      <c r="X380" s="5"/>
      <c r="Y380" s="4"/>
      <c r="Z380" s="4"/>
      <c r="AA380" s="4"/>
      <c r="AB380" s="4"/>
    </row>
    <row r="381" spans="1:28" ht="13.15" customHeight="1">
      <c r="A381" s="11">
        <v>367</v>
      </c>
      <c r="B381" s="14">
        <f t="shared" si="109"/>
        <v>45410</v>
      </c>
      <c r="C381" s="9">
        <f t="shared" si="110"/>
        <v>842</v>
      </c>
      <c r="D381" s="8">
        <f t="shared" si="101"/>
        <v>1911</v>
      </c>
      <c r="E381" s="7">
        <f t="shared" si="102"/>
        <v>391</v>
      </c>
      <c r="F381" s="7">
        <f t="shared" si="103"/>
        <v>380</v>
      </c>
      <c r="G381" s="7">
        <f t="shared" si="104"/>
        <v>241</v>
      </c>
      <c r="H381" s="4">
        <f t="shared" si="105"/>
        <v>2362</v>
      </c>
      <c r="I381" s="4">
        <f t="shared" si="106"/>
        <v>2373</v>
      </c>
      <c r="J381" s="4">
        <f t="shared" si="107"/>
        <v>2512</v>
      </c>
      <c r="K381" s="4">
        <f t="shared" si="120"/>
        <v>3000</v>
      </c>
      <c r="L381" s="4">
        <f t="shared" si="121"/>
        <v>3000</v>
      </c>
      <c r="M381" s="4">
        <f t="shared" si="122"/>
        <v>3000</v>
      </c>
      <c r="N381" s="4">
        <f t="shared" si="114"/>
        <v>-638</v>
      </c>
      <c r="O381" s="4">
        <f t="shared" si="115"/>
        <v>-627</v>
      </c>
      <c r="P381" s="4">
        <f t="shared" si="116"/>
        <v>-488</v>
      </c>
      <c r="Q381" s="7">
        <v>0</v>
      </c>
      <c r="R381" s="7">
        <v>0</v>
      </c>
      <c r="S381" s="7">
        <v>0</v>
      </c>
      <c r="T381" s="5">
        <f t="shared" si="108"/>
        <v>1090</v>
      </c>
      <c r="U381" s="6">
        <f t="shared" si="118"/>
        <v>1642</v>
      </c>
      <c r="V381" s="6">
        <f t="shared" si="119"/>
        <v>1663</v>
      </c>
      <c r="W381" s="6">
        <f t="shared" si="117"/>
        <v>1812</v>
      </c>
      <c r="X381" s="5"/>
      <c r="Y381" s="4"/>
      <c r="Z381" s="4"/>
      <c r="AA381" s="4"/>
      <c r="AB381" s="4"/>
    </row>
    <row r="382" spans="1:28" ht="13.15" customHeight="1">
      <c r="A382" s="11">
        <v>368</v>
      </c>
      <c r="B382" s="14">
        <f t="shared" si="109"/>
        <v>45411</v>
      </c>
      <c r="C382" s="9">
        <f t="shared" si="110"/>
        <v>842</v>
      </c>
      <c r="D382" s="8">
        <f t="shared" si="101"/>
        <v>1913</v>
      </c>
      <c r="E382" s="7">
        <f t="shared" si="102"/>
        <v>393</v>
      </c>
      <c r="F382" s="7">
        <f t="shared" si="103"/>
        <v>382</v>
      </c>
      <c r="G382" s="7">
        <f t="shared" si="104"/>
        <v>243</v>
      </c>
      <c r="H382" s="4">
        <f t="shared" si="105"/>
        <v>2362</v>
      </c>
      <c r="I382" s="4">
        <f t="shared" si="106"/>
        <v>2373</v>
      </c>
      <c r="J382" s="4">
        <f t="shared" si="107"/>
        <v>2512</v>
      </c>
      <c r="K382" s="4">
        <f t="shared" si="120"/>
        <v>3000</v>
      </c>
      <c r="L382" s="4">
        <f t="shared" si="121"/>
        <v>3000</v>
      </c>
      <c r="M382" s="4">
        <f t="shared" si="122"/>
        <v>3000</v>
      </c>
      <c r="N382" s="4">
        <f t="shared" si="114"/>
        <v>-638</v>
      </c>
      <c r="O382" s="4">
        <f t="shared" si="115"/>
        <v>-627</v>
      </c>
      <c r="P382" s="4">
        <f t="shared" si="116"/>
        <v>-488</v>
      </c>
      <c r="Q382" s="7">
        <v>0</v>
      </c>
      <c r="R382" s="7">
        <v>0</v>
      </c>
      <c r="S382" s="7">
        <v>0</v>
      </c>
      <c r="T382" s="5">
        <f t="shared" si="108"/>
        <v>1092</v>
      </c>
      <c r="U382" s="6">
        <f t="shared" si="118"/>
        <v>1642</v>
      </c>
      <c r="V382" s="6">
        <f t="shared" si="119"/>
        <v>1663</v>
      </c>
      <c r="W382" s="6">
        <f t="shared" si="117"/>
        <v>1812</v>
      </c>
      <c r="X382" s="5"/>
      <c r="Y382" s="4"/>
      <c r="Z382" s="4"/>
      <c r="AA382" s="4"/>
      <c r="AB382" s="4"/>
    </row>
    <row r="383" spans="1:28" ht="13.15" customHeight="1">
      <c r="A383" s="11">
        <v>369</v>
      </c>
      <c r="B383" s="14">
        <f t="shared" si="109"/>
        <v>45412</v>
      </c>
      <c r="C383" s="9">
        <f t="shared" si="110"/>
        <v>842</v>
      </c>
      <c r="D383" s="8">
        <f t="shared" ref="D383:D446" si="123">D382+2</f>
        <v>1915</v>
      </c>
      <c r="E383" s="7">
        <f t="shared" si="102"/>
        <v>395</v>
      </c>
      <c r="F383" s="7">
        <f t="shared" si="103"/>
        <v>384</v>
      </c>
      <c r="G383" s="7">
        <f t="shared" si="104"/>
        <v>245</v>
      </c>
      <c r="H383" s="4">
        <f t="shared" si="105"/>
        <v>2362</v>
      </c>
      <c r="I383" s="4">
        <f t="shared" si="106"/>
        <v>2373</v>
      </c>
      <c r="J383" s="4">
        <f t="shared" si="107"/>
        <v>2512</v>
      </c>
      <c r="K383" s="4">
        <f t="shared" si="120"/>
        <v>3000</v>
      </c>
      <c r="L383" s="4">
        <f t="shared" si="121"/>
        <v>3000</v>
      </c>
      <c r="M383" s="4">
        <f t="shared" si="122"/>
        <v>3000</v>
      </c>
      <c r="N383" s="4">
        <f t="shared" si="114"/>
        <v>-638</v>
      </c>
      <c r="O383" s="4">
        <f t="shared" si="115"/>
        <v>-627</v>
      </c>
      <c r="P383" s="4">
        <f t="shared" si="116"/>
        <v>-488</v>
      </c>
      <c r="Q383" s="7">
        <v>0</v>
      </c>
      <c r="R383" s="7">
        <v>0</v>
      </c>
      <c r="S383" s="7">
        <v>0</v>
      </c>
      <c r="T383" s="5">
        <f t="shared" si="108"/>
        <v>1094</v>
      </c>
      <c r="U383" s="6">
        <f t="shared" si="118"/>
        <v>1642</v>
      </c>
      <c r="V383" s="6">
        <f t="shared" si="119"/>
        <v>1663</v>
      </c>
      <c r="W383" s="6">
        <f t="shared" si="117"/>
        <v>1812</v>
      </c>
      <c r="X383" s="5"/>
      <c r="Y383" s="4"/>
      <c r="Z383" s="4"/>
      <c r="AA383" s="4"/>
      <c r="AB383" s="4"/>
    </row>
    <row r="384" spans="1:28" ht="13.15" customHeight="1">
      <c r="A384" s="11">
        <v>370</v>
      </c>
      <c r="B384" s="14">
        <f t="shared" si="109"/>
        <v>45413</v>
      </c>
      <c r="C384" s="9">
        <f t="shared" si="110"/>
        <v>842</v>
      </c>
      <c r="D384" s="8">
        <f t="shared" si="123"/>
        <v>1917</v>
      </c>
      <c r="E384" s="7">
        <f t="shared" si="102"/>
        <v>397</v>
      </c>
      <c r="F384" s="7">
        <f t="shared" si="103"/>
        <v>386</v>
      </c>
      <c r="G384" s="7">
        <f t="shared" si="104"/>
        <v>247</v>
      </c>
      <c r="H384" s="4">
        <f t="shared" si="105"/>
        <v>2362</v>
      </c>
      <c r="I384" s="4">
        <f t="shared" si="106"/>
        <v>2373</v>
      </c>
      <c r="J384" s="4">
        <f t="shared" si="107"/>
        <v>2512</v>
      </c>
      <c r="K384" s="4">
        <f t="shared" si="120"/>
        <v>3000</v>
      </c>
      <c r="L384" s="4">
        <f t="shared" si="121"/>
        <v>3000</v>
      </c>
      <c r="M384" s="4">
        <f t="shared" si="122"/>
        <v>3000</v>
      </c>
      <c r="N384" s="4">
        <f t="shared" si="114"/>
        <v>-638</v>
      </c>
      <c r="O384" s="4">
        <f t="shared" si="115"/>
        <v>-627</v>
      </c>
      <c r="P384" s="4">
        <f t="shared" si="116"/>
        <v>-488</v>
      </c>
      <c r="Q384" s="7">
        <v>0</v>
      </c>
      <c r="R384" s="7">
        <v>0</v>
      </c>
      <c r="S384" s="7">
        <v>0</v>
      </c>
      <c r="T384" s="5">
        <f t="shared" si="108"/>
        <v>1096</v>
      </c>
      <c r="U384" s="6">
        <f t="shared" si="118"/>
        <v>1642</v>
      </c>
      <c r="V384" s="6">
        <f t="shared" si="119"/>
        <v>1663</v>
      </c>
      <c r="W384" s="6">
        <f t="shared" si="117"/>
        <v>1812</v>
      </c>
      <c r="X384" s="5"/>
      <c r="Y384" s="4"/>
      <c r="Z384" s="4"/>
      <c r="AA384" s="4"/>
      <c r="AB384" s="4"/>
    </row>
    <row r="385" spans="1:28" ht="13.15" customHeight="1">
      <c r="A385" s="11">
        <v>371</v>
      </c>
      <c r="B385" s="14">
        <f t="shared" si="109"/>
        <v>45414</v>
      </c>
      <c r="C385" s="9">
        <f t="shared" si="110"/>
        <v>842</v>
      </c>
      <c r="D385" s="8">
        <f t="shared" si="123"/>
        <v>1919</v>
      </c>
      <c r="E385" s="7">
        <f t="shared" si="102"/>
        <v>399</v>
      </c>
      <c r="F385" s="7">
        <f t="shared" si="103"/>
        <v>388</v>
      </c>
      <c r="G385" s="7">
        <f t="shared" si="104"/>
        <v>249</v>
      </c>
      <c r="H385" s="4">
        <f t="shared" si="105"/>
        <v>2362</v>
      </c>
      <c r="I385" s="4">
        <f t="shared" si="106"/>
        <v>2373</v>
      </c>
      <c r="J385" s="4">
        <f t="shared" si="107"/>
        <v>2512</v>
      </c>
      <c r="K385" s="4">
        <f t="shared" si="120"/>
        <v>3000</v>
      </c>
      <c r="L385" s="4">
        <f t="shared" si="121"/>
        <v>3000</v>
      </c>
      <c r="M385" s="4">
        <f t="shared" si="122"/>
        <v>3000</v>
      </c>
      <c r="N385" s="4">
        <f t="shared" si="114"/>
        <v>-638</v>
      </c>
      <c r="O385" s="4">
        <f t="shared" si="115"/>
        <v>-627</v>
      </c>
      <c r="P385" s="4">
        <f t="shared" si="116"/>
        <v>-488</v>
      </c>
      <c r="Q385" s="7">
        <v>0</v>
      </c>
      <c r="R385" s="7">
        <v>0</v>
      </c>
      <c r="S385" s="7">
        <v>0</v>
      </c>
      <c r="T385" s="5">
        <f t="shared" si="108"/>
        <v>1098</v>
      </c>
      <c r="U385" s="6">
        <f t="shared" si="118"/>
        <v>1642</v>
      </c>
      <c r="V385" s="6">
        <f t="shared" si="119"/>
        <v>1663</v>
      </c>
      <c r="W385" s="6">
        <f t="shared" si="117"/>
        <v>1812</v>
      </c>
      <c r="X385" s="5"/>
      <c r="Y385" s="4"/>
      <c r="Z385" s="4"/>
      <c r="AA385" s="4"/>
      <c r="AB385" s="4"/>
    </row>
    <row r="386" spans="1:28" ht="13.15" customHeight="1">
      <c r="A386" s="11">
        <v>372</v>
      </c>
      <c r="B386" s="14">
        <f t="shared" si="109"/>
        <v>45415</v>
      </c>
      <c r="C386" s="9">
        <f t="shared" si="110"/>
        <v>842</v>
      </c>
      <c r="D386" s="8">
        <f t="shared" si="123"/>
        <v>1921</v>
      </c>
      <c r="E386" s="7">
        <f t="shared" si="102"/>
        <v>401</v>
      </c>
      <c r="F386" s="7">
        <f t="shared" si="103"/>
        <v>390</v>
      </c>
      <c r="G386" s="7">
        <f t="shared" si="104"/>
        <v>251</v>
      </c>
      <c r="H386" s="4">
        <f t="shared" si="105"/>
        <v>2362</v>
      </c>
      <c r="I386" s="4">
        <f t="shared" si="106"/>
        <v>2373</v>
      </c>
      <c r="J386" s="4">
        <f t="shared" si="107"/>
        <v>2512</v>
      </c>
      <c r="K386" s="4">
        <f t="shared" si="120"/>
        <v>3000</v>
      </c>
      <c r="L386" s="4">
        <f t="shared" si="121"/>
        <v>3000</v>
      </c>
      <c r="M386" s="4">
        <f t="shared" si="122"/>
        <v>3000</v>
      </c>
      <c r="N386" s="4">
        <f t="shared" si="114"/>
        <v>-638</v>
      </c>
      <c r="O386" s="4">
        <f t="shared" si="115"/>
        <v>-627</v>
      </c>
      <c r="P386" s="4">
        <f t="shared" si="116"/>
        <v>-488</v>
      </c>
      <c r="Q386" s="7">
        <v>0</v>
      </c>
      <c r="R386" s="7">
        <v>0</v>
      </c>
      <c r="S386" s="7">
        <v>0</v>
      </c>
      <c r="T386" s="5">
        <f t="shared" si="108"/>
        <v>1100</v>
      </c>
      <c r="U386" s="6">
        <f t="shared" si="118"/>
        <v>1642</v>
      </c>
      <c r="V386" s="6">
        <f t="shared" si="119"/>
        <v>1663</v>
      </c>
      <c r="W386" s="6">
        <f t="shared" si="117"/>
        <v>1812</v>
      </c>
      <c r="X386" s="5"/>
      <c r="Y386" s="4"/>
      <c r="Z386" s="4"/>
      <c r="AA386" s="4"/>
      <c r="AB386" s="4"/>
    </row>
    <row r="387" spans="1:28" ht="13.15" customHeight="1">
      <c r="A387" s="11">
        <v>373</v>
      </c>
      <c r="B387" s="14">
        <f t="shared" si="109"/>
        <v>45416</v>
      </c>
      <c r="C387" s="9">
        <f t="shared" si="110"/>
        <v>842</v>
      </c>
      <c r="D387" s="8">
        <f t="shared" si="123"/>
        <v>1923</v>
      </c>
      <c r="E387" s="7">
        <f t="shared" si="102"/>
        <v>403</v>
      </c>
      <c r="F387" s="7">
        <f t="shared" si="103"/>
        <v>392</v>
      </c>
      <c r="G387" s="7">
        <f t="shared" si="104"/>
        <v>253</v>
      </c>
      <c r="H387" s="4">
        <f t="shared" si="105"/>
        <v>2362</v>
      </c>
      <c r="I387" s="4">
        <f t="shared" si="106"/>
        <v>2373</v>
      </c>
      <c r="J387" s="4">
        <f t="shared" si="107"/>
        <v>2512</v>
      </c>
      <c r="K387" s="4">
        <f t="shared" si="120"/>
        <v>3000</v>
      </c>
      <c r="L387" s="4">
        <f t="shared" si="121"/>
        <v>3000</v>
      </c>
      <c r="M387" s="4">
        <f t="shared" si="122"/>
        <v>3000</v>
      </c>
      <c r="N387" s="4">
        <f t="shared" si="114"/>
        <v>-638</v>
      </c>
      <c r="O387" s="4">
        <f t="shared" si="115"/>
        <v>-627</v>
      </c>
      <c r="P387" s="4">
        <f t="shared" si="116"/>
        <v>-488</v>
      </c>
      <c r="Q387" s="7">
        <v>0</v>
      </c>
      <c r="R387" s="7">
        <v>0</v>
      </c>
      <c r="S387" s="7">
        <v>0</v>
      </c>
      <c r="T387" s="5">
        <f t="shared" si="108"/>
        <v>1102</v>
      </c>
      <c r="U387" s="6">
        <f t="shared" si="118"/>
        <v>1642</v>
      </c>
      <c r="V387" s="6">
        <f t="shared" si="119"/>
        <v>1663</v>
      </c>
      <c r="W387" s="6">
        <f t="shared" si="117"/>
        <v>1812</v>
      </c>
      <c r="X387" s="5"/>
      <c r="Y387" s="4"/>
      <c r="Z387" s="4"/>
      <c r="AA387" s="4"/>
      <c r="AB387" s="4"/>
    </row>
    <row r="388" spans="1:28" ht="13.15" customHeight="1">
      <c r="A388" s="11">
        <v>374</v>
      </c>
      <c r="B388" s="14">
        <f t="shared" si="109"/>
        <v>45417</v>
      </c>
      <c r="C388" s="9">
        <f t="shared" si="110"/>
        <v>842</v>
      </c>
      <c r="D388" s="8">
        <f t="shared" si="123"/>
        <v>1925</v>
      </c>
      <c r="E388" s="7">
        <f t="shared" si="102"/>
        <v>405</v>
      </c>
      <c r="F388" s="7">
        <f t="shared" si="103"/>
        <v>394</v>
      </c>
      <c r="G388" s="7">
        <f t="shared" si="104"/>
        <v>255</v>
      </c>
      <c r="H388" s="4">
        <f t="shared" si="105"/>
        <v>2362</v>
      </c>
      <c r="I388" s="4">
        <f t="shared" si="106"/>
        <v>2373</v>
      </c>
      <c r="J388" s="4">
        <f t="shared" si="107"/>
        <v>2512</v>
      </c>
      <c r="K388" s="4">
        <f t="shared" si="120"/>
        <v>3000</v>
      </c>
      <c r="L388" s="4">
        <f t="shared" si="121"/>
        <v>3000</v>
      </c>
      <c r="M388" s="4">
        <f t="shared" si="122"/>
        <v>3000</v>
      </c>
      <c r="N388" s="4">
        <f t="shared" si="114"/>
        <v>-638</v>
      </c>
      <c r="O388" s="4">
        <f t="shared" si="115"/>
        <v>-627</v>
      </c>
      <c r="P388" s="4">
        <f t="shared" si="116"/>
        <v>-488</v>
      </c>
      <c r="Q388" s="7">
        <v>0</v>
      </c>
      <c r="R388" s="7">
        <v>0</v>
      </c>
      <c r="S388" s="7">
        <v>0</v>
      </c>
      <c r="T388" s="5">
        <f t="shared" si="108"/>
        <v>1104</v>
      </c>
      <c r="U388" s="6">
        <f t="shared" si="118"/>
        <v>1642</v>
      </c>
      <c r="V388" s="6">
        <f t="shared" si="119"/>
        <v>1663</v>
      </c>
      <c r="W388" s="6">
        <f t="shared" si="117"/>
        <v>1812</v>
      </c>
      <c r="X388" s="5"/>
      <c r="Y388" s="4"/>
      <c r="Z388" s="4"/>
      <c r="AA388" s="4"/>
      <c r="AB388" s="4"/>
    </row>
    <row r="389" spans="1:28" ht="13.15" customHeight="1">
      <c r="A389" s="11">
        <v>375</v>
      </c>
      <c r="B389" s="14">
        <f t="shared" si="109"/>
        <v>45418</v>
      </c>
      <c r="C389" s="9">
        <f t="shared" si="110"/>
        <v>842</v>
      </c>
      <c r="D389" s="8">
        <f t="shared" si="123"/>
        <v>1927</v>
      </c>
      <c r="E389" s="7">
        <f t="shared" si="102"/>
        <v>407</v>
      </c>
      <c r="F389" s="7">
        <f t="shared" si="103"/>
        <v>396</v>
      </c>
      <c r="G389" s="7">
        <f t="shared" si="104"/>
        <v>257</v>
      </c>
      <c r="H389" s="4">
        <f t="shared" si="105"/>
        <v>2362</v>
      </c>
      <c r="I389" s="4">
        <f t="shared" si="106"/>
        <v>2373</v>
      </c>
      <c r="J389" s="4">
        <f t="shared" si="107"/>
        <v>2512</v>
      </c>
      <c r="K389" s="4">
        <f t="shared" si="120"/>
        <v>3000</v>
      </c>
      <c r="L389" s="4">
        <f t="shared" si="121"/>
        <v>3000</v>
      </c>
      <c r="M389" s="4">
        <f t="shared" si="122"/>
        <v>3000</v>
      </c>
      <c r="N389" s="4">
        <f t="shared" si="114"/>
        <v>-638</v>
      </c>
      <c r="O389" s="4">
        <f t="shared" si="115"/>
        <v>-627</v>
      </c>
      <c r="P389" s="4">
        <f t="shared" si="116"/>
        <v>-488</v>
      </c>
      <c r="Q389" s="7">
        <v>0</v>
      </c>
      <c r="R389" s="7">
        <v>0</v>
      </c>
      <c r="S389" s="7">
        <v>0</v>
      </c>
      <c r="T389" s="5">
        <f t="shared" si="108"/>
        <v>1106</v>
      </c>
      <c r="U389" s="6">
        <f t="shared" si="118"/>
        <v>1642</v>
      </c>
      <c r="V389" s="6">
        <f t="shared" si="119"/>
        <v>1663</v>
      </c>
      <c r="W389" s="6">
        <f t="shared" si="117"/>
        <v>1812</v>
      </c>
      <c r="X389" s="5"/>
      <c r="Y389" s="4"/>
      <c r="Z389" s="4"/>
      <c r="AA389" s="4"/>
      <c r="AB389" s="4"/>
    </row>
    <row r="390" spans="1:28" ht="13.15" customHeight="1">
      <c r="A390" s="11">
        <v>376</v>
      </c>
      <c r="B390" s="14">
        <f t="shared" si="109"/>
        <v>45419</v>
      </c>
      <c r="C390" s="9">
        <f t="shared" si="110"/>
        <v>842</v>
      </c>
      <c r="D390" s="8">
        <f t="shared" si="123"/>
        <v>1929</v>
      </c>
      <c r="E390" s="7">
        <f t="shared" si="102"/>
        <v>409</v>
      </c>
      <c r="F390" s="7">
        <f t="shared" si="103"/>
        <v>398</v>
      </c>
      <c r="G390" s="7">
        <f t="shared" si="104"/>
        <v>259</v>
      </c>
      <c r="H390" s="4">
        <f t="shared" si="105"/>
        <v>2362</v>
      </c>
      <c r="I390" s="4">
        <f t="shared" si="106"/>
        <v>2373</v>
      </c>
      <c r="J390" s="4">
        <f t="shared" si="107"/>
        <v>2512</v>
      </c>
      <c r="K390" s="4">
        <f t="shared" si="120"/>
        <v>3000</v>
      </c>
      <c r="L390" s="4">
        <f t="shared" si="121"/>
        <v>3000</v>
      </c>
      <c r="M390" s="4">
        <f t="shared" si="122"/>
        <v>3000</v>
      </c>
      <c r="N390" s="4">
        <f t="shared" si="114"/>
        <v>-638</v>
      </c>
      <c r="O390" s="4">
        <f t="shared" si="115"/>
        <v>-627</v>
      </c>
      <c r="P390" s="4">
        <f t="shared" si="116"/>
        <v>-488</v>
      </c>
      <c r="Q390" s="7">
        <v>0</v>
      </c>
      <c r="R390" s="7">
        <v>0</v>
      </c>
      <c r="S390" s="7">
        <v>0</v>
      </c>
      <c r="T390" s="5">
        <f t="shared" si="108"/>
        <v>1108</v>
      </c>
      <c r="U390" s="6">
        <f t="shared" si="118"/>
        <v>1642</v>
      </c>
      <c r="V390" s="6">
        <f t="shared" si="119"/>
        <v>1663</v>
      </c>
      <c r="W390" s="6">
        <f t="shared" si="117"/>
        <v>1812</v>
      </c>
      <c r="X390" s="5"/>
      <c r="Y390" s="4"/>
      <c r="Z390" s="4"/>
      <c r="AA390" s="4"/>
      <c r="AB390" s="4"/>
    </row>
    <row r="391" spans="1:28" ht="13.15" customHeight="1">
      <c r="A391" s="11">
        <v>377</v>
      </c>
      <c r="B391" s="14">
        <f t="shared" si="109"/>
        <v>45420</v>
      </c>
      <c r="C391" s="9">
        <f t="shared" si="110"/>
        <v>842</v>
      </c>
      <c r="D391" s="8">
        <f t="shared" si="123"/>
        <v>1931</v>
      </c>
      <c r="E391" s="7">
        <f t="shared" si="102"/>
        <v>411</v>
      </c>
      <c r="F391" s="7">
        <f t="shared" si="103"/>
        <v>400</v>
      </c>
      <c r="G391" s="7">
        <f t="shared" si="104"/>
        <v>261</v>
      </c>
      <c r="H391" s="4">
        <f t="shared" si="105"/>
        <v>2362</v>
      </c>
      <c r="I391" s="4">
        <f t="shared" si="106"/>
        <v>2373</v>
      </c>
      <c r="J391" s="4">
        <f t="shared" si="107"/>
        <v>2512</v>
      </c>
      <c r="K391" s="4">
        <f t="shared" si="120"/>
        <v>3000</v>
      </c>
      <c r="L391" s="4">
        <f t="shared" si="121"/>
        <v>3000</v>
      </c>
      <c r="M391" s="4">
        <f t="shared" si="122"/>
        <v>3000</v>
      </c>
      <c r="N391" s="4">
        <f t="shared" si="114"/>
        <v>-638</v>
      </c>
      <c r="O391" s="4">
        <f t="shared" si="115"/>
        <v>-627</v>
      </c>
      <c r="P391" s="4">
        <f t="shared" si="116"/>
        <v>-488</v>
      </c>
      <c r="Q391" s="7">
        <v>0</v>
      </c>
      <c r="R391" s="7">
        <v>0</v>
      </c>
      <c r="S391" s="7">
        <v>0</v>
      </c>
      <c r="T391" s="5">
        <f t="shared" si="108"/>
        <v>1110</v>
      </c>
      <c r="U391" s="6">
        <f t="shared" si="118"/>
        <v>1642</v>
      </c>
      <c r="V391" s="6">
        <f t="shared" si="119"/>
        <v>1663</v>
      </c>
      <c r="W391" s="6">
        <f t="shared" si="117"/>
        <v>1812</v>
      </c>
      <c r="X391" s="5"/>
      <c r="Y391" s="4"/>
      <c r="Z391" s="4"/>
      <c r="AA391" s="4"/>
      <c r="AB391" s="4"/>
    </row>
    <row r="392" spans="1:28" ht="13.15" customHeight="1">
      <c r="A392" s="11">
        <v>378</v>
      </c>
      <c r="B392" s="14">
        <f t="shared" si="109"/>
        <v>45421</v>
      </c>
      <c r="C392" s="9">
        <f t="shared" si="110"/>
        <v>842</v>
      </c>
      <c r="D392" s="8">
        <f t="shared" si="123"/>
        <v>1933</v>
      </c>
      <c r="E392" s="7">
        <f t="shared" si="102"/>
        <v>413</v>
      </c>
      <c r="F392" s="7">
        <f t="shared" si="103"/>
        <v>402</v>
      </c>
      <c r="G392" s="7">
        <f t="shared" si="104"/>
        <v>263</v>
      </c>
      <c r="H392" s="4">
        <f t="shared" si="105"/>
        <v>2362</v>
      </c>
      <c r="I392" s="4">
        <f t="shared" si="106"/>
        <v>2373</v>
      </c>
      <c r="J392" s="4">
        <f t="shared" si="107"/>
        <v>2512</v>
      </c>
      <c r="K392" s="4">
        <f t="shared" si="120"/>
        <v>3000</v>
      </c>
      <c r="L392" s="4">
        <f t="shared" si="121"/>
        <v>3000</v>
      </c>
      <c r="M392" s="4">
        <f t="shared" si="122"/>
        <v>3000</v>
      </c>
      <c r="N392" s="4">
        <f t="shared" si="114"/>
        <v>-638</v>
      </c>
      <c r="O392" s="4">
        <f t="shared" si="115"/>
        <v>-627</v>
      </c>
      <c r="P392" s="4">
        <f t="shared" si="116"/>
        <v>-488</v>
      </c>
      <c r="Q392" s="7">
        <v>0</v>
      </c>
      <c r="R392" s="7">
        <v>0</v>
      </c>
      <c r="S392" s="7">
        <v>0</v>
      </c>
      <c r="T392" s="5">
        <f t="shared" si="108"/>
        <v>1112</v>
      </c>
      <c r="U392" s="6">
        <f t="shared" si="118"/>
        <v>1642</v>
      </c>
      <c r="V392" s="6">
        <f t="shared" si="119"/>
        <v>1663</v>
      </c>
      <c r="W392" s="6">
        <f t="shared" si="117"/>
        <v>1812</v>
      </c>
      <c r="X392" s="5"/>
      <c r="Y392" s="4"/>
      <c r="Z392" s="4"/>
      <c r="AA392" s="4"/>
      <c r="AB392" s="4"/>
    </row>
    <row r="393" spans="1:28" ht="13.15" customHeight="1">
      <c r="A393" s="11">
        <v>379</v>
      </c>
      <c r="B393" s="14">
        <f t="shared" si="109"/>
        <v>45422</v>
      </c>
      <c r="C393" s="9">
        <f t="shared" si="110"/>
        <v>842</v>
      </c>
      <c r="D393" s="8">
        <f t="shared" si="123"/>
        <v>1935</v>
      </c>
      <c r="E393" s="7">
        <f t="shared" si="102"/>
        <v>415</v>
      </c>
      <c r="F393" s="7">
        <f t="shared" si="103"/>
        <v>404</v>
      </c>
      <c r="G393" s="7">
        <f t="shared" si="104"/>
        <v>265</v>
      </c>
      <c r="H393" s="4">
        <f t="shared" si="105"/>
        <v>2362</v>
      </c>
      <c r="I393" s="4">
        <f t="shared" si="106"/>
        <v>2373</v>
      </c>
      <c r="J393" s="4">
        <f t="shared" si="107"/>
        <v>2512</v>
      </c>
      <c r="K393" s="4">
        <f t="shared" si="120"/>
        <v>3000</v>
      </c>
      <c r="L393" s="4">
        <f t="shared" si="121"/>
        <v>3000</v>
      </c>
      <c r="M393" s="4">
        <f t="shared" si="122"/>
        <v>3000</v>
      </c>
      <c r="N393" s="4">
        <f t="shared" si="114"/>
        <v>-638</v>
      </c>
      <c r="O393" s="4">
        <f t="shared" si="115"/>
        <v>-627</v>
      </c>
      <c r="P393" s="4">
        <f t="shared" si="116"/>
        <v>-488</v>
      </c>
      <c r="Q393" s="7">
        <v>0</v>
      </c>
      <c r="R393" s="7">
        <v>0</v>
      </c>
      <c r="S393" s="7">
        <v>0</v>
      </c>
      <c r="T393" s="5">
        <f t="shared" si="108"/>
        <v>1114</v>
      </c>
      <c r="U393" s="6">
        <f t="shared" si="118"/>
        <v>1642</v>
      </c>
      <c r="V393" s="6">
        <f t="shared" si="119"/>
        <v>1663</v>
      </c>
      <c r="W393" s="6">
        <f t="shared" si="117"/>
        <v>1812</v>
      </c>
      <c r="X393" s="5"/>
      <c r="Y393" s="4"/>
      <c r="Z393" s="4"/>
      <c r="AA393" s="4"/>
      <c r="AB393" s="4"/>
    </row>
    <row r="394" spans="1:28" ht="13.15" customHeight="1">
      <c r="A394" s="11">
        <v>380</v>
      </c>
      <c r="B394" s="14">
        <f t="shared" si="109"/>
        <v>45423</v>
      </c>
      <c r="C394" s="9">
        <f t="shared" si="110"/>
        <v>842</v>
      </c>
      <c r="D394" s="8">
        <f t="shared" si="123"/>
        <v>1937</v>
      </c>
      <c r="E394" s="7">
        <f t="shared" si="102"/>
        <v>417</v>
      </c>
      <c r="F394" s="7">
        <f t="shared" si="103"/>
        <v>406</v>
      </c>
      <c r="G394" s="7">
        <f t="shared" si="104"/>
        <v>267</v>
      </c>
      <c r="H394" s="4">
        <f t="shared" si="105"/>
        <v>2362</v>
      </c>
      <c r="I394" s="4">
        <f t="shared" si="106"/>
        <v>2373</v>
      </c>
      <c r="J394" s="4">
        <f t="shared" si="107"/>
        <v>2512</v>
      </c>
      <c r="K394" s="4">
        <f t="shared" si="120"/>
        <v>3000</v>
      </c>
      <c r="L394" s="4">
        <f t="shared" si="121"/>
        <v>3000</v>
      </c>
      <c r="M394" s="4">
        <f t="shared" si="122"/>
        <v>3000</v>
      </c>
      <c r="N394" s="4">
        <f t="shared" si="114"/>
        <v>-638</v>
      </c>
      <c r="O394" s="4">
        <f t="shared" si="115"/>
        <v>-627</v>
      </c>
      <c r="P394" s="4">
        <f t="shared" si="116"/>
        <v>-488</v>
      </c>
      <c r="Q394" s="7">
        <v>0</v>
      </c>
      <c r="R394" s="7">
        <v>0</v>
      </c>
      <c r="S394" s="7">
        <v>0</v>
      </c>
      <c r="T394" s="5">
        <f t="shared" si="108"/>
        <v>1116</v>
      </c>
      <c r="U394" s="6">
        <f t="shared" si="118"/>
        <v>1642</v>
      </c>
      <c r="V394" s="6">
        <f t="shared" si="119"/>
        <v>1663</v>
      </c>
      <c r="W394" s="6">
        <f t="shared" si="117"/>
        <v>1812</v>
      </c>
      <c r="X394" s="5"/>
      <c r="Y394" s="4"/>
      <c r="Z394" s="4"/>
      <c r="AA394" s="4"/>
      <c r="AB394" s="4"/>
    </row>
    <row r="395" spans="1:28" ht="13.15" customHeight="1">
      <c r="A395" s="11">
        <v>381</v>
      </c>
      <c r="B395" s="14">
        <f t="shared" si="109"/>
        <v>45424</v>
      </c>
      <c r="C395" s="9">
        <f t="shared" si="110"/>
        <v>842</v>
      </c>
      <c r="D395" s="8">
        <f t="shared" si="123"/>
        <v>1939</v>
      </c>
      <c r="E395" s="7">
        <f t="shared" si="102"/>
        <v>419</v>
      </c>
      <c r="F395" s="7">
        <f t="shared" si="103"/>
        <v>408</v>
      </c>
      <c r="G395" s="7">
        <f t="shared" si="104"/>
        <v>269</v>
      </c>
      <c r="H395" s="4">
        <f t="shared" si="105"/>
        <v>2362</v>
      </c>
      <c r="I395" s="4">
        <f t="shared" si="106"/>
        <v>2373</v>
      </c>
      <c r="J395" s="4">
        <f t="shared" si="107"/>
        <v>2512</v>
      </c>
      <c r="K395" s="4">
        <f t="shared" si="120"/>
        <v>3000</v>
      </c>
      <c r="L395" s="4">
        <f t="shared" si="121"/>
        <v>3000</v>
      </c>
      <c r="M395" s="4">
        <f t="shared" si="122"/>
        <v>3000</v>
      </c>
      <c r="N395" s="4">
        <f t="shared" si="114"/>
        <v>-638</v>
      </c>
      <c r="O395" s="4">
        <f t="shared" si="115"/>
        <v>-627</v>
      </c>
      <c r="P395" s="4">
        <f t="shared" si="116"/>
        <v>-488</v>
      </c>
      <c r="Q395" s="7">
        <v>0</v>
      </c>
      <c r="R395" s="7">
        <v>0</v>
      </c>
      <c r="S395" s="7">
        <v>0</v>
      </c>
      <c r="T395" s="5">
        <f t="shared" si="108"/>
        <v>1118</v>
      </c>
      <c r="U395" s="6">
        <f t="shared" si="118"/>
        <v>1642</v>
      </c>
      <c r="V395" s="6">
        <f t="shared" si="119"/>
        <v>1663</v>
      </c>
      <c r="W395" s="6">
        <f t="shared" si="117"/>
        <v>1812</v>
      </c>
      <c r="X395" s="5"/>
      <c r="Y395" s="4"/>
      <c r="Z395" s="4"/>
      <c r="AA395" s="4"/>
      <c r="AB395" s="4"/>
    </row>
    <row r="396" spans="1:28" ht="13.15" customHeight="1">
      <c r="A396" s="11">
        <v>382</v>
      </c>
      <c r="B396" s="14">
        <f t="shared" si="109"/>
        <v>45425</v>
      </c>
      <c r="C396" s="9">
        <f t="shared" si="110"/>
        <v>842</v>
      </c>
      <c r="D396" s="8">
        <f t="shared" si="123"/>
        <v>1941</v>
      </c>
      <c r="E396" s="7">
        <f t="shared" si="102"/>
        <v>421</v>
      </c>
      <c r="F396" s="7">
        <f t="shared" si="103"/>
        <v>410</v>
      </c>
      <c r="G396" s="7">
        <f t="shared" si="104"/>
        <v>271</v>
      </c>
      <c r="H396" s="4">
        <f t="shared" si="105"/>
        <v>2362</v>
      </c>
      <c r="I396" s="4">
        <f t="shared" si="106"/>
        <v>2373</v>
      </c>
      <c r="J396" s="4">
        <f t="shared" si="107"/>
        <v>2512</v>
      </c>
      <c r="K396" s="4">
        <f t="shared" ref="K396:K427" si="124">K395</f>
        <v>3000</v>
      </c>
      <c r="L396" s="4">
        <f t="shared" ref="L396:L427" si="125">L395</f>
        <v>3000</v>
      </c>
      <c r="M396" s="4">
        <f t="shared" ref="M396:M427" si="126">M395</f>
        <v>3000</v>
      </c>
      <c r="N396" s="4">
        <f t="shared" si="114"/>
        <v>-638</v>
      </c>
      <c r="O396" s="4">
        <f t="shared" si="115"/>
        <v>-627</v>
      </c>
      <c r="P396" s="4">
        <f t="shared" si="116"/>
        <v>-488</v>
      </c>
      <c r="Q396" s="7">
        <v>0</v>
      </c>
      <c r="R396" s="7">
        <v>0</v>
      </c>
      <c r="S396" s="7">
        <v>0</v>
      </c>
      <c r="T396" s="5">
        <f t="shared" si="108"/>
        <v>1120</v>
      </c>
      <c r="U396" s="6">
        <f t="shared" si="118"/>
        <v>1642</v>
      </c>
      <c r="V396" s="6">
        <f t="shared" si="119"/>
        <v>1663</v>
      </c>
      <c r="W396" s="6">
        <f t="shared" si="117"/>
        <v>1812</v>
      </c>
      <c r="X396" s="5"/>
      <c r="Y396" s="4"/>
      <c r="Z396" s="4"/>
      <c r="AA396" s="4"/>
      <c r="AB396" s="4"/>
    </row>
    <row r="397" spans="1:28" ht="13.15" customHeight="1">
      <c r="A397" s="11">
        <v>383</v>
      </c>
      <c r="B397" s="14">
        <f t="shared" si="109"/>
        <v>45426</v>
      </c>
      <c r="C397" s="9">
        <f t="shared" si="110"/>
        <v>842</v>
      </c>
      <c r="D397" s="8">
        <f t="shared" si="123"/>
        <v>1943</v>
      </c>
      <c r="E397" s="7">
        <f t="shared" si="102"/>
        <v>423</v>
      </c>
      <c r="F397" s="7">
        <f t="shared" si="103"/>
        <v>412</v>
      </c>
      <c r="G397" s="7">
        <f t="shared" si="104"/>
        <v>273</v>
      </c>
      <c r="H397" s="4">
        <f t="shared" si="105"/>
        <v>2362</v>
      </c>
      <c r="I397" s="4">
        <f t="shared" si="106"/>
        <v>2373</v>
      </c>
      <c r="J397" s="4">
        <f t="shared" si="107"/>
        <v>2512</v>
      </c>
      <c r="K397" s="4">
        <f t="shared" si="124"/>
        <v>3000</v>
      </c>
      <c r="L397" s="4">
        <f t="shared" si="125"/>
        <v>3000</v>
      </c>
      <c r="M397" s="4">
        <f t="shared" si="126"/>
        <v>3000</v>
      </c>
      <c r="N397" s="4">
        <f t="shared" si="114"/>
        <v>-638</v>
      </c>
      <c r="O397" s="4">
        <f t="shared" si="115"/>
        <v>-627</v>
      </c>
      <c r="P397" s="4">
        <f t="shared" si="116"/>
        <v>-488</v>
      </c>
      <c r="Q397" s="7">
        <v>0</v>
      </c>
      <c r="R397" s="7">
        <v>0</v>
      </c>
      <c r="S397" s="7">
        <v>0</v>
      </c>
      <c r="T397" s="5">
        <f t="shared" si="108"/>
        <v>1122</v>
      </c>
      <c r="U397" s="6">
        <f t="shared" si="118"/>
        <v>1642</v>
      </c>
      <c r="V397" s="6">
        <f t="shared" si="119"/>
        <v>1663</v>
      </c>
      <c r="W397" s="6">
        <f t="shared" si="117"/>
        <v>1812</v>
      </c>
      <c r="X397" s="5"/>
      <c r="Y397" s="4"/>
      <c r="Z397" s="4"/>
      <c r="AA397" s="4"/>
      <c r="AB397" s="4"/>
    </row>
    <row r="398" spans="1:28" ht="13.15" customHeight="1">
      <c r="A398" s="11">
        <v>384</v>
      </c>
      <c r="B398" s="14">
        <f t="shared" si="109"/>
        <v>45427</v>
      </c>
      <c r="C398" s="9">
        <f t="shared" si="110"/>
        <v>842</v>
      </c>
      <c r="D398" s="8">
        <f t="shared" si="123"/>
        <v>1945</v>
      </c>
      <c r="E398" s="7">
        <f t="shared" ref="E398:E461" si="127">C398+D398-H398</f>
        <v>425</v>
      </c>
      <c r="F398" s="7">
        <f t="shared" ref="F398:F461" si="128">C398+D398-I398</f>
        <v>414</v>
      </c>
      <c r="G398" s="7">
        <f t="shared" ref="G398:G461" si="129">D398+C398-J398</f>
        <v>275</v>
      </c>
      <c r="H398" s="4">
        <f t="shared" ref="H398:H461" si="130">K398+N398</f>
        <v>2362</v>
      </c>
      <c r="I398" s="4">
        <f t="shared" ref="I398:I461" si="131">L398+O398</f>
        <v>2373</v>
      </c>
      <c r="J398" s="4">
        <f t="shared" ref="J398:J461" si="132">M398+P398</f>
        <v>2512</v>
      </c>
      <c r="K398" s="4">
        <f t="shared" si="124"/>
        <v>3000</v>
      </c>
      <c r="L398" s="4">
        <f t="shared" si="125"/>
        <v>3000</v>
      </c>
      <c r="M398" s="4">
        <f t="shared" si="126"/>
        <v>3000</v>
      </c>
      <c r="N398" s="4">
        <f t="shared" si="114"/>
        <v>-638</v>
      </c>
      <c r="O398" s="4">
        <f t="shared" si="115"/>
        <v>-627</v>
      </c>
      <c r="P398" s="4">
        <f t="shared" si="116"/>
        <v>-488</v>
      </c>
      <c r="Q398" s="7">
        <v>0</v>
      </c>
      <c r="R398" s="7">
        <v>0</v>
      </c>
      <c r="S398" s="7">
        <v>0</v>
      </c>
      <c r="T398" s="5">
        <f t="shared" ref="T398:T461" si="133">D398+C398-V398</f>
        <v>1124</v>
      </c>
      <c r="U398" s="6">
        <f t="shared" si="118"/>
        <v>1642</v>
      </c>
      <c r="V398" s="6">
        <f t="shared" si="119"/>
        <v>1663</v>
      </c>
      <c r="W398" s="6">
        <f t="shared" si="117"/>
        <v>1812</v>
      </c>
      <c r="X398" s="5"/>
      <c r="Y398" s="4"/>
      <c r="Z398" s="4"/>
      <c r="AA398" s="4"/>
      <c r="AB398" s="4"/>
    </row>
    <row r="399" spans="1:28" ht="13.15" customHeight="1">
      <c r="A399" s="11">
        <v>385</v>
      </c>
      <c r="B399" s="14">
        <f t="shared" ref="B399:B462" si="134">B398+1</f>
        <v>45428</v>
      </c>
      <c r="C399" s="9">
        <f t="shared" ref="C399:C462" si="135">C398</f>
        <v>842</v>
      </c>
      <c r="D399" s="8">
        <f t="shared" si="123"/>
        <v>1947</v>
      </c>
      <c r="E399" s="7">
        <f t="shared" si="127"/>
        <v>427</v>
      </c>
      <c r="F399" s="7">
        <f t="shared" si="128"/>
        <v>416</v>
      </c>
      <c r="G399" s="7">
        <f t="shared" si="129"/>
        <v>277</v>
      </c>
      <c r="H399" s="4">
        <f t="shared" si="130"/>
        <v>2362</v>
      </c>
      <c r="I399" s="4">
        <f t="shared" si="131"/>
        <v>2373</v>
      </c>
      <c r="J399" s="4">
        <f t="shared" si="132"/>
        <v>2512</v>
      </c>
      <c r="K399" s="4">
        <f t="shared" si="124"/>
        <v>3000</v>
      </c>
      <c r="L399" s="4">
        <f t="shared" si="125"/>
        <v>3000</v>
      </c>
      <c r="M399" s="4">
        <f t="shared" si="126"/>
        <v>3000</v>
      </c>
      <c r="N399" s="4">
        <f t="shared" ref="N399:N462" si="136">N398-Q399</f>
        <v>-638</v>
      </c>
      <c r="O399" s="4">
        <f t="shared" ref="O399:O462" si="137">O398-R399</f>
        <v>-627</v>
      </c>
      <c r="P399" s="4">
        <f t="shared" ref="P399:P462" si="138">P398-S399</f>
        <v>-488</v>
      </c>
      <c r="Q399" s="7">
        <v>0</v>
      </c>
      <c r="R399" s="7">
        <v>0</v>
      </c>
      <c r="S399" s="7">
        <v>0</v>
      </c>
      <c r="T399" s="5">
        <f t="shared" si="133"/>
        <v>1126</v>
      </c>
      <c r="U399" s="6">
        <f t="shared" si="118"/>
        <v>1642</v>
      </c>
      <c r="V399" s="6">
        <f t="shared" si="119"/>
        <v>1663</v>
      </c>
      <c r="W399" s="6">
        <f t="shared" si="117"/>
        <v>1812</v>
      </c>
      <c r="X399" s="5"/>
      <c r="Y399" s="4"/>
      <c r="Z399" s="4"/>
      <c r="AA399" s="4"/>
      <c r="AB399" s="4"/>
    </row>
    <row r="400" spans="1:28" ht="13.15" customHeight="1">
      <c r="A400" s="11">
        <v>386</v>
      </c>
      <c r="B400" s="14">
        <f t="shared" si="134"/>
        <v>45429</v>
      </c>
      <c r="C400" s="9">
        <f t="shared" si="135"/>
        <v>842</v>
      </c>
      <c r="D400" s="8">
        <f t="shared" si="123"/>
        <v>1949</v>
      </c>
      <c r="E400" s="7">
        <f t="shared" si="127"/>
        <v>429</v>
      </c>
      <c r="F400" s="7">
        <f t="shared" si="128"/>
        <v>418</v>
      </c>
      <c r="G400" s="7">
        <f t="shared" si="129"/>
        <v>279</v>
      </c>
      <c r="H400" s="4">
        <f t="shared" si="130"/>
        <v>2362</v>
      </c>
      <c r="I400" s="4">
        <f t="shared" si="131"/>
        <v>2373</v>
      </c>
      <c r="J400" s="4">
        <f t="shared" si="132"/>
        <v>2512</v>
      </c>
      <c r="K400" s="4">
        <f t="shared" si="124"/>
        <v>3000</v>
      </c>
      <c r="L400" s="4">
        <f t="shared" si="125"/>
        <v>3000</v>
      </c>
      <c r="M400" s="4">
        <f t="shared" si="126"/>
        <v>3000</v>
      </c>
      <c r="N400" s="4">
        <f t="shared" si="136"/>
        <v>-638</v>
      </c>
      <c r="O400" s="4">
        <f t="shared" si="137"/>
        <v>-627</v>
      </c>
      <c r="P400" s="4">
        <f t="shared" si="138"/>
        <v>-488</v>
      </c>
      <c r="Q400" s="7">
        <v>0</v>
      </c>
      <c r="R400" s="7">
        <v>0</v>
      </c>
      <c r="S400" s="7">
        <v>0</v>
      </c>
      <c r="T400" s="5">
        <f t="shared" si="133"/>
        <v>1128</v>
      </c>
      <c r="U400" s="6">
        <f t="shared" si="118"/>
        <v>1642</v>
      </c>
      <c r="V400" s="6">
        <f t="shared" si="119"/>
        <v>1663</v>
      </c>
      <c r="W400" s="6">
        <f t="shared" si="117"/>
        <v>1812</v>
      </c>
      <c r="X400" s="5"/>
      <c r="Y400" s="4"/>
      <c r="Z400" s="4"/>
      <c r="AA400" s="4"/>
      <c r="AB400" s="4"/>
    </row>
    <row r="401" spans="1:28" ht="13.15" customHeight="1">
      <c r="A401" s="11">
        <v>387</v>
      </c>
      <c r="B401" s="14">
        <f t="shared" si="134"/>
        <v>45430</v>
      </c>
      <c r="C401" s="9">
        <f t="shared" si="135"/>
        <v>842</v>
      </c>
      <c r="D401" s="8">
        <f t="shared" si="123"/>
        <v>1951</v>
      </c>
      <c r="E401" s="7">
        <f t="shared" si="127"/>
        <v>431</v>
      </c>
      <c r="F401" s="7">
        <f t="shared" si="128"/>
        <v>420</v>
      </c>
      <c r="G401" s="7">
        <f t="shared" si="129"/>
        <v>281</v>
      </c>
      <c r="H401" s="4">
        <f t="shared" si="130"/>
        <v>2362</v>
      </c>
      <c r="I401" s="4">
        <f t="shared" si="131"/>
        <v>2373</v>
      </c>
      <c r="J401" s="4">
        <f t="shared" si="132"/>
        <v>2512</v>
      </c>
      <c r="K401" s="4">
        <f t="shared" si="124"/>
        <v>3000</v>
      </c>
      <c r="L401" s="4">
        <f t="shared" si="125"/>
        <v>3000</v>
      </c>
      <c r="M401" s="4">
        <f t="shared" si="126"/>
        <v>3000</v>
      </c>
      <c r="N401" s="4">
        <f t="shared" si="136"/>
        <v>-638</v>
      </c>
      <c r="O401" s="4">
        <f t="shared" si="137"/>
        <v>-627</v>
      </c>
      <c r="P401" s="4">
        <f t="shared" si="138"/>
        <v>-488</v>
      </c>
      <c r="Q401" s="7">
        <v>0</v>
      </c>
      <c r="R401" s="7">
        <v>0</v>
      </c>
      <c r="S401" s="7">
        <v>0</v>
      </c>
      <c r="T401" s="5">
        <f t="shared" si="133"/>
        <v>1130</v>
      </c>
      <c r="U401" s="6">
        <f t="shared" si="118"/>
        <v>1642</v>
      </c>
      <c r="V401" s="6">
        <f t="shared" si="119"/>
        <v>1663</v>
      </c>
      <c r="W401" s="6">
        <f t="shared" si="117"/>
        <v>1812</v>
      </c>
      <c r="X401" s="5"/>
      <c r="Y401" s="4"/>
      <c r="Z401" s="4"/>
      <c r="AA401" s="4"/>
      <c r="AB401" s="4"/>
    </row>
    <row r="402" spans="1:28" ht="13.15" customHeight="1">
      <c r="A402" s="11">
        <v>388</v>
      </c>
      <c r="B402" s="14">
        <f t="shared" si="134"/>
        <v>45431</v>
      </c>
      <c r="C402" s="9">
        <f t="shared" si="135"/>
        <v>842</v>
      </c>
      <c r="D402" s="8">
        <f t="shared" si="123"/>
        <v>1953</v>
      </c>
      <c r="E402" s="7">
        <f t="shared" si="127"/>
        <v>433</v>
      </c>
      <c r="F402" s="7">
        <f t="shared" si="128"/>
        <v>422</v>
      </c>
      <c r="G402" s="7">
        <f t="shared" si="129"/>
        <v>283</v>
      </c>
      <c r="H402" s="4">
        <f t="shared" si="130"/>
        <v>2362</v>
      </c>
      <c r="I402" s="4">
        <f t="shared" si="131"/>
        <v>2373</v>
      </c>
      <c r="J402" s="4">
        <f t="shared" si="132"/>
        <v>2512</v>
      </c>
      <c r="K402" s="4">
        <f t="shared" si="124"/>
        <v>3000</v>
      </c>
      <c r="L402" s="4">
        <f t="shared" si="125"/>
        <v>3000</v>
      </c>
      <c r="M402" s="4">
        <f t="shared" si="126"/>
        <v>3000</v>
      </c>
      <c r="N402" s="4">
        <f t="shared" si="136"/>
        <v>-638</v>
      </c>
      <c r="O402" s="4">
        <f t="shared" si="137"/>
        <v>-627</v>
      </c>
      <c r="P402" s="4">
        <f t="shared" si="138"/>
        <v>-488</v>
      </c>
      <c r="Q402" s="7">
        <v>0</v>
      </c>
      <c r="R402" s="7">
        <v>0</v>
      </c>
      <c r="S402" s="7">
        <v>0</v>
      </c>
      <c r="T402" s="5">
        <f t="shared" si="133"/>
        <v>1132</v>
      </c>
      <c r="U402" s="6">
        <f t="shared" si="118"/>
        <v>1642</v>
      </c>
      <c r="V402" s="6">
        <f t="shared" si="119"/>
        <v>1663</v>
      </c>
      <c r="W402" s="6">
        <f t="shared" si="117"/>
        <v>1812</v>
      </c>
      <c r="X402" s="5"/>
      <c r="Y402" s="4"/>
      <c r="Z402" s="4"/>
      <c r="AA402" s="4"/>
      <c r="AB402" s="4"/>
    </row>
    <row r="403" spans="1:28" ht="13.15" customHeight="1">
      <c r="A403" s="11">
        <v>389</v>
      </c>
      <c r="B403" s="14">
        <f t="shared" si="134"/>
        <v>45432</v>
      </c>
      <c r="C403" s="9">
        <f t="shared" si="135"/>
        <v>842</v>
      </c>
      <c r="D403" s="8">
        <f t="shared" si="123"/>
        <v>1955</v>
      </c>
      <c r="E403" s="7">
        <f t="shared" si="127"/>
        <v>435</v>
      </c>
      <c r="F403" s="7">
        <f t="shared" si="128"/>
        <v>424</v>
      </c>
      <c r="G403" s="7">
        <f t="shared" si="129"/>
        <v>285</v>
      </c>
      <c r="H403" s="4">
        <f t="shared" si="130"/>
        <v>2362</v>
      </c>
      <c r="I403" s="4">
        <f t="shared" si="131"/>
        <v>2373</v>
      </c>
      <c r="J403" s="4">
        <f t="shared" si="132"/>
        <v>2512</v>
      </c>
      <c r="K403" s="4">
        <f t="shared" si="124"/>
        <v>3000</v>
      </c>
      <c r="L403" s="4">
        <f t="shared" si="125"/>
        <v>3000</v>
      </c>
      <c r="M403" s="4">
        <f t="shared" si="126"/>
        <v>3000</v>
      </c>
      <c r="N403" s="4">
        <f t="shared" si="136"/>
        <v>-638</v>
      </c>
      <c r="O403" s="4">
        <f t="shared" si="137"/>
        <v>-627</v>
      </c>
      <c r="P403" s="4">
        <f t="shared" si="138"/>
        <v>-488</v>
      </c>
      <c r="Q403" s="7">
        <v>0</v>
      </c>
      <c r="R403" s="7">
        <v>0</v>
      </c>
      <c r="S403" s="7">
        <v>0</v>
      </c>
      <c r="T403" s="5">
        <f t="shared" si="133"/>
        <v>1134</v>
      </c>
      <c r="U403" s="6">
        <f t="shared" si="118"/>
        <v>1642</v>
      </c>
      <c r="V403" s="6">
        <f t="shared" si="119"/>
        <v>1663</v>
      </c>
      <c r="W403" s="6">
        <f t="shared" si="117"/>
        <v>1812</v>
      </c>
      <c r="X403" s="5"/>
      <c r="Y403" s="4"/>
      <c r="Z403" s="4"/>
      <c r="AA403" s="4"/>
      <c r="AB403" s="4"/>
    </row>
    <row r="404" spans="1:28" ht="13.15" customHeight="1">
      <c r="A404" s="11">
        <v>390</v>
      </c>
      <c r="B404" s="14">
        <f t="shared" si="134"/>
        <v>45433</v>
      </c>
      <c r="C404" s="9">
        <f t="shared" si="135"/>
        <v>842</v>
      </c>
      <c r="D404" s="8">
        <f t="shared" si="123"/>
        <v>1957</v>
      </c>
      <c r="E404" s="7">
        <f t="shared" si="127"/>
        <v>437</v>
      </c>
      <c r="F404" s="7">
        <f t="shared" si="128"/>
        <v>426</v>
      </c>
      <c r="G404" s="7">
        <f t="shared" si="129"/>
        <v>287</v>
      </c>
      <c r="H404" s="4">
        <f t="shared" si="130"/>
        <v>2362</v>
      </c>
      <c r="I404" s="4">
        <f t="shared" si="131"/>
        <v>2373</v>
      </c>
      <c r="J404" s="4">
        <f t="shared" si="132"/>
        <v>2512</v>
      </c>
      <c r="K404" s="4">
        <f t="shared" si="124"/>
        <v>3000</v>
      </c>
      <c r="L404" s="4">
        <f t="shared" si="125"/>
        <v>3000</v>
      </c>
      <c r="M404" s="4">
        <f t="shared" si="126"/>
        <v>3000</v>
      </c>
      <c r="N404" s="4">
        <f t="shared" si="136"/>
        <v>-638</v>
      </c>
      <c r="O404" s="4">
        <f t="shared" si="137"/>
        <v>-627</v>
      </c>
      <c r="P404" s="4">
        <f t="shared" si="138"/>
        <v>-488</v>
      </c>
      <c r="Q404" s="7">
        <v>0</v>
      </c>
      <c r="R404" s="7">
        <v>0</v>
      </c>
      <c r="S404" s="7">
        <v>0</v>
      </c>
      <c r="T404" s="5">
        <f t="shared" si="133"/>
        <v>1136</v>
      </c>
      <c r="U404" s="6">
        <f t="shared" si="118"/>
        <v>1642</v>
      </c>
      <c r="V404" s="6">
        <f t="shared" si="119"/>
        <v>1663</v>
      </c>
      <c r="W404" s="6">
        <f t="shared" si="117"/>
        <v>1812</v>
      </c>
      <c r="X404" s="5"/>
      <c r="Y404" s="4"/>
      <c r="Z404" s="4"/>
      <c r="AA404" s="4"/>
      <c r="AB404" s="4"/>
    </row>
    <row r="405" spans="1:28" ht="13.15" customHeight="1">
      <c r="A405" s="11">
        <v>391</v>
      </c>
      <c r="B405" s="14">
        <f t="shared" si="134"/>
        <v>45434</v>
      </c>
      <c r="C405" s="9">
        <f t="shared" si="135"/>
        <v>842</v>
      </c>
      <c r="D405" s="8">
        <f t="shared" si="123"/>
        <v>1959</v>
      </c>
      <c r="E405" s="7">
        <f t="shared" si="127"/>
        <v>439</v>
      </c>
      <c r="F405" s="7">
        <f t="shared" si="128"/>
        <v>428</v>
      </c>
      <c r="G405" s="7">
        <f t="shared" si="129"/>
        <v>289</v>
      </c>
      <c r="H405" s="4">
        <f t="shared" si="130"/>
        <v>2362</v>
      </c>
      <c r="I405" s="4">
        <f t="shared" si="131"/>
        <v>2373</v>
      </c>
      <c r="J405" s="4">
        <f t="shared" si="132"/>
        <v>2512</v>
      </c>
      <c r="K405" s="4">
        <f t="shared" si="124"/>
        <v>3000</v>
      </c>
      <c r="L405" s="4">
        <f t="shared" si="125"/>
        <v>3000</v>
      </c>
      <c r="M405" s="4">
        <f t="shared" si="126"/>
        <v>3000</v>
      </c>
      <c r="N405" s="4">
        <f t="shared" si="136"/>
        <v>-638</v>
      </c>
      <c r="O405" s="4">
        <f t="shared" si="137"/>
        <v>-627</v>
      </c>
      <c r="P405" s="4">
        <f t="shared" si="138"/>
        <v>-488</v>
      </c>
      <c r="Q405" s="7">
        <v>0</v>
      </c>
      <c r="R405" s="7">
        <v>0</v>
      </c>
      <c r="S405" s="7">
        <v>0</v>
      </c>
      <c r="T405" s="5">
        <f t="shared" si="133"/>
        <v>1138</v>
      </c>
      <c r="U405" s="6">
        <f t="shared" si="118"/>
        <v>1642</v>
      </c>
      <c r="V405" s="6">
        <f t="shared" si="119"/>
        <v>1663</v>
      </c>
      <c r="W405" s="6">
        <f t="shared" si="117"/>
        <v>1812</v>
      </c>
      <c r="X405" s="5"/>
      <c r="Y405" s="4"/>
      <c r="Z405" s="4"/>
      <c r="AA405" s="4"/>
      <c r="AB405" s="4"/>
    </row>
    <row r="406" spans="1:28" ht="13.15" customHeight="1">
      <c r="A406" s="11">
        <v>392</v>
      </c>
      <c r="B406" s="14">
        <f t="shared" si="134"/>
        <v>45435</v>
      </c>
      <c r="C406" s="9">
        <f t="shared" si="135"/>
        <v>842</v>
      </c>
      <c r="D406" s="8">
        <f t="shared" si="123"/>
        <v>1961</v>
      </c>
      <c r="E406" s="7">
        <f t="shared" si="127"/>
        <v>441</v>
      </c>
      <c r="F406" s="7">
        <f t="shared" si="128"/>
        <v>430</v>
      </c>
      <c r="G406" s="7">
        <f t="shared" si="129"/>
        <v>291</v>
      </c>
      <c r="H406" s="4">
        <f t="shared" si="130"/>
        <v>2362</v>
      </c>
      <c r="I406" s="4">
        <f t="shared" si="131"/>
        <v>2373</v>
      </c>
      <c r="J406" s="4">
        <f t="shared" si="132"/>
        <v>2512</v>
      </c>
      <c r="K406" s="4">
        <f t="shared" si="124"/>
        <v>3000</v>
      </c>
      <c r="L406" s="4">
        <f t="shared" si="125"/>
        <v>3000</v>
      </c>
      <c r="M406" s="4">
        <f t="shared" si="126"/>
        <v>3000</v>
      </c>
      <c r="N406" s="4">
        <f t="shared" si="136"/>
        <v>-638</v>
      </c>
      <c r="O406" s="4">
        <f t="shared" si="137"/>
        <v>-627</v>
      </c>
      <c r="P406" s="4">
        <f t="shared" si="138"/>
        <v>-488</v>
      </c>
      <c r="Q406" s="7">
        <v>0</v>
      </c>
      <c r="R406" s="7">
        <v>0</v>
      </c>
      <c r="S406" s="7">
        <v>0</v>
      </c>
      <c r="T406" s="5">
        <f t="shared" si="133"/>
        <v>1140</v>
      </c>
      <c r="U406" s="6">
        <f t="shared" si="118"/>
        <v>1642</v>
      </c>
      <c r="V406" s="6">
        <f t="shared" si="119"/>
        <v>1663</v>
      </c>
      <c r="W406" s="6">
        <f t="shared" si="117"/>
        <v>1812</v>
      </c>
      <c r="X406" s="5"/>
      <c r="Y406" s="4"/>
      <c r="Z406" s="4"/>
      <c r="AA406" s="4"/>
      <c r="AB406" s="4"/>
    </row>
    <row r="407" spans="1:28" ht="13.15" customHeight="1">
      <c r="A407" s="11">
        <v>393</v>
      </c>
      <c r="B407" s="14">
        <f t="shared" si="134"/>
        <v>45436</v>
      </c>
      <c r="C407" s="9">
        <f t="shared" si="135"/>
        <v>842</v>
      </c>
      <c r="D407" s="8">
        <f t="shared" si="123"/>
        <v>1963</v>
      </c>
      <c r="E407" s="7">
        <f t="shared" si="127"/>
        <v>443</v>
      </c>
      <c r="F407" s="7">
        <f t="shared" si="128"/>
        <v>432</v>
      </c>
      <c r="G407" s="7">
        <f t="shared" si="129"/>
        <v>293</v>
      </c>
      <c r="H407" s="4">
        <f t="shared" si="130"/>
        <v>2362</v>
      </c>
      <c r="I407" s="4">
        <f t="shared" si="131"/>
        <v>2373</v>
      </c>
      <c r="J407" s="4">
        <f t="shared" si="132"/>
        <v>2512</v>
      </c>
      <c r="K407" s="4">
        <f t="shared" si="124"/>
        <v>3000</v>
      </c>
      <c r="L407" s="4">
        <f t="shared" si="125"/>
        <v>3000</v>
      </c>
      <c r="M407" s="4">
        <f t="shared" si="126"/>
        <v>3000</v>
      </c>
      <c r="N407" s="4">
        <f t="shared" si="136"/>
        <v>-638</v>
      </c>
      <c r="O407" s="4">
        <f t="shared" si="137"/>
        <v>-627</v>
      </c>
      <c r="P407" s="4">
        <f t="shared" si="138"/>
        <v>-488</v>
      </c>
      <c r="Q407" s="7">
        <v>0</v>
      </c>
      <c r="R407" s="7">
        <v>0</v>
      </c>
      <c r="S407" s="7">
        <v>0</v>
      </c>
      <c r="T407" s="5">
        <f t="shared" si="133"/>
        <v>1142</v>
      </c>
      <c r="U407" s="6">
        <f t="shared" si="118"/>
        <v>1642</v>
      </c>
      <c r="V407" s="6">
        <f t="shared" si="119"/>
        <v>1663</v>
      </c>
      <c r="W407" s="6">
        <f t="shared" si="117"/>
        <v>1812</v>
      </c>
      <c r="X407" s="5"/>
      <c r="Y407" s="4"/>
      <c r="Z407" s="4"/>
      <c r="AA407" s="4"/>
      <c r="AB407" s="4"/>
    </row>
    <row r="408" spans="1:28" ht="13.15" customHeight="1">
      <c r="A408" s="11">
        <v>394</v>
      </c>
      <c r="B408" s="14">
        <f t="shared" si="134"/>
        <v>45437</v>
      </c>
      <c r="C408" s="9">
        <f t="shared" si="135"/>
        <v>842</v>
      </c>
      <c r="D408" s="8">
        <f t="shared" si="123"/>
        <v>1965</v>
      </c>
      <c r="E408" s="7">
        <f t="shared" si="127"/>
        <v>445</v>
      </c>
      <c r="F408" s="7">
        <f t="shared" si="128"/>
        <v>434</v>
      </c>
      <c r="G408" s="7">
        <f t="shared" si="129"/>
        <v>295</v>
      </c>
      <c r="H408" s="4">
        <f t="shared" si="130"/>
        <v>2362</v>
      </c>
      <c r="I408" s="4">
        <f t="shared" si="131"/>
        <v>2373</v>
      </c>
      <c r="J408" s="4">
        <f t="shared" si="132"/>
        <v>2512</v>
      </c>
      <c r="K408" s="4">
        <f t="shared" si="124"/>
        <v>3000</v>
      </c>
      <c r="L408" s="4">
        <f t="shared" si="125"/>
        <v>3000</v>
      </c>
      <c r="M408" s="4">
        <f t="shared" si="126"/>
        <v>3000</v>
      </c>
      <c r="N408" s="4">
        <f t="shared" si="136"/>
        <v>-638</v>
      </c>
      <c r="O408" s="4">
        <f t="shared" si="137"/>
        <v>-627</v>
      </c>
      <c r="P408" s="4">
        <f t="shared" si="138"/>
        <v>-488</v>
      </c>
      <c r="Q408" s="7">
        <v>0</v>
      </c>
      <c r="R408" s="7">
        <v>0</v>
      </c>
      <c r="S408" s="7">
        <v>0</v>
      </c>
      <c r="T408" s="5">
        <f t="shared" si="133"/>
        <v>1144</v>
      </c>
      <c r="U408" s="6">
        <f t="shared" si="118"/>
        <v>1642</v>
      </c>
      <c r="V408" s="6">
        <f t="shared" si="119"/>
        <v>1663</v>
      </c>
      <c r="W408" s="6">
        <f t="shared" si="117"/>
        <v>1812</v>
      </c>
      <c r="X408" s="5"/>
      <c r="Y408" s="4"/>
      <c r="Z408" s="4"/>
      <c r="AA408" s="4"/>
      <c r="AB408" s="4"/>
    </row>
    <row r="409" spans="1:28" ht="13.15" customHeight="1">
      <c r="A409" s="11">
        <v>395</v>
      </c>
      <c r="B409" s="14">
        <f t="shared" si="134"/>
        <v>45438</v>
      </c>
      <c r="C409" s="9">
        <f t="shared" si="135"/>
        <v>842</v>
      </c>
      <c r="D409" s="8">
        <f t="shared" si="123"/>
        <v>1967</v>
      </c>
      <c r="E409" s="7">
        <f t="shared" si="127"/>
        <v>447</v>
      </c>
      <c r="F409" s="7">
        <f t="shared" si="128"/>
        <v>436</v>
      </c>
      <c r="G409" s="7">
        <f t="shared" si="129"/>
        <v>297</v>
      </c>
      <c r="H409" s="4">
        <f t="shared" si="130"/>
        <v>2362</v>
      </c>
      <c r="I409" s="4">
        <f t="shared" si="131"/>
        <v>2373</v>
      </c>
      <c r="J409" s="4">
        <f t="shared" si="132"/>
        <v>2512</v>
      </c>
      <c r="K409" s="4">
        <f t="shared" si="124"/>
        <v>3000</v>
      </c>
      <c r="L409" s="4">
        <f t="shared" si="125"/>
        <v>3000</v>
      </c>
      <c r="M409" s="4">
        <f t="shared" si="126"/>
        <v>3000</v>
      </c>
      <c r="N409" s="4">
        <f t="shared" si="136"/>
        <v>-638</v>
      </c>
      <c r="O409" s="4">
        <f t="shared" si="137"/>
        <v>-627</v>
      </c>
      <c r="P409" s="4">
        <f t="shared" si="138"/>
        <v>-488</v>
      </c>
      <c r="Q409" s="7">
        <v>0</v>
      </c>
      <c r="R409" s="7">
        <v>0</v>
      </c>
      <c r="S409" s="7">
        <v>0</v>
      </c>
      <c r="T409" s="5">
        <f t="shared" si="133"/>
        <v>1146</v>
      </c>
      <c r="U409" s="6">
        <f t="shared" si="118"/>
        <v>1642</v>
      </c>
      <c r="V409" s="6">
        <f t="shared" si="119"/>
        <v>1663</v>
      </c>
      <c r="W409" s="6">
        <f t="shared" si="117"/>
        <v>1812</v>
      </c>
      <c r="X409" s="5"/>
      <c r="Y409" s="4"/>
      <c r="Z409" s="4"/>
      <c r="AA409" s="4"/>
      <c r="AB409" s="4"/>
    </row>
    <row r="410" spans="1:28" ht="13.15" customHeight="1">
      <c r="A410" s="11">
        <v>396</v>
      </c>
      <c r="B410" s="14">
        <f t="shared" si="134"/>
        <v>45439</v>
      </c>
      <c r="C410" s="9">
        <f t="shared" si="135"/>
        <v>842</v>
      </c>
      <c r="D410" s="8">
        <f t="shared" si="123"/>
        <v>1969</v>
      </c>
      <c r="E410" s="7">
        <f t="shared" si="127"/>
        <v>449</v>
      </c>
      <c r="F410" s="7">
        <f t="shared" si="128"/>
        <v>438</v>
      </c>
      <c r="G410" s="7">
        <f t="shared" si="129"/>
        <v>299</v>
      </c>
      <c r="H410" s="4">
        <f t="shared" si="130"/>
        <v>2362</v>
      </c>
      <c r="I410" s="4">
        <f t="shared" si="131"/>
        <v>2373</v>
      </c>
      <c r="J410" s="4">
        <f t="shared" si="132"/>
        <v>2512</v>
      </c>
      <c r="K410" s="4">
        <f t="shared" si="124"/>
        <v>3000</v>
      </c>
      <c r="L410" s="4">
        <f t="shared" si="125"/>
        <v>3000</v>
      </c>
      <c r="M410" s="4">
        <f t="shared" si="126"/>
        <v>3000</v>
      </c>
      <c r="N410" s="4">
        <f t="shared" si="136"/>
        <v>-638</v>
      </c>
      <c r="O410" s="4">
        <f t="shared" si="137"/>
        <v>-627</v>
      </c>
      <c r="P410" s="4">
        <f t="shared" si="138"/>
        <v>-488</v>
      </c>
      <c r="Q410" s="7">
        <v>0</v>
      </c>
      <c r="R410" s="7">
        <v>0</v>
      </c>
      <c r="S410" s="7">
        <v>0</v>
      </c>
      <c r="T410" s="5">
        <f t="shared" si="133"/>
        <v>1148</v>
      </c>
      <c r="U410" s="6">
        <f t="shared" si="118"/>
        <v>1642</v>
      </c>
      <c r="V410" s="6">
        <f t="shared" si="119"/>
        <v>1663</v>
      </c>
      <c r="W410" s="6">
        <f t="shared" si="117"/>
        <v>1812</v>
      </c>
      <c r="X410" s="5"/>
      <c r="Y410" s="4"/>
      <c r="Z410" s="4"/>
      <c r="AA410" s="4"/>
      <c r="AB410" s="4"/>
    </row>
    <row r="411" spans="1:28" ht="13.15" customHeight="1">
      <c r="A411" s="11">
        <v>397</v>
      </c>
      <c r="B411" s="14">
        <f t="shared" si="134"/>
        <v>45440</v>
      </c>
      <c r="C411" s="9">
        <f t="shared" si="135"/>
        <v>842</v>
      </c>
      <c r="D411" s="8">
        <f t="shared" si="123"/>
        <v>1971</v>
      </c>
      <c r="E411" s="7">
        <f t="shared" si="127"/>
        <v>451</v>
      </c>
      <c r="F411" s="7">
        <f t="shared" si="128"/>
        <v>440</v>
      </c>
      <c r="G411" s="7">
        <f t="shared" si="129"/>
        <v>301</v>
      </c>
      <c r="H411" s="4">
        <f t="shared" si="130"/>
        <v>2362</v>
      </c>
      <c r="I411" s="4">
        <f t="shared" si="131"/>
        <v>2373</v>
      </c>
      <c r="J411" s="4">
        <f t="shared" si="132"/>
        <v>2512</v>
      </c>
      <c r="K411" s="4">
        <f t="shared" si="124"/>
        <v>3000</v>
      </c>
      <c r="L411" s="4">
        <f t="shared" si="125"/>
        <v>3000</v>
      </c>
      <c r="M411" s="4">
        <f t="shared" si="126"/>
        <v>3000</v>
      </c>
      <c r="N411" s="4">
        <f t="shared" si="136"/>
        <v>-638</v>
      </c>
      <c r="O411" s="4">
        <f t="shared" si="137"/>
        <v>-627</v>
      </c>
      <c r="P411" s="4">
        <f t="shared" si="138"/>
        <v>-488</v>
      </c>
      <c r="Q411" s="7">
        <v>0</v>
      </c>
      <c r="R411" s="7">
        <v>0</v>
      </c>
      <c r="S411" s="7">
        <v>0</v>
      </c>
      <c r="T411" s="5">
        <f t="shared" si="133"/>
        <v>1150</v>
      </c>
      <c r="U411" s="6">
        <f t="shared" si="118"/>
        <v>1642</v>
      </c>
      <c r="V411" s="6">
        <f t="shared" si="119"/>
        <v>1663</v>
      </c>
      <c r="W411" s="6">
        <f t="shared" si="117"/>
        <v>1812</v>
      </c>
      <c r="X411" s="5"/>
      <c r="Y411" s="4"/>
      <c r="Z411" s="4"/>
      <c r="AA411" s="4"/>
      <c r="AB411" s="4"/>
    </row>
    <row r="412" spans="1:28" ht="13.15" customHeight="1">
      <c r="A412" s="11">
        <v>398</v>
      </c>
      <c r="B412" s="14">
        <f t="shared" si="134"/>
        <v>45441</v>
      </c>
      <c r="C412" s="9">
        <f t="shared" si="135"/>
        <v>842</v>
      </c>
      <c r="D412" s="8">
        <f t="shared" si="123"/>
        <v>1973</v>
      </c>
      <c r="E412" s="7">
        <f t="shared" si="127"/>
        <v>453</v>
      </c>
      <c r="F412" s="7">
        <f t="shared" si="128"/>
        <v>442</v>
      </c>
      <c r="G412" s="7">
        <f t="shared" si="129"/>
        <v>303</v>
      </c>
      <c r="H412" s="4">
        <f t="shared" si="130"/>
        <v>2362</v>
      </c>
      <c r="I412" s="4">
        <f t="shared" si="131"/>
        <v>2373</v>
      </c>
      <c r="J412" s="4">
        <f t="shared" si="132"/>
        <v>2512</v>
      </c>
      <c r="K412" s="4">
        <f t="shared" si="124"/>
        <v>3000</v>
      </c>
      <c r="L412" s="4">
        <f t="shared" si="125"/>
        <v>3000</v>
      </c>
      <c r="M412" s="4">
        <f t="shared" si="126"/>
        <v>3000</v>
      </c>
      <c r="N412" s="4">
        <f t="shared" si="136"/>
        <v>-638</v>
      </c>
      <c r="O412" s="4">
        <f t="shared" si="137"/>
        <v>-627</v>
      </c>
      <c r="P412" s="4">
        <f t="shared" si="138"/>
        <v>-488</v>
      </c>
      <c r="Q412" s="7">
        <v>0</v>
      </c>
      <c r="R412" s="7">
        <v>0</v>
      </c>
      <c r="S412" s="7">
        <v>0</v>
      </c>
      <c r="T412" s="5">
        <f t="shared" si="133"/>
        <v>1152</v>
      </c>
      <c r="U412" s="6">
        <f t="shared" si="118"/>
        <v>1642</v>
      </c>
      <c r="V412" s="6">
        <f t="shared" si="119"/>
        <v>1663</v>
      </c>
      <c r="W412" s="6">
        <f t="shared" si="117"/>
        <v>1812</v>
      </c>
      <c r="X412" s="5"/>
      <c r="Y412" s="4"/>
      <c r="Z412" s="4"/>
      <c r="AA412" s="4"/>
      <c r="AB412" s="4"/>
    </row>
    <row r="413" spans="1:28" ht="13.15" customHeight="1">
      <c r="A413" s="11">
        <v>399</v>
      </c>
      <c r="B413" s="14">
        <f t="shared" si="134"/>
        <v>45442</v>
      </c>
      <c r="C413" s="9">
        <f t="shared" si="135"/>
        <v>842</v>
      </c>
      <c r="D413" s="8">
        <f t="shared" si="123"/>
        <v>1975</v>
      </c>
      <c r="E413" s="7">
        <f t="shared" si="127"/>
        <v>455</v>
      </c>
      <c r="F413" s="7">
        <f t="shared" si="128"/>
        <v>444</v>
      </c>
      <c r="G413" s="7">
        <f t="shared" si="129"/>
        <v>305</v>
      </c>
      <c r="H413" s="4">
        <f t="shared" si="130"/>
        <v>2362</v>
      </c>
      <c r="I413" s="4">
        <f t="shared" si="131"/>
        <v>2373</v>
      </c>
      <c r="J413" s="4">
        <f t="shared" si="132"/>
        <v>2512</v>
      </c>
      <c r="K413" s="4">
        <f t="shared" si="124"/>
        <v>3000</v>
      </c>
      <c r="L413" s="4">
        <f t="shared" si="125"/>
        <v>3000</v>
      </c>
      <c r="M413" s="4">
        <f t="shared" si="126"/>
        <v>3000</v>
      </c>
      <c r="N413" s="4">
        <f t="shared" si="136"/>
        <v>-638</v>
      </c>
      <c r="O413" s="4">
        <f t="shared" si="137"/>
        <v>-627</v>
      </c>
      <c r="P413" s="4">
        <f t="shared" si="138"/>
        <v>-488</v>
      </c>
      <c r="Q413" s="7">
        <v>0</v>
      </c>
      <c r="R413" s="7">
        <v>0</v>
      </c>
      <c r="S413" s="7">
        <v>0</v>
      </c>
      <c r="T413" s="5">
        <f t="shared" si="133"/>
        <v>1154</v>
      </c>
      <c r="U413" s="6">
        <f t="shared" si="118"/>
        <v>1642</v>
      </c>
      <c r="V413" s="6">
        <f t="shared" si="119"/>
        <v>1663</v>
      </c>
      <c r="W413" s="6">
        <f t="shared" si="117"/>
        <v>1812</v>
      </c>
      <c r="X413" s="5"/>
      <c r="Y413" s="4"/>
      <c r="Z413" s="4"/>
      <c r="AA413" s="4"/>
      <c r="AB413" s="4"/>
    </row>
    <row r="414" spans="1:28" ht="13.15" customHeight="1">
      <c r="A414" s="11">
        <v>400</v>
      </c>
      <c r="B414" s="14">
        <f t="shared" si="134"/>
        <v>45443</v>
      </c>
      <c r="C414" s="9">
        <f t="shared" si="135"/>
        <v>842</v>
      </c>
      <c r="D414" s="8">
        <f t="shared" si="123"/>
        <v>1977</v>
      </c>
      <c r="E414" s="7">
        <f t="shared" si="127"/>
        <v>457</v>
      </c>
      <c r="F414" s="7">
        <f t="shared" si="128"/>
        <v>446</v>
      </c>
      <c r="G414" s="7">
        <f t="shared" si="129"/>
        <v>307</v>
      </c>
      <c r="H414" s="4">
        <f t="shared" si="130"/>
        <v>2362</v>
      </c>
      <c r="I414" s="4">
        <f t="shared" si="131"/>
        <v>2373</v>
      </c>
      <c r="J414" s="4">
        <f t="shared" si="132"/>
        <v>2512</v>
      </c>
      <c r="K414" s="4">
        <f t="shared" si="124"/>
        <v>3000</v>
      </c>
      <c r="L414" s="4">
        <f t="shared" si="125"/>
        <v>3000</v>
      </c>
      <c r="M414" s="4">
        <f t="shared" si="126"/>
        <v>3000</v>
      </c>
      <c r="N414" s="4">
        <f t="shared" si="136"/>
        <v>-638</v>
      </c>
      <c r="O414" s="4">
        <f t="shared" si="137"/>
        <v>-627</v>
      </c>
      <c r="P414" s="4">
        <f t="shared" si="138"/>
        <v>-488</v>
      </c>
      <c r="Q414" s="7">
        <v>0</v>
      </c>
      <c r="R414" s="7">
        <v>0</v>
      </c>
      <c r="S414" s="7">
        <v>0</v>
      </c>
      <c r="T414" s="5">
        <f t="shared" si="133"/>
        <v>1156</v>
      </c>
      <c r="U414" s="6">
        <f t="shared" si="118"/>
        <v>1642</v>
      </c>
      <c r="V414" s="6">
        <f t="shared" si="119"/>
        <v>1663</v>
      </c>
      <c r="W414" s="6">
        <f t="shared" si="117"/>
        <v>1812</v>
      </c>
      <c r="X414" s="5"/>
      <c r="Y414" s="4"/>
      <c r="Z414" s="4"/>
      <c r="AA414" s="4"/>
      <c r="AB414" s="4"/>
    </row>
    <row r="415" spans="1:28" ht="13.15" customHeight="1">
      <c r="A415" s="11">
        <v>401</v>
      </c>
      <c r="B415" s="14">
        <f t="shared" si="134"/>
        <v>45444</v>
      </c>
      <c r="C415" s="9">
        <f t="shared" si="135"/>
        <v>842</v>
      </c>
      <c r="D415" s="8">
        <f t="shared" si="123"/>
        <v>1979</v>
      </c>
      <c r="E415" s="7">
        <f t="shared" si="127"/>
        <v>459</v>
      </c>
      <c r="F415" s="7">
        <f t="shared" si="128"/>
        <v>448</v>
      </c>
      <c r="G415" s="7">
        <f t="shared" si="129"/>
        <v>309</v>
      </c>
      <c r="H415" s="4">
        <f t="shared" si="130"/>
        <v>2362</v>
      </c>
      <c r="I415" s="4">
        <f t="shared" si="131"/>
        <v>2373</v>
      </c>
      <c r="J415" s="4">
        <f t="shared" si="132"/>
        <v>2512</v>
      </c>
      <c r="K415" s="4">
        <f t="shared" si="124"/>
        <v>3000</v>
      </c>
      <c r="L415" s="4">
        <f t="shared" si="125"/>
        <v>3000</v>
      </c>
      <c r="M415" s="4">
        <f t="shared" si="126"/>
        <v>3000</v>
      </c>
      <c r="N415" s="4">
        <f t="shared" si="136"/>
        <v>-638</v>
      </c>
      <c r="O415" s="4">
        <f t="shared" si="137"/>
        <v>-627</v>
      </c>
      <c r="P415" s="4">
        <f t="shared" si="138"/>
        <v>-488</v>
      </c>
      <c r="Q415" s="7">
        <v>0</v>
      </c>
      <c r="R415" s="7">
        <v>0</v>
      </c>
      <c r="S415" s="7">
        <v>0</v>
      </c>
      <c r="T415" s="5">
        <f t="shared" si="133"/>
        <v>1158</v>
      </c>
      <c r="U415" s="6">
        <f t="shared" si="118"/>
        <v>1642</v>
      </c>
      <c r="V415" s="6">
        <f t="shared" si="119"/>
        <v>1663</v>
      </c>
      <c r="W415" s="6">
        <f t="shared" si="117"/>
        <v>1812</v>
      </c>
      <c r="X415" s="5"/>
      <c r="Y415" s="4"/>
      <c r="Z415" s="4"/>
      <c r="AA415" s="4"/>
      <c r="AB415" s="4"/>
    </row>
    <row r="416" spans="1:28" ht="13.15" customHeight="1">
      <c r="A416" s="11">
        <v>402</v>
      </c>
      <c r="B416" s="14">
        <f t="shared" si="134"/>
        <v>45445</v>
      </c>
      <c r="C416" s="9">
        <f t="shared" si="135"/>
        <v>842</v>
      </c>
      <c r="D416" s="8">
        <f t="shared" si="123"/>
        <v>1981</v>
      </c>
      <c r="E416" s="7">
        <f t="shared" si="127"/>
        <v>461</v>
      </c>
      <c r="F416" s="7">
        <f t="shared" si="128"/>
        <v>450</v>
      </c>
      <c r="G416" s="7">
        <f t="shared" si="129"/>
        <v>311</v>
      </c>
      <c r="H416" s="4">
        <f t="shared" si="130"/>
        <v>2362</v>
      </c>
      <c r="I416" s="4">
        <f t="shared" si="131"/>
        <v>2373</v>
      </c>
      <c r="J416" s="4">
        <f t="shared" si="132"/>
        <v>2512</v>
      </c>
      <c r="K416" s="4">
        <f t="shared" si="124"/>
        <v>3000</v>
      </c>
      <c r="L416" s="4">
        <f t="shared" si="125"/>
        <v>3000</v>
      </c>
      <c r="M416" s="4">
        <f t="shared" si="126"/>
        <v>3000</v>
      </c>
      <c r="N416" s="4">
        <f t="shared" si="136"/>
        <v>-638</v>
      </c>
      <c r="O416" s="4">
        <f t="shared" si="137"/>
        <v>-627</v>
      </c>
      <c r="P416" s="4">
        <f t="shared" si="138"/>
        <v>-488</v>
      </c>
      <c r="Q416" s="7">
        <v>0</v>
      </c>
      <c r="R416" s="7">
        <v>0</v>
      </c>
      <c r="S416" s="7">
        <v>0</v>
      </c>
      <c r="T416" s="5">
        <f t="shared" si="133"/>
        <v>1160</v>
      </c>
      <c r="U416" s="6">
        <f t="shared" si="118"/>
        <v>1642</v>
      </c>
      <c r="V416" s="6">
        <f t="shared" si="119"/>
        <v>1663</v>
      </c>
      <c r="W416" s="6">
        <f t="shared" si="117"/>
        <v>1812</v>
      </c>
      <c r="X416" s="5"/>
      <c r="Y416" s="4"/>
      <c r="Z416" s="4"/>
      <c r="AA416" s="4"/>
      <c r="AB416" s="4"/>
    </row>
    <row r="417" spans="1:28" ht="13.15" customHeight="1">
      <c r="A417" s="11">
        <v>403</v>
      </c>
      <c r="B417" s="14">
        <f t="shared" si="134"/>
        <v>45446</v>
      </c>
      <c r="C417" s="9">
        <f t="shared" si="135"/>
        <v>842</v>
      </c>
      <c r="D417" s="8">
        <f t="shared" si="123"/>
        <v>1983</v>
      </c>
      <c r="E417" s="7">
        <f t="shared" si="127"/>
        <v>463</v>
      </c>
      <c r="F417" s="7">
        <f t="shared" si="128"/>
        <v>452</v>
      </c>
      <c r="G417" s="7">
        <f t="shared" si="129"/>
        <v>313</v>
      </c>
      <c r="H417" s="4">
        <f t="shared" si="130"/>
        <v>2362</v>
      </c>
      <c r="I417" s="4">
        <f t="shared" si="131"/>
        <v>2373</v>
      </c>
      <c r="J417" s="4">
        <f t="shared" si="132"/>
        <v>2512</v>
      </c>
      <c r="K417" s="4">
        <f t="shared" si="124"/>
        <v>3000</v>
      </c>
      <c r="L417" s="4">
        <f t="shared" si="125"/>
        <v>3000</v>
      </c>
      <c r="M417" s="4">
        <f t="shared" si="126"/>
        <v>3000</v>
      </c>
      <c r="N417" s="4">
        <f t="shared" si="136"/>
        <v>-638</v>
      </c>
      <c r="O417" s="4">
        <f t="shared" si="137"/>
        <v>-627</v>
      </c>
      <c r="P417" s="4">
        <f t="shared" si="138"/>
        <v>-488</v>
      </c>
      <c r="Q417" s="7">
        <v>0</v>
      </c>
      <c r="R417" s="7">
        <v>0</v>
      </c>
      <c r="S417" s="7">
        <v>0</v>
      </c>
      <c r="T417" s="5">
        <f t="shared" si="133"/>
        <v>1162</v>
      </c>
      <c r="U417" s="6">
        <f t="shared" si="118"/>
        <v>1642</v>
      </c>
      <c r="V417" s="6">
        <f t="shared" si="119"/>
        <v>1663</v>
      </c>
      <c r="W417" s="6">
        <f t="shared" si="117"/>
        <v>1812</v>
      </c>
      <c r="X417" s="5"/>
      <c r="Y417" s="4"/>
      <c r="Z417" s="4"/>
      <c r="AA417" s="4"/>
      <c r="AB417" s="4"/>
    </row>
    <row r="418" spans="1:28" ht="13.15" customHeight="1">
      <c r="A418" s="11">
        <v>404</v>
      </c>
      <c r="B418" s="14">
        <f t="shared" si="134"/>
        <v>45447</v>
      </c>
      <c r="C418" s="9">
        <f t="shared" si="135"/>
        <v>842</v>
      </c>
      <c r="D418" s="8">
        <f t="shared" si="123"/>
        <v>1985</v>
      </c>
      <c r="E418" s="7">
        <f t="shared" si="127"/>
        <v>465</v>
      </c>
      <c r="F418" s="7">
        <f t="shared" si="128"/>
        <v>454</v>
      </c>
      <c r="G418" s="7">
        <f t="shared" si="129"/>
        <v>315</v>
      </c>
      <c r="H418" s="4">
        <f t="shared" si="130"/>
        <v>2362</v>
      </c>
      <c r="I418" s="4">
        <f t="shared" si="131"/>
        <v>2373</v>
      </c>
      <c r="J418" s="4">
        <f t="shared" si="132"/>
        <v>2512</v>
      </c>
      <c r="K418" s="4">
        <f t="shared" si="124"/>
        <v>3000</v>
      </c>
      <c r="L418" s="4">
        <f t="shared" si="125"/>
        <v>3000</v>
      </c>
      <c r="M418" s="4">
        <f t="shared" si="126"/>
        <v>3000</v>
      </c>
      <c r="N418" s="4">
        <f t="shared" si="136"/>
        <v>-638</v>
      </c>
      <c r="O418" s="4">
        <f t="shared" si="137"/>
        <v>-627</v>
      </c>
      <c r="P418" s="4">
        <f t="shared" si="138"/>
        <v>-488</v>
      </c>
      <c r="Q418" s="7">
        <v>0</v>
      </c>
      <c r="R418" s="7">
        <v>0</v>
      </c>
      <c r="S418" s="7">
        <v>0</v>
      </c>
      <c r="T418" s="5">
        <f t="shared" si="133"/>
        <v>1164</v>
      </c>
      <c r="U418" s="6">
        <f t="shared" si="118"/>
        <v>1642</v>
      </c>
      <c r="V418" s="6">
        <f t="shared" si="119"/>
        <v>1663</v>
      </c>
      <c r="W418" s="6">
        <f t="shared" si="117"/>
        <v>1812</v>
      </c>
      <c r="X418" s="5"/>
      <c r="Y418" s="4"/>
      <c r="Z418" s="4"/>
      <c r="AA418" s="4"/>
      <c r="AB418" s="4"/>
    </row>
    <row r="419" spans="1:28" ht="13.15" customHeight="1">
      <c r="A419" s="11">
        <v>405</v>
      </c>
      <c r="B419" s="14">
        <f t="shared" si="134"/>
        <v>45448</v>
      </c>
      <c r="C419" s="9">
        <f t="shared" si="135"/>
        <v>842</v>
      </c>
      <c r="D419" s="8">
        <f t="shared" si="123"/>
        <v>1987</v>
      </c>
      <c r="E419" s="7">
        <f t="shared" si="127"/>
        <v>467</v>
      </c>
      <c r="F419" s="7">
        <f t="shared" si="128"/>
        <v>456</v>
      </c>
      <c r="G419" s="7">
        <f t="shared" si="129"/>
        <v>317</v>
      </c>
      <c r="H419" s="4">
        <f t="shared" si="130"/>
        <v>2362</v>
      </c>
      <c r="I419" s="4">
        <f t="shared" si="131"/>
        <v>2373</v>
      </c>
      <c r="J419" s="4">
        <f t="shared" si="132"/>
        <v>2512</v>
      </c>
      <c r="K419" s="4">
        <f t="shared" si="124"/>
        <v>3000</v>
      </c>
      <c r="L419" s="4">
        <f t="shared" si="125"/>
        <v>3000</v>
      </c>
      <c r="M419" s="4">
        <f t="shared" si="126"/>
        <v>3000</v>
      </c>
      <c r="N419" s="4">
        <f t="shared" si="136"/>
        <v>-638</v>
      </c>
      <c r="O419" s="4">
        <f t="shared" si="137"/>
        <v>-627</v>
      </c>
      <c r="P419" s="4">
        <f t="shared" si="138"/>
        <v>-488</v>
      </c>
      <c r="Q419" s="7">
        <v>0</v>
      </c>
      <c r="R419" s="7">
        <v>0</v>
      </c>
      <c r="S419" s="7">
        <v>0</v>
      </c>
      <c r="T419" s="5">
        <f t="shared" si="133"/>
        <v>1166</v>
      </c>
      <c r="U419" s="6">
        <f t="shared" si="118"/>
        <v>1642</v>
      </c>
      <c r="V419" s="6">
        <f t="shared" si="119"/>
        <v>1663</v>
      </c>
      <c r="W419" s="6">
        <f t="shared" si="117"/>
        <v>1812</v>
      </c>
      <c r="X419" s="5"/>
      <c r="Y419" s="4"/>
      <c r="Z419" s="4"/>
      <c r="AA419" s="4"/>
      <c r="AB419" s="4"/>
    </row>
    <row r="420" spans="1:28" ht="13.15" customHeight="1">
      <c r="A420" s="11">
        <v>406</v>
      </c>
      <c r="B420" s="14">
        <f t="shared" si="134"/>
        <v>45449</v>
      </c>
      <c r="C420" s="9">
        <f t="shared" si="135"/>
        <v>842</v>
      </c>
      <c r="D420" s="8">
        <f t="shared" si="123"/>
        <v>1989</v>
      </c>
      <c r="E420" s="7">
        <f t="shared" si="127"/>
        <v>469</v>
      </c>
      <c r="F420" s="7">
        <f t="shared" si="128"/>
        <v>458</v>
      </c>
      <c r="G420" s="7">
        <f t="shared" si="129"/>
        <v>319</v>
      </c>
      <c r="H420" s="4">
        <f t="shared" si="130"/>
        <v>2362</v>
      </c>
      <c r="I420" s="4">
        <f t="shared" si="131"/>
        <v>2373</v>
      </c>
      <c r="J420" s="4">
        <f t="shared" si="132"/>
        <v>2512</v>
      </c>
      <c r="K420" s="4">
        <f t="shared" si="124"/>
        <v>3000</v>
      </c>
      <c r="L420" s="4">
        <f t="shared" si="125"/>
        <v>3000</v>
      </c>
      <c r="M420" s="4">
        <f t="shared" si="126"/>
        <v>3000</v>
      </c>
      <c r="N420" s="4">
        <f t="shared" si="136"/>
        <v>-638</v>
      </c>
      <c r="O420" s="4">
        <f t="shared" si="137"/>
        <v>-627</v>
      </c>
      <c r="P420" s="4">
        <f t="shared" si="138"/>
        <v>-488</v>
      </c>
      <c r="Q420" s="7">
        <v>0</v>
      </c>
      <c r="R420" s="7">
        <v>0</v>
      </c>
      <c r="S420" s="7">
        <v>0</v>
      </c>
      <c r="T420" s="5">
        <f t="shared" si="133"/>
        <v>1168</v>
      </c>
      <c r="U420" s="6">
        <f t="shared" si="118"/>
        <v>1642</v>
      </c>
      <c r="V420" s="6">
        <f t="shared" si="119"/>
        <v>1663</v>
      </c>
      <c r="W420" s="6">
        <f t="shared" si="117"/>
        <v>1812</v>
      </c>
      <c r="X420" s="5"/>
      <c r="Y420" s="4"/>
      <c r="Z420" s="4"/>
      <c r="AA420" s="4"/>
      <c r="AB420" s="4"/>
    </row>
    <row r="421" spans="1:28" ht="13.15" customHeight="1">
      <c r="A421" s="11">
        <v>407</v>
      </c>
      <c r="B421" s="14">
        <f t="shared" si="134"/>
        <v>45450</v>
      </c>
      <c r="C421" s="9">
        <f t="shared" si="135"/>
        <v>842</v>
      </c>
      <c r="D421" s="8">
        <f t="shared" si="123"/>
        <v>1991</v>
      </c>
      <c r="E421" s="7">
        <f t="shared" si="127"/>
        <v>471</v>
      </c>
      <c r="F421" s="7">
        <f t="shared" si="128"/>
        <v>460</v>
      </c>
      <c r="G421" s="7">
        <f t="shared" si="129"/>
        <v>321</v>
      </c>
      <c r="H421" s="4">
        <f t="shared" si="130"/>
        <v>2362</v>
      </c>
      <c r="I421" s="4">
        <f t="shared" si="131"/>
        <v>2373</v>
      </c>
      <c r="J421" s="4">
        <f t="shared" si="132"/>
        <v>2512</v>
      </c>
      <c r="K421" s="4">
        <f t="shared" si="124"/>
        <v>3000</v>
      </c>
      <c r="L421" s="4">
        <f t="shared" si="125"/>
        <v>3000</v>
      </c>
      <c r="M421" s="4">
        <f t="shared" si="126"/>
        <v>3000</v>
      </c>
      <c r="N421" s="4">
        <f t="shared" si="136"/>
        <v>-638</v>
      </c>
      <c r="O421" s="4">
        <f t="shared" si="137"/>
        <v>-627</v>
      </c>
      <c r="P421" s="4">
        <f t="shared" si="138"/>
        <v>-488</v>
      </c>
      <c r="Q421" s="7">
        <v>0</v>
      </c>
      <c r="R421" s="7">
        <v>0</v>
      </c>
      <c r="S421" s="7">
        <v>0</v>
      </c>
      <c r="T421" s="5">
        <f t="shared" si="133"/>
        <v>1170</v>
      </c>
      <c r="U421" s="6">
        <f t="shared" si="118"/>
        <v>1642</v>
      </c>
      <c r="V421" s="6">
        <f t="shared" si="119"/>
        <v>1663</v>
      </c>
      <c r="W421" s="6">
        <f t="shared" si="117"/>
        <v>1812</v>
      </c>
      <c r="X421" s="5"/>
      <c r="Y421" s="4"/>
      <c r="Z421" s="4"/>
      <c r="AA421" s="4"/>
      <c r="AB421" s="4"/>
    </row>
    <row r="422" spans="1:28" ht="13.15" customHeight="1">
      <c r="A422" s="11">
        <v>408</v>
      </c>
      <c r="B422" s="14">
        <f t="shared" si="134"/>
        <v>45451</v>
      </c>
      <c r="C422" s="9">
        <f t="shared" si="135"/>
        <v>842</v>
      </c>
      <c r="D422" s="8">
        <f t="shared" si="123"/>
        <v>1993</v>
      </c>
      <c r="E422" s="7">
        <f t="shared" si="127"/>
        <v>473</v>
      </c>
      <c r="F422" s="7">
        <f t="shared" si="128"/>
        <v>462</v>
      </c>
      <c r="G422" s="7">
        <f t="shared" si="129"/>
        <v>323</v>
      </c>
      <c r="H422" s="4">
        <f t="shared" si="130"/>
        <v>2362</v>
      </c>
      <c r="I422" s="4">
        <f t="shared" si="131"/>
        <v>2373</v>
      </c>
      <c r="J422" s="4">
        <f t="shared" si="132"/>
        <v>2512</v>
      </c>
      <c r="K422" s="4">
        <f t="shared" si="124"/>
        <v>3000</v>
      </c>
      <c r="L422" s="4">
        <f t="shared" si="125"/>
        <v>3000</v>
      </c>
      <c r="M422" s="4">
        <f t="shared" si="126"/>
        <v>3000</v>
      </c>
      <c r="N422" s="4">
        <f t="shared" si="136"/>
        <v>-638</v>
      </c>
      <c r="O422" s="4">
        <f t="shared" si="137"/>
        <v>-627</v>
      </c>
      <c r="P422" s="4">
        <f t="shared" si="138"/>
        <v>-488</v>
      </c>
      <c r="Q422" s="7">
        <v>0</v>
      </c>
      <c r="R422" s="7">
        <v>0</v>
      </c>
      <c r="S422" s="7">
        <v>0</v>
      </c>
      <c r="T422" s="5">
        <f t="shared" si="133"/>
        <v>1172</v>
      </c>
      <c r="U422" s="6">
        <f t="shared" si="118"/>
        <v>1642</v>
      </c>
      <c r="V422" s="6">
        <f t="shared" si="119"/>
        <v>1663</v>
      </c>
      <c r="W422" s="6">
        <f t="shared" si="117"/>
        <v>1812</v>
      </c>
      <c r="X422" s="5"/>
      <c r="Y422" s="4"/>
      <c r="Z422" s="4"/>
      <c r="AA422" s="4"/>
      <c r="AB422" s="4"/>
    </row>
    <row r="423" spans="1:28" ht="13.15" customHeight="1">
      <c r="A423" s="11">
        <v>409</v>
      </c>
      <c r="B423" s="14">
        <f t="shared" si="134"/>
        <v>45452</v>
      </c>
      <c r="C423" s="9">
        <f t="shared" si="135"/>
        <v>842</v>
      </c>
      <c r="D423" s="8">
        <f t="shared" si="123"/>
        <v>1995</v>
      </c>
      <c r="E423" s="7">
        <f t="shared" si="127"/>
        <v>475</v>
      </c>
      <c r="F423" s="7">
        <f t="shared" si="128"/>
        <v>464</v>
      </c>
      <c r="G423" s="7">
        <f t="shared" si="129"/>
        <v>325</v>
      </c>
      <c r="H423" s="4">
        <f t="shared" si="130"/>
        <v>2362</v>
      </c>
      <c r="I423" s="4">
        <f t="shared" si="131"/>
        <v>2373</v>
      </c>
      <c r="J423" s="4">
        <f t="shared" si="132"/>
        <v>2512</v>
      </c>
      <c r="K423" s="4">
        <f t="shared" si="124"/>
        <v>3000</v>
      </c>
      <c r="L423" s="4">
        <f t="shared" si="125"/>
        <v>3000</v>
      </c>
      <c r="M423" s="4">
        <f t="shared" si="126"/>
        <v>3000</v>
      </c>
      <c r="N423" s="4">
        <f t="shared" si="136"/>
        <v>-638</v>
      </c>
      <c r="O423" s="4">
        <f t="shared" si="137"/>
        <v>-627</v>
      </c>
      <c r="P423" s="4">
        <f t="shared" si="138"/>
        <v>-488</v>
      </c>
      <c r="Q423" s="7">
        <v>0</v>
      </c>
      <c r="R423" s="7">
        <v>0</v>
      </c>
      <c r="S423" s="7">
        <v>0</v>
      </c>
      <c r="T423" s="5">
        <f t="shared" si="133"/>
        <v>1174</v>
      </c>
      <c r="U423" s="6">
        <f t="shared" si="118"/>
        <v>1642</v>
      </c>
      <c r="V423" s="6">
        <f t="shared" si="119"/>
        <v>1663</v>
      </c>
      <c r="W423" s="6">
        <f t="shared" ref="W423:W486" si="139">W422+$X423*1000-S423</f>
        <v>1812</v>
      </c>
      <c r="X423" s="5"/>
      <c r="Y423" s="4"/>
      <c r="Z423" s="4"/>
      <c r="AA423" s="4"/>
      <c r="AB423" s="4"/>
    </row>
    <row r="424" spans="1:28" ht="13.15" customHeight="1">
      <c r="A424" s="11">
        <v>410</v>
      </c>
      <c r="B424" s="14">
        <f t="shared" si="134"/>
        <v>45453</v>
      </c>
      <c r="C424" s="9">
        <f t="shared" si="135"/>
        <v>842</v>
      </c>
      <c r="D424" s="8">
        <f t="shared" si="123"/>
        <v>1997</v>
      </c>
      <c r="E424" s="7">
        <f t="shared" si="127"/>
        <v>477</v>
      </c>
      <c r="F424" s="7">
        <f t="shared" si="128"/>
        <v>466</v>
      </c>
      <c r="G424" s="7">
        <f t="shared" si="129"/>
        <v>327</v>
      </c>
      <c r="H424" s="4">
        <f t="shared" si="130"/>
        <v>2362</v>
      </c>
      <c r="I424" s="4">
        <f t="shared" si="131"/>
        <v>2373</v>
      </c>
      <c r="J424" s="4">
        <f t="shared" si="132"/>
        <v>2512</v>
      </c>
      <c r="K424" s="4">
        <f t="shared" si="124"/>
        <v>3000</v>
      </c>
      <c r="L424" s="4">
        <f t="shared" si="125"/>
        <v>3000</v>
      </c>
      <c r="M424" s="4">
        <f t="shared" si="126"/>
        <v>3000</v>
      </c>
      <c r="N424" s="4">
        <f t="shared" si="136"/>
        <v>-638</v>
      </c>
      <c r="O424" s="4">
        <f t="shared" si="137"/>
        <v>-627</v>
      </c>
      <c r="P424" s="4">
        <f t="shared" si="138"/>
        <v>-488</v>
      </c>
      <c r="Q424" s="7">
        <v>0</v>
      </c>
      <c r="R424" s="7">
        <v>0</v>
      </c>
      <c r="S424" s="7">
        <v>0</v>
      </c>
      <c r="T424" s="5">
        <f t="shared" si="133"/>
        <v>1176</v>
      </c>
      <c r="U424" s="6">
        <f t="shared" ref="U424:U487" si="140">U423+$X424*1000-Q424</f>
        <v>1642</v>
      </c>
      <c r="V424" s="6">
        <f t="shared" ref="V424:V487" si="141">V423+$X424*1000-R424</f>
        <v>1663</v>
      </c>
      <c r="W424" s="6">
        <f t="shared" si="139"/>
        <v>1812</v>
      </c>
      <c r="X424" s="5"/>
      <c r="Y424" s="4"/>
      <c r="Z424" s="4"/>
      <c r="AA424" s="4"/>
      <c r="AB424" s="4"/>
    </row>
    <row r="425" spans="1:28" ht="13.15" customHeight="1">
      <c r="A425" s="11">
        <v>411</v>
      </c>
      <c r="B425" s="14">
        <f t="shared" si="134"/>
        <v>45454</v>
      </c>
      <c r="C425" s="9">
        <f t="shared" si="135"/>
        <v>842</v>
      </c>
      <c r="D425" s="8">
        <f t="shared" si="123"/>
        <v>1999</v>
      </c>
      <c r="E425" s="7">
        <f t="shared" si="127"/>
        <v>479</v>
      </c>
      <c r="F425" s="7">
        <f t="shared" si="128"/>
        <v>468</v>
      </c>
      <c r="G425" s="7">
        <f t="shared" si="129"/>
        <v>329</v>
      </c>
      <c r="H425" s="4">
        <f t="shared" si="130"/>
        <v>2362</v>
      </c>
      <c r="I425" s="4">
        <f t="shared" si="131"/>
        <v>2373</v>
      </c>
      <c r="J425" s="4">
        <f t="shared" si="132"/>
        <v>2512</v>
      </c>
      <c r="K425" s="4">
        <f t="shared" si="124"/>
        <v>3000</v>
      </c>
      <c r="L425" s="4">
        <f t="shared" si="125"/>
        <v>3000</v>
      </c>
      <c r="M425" s="4">
        <f t="shared" si="126"/>
        <v>3000</v>
      </c>
      <c r="N425" s="4">
        <f t="shared" si="136"/>
        <v>-638</v>
      </c>
      <c r="O425" s="4">
        <f t="shared" si="137"/>
        <v>-627</v>
      </c>
      <c r="P425" s="4">
        <f t="shared" si="138"/>
        <v>-488</v>
      </c>
      <c r="Q425" s="7">
        <v>0</v>
      </c>
      <c r="R425" s="7">
        <v>0</v>
      </c>
      <c r="S425" s="7">
        <v>0</v>
      </c>
      <c r="T425" s="5">
        <f t="shared" si="133"/>
        <v>1178</v>
      </c>
      <c r="U425" s="6">
        <f t="shared" si="140"/>
        <v>1642</v>
      </c>
      <c r="V425" s="6">
        <f t="shared" si="141"/>
        <v>1663</v>
      </c>
      <c r="W425" s="6">
        <f t="shared" si="139"/>
        <v>1812</v>
      </c>
      <c r="X425" s="5"/>
      <c r="Y425" s="4"/>
      <c r="Z425" s="4"/>
      <c r="AA425" s="4"/>
      <c r="AB425" s="4"/>
    </row>
    <row r="426" spans="1:28" ht="13.15" customHeight="1">
      <c r="A426" s="11">
        <v>412</v>
      </c>
      <c r="B426" s="14">
        <f t="shared" si="134"/>
        <v>45455</v>
      </c>
      <c r="C426" s="9">
        <f t="shared" si="135"/>
        <v>842</v>
      </c>
      <c r="D426" s="8">
        <f t="shared" si="123"/>
        <v>2001</v>
      </c>
      <c r="E426" s="7">
        <f t="shared" si="127"/>
        <v>481</v>
      </c>
      <c r="F426" s="7">
        <f t="shared" si="128"/>
        <v>470</v>
      </c>
      <c r="G426" s="7">
        <f t="shared" si="129"/>
        <v>331</v>
      </c>
      <c r="H426" s="4">
        <f t="shared" si="130"/>
        <v>2362</v>
      </c>
      <c r="I426" s="4">
        <f t="shared" si="131"/>
        <v>2373</v>
      </c>
      <c r="J426" s="4">
        <f t="shared" si="132"/>
        <v>2512</v>
      </c>
      <c r="K426" s="4">
        <f t="shared" si="124"/>
        <v>3000</v>
      </c>
      <c r="L426" s="4">
        <f t="shared" si="125"/>
        <v>3000</v>
      </c>
      <c r="M426" s="4">
        <f t="shared" si="126"/>
        <v>3000</v>
      </c>
      <c r="N426" s="4">
        <f t="shared" si="136"/>
        <v>-638</v>
      </c>
      <c r="O426" s="4">
        <f t="shared" si="137"/>
        <v>-627</v>
      </c>
      <c r="P426" s="4">
        <f t="shared" si="138"/>
        <v>-488</v>
      </c>
      <c r="Q426" s="7">
        <v>0</v>
      </c>
      <c r="R426" s="7">
        <v>0</v>
      </c>
      <c r="S426" s="7">
        <v>0</v>
      </c>
      <c r="T426" s="5">
        <f t="shared" si="133"/>
        <v>1180</v>
      </c>
      <c r="U426" s="6">
        <f t="shared" si="140"/>
        <v>1642</v>
      </c>
      <c r="V426" s="6">
        <f t="shared" si="141"/>
        <v>1663</v>
      </c>
      <c r="W426" s="6">
        <f t="shared" si="139"/>
        <v>1812</v>
      </c>
      <c r="X426" s="5"/>
      <c r="Y426" s="4"/>
      <c r="Z426" s="4"/>
      <c r="AA426" s="4"/>
      <c r="AB426" s="4"/>
    </row>
    <row r="427" spans="1:28" ht="13.15" customHeight="1">
      <c r="A427" s="11">
        <v>413</v>
      </c>
      <c r="B427" s="14">
        <f t="shared" si="134"/>
        <v>45456</v>
      </c>
      <c r="C427" s="9">
        <f t="shared" si="135"/>
        <v>842</v>
      </c>
      <c r="D427" s="8">
        <f t="shared" si="123"/>
        <v>2003</v>
      </c>
      <c r="E427" s="7">
        <f t="shared" si="127"/>
        <v>483</v>
      </c>
      <c r="F427" s="7">
        <f t="shared" si="128"/>
        <v>472</v>
      </c>
      <c r="G427" s="7">
        <f t="shared" si="129"/>
        <v>333</v>
      </c>
      <c r="H427" s="4">
        <f t="shared" si="130"/>
        <v>2362</v>
      </c>
      <c r="I427" s="4">
        <f t="shared" si="131"/>
        <v>2373</v>
      </c>
      <c r="J427" s="4">
        <f t="shared" si="132"/>
        <v>2512</v>
      </c>
      <c r="K427" s="4">
        <f t="shared" si="124"/>
        <v>3000</v>
      </c>
      <c r="L427" s="4">
        <f t="shared" si="125"/>
        <v>3000</v>
      </c>
      <c r="M427" s="4">
        <f t="shared" si="126"/>
        <v>3000</v>
      </c>
      <c r="N427" s="4">
        <f t="shared" si="136"/>
        <v>-638</v>
      </c>
      <c r="O427" s="4">
        <f t="shared" si="137"/>
        <v>-627</v>
      </c>
      <c r="P427" s="4">
        <f t="shared" si="138"/>
        <v>-488</v>
      </c>
      <c r="Q427" s="7">
        <v>0</v>
      </c>
      <c r="R427" s="7">
        <v>0</v>
      </c>
      <c r="S427" s="7">
        <v>0</v>
      </c>
      <c r="T427" s="5">
        <f t="shared" si="133"/>
        <v>1182</v>
      </c>
      <c r="U427" s="6">
        <f t="shared" si="140"/>
        <v>1642</v>
      </c>
      <c r="V427" s="6">
        <f t="shared" si="141"/>
        <v>1663</v>
      </c>
      <c r="W427" s="6">
        <f t="shared" si="139"/>
        <v>1812</v>
      </c>
      <c r="X427" s="5"/>
      <c r="Y427" s="4"/>
      <c r="Z427" s="4"/>
      <c r="AA427" s="4"/>
      <c r="AB427" s="4"/>
    </row>
    <row r="428" spans="1:28" ht="13.15" customHeight="1">
      <c r="A428" s="11">
        <v>414</v>
      </c>
      <c r="B428" s="14">
        <f t="shared" si="134"/>
        <v>45457</v>
      </c>
      <c r="C428" s="9">
        <f t="shared" si="135"/>
        <v>842</v>
      </c>
      <c r="D428" s="8">
        <f t="shared" si="123"/>
        <v>2005</v>
      </c>
      <c r="E428" s="7">
        <f t="shared" si="127"/>
        <v>485</v>
      </c>
      <c r="F428" s="7">
        <f t="shared" si="128"/>
        <v>474</v>
      </c>
      <c r="G428" s="7">
        <f t="shared" si="129"/>
        <v>335</v>
      </c>
      <c r="H428" s="4">
        <f t="shared" si="130"/>
        <v>2362</v>
      </c>
      <c r="I428" s="4">
        <f t="shared" si="131"/>
        <v>2373</v>
      </c>
      <c r="J428" s="4">
        <f t="shared" si="132"/>
        <v>2512</v>
      </c>
      <c r="K428" s="4">
        <f t="shared" ref="K428:K459" si="142">K427</f>
        <v>3000</v>
      </c>
      <c r="L428" s="4">
        <f t="shared" ref="L428:L459" si="143">L427</f>
        <v>3000</v>
      </c>
      <c r="M428" s="4">
        <f t="shared" ref="M428:M459" si="144">M427</f>
        <v>3000</v>
      </c>
      <c r="N428" s="4">
        <f t="shared" si="136"/>
        <v>-638</v>
      </c>
      <c r="O428" s="4">
        <f t="shared" si="137"/>
        <v>-627</v>
      </c>
      <c r="P428" s="4">
        <f t="shared" si="138"/>
        <v>-488</v>
      </c>
      <c r="Q428" s="7">
        <v>0</v>
      </c>
      <c r="R428" s="7">
        <v>0</v>
      </c>
      <c r="S428" s="7">
        <v>0</v>
      </c>
      <c r="T428" s="5">
        <f t="shared" si="133"/>
        <v>1184</v>
      </c>
      <c r="U428" s="6">
        <f t="shared" si="140"/>
        <v>1642</v>
      </c>
      <c r="V428" s="6">
        <f t="shared" si="141"/>
        <v>1663</v>
      </c>
      <c r="W428" s="6">
        <f t="shared" si="139"/>
        <v>1812</v>
      </c>
      <c r="X428" s="5"/>
      <c r="Y428" s="4"/>
      <c r="Z428" s="4"/>
      <c r="AA428" s="4"/>
      <c r="AB428" s="4"/>
    </row>
    <row r="429" spans="1:28" ht="13.15" customHeight="1">
      <c r="A429" s="11">
        <v>415</v>
      </c>
      <c r="B429" s="14">
        <f t="shared" si="134"/>
        <v>45458</v>
      </c>
      <c r="C429" s="9">
        <f t="shared" si="135"/>
        <v>842</v>
      </c>
      <c r="D429" s="8">
        <f t="shared" si="123"/>
        <v>2007</v>
      </c>
      <c r="E429" s="7">
        <f t="shared" si="127"/>
        <v>487</v>
      </c>
      <c r="F429" s="7">
        <f t="shared" si="128"/>
        <v>476</v>
      </c>
      <c r="G429" s="7">
        <f t="shared" si="129"/>
        <v>337</v>
      </c>
      <c r="H429" s="4">
        <f t="shared" si="130"/>
        <v>2362</v>
      </c>
      <c r="I429" s="4">
        <f t="shared" si="131"/>
        <v>2373</v>
      </c>
      <c r="J429" s="4">
        <f t="shared" si="132"/>
        <v>2512</v>
      </c>
      <c r="K429" s="4">
        <f t="shared" si="142"/>
        <v>3000</v>
      </c>
      <c r="L429" s="4">
        <f t="shared" si="143"/>
        <v>3000</v>
      </c>
      <c r="M429" s="4">
        <f t="shared" si="144"/>
        <v>3000</v>
      </c>
      <c r="N429" s="4">
        <f t="shared" si="136"/>
        <v>-638</v>
      </c>
      <c r="O429" s="4">
        <f t="shared" si="137"/>
        <v>-627</v>
      </c>
      <c r="P429" s="4">
        <f t="shared" si="138"/>
        <v>-488</v>
      </c>
      <c r="Q429" s="7">
        <v>0</v>
      </c>
      <c r="R429" s="7">
        <v>0</v>
      </c>
      <c r="S429" s="7">
        <v>0</v>
      </c>
      <c r="T429" s="5">
        <f t="shared" si="133"/>
        <v>1186</v>
      </c>
      <c r="U429" s="6">
        <f t="shared" si="140"/>
        <v>1642</v>
      </c>
      <c r="V429" s="6">
        <f t="shared" si="141"/>
        <v>1663</v>
      </c>
      <c r="W429" s="6">
        <f t="shared" si="139"/>
        <v>1812</v>
      </c>
      <c r="X429" s="5"/>
      <c r="Y429" s="4"/>
      <c r="Z429" s="4"/>
      <c r="AA429" s="4"/>
      <c r="AB429" s="4"/>
    </row>
    <row r="430" spans="1:28" ht="13.15" customHeight="1">
      <c r="A430" s="11">
        <v>416</v>
      </c>
      <c r="B430" s="14">
        <f t="shared" si="134"/>
        <v>45459</v>
      </c>
      <c r="C430" s="9">
        <f t="shared" si="135"/>
        <v>842</v>
      </c>
      <c r="D430" s="8">
        <f t="shared" si="123"/>
        <v>2009</v>
      </c>
      <c r="E430" s="7">
        <f t="shared" si="127"/>
        <v>489</v>
      </c>
      <c r="F430" s="7">
        <f t="shared" si="128"/>
        <v>478</v>
      </c>
      <c r="G430" s="7">
        <f t="shared" si="129"/>
        <v>339</v>
      </c>
      <c r="H430" s="4">
        <f t="shared" si="130"/>
        <v>2362</v>
      </c>
      <c r="I430" s="4">
        <f t="shared" si="131"/>
        <v>2373</v>
      </c>
      <c r="J430" s="4">
        <f t="shared" si="132"/>
        <v>2512</v>
      </c>
      <c r="K430" s="4">
        <f t="shared" si="142"/>
        <v>3000</v>
      </c>
      <c r="L430" s="4">
        <f t="shared" si="143"/>
        <v>3000</v>
      </c>
      <c r="M430" s="4">
        <f t="shared" si="144"/>
        <v>3000</v>
      </c>
      <c r="N430" s="4">
        <f t="shared" si="136"/>
        <v>-638</v>
      </c>
      <c r="O430" s="4">
        <f t="shared" si="137"/>
        <v>-627</v>
      </c>
      <c r="P430" s="4">
        <f t="shared" si="138"/>
        <v>-488</v>
      </c>
      <c r="Q430" s="7">
        <v>0</v>
      </c>
      <c r="R430" s="7">
        <v>0</v>
      </c>
      <c r="S430" s="7">
        <v>0</v>
      </c>
      <c r="T430" s="5">
        <f t="shared" si="133"/>
        <v>1188</v>
      </c>
      <c r="U430" s="6">
        <f t="shared" si="140"/>
        <v>1642</v>
      </c>
      <c r="V430" s="6">
        <f t="shared" si="141"/>
        <v>1663</v>
      </c>
      <c r="W430" s="6">
        <f t="shared" si="139"/>
        <v>1812</v>
      </c>
      <c r="X430" s="5"/>
      <c r="Y430" s="4"/>
      <c r="Z430" s="4"/>
      <c r="AA430" s="4"/>
      <c r="AB430" s="4"/>
    </row>
    <row r="431" spans="1:28" ht="13.15" customHeight="1">
      <c r="A431" s="11">
        <v>417</v>
      </c>
      <c r="B431" s="14">
        <f t="shared" si="134"/>
        <v>45460</v>
      </c>
      <c r="C431" s="9">
        <f t="shared" si="135"/>
        <v>842</v>
      </c>
      <c r="D431" s="8">
        <f t="shared" si="123"/>
        <v>2011</v>
      </c>
      <c r="E431" s="7">
        <f t="shared" si="127"/>
        <v>491</v>
      </c>
      <c r="F431" s="7">
        <f t="shared" si="128"/>
        <v>480</v>
      </c>
      <c r="G431" s="7">
        <f t="shared" si="129"/>
        <v>341</v>
      </c>
      <c r="H431" s="4">
        <f t="shared" si="130"/>
        <v>2362</v>
      </c>
      <c r="I431" s="4">
        <f t="shared" si="131"/>
        <v>2373</v>
      </c>
      <c r="J431" s="4">
        <f t="shared" si="132"/>
        <v>2512</v>
      </c>
      <c r="K431" s="4">
        <f t="shared" si="142"/>
        <v>3000</v>
      </c>
      <c r="L431" s="4">
        <f t="shared" si="143"/>
        <v>3000</v>
      </c>
      <c r="M431" s="4">
        <f t="shared" si="144"/>
        <v>3000</v>
      </c>
      <c r="N431" s="4">
        <f t="shared" si="136"/>
        <v>-638</v>
      </c>
      <c r="O431" s="4">
        <f t="shared" si="137"/>
        <v>-627</v>
      </c>
      <c r="P431" s="4">
        <f t="shared" si="138"/>
        <v>-488</v>
      </c>
      <c r="Q431" s="7">
        <v>0</v>
      </c>
      <c r="R431" s="7">
        <v>0</v>
      </c>
      <c r="S431" s="7">
        <v>0</v>
      </c>
      <c r="T431" s="5">
        <f t="shared" si="133"/>
        <v>1190</v>
      </c>
      <c r="U431" s="6">
        <f t="shared" si="140"/>
        <v>1642</v>
      </c>
      <c r="V431" s="6">
        <f t="shared" si="141"/>
        <v>1663</v>
      </c>
      <c r="W431" s="6">
        <f t="shared" si="139"/>
        <v>1812</v>
      </c>
      <c r="X431" s="5"/>
      <c r="Y431" s="4"/>
      <c r="Z431" s="4"/>
      <c r="AA431" s="4"/>
      <c r="AB431" s="4"/>
    </row>
    <row r="432" spans="1:28" ht="13.15" customHeight="1">
      <c r="A432" s="11">
        <v>418</v>
      </c>
      <c r="B432" s="14">
        <f t="shared" si="134"/>
        <v>45461</v>
      </c>
      <c r="C432" s="9">
        <f t="shared" si="135"/>
        <v>842</v>
      </c>
      <c r="D432" s="8">
        <f t="shared" si="123"/>
        <v>2013</v>
      </c>
      <c r="E432" s="7">
        <f t="shared" si="127"/>
        <v>493</v>
      </c>
      <c r="F432" s="7">
        <f t="shared" si="128"/>
        <v>482</v>
      </c>
      <c r="G432" s="7">
        <f t="shared" si="129"/>
        <v>343</v>
      </c>
      <c r="H432" s="4">
        <f t="shared" si="130"/>
        <v>2362</v>
      </c>
      <c r="I432" s="4">
        <f t="shared" si="131"/>
        <v>2373</v>
      </c>
      <c r="J432" s="4">
        <f t="shared" si="132"/>
        <v>2512</v>
      </c>
      <c r="K432" s="4">
        <f t="shared" si="142"/>
        <v>3000</v>
      </c>
      <c r="L432" s="4">
        <f t="shared" si="143"/>
        <v>3000</v>
      </c>
      <c r="M432" s="4">
        <f t="shared" si="144"/>
        <v>3000</v>
      </c>
      <c r="N432" s="4">
        <f t="shared" si="136"/>
        <v>-638</v>
      </c>
      <c r="O432" s="4">
        <f t="shared" si="137"/>
        <v>-627</v>
      </c>
      <c r="P432" s="4">
        <f t="shared" si="138"/>
        <v>-488</v>
      </c>
      <c r="Q432" s="7">
        <v>0</v>
      </c>
      <c r="R432" s="7">
        <v>0</v>
      </c>
      <c r="S432" s="7">
        <v>0</v>
      </c>
      <c r="T432" s="5">
        <f t="shared" si="133"/>
        <v>1192</v>
      </c>
      <c r="U432" s="6">
        <f t="shared" si="140"/>
        <v>1642</v>
      </c>
      <c r="V432" s="6">
        <f t="shared" si="141"/>
        <v>1663</v>
      </c>
      <c r="W432" s="6">
        <f t="shared" si="139"/>
        <v>1812</v>
      </c>
      <c r="X432" s="5"/>
      <c r="Y432" s="4"/>
      <c r="Z432" s="4"/>
      <c r="AA432" s="4"/>
      <c r="AB432" s="4"/>
    </row>
    <row r="433" spans="1:28" ht="13.15" customHeight="1">
      <c r="A433" s="11">
        <v>419</v>
      </c>
      <c r="B433" s="14">
        <f t="shared" si="134"/>
        <v>45462</v>
      </c>
      <c r="C433" s="9">
        <f t="shared" si="135"/>
        <v>842</v>
      </c>
      <c r="D433" s="8">
        <f t="shared" si="123"/>
        <v>2015</v>
      </c>
      <c r="E433" s="7">
        <f t="shared" si="127"/>
        <v>495</v>
      </c>
      <c r="F433" s="7">
        <f t="shared" si="128"/>
        <v>484</v>
      </c>
      <c r="G433" s="7">
        <f t="shared" si="129"/>
        <v>345</v>
      </c>
      <c r="H433" s="4">
        <f t="shared" si="130"/>
        <v>2362</v>
      </c>
      <c r="I433" s="4">
        <f t="shared" si="131"/>
        <v>2373</v>
      </c>
      <c r="J433" s="4">
        <f t="shared" si="132"/>
        <v>2512</v>
      </c>
      <c r="K433" s="4">
        <f t="shared" si="142"/>
        <v>3000</v>
      </c>
      <c r="L433" s="4">
        <f t="shared" si="143"/>
        <v>3000</v>
      </c>
      <c r="M433" s="4">
        <f t="shared" si="144"/>
        <v>3000</v>
      </c>
      <c r="N433" s="4">
        <f t="shared" si="136"/>
        <v>-638</v>
      </c>
      <c r="O433" s="4">
        <f t="shared" si="137"/>
        <v>-627</v>
      </c>
      <c r="P433" s="4">
        <f t="shared" si="138"/>
        <v>-488</v>
      </c>
      <c r="Q433" s="7">
        <v>0</v>
      </c>
      <c r="R433" s="7">
        <v>0</v>
      </c>
      <c r="S433" s="7">
        <v>0</v>
      </c>
      <c r="T433" s="5">
        <f t="shared" si="133"/>
        <v>1194</v>
      </c>
      <c r="U433" s="6">
        <f t="shared" si="140"/>
        <v>1642</v>
      </c>
      <c r="V433" s="6">
        <f t="shared" si="141"/>
        <v>1663</v>
      </c>
      <c r="W433" s="6">
        <f t="shared" si="139"/>
        <v>1812</v>
      </c>
      <c r="X433" s="5"/>
      <c r="Y433" s="4"/>
      <c r="Z433" s="4"/>
      <c r="AA433" s="4"/>
      <c r="AB433" s="4"/>
    </row>
    <row r="434" spans="1:28" ht="13.15" customHeight="1">
      <c r="A434" s="11">
        <v>420</v>
      </c>
      <c r="B434" s="14">
        <f t="shared" si="134"/>
        <v>45463</v>
      </c>
      <c r="C434" s="9">
        <f t="shared" si="135"/>
        <v>842</v>
      </c>
      <c r="D434" s="8">
        <f t="shared" si="123"/>
        <v>2017</v>
      </c>
      <c r="E434" s="7">
        <f t="shared" si="127"/>
        <v>497</v>
      </c>
      <c r="F434" s="7">
        <f t="shared" si="128"/>
        <v>486</v>
      </c>
      <c r="G434" s="7">
        <f t="shared" si="129"/>
        <v>347</v>
      </c>
      <c r="H434" s="4">
        <f t="shared" si="130"/>
        <v>2362</v>
      </c>
      <c r="I434" s="4">
        <f t="shared" si="131"/>
        <v>2373</v>
      </c>
      <c r="J434" s="4">
        <f t="shared" si="132"/>
        <v>2512</v>
      </c>
      <c r="K434" s="4">
        <f t="shared" si="142"/>
        <v>3000</v>
      </c>
      <c r="L434" s="4">
        <f t="shared" si="143"/>
        <v>3000</v>
      </c>
      <c r="M434" s="4">
        <f t="shared" si="144"/>
        <v>3000</v>
      </c>
      <c r="N434" s="4">
        <f t="shared" si="136"/>
        <v>-638</v>
      </c>
      <c r="O434" s="4">
        <f t="shared" si="137"/>
        <v>-627</v>
      </c>
      <c r="P434" s="4">
        <f t="shared" si="138"/>
        <v>-488</v>
      </c>
      <c r="Q434" s="7">
        <v>0</v>
      </c>
      <c r="R434" s="7">
        <v>0</v>
      </c>
      <c r="S434" s="7">
        <v>0</v>
      </c>
      <c r="T434" s="5">
        <f t="shared" si="133"/>
        <v>1196</v>
      </c>
      <c r="U434" s="6">
        <f t="shared" si="140"/>
        <v>1642</v>
      </c>
      <c r="V434" s="6">
        <f t="shared" si="141"/>
        <v>1663</v>
      </c>
      <c r="W434" s="6">
        <f t="shared" si="139"/>
        <v>1812</v>
      </c>
      <c r="X434" s="5"/>
      <c r="Y434" s="4"/>
      <c r="Z434" s="4"/>
      <c r="AA434" s="4"/>
      <c r="AB434" s="4"/>
    </row>
    <row r="435" spans="1:28" ht="13.15" customHeight="1">
      <c r="A435" s="11">
        <v>421</v>
      </c>
      <c r="B435" s="14">
        <f t="shared" si="134"/>
        <v>45464</v>
      </c>
      <c r="C435" s="9">
        <f t="shared" si="135"/>
        <v>842</v>
      </c>
      <c r="D435" s="8">
        <f t="shared" si="123"/>
        <v>2019</v>
      </c>
      <c r="E435" s="7">
        <f t="shared" si="127"/>
        <v>499</v>
      </c>
      <c r="F435" s="7">
        <f t="shared" si="128"/>
        <v>488</v>
      </c>
      <c r="G435" s="7">
        <f t="shared" si="129"/>
        <v>349</v>
      </c>
      <c r="H435" s="4">
        <f t="shared" si="130"/>
        <v>2362</v>
      </c>
      <c r="I435" s="4">
        <f t="shared" si="131"/>
        <v>2373</v>
      </c>
      <c r="J435" s="4">
        <f t="shared" si="132"/>
        <v>2512</v>
      </c>
      <c r="K435" s="4">
        <f t="shared" si="142"/>
        <v>3000</v>
      </c>
      <c r="L435" s="4">
        <f t="shared" si="143"/>
        <v>3000</v>
      </c>
      <c r="M435" s="4">
        <f t="shared" si="144"/>
        <v>3000</v>
      </c>
      <c r="N435" s="4">
        <f t="shared" si="136"/>
        <v>-638</v>
      </c>
      <c r="O435" s="4">
        <f t="shared" si="137"/>
        <v>-627</v>
      </c>
      <c r="P435" s="4">
        <f t="shared" si="138"/>
        <v>-488</v>
      </c>
      <c r="Q435" s="7">
        <v>0</v>
      </c>
      <c r="R435" s="7">
        <v>0</v>
      </c>
      <c r="S435" s="7">
        <v>0</v>
      </c>
      <c r="T435" s="5">
        <f t="shared" si="133"/>
        <v>1198</v>
      </c>
      <c r="U435" s="6">
        <f t="shared" si="140"/>
        <v>1642</v>
      </c>
      <c r="V435" s="6">
        <f t="shared" si="141"/>
        <v>1663</v>
      </c>
      <c r="W435" s="6">
        <f t="shared" si="139"/>
        <v>1812</v>
      </c>
      <c r="X435" s="5"/>
      <c r="Y435" s="4"/>
      <c r="Z435" s="4"/>
      <c r="AA435" s="4"/>
      <c r="AB435" s="4"/>
    </row>
    <row r="436" spans="1:28" ht="13.15" customHeight="1">
      <c r="A436" s="11">
        <v>422</v>
      </c>
      <c r="B436" s="14">
        <f t="shared" si="134"/>
        <v>45465</v>
      </c>
      <c r="C436" s="9">
        <f t="shared" si="135"/>
        <v>842</v>
      </c>
      <c r="D436" s="8">
        <f t="shared" si="123"/>
        <v>2021</v>
      </c>
      <c r="E436" s="7">
        <f t="shared" si="127"/>
        <v>501</v>
      </c>
      <c r="F436" s="7">
        <f t="shared" si="128"/>
        <v>490</v>
      </c>
      <c r="G436" s="7">
        <f t="shared" si="129"/>
        <v>351</v>
      </c>
      <c r="H436" s="4">
        <f t="shared" si="130"/>
        <v>2362</v>
      </c>
      <c r="I436" s="4">
        <f t="shared" si="131"/>
        <v>2373</v>
      </c>
      <c r="J436" s="4">
        <f t="shared" si="132"/>
        <v>2512</v>
      </c>
      <c r="K436" s="4">
        <f t="shared" si="142"/>
        <v>3000</v>
      </c>
      <c r="L436" s="4">
        <f t="shared" si="143"/>
        <v>3000</v>
      </c>
      <c r="M436" s="4">
        <f t="shared" si="144"/>
        <v>3000</v>
      </c>
      <c r="N436" s="4">
        <f t="shared" si="136"/>
        <v>-638</v>
      </c>
      <c r="O436" s="4">
        <f t="shared" si="137"/>
        <v>-627</v>
      </c>
      <c r="P436" s="4">
        <f t="shared" si="138"/>
        <v>-488</v>
      </c>
      <c r="Q436" s="7">
        <v>0</v>
      </c>
      <c r="R436" s="7">
        <v>0</v>
      </c>
      <c r="S436" s="7">
        <v>0</v>
      </c>
      <c r="T436" s="5">
        <f t="shared" si="133"/>
        <v>1200</v>
      </c>
      <c r="U436" s="6">
        <f t="shared" si="140"/>
        <v>1642</v>
      </c>
      <c r="V436" s="6">
        <f t="shared" si="141"/>
        <v>1663</v>
      </c>
      <c r="W436" s="6">
        <f t="shared" si="139"/>
        <v>1812</v>
      </c>
      <c r="X436" s="5"/>
      <c r="Y436" s="4"/>
      <c r="Z436" s="4"/>
      <c r="AA436" s="4"/>
      <c r="AB436" s="4"/>
    </row>
    <row r="437" spans="1:28" ht="13.15" customHeight="1">
      <c r="A437" s="11">
        <v>423</v>
      </c>
      <c r="B437" s="14">
        <f t="shared" si="134"/>
        <v>45466</v>
      </c>
      <c r="C437" s="9">
        <f t="shared" si="135"/>
        <v>842</v>
      </c>
      <c r="D437" s="8">
        <f t="shared" si="123"/>
        <v>2023</v>
      </c>
      <c r="E437" s="7">
        <f t="shared" si="127"/>
        <v>503</v>
      </c>
      <c r="F437" s="7">
        <f t="shared" si="128"/>
        <v>492</v>
      </c>
      <c r="G437" s="7">
        <f t="shared" si="129"/>
        <v>353</v>
      </c>
      <c r="H437" s="4">
        <f t="shared" si="130"/>
        <v>2362</v>
      </c>
      <c r="I437" s="4">
        <f t="shared" si="131"/>
        <v>2373</v>
      </c>
      <c r="J437" s="4">
        <f t="shared" si="132"/>
        <v>2512</v>
      </c>
      <c r="K437" s="4">
        <f t="shared" si="142"/>
        <v>3000</v>
      </c>
      <c r="L437" s="4">
        <f t="shared" si="143"/>
        <v>3000</v>
      </c>
      <c r="M437" s="4">
        <f t="shared" si="144"/>
        <v>3000</v>
      </c>
      <c r="N437" s="4">
        <f t="shared" si="136"/>
        <v>-638</v>
      </c>
      <c r="O437" s="4">
        <f t="shared" si="137"/>
        <v>-627</v>
      </c>
      <c r="P437" s="4">
        <f t="shared" si="138"/>
        <v>-488</v>
      </c>
      <c r="Q437" s="7">
        <v>0</v>
      </c>
      <c r="R437" s="7">
        <v>0</v>
      </c>
      <c r="S437" s="7">
        <v>0</v>
      </c>
      <c r="T437" s="5">
        <f t="shared" si="133"/>
        <v>1202</v>
      </c>
      <c r="U437" s="6">
        <f t="shared" si="140"/>
        <v>1642</v>
      </c>
      <c r="V437" s="6">
        <f t="shared" si="141"/>
        <v>1663</v>
      </c>
      <c r="W437" s="6">
        <f t="shared" si="139"/>
        <v>1812</v>
      </c>
      <c r="X437" s="5"/>
      <c r="Y437" s="4"/>
      <c r="Z437" s="4"/>
      <c r="AA437" s="4"/>
      <c r="AB437" s="4"/>
    </row>
    <row r="438" spans="1:28" ht="13.15" customHeight="1">
      <c r="A438" s="11">
        <v>424</v>
      </c>
      <c r="B438" s="14">
        <f t="shared" si="134"/>
        <v>45467</v>
      </c>
      <c r="C438" s="9">
        <f t="shared" si="135"/>
        <v>842</v>
      </c>
      <c r="D438" s="8">
        <f t="shared" si="123"/>
        <v>2025</v>
      </c>
      <c r="E438" s="7">
        <f t="shared" si="127"/>
        <v>505</v>
      </c>
      <c r="F438" s="7">
        <f t="shared" si="128"/>
        <v>494</v>
      </c>
      <c r="G438" s="7">
        <f t="shared" si="129"/>
        <v>355</v>
      </c>
      <c r="H438" s="4">
        <f t="shared" si="130"/>
        <v>2362</v>
      </c>
      <c r="I438" s="4">
        <f t="shared" si="131"/>
        <v>2373</v>
      </c>
      <c r="J438" s="4">
        <f t="shared" si="132"/>
        <v>2512</v>
      </c>
      <c r="K438" s="4">
        <f t="shared" si="142"/>
        <v>3000</v>
      </c>
      <c r="L438" s="4">
        <f t="shared" si="143"/>
        <v>3000</v>
      </c>
      <c r="M438" s="4">
        <f t="shared" si="144"/>
        <v>3000</v>
      </c>
      <c r="N438" s="4">
        <f t="shared" si="136"/>
        <v>-638</v>
      </c>
      <c r="O438" s="4">
        <f t="shared" si="137"/>
        <v>-627</v>
      </c>
      <c r="P438" s="4">
        <f t="shared" si="138"/>
        <v>-488</v>
      </c>
      <c r="Q438" s="7">
        <v>0</v>
      </c>
      <c r="R438" s="7">
        <v>0</v>
      </c>
      <c r="S438" s="7">
        <v>0</v>
      </c>
      <c r="T438" s="5">
        <f t="shared" si="133"/>
        <v>1204</v>
      </c>
      <c r="U438" s="6">
        <f t="shared" si="140"/>
        <v>1642</v>
      </c>
      <c r="V438" s="6">
        <f t="shared" si="141"/>
        <v>1663</v>
      </c>
      <c r="W438" s="6">
        <f t="shared" si="139"/>
        <v>1812</v>
      </c>
      <c r="X438" s="5"/>
      <c r="Y438" s="4"/>
      <c r="Z438" s="4"/>
      <c r="AA438" s="4"/>
      <c r="AB438" s="4"/>
    </row>
    <row r="439" spans="1:28" ht="13.15" customHeight="1">
      <c r="A439" s="11">
        <v>425</v>
      </c>
      <c r="B439" s="14">
        <f t="shared" si="134"/>
        <v>45468</v>
      </c>
      <c r="C439" s="9">
        <f t="shared" si="135"/>
        <v>842</v>
      </c>
      <c r="D439" s="8">
        <f t="shared" si="123"/>
        <v>2027</v>
      </c>
      <c r="E439" s="7">
        <f t="shared" si="127"/>
        <v>507</v>
      </c>
      <c r="F439" s="7">
        <f t="shared" si="128"/>
        <v>496</v>
      </c>
      <c r="G439" s="7">
        <f t="shared" si="129"/>
        <v>357</v>
      </c>
      <c r="H439" s="4">
        <f t="shared" si="130"/>
        <v>2362</v>
      </c>
      <c r="I439" s="4">
        <f t="shared" si="131"/>
        <v>2373</v>
      </c>
      <c r="J439" s="4">
        <f t="shared" si="132"/>
        <v>2512</v>
      </c>
      <c r="K439" s="4">
        <f t="shared" si="142"/>
        <v>3000</v>
      </c>
      <c r="L439" s="4">
        <f t="shared" si="143"/>
        <v>3000</v>
      </c>
      <c r="M439" s="4">
        <f t="shared" si="144"/>
        <v>3000</v>
      </c>
      <c r="N439" s="4">
        <f t="shared" si="136"/>
        <v>-638</v>
      </c>
      <c r="O439" s="4">
        <f t="shared" si="137"/>
        <v>-627</v>
      </c>
      <c r="P439" s="4">
        <f t="shared" si="138"/>
        <v>-488</v>
      </c>
      <c r="Q439" s="7">
        <v>0</v>
      </c>
      <c r="R439" s="7">
        <v>0</v>
      </c>
      <c r="S439" s="7">
        <v>0</v>
      </c>
      <c r="T439" s="5">
        <f t="shared" si="133"/>
        <v>1206</v>
      </c>
      <c r="U439" s="6">
        <f t="shared" si="140"/>
        <v>1642</v>
      </c>
      <c r="V439" s="6">
        <f t="shared" si="141"/>
        <v>1663</v>
      </c>
      <c r="W439" s="6">
        <f t="shared" si="139"/>
        <v>1812</v>
      </c>
      <c r="X439" s="5"/>
      <c r="Y439" s="4"/>
      <c r="Z439" s="4"/>
      <c r="AA439" s="4"/>
      <c r="AB439" s="4"/>
    </row>
    <row r="440" spans="1:28" ht="13.15" customHeight="1">
      <c r="A440" s="11">
        <v>426</v>
      </c>
      <c r="B440" s="14">
        <f t="shared" si="134"/>
        <v>45469</v>
      </c>
      <c r="C440" s="9">
        <f t="shared" si="135"/>
        <v>842</v>
      </c>
      <c r="D440" s="8">
        <f t="shared" si="123"/>
        <v>2029</v>
      </c>
      <c r="E440" s="7">
        <f t="shared" si="127"/>
        <v>509</v>
      </c>
      <c r="F440" s="7">
        <f t="shared" si="128"/>
        <v>498</v>
      </c>
      <c r="G440" s="7">
        <f t="shared" si="129"/>
        <v>359</v>
      </c>
      <c r="H440" s="4">
        <f t="shared" si="130"/>
        <v>2362</v>
      </c>
      <c r="I440" s="4">
        <f t="shared" si="131"/>
        <v>2373</v>
      </c>
      <c r="J440" s="4">
        <f t="shared" si="132"/>
        <v>2512</v>
      </c>
      <c r="K440" s="4">
        <f t="shared" si="142"/>
        <v>3000</v>
      </c>
      <c r="L440" s="4">
        <f t="shared" si="143"/>
        <v>3000</v>
      </c>
      <c r="M440" s="4">
        <f t="shared" si="144"/>
        <v>3000</v>
      </c>
      <c r="N440" s="4">
        <f t="shared" si="136"/>
        <v>-638</v>
      </c>
      <c r="O440" s="4">
        <f t="shared" si="137"/>
        <v>-627</v>
      </c>
      <c r="P440" s="4">
        <f t="shared" si="138"/>
        <v>-488</v>
      </c>
      <c r="Q440" s="7">
        <v>0</v>
      </c>
      <c r="R440" s="7">
        <v>0</v>
      </c>
      <c r="S440" s="7">
        <v>0</v>
      </c>
      <c r="T440" s="5">
        <f t="shared" si="133"/>
        <v>1208</v>
      </c>
      <c r="U440" s="6">
        <f t="shared" si="140"/>
        <v>1642</v>
      </c>
      <c r="V440" s="6">
        <f t="shared" si="141"/>
        <v>1663</v>
      </c>
      <c r="W440" s="6">
        <f t="shared" si="139"/>
        <v>1812</v>
      </c>
      <c r="X440" s="5"/>
      <c r="Y440" s="4"/>
      <c r="Z440" s="4"/>
      <c r="AA440" s="4"/>
      <c r="AB440" s="4"/>
    </row>
    <row r="441" spans="1:28" ht="13.15" customHeight="1">
      <c r="A441" s="11">
        <v>427</v>
      </c>
      <c r="B441" s="14">
        <f t="shared" si="134"/>
        <v>45470</v>
      </c>
      <c r="C441" s="9">
        <f t="shared" si="135"/>
        <v>842</v>
      </c>
      <c r="D441" s="8">
        <f t="shared" si="123"/>
        <v>2031</v>
      </c>
      <c r="E441" s="7">
        <f t="shared" si="127"/>
        <v>511</v>
      </c>
      <c r="F441" s="7">
        <f t="shared" si="128"/>
        <v>500</v>
      </c>
      <c r="G441" s="7">
        <f t="shared" si="129"/>
        <v>361</v>
      </c>
      <c r="H441" s="4">
        <f t="shared" si="130"/>
        <v>2362</v>
      </c>
      <c r="I441" s="4">
        <f t="shared" si="131"/>
        <v>2373</v>
      </c>
      <c r="J441" s="4">
        <f t="shared" si="132"/>
        <v>2512</v>
      </c>
      <c r="K441" s="4">
        <f t="shared" si="142"/>
        <v>3000</v>
      </c>
      <c r="L441" s="4">
        <f t="shared" si="143"/>
        <v>3000</v>
      </c>
      <c r="M441" s="4">
        <f t="shared" si="144"/>
        <v>3000</v>
      </c>
      <c r="N441" s="4">
        <f t="shared" si="136"/>
        <v>-638</v>
      </c>
      <c r="O441" s="4">
        <f t="shared" si="137"/>
        <v>-627</v>
      </c>
      <c r="P441" s="4">
        <f t="shared" si="138"/>
        <v>-488</v>
      </c>
      <c r="Q441" s="7">
        <v>0</v>
      </c>
      <c r="R441" s="7">
        <v>0</v>
      </c>
      <c r="S441" s="7">
        <v>0</v>
      </c>
      <c r="T441" s="5">
        <f t="shared" si="133"/>
        <v>1210</v>
      </c>
      <c r="U441" s="6">
        <f t="shared" si="140"/>
        <v>1642</v>
      </c>
      <c r="V441" s="6">
        <f t="shared" si="141"/>
        <v>1663</v>
      </c>
      <c r="W441" s="6">
        <f t="shared" si="139"/>
        <v>1812</v>
      </c>
      <c r="X441" s="5"/>
      <c r="Y441" s="4"/>
      <c r="Z441" s="4"/>
      <c r="AA441" s="4"/>
      <c r="AB441" s="4"/>
    </row>
    <row r="442" spans="1:28" ht="13.15" customHeight="1">
      <c r="A442" s="11">
        <v>428</v>
      </c>
      <c r="B442" s="14">
        <f t="shared" si="134"/>
        <v>45471</v>
      </c>
      <c r="C442" s="9">
        <f t="shared" si="135"/>
        <v>842</v>
      </c>
      <c r="D442" s="8">
        <f t="shared" si="123"/>
        <v>2033</v>
      </c>
      <c r="E442" s="7">
        <f t="shared" si="127"/>
        <v>513</v>
      </c>
      <c r="F442" s="7">
        <f t="shared" si="128"/>
        <v>502</v>
      </c>
      <c r="G442" s="7">
        <f t="shared" si="129"/>
        <v>363</v>
      </c>
      <c r="H442" s="4">
        <f t="shared" si="130"/>
        <v>2362</v>
      </c>
      <c r="I442" s="4">
        <f t="shared" si="131"/>
        <v>2373</v>
      </c>
      <c r="J442" s="4">
        <f t="shared" si="132"/>
        <v>2512</v>
      </c>
      <c r="K442" s="4">
        <f t="shared" si="142"/>
        <v>3000</v>
      </c>
      <c r="L442" s="4">
        <f t="shared" si="143"/>
        <v>3000</v>
      </c>
      <c r="M442" s="4">
        <f t="shared" si="144"/>
        <v>3000</v>
      </c>
      <c r="N442" s="4">
        <f t="shared" si="136"/>
        <v>-638</v>
      </c>
      <c r="O442" s="4">
        <f t="shared" si="137"/>
        <v>-627</v>
      </c>
      <c r="P442" s="4">
        <f t="shared" si="138"/>
        <v>-488</v>
      </c>
      <c r="Q442" s="7">
        <v>0</v>
      </c>
      <c r="R442" s="7">
        <v>0</v>
      </c>
      <c r="S442" s="7">
        <v>0</v>
      </c>
      <c r="T442" s="5">
        <f t="shared" si="133"/>
        <v>1212</v>
      </c>
      <c r="U442" s="6">
        <f t="shared" si="140"/>
        <v>1642</v>
      </c>
      <c r="V442" s="6">
        <f t="shared" si="141"/>
        <v>1663</v>
      </c>
      <c r="W442" s="6">
        <f t="shared" si="139"/>
        <v>1812</v>
      </c>
      <c r="X442" s="5"/>
      <c r="Y442" s="4"/>
      <c r="Z442" s="4"/>
      <c r="AA442" s="4"/>
      <c r="AB442" s="4"/>
    </row>
    <row r="443" spans="1:28" ht="13.15" customHeight="1">
      <c r="A443" s="11">
        <v>429</v>
      </c>
      <c r="B443" s="14">
        <f t="shared" si="134"/>
        <v>45472</v>
      </c>
      <c r="C443" s="9">
        <f t="shared" si="135"/>
        <v>842</v>
      </c>
      <c r="D443" s="8">
        <f t="shared" si="123"/>
        <v>2035</v>
      </c>
      <c r="E443" s="7">
        <f t="shared" si="127"/>
        <v>515</v>
      </c>
      <c r="F443" s="7">
        <f t="shared" si="128"/>
        <v>504</v>
      </c>
      <c r="G443" s="7">
        <f t="shared" si="129"/>
        <v>365</v>
      </c>
      <c r="H443" s="4">
        <f t="shared" si="130"/>
        <v>2362</v>
      </c>
      <c r="I443" s="4">
        <f t="shared" si="131"/>
        <v>2373</v>
      </c>
      <c r="J443" s="4">
        <f t="shared" si="132"/>
        <v>2512</v>
      </c>
      <c r="K443" s="4">
        <f t="shared" si="142"/>
        <v>3000</v>
      </c>
      <c r="L443" s="4">
        <f t="shared" si="143"/>
        <v>3000</v>
      </c>
      <c r="M443" s="4">
        <f t="shared" si="144"/>
        <v>3000</v>
      </c>
      <c r="N443" s="4">
        <f t="shared" si="136"/>
        <v>-638</v>
      </c>
      <c r="O443" s="4">
        <f t="shared" si="137"/>
        <v>-627</v>
      </c>
      <c r="P443" s="4">
        <f t="shared" si="138"/>
        <v>-488</v>
      </c>
      <c r="Q443" s="7">
        <v>0</v>
      </c>
      <c r="R443" s="7">
        <v>0</v>
      </c>
      <c r="S443" s="7">
        <v>0</v>
      </c>
      <c r="T443" s="5">
        <f t="shared" si="133"/>
        <v>1214</v>
      </c>
      <c r="U443" s="6">
        <f t="shared" si="140"/>
        <v>1642</v>
      </c>
      <c r="V443" s="6">
        <f t="shared" si="141"/>
        <v>1663</v>
      </c>
      <c r="W443" s="6">
        <f t="shared" si="139"/>
        <v>1812</v>
      </c>
      <c r="X443" s="5"/>
      <c r="Y443" s="4"/>
      <c r="Z443" s="4"/>
      <c r="AA443" s="4"/>
      <c r="AB443" s="4"/>
    </row>
    <row r="444" spans="1:28" ht="13.15" customHeight="1">
      <c r="A444" s="11">
        <v>430</v>
      </c>
      <c r="B444" s="14">
        <f t="shared" si="134"/>
        <v>45473</v>
      </c>
      <c r="C444" s="9">
        <f t="shared" si="135"/>
        <v>842</v>
      </c>
      <c r="D444" s="8">
        <f t="shared" si="123"/>
        <v>2037</v>
      </c>
      <c r="E444" s="7">
        <f t="shared" si="127"/>
        <v>517</v>
      </c>
      <c r="F444" s="7">
        <f t="shared" si="128"/>
        <v>506</v>
      </c>
      <c r="G444" s="7">
        <f t="shared" si="129"/>
        <v>367</v>
      </c>
      <c r="H444" s="4">
        <f t="shared" si="130"/>
        <v>2362</v>
      </c>
      <c r="I444" s="4">
        <f t="shared" si="131"/>
        <v>2373</v>
      </c>
      <c r="J444" s="4">
        <f t="shared" si="132"/>
        <v>2512</v>
      </c>
      <c r="K444" s="4">
        <f t="shared" si="142"/>
        <v>3000</v>
      </c>
      <c r="L444" s="4">
        <f t="shared" si="143"/>
        <v>3000</v>
      </c>
      <c r="M444" s="4">
        <f t="shared" si="144"/>
        <v>3000</v>
      </c>
      <c r="N444" s="4">
        <f t="shared" si="136"/>
        <v>-638</v>
      </c>
      <c r="O444" s="4">
        <f t="shared" si="137"/>
        <v>-627</v>
      </c>
      <c r="P444" s="4">
        <f t="shared" si="138"/>
        <v>-488</v>
      </c>
      <c r="Q444" s="7">
        <v>0</v>
      </c>
      <c r="R444" s="7">
        <v>0</v>
      </c>
      <c r="S444" s="7">
        <v>0</v>
      </c>
      <c r="T444" s="5">
        <f t="shared" si="133"/>
        <v>1216</v>
      </c>
      <c r="U444" s="6">
        <f t="shared" si="140"/>
        <v>1642</v>
      </c>
      <c r="V444" s="6">
        <f t="shared" si="141"/>
        <v>1663</v>
      </c>
      <c r="W444" s="6">
        <f t="shared" si="139"/>
        <v>1812</v>
      </c>
      <c r="X444" s="5"/>
      <c r="Y444" s="4"/>
      <c r="Z444" s="4"/>
      <c r="AA444" s="4"/>
      <c r="AB444" s="4"/>
    </row>
    <row r="445" spans="1:28" ht="13.15" customHeight="1">
      <c r="A445" s="11">
        <v>431</v>
      </c>
      <c r="B445" s="14">
        <f t="shared" si="134"/>
        <v>45474</v>
      </c>
      <c r="C445" s="9">
        <f t="shared" si="135"/>
        <v>842</v>
      </c>
      <c r="D445" s="8">
        <f t="shared" si="123"/>
        <v>2039</v>
      </c>
      <c r="E445" s="7">
        <f t="shared" si="127"/>
        <v>519</v>
      </c>
      <c r="F445" s="7">
        <f t="shared" si="128"/>
        <v>508</v>
      </c>
      <c r="G445" s="7">
        <f t="shared" si="129"/>
        <v>369</v>
      </c>
      <c r="H445" s="4">
        <f t="shared" si="130"/>
        <v>2362</v>
      </c>
      <c r="I445" s="4">
        <f t="shared" si="131"/>
        <v>2373</v>
      </c>
      <c r="J445" s="4">
        <f t="shared" si="132"/>
        <v>2512</v>
      </c>
      <c r="K445" s="4">
        <f t="shared" si="142"/>
        <v>3000</v>
      </c>
      <c r="L445" s="4">
        <f t="shared" si="143"/>
        <v>3000</v>
      </c>
      <c r="M445" s="4">
        <f t="shared" si="144"/>
        <v>3000</v>
      </c>
      <c r="N445" s="4">
        <f t="shared" si="136"/>
        <v>-638</v>
      </c>
      <c r="O445" s="4">
        <f t="shared" si="137"/>
        <v>-627</v>
      </c>
      <c r="P445" s="4">
        <f t="shared" si="138"/>
        <v>-488</v>
      </c>
      <c r="Q445" s="7">
        <v>0</v>
      </c>
      <c r="R445" s="7">
        <v>0</v>
      </c>
      <c r="S445" s="7">
        <v>0</v>
      </c>
      <c r="T445" s="5">
        <f t="shared" si="133"/>
        <v>1218</v>
      </c>
      <c r="U445" s="6">
        <f t="shared" si="140"/>
        <v>1642</v>
      </c>
      <c r="V445" s="6">
        <f t="shared" si="141"/>
        <v>1663</v>
      </c>
      <c r="W445" s="6">
        <f t="shared" si="139"/>
        <v>1812</v>
      </c>
      <c r="X445" s="5"/>
      <c r="Y445" s="4"/>
      <c r="Z445" s="4"/>
      <c r="AA445" s="4"/>
      <c r="AB445" s="4"/>
    </row>
    <row r="446" spans="1:28" ht="13.15" customHeight="1">
      <c r="A446" s="11">
        <v>432</v>
      </c>
      <c r="B446" s="14">
        <f t="shared" si="134"/>
        <v>45475</v>
      </c>
      <c r="C446" s="9">
        <f t="shared" si="135"/>
        <v>842</v>
      </c>
      <c r="D446" s="8">
        <f t="shared" si="123"/>
        <v>2041</v>
      </c>
      <c r="E446" s="7">
        <f t="shared" si="127"/>
        <v>521</v>
      </c>
      <c r="F446" s="7">
        <f t="shared" si="128"/>
        <v>510</v>
      </c>
      <c r="G446" s="7">
        <f t="shared" si="129"/>
        <v>371</v>
      </c>
      <c r="H446" s="4">
        <f t="shared" si="130"/>
        <v>2362</v>
      </c>
      <c r="I446" s="4">
        <f t="shared" si="131"/>
        <v>2373</v>
      </c>
      <c r="J446" s="4">
        <f t="shared" si="132"/>
        <v>2512</v>
      </c>
      <c r="K446" s="4">
        <f t="shared" si="142"/>
        <v>3000</v>
      </c>
      <c r="L446" s="4">
        <f t="shared" si="143"/>
        <v>3000</v>
      </c>
      <c r="M446" s="4">
        <f t="shared" si="144"/>
        <v>3000</v>
      </c>
      <c r="N446" s="4">
        <f t="shared" si="136"/>
        <v>-638</v>
      </c>
      <c r="O446" s="4">
        <f t="shared" si="137"/>
        <v>-627</v>
      </c>
      <c r="P446" s="4">
        <f t="shared" si="138"/>
        <v>-488</v>
      </c>
      <c r="Q446" s="7">
        <v>0</v>
      </c>
      <c r="R446" s="7">
        <v>0</v>
      </c>
      <c r="S446" s="7">
        <v>0</v>
      </c>
      <c r="T446" s="5">
        <f t="shared" si="133"/>
        <v>1220</v>
      </c>
      <c r="U446" s="6">
        <f t="shared" si="140"/>
        <v>1642</v>
      </c>
      <c r="V446" s="6">
        <f t="shared" si="141"/>
        <v>1663</v>
      </c>
      <c r="W446" s="6">
        <f t="shared" si="139"/>
        <v>1812</v>
      </c>
      <c r="X446" s="5"/>
      <c r="Y446" s="4"/>
      <c r="Z446" s="4"/>
      <c r="AA446" s="4"/>
      <c r="AB446" s="4"/>
    </row>
    <row r="447" spans="1:28" ht="13.15" customHeight="1">
      <c r="A447" s="11">
        <v>433</v>
      </c>
      <c r="B447" s="14">
        <f t="shared" si="134"/>
        <v>45476</v>
      </c>
      <c r="C447" s="9">
        <f t="shared" si="135"/>
        <v>842</v>
      </c>
      <c r="D447" s="8">
        <f t="shared" ref="D447:D510" si="145">D446+2</f>
        <v>2043</v>
      </c>
      <c r="E447" s="7">
        <f t="shared" si="127"/>
        <v>523</v>
      </c>
      <c r="F447" s="7">
        <f t="shared" si="128"/>
        <v>512</v>
      </c>
      <c r="G447" s="7">
        <f t="shared" si="129"/>
        <v>373</v>
      </c>
      <c r="H447" s="4">
        <f t="shared" si="130"/>
        <v>2362</v>
      </c>
      <c r="I447" s="4">
        <f t="shared" si="131"/>
        <v>2373</v>
      </c>
      <c r="J447" s="4">
        <f t="shared" si="132"/>
        <v>2512</v>
      </c>
      <c r="K447" s="4">
        <f t="shared" si="142"/>
        <v>3000</v>
      </c>
      <c r="L447" s="4">
        <f t="shared" si="143"/>
        <v>3000</v>
      </c>
      <c r="M447" s="4">
        <f t="shared" si="144"/>
        <v>3000</v>
      </c>
      <c r="N447" s="4">
        <f t="shared" si="136"/>
        <v>-638</v>
      </c>
      <c r="O447" s="4">
        <f t="shared" si="137"/>
        <v>-627</v>
      </c>
      <c r="P447" s="4">
        <f t="shared" si="138"/>
        <v>-488</v>
      </c>
      <c r="Q447" s="7">
        <v>0</v>
      </c>
      <c r="R447" s="7">
        <v>0</v>
      </c>
      <c r="S447" s="7">
        <v>0</v>
      </c>
      <c r="T447" s="5">
        <f t="shared" si="133"/>
        <v>1222</v>
      </c>
      <c r="U447" s="6">
        <f t="shared" si="140"/>
        <v>1642</v>
      </c>
      <c r="V447" s="6">
        <f t="shared" si="141"/>
        <v>1663</v>
      </c>
      <c r="W447" s="6">
        <f t="shared" si="139"/>
        <v>1812</v>
      </c>
      <c r="X447" s="5"/>
      <c r="Y447" s="4"/>
      <c r="Z447" s="4"/>
      <c r="AA447" s="4"/>
      <c r="AB447" s="4"/>
    </row>
    <row r="448" spans="1:28" ht="13.15" customHeight="1">
      <c r="A448" s="11">
        <v>434</v>
      </c>
      <c r="B448" s="14">
        <f t="shared" si="134"/>
        <v>45477</v>
      </c>
      <c r="C448" s="9">
        <f t="shared" si="135"/>
        <v>842</v>
      </c>
      <c r="D448" s="8">
        <f t="shared" si="145"/>
        <v>2045</v>
      </c>
      <c r="E448" s="7">
        <f t="shared" si="127"/>
        <v>525</v>
      </c>
      <c r="F448" s="7">
        <f t="shared" si="128"/>
        <v>514</v>
      </c>
      <c r="G448" s="7">
        <f t="shared" si="129"/>
        <v>375</v>
      </c>
      <c r="H448" s="4">
        <f t="shared" si="130"/>
        <v>2362</v>
      </c>
      <c r="I448" s="4">
        <f t="shared" si="131"/>
        <v>2373</v>
      </c>
      <c r="J448" s="4">
        <f t="shared" si="132"/>
        <v>2512</v>
      </c>
      <c r="K448" s="4">
        <f t="shared" si="142"/>
        <v>3000</v>
      </c>
      <c r="L448" s="4">
        <f t="shared" si="143"/>
        <v>3000</v>
      </c>
      <c r="M448" s="4">
        <f t="shared" si="144"/>
        <v>3000</v>
      </c>
      <c r="N448" s="4">
        <f t="shared" si="136"/>
        <v>-638</v>
      </c>
      <c r="O448" s="4">
        <f t="shared" si="137"/>
        <v>-627</v>
      </c>
      <c r="P448" s="4">
        <f t="shared" si="138"/>
        <v>-488</v>
      </c>
      <c r="Q448" s="7">
        <v>0</v>
      </c>
      <c r="R448" s="7">
        <v>0</v>
      </c>
      <c r="S448" s="7">
        <v>0</v>
      </c>
      <c r="T448" s="5">
        <f t="shared" si="133"/>
        <v>1224</v>
      </c>
      <c r="U448" s="6">
        <f t="shared" si="140"/>
        <v>1642</v>
      </c>
      <c r="V448" s="6">
        <f t="shared" si="141"/>
        <v>1663</v>
      </c>
      <c r="W448" s="6">
        <f t="shared" si="139"/>
        <v>1812</v>
      </c>
      <c r="X448" s="5"/>
      <c r="Y448" s="4"/>
      <c r="Z448" s="4"/>
      <c r="AA448" s="4"/>
      <c r="AB448" s="4"/>
    </row>
    <row r="449" spans="1:28" ht="13.15" customHeight="1">
      <c r="A449" s="11">
        <v>435</v>
      </c>
      <c r="B449" s="14">
        <f t="shared" si="134"/>
        <v>45478</v>
      </c>
      <c r="C449" s="9">
        <f t="shared" si="135"/>
        <v>842</v>
      </c>
      <c r="D449" s="8">
        <f t="shared" si="145"/>
        <v>2047</v>
      </c>
      <c r="E449" s="7">
        <f t="shared" si="127"/>
        <v>527</v>
      </c>
      <c r="F449" s="7">
        <f t="shared" si="128"/>
        <v>516</v>
      </c>
      <c r="G449" s="7">
        <f t="shared" si="129"/>
        <v>377</v>
      </c>
      <c r="H449" s="4">
        <f t="shared" si="130"/>
        <v>2362</v>
      </c>
      <c r="I449" s="4">
        <f t="shared" si="131"/>
        <v>2373</v>
      </c>
      <c r="J449" s="4">
        <f t="shared" si="132"/>
        <v>2512</v>
      </c>
      <c r="K449" s="4">
        <f t="shared" si="142"/>
        <v>3000</v>
      </c>
      <c r="L449" s="4">
        <f t="shared" si="143"/>
        <v>3000</v>
      </c>
      <c r="M449" s="4">
        <f t="shared" si="144"/>
        <v>3000</v>
      </c>
      <c r="N449" s="4">
        <f t="shared" si="136"/>
        <v>-638</v>
      </c>
      <c r="O449" s="4">
        <f t="shared" si="137"/>
        <v>-627</v>
      </c>
      <c r="P449" s="4">
        <f t="shared" si="138"/>
        <v>-488</v>
      </c>
      <c r="Q449" s="7">
        <v>0</v>
      </c>
      <c r="R449" s="7">
        <v>0</v>
      </c>
      <c r="S449" s="7">
        <v>0</v>
      </c>
      <c r="T449" s="5">
        <f t="shared" si="133"/>
        <v>1226</v>
      </c>
      <c r="U449" s="6">
        <f t="shared" si="140"/>
        <v>1642</v>
      </c>
      <c r="V449" s="6">
        <f t="shared" si="141"/>
        <v>1663</v>
      </c>
      <c r="W449" s="6">
        <f t="shared" si="139"/>
        <v>1812</v>
      </c>
      <c r="X449" s="5"/>
      <c r="Y449" s="4"/>
      <c r="Z449" s="4"/>
      <c r="AA449" s="4"/>
      <c r="AB449" s="4"/>
    </row>
    <row r="450" spans="1:28" ht="13.15" customHeight="1">
      <c r="A450" s="11">
        <v>436</v>
      </c>
      <c r="B450" s="14">
        <f t="shared" si="134"/>
        <v>45479</v>
      </c>
      <c r="C450" s="9">
        <f t="shared" si="135"/>
        <v>842</v>
      </c>
      <c r="D450" s="8">
        <f t="shared" si="145"/>
        <v>2049</v>
      </c>
      <c r="E450" s="7">
        <f t="shared" si="127"/>
        <v>529</v>
      </c>
      <c r="F450" s="7">
        <f t="shared" si="128"/>
        <v>518</v>
      </c>
      <c r="G450" s="7">
        <f t="shared" si="129"/>
        <v>379</v>
      </c>
      <c r="H450" s="4">
        <f t="shared" si="130"/>
        <v>2362</v>
      </c>
      <c r="I450" s="4">
        <f t="shared" si="131"/>
        <v>2373</v>
      </c>
      <c r="J450" s="4">
        <f t="shared" si="132"/>
        <v>2512</v>
      </c>
      <c r="K450" s="4">
        <f t="shared" si="142"/>
        <v>3000</v>
      </c>
      <c r="L450" s="4">
        <f t="shared" si="143"/>
        <v>3000</v>
      </c>
      <c r="M450" s="4">
        <f t="shared" si="144"/>
        <v>3000</v>
      </c>
      <c r="N450" s="4">
        <f t="shared" si="136"/>
        <v>-638</v>
      </c>
      <c r="O450" s="4">
        <f t="shared" si="137"/>
        <v>-627</v>
      </c>
      <c r="P450" s="4">
        <f t="shared" si="138"/>
        <v>-488</v>
      </c>
      <c r="Q450" s="7">
        <v>0</v>
      </c>
      <c r="R450" s="7">
        <v>0</v>
      </c>
      <c r="S450" s="7">
        <v>0</v>
      </c>
      <c r="T450" s="5">
        <f t="shared" si="133"/>
        <v>1228</v>
      </c>
      <c r="U450" s="6">
        <f t="shared" si="140"/>
        <v>1642</v>
      </c>
      <c r="V450" s="6">
        <f t="shared" si="141"/>
        <v>1663</v>
      </c>
      <c r="W450" s="6">
        <f t="shared" si="139"/>
        <v>1812</v>
      </c>
      <c r="X450" s="5"/>
      <c r="Y450" s="4"/>
      <c r="Z450" s="4"/>
      <c r="AA450" s="4"/>
      <c r="AB450" s="4"/>
    </row>
    <row r="451" spans="1:28" ht="13.15" customHeight="1">
      <c r="A451" s="11">
        <v>437</v>
      </c>
      <c r="B451" s="14">
        <f t="shared" si="134"/>
        <v>45480</v>
      </c>
      <c r="C451" s="9">
        <f t="shared" si="135"/>
        <v>842</v>
      </c>
      <c r="D451" s="8">
        <f t="shared" si="145"/>
        <v>2051</v>
      </c>
      <c r="E451" s="7">
        <f t="shared" si="127"/>
        <v>531</v>
      </c>
      <c r="F451" s="7">
        <f t="shared" si="128"/>
        <v>520</v>
      </c>
      <c r="G451" s="7">
        <f t="shared" si="129"/>
        <v>381</v>
      </c>
      <c r="H451" s="4">
        <f t="shared" si="130"/>
        <v>2362</v>
      </c>
      <c r="I451" s="4">
        <f t="shared" si="131"/>
        <v>2373</v>
      </c>
      <c r="J451" s="4">
        <f t="shared" si="132"/>
        <v>2512</v>
      </c>
      <c r="K451" s="4">
        <f t="shared" si="142"/>
        <v>3000</v>
      </c>
      <c r="L451" s="4">
        <f t="shared" si="143"/>
        <v>3000</v>
      </c>
      <c r="M451" s="4">
        <f t="shared" si="144"/>
        <v>3000</v>
      </c>
      <c r="N451" s="4">
        <f t="shared" si="136"/>
        <v>-638</v>
      </c>
      <c r="O451" s="4">
        <f t="shared" si="137"/>
        <v>-627</v>
      </c>
      <c r="P451" s="4">
        <f t="shared" si="138"/>
        <v>-488</v>
      </c>
      <c r="Q451" s="7">
        <v>0</v>
      </c>
      <c r="R451" s="7">
        <v>0</v>
      </c>
      <c r="S451" s="7">
        <v>0</v>
      </c>
      <c r="T451" s="5">
        <f t="shared" si="133"/>
        <v>1230</v>
      </c>
      <c r="U451" s="6">
        <f t="shared" si="140"/>
        <v>1642</v>
      </c>
      <c r="V451" s="6">
        <f t="shared" si="141"/>
        <v>1663</v>
      </c>
      <c r="W451" s="6">
        <f t="shared" si="139"/>
        <v>1812</v>
      </c>
      <c r="X451" s="5"/>
      <c r="Y451" s="4"/>
      <c r="Z451" s="4"/>
      <c r="AA451" s="4"/>
      <c r="AB451" s="4"/>
    </row>
    <row r="452" spans="1:28" ht="13.15" customHeight="1">
      <c r="A452" s="11">
        <v>438</v>
      </c>
      <c r="B452" s="14">
        <f t="shared" si="134"/>
        <v>45481</v>
      </c>
      <c r="C452" s="9">
        <f t="shared" si="135"/>
        <v>842</v>
      </c>
      <c r="D452" s="8">
        <f t="shared" si="145"/>
        <v>2053</v>
      </c>
      <c r="E452" s="7">
        <f t="shared" si="127"/>
        <v>533</v>
      </c>
      <c r="F452" s="7">
        <f t="shared" si="128"/>
        <v>522</v>
      </c>
      <c r="G452" s="7">
        <f t="shared" si="129"/>
        <v>383</v>
      </c>
      <c r="H452" s="4">
        <f t="shared" si="130"/>
        <v>2362</v>
      </c>
      <c r="I452" s="4">
        <f t="shared" si="131"/>
        <v>2373</v>
      </c>
      <c r="J452" s="4">
        <f t="shared" si="132"/>
        <v>2512</v>
      </c>
      <c r="K452" s="4">
        <f t="shared" si="142"/>
        <v>3000</v>
      </c>
      <c r="L452" s="4">
        <f t="shared" si="143"/>
        <v>3000</v>
      </c>
      <c r="M452" s="4">
        <f t="shared" si="144"/>
        <v>3000</v>
      </c>
      <c r="N452" s="4">
        <f t="shared" si="136"/>
        <v>-638</v>
      </c>
      <c r="O452" s="4">
        <f t="shared" si="137"/>
        <v>-627</v>
      </c>
      <c r="P452" s="4">
        <f t="shared" si="138"/>
        <v>-488</v>
      </c>
      <c r="Q452" s="7">
        <v>0</v>
      </c>
      <c r="R452" s="7">
        <v>0</v>
      </c>
      <c r="S452" s="7">
        <v>0</v>
      </c>
      <c r="T452" s="5">
        <f t="shared" si="133"/>
        <v>1232</v>
      </c>
      <c r="U452" s="6">
        <f t="shared" si="140"/>
        <v>1642</v>
      </c>
      <c r="V452" s="6">
        <f t="shared" si="141"/>
        <v>1663</v>
      </c>
      <c r="W452" s="6">
        <f t="shared" si="139"/>
        <v>1812</v>
      </c>
      <c r="X452" s="5"/>
      <c r="Y452" s="4"/>
      <c r="Z452" s="4"/>
      <c r="AA452" s="4"/>
      <c r="AB452" s="4"/>
    </row>
    <row r="453" spans="1:28" ht="13.15" customHeight="1">
      <c r="A453" s="11">
        <v>439</v>
      </c>
      <c r="B453" s="14">
        <f t="shared" si="134"/>
        <v>45482</v>
      </c>
      <c r="C453" s="9">
        <f t="shared" si="135"/>
        <v>842</v>
      </c>
      <c r="D453" s="8">
        <f t="shared" si="145"/>
        <v>2055</v>
      </c>
      <c r="E453" s="7">
        <f t="shared" si="127"/>
        <v>535</v>
      </c>
      <c r="F453" s="7">
        <f t="shared" si="128"/>
        <v>524</v>
      </c>
      <c r="G453" s="7">
        <f t="shared" si="129"/>
        <v>385</v>
      </c>
      <c r="H453" s="4">
        <f t="shared" si="130"/>
        <v>2362</v>
      </c>
      <c r="I453" s="4">
        <f t="shared" si="131"/>
        <v>2373</v>
      </c>
      <c r="J453" s="4">
        <f t="shared" si="132"/>
        <v>2512</v>
      </c>
      <c r="K453" s="4">
        <f t="shared" si="142"/>
        <v>3000</v>
      </c>
      <c r="L453" s="4">
        <f t="shared" si="143"/>
        <v>3000</v>
      </c>
      <c r="M453" s="4">
        <f t="shared" si="144"/>
        <v>3000</v>
      </c>
      <c r="N453" s="4">
        <f t="shared" si="136"/>
        <v>-638</v>
      </c>
      <c r="O453" s="4">
        <f t="shared" si="137"/>
        <v>-627</v>
      </c>
      <c r="P453" s="4">
        <f t="shared" si="138"/>
        <v>-488</v>
      </c>
      <c r="Q453" s="7">
        <v>0</v>
      </c>
      <c r="R453" s="7">
        <v>0</v>
      </c>
      <c r="S453" s="7">
        <v>0</v>
      </c>
      <c r="T453" s="5">
        <f t="shared" si="133"/>
        <v>1234</v>
      </c>
      <c r="U453" s="6">
        <f t="shared" si="140"/>
        <v>1642</v>
      </c>
      <c r="V453" s="6">
        <f t="shared" si="141"/>
        <v>1663</v>
      </c>
      <c r="W453" s="6">
        <f t="shared" si="139"/>
        <v>1812</v>
      </c>
      <c r="X453" s="5"/>
      <c r="Y453" s="4"/>
      <c r="Z453" s="4"/>
      <c r="AA453" s="4"/>
      <c r="AB453" s="4"/>
    </row>
    <row r="454" spans="1:28" ht="13.15" customHeight="1">
      <c r="A454" s="11">
        <v>440</v>
      </c>
      <c r="B454" s="14">
        <f t="shared" si="134"/>
        <v>45483</v>
      </c>
      <c r="C454" s="9">
        <f t="shared" si="135"/>
        <v>842</v>
      </c>
      <c r="D454" s="8">
        <f t="shared" si="145"/>
        <v>2057</v>
      </c>
      <c r="E454" s="7">
        <f t="shared" si="127"/>
        <v>537</v>
      </c>
      <c r="F454" s="7">
        <f t="shared" si="128"/>
        <v>526</v>
      </c>
      <c r="G454" s="7">
        <f t="shared" si="129"/>
        <v>387</v>
      </c>
      <c r="H454" s="4">
        <f t="shared" si="130"/>
        <v>2362</v>
      </c>
      <c r="I454" s="4">
        <f t="shared" si="131"/>
        <v>2373</v>
      </c>
      <c r="J454" s="4">
        <f t="shared" si="132"/>
        <v>2512</v>
      </c>
      <c r="K454" s="4">
        <f t="shared" si="142"/>
        <v>3000</v>
      </c>
      <c r="L454" s="4">
        <f t="shared" si="143"/>
        <v>3000</v>
      </c>
      <c r="M454" s="4">
        <f t="shared" si="144"/>
        <v>3000</v>
      </c>
      <c r="N454" s="4">
        <f t="shared" si="136"/>
        <v>-638</v>
      </c>
      <c r="O454" s="4">
        <f t="shared" si="137"/>
        <v>-627</v>
      </c>
      <c r="P454" s="4">
        <f t="shared" si="138"/>
        <v>-488</v>
      </c>
      <c r="Q454" s="7">
        <v>0</v>
      </c>
      <c r="R454" s="7">
        <v>0</v>
      </c>
      <c r="S454" s="7">
        <v>0</v>
      </c>
      <c r="T454" s="5">
        <f t="shared" si="133"/>
        <v>1236</v>
      </c>
      <c r="U454" s="6">
        <f t="shared" si="140"/>
        <v>1642</v>
      </c>
      <c r="V454" s="6">
        <f t="shared" si="141"/>
        <v>1663</v>
      </c>
      <c r="W454" s="6">
        <f t="shared" si="139"/>
        <v>1812</v>
      </c>
      <c r="X454" s="5"/>
      <c r="Y454" s="4"/>
      <c r="Z454" s="4"/>
      <c r="AA454" s="4"/>
      <c r="AB454" s="4"/>
    </row>
    <row r="455" spans="1:28" ht="13.15" customHeight="1">
      <c r="A455" s="11">
        <v>441</v>
      </c>
      <c r="B455" s="14">
        <f t="shared" si="134"/>
        <v>45484</v>
      </c>
      <c r="C455" s="9">
        <f t="shared" si="135"/>
        <v>842</v>
      </c>
      <c r="D455" s="8">
        <f t="shared" si="145"/>
        <v>2059</v>
      </c>
      <c r="E455" s="7">
        <f t="shared" si="127"/>
        <v>539</v>
      </c>
      <c r="F455" s="7">
        <f t="shared" si="128"/>
        <v>528</v>
      </c>
      <c r="G455" s="7">
        <f t="shared" si="129"/>
        <v>389</v>
      </c>
      <c r="H455" s="4">
        <f t="shared" si="130"/>
        <v>2362</v>
      </c>
      <c r="I455" s="4">
        <f t="shared" si="131"/>
        <v>2373</v>
      </c>
      <c r="J455" s="4">
        <f t="shared" si="132"/>
        <v>2512</v>
      </c>
      <c r="K455" s="4">
        <f t="shared" si="142"/>
        <v>3000</v>
      </c>
      <c r="L455" s="4">
        <f t="shared" si="143"/>
        <v>3000</v>
      </c>
      <c r="M455" s="4">
        <f t="shared" si="144"/>
        <v>3000</v>
      </c>
      <c r="N455" s="4">
        <f t="shared" si="136"/>
        <v>-638</v>
      </c>
      <c r="O455" s="4">
        <f t="shared" si="137"/>
        <v>-627</v>
      </c>
      <c r="P455" s="4">
        <f t="shared" si="138"/>
        <v>-488</v>
      </c>
      <c r="Q455" s="7">
        <v>0</v>
      </c>
      <c r="R455" s="7">
        <v>0</v>
      </c>
      <c r="S455" s="7">
        <v>0</v>
      </c>
      <c r="T455" s="5">
        <f t="shared" si="133"/>
        <v>1238</v>
      </c>
      <c r="U455" s="6">
        <f t="shared" si="140"/>
        <v>1642</v>
      </c>
      <c r="V455" s="6">
        <f t="shared" si="141"/>
        <v>1663</v>
      </c>
      <c r="W455" s="6">
        <f t="shared" si="139"/>
        <v>1812</v>
      </c>
      <c r="X455" s="5"/>
      <c r="Y455" s="4"/>
      <c r="Z455" s="4"/>
      <c r="AA455" s="4"/>
      <c r="AB455" s="4"/>
    </row>
    <row r="456" spans="1:28" ht="13.15" customHeight="1">
      <c r="A456" s="11">
        <v>442</v>
      </c>
      <c r="B456" s="14">
        <f t="shared" si="134"/>
        <v>45485</v>
      </c>
      <c r="C456" s="9">
        <f t="shared" si="135"/>
        <v>842</v>
      </c>
      <c r="D456" s="8">
        <f t="shared" si="145"/>
        <v>2061</v>
      </c>
      <c r="E456" s="7">
        <f t="shared" si="127"/>
        <v>541</v>
      </c>
      <c r="F456" s="7">
        <f t="shared" si="128"/>
        <v>530</v>
      </c>
      <c r="G456" s="7">
        <f t="shared" si="129"/>
        <v>391</v>
      </c>
      <c r="H456" s="4">
        <f t="shared" si="130"/>
        <v>2362</v>
      </c>
      <c r="I456" s="4">
        <f t="shared" si="131"/>
        <v>2373</v>
      </c>
      <c r="J456" s="4">
        <f t="shared" si="132"/>
        <v>2512</v>
      </c>
      <c r="K456" s="4">
        <f t="shared" si="142"/>
        <v>3000</v>
      </c>
      <c r="L456" s="4">
        <f t="shared" si="143"/>
        <v>3000</v>
      </c>
      <c r="M456" s="4">
        <f t="shared" si="144"/>
        <v>3000</v>
      </c>
      <c r="N456" s="4">
        <f t="shared" si="136"/>
        <v>-638</v>
      </c>
      <c r="O456" s="4">
        <f t="shared" si="137"/>
        <v>-627</v>
      </c>
      <c r="P456" s="4">
        <f t="shared" si="138"/>
        <v>-488</v>
      </c>
      <c r="Q456" s="7">
        <v>0</v>
      </c>
      <c r="R456" s="7">
        <v>0</v>
      </c>
      <c r="S456" s="7">
        <v>0</v>
      </c>
      <c r="T456" s="5">
        <f t="shared" si="133"/>
        <v>1240</v>
      </c>
      <c r="U456" s="6">
        <f t="shared" si="140"/>
        <v>1642</v>
      </c>
      <c r="V456" s="6">
        <f t="shared" si="141"/>
        <v>1663</v>
      </c>
      <c r="W456" s="6">
        <f t="shared" si="139"/>
        <v>1812</v>
      </c>
      <c r="X456" s="5"/>
      <c r="Y456" s="4"/>
      <c r="Z456" s="4"/>
      <c r="AA456" s="4"/>
      <c r="AB456" s="4"/>
    </row>
    <row r="457" spans="1:28" ht="13.15" customHeight="1">
      <c r="A457" s="11">
        <v>443</v>
      </c>
      <c r="B457" s="14">
        <f t="shared" si="134"/>
        <v>45486</v>
      </c>
      <c r="C457" s="9">
        <f t="shared" si="135"/>
        <v>842</v>
      </c>
      <c r="D457" s="8">
        <f t="shared" si="145"/>
        <v>2063</v>
      </c>
      <c r="E457" s="7">
        <f t="shared" si="127"/>
        <v>543</v>
      </c>
      <c r="F457" s="7">
        <f t="shared" si="128"/>
        <v>532</v>
      </c>
      <c r="G457" s="7">
        <f t="shared" si="129"/>
        <v>393</v>
      </c>
      <c r="H457" s="4">
        <f t="shared" si="130"/>
        <v>2362</v>
      </c>
      <c r="I457" s="4">
        <f t="shared" si="131"/>
        <v>2373</v>
      </c>
      <c r="J457" s="4">
        <f t="shared" si="132"/>
        <v>2512</v>
      </c>
      <c r="K457" s="4">
        <f t="shared" si="142"/>
        <v>3000</v>
      </c>
      <c r="L457" s="4">
        <f t="shared" si="143"/>
        <v>3000</v>
      </c>
      <c r="M457" s="4">
        <f t="shared" si="144"/>
        <v>3000</v>
      </c>
      <c r="N457" s="4">
        <f t="shared" si="136"/>
        <v>-638</v>
      </c>
      <c r="O457" s="4">
        <f t="shared" si="137"/>
        <v>-627</v>
      </c>
      <c r="P457" s="4">
        <f t="shared" si="138"/>
        <v>-488</v>
      </c>
      <c r="Q457" s="7">
        <v>0</v>
      </c>
      <c r="R457" s="7">
        <v>0</v>
      </c>
      <c r="S457" s="7">
        <v>0</v>
      </c>
      <c r="T457" s="5">
        <f t="shared" si="133"/>
        <v>1242</v>
      </c>
      <c r="U457" s="6">
        <f t="shared" si="140"/>
        <v>1642</v>
      </c>
      <c r="V457" s="6">
        <f t="shared" si="141"/>
        <v>1663</v>
      </c>
      <c r="W457" s="6">
        <f t="shared" si="139"/>
        <v>1812</v>
      </c>
      <c r="X457" s="5"/>
      <c r="Y457" s="4"/>
      <c r="Z457" s="4"/>
      <c r="AA457" s="4"/>
      <c r="AB457" s="4"/>
    </row>
    <row r="458" spans="1:28" ht="13.15" customHeight="1">
      <c r="A458" s="11">
        <v>444</v>
      </c>
      <c r="B458" s="14">
        <f t="shared" si="134"/>
        <v>45487</v>
      </c>
      <c r="C458" s="9">
        <f t="shared" si="135"/>
        <v>842</v>
      </c>
      <c r="D458" s="8">
        <f t="shared" si="145"/>
        <v>2065</v>
      </c>
      <c r="E458" s="7">
        <f t="shared" si="127"/>
        <v>545</v>
      </c>
      <c r="F458" s="7">
        <f t="shared" si="128"/>
        <v>534</v>
      </c>
      <c r="G458" s="7">
        <f t="shared" si="129"/>
        <v>395</v>
      </c>
      <c r="H458" s="4">
        <f t="shared" si="130"/>
        <v>2362</v>
      </c>
      <c r="I458" s="4">
        <f t="shared" si="131"/>
        <v>2373</v>
      </c>
      <c r="J458" s="4">
        <f t="shared" si="132"/>
        <v>2512</v>
      </c>
      <c r="K458" s="4">
        <f t="shared" si="142"/>
        <v>3000</v>
      </c>
      <c r="L458" s="4">
        <f t="shared" si="143"/>
        <v>3000</v>
      </c>
      <c r="M458" s="4">
        <f t="shared" si="144"/>
        <v>3000</v>
      </c>
      <c r="N458" s="4">
        <f t="shared" si="136"/>
        <v>-638</v>
      </c>
      <c r="O458" s="4">
        <f t="shared" si="137"/>
        <v>-627</v>
      </c>
      <c r="P458" s="4">
        <f t="shared" si="138"/>
        <v>-488</v>
      </c>
      <c r="Q458" s="7">
        <v>0</v>
      </c>
      <c r="R458" s="7">
        <v>0</v>
      </c>
      <c r="S458" s="7">
        <v>0</v>
      </c>
      <c r="T458" s="5">
        <f t="shared" si="133"/>
        <v>1244</v>
      </c>
      <c r="U458" s="6">
        <f t="shared" si="140"/>
        <v>1642</v>
      </c>
      <c r="V458" s="6">
        <f t="shared" si="141"/>
        <v>1663</v>
      </c>
      <c r="W458" s="6">
        <f t="shared" si="139"/>
        <v>1812</v>
      </c>
      <c r="X458" s="5"/>
      <c r="Y458" s="4"/>
      <c r="Z458" s="4"/>
      <c r="AA458" s="4"/>
      <c r="AB458" s="4"/>
    </row>
    <row r="459" spans="1:28" ht="13.15" customHeight="1">
      <c r="A459" s="11">
        <v>445</v>
      </c>
      <c r="B459" s="14">
        <f t="shared" si="134"/>
        <v>45488</v>
      </c>
      <c r="C459" s="9">
        <f t="shared" si="135"/>
        <v>842</v>
      </c>
      <c r="D459" s="8">
        <f t="shared" si="145"/>
        <v>2067</v>
      </c>
      <c r="E459" s="7">
        <f t="shared" si="127"/>
        <v>547</v>
      </c>
      <c r="F459" s="7">
        <f t="shared" si="128"/>
        <v>536</v>
      </c>
      <c r="G459" s="7">
        <f t="shared" si="129"/>
        <v>397</v>
      </c>
      <c r="H459" s="4">
        <f t="shared" si="130"/>
        <v>2362</v>
      </c>
      <c r="I459" s="4">
        <f t="shared" si="131"/>
        <v>2373</v>
      </c>
      <c r="J459" s="4">
        <f t="shared" si="132"/>
        <v>2512</v>
      </c>
      <c r="K459" s="4">
        <f t="shared" si="142"/>
        <v>3000</v>
      </c>
      <c r="L459" s="4">
        <f t="shared" si="143"/>
        <v>3000</v>
      </c>
      <c r="M459" s="4">
        <f t="shared" si="144"/>
        <v>3000</v>
      </c>
      <c r="N459" s="4">
        <f t="shared" si="136"/>
        <v>-638</v>
      </c>
      <c r="O459" s="4">
        <f t="shared" si="137"/>
        <v>-627</v>
      </c>
      <c r="P459" s="4">
        <f t="shared" si="138"/>
        <v>-488</v>
      </c>
      <c r="Q459" s="7">
        <v>0</v>
      </c>
      <c r="R459" s="7">
        <v>0</v>
      </c>
      <c r="S459" s="7">
        <v>0</v>
      </c>
      <c r="T459" s="5">
        <f t="shared" si="133"/>
        <v>1246</v>
      </c>
      <c r="U459" s="6">
        <f t="shared" si="140"/>
        <v>1642</v>
      </c>
      <c r="V459" s="6">
        <f t="shared" si="141"/>
        <v>1663</v>
      </c>
      <c r="W459" s="6">
        <f t="shared" si="139"/>
        <v>1812</v>
      </c>
      <c r="X459" s="5"/>
      <c r="Y459" s="4"/>
      <c r="Z459" s="4"/>
      <c r="AA459" s="4"/>
      <c r="AB459" s="4"/>
    </row>
    <row r="460" spans="1:28" ht="13.15" customHeight="1">
      <c r="A460" s="11">
        <v>446</v>
      </c>
      <c r="B460" s="14">
        <f t="shared" si="134"/>
        <v>45489</v>
      </c>
      <c r="C460" s="9">
        <f t="shared" si="135"/>
        <v>842</v>
      </c>
      <c r="D460" s="8">
        <f t="shared" si="145"/>
        <v>2069</v>
      </c>
      <c r="E460" s="7">
        <f t="shared" si="127"/>
        <v>549</v>
      </c>
      <c r="F460" s="7">
        <f t="shared" si="128"/>
        <v>538</v>
      </c>
      <c r="G460" s="7">
        <f t="shared" si="129"/>
        <v>399</v>
      </c>
      <c r="H460" s="4">
        <f t="shared" si="130"/>
        <v>2362</v>
      </c>
      <c r="I460" s="4">
        <f t="shared" si="131"/>
        <v>2373</v>
      </c>
      <c r="J460" s="4">
        <f t="shared" si="132"/>
        <v>2512</v>
      </c>
      <c r="K460" s="4">
        <f t="shared" ref="K460:K491" si="146">K459</f>
        <v>3000</v>
      </c>
      <c r="L460" s="4">
        <f t="shared" ref="L460:L491" si="147">L459</f>
        <v>3000</v>
      </c>
      <c r="M460" s="4">
        <f t="shared" ref="M460:M491" si="148">M459</f>
        <v>3000</v>
      </c>
      <c r="N460" s="4">
        <f t="shared" si="136"/>
        <v>-638</v>
      </c>
      <c r="O460" s="4">
        <f t="shared" si="137"/>
        <v>-627</v>
      </c>
      <c r="P460" s="4">
        <f t="shared" si="138"/>
        <v>-488</v>
      </c>
      <c r="Q460" s="7">
        <v>0</v>
      </c>
      <c r="R460" s="7">
        <v>0</v>
      </c>
      <c r="S460" s="7">
        <v>0</v>
      </c>
      <c r="T460" s="5">
        <f t="shared" si="133"/>
        <v>1248</v>
      </c>
      <c r="U460" s="6">
        <f t="shared" si="140"/>
        <v>1642</v>
      </c>
      <c r="V460" s="6">
        <f t="shared" si="141"/>
        <v>1663</v>
      </c>
      <c r="W460" s="6">
        <f t="shared" si="139"/>
        <v>1812</v>
      </c>
      <c r="X460" s="5"/>
      <c r="Y460" s="4"/>
      <c r="Z460" s="4"/>
      <c r="AA460" s="4"/>
      <c r="AB460" s="4"/>
    </row>
    <row r="461" spans="1:28" ht="13.15" customHeight="1">
      <c r="A461" s="11">
        <v>447</v>
      </c>
      <c r="B461" s="14">
        <f t="shared" si="134"/>
        <v>45490</v>
      </c>
      <c r="C461" s="9">
        <f t="shared" si="135"/>
        <v>842</v>
      </c>
      <c r="D461" s="8">
        <f t="shared" si="145"/>
        <v>2071</v>
      </c>
      <c r="E461" s="7">
        <f t="shared" si="127"/>
        <v>551</v>
      </c>
      <c r="F461" s="7">
        <f t="shared" si="128"/>
        <v>540</v>
      </c>
      <c r="G461" s="7">
        <f t="shared" si="129"/>
        <v>401</v>
      </c>
      <c r="H461" s="4">
        <f t="shared" si="130"/>
        <v>2362</v>
      </c>
      <c r="I461" s="4">
        <f t="shared" si="131"/>
        <v>2373</v>
      </c>
      <c r="J461" s="4">
        <f t="shared" si="132"/>
        <v>2512</v>
      </c>
      <c r="K461" s="4">
        <f t="shared" si="146"/>
        <v>3000</v>
      </c>
      <c r="L461" s="4">
        <f t="shared" si="147"/>
        <v>3000</v>
      </c>
      <c r="M461" s="4">
        <f t="shared" si="148"/>
        <v>3000</v>
      </c>
      <c r="N461" s="4">
        <f t="shared" si="136"/>
        <v>-638</v>
      </c>
      <c r="O461" s="4">
        <f t="shared" si="137"/>
        <v>-627</v>
      </c>
      <c r="P461" s="4">
        <f t="shared" si="138"/>
        <v>-488</v>
      </c>
      <c r="Q461" s="7">
        <v>0</v>
      </c>
      <c r="R461" s="7">
        <v>0</v>
      </c>
      <c r="S461" s="7">
        <v>0</v>
      </c>
      <c r="T461" s="5">
        <f t="shared" si="133"/>
        <v>1250</v>
      </c>
      <c r="U461" s="6">
        <f t="shared" si="140"/>
        <v>1642</v>
      </c>
      <c r="V461" s="6">
        <f t="shared" si="141"/>
        <v>1663</v>
      </c>
      <c r="W461" s="6">
        <f t="shared" si="139"/>
        <v>1812</v>
      </c>
      <c r="X461" s="5"/>
      <c r="Y461" s="4"/>
      <c r="Z461" s="4"/>
      <c r="AA461" s="4"/>
      <c r="AB461" s="4"/>
    </row>
    <row r="462" spans="1:28" ht="13.15" customHeight="1">
      <c r="A462" s="11">
        <v>448</v>
      </c>
      <c r="B462" s="14">
        <f t="shared" si="134"/>
        <v>45491</v>
      </c>
      <c r="C462" s="9">
        <f t="shared" si="135"/>
        <v>842</v>
      </c>
      <c r="D462" s="8">
        <f t="shared" si="145"/>
        <v>2073</v>
      </c>
      <c r="E462" s="7">
        <f t="shared" ref="E462:E525" si="149">C462+D462-H462</f>
        <v>553</v>
      </c>
      <c r="F462" s="7">
        <f t="shared" ref="F462:F525" si="150">C462+D462-I462</f>
        <v>542</v>
      </c>
      <c r="G462" s="7">
        <f t="shared" ref="G462:G525" si="151">D462+C462-J462</f>
        <v>403</v>
      </c>
      <c r="H462" s="4">
        <f t="shared" ref="H462:H525" si="152">K462+N462</f>
        <v>2362</v>
      </c>
      <c r="I462" s="4">
        <f t="shared" ref="I462:I525" si="153">L462+O462</f>
        <v>2373</v>
      </c>
      <c r="J462" s="4">
        <f t="shared" ref="J462:J525" si="154">M462+P462</f>
        <v>2512</v>
      </c>
      <c r="K462" s="4">
        <f t="shared" si="146"/>
        <v>3000</v>
      </c>
      <c r="L462" s="4">
        <f t="shared" si="147"/>
        <v>3000</v>
      </c>
      <c r="M462" s="4">
        <f t="shared" si="148"/>
        <v>3000</v>
      </c>
      <c r="N462" s="4">
        <f t="shared" si="136"/>
        <v>-638</v>
      </c>
      <c r="O462" s="4">
        <f t="shared" si="137"/>
        <v>-627</v>
      </c>
      <c r="P462" s="4">
        <f t="shared" si="138"/>
        <v>-488</v>
      </c>
      <c r="Q462" s="7">
        <v>0</v>
      </c>
      <c r="R462" s="7">
        <v>0</v>
      </c>
      <c r="S462" s="7">
        <v>0</v>
      </c>
      <c r="T462" s="5">
        <f t="shared" ref="T462:T525" si="155">D462+C462-V462</f>
        <v>1252</v>
      </c>
      <c r="U462" s="6">
        <f t="shared" si="140"/>
        <v>1642</v>
      </c>
      <c r="V462" s="6">
        <f t="shared" si="141"/>
        <v>1663</v>
      </c>
      <c r="W462" s="6">
        <f t="shared" si="139"/>
        <v>1812</v>
      </c>
      <c r="X462" s="5"/>
      <c r="Y462" s="4"/>
      <c r="Z462" s="4"/>
      <c r="AA462" s="4"/>
      <c r="AB462" s="4"/>
    </row>
    <row r="463" spans="1:28" ht="13.15" customHeight="1">
      <c r="A463" s="11">
        <v>449</v>
      </c>
      <c r="B463" s="14">
        <f t="shared" ref="B463:B526" si="156">B462+1</f>
        <v>45492</v>
      </c>
      <c r="C463" s="9">
        <f t="shared" ref="C463:C526" si="157">C462</f>
        <v>842</v>
      </c>
      <c r="D463" s="8">
        <f t="shared" si="145"/>
        <v>2075</v>
      </c>
      <c r="E463" s="7">
        <f t="shared" si="149"/>
        <v>555</v>
      </c>
      <c r="F463" s="7">
        <f t="shared" si="150"/>
        <v>544</v>
      </c>
      <c r="G463" s="7">
        <f t="shared" si="151"/>
        <v>405</v>
      </c>
      <c r="H463" s="4">
        <f t="shared" si="152"/>
        <v>2362</v>
      </c>
      <c r="I463" s="4">
        <f t="shared" si="153"/>
        <v>2373</v>
      </c>
      <c r="J463" s="4">
        <f t="shared" si="154"/>
        <v>2512</v>
      </c>
      <c r="K463" s="4">
        <f t="shared" si="146"/>
        <v>3000</v>
      </c>
      <c r="L463" s="4">
        <f t="shared" si="147"/>
        <v>3000</v>
      </c>
      <c r="M463" s="4">
        <f t="shared" si="148"/>
        <v>3000</v>
      </c>
      <c r="N463" s="4">
        <f t="shared" ref="N463:N526" si="158">N462-Q463</f>
        <v>-638</v>
      </c>
      <c r="O463" s="4">
        <f t="shared" ref="O463:O526" si="159">O462-R463</f>
        <v>-627</v>
      </c>
      <c r="P463" s="4">
        <f t="shared" ref="P463:P526" si="160">P462-S463</f>
        <v>-488</v>
      </c>
      <c r="Q463" s="7">
        <v>0</v>
      </c>
      <c r="R463" s="7">
        <v>0</v>
      </c>
      <c r="S463" s="7">
        <v>0</v>
      </c>
      <c r="T463" s="5">
        <f t="shared" si="155"/>
        <v>1254</v>
      </c>
      <c r="U463" s="6">
        <f t="shared" si="140"/>
        <v>1642</v>
      </c>
      <c r="V463" s="6">
        <f t="shared" si="141"/>
        <v>1663</v>
      </c>
      <c r="W463" s="6">
        <f t="shared" si="139"/>
        <v>1812</v>
      </c>
      <c r="X463" s="5"/>
      <c r="Y463" s="4"/>
      <c r="Z463" s="4"/>
      <c r="AA463" s="4"/>
      <c r="AB463" s="4"/>
    </row>
    <row r="464" spans="1:28" ht="13.15" customHeight="1">
      <c r="A464" s="11">
        <v>450</v>
      </c>
      <c r="B464" s="14">
        <f t="shared" si="156"/>
        <v>45493</v>
      </c>
      <c r="C464" s="9">
        <f t="shared" si="157"/>
        <v>842</v>
      </c>
      <c r="D464" s="8">
        <f t="shared" si="145"/>
        <v>2077</v>
      </c>
      <c r="E464" s="7">
        <f t="shared" si="149"/>
        <v>557</v>
      </c>
      <c r="F464" s="7">
        <f t="shared" si="150"/>
        <v>546</v>
      </c>
      <c r="G464" s="7">
        <f t="shared" si="151"/>
        <v>407</v>
      </c>
      <c r="H464" s="4">
        <f t="shared" si="152"/>
        <v>2362</v>
      </c>
      <c r="I464" s="4">
        <f t="shared" si="153"/>
        <v>2373</v>
      </c>
      <c r="J464" s="4">
        <f t="shared" si="154"/>
        <v>2512</v>
      </c>
      <c r="K464" s="4">
        <f t="shared" si="146"/>
        <v>3000</v>
      </c>
      <c r="L464" s="4">
        <f t="shared" si="147"/>
        <v>3000</v>
      </c>
      <c r="M464" s="4">
        <f t="shared" si="148"/>
        <v>3000</v>
      </c>
      <c r="N464" s="4">
        <f t="shared" si="158"/>
        <v>-638</v>
      </c>
      <c r="O464" s="4">
        <f t="shared" si="159"/>
        <v>-627</v>
      </c>
      <c r="P464" s="4">
        <f t="shared" si="160"/>
        <v>-488</v>
      </c>
      <c r="Q464" s="7">
        <v>0</v>
      </c>
      <c r="R464" s="7">
        <v>0</v>
      </c>
      <c r="S464" s="7">
        <v>0</v>
      </c>
      <c r="T464" s="5">
        <f t="shared" si="155"/>
        <v>1256</v>
      </c>
      <c r="U464" s="6">
        <f t="shared" si="140"/>
        <v>1642</v>
      </c>
      <c r="V464" s="6">
        <f t="shared" si="141"/>
        <v>1663</v>
      </c>
      <c r="W464" s="6">
        <f t="shared" si="139"/>
        <v>1812</v>
      </c>
      <c r="X464" s="5"/>
      <c r="Y464" s="4"/>
      <c r="Z464" s="4"/>
      <c r="AA464" s="4"/>
      <c r="AB464" s="4"/>
    </row>
    <row r="465" spans="1:28" ht="13.15" customHeight="1">
      <c r="A465" s="11">
        <v>451</v>
      </c>
      <c r="B465" s="14">
        <f t="shared" si="156"/>
        <v>45494</v>
      </c>
      <c r="C465" s="9">
        <f t="shared" si="157"/>
        <v>842</v>
      </c>
      <c r="D465" s="8">
        <f t="shared" si="145"/>
        <v>2079</v>
      </c>
      <c r="E465" s="7">
        <f t="shared" si="149"/>
        <v>559</v>
      </c>
      <c r="F465" s="7">
        <f t="shared" si="150"/>
        <v>548</v>
      </c>
      <c r="G465" s="7">
        <f t="shared" si="151"/>
        <v>409</v>
      </c>
      <c r="H465" s="4">
        <f t="shared" si="152"/>
        <v>2362</v>
      </c>
      <c r="I465" s="4">
        <f t="shared" si="153"/>
        <v>2373</v>
      </c>
      <c r="J465" s="4">
        <f t="shared" si="154"/>
        <v>2512</v>
      </c>
      <c r="K465" s="4">
        <f t="shared" si="146"/>
        <v>3000</v>
      </c>
      <c r="L465" s="4">
        <f t="shared" si="147"/>
        <v>3000</v>
      </c>
      <c r="M465" s="4">
        <f t="shared" si="148"/>
        <v>3000</v>
      </c>
      <c r="N465" s="4">
        <f t="shared" si="158"/>
        <v>-638</v>
      </c>
      <c r="O465" s="4">
        <f t="shared" si="159"/>
        <v>-627</v>
      </c>
      <c r="P465" s="4">
        <f t="shared" si="160"/>
        <v>-488</v>
      </c>
      <c r="Q465" s="7">
        <v>0</v>
      </c>
      <c r="R465" s="7">
        <v>0</v>
      </c>
      <c r="S465" s="7">
        <v>0</v>
      </c>
      <c r="T465" s="5">
        <f t="shared" si="155"/>
        <v>1258</v>
      </c>
      <c r="U465" s="6">
        <f t="shared" si="140"/>
        <v>1642</v>
      </c>
      <c r="V465" s="6">
        <f t="shared" si="141"/>
        <v>1663</v>
      </c>
      <c r="W465" s="6">
        <f t="shared" si="139"/>
        <v>1812</v>
      </c>
      <c r="X465" s="5"/>
      <c r="Y465" s="4"/>
      <c r="Z465" s="4"/>
      <c r="AA465" s="4"/>
      <c r="AB465" s="4"/>
    </row>
    <row r="466" spans="1:28" ht="13.15" customHeight="1">
      <c r="A466" s="11">
        <v>452</v>
      </c>
      <c r="B466" s="14">
        <f t="shared" si="156"/>
        <v>45495</v>
      </c>
      <c r="C466" s="9">
        <f t="shared" si="157"/>
        <v>842</v>
      </c>
      <c r="D466" s="8">
        <f t="shared" si="145"/>
        <v>2081</v>
      </c>
      <c r="E466" s="7">
        <f t="shared" si="149"/>
        <v>561</v>
      </c>
      <c r="F466" s="7">
        <f t="shared" si="150"/>
        <v>550</v>
      </c>
      <c r="G466" s="7">
        <f t="shared" si="151"/>
        <v>411</v>
      </c>
      <c r="H466" s="4">
        <f t="shared" si="152"/>
        <v>2362</v>
      </c>
      <c r="I466" s="4">
        <f t="shared" si="153"/>
        <v>2373</v>
      </c>
      <c r="J466" s="4">
        <f t="shared" si="154"/>
        <v>2512</v>
      </c>
      <c r="K466" s="4">
        <f t="shared" si="146"/>
        <v>3000</v>
      </c>
      <c r="L466" s="4">
        <f t="shared" si="147"/>
        <v>3000</v>
      </c>
      <c r="M466" s="4">
        <f t="shared" si="148"/>
        <v>3000</v>
      </c>
      <c r="N466" s="4">
        <f t="shared" si="158"/>
        <v>-638</v>
      </c>
      <c r="O466" s="4">
        <f t="shared" si="159"/>
        <v>-627</v>
      </c>
      <c r="P466" s="4">
        <f t="shared" si="160"/>
        <v>-488</v>
      </c>
      <c r="Q466" s="7">
        <v>0</v>
      </c>
      <c r="R466" s="7">
        <v>0</v>
      </c>
      <c r="S466" s="7">
        <v>0</v>
      </c>
      <c r="T466" s="5">
        <f t="shared" si="155"/>
        <v>1260</v>
      </c>
      <c r="U466" s="6">
        <f t="shared" si="140"/>
        <v>1642</v>
      </c>
      <c r="V466" s="6">
        <f t="shared" si="141"/>
        <v>1663</v>
      </c>
      <c r="W466" s="6">
        <f t="shared" si="139"/>
        <v>1812</v>
      </c>
      <c r="X466" s="5"/>
      <c r="Y466" s="4"/>
      <c r="Z466" s="4"/>
      <c r="AA466" s="4"/>
      <c r="AB466" s="4"/>
    </row>
    <row r="467" spans="1:28" ht="13.15" customHeight="1">
      <c r="A467" s="11">
        <v>453</v>
      </c>
      <c r="B467" s="14">
        <f t="shared" si="156"/>
        <v>45496</v>
      </c>
      <c r="C467" s="9">
        <f t="shared" si="157"/>
        <v>842</v>
      </c>
      <c r="D467" s="8">
        <f t="shared" si="145"/>
        <v>2083</v>
      </c>
      <c r="E467" s="7">
        <f t="shared" si="149"/>
        <v>563</v>
      </c>
      <c r="F467" s="7">
        <f t="shared" si="150"/>
        <v>552</v>
      </c>
      <c r="G467" s="7">
        <f t="shared" si="151"/>
        <v>413</v>
      </c>
      <c r="H467" s="4">
        <f t="shared" si="152"/>
        <v>2362</v>
      </c>
      <c r="I467" s="4">
        <f t="shared" si="153"/>
        <v>2373</v>
      </c>
      <c r="J467" s="4">
        <f t="shared" si="154"/>
        <v>2512</v>
      </c>
      <c r="K467" s="4">
        <f t="shared" si="146"/>
        <v>3000</v>
      </c>
      <c r="L467" s="4">
        <f t="shared" si="147"/>
        <v>3000</v>
      </c>
      <c r="M467" s="4">
        <f t="shared" si="148"/>
        <v>3000</v>
      </c>
      <c r="N467" s="4">
        <f t="shared" si="158"/>
        <v>-638</v>
      </c>
      <c r="O467" s="4">
        <f t="shared" si="159"/>
        <v>-627</v>
      </c>
      <c r="P467" s="4">
        <f t="shared" si="160"/>
        <v>-488</v>
      </c>
      <c r="Q467" s="7">
        <v>0</v>
      </c>
      <c r="R467" s="7">
        <v>0</v>
      </c>
      <c r="S467" s="7">
        <v>0</v>
      </c>
      <c r="T467" s="5">
        <f t="shared" si="155"/>
        <v>1262</v>
      </c>
      <c r="U467" s="6">
        <f t="shared" si="140"/>
        <v>1642</v>
      </c>
      <c r="V467" s="6">
        <f t="shared" si="141"/>
        <v>1663</v>
      </c>
      <c r="W467" s="6">
        <f t="shared" si="139"/>
        <v>1812</v>
      </c>
      <c r="X467" s="5"/>
      <c r="Y467" s="4"/>
      <c r="Z467" s="4"/>
      <c r="AA467" s="4"/>
      <c r="AB467" s="4"/>
    </row>
    <row r="468" spans="1:28" ht="13.15" customHeight="1">
      <c r="A468" s="11">
        <v>454</v>
      </c>
      <c r="B468" s="14">
        <f t="shared" si="156"/>
        <v>45497</v>
      </c>
      <c r="C468" s="9">
        <f t="shared" si="157"/>
        <v>842</v>
      </c>
      <c r="D468" s="8">
        <f t="shared" si="145"/>
        <v>2085</v>
      </c>
      <c r="E468" s="7">
        <f t="shared" si="149"/>
        <v>565</v>
      </c>
      <c r="F468" s="7">
        <f t="shared" si="150"/>
        <v>554</v>
      </c>
      <c r="G468" s="7">
        <f t="shared" si="151"/>
        <v>415</v>
      </c>
      <c r="H468" s="4">
        <f t="shared" si="152"/>
        <v>2362</v>
      </c>
      <c r="I468" s="4">
        <f t="shared" si="153"/>
        <v>2373</v>
      </c>
      <c r="J468" s="4">
        <f t="shared" si="154"/>
        <v>2512</v>
      </c>
      <c r="K468" s="4">
        <f t="shared" si="146"/>
        <v>3000</v>
      </c>
      <c r="L468" s="4">
        <f t="shared" si="147"/>
        <v>3000</v>
      </c>
      <c r="M468" s="4">
        <f t="shared" si="148"/>
        <v>3000</v>
      </c>
      <c r="N468" s="4">
        <f t="shared" si="158"/>
        <v>-638</v>
      </c>
      <c r="O468" s="4">
        <f t="shared" si="159"/>
        <v>-627</v>
      </c>
      <c r="P468" s="4">
        <f t="shared" si="160"/>
        <v>-488</v>
      </c>
      <c r="Q468" s="7">
        <v>0</v>
      </c>
      <c r="R468" s="7">
        <v>0</v>
      </c>
      <c r="S468" s="7">
        <v>0</v>
      </c>
      <c r="T468" s="5">
        <f t="shared" si="155"/>
        <v>1264</v>
      </c>
      <c r="U468" s="6">
        <f t="shared" si="140"/>
        <v>1642</v>
      </c>
      <c r="V468" s="6">
        <f t="shared" si="141"/>
        <v>1663</v>
      </c>
      <c r="W468" s="6">
        <f t="shared" si="139"/>
        <v>1812</v>
      </c>
      <c r="X468" s="5"/>
      <c r="Y468" s="4"/>
      <c r="Z468" s="4"/>
      <c r="AA468" s="4"/>
      <c r="AB468" s="4"/>
    </row>
    <row r="469" spans="1:28" ht="13.15" customHeight="1">
      <c r="A469" s="11">
        <v>455</v>
      </c>
      <c r="B469" s="14">
        <f t="shared" si="156"/>
        <v>45498</v>
      </c>
      <c r="C469" s="9">
        <f t="shared" si="157"/>
        <v>842</v>
      </c>
      <c r="D469" s="8">
        <f t="shared" si="145"/>
        <v>2087</v>
      </c>
      <c r="E469" s="7">
        <f t="shared" si="149"/>
        <v>567</v>
      </c>
      <c r="F469" s="7">
        <f t="shared" si="150"/>
        <v>556</v>
      </c>
      <c r="G469" s="7">
        <f t="shared" si="151"/>
        <v>417</v>
      </c>
      <c r="H469" s="4">
        <f t="shared" si="152"/>
        <v>2362</v>
      </c>
      <c r="I469" s="4">
        <f t="shared" si="153"/>
        <v>2373</v>
      </c>
      <c r="J469" s="4">
        <f t="shared" si="154"/>
        <v>2512</v>
      </c>
      <c r="K469" s="4">
        <f t="shared" si="146"/>
        <v>3000</v>
      </c>
      <c r="L469" s="4">
        <f t="shared" si="147"/>
        <v>3000</v>
      </c>
      <c r="M469" s="4">
        <f t="shared" si="148"/>
        <v>3000</v>
      </c>
      <c r="N469" s="4">
        <f t="shared" si="158"/>
        <v>-638</v>
      </c>
      <c r="O469" s="4">
        <f t="shared" si="159"/>
        <v>-627</v>
      </c>
      <c r="P469" s="4">
        <f t="shared" si="160"/>
        <v>-488</v>
      </c>
      <c r="Q469" s="7">
        <v>0</v>
      </c>
      <c r="R469" s="7">
        <v>0</v>
      </c>
      <c r="S469" s="7">
        <v>0</v>
      </c>
      <c r="T469" s="5">
        <f t="shared" si="155"/>
        <v>1266</v>
      </c>
      <c r="U469" s="6">
        <f t="shared" si="140"/>
        <v>1642</v>
      </c>
      <c r="V469" s="6">
        <f t="shared" si="141"/>
        <v>1663</v>
      </c>
      <c r="W469" s="6">
        <f t="shared" si="139"/>
        <v>1812</v>
      </c>
      <c r="X469" s="5"/>
      <c r="Y469" s="4"/>
      <c r="Z469" s="4"/>
      <c r="AA469" s="4"/>
      <c r="AB469" s="4"/>
    </row>
    <row r="470" spans="1:28" ht="13.15" customHeight="1">
      <c r="A470" s="11">
        <v>456</v>
      </c>
      <c r="B470" s="14">
        <f t="shared" si="156"/>
        <v>45499</v>
      </c>
      <c r="C470" s="9">
        <f t="shared" si="157"/>
        <v>842</v>
      </c>
      <c r="D470" s="8">
        <f t="shared" si="145"/>
        <v>2089</v>
      </c>
      <c r="E470" s="7">
        <f t="shared" si="149"/>
        <v>569</v>
      </c>
      <c r="F470" s="7">
        <f t="shared" si="150"/>
        <v>558</v>
      </c>
      <c r="G470" s="7">
        <f t="shared" si="151"/>
        <v>419</v>
      </c>
      <c r="H470" s="4">
        <f t="shared" si="152"/>
        <v>2362</v>
      </c>
      <c r="I470" s="4">
        <f t="shared" si="153"/>
        <v>2373</v>
      </c>
      <c r="J470" s="4">
        <f t="shared" si="154"/>
        <v>2512</v>
      </c>
      <c r="K470" s="4">
        <f t="shared" si="146"/>
        <v>3000</v>
      </c>
      <c r="L470" s="4">
        <f t="shared" si="147"/>
        <v>3000</v>
      </c>
      <c r="M470" s="4">
        <f t="shared" si="148"/>
        <v>3000</v>
      </c>
      <c r="N470" s="4">
        <f t="shared" si="158"/>
        <v>-638</v>
      </c>
      <c r="O470" s="4">
        <f t="shared" si="159"/>
        <v>-627</v>
      </c>
      <c r="P470" s="4">
        <f t="shared" si="160"/>
        <v>-488</v>
      </c>
      <c r="Q470" s="7">
        <v>0</v>
      </c>
      <c r="R470" s="7">
        <v>0</v>
      </c>
      <c r="S470" s="7">
        <v>0</v>
      </c>
      <c r="T470" s="5">
        <f t="shared" si="155"/>
        <v>1268</v>
      </c>
      <c r="U470" s="6">
        <f t="shared" si="140"/>
        <v>1642</v>
      </c>
      <c r="V470" s="6">
        <f t="shared" si="141"/>
        <v>1663</v>
      </c>
      <c r="W470" s="6">
        <f t="shared" si="139"/>
        <v>1812</v>
      </c>
      <c r="X470" s="5"/>
      <c r="Y470" s="4"/>
      <c r="Z470" s="4"/>
      <c r="AA470" s="4"/>
      <c r="AB470" s="4"/>
    </row>
    <row r="471" spans="1:28" ht="13.15" customHeight="1">
      <c r="A471" s="11">
        <v>457</v>
      </c>
      <c r="B471" s="14">
        <f t="shared" si="156"/>
        <v>45500</v>
      </c>
      <c r="C471" s="9">
        <f t="shared" si="157"/>
        <v>842</v>
      </c>
      <c r="D471" s="8">
        <f t="shared" si="145"/>
        <v>2091</v>
      </c>
      <c r="E471" s="7">
        <f t="shared" si="149"/>
        <v>571</v>
      </c>
      <c r="F471" s="7">
        <f t="shared" si="150"/>
        <v>560</v>
      </c>
      <c r="G471" s="7">
        <f t="shared" si="151"/>
        <v>421</v>
      </c>
      <c r="H471" s="4">
        <f t="shared" si="152"/>
        <v>2362</v>
      </c>
      <c r="I471" s="4">
        <f t="shared" si="153"/>
        <v>2373</v>
      </c>
      <c r="J471" s="4">
        <f t="shared" si="154"/>
        <v>2512</v>
      </c>
      <c r="K471" s="4">
        <f t="shared" si="146"/>
        <v>3000</v>
      </c>
      <c r="L471" s="4">
        <f t="shared" si="147"/>
        <v>3000</v>
      </c>
      <c r="M471" s="4">
        <f t="shared" si="148"/>
        <v>3000</v>
      </c>
      <c r="N471" s="4">
        <f t="shared" si="158"/>
        <v>-638</v>
      </c>
      <c r="O471" s="4">
        <f t="shared" si="159"/>
        <v>-627</v>
      </c>
      <c r="P471" s="4">
        <f t="shared" si="160"/>
        <v>-488</v>
      </c>
      <c r="Q471" s="7">
        <v>0</v>
      </c>
      <c r="R471" s="7">
        <v>0</v>
      </c>
      <c r="S471" s="7">
        <v>0</v>
      </c>
      <c r="T471" s="5">
        <f t="shared" si="155"/>
        <v>1270</v>
      </c>
      <c r="U471" s="6">
        <f t="shared" si="140"/>
        <v>1642</v>
      </c>
      <c r="V471" s="6">
        <f t="shared" si="141"/>
        <v>1663</v>
      </c>
      <c r="W471" s="6">
        <f t="shared" si="139"/>
        <v>1812</v>
      </c>
      <c r="X471" s="5"/>
      <c r="Y471" s="4"/>
      <c r="Z471" s="4"/>
      <c r="AA471" s="4"/>
      <c r="AB471" s="4"/>
    </row>
    <row r="472" spans="1:28" ht="13.15" customHeight="1">
      <c r="A472" s="11">
        <v>458</v>
      </c>
      <c r="B472" s="14">
        <f t="shared" si="156"/>
        <v>45501</v>
      </c>
      <c r="C472" s="9">
        <f t="shared" si="157"/>
        <v>842</v>
      </c>
      <c r="D472" s="8">
        <f t="shared" si="145"/>
        <v>2093</v>
      </c>
      <c r="E472" s="7">
        <f t="shared" si="149"/>
        <v>573</v>
      </c>
      <c r="F472" s="7">
        <f t="shared" si="150"/>
        <v>562</v>
      </c>
      <c r="G472" s="7">
        <f t="shared" si="151"/>
        <v>423</v>
      </c>
      <c r="H472" s="4">
        <f t="shared" si="152"/>
        <v>2362</v>
      </c>
      <c r="I472" s="4">
        <f t="shared" si="153"/>
        <v>2373</v>
      </c>
      <c r="J472" s="4">
        <f t="shared" si="154"/>
        <v>2512</v>
      </c>
      <c r="K472" s="4">
        <f t="shared" si="146"/>
        <v>3000</v>
      </c>
      <c r="L472" s="4">
        <f t="shared" si="147"/>
        <v>3000</v>
      </c>
      <c r="M472" s="4">
        <f t="shared" si="148"/>
        <v>3000</v>
      </c>
      <c r="N472" s="4">
        <f t="shared" si="158"/>
        <v>-638</v>
      </c>
      <c r="O472" s="4">
        <f t="shared" si="159"/>
        <v>-627</v>
      </c>
      <c r="P472" s="4">
        <f t="shared" si="160"/>
        <v>-488</v>
      </c>
      <c r="Q472" s="7">
        <v>0</v>
      </c>
      <c r="R472" s="7">
        <v>0</v>
      </c>
      <c r="S472" s="7">
        <v>0</v>
      </c>
      <c r="T472" s="5">
        <f t="shared" si="155"/>
        <v>1272</v>
      </c>
      <c r="U472" s="6">
        <f t="shared" si="140"/>
        <v>1642</v>
      </c>
      <c r="V472" s="6">
        <f t="shared" si="141"/>
        <v>1663</v>
      </c>
      <c r="W472" s="6">
        <f t="shared" si="139"/>
        <v>1812</v>
      </c>
      <c r="X472" s="5"/>
      <c r="Y472" s="4"/>
      <c r="Z472" s="4"/>
      <c r="AA472" s="4"/>
      <c r="AB472" s="4"/>
    </row>
    <row r="473" spans="1:28" ht="13.15" customHeight="1">
      <c r="A473" s="11">
        <v>459</v>
      </c>
      <c r="B473" s="14">
        <f t="shared" si="156"/>
        <v>45502</v>
      </c>
      <c r="C473" s="9">
        <f t="shared" si="157"/>
        <v>842</v>
      </c>
      <c r="D473" s="8">
        <f t="shared" si="145"/>
        <v>2095</v>
      </c>
      <c r="E473" s="7">
        <f t="shared" si="149"/>
        <v>575</v>
      </c>
      <c r="F473" s="7">
        <f t="shared" si="150"/>
        <v>564</v>
      </c>
      <c r="G473" s="7">
        <f t="shared" si="151"/>
        <v>425</v>
      </c>
      <c r="H473" s="4">
        <f t="shared" si="152"/>
        <v>2362</v>
      </c>
      <c r="I473" s="4">
        <f t="shared" si="153"/>
        <v>2373</v>
      </c>
      <c r="J473" s="4">
        <f t="shared" si="154"/>
        <v>2512</v>
      </c>
      <c r="K473" s="4">
        <f t="shared" si="146"/>
        <v>3000</v>
      </c>
      <c r="L473" s="4">
        <f t="shared" si="147"/>
        <v>3000</v>
      </c>
      <c r="M473" s="4">
        <f t="shared" si="148"/>
        <v>3000</v>
      </c>
      <c r="N473" s="4">
        <f t="shared" si="158"/>
        <v>-638</v>
      </c>
      <c r="O473" s="4">
        <f t="shared" si="159"/>
        <v>-627</v>
      </c>
      <c r="P473" s="4">
        <f t="shared" si="160"/>
        <v>-488</v>
      </c>
      <c r="Q473" s="7">
        <v>0</v>
      </c>
      <c r="R473" s="7">
        <v>0</v>
      </c>
      <c r="S473" s="7">
        <v>0</v>
      </c>
      <c r="T473" s="5">
        <f t="shared" si="155"/>
        <v>1274</v>
      </c>
      <c r="U473" s="6">
        <f t="shared" si="140"/>
        <v>1642</v>
      </c>
      <c r="V473" s="6">
        <f t="shared" si="141"/>
        <v>1663</v>
      </c>
      <c r="W473" s="6">
        <f t="shared" si="139"/>
        <v>1812</v>
      </c>
      <c r="X473" s="5"/>
      <c r="Y473" s="4"/>
      <c r="Z473" s="4"/>
      <c r="AA473" s="4"/>
      <c r="AB473" s="4"/>
    </row>
    <row r="474" spans="1:28" ht="13.15" customHeight="1">
      <c r="A474" s="11">
        <v>460</v>
      </c>
      <c r="B474" s="14">
        <f t="shared" si="156"/>
        <v>45503</v>
      </c>
      <c r="C474" s="9">
        <f t="shared" si="157"/>
        <v>842</v>
      </c>
      <c r="D474" s="8">
        <f t="shared" si="145"/>
        <v>2097</v>
      </c>
      <c r="E474" s="7">
        <f t="shared" si="149"/>
        <v>577</v>
      </c>
      <c r="F474" s="7">
        <f t="shared" si="150"/>
        <v>566</v>
      </c>
      <c r="G474" s="7">
        <f t="shared" si="151"/>
        <v>427</v>
      </c>
      <c r="H474" s="4">
        <f t="shared" si="152"/>
        <v>2362</v>
      </c>
      <c r="I474" s="4">
        <f t="shared" si="153"/>
        <v>2373</v>
      </c>
      <c r="J474" s="4">
        <f t="shared" si="154"/>
        <v>2512</v>
      </c>
      <c r="K474" s="4">
        <f t="shared" si="146"/>
        <v>3000</v>
      </c>
      <c r="L474" s="4">
        <f t="shared" si="147"/>
        <v>3000</v>
      </c>
      <c r="M474" s="4">
        <f t="shared" si="148"/>
        <v>3000</v>
      </c>
      <c r="N474" s="4">
        <f t="shared" si="158"/>
        <v>-638</v>
      </c>
      <c r="O474" s="4">
        <f t="shared" si="159"/>
        <v>-627</v>
      </c>
      <c r="P474" s="4">
        <f t="shared" si="160"/>
        <v>-488</v>
      </c>
      <c r="Q474" s="7">
        <v>0</v>
      </c>
      <c r="R474" s="7">
        <v>0</v>
      </c>
      <c r="S474" s="7">
        <v>0</v>
      </c>
      <c r="T474" s="5">
        <f t="shared" si="155"/>
        <v>1276</v>
      </c>
      <c r="U474" s="6">
        <f t="shared" si="140"/>
        <v>1642</v>
      </c>
      <c r="V474" s="6">
        <f t="shared" si="141"/>
        <v>1663</v>
      </c>
      <c r="W474" s="6">
        <f t="shared" si="139"/>
        <v>1812</v>
      </c>
      <c r="X474" s="5"/>
      <c r="Y474" s="4"/>
      <c r="Z474" s="4"/>
      <c r="AA474" s="4"/>
      <c r="AB474" s="4"/>
    </row>
    <row r="475" spans="1:28" ht="13.15" customHeight="1">
      <c r="A475" s="11">
        <v>461</v>
      </c>
      <c r="B475" s="14">
        <f t="shared" si="156"/>
        <v>45504</v>
      </c>
      <c r="C475" s="9">
        <f t="shared" si="157"/>
        <v>842</v>
      </c>
      <c r="D475" s="8">
        <f t="shared" si="145"/>
        <v>2099</v>
      </c>
      <c r="E475" s="7">
        <f t="shared" si="149"/>
        <v>579</v>
      </c>
      <c r="F475" s="7">
        <f t="shared" si="150"/>
        <v>568</v>
      </c>
      <c r="G475" s="7">
        <f t="shared" si="151"/>
        <v>429</v>
      </c>
      <c r="H475" s="4">
        <f t="shared" si="152"/>
        <v>2362</v>
      </c>
      <c r="I475" s="4">
        <f t="shared" si="153"/>
        <v>2373</v>
      </c>
      <c r="J475" s="4">
        <f t="shared" si="154"/>
        <v>2512</v>
      </c>
      <c r="K475" s="4">
        <f t="shared" si="146"/>
        <v>3000</v>
      </c>
      <c r="L475" s="4">
        <f t="shared" si="147"/>
        <v>3000</v>
      </c>
      <c r="M475" s="4">
        <f t="shared" si="148"/>
        <v>3000</v>
      </c>
      <c r="N475" s="4">
        <f t="shared" si="158"/>
        <v>-638</v>
      </c>
      <c r="O475" s="4">
        <f t="shared" si="159"/>
        <v>-627</v>
      </c>
      <c r="P475" s="4">
        <f t="shared" si="160"/>
        <v>-488</v>
      </c>
      <c r="Q475" s="7">
        <v>0</v>
      </c>
      <c r="R475" s="7">
        <v>0</v>
      </c>
      <c r="S475" s="7">
        <v>0</v>
      </c>
      <c r="T475" s="5">
        <f t="shared" si="155"/>
        <v>1278</v>
      </c>
      <c r="U475" s="6">
        <f t="shared" si="140"/>
        <v>1642</v>
      </c>
      <c r="V475" s="6">
        <f t="shared" si="141"/>
        <v>1663</v>
      </c>
      <c r="W475" s="6">
        <f t="shared" si="139"/>
        <v>1812</v>
      </c>
      <c r="X475" s="5"/>
      <c r="Y475" s="4"/>
      <c r="Z475" s="4"/>
      <c r="AA475" s="4"/>
      <c r="AB475" s="4"/>
    </row>
    <row r="476" spans="1:28" ht="13.15" customHeight="1">
      <c r="A476" s="11">
        <v>462</v>
      </c>
      <c r="B476" s="14">
        <f t="shared" si="156"/>
        <v>45505</v>
      </c>
      <c r="C476" s="9">
        <f t="shared" si="157"/>
        <v>842</v>
      </c>
      <c r="D476" s="8">
        <f t="shared" si="145"/>
        <v>2101</v>
      </c>
      <c r="E476" s="7">
        <f t="shared" si="149"/>
        <v>581</v>
      </c>
      <c r="F476" s="7">
        <f t="shared" si="150"/>
        <v>570</v>
      </c>
      <c r="G476" s="7">
        <f t="shared" si="151"/>
        <v>431</v>
      </c>
      <c r="H476" s="4">
        <f t="shared" si="152"/>
        <v>2362</v>
      </c>
      <c r="I476" s="4">
        <f t="shared" si="153"/>
        <v>2373</v>
      </c>
      <c r="J476" s="4">
        <f t="shared" si="154"/>
        <v>2512</v>
      </c>
      <c r="K476" s="4">
        <f t="shared" si="146"/>
        <v>3000</v>
      </c>
      <c r="L476" s="4">
        <f t="shared" si="147"/>
        <v>3000</v>
      </c>
      <c r="M476" s="4">
        <f t="shared" si="148"/>
        <v>3000</v>
      </c>
      <c r="N476" s="4">
        <f t="shared" si="158"/>
        <v>-638</v>
      </c>
      <c r="O476" s="4">
        <f t="shared" si="159"/>
        <v>-627</v>
      </c>
      <c r="P476" s="4">
        <f t="shared" si="160"/>
        <v>-488</v>
      </c>
      <c r="Q476" s="7">
        <v>0</v>
      </c>
      <c r="R476" s="7">
        <v>0</v>
      </c>
      <c r="S476" s="7">
        <v>0</v>
      </c>
      <c r="T476" s="5">
        <f t="shared" si="155"/>
        <v>1280</v>
      </c>
      <c r="U476" s="6">
        <f t="shared" si="140"/>
        <v>1642</v>
      </c>
      <c r="V476" s="6">
        <f t="shared" si="141"/>
        <v>1663</v>
      </c>
      <c r="W476" s="6">
        <f t="shared" si="139"/>
        <v>1812</v>
      </c>
      <c r="X476" s="5"/>
      <c r="Y476" s="4"/>
      <c r="Z476" s="4"/>
      <c r="AA476" s="4"/>
      <c r="AB476" s="4"/>
    </row>
    <row r="477" spans="1:28" ht="13.15" customHeight="1">
      <c r="A477" s="11">
        <v>463</v>
      </c>
      <c r="B477" s="14">
        <f t="shared" si="156"/>
        <v>45506</v>
      </c>
      <c r="C477" s="9">
        <f t="shared" si="157"/>
        <v>842</v>
      </c>
      <c r="D477" s="8">
        <f t="shared" si="145"/>
        <v>2103</v>
      </c>
      <c r="E477" s="7">
        <f t="shared" si="149"/>
        <v>583</v>
      </c>
      <c r="F477" s="7">
        <f t="shared" si="150"/>
        <v>572</v>
      </c>
      <c r="G477" s="7">
        <f t="shared" si="151"/>
        <v>433</v>
      </c>
      <c r="H477" s="4">
        <f t="shared" si="152"/>
        <v>2362</v>
      </c>
      <c r="I477" s="4">
        <f t="shared" si="153"/>
        <v>2373</v>
      </c>
      <c r="J477" s="4">
        <f t="shared" si="154"/>
        <v>2512</v>
      </c>
      <c r="K477" s="4">
        <f t="shared" si="146"/>
        <v>3000</v>
      </c>
      <c r="L477" s="4">
        <f t="shared" si="147"/>
        <v>3000</v>
      </c>
      <c r="M477" s="4">
        <f t="shared" si="148"/>
        <v>3000</v>
      </c>
      <c r="N477" s="4">
        <f t="shared" si="158"/>
        <v>-638</v>
      </c>
      <c r="O477" s="4">
        <f t="shared" si="159"/>
        <v>-627</v>
      </c>
      <c r="P477" s="4">
        <f t="shared" si="160"/>
        <v>-488</v>
      </c>
      <c r="Q477" s="7">
        <v>0</v>
      </c>
      <c r="R477" s="7">
        <v>0</v>
      </c>
      <c r="S477" s="7">
        <v>0</v>
      </c>
      <c r="T477" s="5">
        <f t="shared" si="155"/>
        <v>1282</v>
      </c>
      <c r="U477" s="6">
        <f t="shared" si="140"/>
        <v>1642</v>
      </c>
      <c r="V477" s="6">
        <f t="shared" si="141"/>
        <v>1663</v>
      </c>
      <c r="W477" s="6">
        <f t="shared" si="139"/>
        <v>1812</v>
      </c>
      <c r="X477" s="5"/>
      <c r="Y477" s="4"/>
      <c r="Z477" s="4"/>
      <c r="AA477" s="4"/>
      <c r="AB477" s="4"/>
    </row>
    <row r="478" spans="1:28" ht="13.15" customHeight="1">
      <c r="A478" s="11">
        <v>464</v>
      </c>
      <c r="B478" s="14">
        <f t="shared" si="156"/>
        <v>45507</v>
      </c>
      <c r="C478" s="9">
        <f t="shared" si="157"/>
        <v>842</v>
      </c>
      <c r="D478" s="8">
        <f t="shared" si="145"/>
        <v>2105</v>
      </c>
      <c r="E478" s="7">
        <f t="shared" si="149"/>
        <v>585</v>
      </c>
      <c r="F478" s="7">
        <f t="shared" si="150"/>
        <v>574</v>
      </c>
      <c r="G478" s="7">
        <f t="shared" si="151"/>
        <v>435</v>
      </c>
      <c r="H478" s="4">
        <f t="shared" si="152"/>
        <v>2362</v>
      </c>
      <c r="I478" s="4">
        <f t="shared" si="153"/>
        <v>2373</v>
      </c>
      <c r="J478" s="4">
        <f t="shared" si="154"/>
        <v>2512</v>
      </c>
      <c r="K478" s="4">
        <f t="shared" si="146"/>
        <v>3000</v>
      </c>
      <c r="L478" s="4">
        <f t="shared" si="147"/>
        <v>3000</v>
      </c>
      <c r="M478" s="4">
        <f t="shared" si="148"/>
        <v>3000</v>
      </c>
      <c r="N478" s="4">
        <f t="shared" si="158"/>
        <v>-638</v>
      </c>
      <c r="O478" s="4">
        <f t="shared" si="159"/>
        <v>-627</v>
      </c>
      <c r="P478" s="4">
        <f t="shared" si="160"/>
        <v>-488</v>
      </c>
      <c r="Q478" s="7">
        <v>0</v>
      </c>
      <c r="R478" s="7">
        <v>0</v>
      </c>
      <c r="S478" s="7">
        <v>0</v>
      </c>
      <c r="T478" s="5">
        <f t="shared" si="155"/>
        <v>1284</v>
      </c>
      <c r="U478" s="6">
        <f t="shared" si="140"/>
        <v>1642</v>
      </c>
      <c r="V478" s="6">
        <f t="shared" si="141"/>
        <v>1663</v>
      </c>
      <c r="W478" s="6">
        <f t="shared" si="139"/>
        <v>1812</v>
      </c>
      <c r="X478" s="5"/>
      <c r="Y478" s="4"/>
      <c r="Z478" s="4"/>
      <c r="AA478" s="4"/>
      <c r="AB478" s="4"/>
    </row>
    <row r="479" spans="1:28" ht="13.15" customHeight="1">
      <c r="A479" s="11">
        <v>465</v>
      </c>
      <c r="B479" s="14">
        <f t="shared" si="156"/>
        <v>45508</v>
      </c>
      <c r="C479" s="9">
        <f t="shared" si="157"/>
        <v>842</v>
      </c>
      <c r="D479" s="8">
        <f t="shared" si="145"/>
        <v>2107</v>
      </c>
      <c r="E479" s="7">
        <f t="shared" si="149"/>
        <v>587</v>
      </c>
      <c r="F479" s="7">
        <f t="shared" si="150"/>
        <v>576</v>
      </c>
      <c r="G479" s="7">
        <f t="shared" si="151"/>
        <v>437</v>
      </c>
      <c r="H479" s="4">
        <f t="shared" si="152"/>
        <v>2362</v>
      </c>
      <c r="I479" s="4">
        <f t="shared" si="153"/>
        <v>2373</v>
      </c>
      <c r="J479" s="4">
        <f t="shared" si="154"/>
        <v>2512</v>
      </c>
      <c r="K479" s="4">
        <f t="shared" si="146"/>
        <v>3000</v>
      </c>
      <c r="L479" s="4">
        <f t="shared" si="147"/>
        <v>3000</v>
      </c>
      <c r="M479" s="4">
        <f t="shared" si="148"/>
        <v>3000</v>
      </c>
      <c r="N479" s="4">
        <f t="shared" si="158"/>
        <v>-638</v>
      </c>
      <c r="O479" s="4">
        <f t="shared" si="159"/>
        <v>-627</v>
      </c>
      <c r="P479" s="4">
        <f t="shared" si="160"/>
        <v>-488</v>
      </c>
      <c r="Q479" s="7">
        <v>0</v>
      </c>
      <c r="R479" s="7">
        <v>0</v>
      </c>
      <c r="S479" s="7">
        <v>0</v>
      </c>
      <c r="T479" s="5">
        <f t="shared" si="155"/>
        <v>1286</v>
      </c>
      <c r="U479" s="6">
        <f t="shared" si="140"/>
        <v>1642</v>
      </c>
      <c r="V479" s="6">
        <f t="shared" si="141"/>
        <v>1663</v>
      </c>
      <c r="W479" s="6">
        <f t="shared" si="139"/>
        <v>1812</v>
      </c>
      <c r="X479" s="5"/>
      <c r="Y479" s="4"/>
      <c r="Z479" s="4"/>
      <c r="AA479" s="4"/>
      <c r="AB479" s="4"/>
    </row>
    <row r="480" spans="1:28" ht="13.15" customHeight="1">
      <c r="A480" s="11">
        <v>466</v>
      </c>
      <c r="B480" s="14">
        <f t="shared" si="156"/>
        <v>45509</v>
      </c>
      <c r="C480" s="9">
        <f t="shared" si="157"/>
        <v>842</v>
      </c>
      <c r="D480" s="8">
        <f t="shared" si="145"/>
        <v>2109</v>
      </c>
      <c r="E480" s="7">
        <f t="shared" si="149"/>
        <v>589</v>
      </c>
      <c r="F480" s="7">
        <f t="shared" si="150"/>
        <v>578</v>
      </c>
      <c r="G480" s="7">
        <f t="shared" si="151"/>
        <v>439</v>
      </c>
      <c r="H480" s="4">
        <f t="shared" si="152"/>
        <v>2362</v>
      </c>
      <c r="I480" s="4">
        <f t="shared" si="153"/>
        <v>2373</v>
      </c>
      <c r="J480" s="4">
        <f t="shared" si="154"/>
        <v>2512</v>
      </c>
      <c r="K480" s="4">
        <f t="shared" si="146"/>
        <v>3000</v>
      </c>
      <c r="L480" s="4">
        <f t="shared" si="147"/>
        <v>3000</v>
      </c>
      <c r="M480" s="4">
        <f t="shared" si="148"/>
        <v>3000</v>
      </c>
      <c r="N480" s="4">
        <f t="shared" si="158"/>
        <v>-638</v>
      </c>
      <c r="O480" s="4">
        <f t="shared" si="159"/>
        <v>-627</v>
      </c>
      <c r="P480" s="4">
        <f t="shared" si="160"/>
        <v>-488</v>
      </c>
      <c r="Q480" s="7">
        <v>0</v>
      </c>
      <c r="R480" s="7">
        <v>0</v>
      </c>
      <c r="S480" s="7">
        <v>0</v>
      </c>
      <c r="T480" s="5">
        <f t="shared" si="155"/>
        <v>1288</v>
      </c>
      <c r="U480" s="6">
        <f t="shared" si="140"/>
        <v>1642</v>
      </c>
      <c r="V480" s="6">
        <f t="shared" si="141"/>
        <v>1663</v>
      </c>
      <c r="W480" s="6">
        <f t="shared" si="139"/>
        <v>1812</v>
      </c>
      <c r="X480" s="5"/>
      <c r="Y480" s="4"/>
      <c r="Z480" s="4"/>
      <c r="AA480" s="4"/>
      <c r="AB480" s="4"/>
    </row>
    <row r="481" spans="1:28" ht="13.15" customHeight="1">
      <c r="A481" s="11">
        <v>467</v>
      </c>
      <c r="B481" s="14">
        <f t="shared" si="156"/>
        <v>45510</v>
      </c>
      <c r="C481" s="9">
        <f t="shared" si="157"/>
        <v>842</v>
      </c>
      <c r="D481" s="8">
        <f t="shared" si="145"/>
        <v>2111</v>
      </c>
      <c r="E481" s="7">
        <f t="shared" si="149"/>
        <v>591</v>
      </c>
      <c r="F481" s="7">
        <f t="shared" si="150"/>
        <v>580</v>
      </c>
      <c r="G481" s="7">
        <f t="shared" si="151"/>
        <v>441</v>
      </c>
      <c r="H481" s="4">
        <f t="shared" si="152"/>
        <v>2362</v>
      </c>
      <c r="I481" s="4">
        <f t="shared" si="153"/>
        <v>2373</v>
      </c>
      <c r="J481" s="4">
        <f t="shared" si="154"/>
        <v>2512</v>
      </c>
      <c r="K481" s="4">
        <f t="shared" si="146"/>
        <v>3000</v>
      </c>
      <c r="L481" s="4">
        <f t="shared" si="147"/>
        <v>3000</v>
      </c>
      <c r="M481" s="4">
        <f t="shared" si="148"/>
        <v>3000</v>
      </c>
      <c r="N481" s="4">
        <f t="shared" si="158"/>
        <v>-638</v>
      </c>
      <c r="O481" s="4">
        <f t="shared" si="159"/>
        <v>-627</v>
      </c>
      <c r="P481" s="4">
        <f t="shared" si="160"/>
        <v>-488</v>
      </c>
      <c r="Q481" s="7">
        <v>0</v>
      </c>
      <c r="R481" s="7">
        <v>0</v>
      </c>
      <c r="S481" s="7">
        <v>0</v>
      </c>
      <c r="T481" s="5">
        <f t="shared" si="155"/>
        <v>1290</v>
      </c>
      <c r="U481" s="6">
        <f t="shared" si="140"/>
        <v>1642</v>
      </c>
      <c r="V481" s="6">
        <f t="shared" si="141"/>
        <v>1663</v>
      </c>
      <c r="W481" s="6">
        <f t="shared" si="139"/>
        <v>1812</v>
      </c>
      <c r="X481" s="5"/>
      <c r="Y481" s="4"/>
      <c r="Z481" s="4"/>
      <c r="AA481" s="4"/>
      <c r="AB481" s="4"/>
    </row>
    <row r="482" spans="1:28" ht="13.15" customHeight="1">
      <c r="A482" s="11">
        <v>468</v>
      </c>
      <c r="B482" s="14">
        <f t="shared" si="156"/>
        <v>45511</v>
      </c>
      <c r="C482" s="9">
        <f t="shared" si="157"/>
        <v>842</v>
      </c>
      <c r="D482" s="8">
        <f t="shared" si="145"/>
        <v>2113</v>
      </c>
      <c r="E482" s="7">
        <f t="shared" si="149"/>
        <v>593</v>
      </c>
      <c r="F482" s="7">
        <f t="shared" si="150"/>
        <v>582</v>
      </c>
      <c r="G482" s="7">
        <f t="shared" si="151"/>
        <v>443</v>
      </c>
      <c r="H482" s="4">
        <f t="shared" si="152"/>
        <v>2362</v>
      </c>
      <c r="I482" s="4">
        <f t="shared" si="153"/>
        <v>2373</v>
      </c>
      <c r="J482" s="4">
        <f t="shared" si="154"/>
        <v>2512</v>
      </c>
      <c r="K482" s="4">
        <f t="shared" si="146"/>
        <v>3000</v>
      </c>
      <c r="L482" s="4">
        <f t="shared" si="147"/>
        <v>3000</v>
      </c>
      <c r="M482" s="4">
        <f t="shared" si="148"/>
        <v>3000</v>
      </c>
      <c r="N482" s="4">
        <f t="shared" si="158"/>
        <v>-638</v>
      </c>
      <c r="O482" s="4">
        <f t="shared" si="159"/>
        <v>-627</v>
      </c>
      <c r="P482" s="4">
        <f t="shared" si="160"/>
        <v>-488</v>
      </c>
      <c r="Q482" s="7">
        <v>0</v>
      </c>
      <c r="R482" s="7">
        <v>0</v>
      </c>
      <c r="S482" s="7">
        <v>0</v>
      </c>
      <c r="T482" s="5">
        <f t="shared" si="155"/>
        <v>1292</v>
      </c>
      <c r="U482" s="6">
        <f t="shared" si="140"/>
        <v>1642</v>
      </c>
      <c r="V482" s="6">
        <f t="shared" si="141"/>
        <v>1663</v>
      </c>
      <c r="W482" s="6">
        <f t="shared" si="139"/>
        <v>1812</v>
      </c>
      <c r="X482" s="5"/>
      <c r="Y482" s="4"/>
      <c r="Z482" s="4"/>
      <c r="AA482" s="4"/>
      <c r="AB482" s="4"/>
    </row>
    <row r="483" spans="1:28" ht="13.15" customHeight="1">
      <c r="A483" s="11">
        <v>469</v>
      </c>
      <c r="B483" s="14">
        <f t="shared" si="156"/>
        <v>45512</v>
      </c>
      <c r="C483" s="9">
        <f t="shared" si="157"/>
        <v>842</v>
      </c>
      <c r="D483" s="8">
        <f t="shared" si="145"/>
        <v>2115</v>
      </c>
      <c r="E483" s="7">
        <f t="shared" si="149"/>
        <v>595</v>
      </c>
      <c r="F483" s="7">
        <f t="shared" si="150"/>
        <v>584</v>
      </c>
      <c r="G483" s="7">
        <f t="shared" si="151"/>
        <v>445</v>
      </c>
      <c r="H483" s="4">
        <f t="shared" si="152"/>
        <v>2362</v>
      </c>
      <c r="I483" s="4">
        <f t="shared" si="153"/>
        <v>2373</v>
      </c>
      <c r="J483" s="4">
        <f t="shared" si="154"/>
        <v>2512</v>
      </c>
      <c r="K483" s="4">
        <f t="shared" si="146"/>
        <v>3000</v>
      </c>
      <c r="L483" s="4">
        <f t="shared" si="147"/>
        <v>3000</v>
      </c>
      <c r="M483" s="4">
        <f t="shared" si="148"/>
        <v>3000</v>
      </c>
      <c r="N483" s="4">
        <f t="shared" si="158"/>
        <v>-638</v>
      </c>
      <c r="O483" s="4">
        <f t="shared" si="159"/>
        <v>-627</v>
      </c>
      <c r="P483" s="4">
        <f t="shared" si="160"/>
        <v>-488</v>
      </c>
      <c r="Q483" s="7">
        <v>0</v>
      </c>
      <c r="R483" s="7">
        <v>0</v>
      </c>
      <c r="S483" s="7">
        <v>0</v>
      </c>
      <c r="T483" s="5">
        <f t="shared" si="155"/>
        <v>1294</v>
      </c>
      <c r="U483" s="6">
        <f t="shared" si="140"/>
        <v>1642</v>
      </c>
      <c r="V483" s="6">
        <f t="shared" si="141"/>
        <v>1663</v>
      </c>
      <c r="W483" s="6">
        <f t="shared" si="139"/>
        <v>1812</v>
      </c>
      <c r="X483" s="5"/>
      <c r="Y483" s="4"/>
      <c r="Z483" s="4"/>
      <c r="AA483" s="4"/>
      <c r="AB483" s="4"/>
    </row>
    <row r="484" spans="1:28" ht="13.15" customHeight="1">
      <c r="A484" s="11">
        <v>470</v>
      </c>
      <c r="B484" s="14">
        <f t="shared" si="156"/>
        <v>45513</v>
      </c>
      <c r="C484" s="9">
        <f t="shared" si="157"/>
        <v>842</v>
      </c>
      <c r="D484" s="8">
        <f t="shared" si="145"/>
        <v>2117</v>
      </c>
      <c r="E484" s="7">
        <f t="shared" si="149"/>
        <v>597</v>
      </c>
      <c r="F484" s="7">
        <f t="shared" si="150"/>
        <v>586</v>
      </c>
      <c r="G484" s="7">
        <f t="shared" si="151"/>
        <v>447</v>
      </c>
      <c r="H484" s="4">
        <f t="shared" si="152"/>
        <v>2362</v>
      </c>
      <c r="I484" s="4">
        <f t="shared" si="153"/>
        <v>2373</v>
      </c>
      <c r="J484" s="4">
        <f t="shared" si="154"/>
        <v>2512</v>
      </c>
      <c r="K484" s="4">
        <f t="shared" si="146"/>
        <v>3000</v>
      </c>
      <c r="L484" s="4">
        <f t="shared" si="147"/>
        <v>3000</v>
      </c>
      <c r="M484" s="4">
        <f t="shared" si="148"/>
        <v>3000</v>
      </c>
      <c r="N484" s="4">
        <f t="shared" si="158"/>
        <v>-638</v>
      </c>
      <c r="O484" s="4">
        <f t="shared" si="159"/>
        <v>-627</v>
      </c>
      <c r="P484" s="4">
        <f t="shared" si="160"/>
        <v>-488</v>
      </c>
      <c r="Q484" s="7">
        <v>0</v>
      </c>
      <c r="R484" s="7">
        <v>0</v>
      </c>
      <c r="S484" s="7">
        <v>0</v>
      </c>
      <c r="T484" s="5">
        <f t="shared" si="155"/>
        <v>1296</v>
      </c>
      <c r="U484" s="6">
        <f t="shared" si="140"/>
        <v>1642</v>
      </c>
      <c r="V484" s="6">
        <f t="shared" si="141"/>
        <v>1663</v>
      </c>
      <c r="W484" s="6">
        <f t="shared" si="139"/>
        <v>1812</v>
      </c>
      <c r="X484" s="5"/>
      <c r="Y484" s="4"/>
      <c r="Z484" s="4"/>
      <c r="AA484" s="4"/>
      <c r="AB484" s="4"/>
    </row>
    <row r="485" spans="1:28" ht="13.15" customHeight="1">
      <c r="A485" s="11">
        <v>471</v>
      </c>
      <c r="B485" s="14">
        <f t="shared" si="156"/>
        <v>45514</v>
      </c>
      <c r="C485" s="9">
        <f t="shared" si="157"/>
        <v>842</v>
      </c>
      <c r="D485" s="8">
        <f t="shared" si="145"/>
        <v>2119</v>
      </c>
      <c r="E485" s="7">
        <f t="shared" si="149"/>
        <v>599</v>
      </c>
      <c r="F485" s="7">
        <f t="shared" si="150"/>
        <v>588</v>
      </c>
      <c r="G485" s="7">
        <f t="shared" si="151"/>
        <v>449</v>
      </c>
      <c r="H485" s="4">
        <f t="shared" si="152"/>
        <v>2362</v>
      </c>
      <c r="I485" s="4">
        <f t="shared" si="153"/>
        <v>2373</v>
      </c>
      <c r="J485" s="4">
        <f t="shared" si="154"/>
        <v>2512</v>
      </c>
      <c r="K485" s="4">
        <f t="shared" si="146"/>
        <v>3000</v>
      </c>
      <c r="L485" s="4">
        <f t="shared" si="147"/>
        <v>3000</v>
      </c>
      <c r="M485" s="4">
        <f t="shared" si="148"/>
        <v>3000</v>
      </c>
      <c r="N485" s="4">
        <f t="shared" si="158"/>
        <v>-638</v>
      </c>
      <c r="O485" s="4">
        <f t="shared" si="159"/>
        <v>-627</v>
      </c>
      <c r="P485" s="4">
        <f t="shared" si="160"/>
        <v>-488</v>
      </c>
      <c r="Q485" s="7">
        <v>0</v>
      </c>
      <c r="R485" s="7">
        <v>0</v>
      </c>
      <c r="S485" s="7">
        <v>0</v>
      </c>
      <c r="T485" s="5">
        <f t="shared" si="155"/>
        <v>1298</v>
      </c>
      <c r="U485" s="6">
        <f t="shared" si="140"/>
        <v>1642</v>
      </c>
      <c r="V485" s="6">
        <f t="shared" si="141"/>
        <v>1663</v>
      </c>
      <c r="W485" s="6">
        <f t="shared" si="139"/>
        <v>1812</v>
      </c>
      <c r="X485" s="5"/>
      <c r="Y485" s="4"/>
      <c r="Z485" s="4"/>
      <c r="AA485" s="4"/>
      <c r="AB485" s="4"/>
    </row>
    <row r="486" spans="1:28" ht="13.15" customHeight="1">
      <c r="A486" s="11">
        <v>472</v>
      </c>
      <c r="B486" s="14">
        <f t="shared" si="156"/>
        <v>45515</v>
      </c>
      <c r="C486" s="9">
        <f t="shared" si="157"/>
        <v>842</v>
      </c>
      <c r="D486" s="8">
        <f t="shared" si="145"/>
        <v>2121</v>
      </c>
      <c r="E486" s="7">
        <f t="shared" si="149"/>
        <v>601</v>
      </c>
      <c r="F486" s="7">
        <f t="shared" si="150"/>
        <v>590</v>
      </c>
      <c r="G486" s="7">
        <f t="shared" si="151"/>
        <v>451</v>
      </c>
      <c r="H486" s="4">
        <f t="shared" si="152"/>
        <v>2362</v>
      </c>
      <c r="I486" s="4">
        <f t="shared" si="153"/>
        <v>2373</v>
      </c>
      <c r="J486" s="4">
        <f t="shared" si="154"/>
        <v>2512</v>
      </c>
      <c r="K486" s="4">
        <f t="shared" si="146"/>
        <v>3000</v>
      </c>
      <c r="L486" s="4">
        <f t="shared" si="147"/>
        <v>3000</v>
      </c>
      <c r="M486" s="4">
        <f t="shared" si="148"/>
        <v>3000</v>
      </c>
      <c r="N486" s="4">
        <f t="shared" si="158"/>
        <v>-638</v>
      </c>
      <c r="O486" s="4">
        <f t="shared" si="159"/>
        <v>-627</v>
      </c>
      <c r="P486" s="4">
        <f t="shared" si="160"/>
        <v>-488</v>
      </c>
      <c r="Q486" s="7">
        <v>0</v>
      </c>
      <c r="R486" s="7">
        <v>0</v>
      </c>
      <c r="S486" s="7">
        <v>0</v>
      </c>
      <c r="T486" s="5">
        <f t="shared" si="155"/>
        <v>1300</v>
      </c>
      <c r="U486" s="6">
        <f t="shared" si="140"/>
        <v>1642</v>
      </c>
      <c r="V486" s="6">
        <f t="shared" si="141"/>
        <v>1663</v>
      </c>
      <c r="W486" s="6">
        <f t="shared" si="139"/>
        <v>1812</v>
      </c>
      <c r="X486" s="5"/>
      <c r="Y486" s="4"/>
      <c r="Z486" s="4"/>
      <c r="AA486" s="4"/>
      <c r="AB486" s="4"/>
    </row>
    <row r="487" spans="1:28" ht="13.15" customHeight="1">
      <c r="A487" s="11">
        <v>473</v>
      </c>
      <c r="B487" s="14">
        <f t="shared" si="156"/>
        <v>45516</v>
      </c>
      <c r="C487" s="9">
        <f t="shared" si="157"/>
        <v>842</v>
      </c>
      <c r="D487" s="8">
        <f t="shared" si="145"/>
        <v>2123</v>
      </c>
      <c r="E487" s="7">
        <f t="shared" si="149"/>
        <v>603</v>
      </c>
      <c r="F487" s="7">
        <f t="shared" si="150"/>
        <v>592</v>
      </c>
      <c r="G487" s="7">
        <f t="shared" si="151"/>
        <v>453</v>
      </c>
      <c r="H487" s="4">
        <f t="shared" si="152"/>
        <v>2362</v>
      </c>
      <c r="I487" s="4">
        <f t="shared" si="153"/>
        <v>2373</v>
      </c>
      <c r="J487" s="4">
        <f t="shared" si="154"/>
        <v>2512</v>
      </c>
      <c r="K487" s="4">
        <f t="shared" si="146"/>
        <v>3000</v>
      </c>
      <c r="L487" s="4">
        <f t="shared" si="147"/>
        <v>3000</v>
      </c>
      <c r="M487" s="4">
        <f t="shared" si="148"/>
        <v>3000</v>
      </c>
      <c r="N487" s="4">
        <f t="shared" si="158"/>
        <v>-638</v>
      </c>
      <c r="O487" s="4">
        <f t="shared" si="159"/>
        <v>-627</v>
      </c>
      <c r="P487" s="4">
        <f t="shared" si="160"/>
        <v>-488</v>
      </c>
      <c r="Q487" s="7">
        <v>0</v>
      </c>
      <c r="R487" s="7">
        <v>0</v>
      </c>
      <c r="S487" s="7">
        <v>0</v>
      </c>
      <c r="T487" s="5">
        <f t="shared" si="155"/>
        <v>1302</v>
      </c>
      <c r="U487" s="6">
        <f t="shared" si="140"/>
        <v>1642</v>
      </c>
      <c r="V487" s="6">
        <f t="shared" si="141"/>
        <v>1663</v>
      </c>
      <c r="W487" s="6">
        <f t="shared" ref="W487:W550" si="161">W486+$X487*1000-S487</f>
        <v>1812</v>
      </c>
      <c r="X487" s="5"/>
      <c r="Y487" s="4"/>
      <c r="Z487" s="4"/>
      <c r="AA487" s="4"/>
      <c r="AB487" s="4"/>
    </row>
    <row r="488" spans="1:28" ht="13.15" customHeight="1">
      <c r="A488" s="11">
        <v>474</v>
      </c>
      <c r="B488" s="14">
        <f t="shared" si="156"/>
        <v>45517</v>
      </c>
      <c r="C488" s="9">
        <f t="shared" si="157"/>
        <v>842</v>
      </c>
      <c r="D488" s="8">
        <f t="shared" si="145"/>
        <v>2125</v>
      </c>
      <c r="E488" s="7">
        <f t="shared" si="149"/>
        <v>605</v>
      </c>
      <c r="F488" s="7">
        <f t="shared" si="150"/>
        <v>594</v>
      </c>
      <c r="G488" s="7">
        <f t="shared" si="151"/>
        <v>455</v>
      </c>
      <c r="H488" s="4">
        <f t="shared" si="152"/>
        <v>2362</v>
      </c>
      <c r="I488" s="4">
        <f t="shared" si="153"/>
        <v>2373</v>
      </c>
      <c r="J488" s="4">
        <f t="shared" si="154"/>
        <v>2512</v>
      </c>
      <c r="K488" s="4">
        <f t="shared" si="146"/>
        <v>3000</v>
      </c>
      <c r="L488" s="4">
        <f t="shared" si="147"/>
        <v>3000</v>
      </c>
      <c r="M488" s="4">
        <f t="shared" si="148"/>
        <v>3000</v>
      </c>
      <c r="N488" s="4">
        <f t="shared" si="158"/>
        <v>-638</v>
      </c>
      <c r="O488" s="4">
        <f t="shared" si="159"/>
        <v>-627</v>
      </c>
      <c r="P488" s="4">
        <f t="shared" si="160"/>
        <v>-488</v>
      </c>
      <c r="Q488" s="7">
        <v>0</v>
      </c>
      <c r="R488" s="7">
        <v>0</v>
      </c>
      <c r="S488" s="7">
        <v>0</v>
      </c>
      <c r="T488" s="5">
        <f t="shared" si="155"/>
        <v>1304</v>
      </c>
      <c r="U488" s="6">
        <f t="shared" ref="U488:U551" si="162">U487+$X488*1000-Q488</f>
        <v>1642</v>
      </c>
      <c r="V488" s="6">
        <f t="shared" ref="V488:V551" si="163">V487+$X488*1000-R488</f>
        <v>1663</v>
      </c>
      <c r="W488" s="6">
        <f t="shared" si="161"/>
        <v>1812</v>
      </c>
      <c r="X488" s="5"/>
      <c r="Y488" s="4"/>
      <c r="Z488" s="4"/>
      <c r="AA488" s="4"/>
      <c r="AB488" s="4"/>
    </row>
    <row r="489" spans="1:28" ht="13.15" customHeight="1">
      <c r="A489" s="11">
        <v>475</v>
      </c>
      <c r="B489" s="14">
        <f t="shared" si="156"/>
        <v>45518</v>
      </c>
      <c r="C489" s="9">
        <f t="shared" si="157"/>
        <v>842</v>
      </c>
      <c r="D489" s="8">
        <f t="shared" si="145"/>
        <v>2127</v>
      </c>
      <c r="E489" s="7">
        <f t="shared" si="149"/>
        <v>607</v>
      </c>
      <c r="F489" s="7">
        <f t="shared" si="150"/>
        <v>596</v>
      </c>
      <c r="G489" s="7">
        <f t="shared" si="151"/>
        <v>457</v>
      </c>
      <c r="H489" s="4">
        <f t="shared" si="152"/>
        <v>2362</v>
      </c>
      <c r="I489" s="4">
        <f t="shared" si="153"/>
        <v>2373</v>
      </c>
      <c r="J489" s="4">
        <f t="shared" si="154"/>
        <v>2512</v>
      </c>
      <c r="K489" s="4">
        <f t="shared" si="146"/>
        <v>3000</v>
      </c>
      <c r="L489" s="4">
        <f t="shared" si="147"/>
        <v>3000</v>
      </c>
      <c r="M489" s="4">
        <f t="shared" si="148"/>
        <v>3000</v>
      </c>
      <c r="N489" s="4">
        <f t="shared" si="158"/>
        <v>-638</v>
      </c>
      <c r="O489" s="4">
        <f t="shared" si="159"/>
        <v>-627</v>
      </c>
      <c r="P489" s="4">
        <f t="shared" si="160"/>
        <v>-488</v>
      </c>
      <c r="Q489" s="7">
        <v>0</v>
      </c>
      <c r="R489" s="7">
        <v>0</v>
      </c>
      <c r="S489" s="7">
        <v>0</v>
      </c>
      <c r="T489" s="5">
        <f t="shared" si="155"/>
        <v>1306</v>
      </c>
      <c r="U489" s="6">
        <f t="shared" si="162"/>
        <v>1642</v>
      </c>
      <c r="V489" s="6">
        <f t="shared" si="163"/>
        <v>1663</v>
      </c>
      <c r="W489" s="6">
        <f t="shared" si="161"/>
        <v>1812</v>
      </c>
      <c r="X489" s="5"/>
      <c r="Y489" s="4"/>
      <c r="Z489" s="4"/>
      <c r="AA489" s="4"/>
      <c r="AB489" s="4"/>
    </row>
    <row r="490" spans="1:28" ht="13.15" customHeight="1">
      <c r="A490" s="11">
        <v>476</v>
      </c>
      <c r="B490" s="14">
        <f t="shared" si="156"/>
        <v>45519</v>
      </c>
      <c r="C490" s="9">
        <f t="shared" si="157"/>
        <v>842</v>
      </c>
      <c r="D490" s="8">
        <f t="shared" si="145"/>
        <v>2129</v>
      </c>
      <c r="E490" s="7">
        <f t="shared" si="149"/>
        <v>609</v>
      </c>
      <c r="F490" s="7">
        <f t="shared" si="150"/>
        <v>598</v>
      </c>
      <c r="G490" s="7">
        <f t="shared" si="151"/>
        <v>459</v>
      </c>
      <c r="H490" s="4">
        <f t="shared" si="152"/>
        <v>2362</v>
      </c>
      <c r="I490" s="4">
        <f t="shared" si="153"/>
        <v>2373</v>
      </c>
      <c r="J490" s="4">
        <f t="shared" si="154"/>
        <v>2512</v>
      </c>
      <c r="K490" s="4">
        <f t="shared" si="146"/>
        <v>3000</v>
      </c>
      <c r="L490" s="4">
        <f t="shared" si="147"/>
        <v>3000</v>
      </c>
      <c r="M490" s="4">
        <f t="shared" si="148"/>
        <v>3000</v>
      </c>
      <c r="N490" s="4">
        <f t="shared" si="158"/>
        <v>-638</v>
      </c>
      <c r="O490" s="4">
        <f t="shared" si="159"/>
        <v>-627</v>
      </c>
      <c r="P490" s="4">
        <f t="shared" si="160"/>
        <v>-488</v>
      </c>
      <c r="Q490" s="7">
        <v>0</v>
      </c>
      <c r="R490" s="7">
        <v>0</v>
      </c>
      <c r="S490" s="7">
        <v>0</v>
      </c>
      <c r="T490" s="5">
        <f t="shared" si="155"/>
        <v>1308</v>
      </c>
      <c r="U490" s="6">
        <f t="shared" si="162"/>
        <v>1642</v>
      </c>
      <c r="V490" s="6">
        <f t="shared" si="163"/>
        <v>1663</v>
      </c>
      <c r="W490" s="6">
        <f t="shared" si="161"/>
        <v>1812</v>
      </c>
      <c r="X490" s="5"/>
      <c r="Y490" s="4"/>
      <c r="Z490" s="4"/>
      <c r="AA490" s="4"/>
      <c r="AB490" s="4"/>
    </row>
    <row r="491" spans="1:28" ht="13.15" customHeight="1">
      <c r="A491" s="11">
        <v>477</v>
      </c>
      <c r="B491" s="14">
        <f t="shared" si="156"/>
        <v>45520</v>
      </c>
      <c r="C491" s="9">
        <f t="shared" si="157"/>
        <v>842</v>
      </c>
      <c r="D491" s="8">
        <f t="shared" si="145"/>
        <v>2131</v>
      </c>
      <c r="E491" s="7">
        <f t="shared" si="149"/>
        <v>611</v>
      </c>
      <c r="F491" s="7">
        <f t="shared" si="150"/>
        <v>600</v>
      </c>
      <c r="G491" s="7">
        <f t="shared" si="151"/>
        <v>461</v>
      </c>
      <c r="H491" s="4">
        <f t="shared" si="152"/>
        <v>2362</v>
      </c>
      <c r="I491" s="4">
        <f t="shared" si="153"/>
        <v>2373</v>
      </c>
      <c r="J491" s="4">
        <f t="shared" si="154"/>
        <v>2512</v>
      </c>
      <c r="K491" s="4">
        <f t="shared" si="146"/>
        <v>3000</v>
      </c>
      <c r="L491" s="4">
        <f t="shared" si="147"/>
        <v>3000</v>
      </c>
      <c r="M491" s="4">
        <f t="shared" si="148"/>
        <v>3000</v>
      </c>
      <c r="N491" s="4">
        <f t="shared" si="158"/>
        <v>-638</v>
      </c>
      <c r="O491" s="4">
        <f t="shared" si="159"/>
        <v>-627</v>
      </c>
      <c r="P491" s="4">
        <f t="shared" si="160"/>
        <v>-488</v>
      </c>
      <c r="Q491" s="7">
        <v>0</v>
      </c>
      <c r="R491" s="7">
        <v>0</v>
      </c>
      <c r="S491" s="7">
        <v>0</v>
      </c>
      <c r="T491" s="5">
        <f t="shared" si="155"/>
        <v>1310</v>
      </c>
      <c r="U491" s="6">
        <f t="shared" si="162"/>
        <v>1642</v>
      </c>
      <c r="V491" s="6">
        <f t="shared" si="163"/>
        <v>1663</v>
      </c>
      <c r="W491" s="6">
        <f t="shared" si="161"/>
        <v>1812</v>
      </c>
      <c r="X491" s="5"/>
      <c r="Y491" s="4"/>
      <c r="Z491" s="4"/>
      <c r="AA491" s="4"/>
      <c r="AB491" s="4"/>
    </row>
    <row r="492" spans="1:28" ht="13.15" customHeight="1">
      <c r="A492" s="11">
        <v>478</v>
      </c>
      <c r="B492" s="14">
        <f t="shared" si="156"/>
        <v>45521</v>
      </c>
      <c r="C492" s="9">
        <f t="shared" si="157"/>
        <v>842</v>
      </c>
      <c r="D492" s="8">
        <f t="shared" si="145"/>
        <v>2133</v>
      </c>
      <c r="E492" s="7">
        <f t="shared" si="149"/>
        <v>613</v>
      </c>
      <c r="F492" s="7">
        <f t="shared" si="150"/>
        <v>602</v>
      </c>
      <c r="G492" s="7">
        <f t="shared" si="151"/>
        <v>463</v>
      </c>
      <c r="H492" s="4">
        <f t="shared" si="152"/>
        <v>2362</v>
      </c>
      <c r="I492" s="4">
        <f t="shared" si="153"/>
        <v>2373</v>
      </c>
      <c r="J492" s="4">
        <f t="shared" si="154"/>
        <v>2512</v>
      </c>
      <c r="K492" s="4">
        <f t="shared" ref="K492:K523" si="164">K491</f>
        <v>3000</v>
      </c>
      <c r="L492" s="4">
        <f t="shared" ref="L492:L523" si="165">L491</f>
        <v>3000</v>
      </c>
      <c r="M492" s="4">
        <f t="shared" ref="M492:M523" si="166">M491</f>
        <v>3000</v>
      </c>
      <c r="N492" s="4">
        <f t="shared" si="158"/>
        <v>-638</v>
      </c>
      <c r="O492" s="4">
        <f t="shared" si="159"/>
        <v>-627</v>
      </c>
      <c r="P492" s="4">
        <f t="shared" si="160"/>
        <v>-488</v>
      </c>
      <c r="Q492" s="7">
        <v>0</v>
      </c>
      <c r="R492" s="7">
        <v>0</v>
      </c>
      <c r="S492" s="7">
        <v>0</v>
      </c>
      <c r="T492" s="5">
        <f t="shared" si="155"/>
        <v>1312</v>
      </c>
      <c r="U492" s="6">
        <f t="shared" si="162"/>
        <v>1642</v>
      </c>
      <c r="V492" s="6">
        <f t="shared" si="163"/>
        <v>1663</v>
      </c>
      <c r="W492" s="6">
        <f t="shared" si="161"/>
        <v>1812</v>
      </c>
      <c r="X492" s="5"/>
      <c r="Y492" s="4"/>
      <c r="Z492" s="4"/>
      <c r="AA492" s="4"/>
      <c r="AB492" s="4"/>
    </row>
    <row r="493" spans="1:28" ht="13.15" customHeight="1">
      <c r="A493" s="11">
        <v>479</v>
      </c>
      <c r="B493" s="14">
        <f t="shared" si="156"/>
        <v>45522</v>
      </c>
      <c r="C493" s="9">
        <f t="shared" si="157"/>
        <v>842</v>
      </c>
      <c r="D493" s="8">
        <f t="shared" si="145"/>
        <v>2135</v>
      </c>
      <c r="E493" s="7">
        <f t="shared" si="149"/>
        <v>615</v>
      </c>
      <c r="F493" s="7">
        <f t="shared" si="150"/>
        <v>604</v>
      </c>
      <c r="G493" s="7">
        <f t="shared" si="151"/>
        <v>465</v>
      </c>
      <c r="H493" s="4">
        <f t="shared" si="152"/>
        <v>2362</v>
      </c>
      <c r="I493" s="4">
        <f t="shared" si="153"/>
        <v>2373</v>
      </c>
      <c r="J493" s="4">
        <f t="shared" si="154"/>
        <v>2512</v>
      </c>
      <c r="K493" s="4">
        <f t="shared" si="164"/>
        <v>3000</v>
      </c>
      <c r="L493" s="4">
        <f t="shared" si="165"/>
        <v>3000</v>
      </c>
      <c r="M493" s="4">
        <f t="shared" si="166"/>
        <v>3000</v>
      </c>
      <c r="N493" s="4">
        <f t="shared" si="158"/>
        <v>-638</v>
      </c>
      <c r="O493" s="4">
        <f t="shared" si="159"/>
        <v>-627</v>
      </c>
      <c r="P493" s="4">
        <f t="shared" si="160"/>
        <v>-488</v>
      </c>
      <c r="Q493" s="7">
        <v>0</v>
      </c>
      <c r="R493" s="7">
        <v>0</v>
      </c>
      <c r="S493" s="7">
        <v>0</v>
      </c>
      <c r="T493" s="5">
        <f t="shared" si="155"/>
        <v>1314</v>
      </c>
      <c r="U493" s="6">
        <f t="shared" si="162"/>
        <v>1642</v>
      </c>
      <c r="V493" s="6">
        <f t="shared" si="163"/>
        <v>1663</v>
      </c>
      <c r="W493" s="6">
        <f t="shared" si="161"/>
        <v>1812</v>
      </c>
      <c r="X493" s="5"/>
      <c r="Y493" s="4"/>
      <c r="Z493" s="4"/>
      <c r="AA493" s="4"/>
      <c r="AB493" s="4"/>
    </row>
    <row r="494" spans="1:28" ht="13.15" customHeight="1">
      <c r="A494" s="11">
        <v>480</v>
      </c>
      <c r="B494" s="14">
        <f t="shared" si="156"/>
        <v>45523</v>
      </c>
      <c r="C494" s="9">
        <f t="shared" si="157"/>
        <v>842</v>
      </c>
      <c r="D494" s="8">
        <f t="shared" si="145"/>
        <v>2137</v>
      </c>
      <c r="E494" s="7">
        <f t="shared" si="149"/>
        <v>617</v>
      </c>
      <c r="F494" s="7">
        <f t="shared" si="150"/>
        <v>606</v>
      </c>
      <c r="G494" s="7">
        <f t="shared" si="151"/>
        <v>467</v>
      </c>
      <c r="H494" s="4">
        <f t="shared" si="152"/>
        <v>2362</v>
      </c>
      <c r="I494" s="4">
        <f t="shared" si="153"/>
        <v>2373</v>
      </c>
      <c r="J494" s="4">
        <f t="shared" si="154"/>
        <v>2512</v>
      </c>
      <c r="K494" s="4">
        <f t="shared" si="164"/>
        <v>3000</v>
      </c>
      <c r="L494" s="4">
        <f t="shared" si="165"/>
        <v>3000</v>
      </c>
      <c r="M494" s="4">
        <f t="shared" si="166"/>
        <v>3000</v>
      </c>
      <c r="N494" s="4">
        <f t="shared" si="158"/>
        <v>-638</v>
      </c>
      <c r="O494" s="4">
        <f t="shared" si="159"/>
        <v>-627</v>
      </c>
      <c r="P494" s="4">
        <f t="shared" si="160"/>
        <v>-488</v>
      </c>
      <c r="Q494" s="7">
        <v>0</v>
      </c>
      <c r="R494" s="7">
        <v>0</v>
      </c>
      <c r="S494" s="7">
        <v>0</v>
      </c>
      <c r="T494" s="5">
        <f t="shared" si="155"/>
        <v>1316</v>
      </c>
      <c r="U494" s="6">
        <f t="shared" si="162"/>
        <v>1642</v>
      </c>
      <c r="V494" s="6">
        <f t="shared" si="163"/>
        <v>1663</v>
      </c>
      <c r="W494" s="6">
        <f t="shared" si="161"/>
        <v>1812</v>
      </c>
      <c r="X494" s="5"/>
      <c r="Y494" s="4"/>
      <c r="Z494" s="4"/>
      <c r="AA494" s="4"/>
      <c r="AB494" s="4"/>
    </row>
    <row r="495" spans="1:28" ht="13.15" customHeight="1">
      <c r="A495" s="11">
        <v>481</v>
      </c>
      <c r="B495" s="14">
        <f t="shared" si="156"/>
        <v>45524</v>
      </c>
      <c r="C495" s="9">
        <f t="shared" si="157"/>
        <v>842</v>
      </c>
      <c r="D495" s="8">
        <f t="shared" si="145"/>
        <v>2139</v>
      </c>
      <c r="E495" s="7">
        <f t="shared" si="149"/>
        <v>619</v>
      </c>
      <c r="F495" s="7">
        <f t="shared" si="150"/>
        <v>608</v>
      </c>
      <c r="G495" s="7">
        <f t="shared" si="151"/>
        <v>469</v>
      </c>
      <c r="H495" s="4">
        <f t="shared" si="152"/>
        <v>2362</v>
      </c>
      <c r="I495" s="4">
        <f t="shared" si="153"/>
        <v>2373</v>
      </c>
      <c r="J495" s="4">
        <f t="shared" si="154"/>
        <v>2512</v>
      </c>
      <c r="K495" s="4">
        <f t="shared" si="164"/>
        <v>3000</v>
      </c>
      <c r="L495" s="4">
        <f t="shared" si="165"/>
        <v>3000</v>
      </c>
      <c r="M495" s="4">
        <f t="shared" si="166"/>
        <v>3000</v>
      </c>
      <c r="N495" s="4">
        <f t="shared" si="158"/>
        <v>-638</v>
      </c>
      <c r="O495" s="4">
        <f t="shared" si="159"/>
        <v>-627</v>
      </c>
      <c r="P495" s="4">
        <f t="shared" si="160"/>
        <v>-488</v>
      </c>
      <c r="Q495" s="7">
        <v>0</v>
      </c>
      <c r="R495" s="7">
        <v>0</v>
      </c>
      <c r="S495" s="7">
        <v>0</v>
      </c>
      <c r="T495" s="5">
        <f t="shared" si="155"/>
        <v>1318</v>
      </c>
      <c r="U495" s="6">
        <f t="shared" si="162"/>
        <v>1642</v>
      </c>
      <c r="V495" s="6">
        <f t="shared" si="163"/>
        <v>1663</v>
      </c>
      <c r="W495" s="6">
        <f t="shared" si="161"/>
        <v>1812</v>
      </c>
      <c r="X495" s="5"/>
      <c r="Y495" s="4"/>
      <c r="Z495" s="4"/>
      <c r="AA495" s="4"/>
      <c r="AB495" s="4"/>
    </row>
    <row r="496" spans="1:28" ht="13.15" customHeight="1">
      <c r="A496" s="11">
        <v>482</v>
      </c>
      <c r="B496" s="14">
        <f t="shared" si="156"/>
        <v>45525</v>
      </c>
      <c r="C496" s="9">
        <f t="shared" si="157"/>
        <v>842</v>
      </c>
      <c r="D496" s="8">
        <f t="shared" si="145"/>
        <v>2141</v>
      </c>
      <c r="E496" s="7">
        <f t="shared" si="149"/>
        <v>621</v>
      </c>
      <c r="F496" s="7">
        <f t="shared" si="150"/>
        <v>610</v>
      </c>
      <c r="G496" s="7">
        <f t="shared" si="151"/>
        <v>471</v>
      </c>
      <c r="H496" s="4">
        <f t="shared" si="152"/>
        <v>2362</v>
      </c>
      <c r="I496" s="4">
        <f t="shared" si="153"/>
        <v>2373</v>
      </c>
      <c r="J496" s="4">
        <f t="shared" si="154"/>
        <v>2512</v>
      </c>
      <c r="K496" s="4">
        <f t="shared" si="164"/>
        <v>3000</v>
      </c>
      <c r="L496" s="4">
        <f t="shared" si="165"/>
        <v>3000</v>
      </c>
      <c r="M496" s="4">
        <f t="shared" si="166"/>
        <v>3000</v>
      </c>
      <c r="N496" s="4">
        <f t="shared" si="158"/>
        <v>-638</v>
      </c>
      <c r="O496" s="4">
        <f t="shared" si="159"/>
        <v>-627</v>
      </c>
      <c r="P496" s="4">
        <f t="shared" si="160"/>
        <v>-488</v>
      </c>
      <c r="Q496" s="7">
        <v>0</v>
      </c>
      <c r="R496" s="7">
        <v>0</v>
      </c>
      <c r="S496" s="7">
        <v>0</v>
      </c>
      <c r="T496" s="5">
        <f t="shared" si="155"/>
        <v>1320</v>
      </c>
      <c r="U496" s="6">
        <f t="shared" si="162"/>
        <v>1642</v>
      </c>
      <c r="V496" s="6">
        <f t="shared" si="163"/>
        <v>1663</v>
      </c>
      <c r="W496" s="6">
        <f t="shared" si="161"/>
        <v>1812</v>
      </c>
      <c r="X496" s="5"/>
      <c r="Y496" s="4"/>
      <c r="Z496" s="4"/>
      <c r="AA496" s="4"/>
      <c r="AB496" s="4"/>
    </row>
    <row r="497" spans="1:28" ht="13.15" customHeight="1">
      <c r="A497" s="11">
        <v>483</v>
      </c>
      <c r="B497" s="14">
        <f t="shared" si="156"/>
        <v>45526</v>
      </c>
      <c r="C497" s="9">
        <f t="shared" si="157"/>
        <v>842</v>
      </c>
      <c r="D497" s="8">
        <f t="shared" si="145"/>
        <v>2143</v>
      </c>
      <c r="E497" s="7">
        <f t="shared" si="149"/>
        <v>623</v>
      </c>
      <c r="F497" s="7">
        <f t="shared" si="150"/>
        <v>612</v>
      </c>
      <c r="G497" s="7">
        <f t="shared" si="151"/>
        <v>473</v>
      </c>
      <c r="H497" s="4">
        <f t="shared" si="152"/>
        <v>2362</v>
      </c>
      <c r="I497" s="4">
        <f t="shared" si="153"/>
        <v>2373</v>
      </c>
      <c r="J497" s="4">
        <f t="shared" si="154"/>
        <v>2512</v>
      </c>
      <c r="K497" s="4">
        <f t="shared" si="164"/>
        <v>3000</v>
      </c>
      <c r="L497" s="4">
        <f t="shared" si="165"/>
        <v>3000</v>
      </c>
      <c r="M497" s="4">
        <f t="shared" si="166"/>
        <v>3000</v>
      </c>
      <c r="N497" s="4">
        <f t="shared" si="158"/>
        <v>-638</v>
      </c>
      <c r="O497" s="4">
        <f t="shared" si="159"/>
        <v>-627</v>
      </c>
      <c r="P497" s="4">
        <f t="shared" si="160"/>
        <v>-488</v>
      </c>
      <c r="Q497" s="7">
        <v>0</v>
      </c>
      <c r="R497" s="7">
        <v>0</v>
      </c>
      <c r="S497" s="7">
        <v>0</v>
      </c>
      <c r="T497" s="5">
        <f t="shared" si="155"/>
        <v>1322</v>
      </c>
      <c r="U497" s="6">
        <f t="shared" si="162"/>
        <v>1642</v>
      </c>
      <c r="V497" s="6">
        <f t="shared" si="163"/>
        <v>1663</v>
      </c>
      <c r="W497" s="6">
        <f t="shared" si="161"/>
        <v>1812</v>
      </c>
      <c r="X497" s="5"/>
      <c r="Y497" s="4"/>
      <c r="Z497" s="4"/>
      <c r="AA497" s="4"/>
      <c r="AB497" s="4"/>
    </row>
    <row r="498" spans="1:28" ht="13.15" customHeight="1">
      <c r="A498" s="11">
        <v>484</v>
      </c>
      <c r="B498" s="14">
        <f t="shared" si="156"/>
        <v>45527</v>
      </c>
      <c r="C498" s="9">
        <f t="shared" si="157"/>
        <v>842</v>
      </c>
      <c r="D498" s="8">
        <f t="shared" si="145"/>
        <v>2145</v>
      </c>
      <c r="E498" s="7">
        <f t="shared" si="149"/>
        <v>625</v>
      </c>
      <c r="F498" s="7">
        <f t="shared" si="150"/>
        <v>614</v>
      </c>
      <c r="G498" s="7">
        <f t="shared" si="151"/>
        <v>475</v>
      </c>
      <c r="H498" s="4">
        <f t="shared" si="152"/>
        <v>2362</v>
      </c>
      <c r="I498" s="4">
        <f t="shared" si="153"/>
        <v>2373</v>
      </c>
      <c r="J498" s="4">
        <f t="shared" si="154"/>
        <v>2512</v>
      </c>
      <c r="K498" s="4">
        <f t="shared" si="164"/>
        <v>3000</v>
      </c>
      <c r="L498" s="4">
        <f t="shared" si="165"/>
        <v>3000</v>
      </c>
      <c r="M498" s="4">
        <f t="shared" si="166"/>
        <v>3000</v>
      </c>
      <c r="N498" s="4">
        <f t="shared" si="158"/>
        <v>-638</v>
      </c>
      <c r="O498" s="4">
        <f t="shared" si="159"/>
        <v>-627</v>
      </c>
      <c r="P498" s="4">
        <f t="shared" si="160"/>
        <v>-488</v>
      </c>
      <c r="Q498" s="7">
        <v>0</v>
      </c>
      <c r="R498" s="7">
        <v>0</v>
      </c>
      <c r="S498" s="7">
        <v>0</v>
      </c>
      <c r="T498" s="5">
        <f t="shared" si="155"/>
        <v>1324</v>
      </c>
      <c r="U498" s="6">
        <f t="shared" si="162"/>
        <v>1642</v>
      </c>
      <c r="V498" s="6">
        <f t="shared" si="163"/>
        <v>1663</v>
      </c>
      <c r="W498" s="6">
        <f t="shared" si="161"/>
        <v>1812</v>
      </c>
      <c r="X498" s="5"/>
      <c r="Y498" s="4"/>
      <c r="Z498" s="4"/>
      <c r="AA498" s="4"/>
      <c r="AB498" s="4"/>
    </row>
    <row r="499" spans="1:28" ht="13.15" customHeight="1">
      <c r="A499" s="11">
        <v>485</v>
      </c>
      <c r="B499" s="14">
        <f t="shared" si="156"/>
        <v>45528</v>
      </c>
      <c r="C499" s="9">
        <f t="shared" si="157"/>
        <v>842</v>
      </c>
      <c r="D499" s="8">
        <f t="shared" si="145"/>
        <v>2147</v>
      </c>
      <c r="E499" s="7">
        <f t="shared" si="149"/>
        <v>627</v>
      </c>
      <c r="F499" s="7">
        <f t="shared" si="150"/>
        <v>616</v>
      </c>
      <c r="G499" s="7">
        <f t="shared" si="151"/>
        <v>477</v>
      </c>
      <c r="H499" s="4">
        <f t="shared" si="152"/>
        <v>2362</v>
      </c>
      <c r="I499" s="4">
        <f t="shared" si="153"/>
        <v>2373</v>
      </c>
      <c r="J499" s="4">
        <f t="shared" si="154"/>
        <v>2512</v>
      </c>
      <c r="K499" s="4">
        <f t="shared" si="164"/>
        <v>3000</v>
      </c>
      <c r="L499" s="4">
        <f t="shared" si="165"/>
        <v>3000</v>
      </c>
      <c r="M499" s="4">
        <f t="shared" si="166"/>
        <v>3000</v>
      </c>
      <c r="N499" s="4">
        <f t="shared" si="158"/>
        <v>-638</v>
      </c>
      <c r="O499" s="4">
        <f t="shared" si="159"/>
        <v>-627</v>
      </c>
      <c r="P499" s="4">
        <f t="shared" si="160"/>
        <v>-488</v>
      </c>
      <c r="Q499" s="7">
        <v>0</v>
      </c>
      <c r="R499" s="7">
        <v>0</v>
      </c>
      <c r="S499" s="7">
        <v>0</v>
      </c>
      <c r="T499" s="5">
        <f t="shared" si="155"/>
        <v>1326</v>
      </c>
      <c r="U499" s="6">
        <f t="shared" si="162"/>
        <v>1642</v>
      </c>
      <c r="V499" s="6">
        <f t="shared" si="163"/>
        <v>1663</v>
      </c>
      <c r="W499" s="6">
        <f t="shared" si="161"/>
        <v>1812</v>
      </c>
      <c r="X499" s="5"/>
      <c r="Y499" s="4"/>
      <c r="Z499" s="4"/>
      <c r="AA499" s="4"/>
      <c r="AB499" s="4"/>
    </row>
    <row r="500" spans="1:28" ht="13.15" customHeight="1">
      <c r="A500" s="11">
        <v>486</v>
      </c>
      <c r="B500" s="14">
        <f t="shared" si="156"/>
        <v>45529</v>
      </c>
      <c r="C500" s="9">
        <f t="shared" si="157"/>
        <v>842</v>
      </c>
      <c r="D500" s="8">
        <f t="shared" si="145"/>
        <v>2149</v>
      </c>
      <c r="E500" s="7">
        <f t="shared" si="149"/>
        <v>629</v>
      </c>
      <c r="F500" s="7">
        <f t="shared" si="150"/>
        <v>618</v>
      </c>
      <c r="G500" s="7">
        <f t="shared" si="151"/>
        <v>479</v>
      </c>
      <c r="H500" s="4">
        <f t="shared" si="152"/>
        <v>2362</v>
      </c>
      <c r="I500" s="4">
        <f t="shared" si="153"/>
        <v>2373</v>
      </c>
      <c r="J500" s="4">
        <f t="shared" si="154"/>
        <v>2512</v>
      </c>
      <c r="K500" s="4">
        <f t="shared" si="164"/>
        <v>3000</v>
      </c>
      <c r="L500" s="4">
        <f t="shared" si="165"/>
        <v>3000</v>
      </c>
      <c r="M500" s="4">
        <f t="shared" si="166"/>
        <v>3000</v>
      </c>
      <c r="N500" s="4">
        <f t="shared" si="158"/>
        <v>-638</v>
      </c>
      <c r="O500" s="4">
        <f t="shared" si="159"/>
        <v>-627</v>
      </c>
      <c r="P500" s="4">
        <f t="shared" si="160"/>
        <v>-488</v>
      </c>
      <c r="Q500" s="7">
        <v>0</v>
      </c>
      <c r="R500" s="7">
        <v>0</v>
      </c>
      <c r="S500" s="7">
        <v>0</v>
      </c>
      <c r="T500" s="5">
        <f t="shared" si="155"/>
        <v>1328</v>
      </c>
      <c r="U500" s="6">
        <f t="shared" si="162"/>
        <v>1642</v>
      </c>
      <c r="V500" s="6">
        <f t="shared" si="163"/>
        <v>1663</v>
      </c>
      <c r="W500" s="6">
        <f t="shared" si="161"/>
        <v>1812</v>
      </c>
      <c r="X500" s="5"/>
      <c r="Y500" s="4"/>
      <c r="Z500" s="4"/>
      <c r="AA500" s="4"/>
      <c r="AB500" s="4"/>
    </row>
    <row r="501" spans="1:28" ht="13.15" customHeight="1">
      <c r="A501" s="11">
        <v>487</v>
      </c>
      <c r="B501" s="14">
        <f t="shared" si="156"/>
        <v>45530</v>
      </c>
      <c r="C501" s="9">
        <f t="shared" si="157"/>
        <v>842</v>
      </c>
      <c r="D501" s="8">
        <f t="shared" si="145"/>
        <v>2151</v>
      </c>
      <c r="E501" s="7">
        <f t="shared" si="149"/>
        <v>631</v>
      </c>
      <c r="F501" s="7">
        <f t="shared" si="150"/>
        <v>620</v>
      </c>
      <c r="G501" s="7">
        <f t="shared" si="151"/>
        <v>481</v>
      </c>
      <c r="H501" s="4">
        <f t="shared" si="152"/>
        <v>2362</v>
      </c>
      <c r="I501" s="4">
        <f t="shared" si="153"/>
        <v>2373</v>
      </c>
      <c r="J501" s="4">
        <f t="shared" si="154"/>
        <v>2512</v>
      </c>
      <c r="K501" s="4">
        <f t="shared" si="164"/>
        <v>3000</v>
      </c>
      <c r="L501" s="4">
        <f t="shared" si="165"/>
        <v>3000</v>
      </c>
      <c r="M501" s="4">
        <f t="shared" si="166"/>
        <v>3000</v>
      </c>
      <c r="N501" s="4">
        <f t="shared" si="158"/>
        <v>-638</v>
      </c>
      <c r="O501" s="4">
        <f t="shared" si="159"/>
        <v>-627</v>
      </c>
      <c r="P501" s="4">
        <f t="shared" si="160"/>
        <v>-488</v>
      </c>
      <c r="Q501" s="7">
        <v>0</v>
      </c>
      <c r="R501" s="7">
        <v>0</v>
      </c>
      <c r="S501" s="7">
        <v>0</v>
      </c>
      <c r="T501" s="5">
        <f t="shared" si="155"/>
        <v>1330</v>
      </c>
      <c r="U501" s="6">
        <f t="shared" si="162"/>
        <v>1642</v>
      </c>
      <c r="V501" s="6">
        <f t="shared" si="163"/>
        <v>1663</v>
      </c>
      <c r="W501" s="6">
        <f t="shared" si="161"/>
        <v>1812</v>
      </c>
      <c r="X501" s="5"/>
      <c r="Y501" s="4"/>
      <c r="Z501" s="4"/>
      <c r="AA501" s="4"/>
      <c r="AB501" s="4"/>
    </row>
    <row r="502" spans="1:28" ht="13.15" customHeight="1">
      <c r="A502" s="11">
        <v>488</v>
      </c>
      <c r="B502" s="14">
        <f t="shared" si="156"/>
        <v>45531</v>
      </c>
      <c r="C502" s="9">
        <f t="shared" si="157"/>
        <v>842</v>
      </c>
      <c r="D502" s="8">
        <f t="shared" si="145"/>
        <v>2153</v>
      </c>
      <c r="E502" s="7">
        <f t="shared" si="149"/>
        <v>633</v>
      </c>
      <c r="F502" s="7">
        <f t="shared" si="150"/>
        <v>622</v>
      </c>
      <c r="G502" s="7">
        <f t="shared" si="151"/>
        <v>483</v>
      </c>
      <c r="H502" s="4">
        <f t="shared" si="152"/>
        <v>2362</v>
      </c>
      <c r="I502" s="4">
        <f t="shared" si="153"/>
        <v>2373</v>
      </c>
      <c r="J502" s="4">
        <f t="shared" si="154"/>
        <v>2512</v>
      </c>
      <c r="K502" s="4">
        <f t="shared" si="164"/>
        <v>3000</v>
      </c>
      <c r="L502" s="4">
        <f t="shared" si="165"/>
        <v>3000</v>
      </c>
      <c r="M502" s="4">
        <f t="shared" si="166"/>
        <v>3000</v>
      </c>
      <c r="N502" s="4">
        <f t="shared" si="158"/>
        <v>-638</v>
      </c>
      <c r="O502" s="4">
        <f t="shared" si="159"/>
        <v>-627</v>
      </c>
      <c r="P502" s="4">
        <f t="shared" si="160"/>
        <v>-488</v>
      </c>
      <c r="Q502" s="7">
        <v>0</v>
      </c>
      <c r="R502" s="7">
        <v>0</v>
      </c>
      <c r="S502" s="7">
        <v>0</v>
      </c>
      <c r="T502" s="5">
        <f t="shared" si="155"/>
        <v>1332</v>
      </c>
      <c r="U502" s="6">
        <f t="shared" si="162"/>
        <v>1642</v>
      </c>
      <c r="V502" s="6">
        <f t="shared" si="163"/>
        <v>1663</v>
      </c>
      <c r="W502" s="6">
        <f t="shared" si="161"/>
        <v>1812</v>
      </c>
      <c r="X502" s="5"/>
      <c r="Y502" s="4"/>
      <c r="Z502" s="4"/>
      <c r="AA502" s="4"/>
      <c r="AB502" s="4"/>
    </row>
    <row r="503" spans="1:28" ht="13.15" customHeight="1">
      <c r="A503" s="11">
        <v>489</v>
      </c>
      <c r="B503" s="14">
        <f t="shared" si="156"/>
        <v>45532</v>
      </c>
      <c r="C503" s="9">
        <f t="shared" si="157"/>
        <v>842</v>
      </c>
      <c r="D503" s="8">
        <f t="shared" si="145"/>
        <v>2155</v>
      </c>
      <c r="E503" s="7">
        <f t="shared" si="149"/>
        <v>635</v>
      </c>
      <c r="F503" s="7">
        <f t="shared" si="150"/>
        <v>624</v>
      </c>
      <c r="G503" s="7">
        <f t="shared" si="151"/>
        <v>485</v>
      </c>
      <c r="H503" s="4">
        <f t="shared" si="152"/>
        <v>2362</v>
      </c>
      <c r="I503" s="4">
        <f t="shared" si="153"/>
        <v>2373</v>
      </c>
      <c r="J503" s="4">
        <f t="shared" si="154"/>
        <v>2512</v>
      </c>
      <c r="K503" s="4">
        <f t="shared" si="164"/>
        <v>3000</v>
      </c>
      <c r="L503" s="4">
        <f t="shared" si="165"/>
        <v>3000</v>
      </c>
      <c r="M503" s="4">
        <f t="shared" si="166"/>
        <v>3000</v>
      </c>
      <c r="N503" s="4">
        <f t="shared" si="158"/>
        <v>-638</v>
      </c>
      <c r="O503" s="4">
        <f t="shared" si="159"/>
        <v>-627</v>
      </c>
      <c r="P503" s="4">
        <f t="shared" si="160"/>
        <v>-488</v>
      </c>
      <c r="Q503" s="7">
        <v>0</v>
      </c>
      <c r="R503" s="7">
        <v>0</v>
      </c>
      <c r="S503" s="7">
        <v>0</v>
      </c>
      <c r="T503" s="5">
        <f t="shared" si="155"/>
        <v>1334</v>
      </c>
      <c r="U503" s="6">
        <f t="shared" si="162"/>
        <v>1642</v>
      </c>
      <c r="V503" s="6">
        <f t="shared" si="163"/>
        <v>1663</v>
      </c>
      <c r="W503" s="6">
        <f t="shared" si="161"/>
        <v>1812</v>
      </c>
      <c r="X503" s="5"/>
      <c r="Y503" s="4"/>
      <c r="Z503" s="4"/>
      <c r="AA503" s="4"/>
      <c r="AB503" s="4"/>
    </row>
    <row r="504" spans="1:28" ht="13.15" customHeight="1">
      <c r="A504" s="11">
        <v>490</v>
      </c>
      <c r="B504" s="14">
        <f t="shared" si="156"/>
        <v>45533</v>
      </c>
      <c r="C504" s="9">
        <f t="shared" si="157"/>
        <v>842</v>
      </c>
      <c r="D504" s="8">
        <f t="shared" si="145"/>
        <v>2157</v>
      </c>
      <c r="E504" s="7">
        <f t="shared" si="149"/>
        <v>637</v>
      </c>
      <c r="F504" s="7">
        <f t="shared" si="150"/>
        <v>626</v>
      </c>
      <c r="G504" s="7">
        <f t="shared" si="151"/>
        <v>487</v>
      </c>
      <c r="H504" s="4">
        <f t="shared" si="152"/>
        <v>2362</v>
      </c>
      <c r="I504" s="4">
        <f t="shared" si="153"/>
        <v>2373</v>
      </c>
      <c r="J504" s="4">
        <f t="shared" si="154"/>
        <v>2512</v>
      </c>
      <c r="K504" s="4">
        <f t="shared" si="164"/>
        <v>3000</v>
      </c>
      <c r="L504" s="4">
        <f t="shared" si="165"/>
        <v>3000</v>
      </c>
      <c r="M504" s="4">
        <f t="shared" si="166"/>
        <v>3000</v>
      </c>
      <c r="N504" s="4">
        <f t="shared" si="158"/>
        <v>-638</v>
      </c>
      <c r="O504" s="4">
        <f t="shared" si="159"/>
        <v>-627</v>
      </c>
      <c r="P504" s="4">
        <f t="shared" si="160"/>
        <v>-488</v>
      </c>
      <c r="Q504" s="7">
        <v>0</v>
      </c>
      <c r="R504" s="7">
        <v>0</v>
      </c>
      <c r="S504" s="7">
        <v>0</v>
      </c>
      <c r="T504" s="5">
        <f t="shared" si="155"/>
        <v>1336</v>
      </c>
      <c r="U504" s="6">
        <f t="shared" si="162"/>
        <v>1642</v>
      </c>
      <c r="V504" s="6">
        <f t="shared" si="163"/>
        <v>1663</v>
      </c>
      <c r="W504" s="6">
        <f t="shared" si="161"/>
        <v>1812</v>
      </c>
      <c r="X504" s="5"/>
      <c r="Y504" s="4"/>
      <c r="Z504" s="4"/>
      <c r="AA504" s="4"/>
      <c r="AB504" s="4"/>
    </row>
    <row r="505" spans="1:28" ht="13.15" customHeight="1">
      <c r="A505" s="11">
        <v>491</v>
      </c>
      <c r="B505" s="14">
        <f t="shared" si="156"/>
        <v>45534</v>
      </c>
      <c r="C505" s="9">
        <f t="shared" si="157"/>
        <v>842</v>
      </c>
      <c r="D505" s="8">
        <f t="shared" si="145"/>
        <v>2159</v>
      </c>
      <c r="E505" s="7">
        <f t="shared" si="149"/>
        <v>639</v>
      </c>
      <c r="F505" s="7">
        <f t="shared" si="150"/>
        <v>628</v>
      </c>
      <c r="G505" s="7">
        <f t="shared" si="151"/>
        <v>489</v>
      </c>
      <c r="H505" s="4">
        <f t="shared" si="152"/>
        <v>2362</v>
      </c>
      <c r="I505" s="4">
        <f t="shared" si="153"/>
        <v>2373</v>
      </c>
      <c r="J505" s="4">
        <f t="shared" si="154"/>
        <v>2512</v>
      </c>
      <c r="K505" s="4">
        <f t="shared" si="164"/>
        <v>3000</v>
      </c>
      <c r="L505" s="4">
        <f t="shared" si="165"/>
        <v>3000</v>
      </c>
      <c r="M505" s="4">
        <f t="shared" si="166"/>
        <v>3000</v>
      </c>
      <c r="N505" s="4">
        <f t="shared" si="158"/>
        <v>-638</v>
      </c>
      <c r="O505" s="4">
        <f t="shared" si="159"/>
        <v>-627</v>
      </c>
      <c r="P505" s="4">
        <f t="shared" si="160"/>
        <v>-488</v>
      </c>
      <c r="Q505" s="7">
        <v>0</v>
      </c>
      <c r="R505" s="7">
        <v>0</v>
      </c>
      <c r="S505" s="7">
        <v>0</v>
      </c>
      <c r="T505" s="5">
        <f t="shared" si="155"/>
        <v>1338</v>
      </c>
      <c r="U505" s="6">
        <f t="shared" si="162"/>
        <v>1642</v>
      </c>
      <c r="V505" s="6">
        <f t="shared" si="163"/>
        <v>1663</v>
      </c>
      <c r="W505" s="6">
        <f t="shared" si="161"/>
        <v>1812</v>
      </c>
      <c r="X505" s="5"/>
      <c r="Y505" s="4"/>
      <c r="Z505" s="4"/>
      <c r="AA505" s="4"/>
      <c r="AB505" s="4"/>
    </row>
    <row r="506" spans="1:28" ht="13.15" customHeight="1">
      <c r="A506" s="11">
        <v>492</v>
      </c>
      <c r="B506" s="14">
        <f t="shared" si="156"/>
        <v>45535</v>
      </c>
      <c r="C506" s="9">
        <f t="shared" si="157"/>
        <v>842</v>
      </c>
      <c r="D506" s="8">
        <f t="shared" si="145"/>
        <v>2161</v>
      </c>
      <c r="E506" s="7">
        <f t="shared" si="149"/>
        <v>641</v>
      </c>
      <c r="F506" s="7">
        <f t="shared" si="150"/>
        <v>630</v>
      </c>
      <c r="G506" s="7">
        <f t="shared" si="151"/>
        <v>491</v>
      </c>
      <c r="H506" s="4">
        <f t="shared" si="152"/>
        <v>2362</v>
      </c>
      <c r="I506" s="4">
        <f t="shared" si="153"/>
        <v>2373</v>
      </c>
      <c r="J506" s="4">
        <f t="shared" si="154"/>
        <v>2512</v>
      </c>
      <c r="K506" s="4">
        <f t="shared" si="164"/>
        <v>3000</v>
      </c>
      <c r="L506" s="4">
        <f t="shared" si="165"/>
        <v>3000</v>
      </c>
      <c r="M506" s="4">
        <f t="shared" si="166"/>
        <v>3000</v>
      </c>
      <c r="N506" s="4">
        <f t="shared" si="158"/>
        <v>-638</v>
      </c>
      <c r="O506" s="4">
        <f t="shared" si="159"/>
        <v>-627</v>
      </c>
      <c r="P506" s="4">
        <f t="shared" si="160"/>
        <v>-488</v>
      </c>
      <c r="Q506" s="7">
        <v>0</v>
      </c>
      <c r="R506" s="7">
        <v>0</v>
      </c>
      <c r="S506" s="7">
        <v>0</v>
      </c>
      <c r="T506" s="5">
        <f t="shared" si="155"/>
        <v>1340</v>
      </c>
      <c r="U506" s="6">
        <f t="shared" si="162"/>
        <v>1642</v>
      </c>
      <c r="V506" s="6">
        <f t="shared" si="163"/>
        <v>1663</v>
      </c>
      <c r="W506" s="6">
        <f t="shared" si="161"/>
        <v>1812</v>
      </c>
      <c r="X506" s="5"/>
      <c r="Y506" s="4"/>
      <c r="Z506" s="4"/>
      <c r="AA506" s="4"/>
      <c r="AB506" s="4"/>
    </row>
    <row r="507" spans="1:28" ht="13.15" customHeight="1">
      <c r="A507" s="11">
        <f t="shared" ref="A507:A570" si="167">+A506+1</f>
        <v>493</v>
      </c>
      <c r="B507" s="14">
        <f t="shared" si="156"/>
        <v>45536</v>
      </c>
      <c r="C507" s="9">
        <f t="shared" si="157"/>
        <v>842</v>
      </c>
      <c r="D507" s="8">
        <f t="shared" si="145"/>
        <v>2163</v>
      </c>
      <c r="E507" s="7">
        <f t="shared" si="149"/>
        <v>643</v>
      </c>
      <c r="F507" s="7">
        <f t="shared" si="150"/>
        <v>632</v>
      </c>
      <c r="G507" s="7">
        <f t="shared" si="151"/>
        <v>493</v>
      </c>
      <c r="H507" s="4">
        <f t="shared" si="152"/>
        <v>2362</v>
      </c>
      <c r="I507" s="4">
        <f t="shared" si="153"/>
        <v>2373</v>
      </c>
      <c r="J507" s="4">
        <f t="shared" si="154"/>
        <v>2512</v>
      </c>
      <c r="K507" s="4">
        <f t="shared" si="164"/>
        <v>3000</v>
      </c>
      <c r="L507" s="4">
        <f t="shared" si="165"/>
        <v>3000</v>
      </c>
      <c r="M507" s="4">
        <f t="shared" si="166"/>
        <v>3000</v>
      </c>
      <c r="N507" s="4">
        <f t="shared" si="158"/>
        <v>-638</v>
      </c>
      <c r="O507" s="4">
        <f t="shared" si="159"/>
        <v>-627</v>
      </c>
      <c r="P507" s="4">
        <f t="shared" si="160"/>
        <v>-488</v>
      </c>
      <c r="Q507" s="7">
        <v>0</v>
      </c>
      <c r="R507" s="7">
        <v>0</v>
      </c>
      <c r="S507" s="7">
        <v>0</v>
      </c>
      <c r="T507" s="5">
        <f t="shared" si="155"/>
        <v>1342</v>
      </c>
      <c r="U507" s="6">
        <f t="shared" si="162"/>
        <v>1642</v>
      </c>
      <c r="V507" s="6">
        <f t="shared" si="163"/>
        <v>1663</v>
      </c>
      <c r="W507" s="6">
        <f t="shared" si="161"/>
        <v>1812</v>
      </c>
      <c r="X507" s="5"/>
      <c r="Y507" s="4"/>
      <c r="Z507" s="4"/>
      <c r="AA507" s="4"/>
      <c r="AB507" s="4"/>
    </row>
    <row r="508" spans="1:28" ht="13.15" customHeight="1">
      <c r="A508" s="11">
        <f t="shared" si="167"/>
        <v>494</v>
      </c>
      <c r="B508" s="14">
        <f t="shared" si="156"/>
        <v>45537</v>
      </c>
      <c r="C508" s="9">
        <f t="shared" si="157"/>
        <v>842</v>
      </c>
      <c r="D508" s="8">
        <f t="shared" si="145"/>
        <v>2165</v>
      </c>
      <c r="E508" s="7">
        <f t="shared" si="149"/>
        <v>645</v>
      </c>
      <c r="F508" s="7">
        <f t="shared" si="150"/>
        <v>634</v>
      </c>
      <c r="G508" s="7">
        <f t="shared" si="151"/>
        <v>495</v>
      </c>
      <c r="H508" s="4">
        <f t="shared" si="152"/>
        <v>2362</v>
      </c>
      <c r="I508" s="4">
        <f t="shared" si="153"/>
        <v>2373</v>
      </c>
      <c r="J508" s="4">
        <f t="shared" si="154"/>
        <v>2512</v>
      </c>
      <c r="K508" s="4">
        <f t="shared" si="164"/>
        <v>3000</v>
      </c>
      <c r="L508" s="4">
        <f t="shared" si="165"/>
        <v>3000</v>
      </c>
      <c r="M508" s="4">
        <f t="shared" si="166"/>
        <v>3000</v>
      </c>
      <c r="N508" s="4">
        <f t="shared" si="158"/>
        <v>-638</v>
      </c>
      <c r="O508" s="4">
        <f t="shared" si="159"/>
        <v>-627</v>
      </c>
      <c r="P508" s="4">
        <f t="shared" si="160"/>
        <v>-488</v>
      </c>
      <c r="Q508" s="7">
        <v>0</v>
      </c>
      <c r="R508" s="7">
        <v>0</v>
      </c>
      <c r="S508" s="7">
        <v>0</v>
      </c>
      <c r="T508" s="5">
        <f t="shared" si="155"/>
        <v>1344</v>
      </c>
      <c r="U508" s="6">
        <f t="shared" si="162"/>
        <v>1642</v>
      </c>
      <c r="V508" s="6">
        <f t="shared" si="163"/>
        <v>1663</v>
      </c>
      <c r="W508" s="6">
        <f t="shared" si="161"/>
        <v>1812</v>
      </c>
      <c r="X508" s="5"/>
      <c r="Y508" s="4"/>
      <c r="Z508" s="4"/>
      <c r="AA508" s="4"/>
      <c r="AB508" s="4"/>
    </row>
    <row r="509" spans="1:28" ht="13.15" customHeight="1">
      <c r="A509" s="11">
        <f t="shared" si="167"/>
        <v>495</v>
      </c>
      <c r="B509" s="14">
        <f t="shared" si="156"/>
        <v>45538</v>
      </c>
      <c r="C509" s="9">
        <f t="shared" si="157"/>
        <v>842</v>
      </c>
      <c r="D509" s="8">
        <f t="shared" si="145"/>
        <v>2167</v>
      </c>
      <c r="E509" s="7">
        <f t="shared" si="149"/>
        <v>647</v>
      </c>
      <c r="F509" s="7">
        <f t="shared" si="150"/>
        <v>636</v>
      </c>
      <c r="G509" s="7">
        <f t="shared" si="151"/>
        <v>497</v>
      </c>
      <c r="H509" s="4">
        <f t="shared" si="152"/>
        <v>2362</v>
      </c>
      <c r="I509" s="4">
        <f t="shared" si="153"/>
        <v>2373</v>
      </c>
      <c r="J509" s="4">
        <f t="shared" si="154"/>
        <v>2512</v>
      </c>
      <c r="K509" s="4">
        <f t="shared" si="164"/>
        <v>3000</v>
      </c>
      <c r="L509" s="4">
        <f t="shared" si="165"/>
        <v>3000</v>
      </c>
      <c r="M509" s="4">
        <f t="shared" si="166"/>
        <v>3000</v>
      </c>
      <c r="N509" s="4">
        <f t="shared" si="158"/>
        <v>-638</v>
      </c>
      <c r="O509" s="4">
        <f t="shared" si="159"/>
        <v>-627</v>
      </c>
      <c r="P509" s="4">
        <f t="shared" si="160"/>
        <v>-488</v>
      </c>
      <c r="Q509" s="7">
        <v>0</v>
      </c>
      <c r="R509" s="7">
        <v>0</v>
      </c>
      <c r="S509" s="7">
        <v>0</v>
      </c>
      <c r="T509" s="5">
        <f t="shared" si="155"/>
        <v>1346</v>
      </c>
      <c r="U509" s="6">
        <f t="shared" si="162"/>
        <v>1642</v>
      </c>
      <c r="V509" s="6">
        <f t="shared" si="163"/>
        <v>1663</v>
      </c>
      <c r="W509" s="6">
        <f t="shared" si="161"/>
        <v>1812</v>
      </c>
      <c r="X509" s="5"/>
      <c r="Y509" s="4"/>
      <c r="Z509" s="4"/>
      <c r="AA509" s="4"/>
      <c r="AB509" s="4"/>
    </row>
    <row r="510" spans="1:28" ht="13.15" customHeight="1">
      <c r="A510" s="11">
        <f t="shared" si="167"/>
        <v>496</v>
      </c>
      <c r="B510" s="14">
        <f t="shared" si="156"/>
        <v>45539</v>
      </c>
      <c r="C510" s="9">
        <f t="shared" si="157"/>
        <v>842</v>
      </c>
      <c r="D510" s="8">
        <f t="shared" si="145"/>
        <v>2169</v>
      </c>
      <c r="E510" s="7">
        <f t="shared" si="149"/>
        <v>649</v>
      </c>
      <c r="F510" s="7">
        <f t="shared" si="150"/>
        <v>638</v>
      </c>
      <c r="G510" s="7">
        <f t="shared" si="151"/>
        <v>499</v>
      </c>
      <c r="H510" s="4">
        <f t="shared" si="152"/>
        <v>2362</v>
      </c>
      <c r="I510" s="4">
        <f t="shared" si="153"/>
        <v>2373</v>
      </c>
      <c r="J510" s="4">
        <f t="shared" si="154"/>
        <v>2512</v>
      </c>
      <c r="K510" s="4">
        <f t="shared" si="164"/>
        <v>3000</v>
      </c>
      <c r="L510" s="4">
        <f t="shared" si="165"/>
        <v>3000</v>
      </c>
      <c r="M510" s="4">
        <f t="shared" si="166"/>
        <v>3000</v>
      </c>
      <c r="N510" s="4">
        <f t="shared" si="158"/>
        <v>-638</v>
      </c>
      <c r="O510" s="4">
        <f t="shared" si="159"/>
        <v>-627</v>
      </c>
      <c r="P510" s="4">
        <f t="shared" si="160"/>
        <v>-488</v>
      </c>
      <c r="Q510" s="7">
        <v>0</v>
      </c>
      <c r="R510" s="7">
        <v>0</v>
      </c>
      <c r="S510" s="7">
        <v>0</v>
      </c>
      <c r="T510" s="5">
        <f t="shared" si="155"/>
        <v>1348</v>
      </c>
      <c r="U510" s="6">
        <f t="shared" si="162"/>
        <v>1642</v>
      </c>
      <c r="V510" s="6">
        <f t="shared" si="163"/>
        <v>1663</v>
      </c>
      <c r="W510" s="6">
        <f t="shared" si="161"/>
        <v>1812</v>
      </c>
      <c r="X510" s="5"/>
      <c r="Y510" s="4"/>
      <c r="Z510" s="4"/>
      <c r="AA510" s="4"/>
      <c r="AB510" s="4"/>
    </row>
    <row r="511" spans="1:28" ht="13.15" customHeight="1">
      <c r="A511" s="11">
        <f t="shared" si="167"/>
        <v>497</v>
      </c>
      <c r="B511" s="14">
        <f t="shared" si="156"/>
        <v>45540</v>
      </c>
      <c r="C511" s="9">
        <f t="shared" si="157"/>
        <v>842</v>
      </c>
      <c r="D511" s="8">
        <f t="shared" ref="D511:D542" si="168">D510+2</f>
        <v>2171</v>
      </c>
      <c r="E511" s="7">
        <f t="shared" si="149"/>
        <v>651</v>
      </c>
      <c r="F511" s="7">
        <f t="shared" si="150"/>
        <v>640</v>
      </c>
      <c r="G511" s="7">
        <f t="shared" si="151"/>
        <v>501</v>
      </c>
      <c r="H511" s="4">
        <f t="shared" si="152"/>
        <v>2362</v>
      </c>
      <c r="I511" s="4">
        <f t="shared" si="153"/>
        <v>2373</v>
      </c>
      <c r="J511" s="4">
        <f t="shared" si="154"/>
        <v>2512</v>
      </c>
      <c r="K511" s="4">
        <f t="shared" si="164"/>
        <v>3000</v>
      </c>
      <c r="L511" s="4">
        <f t="shared" si="165"/>
        <v>3000</v>
      </c>
      <c r="M511" s="4">
        <f t="shared" si="166"/>
        <v>3000</v>
      </c>
      <c r="N511" s="4">
        <f t="shared" si="158"/>
        <v>-638</v>
      </c>
      <c r="O511" s="4">
        <f t="shared" si="159"/>
        <v>-627</v>
      </c>
      <c r="P511" s="4">
        <f t="shared" si="160"/>
        <v>-488</v>
      </c>
      <c r="Q511" s="7">
        <v>0</v>
      </c>
      <c r="R511" s="7">
        <v>0</v>
      </c>
      <c r="S511" s="7">
        <v>0</v>
      </c>
      <c r="T511" s="5">
        <f t="shared" si="155"/>
        <v>1350</v>
      </c>
      <c r="U511" s="6">
        <f t="shared" si="162"/>
        <v>1642</v>
      </c>
      <c r="V511" s="6">
        <f t="shared" si="163"/>
        <v>1663</v>
      </c>
      <c r="W511" s="6">
        <f t="shared" si="161"/>
        <v>1812</v>
      </c>
      <c r="X511" s="5"/>
      <c r="Y511" s="4"/>
      <c r="Z511" s="4"/>
      <c r="AA511" s="4"/>
      <c r="AB511" s="4"/>
    </row>
    <row r="512" spans="1:28" ht="13.15" customHeight="1">
      <c r="A512" s="11">
        <f t="shared" si="167"/>
        <v>498</v>
      </c>
      <c r="B512" s="14">
        <f t="shared" si="156"/>
        <v>45541</v>
      </c>
      <c r="C512" s="9">
        <f t="shared" si="157"/>
        <v>842</v>
      </c>
      <c r="D512" s="8">
        <f t="shared" si="168"/>
        <v>2173</v>
      </c>
      <c r="E512" s="7">
        <f t="shared" si="149"/>
        <v>653</v>
      </c>
      <c r="F512" s="7">
        <f t="shared" si="150"/>
        <v>642</v>
      </c>
      <c r="G512" s="7">
        <f t="shared" si="151"/>
        <v>503</v>
      </c>
      <c r="H512" s="4">
        <f t="shared" si="152"/>
        <v>2362</v>
      </c>
      <c r="I512" s="4">
        <f t="shared" si="153"/>
        <v>2373</v>
      </c>
      <c r="J512" s="4">
        <f t="shared" si="154"/>
        <v>2512</v>
      </c>
      <c r="K512" s="4">
        <f t="shared" si="164"/>
        <v>3000</v>
      </c>
      <c r="L512" s="4">
        <f t="shared" si="165"/>
        <v>3000</v>
      </c>
      <c r="M512" s="4">
        <f t="shared" si="166"/>
        <v>3000</v>
      </c>
      <c r="N512" s="4">
        <f t="shared" si="158"/>
        <v>-638</v>
      </c>
      <c r="O512" s="4">
        <f t="shared" si="159"/>
        <v>-627</v>
      </c>
      <c r="P512" s="4">
        <f t="shared" si="160"/>
        <v>-488</v>
      </c>
      <c r="Q512" s="7">
        <v>0</v>
      </c>
      <c r="R512" s="7">
        <v>0</v>
      </c>
      <c r="S512" s="7">
        <v>0</v>
      </c>
      <c r="T512" s="5">
        <f t="shared" si="155"/>
        <v>1352</v>
      </c>
      <c r="U512" s="6">
        <f t="shared" si="162"/>
        <v>1642</v>
      </c>
      <c r="V512" s="6">
        <f t="shared" si="163"/>
        <v>1663</v>
      </c>
      <c r="W512" s="6">
        <f t="shared" si="161"/>
        <v>1812</v>
      </c>
      <c r="X512" s="5"/>
      <c r="Y512" s="4"/>
      <c r="Z512" s="4"/>
      <c r="AA512" s="4"/>
      <c r="AB512" s="4"/>
    </row>
    <row r="513" spans="1:28" ht="13.15" customHeight="1">
      <c r="A513" s="11">
        <f t="shared" si="167"/>
        <v>499</v>
      </c>
      <c r="B513" s="14">
        <f t="shared" si="156"/>
        <v>45542</v>
      </c>
      <c r="C513" s="9">
        <f t="shared" si="157"/>
        <v>842</v>
      </c>
      <c r="D513" s="8">
        <f t="shared" si="168"/>
        <v>2175</v>
      </c>
      <c r="E513" s="7">
        <f t="shared" si="149"/>
        <v>655</v>
      </c>
      <c r="F513" s="7">
        <f t="shared" si="150"/>
        <v>644</v>
      </c>
      <c r="G513" s="7">
        <f t="shared" si="151"/>
        <v>505</v>
      </c>
      <c r="H513" s="4">
        <f t="shared" si="152"/>
        <v>2362</v>
      </c>
      <c r="I513" s="4">
        <f t="shared" si="153"/>
        <v>2373</v>
      </c>
      <c r="J513" s="4">
        <f t="shared" si="154"/>
        <v>2512</v>
      </c>
      <c r="K513" s="4">
        <f t="shared" si="164"/>
        <v>3000</v>
      </c>
      <c r="L513" s="4">
        <f t="shared" si="165"/>
        <v>3000</v>
      </c>
      <c r="M513" s="4">
        <f t="shared" si="166"/>
        <v>3000</v>
      </c>
      <c r="N513" s="4">
        <f t="shared" si="158"/>
        <v>-638</v>
      </c>
      <c r="O513" s="4">
        <f t="shared" si="159"/>
        <v>-627</v>
      </c>
      <c r="P513" s="4">
        <f t="shared" si="160"/>
        <v>-488</v>
      </c>
      <c r="Q513" s="7">
        <v>0</v>
      </c>
      <c r="R513" s="7">
        <v>0</v>
      </c>
      <c r="S513" s="7">
        <v>0</v>
      </c>
      <c r="T513" s="5">
        <f t="shared" si="155"/>
        <v>1354</v>
      </c>
      <c r="U513" s="6">
        <f t="shared" si="162"/>
        <v>1642</v>
      </c>
      <c r="V513" s="6">
        <f t="shared" si="163"/>
        <v>1663</v>
      </c>
      <c r="W513" s="6">
        <f t="shared" si="161"/>
        <v>1812</v>
      </c>
      <c r="X513" s="5"/>
      <c r="Y513" s="4"/>
      <c r="Z513" s="4"/>
      <c r="AA513" s="4"/>
      <c r="AB513" s="4"/>
    </row>
    <row r="514" spans="1:28" ht="13.15" customHeight="1">
      <c r="A514" s="11">
        <f t="shared" si="167"/>
        <v>500</v>
      </c>
      <c r="B514" s="14">
        <f t="shared" si="156"/>
        <v>45543</v>
      </c>
      <c r="C514" s="9">
        <f t="shared" si="157"/>
        <v>842</v>
      </c>
      <c r="D514" s="8">
        <f t="shared" si="168"/>
        <v>2177</v>
      </c>
      <c r="E514" s="7">
        <f t="shared" si="149"/>
        <v>657</v>
      </c>
      <c r="F514" s="7">
        <f t="shared" si="150"/>
        <v>646</v>
      </c>
      <c r="G514" s="7">
        <f t="shared" si="151"/>
        <v>507</v>
      </c>
      <c r="H514" s="4">
        <f t="shared" si="152"/>
        <v>2362</v>
      </c>
      <c r="I514" s="4">
        <f t="shared" si="153"/>
        <v>2373</v>
      </c>
      <c r="J514" s="4">
        <f t="shared" si="154"/>
        <v>2512</v>
      </c>
      <c r="K514" s="4">
        <f t="shared" si="164"/>
        <v>3000</v>
      </c>
      <c r="L514" s="4">
        <f t="shared" si="165"/>
        <v>3000</v>
      </c>
      <c r="M514" s="4">
        <f t="shared" si="166"/>
        <v>3000</v>
      </c>
      <c r="N514" s="4">
        <f t="shared" si="158"/>
        <v>-638</v>
      </c>
      <c r="O514" s="4">
        <f t="shared" si="159"/>
        <v>-627</v>
      </c>
      <c r="P514" s="4">
        <f t="shared" si="160"/>
        <v>-488</v>
      </c>
      <c r="Q514" s="7">
        <v>0</v>
      </c>
      <c r="R514" s="7">
        <v>0</v>
      </c>
      <c r="S514" s="7">
        <v>0</v>
      </c>
      <c r="T514" s="5">
        <f t="shared" si="155"/>
        <v>1356</v>
      </c>
      <c r="U514" s="6">
        <f t="shared" si="162"/>
        <v>1642</v>
      </c>
      <c r="V514" s="6">
        <f t="shared" si="163"/>
        <v>1663</v>
      </c>
      <c r="W514" s="6">
        <f t="shared" si="161"/>
        <v>1812</v>
      </c>
      <c r="X514" s="5"/>
      <c r="Y514" s="4"/>
      <c r="Z514" s="4"/>
      <c r="AA514" s="4"/>
      <c r="AB514" s="4"/>
    </row>
    <row r="515" spans="1:28" ht="13.15" customHeight="1">
      <c r="A515" s="11">
        <f t="shared" si="167"/>
        <v>501</v>
      </c>
      <c r="B515" s="14">
        <f t="shared" si="156"/>
        <v>45544</v>
      </c>
      <c r="C515" s="9">
        <f t="shared" si="157"/>
        <v>842</v>
      </c>
      <c r="D515" s="8">
        <f t="shared" si="168"/>
        <v>2179</v>
      </c>
      <c r="E515" s="7">
        <f t="shared" si="149"/>
        <v>659</v>
      </c>
      <c r="F515" s="7">
        <f t="shared" si="150"/>
        <v>648</v>
      </c>
      <c r="G515" s="7">
        <f t="shared" si="151"/>
        <v>509</v>
      </c>
      <c r="H515" s="4">
        <f t="shared" si="152"/>
        <v>2362</v>
      </c>
      <c r="I515" s="4">
        <f t="shared" si="153"/>
        <v>2373</v>
      </c>
      <c r="J515" s="4">
        <f t="shared" si="154"/>
        <v>2512</v>
      </c>
      <c r="K515" s="4">
        <f t="shared" si="164"/>
        <v>3000</v>
      </c>
      <c r="L515" s="4">
        <f t="shared" si="165"/>
        <v>3000</v>
      </c>
      <c r="M515" s="4">
        <f t="shared" si="166"/>
        <v>3000</v>
      </c>
      <c r="N515" s="4">
        <f t="shared" si="158"/>
        <v>-638</v>
      </c>
      <c r="O515" s="4">
        <f t="shared" si="159"/>
        <v>-627</v>
      </c>
      <c r="P515" s="4">
        <f t="shared" si="160"/>
        <v>-488</v>
      </c>
      <c r="Q515" s="7">
        <v>0</v>
      </c>
      <c r="R515" s="7">
        <v>0</v>
      </c>
      <c r="S515" s="7">
        <v>0</v>
      </c>
      <c r="T515" s="5">
        <f t="shared" si="155"/>
        <v>1358</v>
      </c>
      <c r="U515" s="6">
        <f t="shared" si="162"/>
        <v>1642</v>
      </c>
      <c r="V515" s="6">
        <f t="shared" si="163"/>
        <v>1663</v>
      </c>
      <c r="W515" s="6">
        <f t="shared" si="161"/>
        <v>1812</v>
      </c>
      <c r="X515" s="5"/>
      <c r="Y515" s="4"/>
      <c r="Z515" s="4"/>
      <c r="AA515" s="4"/>
      <c r="AB515" s="4"/>
    </row>
    <row r="516" spans="1:28" ht="13.15" customHeight="1">
      <c r="A516" s="11">
        <f t="shared" si="167"/>
        <v>502</v>
      </c>
      <c r="B516" s="14">
        <f t="shared" si="156"/>
        <v>45545</v>
      </c>
      <c r="C516" s="9">
        <f t="shared" si="157"/>
        <v>842</v>
      </c>
      <c r="D516" s="8">
        <f t="shared" si="168"/>
        <v>2181</v>
      </c>
      <c r="E516" s="7">
        <f t="shared" si="149"/>
        <v>661</v>
      </c>
      <c r="F516" s="7">
        <f t="shared" si="150"/>
        <v>650</v>
      </c>
      <c r="G516" s="7">
        <f t="shared" si="151"/>
        <v>511</v>
      </c>
      <c r="H516" s="4">
        <f t="shared" si="152"/>
        <v>2362</v>
      </c>
      <c r="I516" s="4">
        <f t="shared" si="153"/>
        <v>2373</v>
      </c>
      <c r="J516" s="4">
        <f t="shared" si="154"/>
        <v>2512</v>
      </c>
      <c r="K516" s="4">
        <f t="shared" si="164"/>
        <v>3000</v>
      </c>
      <c r="L516" s="4">
        <f t="shared" si="165"/>
        <v>3000</v>
      </c>
      <c r="M516" s="4">
        <f t="shared" si="166"/>
        <v>3000</v>
      </c>
      <c r="N516" s="4">
        <f t="shared" si="158"/>
        <v>-638</v>
      </c>
      <c r="O516" s="4">
        <f t="shared" si="159"/>
        <v>-627</v>
      </c>
      <c r="P516" s="4">
        <f t="shared" si="160"/>
        <v>-488</v>
      </c>
      <c r="Q516" s="7">
        <v>0</v>
      </c>
      <c r="R516" s="7">
        <v>0</v>
      </c>
      <c r="S516" s="7">
        <v>0</v>
      </c>
      <c r="T516" s="5">
        <f t="shared" si="155"/>
        <v>1360</v>
      </c>
      <c r="U516" s="6">
        <f t="shared" si="162"/>
        <v>1642</v>
      </c>
      <c r="V516" s="6">
        <f t="shared" si="163"/>
        <v>1663</v>
      </c>
      <c r="W516" s="6">
        <f t="shared" si="161"/>
        <v>1812</v>
      </c>
      <c r="X516" s="5"/>
      <c r="Y516" s="4"/>
      <c r="Z516" s="4"/>
      <c r="AA516" s="4"/>
      <c r="AB516" s="4"/>
    </row>
    <row r="517" spans="1:28" ht="13.15" customHeight="1">
      <c r="A517" s="11">
        <f t="shared" si="167"/>
        <v>503</v>
      </c>
      <c r="B517" s="14">
        <f t="shared" si="156"/>
        <v>45546</v>
      </c>
      <c r="C517" s="9">
        <f t="shared" si="157"/>
        <v>842</v>
      </c>
      <c r="D517" s="8">
        <f t="shared" si="168"/>
        <v>2183</v>
      </c>
      <c r="E517" s="7">
        <f t="shared" si="149"/>
        <v>663</v>
      </c>
      <c r="F517" s="7">
        <f t="shared" si="150"/>
        <v>652</v>
      </c>
      <c r="G517" s="7">
        <f t="shared" si="151"/>
        <v>513</v>
      </c>
      <c r="H517" s="4">
        <f t="shared" si="152"/>
        <v>2362</v>
      </c>
      <c r="I517" s="4">
        <f t="shared" si="153"/>
        <v>2373</v>
      </c>
      <c r="J517" s="4">
        <f t="shared" si="154"/>
        <v>2512</v>
      </c>
      <c r="K517" s="4">
        <f t="shared" si="164"/>
        <v>3000</v>
      </c>
      <c r="L517" s="4">
        <f t="shared" si="165"/>
        <v>3000</v>
      </c>
      <c r="M517" s="4">
        <f t="shared" si="166"/>
        <v>3000</v>
      </c>
      <c r="N517" s="4">
        <f t="shared" si="158"/>
        <v>-638</v>
      </c>
      <c r="O517" s="4">
        <f t="shared" si="159"/>
        <v>-627</v>
      </c>
      <c r="P517" s="4">
        <f t="shared" si="160"/>
        <v>-488</v>
      </c>
      <c r="Q517" s="7">
        <v>0</v>
      </c>
      <c r="R517" s="7">
        <v>0</v>
      </c>
      <c r="S517" s="7">
        <v>0</v>
      </c>
      <c r="T517" s="5">
        <f t="shared" si="155"/>
        <v>1362</v>
      </c>
      <c r="U517" s="6">
        <f t="shared" si="162"/>
        <v>1642</v>
      </c>
      <c r="V517" s="6">
        <f t="shared" si="163"/>
        <v>1663</v>
      </c>
      <c r="W517" s="6">
        <f t="shared" si="161"/>
        <v>1812</v>
      </c>
      <c r="X517" s="5"/>
      <c r="Y517" s="4"/>
      <c r="Z517" s="4"/>
      <c r="AA517" s="4"/>
      <c r="AB517" s="4"/>
    </row>
    <row r="518" spans="1:28" ht="13.15" customHeight="1">
      <c r="A518" s="11">
        <f t="shared" si="167"/>
        <v>504</v>
      </c>
      <c r="B518" s="14">
        <f t="shared" si="156"/>
        <v>45547</v>
      </c>
      <c r="C518" s="9">
        <f t="shared" si="157"/>
        <v>842</v>
      </c>
      <c r="D518" s="8">
        <f t="shared" si="168"/>
        <v>2185</v>
      </c>
      <c r="E518" s="7">
        <f t="shared" si="149"/>
        <v>665</v>
      </c>
      <c r="F518" s="7">
        <f t="shared" si="150"/>
        <v>654</v>
      </c>
      <c r="G518" s="7">
        <f t="shared" si="151"/>
        <v>515</v>
      </c>
      <c r="H518" s="4">
        <f t="shared" si="152"/>
        <v>2362</v>
      </c>
      <c r="I518" s="4">
        <f t="shared" si="153"/>
        <v>2373</v>
      </c>
      <c r="J518" s="4">
        <f t="shared" si="154"/>
        <v>2512</v>
      </c>
      <c r="K518" s="4">
        <f t="shared" si="164"/>
        <v>3000</v>
      </c>
      <c r="L518" s="4">
        <f t="shared" si="165"/>
        <v>3000</v>
      </c>
      <c r="M518" s="4">
        <f t="shared" si="166"/>
        <v>3000</v>
      </c>
      <c r="N518" s="4">
        <f t="shared" si="158"/>
        <v>-638</v>
      </c>
      <c r="O518" s="4">
        <f t="shared" si="159"/>
        <v>-627</v>
      </c>
      <c r="P518" s="4">
        <f t="shared" si="160"/>
        <v>-488</v>
      </c>
      <c r="Q518" s="7">
        <v>0</v>
      </c>
      <c r="R518" s="7">
        <v>0</v>
      </c>
      <c r="S518" s="7">
        <v>0</v>
      </c>
      <c r="T518" s="5">
        <f t="shared" si="155"/>
        <v>1364</v>
      </c>
      <c r="U518" s="6">
        <f t="shared" si="162"/>
        <v>1642</v>
      </c>
      <c r="V518" s="6">
        <f t="shared" si="163"/>
        <v>1663</v>
      </c>
      <c r="W518" s="6">
        <f t="shared" si="161"/>
        <v>1812</v>
      </c>
      <c r="X518" s="5"/>
      <c r="Y518" s="4"/>
      <c r="Z518" s="4"/>
      <c r="AA518" s="4"/>
      <c r="AB518" s="4"/>
    </row>
    <row r="519" spans="1:28" ht="13.15" customHeight="1">
      <c r="A519" s="11">
        <f t="shared" si="167"/>
        <v>505</v>
      </c>
      <c r="B519" s="14">
        <f t="shared" si="156"/>
        <v>45548</v>
      </c>
      <c r="C519" s="9">
        <f t="shared" si="157"/>
        <v>842</v>
      </c>
      <c r="D519" s="8">
        <f t="shared" si="168"/>
        <v>2187</v>
      </c>
      <c r="E519" s="7">
        <f t="shared" si="149"/>
        <v>667</v>
      </c>
      <c r="F519" s="7">
        <f t="shared" si="150"/>
        <v>656</v>
      </c>
      <c r="G519" s="7">
        <f t="shared" si="151"/>
        <v>517</v>
      </c>
      <c r="H519" s="4">
        <f t="shared" si="152"/>
        <v>2362</v>
      </c>
      <c r="I519" s="4">
        <f t="shared" si="153"/>
        <v>2373</v>
      </c>
      <c r="J519" s="4">
        <f t="shared" si="154"/>
        <v>2512</v>
      </c>
      <c r="K519" s="4">
        <f t="shared" si="164"/>
        <v>3000</v>
      </c>
      <c r="L519" s="4">
        <f t="shared" si="165"/>
        <v>3000</v>
      </c>
      <c r="M519" s="4">
        <f t="shared" si="166"/>
        <v>3000</v>
      </c>
      <c r="N519" s="4">
        <f t="shared" si="158"/>
        <v>-638</v>
      </c>
      <c r="O519" s="4">
        <f t="shared" si="159"/>
        <v>-627</v>
      </c>
      <c r="P519" s="4">
        <f t="shared" si="160"/>
        <v>-488</v>
      </c>
      <c r="Q519" s="7">
        <v>0</v>
      </c>
      <c r="R519" s="7">
        <v>0</v>
      </c>
      <c r="S519" s="7">
        <v>0</v>
      </c>
      <c r="T519" s="5">
        <f t="shared" si="155"/>
        <v>1366</v>
      </c>
      <c r="U519" s="6">
        <f t="shared" si="162"/>
        <v>1642</v>
      </c>
      <c r="V519" s="6">
        <f t="shared" si="163"/>
        <v>1663</v>
      </c>
      <c r="W519" s="6">
        <f t="shared" si="161"/>
        <v>1812</v>
      </c>
      <c r="X519" s="5"/>
      <c r="Y519" s="4"/>
      <c r="Z519" s="4"/>
      <c r="AA519" s="4"/>
      <c r="AB519" s="4"/>
    </row>
    <row r="520" spans="1:28" ht="13.15" customHeight="1">
      <c r="A520" s="11">
        <f t="shared" si="167"/>
        <v>506</v>
      </c>
      <c r="B520" s="14">
        <f t="shared" si="156"/>
        <v>45549</v>
      </c>
      <c r="C520" s="9">
        <f t="shared" si="157"/>
        <v>842</v>
      </c>
      <c r="D520" s="8">
        <f t="shared" si="168"/>
        <v>2189</v>
      </c>
      <c r="E520" s="7">
        <f t="shared" si="149"/>
        <v>669</v>
      </c>
      <c r="F520" s="7">
        <f t="shared" si="150"/>
        <v>658</v>
      </c>
      <c r="G520" s="7">
        <f t="shared" si="151"/>
        <v>519</v>
      </c>
      <c r="H520" s="4">
        <f t="shared" si="152"/>
        <v>2362</v>
      </c>
      <c r="I520" s="4">
        <f t="shared" si="153"/>
        <v>2373</v>
      </c>
      <c r="J520" s="4">
        <f t="shared" si="154"/>
        <v>2512</v>
      </c>
      <c r="K520" s="4">
        <f t="shared" si="164"/>
        <v>3000</v>
      </c>
      <c r="L520" s="4">
        <f t="shared" si="165"/>
        <v>3000</v>
      </c>
      <c r="M520" s="4">
        <f t="shared" si="166"/>
        <v>3000</v>
      </c>
      <c r="N520" s="4">
        <f t="shared" si="158"/>
        <v>-638</v>
      </c>
      <c r="O520" s="4">
        <f t="shared" si="159"/>
        <v>-627</v>
      </c>
      <c r="P520" s="4">
        <f t="shared" si="160"/>
        <v>-488</v>
      </c>
      <c r="Q520" s="7">
        <v>0</v>
      </c>
      <c r="R520" s="7">
        <v>0</v>
      </c>
      <c r="S520" s="7">
        <v>0</v>
      </c>
      <c r="T520" s="5">
        <f t="shared" si="155"/>
        <v>1368</v>
      </c>
      <c r="U520" s="6">
        <f t="shared" si="162"/>
        <v>1642</v>
      </c>
      <c r="V520" s="6">
        <f t="shared" si="163"/>
        <v>1663</v>
      </c>
      <c r="W520" s="6">
        <f t="shared" si="161"/>
        <v>1812</v>
      </c>
      <c r="X520" s="5"/>
      <c r="Y520" s="4"/>
      <c r="Z520" s="4"/>
      <c r="AA520" s="4"/>
      <c r="AB520" s="4"/>
    </row>
    <row r="521" spans="1:28" ht="13.15" customHeight="1">
      <c r="A521" s="11">
        <f t="shared" si="167"/>
        <v>507</v>
      </c>
      <c r="B521" s="14">
        <f t="shared" si="156"/>
        <v>45550</v>
      </c>
      <c r="C521" s="9">
        <f t="shared" si="157"/>
        <v>842</v>
      </c>
      <c r="D521" s="8">
        <f t="shared" si="168"/>
        <v>2191</v>
      </c>
      <c r="E521" s="7">
        <f t="shared" si="149"/>
        <v>671</v>
      </c>
      <c r="F521" s="7">
        <f t="shared" si="150"/>
        <v>660</v>
      </c>
      <c r="G521" s="7">
        <f t="shared" si="151"/>
        <v>521</v>
      </c>
      <c r="H521" s="4">
        <f t="shared" si="152"/>
        <v>2362</v>
      </c>
      <c r="I521" s="4">
        <f t="shared" si="153"/>
        <v>2373</v>
      </c>
      <c r="J521" s="4">
        <f t="shared" si="154"/>
        <v>2512</v>
      </c>
      <c r="K521" s="4">
        <f t="shared" si="164"/>
        <v>3000</v>
      </c>
      <c r="L521" s="4">
        <f t="shared" si="165"/>
        <v>3000</v>
      </c>
      <c r="M521" s="4">
        <f t="shared" si="166"/>
        <v>3000</v>
      </c>
      <c r="N521" s="4">
        <f t="shared" si="158"/>
        <v>-638</v>
      </c>
      <c r="O521" s="4">
        <f t="shared" si="159"/>
        <v>-627</v>
      </c>
      <c r="P521" s="4">
        <f t="shared" si="160"/>
        <v>-488</v>
      </c>
      <c r="Q521" s="7">
        <v>0</v>
      </c>
      <c r="R521" s="7">
        <v>0</v>
      </c>
      <c r="S521" s="7">
        <v>0</v>
      </c>
      <c r="T521" s="5">
        <f t="shared" si="155"/>
        <v>1370</v>
      </c>
      <c r="U521" s="6">
        <f t="shared" si="162"/>
        <v>1642</v>
      </c>
      <c r="V521" s="6">
        <f t="shared" si="163"/>
        <v>1663</v>
      </c>
      <c r="W521" s="6">
        <f t="shared" si="161"/>
        <v>1812</v>
      </c>
      <c r="X521" s="5"/>
      <c r="Y521" s="4"/>
      <c r="Z521" s="4"/>
      <c r="AA521" s="4"/>
      <c r="AB521" s="4"/>
    </row>
    <row r="522" spans="1:28" ht="13.15" customHeight="1">
      <c r="A522" s="11">
        <f t="shared" si="167"/>
        <v>508</v>
      </c>
      <c r="B522" s="14">
        <f t="shared" si="156"/>
        <v>45551</v>
      </c>
      <c r="C522" s="9">
        <f t="shared" si="157"/>
        <v>842</v>
      </c>
      <c r="D522" s="8">
        <f t="shared" si="168"/>
        <v>2193</v>
      </c>
      <c r="E522" s="7">
        <f t="shared" si="149"/>
        <v>673</v>
      </c>
      <c r="F522" s="7">
        <f t="shared" si="150"/>
        <v>662</v>
      </c>
      <c r="G522" s="7">
        <f t="shared" si="151"/>
        <v>523</v>
      </c>
      <c r="H522" s="4">
        <f t="shared" si="152"/>
        <v>2362</v>
      </c>
      <c r="I522" s="4">
        <f t="shared" si="153"/>
        <v>2373</v>
      </c>
      <c r="J522" s="4">
        <f t="shared" si="154"/>
        <v>2512</v>
      </c>
      <c r="K522" s="4">
        <f t="shared" si="164"/>
        <v>3000</v>
      </c>
      <c r="L522" s="4">
        <f t="shared" si="165"/>
        <v>3000</v>
      </c>
      <c r="M522" s="4">
        <f t="shared" si="166"/>
        <v>3000</v>
      </c>
      <c r="N522" s="4">
        <f t="shared" si="158"/>
        <v>-638</v>
      </c>
      <c r="O522" s="4">
        <f t="shared" si="159"/>
        <v>-627</v>
      </c>
      <c r="P522" s="4">
        <f t="shared" si="160"/>
        <v>-488</v>
      </c>
      <c r="Q522" s="7">
        <v>0</v>
      </c>
      <c r="R522" s="7">
        <v>0</v>
      </c>
      <c r="S522" s="7">
        <v>0</v>
      </c>
      <c r="T522" s="5">
        <f t="shared" si="155"/>
        <v>1372</v>
      </c>
      <c r="U522" s="6">
        <f t="shared" si="162"/>
        <v>1642</v>
      </c>
      <c r="V522" s="6">
        <f t="shared" si="163"/>
        <v>1663</v>
      </c>
      <c r="W522" s="6">
        <f t="shared" si="161"/>
        <v>1812</v>
      </c>
      <c r="X522" s="5"/>
      <c r="Y522" s="4"/>
      <c r="Z522" s="4"/>
      <c r="AA522" s="4"/>
      <c r="AB522" s="4"/>
    </row>
    <row r="523" spans="1:28" ht="13.15" customHeight="1">
      <c r="A523" s="11">
        <f t="shared" si="167"/>
        <v>509</v>
      </c>
      <c r="B523" s="14">
        <f t="shared" si="156"/>
        <v>45552</v>
      </c>
      <c r="C523" s="9">
        <f t="shared" si="157"/>
        <v>842</v>
      </c>
      <c r="D523" s="8">
        <f t="shared" si="168"/>
        <v>2195</v>
      </c>
      <c r="E523" s="7">
        <f t="shared" si="149"/>
        <v>675</v>
      </c>
      <c r="F523" s="7">
        <f t="shared" si="150"/>
        <v>664</v>
      </c>
      <c r="G523" s="7">
        <f t="shared" si="151"/>
        <v>525</v>
      </c>
      <c r="H523" s="4">
        <f t="shared" si="152"/>
        <v>2362</v>
      </c>
      <c r="I523" s="4">
        <f t="shared" si="153"/>
        <v>2373</v>
      </c>
      <c r="J523" s="4">
        <f t="shared" si="154"/>
        <v>2512</v>
      </c>
      <c r="K523" s="4">
        <f t="shared" si="164"/>
        <v>3000</v>
      </c>
      <c r="L523" s="4">
        <f t="shared" si="165"/>
        <v>3000</v>
      </c>
      <c r="M523" s="4">
        <f t="shared" si="166"/>
        <v>3000</v>
      </c>
      <c r="N523" s="4">
        <f t="shared" si="158"/>
        <v>-638</v>
      </c>
      <c r="O523" s="4">
        <f t="shared" si="159"/>
        <v>-627</v>
      </c>
      <c r="P523" s="4">
        <f t="shared" si="160"/>
        <v>-488</v>
      </c>
      <c r="Q523" s="7">
        <v>0</v>
      </c>
      <c r="R523" s="7">
        <v>0</v>
      </c>
      <c r="S523" s="7">
        <v>0</v>
      </c>
      <c r="T523" s="5">
        <f t="shared" si="155"/>
        <v>1374</v>
      </c>
      <c r="U523" s="6">
        <f t="shared" si="162"/>
        <v>1642</v>
      </c>
      <c r="V523" s="6">
        <f t="shared" si="163"/>
        <v>1663</v>
      </c>
      <c r="W523" s="6">
        <f t="shared" si="161"/>
        <v>1812</v>
      </c>
      <c r="X523" s="13"/>
      <c r="Y523" s="4"/>
      <c r="Z523" s="4"/>
      <c r="AA523" s="4"/>
      <c r="AB523" s="12"/>
    </row>
    <row r="524" spans="1:28" ht="13.15" customHeight="1">
      <c r="A524" s="11">
        <f t="shared" si="167"/>
        <v>510</v>
      </c>
      <c r="B524" s="14">
        <f t="shared" si="156"/>
        <v>45553</v>
      </c>
      <c r="C524" s="9">
        <f t="shared" si="157"/>
        <v>842</v>
      </c>
      <c r="D524" s="8">
        <f t="shared" si="168"/>
        <v>2197</v>
      </c>
      <c r="E524" s="7">
        <f t="shared" si="149"/>
        <v>677</v>
      </c>
      <c r="F524" s="7">
        <f t="shared" si="150"/>
        <v>666</v>
      </c>
      <c r="G524" s="7">
        <f t="shared" si="151"/>
        <v>527</v>
      </c>
      <c r="H524" s="4">
        <f t="shared" si="152"/>
        <v>2362</v>
      </c>
      <c r="I524" s="4">
        <f t="shared" si="153"/>
        <v>2373</v>
      </c>
      <c r="J524" s="4">
        <f t="shared" si="154"/>
        <v>2512</v>
      </c>
      <c r="K524" s="4">
        <f t="shared" ref="K524:K544" si="169">K523</f>
        <v>3000</v>
      </c>
      <c r="L524" s="4">
        <f t="shared" ref="L524:L544" si="170">L523</f>
        <v>3000</v>
      </c>
      <c r="M524" s="4">
        <f t="shared" ref="M524:M544" si="171">M523</f>
        <v>3000</v>
      </c>
      <c r="N524" s="4">
        <f t="shared" si="158"/>
        <v>-638</v>
      </c>
      <c r="O524" s="4">
        <f t="shared" si="159"/>
        <v>-627</v>
      </c>
      <c r="P524" s="4">
        <f t="shared" si="160"/>
        <v>-488</v>
      </c>
      <c r="Q524" s="7">
        <v>0</v>
      </c>
      <c r="R524" s="7">
        <v>0</v>
      </c>
      <c r="S524" s="7">
        <v>0</v>
      </c>
      <c r="T524" s="5">
        <f t="shared" si="155"/>
        <v>1376</v>
      </c>
      <c r="U524" s="6">
        <f t="shared" si="162"/>
        <v>1642</v>
      </c>
      <c r="V524" s="6">
        <f t="shared" si="163"/>
        <v>1663</v>
      </c>
      <c r="W524" s="6">
        <f t="shared" si="161"/>
        <v>1812</v>
      </c>
      <c r="X524" s="5"/>
      <c r="Y524" s="4"/>
      <c r="Z524" s="4"/>
      <c r="AA524" s="4"/>
      <c r="AB524" s="12"/>
    </row>
    <row r="525" spans="1:28" ht="13.15" customHeight="1">
      <c r="A525" s="11">
        <f t="shared" si="167"/>
        <v>511</v>
      </c>
      <c r="B525" s="14">
        <f t="shared" si="156"/>
        <v>45554</v>
      </c>
      <c r="C525" s="9">
        <f t="shared" si="157"/>
        <v>842</v>
      </c>
      <c r="D525" s="8">
        <f t="shared" si="168"/>
        <v>2199</v>
      </c>
      <c r="E525" s="7">
        <f t="shared" si="149"/>
        <v>679</v>
      </c>
      <c r="F525" s="7">
        <f t="shared" si="150"/>
        <v>668</v>
      </c>
      <c r="G525" s="7">
        <f t="shared" si="151"/>
        <v>529</v>
      </c>
      <c r="H525" s="4">
        <f t="shared" si="152"/>
        <v>2362</v>
      </c>
      <c r="I525" s="4">
        <f t="shared" si="153"/>
        <v>2373</v>
      </c>
      <c r="J525" s="4">
        <f t="shared" si="154"/>
        <v>2512</v>
      </c>
      <c r="K525" s="4">
        <f t="shared" si="169"/>
        <v>3000</v>
      </c>
      <c r="L525" s="4">
        <f t="shared" si="170"/>
        <v>3000</v>
      </c>
      <c r="M525" s="4">
        <f t="shared" si="171"/>
        <v>3000</v>
      </c>
      <c r="N525" s="4">
        <f t="shared" si="158"/>
        <v>-638</v>
      </c>
      <c r="O525" s="4">
        <f t="shared" si="159"/>
        <v>-627</v>
      </c>
      <c r="P525" s="4">
        <f t="shared" si="160"/>
        <v>-488</v>
      </c>
      <c r="Q525" s="7">
        <v>0</v>
      </c>
      <c r="R525" s="7">
        <v>0</v>
      </c>
      <c r="S525" s="7">
        <v>0</v>
      </c>
      <c r="T525" s="5">
        <f t="shared" si="155"/>
        <v>1378</v>
      </c>
      <c r="U525" s="6">
        <f t="shared" si="162"/>
        <v>1642</v>
      </c>
      <c r="V525" s="6">
        <f t="shared" si="163"/>
        <v>1663</v>
      </c>
      <c r="W525" s="6">
        <f t="shared" si="161"/>
        <v>1812</v>
      </c>
      <c r="X525" s="5"/>
      <c r="Y525" s="4"/>
      <c r="Z525" s="4"/>
      <c r="AA525" s="4"/>
      <c r="AB525" s="12"/>
    </row>
    <row r="526" spans="1:28" ht="13.15" customHeight="1">
      <c r="A526" s="11">
        <f t="shared" si="167"/>
        <v>512</v>
      </c>
      <c r="B526" s="14">
        <f t="shared" si="156"/>
        <v>45555</v>
      </c>
      <c r="C526" s="9">
        <f t="shared" si="157"/>
        <v>842</v>
      </c>
      <c r="D526" s="8">
        <f t="shared" si="168"/>
        <v>2201</v>
      </c>
      <c r="E526" s="7">
        <f t="shared" ref="E526:E589" si="172">C526+D526-H526</f>
        <v>681</v>
      </c>
      <c r="F526" s="7">
        <f t="shared" ref="F526:F589" si="173">C526+D526-I526</f>
        <v>670</v>
      </c>
      <c r="G526" s="7">
        <f t="shared" ref="G526:G589" si="174">D526+C526-J526</f>
        <v>531</v>
      </c>
      <c r="H526" s="4">
        <f t="shared" ref="H526:H589" si="175">K526+N526</f>
        <v>2362</v>
      </c>
      <c r="I526" s="4">
        <f t="shared" ref="I526:I589" si="176">L526+O526</f>
        <v>2373</v>
      </c>
      <c r="J526" s="4">
        <f t="shared" ref="J526:J589" si="177">M526+P526</f>
        <v>2512</v>
      </c>
      <c r="K526" s="4">
        <f t="shared" si="169"/>
        <v>3000</v>
      </c>
      <c r="L526" s="4">
        <f t="shared" si="170"/>
        <v>3000</v>
      </c>
      <c r="M526" s="4">
        <f t="shared" si="171"/>
        <v>3000</v>
      </c>
      <c r="N526" s="4">
        <f t="shared" si="158"/>
        <v>-638</v>
      </c>
      <c r="O526" s="4">
        <f t="shared" si="159"/>
        <v>-627</v>
      </c>
      <c r="P526" s="4">
        <f t="shared" si="160"/>
        <v>-488</v>
      </c>
      <c r="Q526" s="7">
        <v>0</v>
      </c>
      <c r="R526" s="7">
        <v>0</v>
      </c>
      <c r="S526" s="7">
        <v>0</v>
      </c>
      <c r="T526" s="5">
        <f t="shared" ref="T526:T589" si="178">D526+C526-V526</f>
        <v>1380</v>
      </c>
      <c r="U526" s="6">
        <f t="shared" si="162"/>
        <v>1642</v>
      </c>
      <c r="V526" s="6">
        <f t="shared" si="163"/>
        <v>1663</v>
      </c>
      <c r="W526" s="6">
        <f t="shared" si="161"/>
        <v>1812</v>
      </c>
      <c r="X526" s="5"/>
      <c r="Y526" s="4"/>
      <c r="Z526" s="4"/>
      <c r="AA526" s="4"/>
      <c r="AB526" s="12"/>
    </row>
    <row r="527" spans="1:28" ht="13.15" customHeight="1">
      <c r="A527" s="11">
        <f t="shared" si="167"/>
        <v>513</v>
      </c>
      <c r="B527" s="14">
        <f t="shared" ref="B527:B590" si="179">B526+1</f>
        <v>45556</v>
      </c>
      <c r="C527" s="9">
        <f t="shared" ref="C527:C590" si="180">C526</f>
        <v>842</v>
      </c>
      <c r="D527" s="8">
        <f t="shared" si="168"/>
        <v>2203</v>
      </c>
      <c r="E527" s="7">
        <f t="shared" si="172"/>
        <v>683</v>
      </c>
      <c r="F527" s="7">
        <f t="shared" si="173"/>
        <v>672</v>
      </c>
      <c r="G527" s="7">
        <f t="shared" si="174"/>
        <v>533</v>
      </c>
      <c r="H527" s="4">
        <f t="shared" si="175"/>
        <v>2362</v>
      </c>
      <c r="I527" s="4">
        <f t="shared" si="176"/>
        <v>2373</v>
      </c>
      <c r="J527" s="4">
        <f t="shared" si="177"/>
        <v>2512</v>
      </c>
      <c r="K527" s="4">
        <f t="shared" si="169"/>
        <v>3000</v>
      </c>
      <c r="L527" s="4">
        <f t="shared" si="170"/>
        <v>3000</v>
      </c>
      <c r="M527" s="4">
        <f t="shared" si="171"/>
        <v>3000</v>
      </c>
      <c r="N527" s="4">
        <f t="shared" ref="N527:N590" si="181">N526-Q527</f>
        <v>-638</v>
      </c>
      <c r="O527" s="4">
        <f t="shared" ref="O527:O590" si="182">O526-R527</f>
        <v>-627</v>
      </c>
      <c r="P527" s="4">
        <f t="shared" ref="P527:P590" si="183">P526-S527</f>
        <v>-488</v>
      </c>
      <c r="Q527" s="7">
        <v>0</v>
      </c>
      <c r="R527" s="7">
        <v>0</v>
      </c>
      <c r="S527" s="7">
        <v>0</v>
      </c>
      <c r="T527" s="5">
        <f t="shared" si="178"/>
        <v>1382</v>
      </c>
      <c r="U527" s="6">
        <f t="shared" si="162"/>
        <v>1642</v>
      </c>
      <c r="V527" s="6">
        <f t="shared" si="163"/>
        <v>1663</v>
      </c>
      <c r="W527" s="6">
        <f t="shared" si="161"/>
        <v>1812</v>
      </c>
      <c r="X527" s="5"/>
      <c r="Y527" s="4"/>
      <c r="Z527" s="4"/>
      <c r="AA527" s="4"/>
      <c r="AB527" s="12"/>
    </row>
    <row r="528" spans="1:28" ht="13.15" customHeight="1">
      <c r="A528" s="11">
        <f t="shared" si="167"/>
        <v>514</v>
      </c>
      <c r="B528" s="14">
        <f t="shared" si="179"/>
        <v>45557</v>
      </c>
      <c r="C528" s="9">
        <f t="shared" si="180"/>
        <v>842</v>
      </c>
      <c r="D528" s="8">
        <f t="shared" si="168"/>
        <v>2205</v>
      </c>
      <c r="E528" s="7">
        <f t="shared" si="172"/>
        <v>685</v>
      </c>
      <c r="F528" s="7">
        <f t="shared" si="173"/>
        <v>674</v>
      </c>
      <c r="G528" s="7">
        <f t="shared" si="174"/>
        <v>535</v>
      </c>
      <c r="H528" s="4">
        <f t="shared" si="175"/>
        <v>2362</v>
      </c>
      <c r="I528" s="4">
        <f t="shared" si="176"/>
        <v>2373</v>
      </c>
      <c r="J528" s="4">
        <f t="shared" si="177"/>
        <v>2512</v>
      </c>
      <c r="K528" s="4">
        <f t="shared" si="169"/>
        <v>3000</v>
      </c>
      <c r="L528" s="4">
        <f t="shared" si="170"/>
        <v>3000</v>
      </c>
      <c r="M528" s="4">
        <f t="shared" si="171"/>
        <v>3000</v>
      </c>
      <c r="N528" s="4">
        <f t="shared" si="181"/>
        <v>-638</v>
      </c>
      <c r="O528" s="4">
        <f t="shared" si="182"/>
        <v>-627</v>
      </c>
      <c r="P528" s="4">
        <f t="shared" si="183"/>
        <v>-488</v>
      </c>
      <c r="Q528" s="7">
        <v>0</v>
      </c>
      <c r="R528" s="7">
        <v>0</v>
      </c>
      <c r="S528" s="7">
        <v>0</v>
      </c>
      <c r="T528" s="5">
        <f t="shared" si="178"/>
        <v>1384</v>
      </c>
      <c r="U528" s="6">
        <f t="shared" si="162"/>
        <v>1642</v>
      </c>
      <c r="V528" s="6">
        <f t="shared" si="163"/>
        <v>1663</v>
      </c>
      <c r="W528" s="6">
        <f t="shared" si="161"/>
        <v>1812</v>
      </c>
      <c r="X528" s="13"/>
      <c r="Y528" s="4"/>
      <c r="Z528" s="4"/>
      <c r="AA528" s="4"/>
      <c r="AB528" s="12"/>
    </row>
    <row r="529" spans="1:28" ht="13.15" customHeight="1">
      <c r="A529" s="11">
        <f t="shared" si="167"/>
        <v>515</v>
      </c>
      <c r="B529" s="14">
        <f t="shared" si="179"/>
        <v>45558</v>
      </c>
      <c r="C529" s="9">
        <f t="shared" si="180"/>
        <v>842</v>
      </c>
      <c r="D529" s="8">
        <f t="shared" si="168"/>
        <v>2207</v>
      </c>
      <c r="E529" s="7">
        <f t="shared" si="172"/>
        <v>687</v>
      </c>
      <c r="F529" s="7">
        <f t="shared" si="173"/>
        <v>676</v>
      </c>
      <c r="G529" s="7">
        <f t="shared" si="174"/>
        <v>537</v>
      </c>
      <c r="H529" s="4">
        <f t="shared" si="175"/>
        <v>2362</v>
      </c>
      <c r="I529" s="4">
        <f t="shared" si="176"/>
        <v>2373</v>
      </c>
      <c r="J529" s="4">
        <f t="shared" si="177"/>
        <v>2512</v>
      </c>
      <c r="K529" s="4">
        <f t="shared" si="169"/>
        <v>3000</v>
      </c>
      <c r="L529" s="4">
        <f t="shared" si="170"/>
        <v>3000</v>
      </c>
      <c r="M529" s="4">
        <f t="shared" si="171"/>
        <v>3000</v>
      </c>
      <c r="N529" s="4">
        <f t="shared" si="181"/>
        <v>-638</v>
      </c>
      <c r="O529" s="4">
        <f t="shared" si="182"/>
        <v>-627</v>
      </c>
      <c r="P529" s="4">
        <f t="shared" si="183"/>
        <v>-488</v>
      </c>
      <c r="Q529" s="7">
        <v>0</v>
      </c>
      <c r="R529" s="7">
        <v>0</v>
      </c>
      <c r="S529" s="7">
        <v>0</v>
      </c>
      <c r="T529" s="5">
        <f t="shared" si="178"/>
        <v>1386</v>
      </c>
      <c r="U529" s="6">
        <f t="shared" si="162"/>
        <v>1642</v>
      </c>
      <c r="V529" s="6">
        <f t="shared" si="163"/>
        <v>1663</v>
      </c>
      <c r="W529" s="6">
        <f t="shared" si="161"/>
        <v>1812</v>
      </c>
      <c r="X529" s="5"/>
      <c r="Y529" s="4"/>
      <c r="Z529" s="4"/>
      <c r="AA529" s="4"/>
      <c r="AB529" s="12"/>
    </row>
    <row r="530" spans="1:28" ht="13.15" customHeight="1">
      <c r="A530" s="11">
        <f t="shared" si="167"/>
        <v>516</v>
      </c>
      <c r="B530" s="14">
        <f t="shared" si="179"/>
        <v>45559</v>
      </c>
      <c r="C530" s="9">
        <f t="shared" si="180"/>
        <v>842</v>
      </c>
      <c r="D530" s="8">
        <f t="shared" si="168"/>
        <v>2209</v>
      </c>
      <c r="E530" s="7">
        <f t="shared" si="172"/>
        <v>689</v>
      </c>
      <c r="F530" s="7">
        <f t="shared" si="173"/>
        <v>678</v>
      </c>
      <c r="G530" s="7">
        <f t="shared" si="174"/>
        <v>539</v>
      </c>
      <c r="H530" s="4">
        <f t="shared" si="175"/>
        <v>2362</v>
      </c>
      <c r="I530" s="4">
        <f t="shared" si="176"/>
        <v>2373</v>
      </c>
      <c r="J530" s="4">
        <f t="shared" si="177"/>
        <v>2512</v>
      </c>
      <c r="K530" s="4">
        <f t="shared" si="169"/>
        <v>3000</v>
      </c>
      <c r="L530" s="4">
        <f t="shared" si="170"/>
        <v>3000</v>
      </c>
      <c r="M530" s="4">
        <f t="shared" si="171"/>
        <v>3000</v>
      </c>
      <c r="N530" s="4">
        <f t="shared" si="181"/>
        <v>-638</v>
      </c>
      <c r="O530" s="4">
        <f t="shared" si="182"/>
        <v>-627</v>
      </c>
      <c r="P530" s="4">
        <f t="shared" si="183"/>
        <v>-488</v>
      </c>
      <c r="Q530" s="7">
        <v>0</v>
      </c>
      <c r="R530" s="7">
        <v>0</v>
      </c>
      <c r="S530" s="7">
        <v>0</v>
      </c>
      <c r="T530" s="5">
        <f t="shared" si="178"/>
        <v>1388</v>
      </c>
      <c r="U530" s="6">
        <f t="shared" si="162"/>
        <v>1642</v>
      </c>
      <c r="V530" s="6">
        <f t="shared" si="163"/>
        <v>1663</v>
      </c>
      <c r="W530" s="6">
        <f t="shared" si="161"/>
        <v>1812</v>
      </c>
      <c r="X530" s="5"/>
      <c r="Y530" s="4"/>
      <c r="Z530" s="4"/>
      <c r="AA530" s="4"/>
      <c r="AB530" s="12"/>
    </row>
    <row r="531" spans="1:28" ht="13.15" customHeight="1">
      <c r="A531" s="11">
        <f t="shared" si="167"/>
        <v>517</v>
      </c>
      <c r="B531" s="14">
        <f t="shared" si="179"/>
        <v>45560</v>
      </c>
      <c r="C531" s="9">
        <f t="shared" si="180"/>
        <v>842</v>
      </c>
      <c r="D531" s="8">
        <f t="shared" si="168"/>
        <v>2211</v>
      </c>
      <c r="E531" s="7">
        <f t="shared" si="172"/>
        <v>691</v>
      </c>
      <c r="F531" s="7">
        <f t="shared" si="173"/>
        <v>680</v>
      </c>
      <c r="G531" s="7">
        <f t="shared" si="174"/>
        <v>541</v>
      </c>
      <c r="H531" s="4">
        <f t="shared" si="175"/>
        <v>2362</v>
      </c>
      <c r="I531" s="4">
        <f t="shared" si="176"/>
        <v>2373</v>
      </c>
      <c r="J531" s="4">
        <f t="shared" si="177"/>
        <v>2512</v>
      </c>
      <c r="K531" s="4">
        <f t="shared" si="169"/>
        <v>3000</v>
      </c>
      <c r="L531" s="4">
        <f t="shared" si="170"/>
        <v>3000</v>
      </c>
      <c r="M531" s="4">
        <f t="shared" si="171"/>
        <v>3000</v>
      </c>
      <c r="N531" s="4">
        <f t="shared" si="181"/>
        <v>-638</v>
      </c>
      <c r="O531" s="4">
        <f t="shared" si="182"/>
        <v>-627</v>
      </c>
      <c r="P531" s="4">
        <f t="shared" si="183"/>
        <v>-488</v>
      </c>
      <c r="Q531" s="7">
        <v>0</v>
      </c>
      <c r="R531" s="7">
        <v>0</v>
      </c>
      <c r="S531" s="7">
        <v>0</v>
      </c>
      <c r="T531" s="5">
        <f t="shared" si="178"/>
        <v>1390</v>
      </c>
      <c r="U531" s="6">
        <f t="shared" si="162"/>
        <v>1642</v>
      </c>
      <c r="V531" s="6">
        <f t="shared" si="163"/>
        <v>1663</v>
      </c>
      <c r="W531" s="6">
        <f t="shared" si="161"/>
        <v>1812</v>
      </c>
      <c r="X531" s="5"/>
      <c r="Y531" s="4"/>
      <c r="Z531" s="4"/>
      <c r="AA531" s="4"/>
      <c r="AB531" s="12"/>
    </row>
    <row r="532" spans="1:28" ht="13.15" customHeight="1">
      <c r="A532" s="11">
        <f t="shared" si="167"/>
        <v>518</v>
      </c>
      <c r="B532" s="14">
        <f t="shared" si="179"/>
        <v>45561</v>
      </c>
      <c r="C532" s="9">
        <f t="shared" si="180"/>
        <v>842</v>
      </c>
      <c r="D532" s="8">
        <f t="shared" si="168"/>
        <v>2213</v>
      </c>
      <c r="E532" s="7">
        <f t="shared" si="172"/>
        <v>693</v>
      </c>
      <c r="F532" s="7">
        <f t="shared" si="173"/>
        <v>682</v>
      </c>
      <c r="G532" s="7">
        <f t="shared" si="174"/>
        <v>543</v>
      </c>
      <c r="H532" s="4">
        <f t="shared" si="175"/>
        <v>2362</v>
      </c>
      <c r="I532" s="4">
        <f t="shared" si="176"/>
        <v>2373</v>
      </c>
      <c r="J532" s="4">
        <f t="shared" si="177"/>
        <v>2512</v>
      </c>
      <c r="K532" s="4">
        <f t="shared" si="169"/>
        <v>3000</v>
      </c>
      <c r="L532" s="4">
        <f t="shared" si="170"/>
        <v>3000</v>
      </c>
      <c r="M532" s="4">
        <f t="shared" si="171"/>
        <v>3000</v>
      </c>
      <c r="N532" s="4">
        <f t="shared" si="181"/>
        <v>-638</v>
      </c>
      <c r="O532" s="4">
        <f t="shared" si="182"/>
        <v>-627</v>
      </c>
      <c r="P532" s="4">
        <f t="shared" si="183"/>
        <v>-488</v>
      </c>
      <c r="Q532" s="7">
        <v>0</v>
      </c>
      <c r="R532" s="7">
        <v>0</v>
      </c>
      <c r="S532" s="7">
        <v>0</v>
      </c>
      <c r="T532" s="5">
        <f t="shared" si="178"/>
        <v>1392</v>
      </c>
      <c r="U532" s="6">
        <f t="shared" si="162"/>
        <v>1642</v>
      </c>
      <c r="V532" s="6">
        <f t="shared" si="163"/>
        <v>1663</v>
      </c>
      <c r="W532" s="6">
        <f t="shared" si="161"/>
        <v>1812</v>
      </c>
      <c r="X532" s="13"/>
      <c r="Y532" s="4"/>
      <c r="Z532" s="4"/>
      <c r="AA532" s="4"/>
      <c r="AB532" s="12"/>
    </row>
    <row r="533" spans="1:28" ht="13.15" customHeight="1">
      <c r="A533" s="11">
        <f t="shared" si="167"/>
        <v>519</v>
      </c>
      <c r="B533" s="14">
        <f t="shared" si="179"/>
        <v>45562</v>
      </c>
      <c r="C533" s="9">
        <f t="shared" si="180"/>
        <v>842</v>
      </c>
      <c r="D533" s="8">
        <f t="shared" si="168"/>
        <v>2215</v>
      </c>
      <c r="E533" s="7">
        <f t="shared" si="172"/>
        <v>695</v>
      </c>
      <c r="F533" s="7">
        <f t="shared" si="173"/>
        <v>684</v>
      </c>
      <c r="G533" s="7">
        <f t="shared" si="174"/>
        <v>545</v>
      </c>
      <c r="H533" s="4">
        <f t="shared" si="175"/>
        <v>2362</v>
      </c>
      <c r="I533" s="4">
        <f t="shared" si="176"/>
        <v>2373</v>
      </c>
      <c r="J533" s="4">
        <f t="shared" si="177"/>
        <v>2512</v>
      </c>
      <c r="K533" s="4">
        <f t="shared" si="169"/>
        <v>3000</v>
      </c>
      <c r="L533" s="4">
        <f t="shared" si="170"/>
        <v>3000</v>
      </c>
      <c r="M533" s="4">
        <f t="shared" si="171"/>
        <v>3000</v>
      </c>
      <c r="N533" s="4">
        <f t="shared" si="181"/>
        <v>-638</v>
      </c>
      <c r="O533" s="4">
        <f t="shared" si="182"/>
        <v>-627</v>
      </c>
      <c r="P533" s="4">
        <f t="shared" si="183"/>
        <v>-488</v>
      </c>
      <c r="Q533" s="7">
        <v>0</v>
      </c>
      <c r="R533" s="7">
        <v>0</v>
      </c>
      <c r="S533" s="7">
        <v>0</v>
      </c>
      <c r="T533" s="5">
        <f t="shared" si="178"/>
        <v>1394</v>
      </c>
      <c r="U533" s="6">
        <f t="shared" si="162"/>
        <v>1642</v>
      </c>
      <c r="V533" s="6">
        <f t="shared" si="163"/>
        <v>1663</v>
      </c>
      <c r="W533" s="6">
        <f t="shared" si="161"/>
        <v>1812</v>
      </c>
      <c r="X533" s="5"/>
      <c r="Y533" s="4"/>
      <c r="Z533" s="4"/>
      <c r="AA533" s="4"/>
      <c r="AB533" s="12"/>
    </row>
    <row r="534" spans="1:28" ht="13.15" customHeight="1">
      <c r="A534" s="11">
        <f t="shared" si="167"/>
        <v>520</v>
      </c>
      <c r="B534" s="14">
        <f t="shared" si="179"/>
        <v>45563</v>
      </c>
      <c r="C534" s="9">
        <f t="shared" si="180"/>
        <v>842</v>
      </c>
      <c r="D534" s="8">
        <f t="shared" si="168"/>
        <v>2217</v>
      </c>
      <c r="E534" s="7">
        <f t="shared" si="172"/>
        <v>697</v>
      </c>
      <c r="F534" s="7">
        <f t="shared" si="173"/>
        <v>686</v>
      </c>
      <c r="G534" s="7">
        <f t="shared" si="174"/>
        <v>547</v>
      </c>
      <c r="H534" s="4">
        <f t="shared" si="175"/>
        <v>2362</v>
      </c>
      <c r="I534" s="4">
        <f t="shared" si="176"/>
        <v>2373</v>
      </c>
      <c r="J534" s="4">
        <f t="shared" si="177"/>
        <v>2512</v>
      </c>
      <c r="K534" s="4">
        <f t="shared" si="169"/>
        <v>3000</v>
      </c>
      <c r="L534" s="4">
        <f t="shared" si="170"/>
        <v>3000</v>
      </c>
      <c r="M534" s="4">
        <f t="shared" si="171"/>
        <v>3000</v>
      </c>
      <c r="N534" s="4">
        <f t="shared" si="181"/>
        <v>-638</v>
      </c>
      <c r="O534" s="4">
        <f t="shared" si="182"/>
        <v>-627</v>
      </c>
      <c r="P534" s="4">
        <f t="shared" si="183"/>
        <v>-488</v>
      </c>
      <c r="Q534" s="7">
        <v>0</v>
      </c>
      <c r="R534" s="7">
        <v>0</v>
      </c>
      <c r="S534" s="7">
        <v>0</v>
      </c>
      <c r="T534" s="5">
        <f t="shared" si="178"/>
        <v>1396</v>
      </c>
      <c r="U534" s="6">
        <f t="shared" si="162"/>
        <v>1642</v>
      </c>
      <c r="V534" s="6">
        <f t="shared" si="163"/>
        <v>1663</v>
      </c>
      <c r="W534" s="6">
        <f t="shared" si="161"/>
        <v>1812</v>
      </c>
      <c r="X534" s="5"/>
      <c r="Y534" s="4"/>
      <c r="Z534" s="4"/>
      <c r="AA534" s="4"/>
      <c r="AB534" s="12"/>
    </row>
    <row r="535" spans="1:28" ht="13.15" customHeight="1">
      <c r="A535" s="11">
        <f t="shared" si="167"/>
        <v>521</v>
      </c>
      <c r="B535" s="14">
        <f t="shared" si="179"/>
        <v>45564</v>
      </c>
      <c r="C535" s="9">
        <f t="shared" si="180"/>
        <v>842</v>
      </c>
      <c r="D535" s="8">
        <f t="shared" si="168"/>
        <v>2219</v>
      </c>
      <c r="E535" s="7">
        <f t="shared" si="172"/>
        <v>699</v>
      </c>
      <c r="F535" s="7">
        <f t="shared" si="173"/>
        <v>688</v>
      </c>
      <c r="G535" s="7">
        <f t="shared" si="174"/>
        <v>549</v>
      </c>
      <c r="H535" s="4">
        <f t="shared" si="175"/>
        <v>2362</v>
      </c>
      <c r="I535" s="4">
        <f t="shared" si="176"/>
        <v>2373</v>
      </c>
      <c r="J535" s="4">
        <f t="shared" si="177"/>
        <v>2512</v>
      </c>
      <c r="K535" s="4">
        <f t="shared" si="169"/>
        <v>3000</v>
      </c>
      <c r="L535" s="4">
        <f t="shared" si="170"/>
        <v>3000</v>
      </c>
      <c r="M535" s="4">
        <f t="shared" si="171"/>
        <v>3000</v>
      </c>
      <c r="N535" s="4">
        <f t="shared" si="181"/>
        <v>-638</v>
      </c>
      <c r="O535" s="4">
        <f t="shared" si="182"/>
        <v>-627</v>
      </c>
      <c r="P535" s="4">
        <f t="shared" si="183"/>
        <v>-488</v>
      </c>
      <c r="Q535" s="7">
        <v>0</v>
      </c>
      <c r="R535" s="7">
        <v>0</v>
      </c>
      <c r="S535" s="7">
        <v>0</v>
      </c>
      <c r="T535" s="5">
        <f t="shared" si="178"/>
        <v>1398</v>
      </c>
      <c r="U535" s="6">
        <f t="shared" si="162"/>
        <v>1642</v>
      </c>
      <c r="V535" s="6">
        <f t="shared" si="163"/>
        <v>1663</v>
      </c>
      <c r="W535" s="6">
        <f t="shared" si="161"/>
        <v>1812</v>
      </c>
      <c r="X535" s="5"/>
      <c r="Y535" s="4"/>
      <c r="Z535" s="4"/>
      <c r="AA535" s="4"/>
      <c r="AB535" s="12"/>
    </row>
    <row r="536" spans="1:28" ht="13.15" customHeight="1">
      <c r="A536" s="11">
        <f t="shared" si="167"/>
        <v>522</v>
      </c>
      <c r="B536" s="10">
        <f t="shared" si="179"/>
        <v>45565</v>
      </c>
      <c r="C536" s="9">
        <f t="shared" si="180"/>
        <v>842</v>
      </c>
      <c r="D536" s="8">
        <f t="shared" si="168"/>
        <v>2221</v>
      </c>
      <c r="E536" s="7">
        <f t="shared" si="172"/>
        <v>701</v>
      </c>
      <c r="F536" s="7">
        <f t="shared" si="173"/>
        <v>690</v>
      </c>
      <c r="G536" s="7">
        <f t="shared" si="174"/>
        <v>551</v>
      </c>
      <c r="H536" s="4">
        <f t="shared" si="175"/>
        <v>2362</v>
      </c>
      <c r="I536" s="4">
        <f t="shared" si="176"/>
        <v>2373</v>
      </c>
      <c r="J536" s="4">
        <f t="shared" si="177"/>
        <v>2512</v>
      </c>
      <c r="K536" s="4">
        <f t="shared" si="169"/>
        <v>3000</v>
      </c>
      <c r="L536" s="4">
        <f t="shared" si="170"/>
        <v>3000</v>
      </c>
      <c r="M536" s="4">
        <f t="shared" si="171"/>
        <v>3000</v>
      </c>
      <c r="N536" s="4">
        <f t="shared" si="181"/>
        <v>-638</v>
      </c>
      <c r="O536" s="4">
        <f t="shared" si="182"/>
        <v>-627</v>
      </c>
      <c r="P536" s="4">
        <f t="shared" si="183"/>
        <v>-488</v>
      </c>
      <c r="Q536" s="7">
        <v>0</v>
      </c>
      <c r="R536" s="7">
        <v>0</v>
      </c>
      <c r="S536" s="7">
        <v>0</v>
      </c>
      <c r="T536" s="5">
        <f t="shared" si="178"/>
        <v>1400</v>
      </c>
      <c r="U536" s="6">
        <f t="shared" si="162"/>
        <v>1642</v>
      </c>
      <c r="V536" s="6">
        <f t="shared" si="163"/>
        <v>1663</v>
      </c>
      <c r="W536" s="6">
        <f t="shared" si="161"/>
        <v>1812</v>
      </c>
      <c r="X536" s="5"/>
      <c r="Y536" s="4"/>
      <c r="Z536" s="4"/>
      <c r="AA536" s="4"/>
      <c r="AB536" s="12"/>
    </row>
    <row r="537" spans="1:28" ht="13.15" customHeight="1">
      <c r="A537" s="11">
        <f t="shared" si="167"/>
        <v>523</v>
      </c>
      <c r="B537" s="10">
        <f t="shared" si="179"/>
        <v>45566</v>
      </c>
      <c r="C537" s="9">
        <f t="shared" si="180"/>
        <v>842</v>
      </c>
      <c r="D537" s="8">
        <f t="shared" si="168"/>
        <v>2223</v>
      </c>
      <c r="E537" s="7">
        <f t="shared" si="172"/>
        <v>713</v>
      </c>
      <c r="F537" s="7">
        <f t="shared" si="173"/>
        <v>702</v>
      </c>
      <c r="G537" s="7">
        <f t="shared" si="174"/>
        <v>563</v>
      </c>
      <c r="H537" s="4">
        <f t="shared" si="175"/>
        <v>2352</v>
      </c>
      <c r="I537" s="4">
        <f t="shared" si="176"/>
        <v>2363</v>
      </c>
      <c r="J537" s="4">
        <f t="shared" si="177"/>
        <v>2502</v>
      </c>
      <c r="K537" s="4">
        <f t="shared" si="169"/>
        <v>3000</v>
      </c>
      <c r="L537" s="4">
        <f t="shared" si="170"/>
        <v>3000</v>
      </c>
      <c r="M537" s="4">
        <f t="shared" si="171"/>
        <v>3000</v>
      </c>
      <c r="N537" s="4">
        <f t="shared" si="181"/>
        <v>-648</v>
      </c>
      <c r="O537" s="4">
        <f t="shared" si="182"/>
        <v>-637</v>
      </c>
      <c r="P537" s="4">
        <f t="shared" si="183"/>
        <v>-498</v>
      </c>
      <c r="Q537" s="7">
        <v>10</v>
      </c>
      <c r="R537" s="7">
        <v>10</v>
      </c>
      <c r="S537" s="7">
        <v>10</v>
      </c>
      <c r="T537" s="5">
        <f t="shared" si="178"/>
        <v>1162</v>
      </c>
      <c r="U537" s="6">
        <f t="shared" si="162"/>
        <v>1882</v>
      </c>
      <c r="V537" s="6">
        <f t="shared" si="163"/>
        <v>1903</v>
      </c>
      <c r="W537" s="6">
        <f t="shared" si="161"/>
        <v>2052</v>
      </c>
      <c r="X537" s="13">
        <v>0.25</v>
      </c>
      <c r="Y537" s="4"/>
      <c r="Z537" s="4"/>
      <c r="AA537" s="4"/>
      <c r="AB537" s="12" t="s">
        <v>4</v>
      </c>
    </row>
    <row r="538" spans="1:28" ht="13.15" customHeight="1">
      <c r="A538" s="11">
        <f t="shared" si="167"/>
        <v>524</v>
      </c>
      <c r="B538" s="10">
        <f t="shared" si="179"/>
        <v>45567</v>
      </c>
      <c r="C538" s="9">
        <f t="shared" si="180"/>
        <v>842</v>
      </c>
      <c r="D538" s="8">
        <f t="shared" si="168"/>
        <v>2225</v>
      </c>
      <c r="E538" s="7">
        <f t="shared" si="172"/>
        <v>725</v>
      </c>
      <c r="F538" s="7">
        <f t="shared" si="173"/>
        <v>714</v>
      </c>
      <c r="G538" s="7">
        <f t="shared" si="174"/>
        <v>575</v>
      </c>
      <c r="H538" s="4">
        <f t="shared" si="175"/>
        <v>2342</v>
      </c>
      <c r="I538" s="4">
        <f t="shared" si="176"/>
        <v>2353</v>
      </c>
      <c r="J538" s="4">
        <f t="shared" si="177"/>
        <v>2492</v>
      </c>
      <c r="K538" s="4">
        <f t="shared" si="169"/>
        <v>3000</v>
      </c>
      <c r="L538" s="4">
        <f t="shared" si="170"/>
        <v>3000</v>
      </c>
      <c r="M538" s="4">
        <f t="shared" si="171"/>
        <v>3000</v>
      </c>
      <c r="N538" s="4">
        <f t="shared" si="181"/>
        <v>-658</v>
      </c>
      <c r="O538" s="4">
        <f t="shared" si="182"/>
        <v>-647</v>
      </c>
      <c r="P538" s="4">
        <f t="shared" si="183"/>
        <v>-508</v>
      </c>
      <c r="Q538" s="7">
        <v>10</v>
      </c>
      <c r="R538" s="7">
        <v>10</v>
      </c>
      <c r="S538" s="7">
        <v>10</v>
      </c>
      <c r="T538" s="5">
        <f t="shared" si="178"/>
        <v>1174</v>
      </c>
      <c r="U538" s="6">
        <f t="shared" si="162"/>
        <v>1872</v>
      </c>
      <c r="V538" s="6">
        <f t="shared" si="163"/>
        <v>1893</v>
      </c>
      <c r="W538" s="6">
        <f t="shared" si="161"/>
        <v>2042</v>
      </c>
      <c r="X538" s="5"/>
      <c r="Y538" s="4"/>
      <c r="Z538" s="4"/>
      <c r="AA538" s="4"/>
      <c r="AB538" s="12"/>
    </row>
    <row r="539" spans="1:28" ht="13.15" customHeight="1">
      <c r="A539" s="11">
        <f t="shared" si="167"/>
        <v>525</v>
      </c>
      <c r="B539" s="10">
        <f t="shared" si="179"/>
        <v>45568</v>
      </c>
      <c r="C539" s="9">
        <f t="shared" si="180"/>
        <v>842</v>
      </c>
      <c r="D539" s="8">
        <f t="shared" si="168"/>
        <v>2227</v>
      </c>
      <c r="E539" s="7">
        <f t="shared" si="172"/>
        <v>737</v>
      </c>
      <c r="F539" s="7">
        <f t="shared" si="173"/>
        <v>726</v>
      </c>
      <c r="G539" s="7">
        <f t="shared" si="174"/>
        <v>587</v>
      </c>
      <c r="H539" s="4">
        <f t="shared" si="175"/>
        <v>2332</v>
      </c>
      <c r="I539" s="4">
        <f t="shared" si="176"/>
        <v>2343</v>
      </c>
      <c r="J539" s="4">
        <f t="shared" si="177"/>
        <v>2482</v>
      </c>
      <c r="K539" s="4">
        <f t="shared" si="169"/>
        <v>3000</v>
      </c>
      <c r="L539" s="4">
        <f t="shared" si="170"/>
        <v>3000</v>
      </c>
      <c r="M539" s="4">
        <f t="shared" si="171"/>
        <v>3000</v>
      </c>
      <c r="N539" s="4">
        <f t="shared" si="181"/>
        <v>-668</v>
      </c>
      <c r="O539" s="4">
        <f t="shared" si="182"/>
        <v>-657</v>
      </c>
      <c r="P539" s="4">
        <f t="shared" si="183"/>
        <v>-518</v>
      </c>
      <c r="Q539" s="7">
        <v>10</v>
      </c>
      <c r="R539" s="7">
        <v>10</v>
      </c>
      <c r="S539" s="7">
        <v>10</v>
      </c>
      <c r="T539" s="5">
        <f t="shared" si="178"/>
        <v>1186</v>
      </c>
      <c r="U539" s="6">
        <f t="shared" si="162"/>
        <v>1862</v>
      </c>
      <c r="V539" s="6">
        <f t="shared" si="163"/>
        <v>1883</v>
      </c>
      <c r="W539" s="6">
        <f t="shared" si="161"/>
        <v>2032</v>
      </c>
      <c r="X539" s="5"/>
      <c r="Y539" s="4"/>
      <c r="Z539" s="4"/>
      <c r="AA539" s="4"/>
      <c r="AB539" s="12"/>
    </row>
    <row r="540" spans="1:28" ht="13.15" customHeight="1">
      <c r="A540" s="11">
        <f t="shared" si="167"/>
        <v>526</v>
      </c>
      <c r="B540" s="10">
        <f t="shared" si="179"/>
        <v>45569</v>
      </c>
      <c r="C540" s="9">
        <f t="shared" si="180"/>
        <v>842</v>
      </c>
      <c r="D540" s="8">
        <f t="shared" si="168"/>
        <v>2229</v>
      </c>
      <c r="E540" s="7">
        <f t="shared" si="172"/>
        <v>747</v>
      </c>
      <c r="F540" s="7">
        <f t="shared" si="173"/>
        <v>738</v>
      </c>
      <c r="G540" s="7">
        <f t="shared" si="174"/>
        <v>597</v>
      </c>
      <c r="H540" s="4">
        <f t="shared" si="175"/>
        <v>2324</v>
      </c>
      <c r="I540" s="4">
        <f t="shared" si="176"/>
        <v>2333</v>
      </c>
      <c r="J540" s="4">
        <f t="shared" si="177"/>
        <v>2474</v>
      </c>
      <c r="K540" s="4">
        <f t="shared" si="169"/>
        <v>3000</v>
      </c>
      <c r="L540" s="4">
        <f t="shared" si="170"/>
        <v>3000</v>
      </c>
      <c r="M540" s="4">
        <f t="shared" si="171"/>
        <v>3000</v>
      </c>
      <c r="N540" s="4">
        <f t="shared" si="181"/>
        <v>-676</v>
      </c>
      <c r="O540" s="4">
        <f t="shared" si="182"/>
        <v>-667</v>
      </c>
      <c r="P540" s="4">
        <f t="shared" si="183"/>
        <v>-526</v>
      </c>
      <c r="Q540" s="7">
        <v>8</v>
      </c>
      <c r="R540" s="7">
        <v>10</v>
      </c>
      <c r="S540" s="7">
        <v>8</v>
      </c>
      <c r="T540" s="5">
        <f t="shared" si="178"/>
        <v>1198</v>
      </c>
      <c r="U540" s="6">
        <f t="shared" si="162"/>
        <v>1854</v>
      </c>
      <c r="V540" s="6">
        <f t="shared" si="163"/>
        <v>1873</v>
      </c>
      <c r="W540" s="6">
        <f t="shared" si="161"/>
        <v>2024</v>
      </c>
      <c r="X540" s="5"/>
      <c r="Y540" s="4"/>
      <c r="Z540" s="4"/>
      <c r="AA540" s="4"/>
      <c r="AB540" s="12"/>
    </row>
    <row r="541" spans="1:28" ht="13.15" customHeight="1">
      <c r="A541" s="11">
        <f t="shared" si="167"/>
        <v>527</v>
      </c>
      <c r="B541" s="10">
        <f t="shared" si="179"/>
        <v>45570</v>
      </c>
      <c r="C541" s="9">
        <f t="shared" si="180"/>
        <v>842</v>
      </c>
      <c r="D541" s="8">
        <f t="shared" si="168"/>
        <v>2231</v>
      </c>
      <c r="E541" s="7">
        <f t="shared" si="172"/>
        <v>758</v>
      </c>
      <c r="F541" s="7">
        <f t="shared" si="173"/>
        <v>747</v>
      </c>
      <c r="G541" s="7">
        <f t="shared" si="174"/>
        <v>606</v>
      </c>
      <c r="H541" s="4">
        <f t="shared" si="175"/>
        <v>2315</v>
      </c>
      <c r="I541" s="4">
        <f t="shared" si="176"/>
        <v>2326</v>
      </c>
      <c r="J541" s="4">
        <f t="shared" si="177"/>
        <v>2467</v>
      </c>
      <c r="K541" s="4">
        <f t="shared" si="169"/>
        <v>3000</v>
      </c>
      <c r="L541" s="4">
        <f t="shared" si="170"/>
        <v>3000</v>
      </c>
      <c r="M541" s="4">
        <f t="shared" si="171"/>
        <v>3000</v>
      </c>
      <c r="N541" s="4">
        <f t="shared" si="181"/>
        <v>-685</v>
      </c>
      <c r="O541" s="4">
        <f t="shared" si="182"/>
        <v>-674</v>
      </c>
      <c r="P541" s="4">
        <f t="shared" si="183"/>
        <v>-533</v>
      </c>
      <c r="Q541" s="7">
        <v>9</v>
      </c>
      <c r="R541" s="7">
        <v>7</v>
      </c>
      <c r="S541" s="7">
        <v>7</v>
      </c>
      <c r="T541" s="5">
        <f t="shared" si="178"/>
        <v>1207</v>
      </c>
      <c r="U541" s="6">
        <f t="shared" si="162"/>
        <v>1845</v>
      </c>
      <c r="V541" s="6">
        <f t="shared" si="163"/>
        <v>1866</v>
      </c>
      <c r="W541" s="6">
        <f t="shared" si="161"/>
        <v>2017</v>
      </c>
      <c r="X541" s="5"/>
      <c r="Y541" s="4"/>
      <c r="Z541" s="4"/>
      <c r="AA541" s="4"/>
      <c r="AB541" s="12"/>
    </row>
    <row r="542" spans="1:28" ht="13.15" customHeight="1">
      <c r="A542" s="11">
        <f t="shared" si="167"/>
        <v>528</v>
      </c>
      <c r="B542" s="10">
        <f t="shared" si="179"/>
        <v>45571</v>
      </c>
      <c r="C542" s="9">
        <f t="shared" si="180"/>
        <v>842</v>
      </c>
      <c r="D542" s="8">
        <f t="shared" si="168"/>
        <v>2233</v>
      </c>
      <c r="E542" s="7">
        <f t="shared" si="172"/>
        <v>770</v>
      </c>
      <c r="F542" s="7">
        <f t="shared" si="173"/>
        <v>759</v>
      </c>
      <c r="G542" s="7">
        <f t="shared" si="174"/>
        <v>618</v>
      </c>
      <c r="H542" s="4">
        <f t="shared" si="175"/>
        <v>2305</v>
      </c>
      <c r="I542" s="4">
        <f t="shared" si="176"/>
        <v>2316</v>
      </c>
      <c r="J542" s="4">
        <f t="shared" si="177"/>
        <v>2457</v>
      </c>
      <c r="K542" s="4">
        <f t="shared" si="169"/>
        <v>3000</v>
      </c>
      <c r="L542" s="4">
        <f t="shared" si="170"/>
        <v>3000</v>
      </c>
      <c r="M542" s="4">
        <f t="shared" si="171"/>
        <v>3000</v>
      </c>
      <c r="N542" s="4">
        <f t="shared" si="181"/>
        <v>-695</v>
      </c>
      <c r="O542" s="4">
        <f t="shared" si="182"/>
        <v>-684</v>
      </c>
      <c r="P542" s="4">
        <f t="shared" si="183"/>
        <v>-543</v>
      </c>
      <c r="Q542" s="7">
        <v>10</v>
      </c>
      <c r="R542" s="7">
        <v>10</v>
      </c>
      <c r="S542" s="7">
        <v>10</v>
      </c>
      <c r="T542" s="5">
        <f t="shared" si="178"/>
        <v>919</v>
      </c>
      <c r="U542" s="6">
        <f t="shared" si="162"/>
        <v>2135</v>
      </c>
      <c r="V542" s="6">
        <f t="shared" si="163"/>
        <v>2156</v>
      </c>
      <c r="W542" s="6">
        <f t="shared" si="161"/>
        <v>2307</v>
      </c>
      <c r="X542" s="13">
        <v>0.3</v>
      </c>
      <c r="Y542" s="4"/>
      <c r="Z542" s="4"/>
      <c r="AA542" s="4"/>
      <c r="AB542" s="12" t="s">
        <v>3</v>
      </c>
    </row>
    <row r="543" spans="1:28" ht="13.15" customHeight="1">
      <c r="A543" s="11">
        <f t="shared" si="167"/>
        <v>529</v>
      </c>
      <c r="B543" s="10">
        <f t="shared" si="179"/>
        <v>45572</v>
      </c>
      <c r="C543" s="9">
        <f t="shared" si="180"/>
        <v>842</v>
      </c>
      <c r="D543" s="8">
        <v>2860</v>
      </c>
      <c r="E543" s="7">
        <f t="shared" si="172"/>
        <v>1407</v>
      </c>
      <c r="F543" s="7">
        <f t="shared" si="173"/>
        <v>1396</v>
      </c>
      <c r="G543" s="7">
        <f t="shared" si="174"/>
        <v>1255</v>
      </c>
      <c r="H543" s="4">
        <f t="shared" si="175"/>
        <v>2295</v>
      </c>
      <c r="I543" s="4">
        <f t="shared" si="176"/>
        <v>2306</v>
      </c>
      <c r="J543" s="4">
        <f t="shared" si="177"/>
        <v>2447</v>
      </c>
      <c r="K543" s="4">
        <f t="shared" si="169"/>
        <v>3000</v>
      </c>
      <c r="L543" s="4">
        <f t="shared" si="170"/>
        <v>3000</v>
      </c>
      <c r="M543" s="4">
        <f t="shared" si="171"/>
        <v>3000</v>
      </c>
      <c r="N543" s="4">
        <f t="shared" si="181"/>
        <v>-705</v>
      </c>
      <c r="O543" s="4">
        <f t="shared" si="182"/>
        <v>-694</v>
      </c>
      <c r="P543" s="4">
        <f t="shared" si="183"/>
        <v>-553</v>
      </c>
      <c r="Q543" s="7">
        <v>10</v>
      </c>
      <c r="R543" s="7">
        <v>10</v>
      </c>
      <c r="S543" s="7">
        <v>10</v>
      </c>
      <c r="T543" s="5">
        <f t="shared" si="178"/>
        <v>1556</v>
      </c>
      <c r="U543" s="6">
        <f t="shared" si="162"/>
        <v>2125</v>
      </c>
      <c r="V543" s="6">
        <f t="shared" si="163"/>
        <v>2146</v>
      </c>
      <c r="W543" s="6">
        <f t="shared" si="161"/>
        <v>2297</v>
      </c>
      <c r="X543" s="5"/>
      <c r="Y543" s="4"/>
      <c r="Z543" s="4"/>
      <c r="AA543" s="4"/>
      <c r="AB543" s="12"/>
    </row>
    <row r="544" spans="1:28" ht="13.15" customHeight="1">
      <c r="A544" s="11">
        <f t="shared" si="167"/>
        <v>530</v>
      </c>
      <c r="B544" s="10">
        <f t="shared" si="179"/>
        <v>45573</v>
      </c>
      <c r="C544" s="9">
        <f t="shared" si="180"/>
        <v>842</v>
      </c>
      <c r="D544" s="8">
        <f>D543+2</f>
        <v>2862</v>
      </c>
      <c r="E544" s="7">
        <f t="shared" si="172"/>
        <v>1418</v>
      </c>
      <c r="F544" s="7">
        <f t="shared" si="173"/>
        <v>1408</v>
      </c>
      <c r="G544" s="7">
        <f t="shared" si="174"/>
        <v>1264</v>
      </c>
      <c r="H544" s="4">
        <f t="shared" si="175"/>
        <v>2286</v>
      </c>
      <c r="I544" s="4">
        <f t="shared" si="176"/>
        <v>2296</v>
      </c>
      <c r="J544" s="4">
        <f t="shared" si="177"/>
        <v>2440</v>
      </c>
      <c r="K544" s="4">
        <f t="shared" si="169"/>
        <v>3000</v>
      </c>
      <c r="L544" s="4">
        <f t="shared" si="170"/>
        <v>3000</v>
      </c>
      <c r="M544" s="4">
        <f t="shared" si="171"/>
        <v>3000</v>
      </c>
      <c r="N544" s="4">
        <f t="shared" si="181"/>
        <v>-714</v>
      </c>
      <c r="O544" s="4">
        <f t="shared" si="182"/>
        <v>-704</v>
      </c>
      <c r="P544" s="4">
        <f t="shared" si="183"/>
        <v>-560</v>
      </c>
      <c r="Q544" s="7">
        <v>9</v>
      </c>
      <c r="R544" s="7">
        <v>10</v>
      </c>
      <c r="S544" s="7">
        <v>7</v>
      </c>
      <c r="T544" s="5">
        <f t="shared" si="178"/>
        <v>1568</v>
      </c>
      <c r="U544" s="6">
        <f t="shared" si="162"/>
        <v>2116</v>
      </c>
      <c r="V544" s="6">
        <f t="shared" si="163"/>
        <v>2136</v>
      </c>
      <c r="W544" s="6">
        <f t="shared" si="161"/>
        <v>2290</v>
      </c>
      <c r="X544" s="5"/>
      <c r="Y544" s="4"/>
      <c r="Z544" s="4"/>
      <c r="AA544" s="4"/>
      <c r="AB544" s="12"/>
    </row>
    <row r="545" spans="1:28" ht="13.15" customHeight="1">
      <c r="A545" s="11">
        <f t="shared" si="167"/>
        <v>531</v>
      </c>
      <c r="B545" s="10">
        <f t="shared" si="179"/>
        <v>45574</v>
      </c>
      <c r="C545" s="9">
        <f t="shared" si="180"/>
        <v>842</v>
      </c>
      <c r="D545" s="8">
        <v>3230</v>
      </c>
      <c r="E545" s="7">
        <f t="shared" si="172"/>
        <v>795</v>
      </c>
      <c r="F545" s="7">
        <f t="shared" si="173"/>
        <v>783</v>
      </c>
      <c r="G545" s="7">
        <f t="shared" si="174"/>
        <v>640</v>
      </c>
      <c r="H545" s="4">
        <f t="shared" si="175"/>
        <v>3277</v>
      </c>
      <c r="I545" s="4">
        <f t="shared" si="176"/>
        <v>3289</v>
      </c>
      <c r="J545" s="4">
        <f t="shared" si="177"/>
        <v>3432</v>
      </c>
      <c r="K545" s="4">
        <f>K544+1000</f>
        <v>4000</v>
      </c>
      <c r="L545" s="4">
        <f>L544+1000</f>
        <v>4000</v>
      </c>
      <c r="M545" s="4">
        <f>M544+1000</f>
        <v>4000</v>
      </c>
      <c r="N545" s="4">
        <f t="shared" si="181"/>
        <v>-723</v>
      </c>
      <c r="O545" s="4">
        <f t="shared" si="182"/>
        <v>-711</v>
      </c>
      <c r="P545" s="4">
        <f t="shared" si="183"/>
        <v>-568</v>
      </c>
      <c r="Q545" s="7">
        <v>9</v>
      </c>
      <c r="R545" s="7">
        <v>7</v>
      </c>
      <c r="S545" s="7">
        <v>8</v>
      </c>
      <c r="T545" s="5">
        <f t="shared" si="178"/>
        <v>1943</v>
      </c>
      <c r="U545" s="6">
        <f t="shared" si="162"/>
        <v>2107</v>
      </c>
      <c r="V545" s="6">
        <f t="shared" si="163"/>
        <v>2129</v>
      </c>
      <c r="W545" s="6">
        <f t="shared" si="161"/>
        <v>2282</v>
      </c>
      <c r="X545" s="5"/>
      <c r="Y545" s="4"/>
      <c r="Z545" s="4"/>
      <c r="AA545" s="4"/>
      <c r="AB545" s="12" t="s">
        <v>2</v>
      </c>
    </row>
    <row r="546" spans="1:28" ht="13.15" customHeight="1">
      <c r="A546" s="11">
        <f t="shared" si="167"/>
        <v>532</v>
      </c>
      <c r="B546" s="10">
        <f t="shared" si="179"/>
        <v>45575</v>
      </c>
      <c r="C546" s="9">
        <f t="shared" si="180"/>
        <v>842</v>
      </c>
      <c r="D546" s="8">
        <f t="shared" ref="D546:D577" si="184">D545+2</f>
        <v>3232</v>
      </c>
      <c r="E546" s="7">
        <f t="shared" si="172"/>
        <v>806</v>
      </c>
      <c r="F546" s="7">
        <f t="shared" si="173"/>
        <v>792</v>
      </c>
      <c r="G546" s="7">
        <f t="shared" si="174"/>
        <v>649</v>
      </c>
      <c r="H546" s="4">
        <f t="shared" si="175"/>
        <v>3268</v>
      </c>
      <c r="I546" s="4">
        <f t="shared" si="176"/>
        <v>3282</v>
      </c>
      <c r="J546" s="4">
        <f t="shared" si="177"/>
        <v>3425</v>
      </c>
      <c r="K546" s="4">
        <f t="shared" ref="K546:K577" si="185">K545</f>
        <v>4000</v>
      </c>
      <c r="L546" s="4">
        <f t="shared" ref="L546:L577" si="186">L545</f>
        <v>4000</v>
      </c>
      <c r="M546" s="4">
        <f t="shared" ref="M546:M577" si="187">M545</f>
        <v>4000</v>
      </c>
      <c r="N546" s="4">
        <f t="shared" si="181"/>
        <v>-732</v>
      </c>
      <c r="O546" s="4">
        <f t="shared" si="182"/>
        <v>-718</v>
      </c>
      <c r="P546" s="4">
        <f t="shared" si="183"/>
        <v>-575</v>
      </c>
      <c r="Q546" s="7">
        <v>9</v>
      </c>
      <c r="R546" s="7">
        <v>7</v>
      </c>
      <c r="S546" s="7">
        <v>7</v>
      </c>
      <c r="T546" s="5">
        <f t="shared" si="178"/>
        <v>1652</v>
      </c>
      <c r="U546" s="6">
        <f t="shared" si="162"/>
        <v>2398</v>
      </c>
      <c r="V546" s="6">
        <f t="shared" si="163"/>
        <v>2422</v>
      </c>
      <c r="W546" s="6">
        <f t="shared" si="161"/>
        <v>2575</v>
      </c>
      <c r="X546" s="13">
        <v>0.3</v>
      </c>
      <c r="Y546" s="4"/>
      <c r="Z546" s="4"/>
      <c r="AA546" s="4"/>
      <c r="AB546" s="12" t="s">
        <v>1</v>
      </c>
    </row>
    <row r="547" spans="1:28" ht="13.15" customHeight="1">
      <c r="A547" s="11">
        <f t="shared" si="167"/>
        <v>533</v>
      </c>
      <c r="B547" s="10">
        <f t="shared" si="179"/>
        <v>45576</v>
      </c>
      <c r="C547" s="9">
        <f t="shared" si="180"/>
        <v>842</v>
      </c>
      <c r="D547" s="8">
        <f t="shared" si="184"/>
        <v>3234</v>
      </c>
      <c r="E547" s="7">
        <f t="shared" si="172"/>
        <v>818</v>
      </c>
      <c r="F547" s="7">
        <f t="shared" si="173"/>
        <v>804</v>
      </c>
      <c r="G547" s="7">
        <f t="shared" si="174"/>
        <v>661</v>
      </c>
      <c r="H547" s="4">
        <f t="shared" si="175"/>
        <v>3258</v>
      </c>
      <c r="I547" s="4">
        <f t="shared" si="176"/>
        <v>3272</v>
      </c>
      <c r="J547" s="4">
        <f t="shared" si="177"/>
        <v>3415</v>
      </c>
      <c r="K547" s="4">
        <f t="shared" si="185"/>
        <v>4000</v>
      </c>
      <c r="L547" s="4">
        <f t="shared" si="186"/>
        <v>4000</v>
      </c>
      <c r="M547" s="4">
        <f t="shared" si="187"/>
        <v>4000</v>
      </c>
      <c r="N547" s="4">
        <f t="shared" si="181"/>
        <v>-742</v>
      </c>
      <c r="O547" s="4">
        <f t="shared" si="182"/>
        <v>-728</v>
      </c>
      <c r="P547" s="4">
        <f t="shared" si="183"/>
        <v>-585</v>
      </c>
      <c r="Q547" s="7">
        <v>10</v>
      </c>
      <c r="R547" s="7">
        <v>10</v>
      </c>
      <c r="S547" s="7">
        <v>10</v>
      </c>
      <c r="T547" s="5">
        <f t="shared" si="178"/>
        <v>1664</v>
      </c>
      <c r="U547" s="6">
        <f t="shared" si="162"/>
        <v>2388</v>
      </c>
      <c r="V547" s="6">
        <f t="shared" si="163"/>
        <v>2412</v>
      </c>
      <c r="W547" s="6">
        <f t="shared" si="161"/>
        <v>2565</v>
      </c>
      <c r="X547" s="5"/>
      <c r="Y547" s="4"/>
      <c r="Z547" s="4"/>
      <c r="AA547" s="4"/>
      <c r="AB547" s="12"/>
    </row>
    <row r="548" spans="1:28" ht="13.15" customHeight="1">
      <c r="A548" s="11">
        <f t="shared" si="167"/>
        <v>534</v>
      </c>
      <c r="B548" s="10">
        <f t="shared" si="179"/>
        <v>45577</v>
      </c>
      <c r="C548" s="9">
        <f t="shared" si="180"/>
        <v>842</v>
      </c>
      <c r="D548" s="8">
        <f t="shared" si="184"/>
        <v>3236</v>
      </c>
      <c r="E548" s="7">
        <f t="shared" si="172"/>
        <v>830</v>
      </c>
      <c r="F548" s="7">
        <f t="shared" si="173"/>
        <v>814</v>
      </c>
      <c r="G548" s="7">
        <f t="shared" si="174"/>
        <v>672</v>
      </c>
      <c r="H548" s="4">
        <f t="shared" si="175"/>
        <v>3248</v>
      </c>
      <c r="I548" s="4">
        <f t="shared" si="176"/>
        <v>3264</v>
      </c>
      <c r="J548" s="4">
        <f t="shared" si="177"/>
        <v>3406</v>
      </c>
      <c r="K548" s="4">
        <f t="shared" si="185"/>
        <v>4000</v>
      </c>
      <c r="L548" s="4">
        <f t="shared" si="186"/>
        <v>4000</v>
      </c>
      <c r="M548" s="4">
        <f t="shared" si="187"/>
        <v>4000</v>
      </c>
      <c r="N548" s="4">
        <f t="shared" si="181"/>
        <v>-752</v>
      </c>
      <c r="O548" s="4">
        <f t="shared" si="182"/>
        <v>-736</v>
      </c>
      <c r="P548" s="4">
        <f t="shared" si="183"/>
        <v>-594</v>
      </c>
      <c r="Q548" s="7">
        <v>10</v>
      </c>
      <c r="R548" s="7">
        <v>8</v>
      </c>
      <c r="S548" s="7">
        <v>9</v>
      </c>
      <c r="T548" s="5">
        <f t="shared" si="178"/>
        <v>1674</v>
      </c>
      <c r="U548" s="6">
        <f t="shared" si="162"/>
        <v>2378</v>
      </c>
      <c r="V548" s="6">
        <f t="shared" si="163"/>
        <v>2404</v>
      </c>
      <c r="W548" s="6">
        <f t="shared" si="161"/>
        <v>2556</v>
      </c>
      <c r="X548" s="5"/>
      <c r="Y548" s="4"/>
      <c r="Z548" s="4"/>
      <c r="AA548" s="4"/>
      <c r="AB548" s="12"/>
    </row>
    <row r="549" spans="1:28" ht="13.15" customHeight="1">
      <c r="A549" s="11">
        <f t="shared" si="167"/>
        <v>535</v>
      </c>
      <c r="B549" s="10">
        <f t="shared" si="179"/>
        <v>45578</v>
      </c>
      <c r="C549" s="9">
        <f t="shared" si="180"/>
        <v>842</v>
      </c>
      <c r="D549" s="8">
        <f t="shared" si="184"/>
        <v>3238</v>
      </c>
      <c r="E549" s="7">
        <f t="shared" si="172"/>
        <v>841</v>
      </c>
      <c r="F549" s="7">
        <f t="shared" si="173"/>
        <v>825</v>
      </c>
      <c r="G549" s="7">
        <f t="shared" si="174"/>
        <v>682</v>
      </c>
      <c r="H549" s="4">
        <f t="shared" si="175"/>
        <v>3239</v>
      </c>
      <c r="I549" s="4">
        <f t="shared" si="176"/>
        <v>3255</v>
      </c>
      <c r="J549" s="4">
        <f t="shared" si="177"/>
        <v>3398</v>
      </c>
      <c r="K549" s="4">
        <f t="shared" si="185"/>
        <v>4000</v>
      </c>
      <c r="L549" s="4">
        <f t="shared" si="186"/>
        <v>4000</v>
      </c>
      <c r="M549" s="4">
        <f t="shared" si="187"/>
        <v>4000</v>
      </c>
      <c r="N549" s="4">
        <f t="shared" si="181"/>
        <v>-761</v>
      </c>
      <c r="O549" s="4">
        <f t="shared" si="182"/>
        <v>-745</v>
      </c>
      <c r="P549" s="4">
        <f t="shared" si="183"/>
        <v>-602</v>
      </c>
      <c r="Q549" s="7">
        <v>9</v>
      </c>
      <c r="R549" s="7">
        <v>9</v>
      </c>
      <c r="S549" s="7">
        <v>8</v>
      </c>
      <c r="T549" s="5">
        <f t="shared" si="178"/>
        <v>1685</v>
      </c>
      <c r="U549" s="6">
        <f t="shared" si="162"/>
        <v>2369</v>
      </c>
      <c r="V549" s="6">
        <f t="shared" si="163"/>
        <v>2395</v>
      </c>
      <c r="W549" s="6">
        <f t="shared" si="161"/>
        <v>2548</v>
      </c>
      <c r="X549" s="5"/>
      <c r="Y549" s="4"/>
      <c r="Z549" s="4"/>
      <c r="AA549" s="4"/>
      <c r="AB549" s="12"/>
    </row>
    <row r="550" spans="1:28" ht="13.15" customHeight="1">
      <c r="A550" s="11">
        <f t="shared" si="167"/>
        <v>536</v>
      </c>
      <c r="B550" s="10">
        <f t="shared" si="179"/>
        <v>45579</v>
      </c>
      <c r="C550" s="9">
        <f t="shared" si="180"/>
        <v>842</v>
      </c>
      <c r="D550" s="8">
        <f t="shared" si="184"/>
        <v>3240</v>
      </c>
      <c r="E550" s="7">
        <f t="shared" si="172"/>
        <v>852</v>
      </c>
      <c r="F550" s="7">
        <f t="shared" si="173"/>
        <v>834</v>
      </c>
      <c r="G550" s="7">
        <f t="shared" si="174"/>
        <v>691</v>
      </c>
      <c r="H550" s="4">
        <f t="shared" si="175"/>
        <v>3230</v>
      </c>
      <c r="I550" s="4">
        <f t="shared" si="176"/>
        <v>3248</v>
      </c>
      <c r="J550" s="4">
        <f t="shared" si="177"/>
        <v>3391</v>
      </c>
      <c r="K550" s="4">
        <f t="shared" si="185"/>
        <v>4000</v>
      </c>
      <c r="L550" s="4">
        <f t="shared" si="186"/>
        <v>4000</v>
      </c>
      <c r="M550" s="4">
        <f t="shared" si="187"/>
        <v>4000</v>
      </c>
      <c r="N550" s="4">
        <f t="shared" si="181"/>
        <v>-770</v>
      </c>
      <c r="O550" s="4">
        <f t="shared" si="182"/>
        <v>-752</v>
      </c>
      <c r="P550" s="4">
        <f t="shared" si="183"/>
        <v>-609</v>
      </c>
      <c r="Q550" s="7">
        <v>9</v>
      </c>
      <c r="R550" s="7">
        <v>7</v>
      </c>
      <c r="S550" s="7">
        <v>7</v>
      </c>
      <c r="T550" s="5">
        <f t="shared" si="178"/>
        <v>1694</v>
      </c>
      <c r="U550" s="6">
        <f t="shared" si="162"/>
        <v>2360</v>
      </c>
      <c r="V550" s="6">
        <f t="shared" si="163"/>
        <v>2388</v>
      </c>
      <c r="W550" s="6">
        <f t="shared" si="161"/>
        <v>2541</v>
      </c>
      <c r="X550" s="5"/>
      <c r="Y550" s="4"/>
      <c r="Z550" s="4"/>
      <c r="AA550" s="4"/>
      <c r="AB550" s="12"/>
    </row>
    <row r="551" spans="1:28" ht="13.15" customHeight="1">
      <c r="A551" s="11">
        <f t="shared" si="167"/>
        <v>537</v>
      </c>
      <c r="B551" s="10">
        <f t="shared" si="179"/>
        <v>45580</v>
      </c>
      <c r="C551" s="9">
        <f t="shared" si="180"/>
        <v>842</v>
      </c>
      <c r="D551" s="8">
        <f t="shared" si="184"/>
        <v>3242</v>
      </c>
      <c r="E551" s="7">
        <f t="shared" si="172"/>
        <v>864</v>
      </c>
      <c r="F551" s="7">
        <f t="shared" si="173"/>
        <v>846</v>
      </c>
      <c r="G551" s="7">
        <f t="shared" si="174"/>
        <v>703</v>
      </c>
      <c r="H551" s="4">
        <f t="shared" si="175"/>
        <v>3220</v>
      </c>
      <c r="I551" s="4">
        <f t="shared" si="176"/>
        <v>3238</v>
      </c>
      <c r="J551" s="4">
        <f t="shared" si="177"/>
        <v>3381</v>
      </c>
      <c r="K551" s="4">
        <f t="shared" si="185"/>
        <v>4000</v>
      </c>
      <c r="L551" s="4">
        <f t="shared" si="186"/>
        <v>4000</v>
      </c>
      <c r="M551" s="4">
        <f t="shared" si="187"/>
        <v>4000</v>
      </c>
      <c r="N551" s="4">
        <f t="shared" si="181"/>
        <v>-780</v>
      </c>
      <c r="O551" s="4">
        <f t="shared" si="182"/>
        <v>-762</v>
      </c>
      <c r="P551" s="4">
        <f t="shared" si="183"/>
        <v>-619</v>
      </c>
      <c r="Q551" s="7">
        <v>10</v>
      </c>
      <c r="R551" s="7">
        <v>10</v>
      </c>
      <c r="S551" s="7">
        <v>10</v>
      </c>
      <c r="T551" s="5">
        <f t="shared" si="178"/>
        <v>1406</v>
      </c>
      <c r="U551" s="6">
        <f t="shared" si="162"/>
        <v>2650</v>
      </c>
      <c r="V551" s="6">
        <f t="shared" si="163"/>
        <v>2678</v>
      </c>
      <c r="W551" s="6">
        <f t="shared" ref="W551:W614" si="188">W550+$X551*1000-S551</f>
        <v>2831</v>
      </c>
      <c r="X551" s="13">
        <v>0.3</v>
      </c>
      <c r="Y551" s="4"/>
      <c r="Z551" s="4"/>
      <c r="AA551" s="4"/>
      <c r="AB551" s="12" t="s">
        <v>0</v>
      </c>
    </row>
    <row r="552" spans="1:28" ht="13.15" customHeight="1">
      <c r="A552" s="11">
        <f t="shared" si="167"/>
        <v>538</v>
      </c>
      <c r="B552" s="10">
        <f t="shared" si="179"/>
        <v>45581</v>
      </c>
      <c r="C552" s="9">
        <f t="shared" si="180"/>
        <v>842</v>
      </c>
      <c r="D552" s="8">
        <f t="shared" si="184"/>
        <v>3244</v>
      </c>
      <c r="E552" s="7">
        <f t="shared" si="172"/>
        <v>876</v>
      </c>
      <c r="F552" s="7">
        <f t="shared" si="173"/>
        <v>858</v>
      </c>
      <c r="G552" s="7">
        <f t="shared" si="174"/>
        <v>715</v>
      </c>
      <c r="H552" s="4">
        <f t="shared" si="175"/>
        <v>3210</v>
      </c>
      <c r="I552" s="4">
        <f t="shared" si="176"/>
        <v>3228</v>
      </c>
      <c r="J552" s="4">
        <f t="shared" si="177"/>
        <v>3371</v>
      </c>
      <c r="K552" s="4">
        <f t="shared" si="185"/>
        <v>4000</v>
      </c>
      <c r="L552" s="4">
        <f t="shared" si="186"/>
        <v>4000</v>
      </c>
      <c r="M552" s="4">
        <f t="shared" si="187"/>
        <v>4000</v>
      </c>
      <c r="N552" s="4">
        <f t="shared" si="181"/>
        <v>-790</v>
      </c>
      <c r="O552" s="4">
        <f t="shared" si="182"/>
        <v>-772</v>
      </c>
      <c r="P552" s="4">
        <f t="shared" si="183"/>
        <v>-629</v>
      </c>
      <c r="Q552" s="7">
        <v>10</v>
      </c>
      <c r="R552" s="7">
        <v>10</v>
      </c>
      <c r="S552" s="7">
        <v>10</v>
      </c>
      <c r="T552" s="5">
        <f t="shared" si="178"/>
        <v>1418</v>
      </c>
      <c r="U552" s="6">
        <f t="shared" ref="U552:U615" si="189">U551+$X552*1000-Q552</f>
        <v>2640</v>
      </c>
      <c r="V552" s="6">
        <f t="shared" ref="V552:V615" si="190">V551+$X552*1000-R552</f>
        <v>2668</v>
      </c>
      <c r="W552" s="6">
        <f t="shared" si="188"/>
        <v>2821</v>
      </c>
      <c r="X552" s="5"/>
      <c r="Y552" s="4"/>
      <c r="Z552" s="4"/>
      <c r="AA552" s="4"/>
      <c r="AB552" s="4"/>
    </row>
    <row r="553" spans="1:28" ht="13.15" customHeight="1">
      <c r="A553" s="11">
        <f t="shared" si="167"/>
        <v>539</v>
      </c>
      <c r="B553" s="10">
        <f t="shared" si="179"/>
        <v>45582</v>
      </c>
      <c r="C553" s="9">
        <f t="shared" si="180"/>
        <v>842</v>
      </c>
      <c r="D553" s="8">
        <f t="shared" si="184"/>
        <v>3246</v>
      </c>
      <c r="E553" s="7">
        <f t="shared" si="172"/>
        <v>887</v>
      </c>
      <c r="F553" s="7">
        <f t="shared" si="173"/>
        <v>870</v>
      </c>
      <c r="G553" s="7">
        <f t="shared" si="174"/>
        <v>726</v>
      </c>
      <c r="H553" s="4">
        <f t="shared" si="175"/>
        <v>3201</v>
      </c>
      <c r="I553" s="4">
        <f t="shared" si="176"/>
        <v>3218</v>
      </c>
      <c r="J553" s="4">
        <f t="shared" si="177"/>
        <v>3362</v>
      </c>
      <c r="K553" s="4">
        <f t="shared" si="185"/>
        <v>4000</v>
      </c>
      <c r="L553" s="4">
        <f t="shared" si="186"/>
        <v>4000</v>
      </c>
      <c r="M553" s="4">
        <f t="shared" si="187"/>
        <v>4000</v>
      </c>
      <c r="N553" s="4">
        <f t="shared" si="181"/>
        <v>-799</v>
      </c>
      <c r="O553" s="4">
        <f t="shared" si="182"/>
        <v>-782</v>
      </c>
      <c r="P553" s="4">
        <f t="shared" si="183"/>
        <v>-638</v>
      </c>
      <c r="Q553" s="7">
        <v>9</v>
      </c>
      <c r="R553" s="7">
        <v>10</v>
      </c>
      <c r="S553" s="7">
        <v>9</v>
      </c>
      <c r="T553" s="5">
        <f t="shared" si="178"/>
        <v>1430</v>
      </c>
      <c r="U553" s="6">
        <f t="shared" si="189"/>
        <v>2631</v>
      </c>
      <c r="V553" s="6">
        <f t="shared" si="190"/>
        <v>2658</v>
      </c>
      <c r="W553" s="6">
        <f t="shared" si="188"/>
        <v>2812</v>
      </c>
      <c r="X553" s="5"/>
      <c r="Y553" s="4"/>
      <c r="Z553" s="4"/>
      <c r="AA553" s="4"/>
      <c r="AB553" s="4"/>
    </row>
    <row r="554" spans="1:28" ht="13.15" customHeight="1">
      <c r="A554" s="11">
        <f t="shared" si="167"/>
        <v>540</v>
      </c>
      <c r="B554" s="10">
        <f t="shared" si="179"/>
        <v>45583</v>
      </c>
      <c r="C554" s="9">
        <f t="shared" si="180"/>
        <v>842</v>
      </c>
      <c r="D554" s="8">
        <f t="shared" si="184"/>
        <v>3248</v>
      </c>
      <c r="E554" s="7">
        <f t="shared" si="172"/>
        <v>897</v>
      </c>
      <c r="F554" s="7">
        <f t="shared" si="173"/>
        <v>881</v>
      </c>
      <c r="G554" s="7">
        <f t="shared" si="174"/>
        <v>736</v>
      </c>
      <c r="H554" s="4">
        <f t="shared" si="175"/>
        <v>3193</v>
      </c>
      <c r="I554" s="4">
        <f t="shared" si="176"/>
        <v>3209</v>
      </c>
      <c r="J554" s="4">
        <f t="shared" si="177"/>
        <v>3354</v>
      </c>
      <c r="K554" s="4">
        <f t="shared" si="185"/>
        <v>4000</v>
      </c>
      <c r="L554" s="4">
        <f t="shared" si="186"/>
        <v>4000</v>
      </c>
      <c r="M554" s="4">
        <f t="shared" si="187"/>
        <v>4000</v>
      </c>
      <c r="N554" s="4">
        <f t="shared" si="181"/>
        <v>-807</v>
      </c>
      <c r="O554" s="4">
        <f t="shared" si="182"/>
        <v>-791</v>
      </c>
      <c r="P554" s="4">
        <f t="shared" si="183"/>
        <v>-646</v>
      </c>
      <c r="Q554" s="7">
        <v>8</v>
      </c>
      <c r="R554" s="7">
        <v>9</v>
      </c>
      <c r="S554" s="7">
        <v>8</v>
      </c>
      <c r="T554" s="5">
        <f t="shared" si="178"/>
        <v>1441</v>
      </c>
      <c r="U554" s="6">
        <f t="shared" si="189"/>
        <v>2623</v>
      </c>
      <c r="V554" s="6">
        <f t="shared" si="190"/>
        <v>2649</v>
      </c>
      <c r="W554" s="6">
        <f t="shared" si="188"/>
        <v>2804</v>
      </c>
      <c r="X554" s="5"/>
      <c r="Y554" s="4"/>
      <c r="Z554" s="4"/>
      <c r="AA554" s="4"/>
      <c r="AB554" s="4"/>
    </row>
    <row r="555" spans="1:28" ht="13.15" customHeight="1">
      <c r="A555" s="11">
        <f t="shared" si="167"/>
        <v>541</v>
      </c>
      <c r="B555" s="10">
        <f t="shared" si="179"/>
        <v>45584</v>
      </c>
      <c r="C555" s="9">
        <f t="shared" si="180"/>
        <v>842</v>
      </c>
      <c r="D555" s="8">
        <f t="shared" si="184"/>
        <v>3250</v>
      </c>
      <c r="E555" s="7">
        <f t="shared" si="172"/>
        <v>908</v>
      </c>
      <c r="F555" s="7">
        <f t="shared" si="173"/>
        <v>891</v>
      </c>
      <c r="G555" s="7">
        <f t="shared" si="174"/>
        <v>745</v>
      </c>
      <c r="H555" s="4">
        <f t="shared" si="175"/>
        <v>3184</v>
      </c>
      <c r="I555" s="4">
        <f t="shared" si="176"/>
        <v>3201</v>
      </c>
      <c r="J555" s="4">
        <f t="shared" si="177"/>
        <v>3347</v>
      </c>
      <c r="K555" s="4">
        <f t="shared" si="185"/>
        <v>4000</v>
      </c>
      <c r="L555" s="4">
        <f t="shared" si="186"/>
        <v>4000</v>
      </c>
      <c r="M555" s="4">
        <f t="shared" si="187"/>
        <v>4000</v>
      </c>
      <c r="N555" s="4">
        <f t="shared" si="181"/>
        <v>-816</v>
      </c>
      <c r="O555" s="4">
        <f t="shared" si="182"/>
        <v>-799</v>
      </c>
      <c r="P555" s="4">
        <f t="shared" si="183"/>
        <v>-653</v>
      </c>
      <c r="Q555" s="7">
        <v>9</v>
      </c>
      <c r="R555" s="7">
        <v>8</v>
      </c>
      <c r="S555" s="7">
        <v>7</v>
      </c>
      <c r="T555" s="5">
        <f t="shared" si="178"/>
        <v>1451</v>
      </c>
      <c r="U555" s="6">
        <f t="shared" si="189"/>
        <v>2614</v>
      </c>
      <c r="V555" s="6">
        <f t="shared" si="190"/>
        <v>2641</v>
      </c>
      <c r="W555" s="6">
        <f t="shared" si="188"/>
        <v>2797</v>
      </c>
      <c r="X555" s="5"/>
      <c r="Y555" s="4"/>
      <c r="Z555" s="4"/>
      <c r="AA555" s="4"/>
      <c r="AB555" s="4"/>
    </row>
    <row r="556" spans="1:28" ht="13.15" customHeight="1">
      <c r="A556" s="11">
        <f t="shared" si="167"/>
        <v>542</v>
      </c>
      <c r="B556" s="10">
        <f t="shared" si="179"/>
        <v>45585</v>
      </c>
      <c r="C556" s="9">
        <f t="shared" si="180"/>
        <v>842</v>
      </c>
      <c r="D556" s="8">
        <f t="shared" si="184"/>
        <v>3252</v>
      </c>
      <c r="E556" s="7">
        <f t="shared" si="172"/>
        <v>918</v>
      </c>
      <c r="F556" s="7">
        <f t="shared" si="173"/>
        <v>902</v>
      </c>
      <c r="G556" s="7">
        <f t="shared" si="174"/>
        <v>754</v>
      </c>
      <c r="H556" s="4">
        <f t="shared" si="175"/>
        <v>3176</v>
      </c>
      <c r="I556" s="4">
        <f t="shared" si="176"/>
        <v>3192</v>
      </c>
      <c r="J556" s="4">
        <f t="shared" si="177"/>
        <v>3340</v>
      </c>
      <c r="K556" s="4">
        <f t="shared" si="185"/>
        <v>4000</v>
      </c>
      <c r="L556" s="4">
        <f t="shared" si="186"/>
        <v>4000</v>
      </c>
      <c r="M556" s="4">
        <f t="shared" si="187"/>
        <v>4000</v>
      </c>
      <c r="N556" s="4">
        <f t="shared" si="181"/>
        <v>-824</v>
      </c>
      <c r="O556" s="4">
        <f t="shared" si="182"/>
        <v>-808</v>
      </c>
      <c r="P556" s="4">
        <f t="shared" si="183"/>
        <v>-660</v>
      </c>
      <c r="Q556" s="7">
        <v>8</v>
      </c>
      <c r="R556" s="7">
        <v>9</v>
      </c>
      <c r="S556" s="7">
        <v>7</v>
      </c>
      <c r="T556" s="5">
        <f t="shared" si="178"/>
        <v>1462</v>
      </c>
      <c r="U556" s="6">
        <f t="shared" si="189"/>
        <v>2606</v>
      </c>
      <c r="V556" s="6">
        <f t="shared" si="190"/>
        <v>2632</v>
      </c>
      <c r="W556" s="6">
        <f t="shared" si="188"/>
        <v>2790</v>
      </c>
      <c r="X556" s="5"/>
      <c r="Y556" s="4"/>
      <c r="Z556" s="4"/>
      <c r="AA556" s="4"/>
      <c r="AB556" s="4"/>
    </row>
    <row r="557" spans="1:28" ht="13.15" customHeight="1">
      <c r="A557" s="11">
        <f t="shared" si="167"/>
        <v>543</v>
      </c>
      <c r="B557" s="10">
        <f t="shared" si="179"/>
        <v>45586</v>
      </c>
      <c r="C557" s="9">
        <f t="shared" si="180"/>
        <v>842</v>
      </c>
      <c r="D557" s="8">
        <f t="shared" si="184"/>
        <v>3254</v>
      </c>
      <c r="E557" s="7">
        <f t="shared" si="172"/>
        <v>927</v>
      </c>
      <c r="F557" s="7">
        <f t="shared" si="173"/>
        <v>912</v>
      </c>
      <c r="G557" s="7">
        <f t="shared" si="174"/>
        <v>765</v>
      </c>
      <c r="H557" s="4">
        <f t="shared" si="175"/>
        <v>3169</v>
      </c>
      <c r="I557" s="4">
        <f t="shared" si="176"/>
        <v>3184</v>
      </c>
      <c r="J557" s="4">
        <f t="shared" si="177"/>
        <v>3331</v>
      </c>
      <c r="K557" s="4">
        <f t="shared" si="185"/>
        <v>4000</v>
      </c>
      <c r="L557" s="4">
        <f t="shared" si="186"/>
        <v>4000</v>
      </c>
      <c r="M557" s="4">
        <f t="shared" si="187"/>
        <v>4000</v>
      </c>
      <c r="N557" s="4">
        <f t="shared" si="181"/>
        <v>-831</v>
      </c>
      <c r="O557" s="4">
        <f t="shared" si="182"/>
        <v>-816</v>
      </c>
      <c r="P557" s="4">
        <f t="shared" si="183"/>
        <v>-669</v>
      </c>
      <c r="Q557" s="7">
        <v>7</v>
      </c>
      <c r="R557" s="7">
        <v>8</v>
      </c>
      <c r="S557" s="7">
        <v>9</v>
      </c>
      <c r="T557" s="5">
        <f t="shared" si="178"/>
        <v>1472</v>
      </c>
      <c r="U557" s="6">
        <f t="shared" si="189"/>
        <v>2599</v>
      </c>
      <c r="V557" s="6">
        <f t="shared" si="190"/>
        <v>2624</v>
      </c>
      <c r="W557" s="6">
        <f t="shared" si="188"/>
        <v>2781</v>
      </c>
      <c r="X557" s="5"/>
      <c r="Y557" s="4"/>
      <c r="Z557" s="4"/>
      <c r="AA557" s="4"/>
      <c r="AB557" s="4"/>
    </row>
    <row r="558" spans="1:28" ht="13.15" customHeight="1">
      <c r="A558" s="11">
        <f t="shared" si="167"/>
        <v>544</v>
      </c>
      <c r="B558" s="10">
        <f t="shared" si="179"/>
        <v>45587</v>
      </c>
      <c r="C558" s="9">
        <f t="shared" si="180"/>
        <v>842</v>
      </c>
      <c r="D558" s="8">
        <f t="shared" si="184"/>
        <v>3256</v>
      </c>
      <c r="E558" s="7">
        <f t="shared" si="172"/>
        <v>938</v>
      </c>
      <c r="F558" s="7">
        <f t="shared" si="173"/>
        <v>923</v>
      </c>
      <c r="G558" s="7">
        <f t="shared" si="174"/>
        <v>775</v>
      </c>
      <c r="H558" s="4">
        <f t="shared" si="175"/>
        <v>3160</v>
      </c>
      <c r="I558" s="4">
        <f t="shared" si="176"/>
        <v>3175</v>
      </c>
      <c r="J558" s="4">
        <f t="shared" si="177"/>
        <v>3323</v>
      </c>
      <c r="K558" s="4">
        <f t="shared" si="185"/>
        <v>4000</v>
      </c>
      <c r="L558" s="4">
        <f t="shared" si="186"/>
        <v>4000</v>
      </c>
      <c r="M558" s="4">
        <f t="shared" si="187"/>
        <v>4000</v>
      </c>
      <c r="N558" s="4">
        <f t="shared" si="181"/>
        <v>-840</v>
      </c>
      <c r="O558" s="4">
        <f t="shared" si="182"/>
        <v>-825</v>
      </c>
      <c r="P558" s="4">
        <f t="shared" si="183"/>
        <v>-677</v>
      </c>
      <c r="Q558" s="7">
        <v>9</v>
      </c>
      <c r="R558" s="7">
        <v>9</v>
      </c>
      <c r="S558" s="7">
        <v>8</v>
      </c>
      <c r="T558" s="5">
        <f t="shared" si="178"/>
        <v>1483</v>
      </c>
      <c r="U558" s="6">
        <f t="shared" si="189"/>
        <v>2590</v>
      </c>
      <c r="V558" s="6">
        <f t="shared" si="190"/>
        <v>2615</v>
      </c>
      <c r="W558" s="6">
        <f t="shared" si="188"/>
        <v>2773</v>
      </c>
      <c r="X558" s="5"/>
      <c r="Y558" s="4"/>
      <c r="Z558" s="4"/>
      <c r="AA558" s="4"/>
      <c r="AB558" s="4"/>
    </row>
    <row r="559" spans="1:28" ht="13.15" customHeight="1">
      <c r="A559" s="11">
        <f t="shared" si="167"/>
        <v>545</v>
      </c>
      <c r="B559" s="10">
        <f t="shared" si="179"/>
        <v>45588</v>
      </c>
      <c r="C559" s="9">
        <f t="shared" si="180"/>
        <v>842</v>
      </c>
      <c r="D559" s="8">
        <f t="shared" si="184"/>
        <v>3258</v>
      </c>
      <c r="E559" s="7">
        <f t="shared" si="172"/>
        <v>948</v>
      </c>
      <c r="F559" s="7">
        <f t="shared" si="173"/>
        <v>933</v>
      </c>
      <c r="G559" s="7">
        <f t="shared" si="174"/>
        <v>784</v>
      </c>
      <c r="H559" s="4">
        <f t="shared" si="175"/>
        <v>3152</v>
      </c>
      <c r="I559" s="4">
        <f t="shared" si="176"/>
        <v>3167</v>
      </c>
      <c r="J559" s="4">
        <f t="shared" si="177"/>
        <v>3316</v>
      </c>
      <c r="K559" s="4">
        <f t="shared" si="185"/>
        <v>4000</v>
      </c>
      <c r="L559" s="4">
        <f t="shared" si="186"/>
        <v>4000</v>
      </c>
      <c r="M559" s="4">
        <f t="shared" si="187"/>
        <v>4000</v>
      </c>
      <c r="N559" s="4">
        <f t="shared" si="181"/>
        <v>-848</v>
      </c>
      <c r="O559" s="4">
        <f t="shared" si="182"/>
        <v>-833</v>
      </c>
      <c r="P559" s="4">
        <f t="shared" si="183"/>
        <v>-684</v>
      </c>
      <c r="Q559" s="7">
        <v>8</v>
      </c>
      <c r="R559" s="7">
        <v>8</v>
      </c>
      <c r="S559" s="7">
        <v>7</v>
      </c>
      <c r="T559" s="5">
        <f t="shared" si="178"/>
        <v>1493</v>
      </c>
      <c r="U559" s="6">
        <f t="shared" si="189"/>
        <v>2582</v>
      </c>
      <c r="V559" s="6">
        <f t="shared" si="190"/>
        <v>2607</v>
      </c>
      <c r="W559" s="6">
        <f t="shared" si="188"/>
        <v>2766</v>
      </c>
      <c r="X559" s="5"/>
      <c r="Y559" s="4"/>
      <c r="Z559" s="4"/>
      <c r="AA559" s="4"/>
      <c r="AB559" s="4"/>
    </row>
    <row r="560" spans="1:28" ht="13.15" customHeight="1">
      <c r="A560" s="11">
        <f t="shared" si="167"/>
        <v>546</v>
      </c>
      <c r="B560" s="10">
        <f t="shared" si="179"/>
        <v>45589</v>
      </c>
      <c r="C560" s="9">
        <f t="shared" si="180"/>
        <v>842</v>
      </c>
      <c r="D560" s="8">
        <f t="shared" si="184"/>
        <v>3260</v>
      </c>
      <c r="E560" s="7">
        <f t="shared" si="172"/>
        <v>958</v>
      </c>
      <c r="F560" s="7">
        <f t="shared" si="173"/>
        <v>944</v>
      </c>
      <c r="G560" s="7">
        <f t="shared" si="174"/>
        <v>793</v>
      </c>
      <c r="H560" s="4">
        <f t="shared" si="175"/>
        <v>3144</v>
      </c>
      <c r="I560" s="4">
        <f t="shared" si="176"/>
        <v>3158</v>
      </c>
      <c r="J560" s="4">
        <f t="shared" si="177"/>
        <v>3309</v>
      </c>
      <c r="K560" s="4">
        <f t="shared" si="185"/>
        <v>4000</v>
      </c>
      <c r="L560" s="4">
        <f t="shared" si="186"/>
        <v>4000</v>
      </c>
      <c r="M560" s="4">
        <f t="shared" si="187"/>
        <v>4000</v>
      </c>
      <c r="N560" s="4">
        <f t="shared" si="181"/>
        <v>-856</v>
      </c>
      <c r="O560" s="4">
        <f t="shared" si="182"/>
        <v>-842</v>
      </c>
      <c r="P560" s="4">
        <f t="shared" si="183"/>
        <v>-691</v>
      </c>
      <c r="Q560" s="7">
        <v>8</v>
      </c>
      <c r="R560" s="7">
        <v>9</v>
      </c>
      <c r="S560" s="7">
        <v>7</v>
      </c>
      <c r="T560" s="5">
        <f t="shared" si="178"/>
        <v>1504</v>
      </c>
      <c r="U560" s="6">
        <f t="shared" si="189"/>
        <v>2574</v>
      </c>
      <c r="V560" s="6">
        <f t="shared" si="190"/>
        <v>2598</v>
      </c>
      <c r="W560" s="6">
        <f t="shared" si="188"/>
        <v>2759</v>
      </c>
      <c r="X560" s="5"/>
      <c r="Y560" s="4"/>
      <c r="Z560" s="4"/>
      <c r="AA560" s="4"/>
      <c r="AB560" s="4"/>
    </row>
    <row r="561" spans="1:28" ht="13.15" customHeight="1">
      <c r="A561" s="11">
        <f t="shared" si="167"/>
        <v>547</v>
      </c>
      <c r="B561" s="10">
        <f t="shared" si="179"/>
        <v>45590</v>
      </c>
      <c r="C561" s="9">
        <f t="shared" si="180"/>
        <v>842</v>
      </c>
      <c r="D561" s="8">
        <f t="shared" si="184"/>
        <v>3262</v>
      </c>
      <c r="E561" s="7">
        <f t="shared" si="172"/>
        <v>967</v>
      </c>
      <c r="F561" s="7">
        <f t="shared" si="173"/>
        <v>954</v>
      </c>
      <c r="G561" s="7">
        <f t="shared" si="174"/>
        <v>804</v>
      </c>
      <c r="H561" s="4">
        <f t="shared" si="175"/>
        <v>3137</v>
      </c>
      <c r="I561" s="4">
        <f t="shared" si="176"/>
        <v>3150</v>
      </c>
      <c r="J561" s="4">
        <f t="shared" si="177"/>
        <v>3300</v>
      </c>
      <c r="K561" s="4">
        <f t="shared" si="185"/>
        <v>4000</v>
      </c>
      <c r="L561" s="4">
        <f t="shared" si="186"/>
        <v>4000</v>
      </c>
      <c r="M561" s="4">
        <f t="shared" si="187"/>
        <v>4000</v>
      </c>
      <c r="N561" s="4">
        <f t="shared" si="181"/>
        <v>-863</v>
      </c>
      <c r="O561" s="4">
        <f t="shared" si="182"/>
        <v>-850</v>
      </c>
      <c r="P561" s="4">
        <f t="shared" si="183"/>
        <v>-700</v>
      </c>
      <c r="Q561" s="7">
        <v>7</v>
      </c>
      <c r="R561" s="7">
        <v>8</v>
      </c>
      <c r="S561" s="7">
        <v>9</v>
      </c>
      <c r="T561" s="5">
        <f t="shared" si="178"/>
        <v>1514</v>
      </c>
      <c r="U561" s="6">
        <f t="shared" si="189"/>
        <v>2567</v>
      </c>
      <c r="V561" s="6">
        <f t="shared" si="190"/>
        <v>2590</v>
      </c>
      <c r="W561" s="6">
        <f t="shared" si="188"/>
        <v>2750</v>
      </c>
      <c r="X561" s="5"/>
      <c r="Y561" s="4"/>
      <c r="Z561" s="4"/>
      <c r="AA561" s="4"/>
      <c r="AB561" s="4"/>
    </row>
    <row r="562" spans="1:28" ht="13.15" customHeight="1">
      <c r="A562" s="11">
        <f t="shared" si="167"/>
        <v>548</v>
      </c>
      <c r="B562" s="10">
        <f t="shared" si="179"/>
        <v>45591</v>
      </c>
      <c r="C562" s="9">
        <f t="shared" si="180"/>
        <v>842</v>
      </c>
      <c r="D562" s="8">
        <f t="shared" si="184"/>
        <v>3264</v>
      </c>
      <c r="E562" s="7">
        <f t="shared" si="172"/>
        <v>978</v>
      </c>
      <c r="F562" s="7">
        <f t="shared" si="173"/>
        <v>965</v>
      </c>
      <c r="G562" s="7">
        <f t="shared" si="174"/>
        <v>814</v>
      </c>
      <c r="H562" s="4">
        <f t="shared" si="175"/>
        <v>3128</v>
      </c>
      <c r="I562" s="4">
        <f t="shared" si="176"/>
        <v>3141</v>
      </c>
      <c r="J562" s="4">
        <f t="shared" si="177"/>
        <v>3292</v>
      </c>
      <c r="K562" s="4">
        <f t="shared" si="185"/>
        <v>4000</v>
      </c>
      <c r="L562" s="4">
        <f t="shared" si="186"/>
        <v>4000</v>
      </c>
      <c r="M562" s="4">
        <f t="shared" si="187"/>
        <v>4000</v>
      </c>
      <c r="N562" s="4">
        <f t="shared" si="181"/>
        <v>-872</v>
      </c>
      <c r="O562" s="4">
        <f t="shared" si="182"/>
        <v>-859</v>
      </c>
      <c r="P562" s="4">
        <f t="shared" si="183"/>
        <v>-708</v>
      </c>
      <c r="Q562" s="7">
        <v>9</v>
      </c>
      <c r="R562" s="7">
        <v>9</v>
      </c>
      <c r="S562" s="7">
        <v>8</v>
      </c>
      <c r="T562" s="5">
        <f t="shared" si="178"/>
        <v>1525</v>
      </c>
      <c r="U562" s="6">
        <f t="shared" si="189"/>
        <v>2558</v>
      </c>
      <c r="V562" s="6">
        <f t="shared" si="190"/>
        <v>2581</v>
      </c>
      <c r="W562" s="6">
        <f t="shared" si="188"/>
        <v>2742</v>
      </c>
      <c r="X562" s="5"/>
      <c r="Y562" s="4"/>
      <c r="Z562" s="4"/>
      <c r="AA562" s="4"/>
      <c r="AB562" s="4"/>
    </row>
    <row r="563" spans="1:28" ht="13.15" customHeight="1">
      <c r="A563" s="11">
        <f t="shared" si="167"/>
        <v>549</v>
      </c>
      <c r="B563" s="10">
        <f t="shared" si="179"/>
        <v>45592</v>
      </c>
      <c r="C563" s="9">
        <f t="shared" si="180"/>
        <v>842</v>
      </c>
      <c r="D563" s="8">
        <f t="shared" si="184"/>
        <v>3266</v>
      </c>
      <c r="E563" s="7">
        <f t="shared" si="172"/>
        <v>988</v>
      </c>
      <c r="F563" s="7">
        <f t="shared" si="173"/>
        <v>975</v>
      </c>
      <c r="G563" s="7">
        <f t="shared" si="174"/>
        <v>823</v>
      </c>
      <c r="H563" s="4">
        <f t="shared" si="175"/>
        <v>3120</v>
      </c>
      <c r="I563" s="4">
        <f t="shared" si="176"/>
        <v>3133</v>
      </c>
      <c r="J563" s="4">
        <f t="shared" si="177"/>
        <v>3285</v>
      </c>
      <c r="K563" s="4">
        <f t="shared" si="185"/>
        <v>4000</v>
      </c>
      <c r="L563" s="4">
        <f t="shared" si="186"/>
        <v>4000</v>
      </c>
      <c r="M563" s="4">
        <f t="shared" si="187"/>
        <v>4000</v>
      </c>
      <c r="N563" s="4">
        <f t="shared" si="181"/>
        <v>-880</v>
      </c>
      <c r="O563" s="4">
        <f t="shared" si="182"/>
        <v>-867</v>
      </c>
      <c r="P563" s="4">
        <f t="shared" si="183"/>
        <v>-715</v>
      </c>
      <c r="Q563" s="7">
        <v>8</v>
      </c>
      <c r="R563" s="7">
        <v>8</v>
      </c>
      <c r="S563" s="7">
        <v>7</v>
      </c>
      <c r="T563" s="5">
        <f t="shared" si="178"/>
        <v>1535</v>
      </c>
      <c r="U563" s="6">
        <f t="shared" si="189"/>
        <v>2550</v>
      </c>
      <c r="V563" s="6">
        <f t="shared" si="190"/>
        <v>2573</v>
      </c>
      <c r="W563" s="6">
        <f t="shared" si="188"/>
        <v>2735</v>
      </c>
      <c r="X563" s="5"/>
      <c r="Y563" s="4"/>
      <c r="Z563" s="4"/>
      <c r="AA563" s="4"/>
      <c r="AB563" s="4"/>
    </row>
    <row r="564" spans="1:28" ht="13.15" customHeight="1">
      <c r="A564" s="11">
        <f t="shared" si="167"/>
        <v>550</v>
      </c>
      <c r="B564" s="10">
        <f t="shared" si="179"/>
        <v>45593</v>
      </c>
      <c r="C564" s="9">
        <f t="shared" si="180"/>
        <v>842</v>
      </c>
      <c r="D564" s="8">
        <f t="shared" si="184"/>
        <v>3268</v>
      </c>
      <c r="E564" s="7">
        <f t="shared" si="172"/>
        <v>997</v>
      </c>
      <c r="F564" s="7">
        <f t="shared" si="173"/>
        <v>984</v>
      </c>
      <c r="G564" s="7">
        <f t="shared" si="174"/>
        <v>834</v>
      </c>
      <c r="H564" s="4">
        <f t="shared" si="175"/>
        <v>3113</v>
      </c>
      <c r="I564" s="4">
        <f t="shared" si="176"/>
        <v>3126</v>
      </c>
      <c r="J564" s="4">
        <f t="shared" si="177"/>
        <v>3276</v>
      </c>
      <c r="K564" s="4">
        <f t="shared" si="185"/>
        <v>4000</v>
      </c>
      <c r="L564" s="4">
        <f t="shared" si="186"/>
        <v>4000</v>
      </c>
      <c r="M564" s="4">
        <f t="shared" si="187"/>
        <v>4000</v>
      </c>
      <c r="N564" s="4">
        <f t="shared" si="181"/>
        <v>-887</v>
      </c>
      <c r="O564" s="4">
        <f t="shared" si="182"/>
        <v>-874</v>
      </c>
      <c r="P564" s="4">
        <f t="shared" si="183"/>
        <v>-724</v>
      </c>
      <c r="Q564" s="7">
        <v>7</v>
      </c>
      <c r="R564" s="7">
        <v>7</v>
      </c>
      <c r="S564" s="7">
        <v>9</v>
      </c>
      <c r="T564" s="5">
        <f t="shared" si="178"/>
        <v>1544</v>
      </c>
      <c r="U564" s="6">
        <f t="shared" si="189"/>
        <v>2543</v>
      </c>
      <c r="V564" s="6">
        <f t="shared" si="190"/>
        <v>2566</v>
      </c>
      <c r="W564" s="6">
        <f t="shared" si="188"/>
        <v>2726</v>
      </c>
      <c r="X564" s="5"/>
      <c r="Y564" s="4"/>
      <c r="Z564" s="4"/>
      <c r="AA564" s="4"/>
      <c r="AB564" s="4"/>
    </row>
    <row r="565" spans="1:28" ht="13.15" customHeight="1">
      <c r="A565" s="11">
        <f t="shared" si="167"/>
        <v>551</v>
      </c>
      <c r="B565" s="10">
        <f t="shared" si="179"/>
        <v>45594</v>
      </c>
      <c r="C565" s="9">
        <f t="shared" si="180"/>
        <v>842</v>
      </c>
      <c r="D565" s="8">
        <f t="shared" si="184"/>
        <v>3270</v>
      </c>
      <c r="E565" s="7">
        <f t="shared" si="172"/>
        <v>1007</v>
      </c>
      <c r="F565" s="7">
        <f t="shared" si="173"/>
        <v>995</v>
      </c>
      <c r="G565" s="7">
        <f t="shared" si="174"/>
        <v>844</v>
      </c>
      <c r="H565" s="4">
        <f t="shared" si="175"/>
        <v>3105</v>
      </c>
      <c r="I565" s="4">
        <f t="shared" si="176"/>
        <v>3117</v>
      </c>
      <c r="J565" s="4">
        <f t="shared" si="177"/>
        <v>3268</v>
      </c>
      <c r="K565" s="4">
        <f t="shared" si="185"/>
        <v>4000</v>
      </c>
      <c r="L565" s="4">
        <f t="shared" si="186"/>
        <v>4000</v>
      </c>
      <c r="M565" s="4">
        <f t="shared" si="187"/>
        <v>4000</v>
      </c>
      <c r="N565" s="4">
        <f t="shared" si="181"/>
        <v>-895</v>
      </c>
      <c r="O565" s="4">
        <f t="shared" si="182"/>
        <v>-883</v>
      </c>
      <c r="P565" s="4">
        <f t="shared" si="183"/>
        <v>-732</v>
      </c>
      <c r="Q565" s="7">
        <v>8</v>
      </c>
      <c r="R565" s="7">
        <v>9</v>
      </c>
      <c r="S565" s="7">
        <v>8</v>
      </c>
      <c r="T565" s="5">
        <f t="shared" si="178"/>
        <v>1555</v>
      </c>
      <c r="U565" s="6">
        <f t="shared" si="189"/>
        <v>2535</v>
      </c>
      <c r="V565" s="6">
        <f t="shared" si="190"/>
        <v>2557</v>
      </c>
      <c r="W565" s="6">
        <f t="shared" si="188"/>
        <v>2718</v>
      </c>
      <c r="X565" s="5"/>
      <c r="Y565" s="4"/>
      <c r="Z565" s="4"/>
      <c r="AA565" s="4"/>
      <c r="AB565" s="4"/>
    </row>
    <row r="566" spans="1:28" ht="13.15" customHeight="1">
      <c r="A566" s="11">
        <f t="shared" si="167"/>
        <v>552</v>
      </c>
      <c r="B566" s="10">
        <f t="shared" si="179"/>
        <v>45595</v>
      </c>
      <c r="C566" s="9">
        <f t="shared" si="180"/>
        <v>842</v>
      </c>
      <c r="D566" s="8">
        <f t="shared" si="184"/>
        <v>3272</v>
      </c>
      <c r="E566" s="7">
        <f t="shared" si="172"/>
        <v>1018</v>
      </c>
      <c r="F566" s="7">
        <f t="shared" si="173"/>
        <v>1005</v>
      </c>
      <c r="G566" s="7">
        <f t="shared" si="174"/>
        <v>853</v>
      </c>
      <c r="H566" s="4">
        <f t="shared" si="175"/>
        <v>3096</v>
      </c>
      <c r="I566" s="4">
        <f t="shared" si="176"/>
        <v>3109</v>
      </c>
      <c r="J566" s="4">
        <f t="shared" si="177"/>
        <v>3261</v>
      </c>
      <c r="K566" s="4">
        <f t="shared" si="185"/>
        <v>4000</v>
      </c>
      <c r="L566" s="4">
        <f t="shared" si="186"/>
        <v>4000</v>
      </c>
      <c r="M566" s="4">
        <f t="shared" si="187"/>
        <v>4000</v>
      </c>
      <c r="N566" s="4">
        <f t="shared" si="181"/>
        <v>-904</v>
      </c>
      <c r="O566" s="4">
        <f t="shared" si="182"/>
        <v>-891</v>
      </c>
      <c r="P566" s="4">
        <f t="shared" si="183"/>
        <v>-739</v>
      </c>
      <c r="Q566" s="7">
        <v>9</v>
      </c>
      <c r="R566" s="7">
        <v>8</v>
      </c>
      <c r="S566" s="7">
        <v>7</v>
      </c>
      <c r="T566" s="5">
        <f t="shared" si="178"/>
        <v>1565</v>
      </c>
      <c r="U566" s="6">
        <f t="shared" si="189"/>
        <v>2526</v>
      </c>
      <c r="V566" s="6">
        <f t="shared" si="190"/>
        <v>2549</v>
      </c>
      <c r="W566" s="6">
        <f t="shared" si="188"/>
        <v>2711</v>
      </c>
      <c r="X566" s="5"/>
      <c r="Y566" s="4"/>
      <c r="Z566" s="4"/>
      <c r="AA566" s="4"/>
      <c r="AB566" s="4"/>
    </row>
    <row r="567" spans="1:28" ht="13.15" customHeight="1">
      <c r="A567" s="11">
        <f t="shared" si="167"/>
        <v>553</v>
      </c>
      <c r="B567" s="10">
        <f t="shared" si="179"/>
        <v>45596</v>
      </c>
      <c r="C567" s="9">
        <f t="shared" si="180"/>
        <v>842</v>
      </c>
      <c r="D567" s="8">
        <f t="shared" si="184"/>
        <v>3274</v>
      </c>
      <c r="E567" s="7">
        <f t="shared" si="172"/>
        <v>1028</v>
      </c>
      <c r="F567" s="7">
        <f t="shared" si="173"/>
        <v>1015</v>
      </c>
      <c r="G567" s="7">
        <f t="shared" si="174"/>
        <v>862</v>
      </c>
      <c r="H567" s="4">
        <f t="shared" si="175"/>
        <v>3088</v>
      </c>
      <c r="I567" s="4">
        <f t="shared" si="176"/>
        <v>3101</v>
      </c>
      <c r="J567" s="4">
        <f t="shared" si="177"/>
        <v>3254</v>
      </c>
      <c r="K567" s="4">
        <f t="shared" si="185"/>
        <v>4000</v>
      </c>
      <c r="L567" s="4">
        <f t="shared" si="186"/>
        <v>4000</v>
      </c>
      <c r="M567" s="4">
        <f t="shared" si="187"/>
        <v>4000</v>
      </c>
      <c r="N567" s="4">
        <f t="shared" si="181"/>
        <v>-912</v>
      </c>
      <c r="O567" s="4">
        <f t="shared" si="182"/>
        <v>-899</v>
      </c>
      <c r="P567" s="4">
        <f t="shared" si="183"/>
        <v>-746</v>
      </c>
      <c r="Q567" s="7">
        <v>8</v>
      </c>
      <c r="R567" s="7">
        <v>8</v>
      </c>
      <c r="S567" s="7">
        <v>7</v>
      </c>
      <c r="T567" s="5">
        <f t="shared" si="178"/>
        <v>1575</v>
      </c>
      <c r="U567" s="6">
        <f t="shared" si="189"/>
        <v>2518</v>
      </c>
      <c r="V567" s="6">
        <f t="shared" si="190"/>
        <v>2541</v>
      </c>
      <c r="W567" s="6">
        <f t="shared" si="188"/>
        <v>2704</v>
      </c>
      <c r="X567" s="5"/>
      <c r="Y567" s="4"/>
      <c r="Z567" s="4"/>
      <c r="AA567" s="4"/>
      <c r="AB567" s="4"/>
    </row>
    <row r="568" spans="1:28" ht="13.15" customHeight="1">
      <c r="A568" s="11">
        <f t="shared" si="167"/>
        <v>554</v>
      </c>
      <c r="B568" s="10">
        <f t="shared" si="179"/>
        <v>45597</v>
      </c>
      <c r="C568" s="9">
        <f t="shared" si="180"/>
        <v>842</v>
      </c>
      <c r="D568" s="8">
        <f t="shared" si="184"/>
        <v>3276</v>
      </c>
      <c r="E568" s="7">
        <f t="shared" si="172"/>
        <v>1039</v>
      </c>
      <c r="F568" s="7">
        <f t="shared" si="173"/>
        <v>1026</v>
      </c>
      <c r="G568" s="7">
        <f t="shared" si="174"/>
        <v>871</v>
      </c>
      <c r="H568" s="4">
        <f t="shared" si="175"/>
        <v>3079</v>
      </c>
      <c r="I568" s="4">
        <f t="shared" si="176"/>
        <v>3092</v>
      </c>
      <c r="J568" s="4">
        <f t="shared" si="177"/>
        <v>3247</v>
      </c>
      <c r="K568" s="4">
        <f t="shared" si="185"/>
        <v>4000</v>
      </c>
      <c r="L568" s="4">
        <f t="shared" si="186"/>
        <v>4000</v>
      </c>
      <c r="M568" s="4">
        <f t="shared" si="187"/>
        <v>4000</v>
      </c>
      <c r="N568" s="4">
        <f t="shared" si="181"/>
        <v>-921</v>
      </c>
      <c r="O568" s="4">
        <f t="shared" si="182"/>
        <v>-908</v>
      </c>
      <c r="P568" s="4">
        <f t="shared" si="183"/>
        <v>-753</v>
      </c>
      <c r="Q568" s="7">
        <v>9</v>
      </c>
      <c r="R568" s="7">
        <v>9</v>
      </c>
      <c r="S568" s="7">
        <v>7</v>
      </c>
      <c r="T568" s="5">
        <f t="shared" si="178"/>
        <v>1586</v>
      </c>
      <c r="U568" s="6">
        <f t="shared" si="189"/>
        <v>2509</v>
      </c>
      <c r="V568" s="6">
        <f t="shared" si="190"/>
        <v>2532</v>
      </c>
      <c r="W568" s="6">
        <f t="shared" si="188"/>
        <v>2697</v>
      </c>
      <c r="X568" s="5"/>
      <c r="Y568" s="4"/>
      <c r="Z568" s="4"/>
      <c r="AA568" s="4"/>
      <c r="AB568" s="4"/>
    </row>
    <row r="569" spans="1:28" ht="13.15" customHeight="1">
      <c r="A569" s="11">
        <f t="shared" si="167"/>
        <v>555</v>
      </c>
      <c r="B569" s="10">
        <f t="shared" si="179"/>
        <v>45598</v>
      </c>
      <c r="C569" s="9">
        <f t="shared" si="180"/>
        <v>842</v>
      </c>
      <c r="D569" s="8">
        <f t="shared" si="184"/>
        <v>3278</v>
      </c>
      <c r="E569" s="7">
        <f t="shared" si="172"/>
        <v>1049</v>
      </c>
      <c r="F569" s="7">
        <f t="shared" si="173"/>
        <v>1036</v>
      </c>
      <c r="G569" s="7">
        <f t="shared" si="174"/>
        <v>882</v>
      </c>
      <c r="H569" s="4">
        <f t="shared" si="175"/>
        <v>3071</v>
      </c>
      <c r="I569" s="4">
        <f t="shared" si="176"/>
        <v>3084</v>
      </c>
      <c r="J569" s="4">
        <f t="shared" si="177"/>
        <v>3238</v>
      </c>
      <c r="K569" s="4">
        <f t="shared" si="185"/>
        <v>4000</v>
      </c>
      <c r="L569" s="4">
        <f t="shared" si="186"/>
        <v>4000</v>
      </c>
      <c r="M569" s="4">
        <f t="shared" si="187"/>
        <v>4000</v>
      </c>
      <c r="N569" s="4">
        <f t="shared" si="181"/>
        <v>-929</v>
      </c>
      <c r="O569" s="4">
        <f t="shared" si="182"/>
        <v>-916</v>
      </c>
      <c r="P569" s="4">
        <f t="shared" si="183"/>
        <v>-762</v>
      </c>
      <c r="Q569" s="7">
        <v>8</v>
      </c>
      <c r="R569" s="7">
        <v>8</v>
      </c>
      <c r="S569" s="7">
        <v>9</v>
      </c>
      <c r="T569" s="5">
        <f t="shared" si="178"/>
        <v>1596</v>
      </c>
      <c r="U569" s="6">
        <f t="shared" si="189"/>
        <v>2501</v>
      </c>
      <c r="V569" s="6">
        <f t="shared" si="190"/>
        <v>2524</v>
      </c>
      <c r="W569" s="6">
        <f t="shared" si="188"/>
        <v>2688</v>
      </c>
      <c r="X569" s="5"/>
      <c r="Y569" s="4"/>
      <c r="Z569" s="4"/>
      <c r="AA569" s="4"/>
      <c r="AB569" s="4"/>
    </row>
    <row r="570" spans="1:28" ht="13.15" customHeight="1">
      <c r="A570" s="11">
        <f t="shared" si="167"/>
        <v>556</v>
      </c>
      <c r="B570" s="10">
        <f t="shared" si="179"/>
        <v>45599</v>
      </c>
      <c r="C570" s="9">
        <f t="shared" si="180"/>
        <v>842</v>
      </c>
      <c r="D570" s="8">
        <f t="shared" si="184"/>
        <v>3280</v>
      </c>
      <c r="E570" s="7">
        <f t="shared" si="172"/>
        <v>1060</v>
      </c>
      <c r="F570" s="7">
        <f t="shared" si="173"/>
        <v>1047</v>
      </c>
      <c r="G570" s="7">
        <f t="shared" si="174"/>
        <v>892</v>
      </c>
      <c r="H570" s="4">
        <f t="shared" si="175"/>
        <v>3062</v>
      </c>
      <c r="I570" s="4">
        <f t="shared" si="176"/>
        <v>3075</v>
      </c>
      <c r="J570" s="4">
        <f t="shared" si="177"/>
        <v>3230</v>
      </c>
      <c r="K570" s="4">
        <f t="shared" si="185"/>
        <v>4000</v>
      </c>
      <c r="L570" s="4">
        <f t="shared" si="186"/>
        <v>4000</v>
      </c>
      <c r="M570" s="4">
        <f t="shared" si="187"/>
        <v>4000</v>
      </c>
      <c r="N570" s="4">
        <f t="shared" si="181"/>
        <v>-938</v>
      </c>
      <c r="O570" s="4">
        <f t="shared" si="182"/>
        <v>-925</v>
      </c>
      <c r="P570" s="4">
        <f t="shared" si="183"/>
        <v>-770</v>
      </c>
      <c r="Q570" s="7">
        <v>9</v>
      </c>
      <c r="R570" s="7">
        <v>9</v>
      </c>
      <c r="S570" s="7">
        <v>8</v>
      </c>
      <c r="T570" s="5">
        <f t="shared" si="178"/>
        <v>1607</v>
      </c>
      <c r="U570" s="6">
        <f t="shared" si="189"/>
        <v>2492</v>
      </c>
      <c r="V570" s="6">
        <f t="shared" si="190"/>
        <v>2515</v>
      </c>
      <c r="W570" s="6">
        <f t="shared" si="188"/>
        <v>2680</v>
      </c>
      <c r="X570" s="5"/>
      <c r="Y570" s="4"/>
      <c r="Z570" s="4"/>
      <c r="AA570" s="4"/>
      <c r="AB570" s="4"/>
    </row>
    <row r="571" spans="1:28" ht="13.15" customHeight="1">
      <c r="A571" s="11">
        <f t="shared" ref="A571:A634" si="191">+A570+1</f>
        <v>557</v>
      </c>
      <c r="B571" s="10">
        <f t="shared" si="179"/>
        <v>45600</v>
      </c>
      <c r="C571" s="9">
        <f t="shared" si="180"/>
        <v>842</v>
      </c>
      <c r="D571" s="8">
        <f t="shared" si="184"/>
        <v>3282</v>
      </c>
      <c r="E571" s="7">
        <f t="shared" si="172"/>
        <v>1070</v>
      </c>
      <c r="F571" s="7">
        <f t="shared" si="173"/>
        <v>1057</v>
      </c>
      <c r="G571" s="7">
        <f t="shared" si="174"/>
        <v>901</v>
      </c>
      <c r="H571" s="4">
        <f t="shared" si="175"/>
        <v>3054</v>
      </c>
      <c r="I571" s="4">
        <f t="shared" si="176"/>
        <v>3067</v>
      </c>
      <c r="J571" s="4">
        <f t="shared" si="177"/>
        <v>3223</v>
      </c>
      <c r="K571" s="4">
        <f t="shared" si="185"/>
        <v>4000</v>
      </c>
      <c r="L571" s="4">
        <f t="shared" si="186"/>
        <v>4000</v>
      </c>
      <c r="M571" s="4">
        <f t="shared" si="187"/>
        <v>4000</v>
      </c>
      <c r="N571" s="4">
        <f t="shared" si="181"/>
        <v>-946</v>
      </c>
      <c r="O571" s="4">
        <f t="shared" si="182"/>
        <v>-933</v>
      </c>
      <c r="P571" s="4">
        <f t="shared" si="183"/>
        <v>-777</v>
      </c>
      <c r="Q571" s="7">
        <v>8</v>
      </c>
      <c r="R571" s="7">
        <v>8</v>
      </c>
      <c r="S571" s="7">
        <v>7</v>
      </c>
      <c r="T571" s="5">
        <f t="shared" si="178"/>
        <v>1617</v>
      </c>
      <c r="U571" s="6">
        <f t="shared" si="189"/>
        <v>2484</v>
      </c>
      <c r="V571" s="6">
        <f t="shared" si="190"/>
        <v>2507</v>
      </c>
      <c r="W571" s="6">
        <f t="shared" si="188"/>
        <v>2673</v>
      </c>
      <c r="X571" s="5"/>
      <c r="Y571" s="4"/>
      <c r="Z571" s="4"/>
      <c r="AA571" s="4"/>
      <c r="AB571" s="4"/>
    </row>
    <row r="572" spans="1:28" ht="13.15" customHeight="1">
      <c r="A572" s="11">
        <f t="shared" si="191"/>
        <v>558</v>
      </c>
      <c r="B572" s="10">
        <f t="shared" si="179"/>
        <v>45601</v>
      </c>
      <c r="C572" s="9">
        <f t="shared" si="180"/>
        <v>842</v>
      </c>
      <c r="D572" s="8">
        <f t="shared" si="184"/>
        <v>3284</v>
      </c>
      <c r="E572" s="7">
        <f t="shared" si="172"/>
        <v>1079</v>
      </c>
      <c r="F572" s="7">
        <f t="shared" si="173"/>
        <v>1066</v>
      </c>
      <c r="G572" s="7">
        <f t="shared" si="174"/>
        <v>912</v>
      </c>
      <c r="H572" s="4">
        <f t="shared" si="175"/>
        <v>3047</v>
      </c>
      <c r="I572" s="4">
        <f t="shared" si="176"/>
        <v>3060</v>
      </c>
      <c r="J572" s="4">
        <f t="shared" si="177"/>
        <v>3214</v>
      </c>
      <c r="K572" s="4">
        <f t="shared" si="185"/>
        <v>4000</v>
      </c>
      <c r="L572" s="4">
        <f t="shared" si="186"/>
        <v>4000</v>
      </c>
      <c r="M572" s="4">
        <f t="shared" si="187"/>
        <v>4000</v>
      </c>
      <c r="N572" s="4">
        <f t="shared" si="181"/>
        <v>-953</v>
      </c>
      <c r="O572" s="4">
        <f t="shared" si="182"/>
        <v>-940</v>
      </c>
      <c r="P572" s="4">
        <f t="shared" si="183"/>
        <v>-786</v>
      </c>
      <c r="Q572" s="7">
        <v>7</v>
      </c>
      <c r="R572" s="7">
        <v>7</v>
      </c>
      <c r="S572" s="7">
        <v>9</v>
      </c>
      <c r="T572" s="5">
        <f t="shared" si="178"/>
        <v>1626</v>
      </c>
      <c r="U572" s="6">
        <f t="shared" si="189"/>
        <v>2477</v>
      </c>
      <c r="V572" s="6">
        <f t="shared" si="190"/>
        <v>2500</v>
      </c>
      <c r="W572" s="6">
        <f t="shared" si="188"/>
        <v>2664</v>
      </c>
      <c r="X572" s="5"/>
      <c r="Y572" s="4"/>
      <c r="Z572" s="4"/>
      <c r="AA572" s="4"/>
      <c r="AB572" s="4"/>
    </row>
    <row r="573" spans="1:28" ht="13.15" customHeight="1">
      <c r="A573" s="11">
        <f t="shared" si="191"/>
        <v>559</v>
      </c>
      <c r="B573" s="10">
        <f t="shared" si="179"/>
        <v>45602</v>
      </c>
      <c r="C573" s="9">
        <f t="shared" si="180"/>
        <v>842</v>
      </c>
      <c r="D573" s="8">
        <f t="shared" si="184"/>
        <v>3286</v>
      </c>
      <c r="E573" s="7">
        <f t="shared" si="172"/>
        <v>1086</v>
      </c>
      <c r="F573" s="7">
        <f t="shared" si="173"/>
        <v>1077</v>
      </c>
      <c r="G573" s="7">
        <f t="shared" si="174"/>
        <v>922</v>
      </c>
      <c r="H573" s="4">
        <f t="shared" si="175"/>
        <v>3042</v>
      </c>
      <c r="I573" s="4">
        <f t="shared" si="176"/>
        <v>3051</v>
      </c>
      <c r="J573" s="4">
        <f t="shared" si="177"/>
        <v>3206</v>
      </c>
      <c r="K573" s="4">
        <f t="shared" si="185"/>
        <v>4000</v>
      </c>
      <c r="L573" s="4">
        <f t="shared" si="186"/>
        <v>4000</v>
      </c>
      <c r="M573" s="4">
        <f t="shared" si="187"/>
        <v>4000</v>
      </c>
      <c r="N573" s="4">
        <f t="shared" si="181"/>
        <v>-958</v>
      </c>
      <c r="O573" s="4">
        <f t="shared" si="182"/>
        <v>-949</v>
      </c>
      <c r="P573" s="4">
        <f t="shared" si="183"/>
        <v>-794</v>
      </c>
      <c r="Q573" s="7">
        <v>5</v>
      </c>
      <c r="R573" s="7">
        <v>9</v>
      </c>
      <c r="S573" s="7">
        <v>8</v>
      </c>
      <c r="T573" s="5">
        <f t="shared" si="178"/>
        <v>1637</v>
      </c>
      <c r="U573" s="6">
        <f t="shared" si="189"/>
        <v>2472</v>
      </c>
      <c r="V573" s="6">
        <f t="shared" si="190"/>
        <v>2491</v>
      </c>
      <c r="W573" s="6">
        <f t="shared" si="188"/>
        <v>2656</v>
      </c>
      <c r="X573" s="5"/>
      <c r="Y573" s="4"/>
      <c r="Z573" s="4"/>
      <c r="AA573" s="4"/>
      <c r="AB573" s="4"/>
    </row>
    <row r="574" spans="1:28" ht="13.15" customHeight="1">
      <c r="A574" s="11">
        <f t="shared" si="191"/>
        <v>560</v>
      </c>
      <c r="B574" s="10">
        <f t="shared" si="179"/>
        <v>45603</v>
      </c>
      <c r="C574" s="9">
        <f t="shared" si="180"/>
        <v>842</v>
      </c>
      <c r="D574" s="8">
        <f t="shared" si="184"/>
        <v>3288</v>
      </c>
      <c r="E574" s="7">
        <f t="shared" si="172"/>
        <v>1093</v>
      </c>
      <c r="F574" s="7">
        <f t="shared" si="173"/>
        <v>1087</v>
      </c>
      <c r="G574" s="7">
        <f t="shared" si="174"/>
        <v>931</v>
      </c>
      <c r="H574" s="4">
        <f t="shared" si="175"/>
        <v>3037</v>
      </c>
      <c r="I574" s="4">
        <f t="shared" si="176"/>
        <v>3043</v>
      </c>
      <c r="J574" s="4">
        <f t="shared" si="177"/>
        <v>3199</v>
      </c>
      <c r="K574" s="4">
        <f t="shared" si="185"/>
        <v>4000</v>
      </c>
      <c r="L574" s="4">
        <f t="shared" si="186"/>
        <v>4000</v>
      </c>
      <c r="M574" s="4">
        <f t="shared" si="187"/>
        <v>4000</v>
      </c>
      <c r="N574" s="4">
        <f t="shared" si="181"/>
        <v>-963</v>
      </c>
      <c r="O574" s="4">
        <f t="shared" si="182"/>
        <v>-957</v>
      </c>
      <c r="P574" s="4">
        <f t="shared" si="183"/>
        <v>-801</v>
      </c>
      <c r="Q574" s="7">
        <v>5</v>
      </c>
      <c r="R574" s="7">
        <v>8</v>
      </c>
      <c r="S574" s="7">
        <v>7</v>
      </c>
      <c r="T574" s="5">
        <f t="shared" si="178"/>
        <v>1647</v>
      </c>
      <c r="U574" s="6">
        <f t="shared" si="189"/>
        <v>2467</v>
      </c>
      <c r="V574" s="6">
        <f t="shared" si="190"/>
        <v>2483</v>
      </c>
      <c r="W574" s="6">
        <f t="shared" si="188"/>
        <v>2649</v>
      </c>
      <c r="X574" s="5"/>
      <c r="Y574" s="4"/>
      <c r="Z574" s="4"/>
      <c r="AA574" s="4"/>
      <c r="AB574" s="4"/>
    </row>
    <row r="575" spans="1:28" ht="13.15" customHeight="1">
      <c r="A575" s="11">
        <f t="shared" si="191"/>
        <v>561</v>
      </c>
      <c r="B575" s="10">
        <f t="shared" si="179"/>
        <v>45604</v>
      </c>
      <c r="C575" s="9">
        <f t="shared" si="180"/>
        <v>842</v>
      </c>
      <c r="D575" s="8">
        <f t="shared" si="184"/>
        <v>3290</v>
      </c>
      <c r="E575" s="7">
        <f t="shared" si="172"/>
        <v>1099</v>
      </c>
      <c r="F575" s="7">
        <f t="shared" si="173"/>
        <v>1096</v>
      </c>
      <c r="G575" s="7">
        <f t="shared" si="174"/>
        <v>937</v>
      </c>
      <c r="H575" s="4">
        <f t="shared" si="175"/>
        <v>3033</v>
      </c>
      <c r="I575" s="4">
        <f t="shared" si="176"/>
        <v>3036</v>
      </c>
      <c r="J575" s="4">
        <f t="shared" si="177"/>
        <v>3195</v>
      </c>
      <c r="K575" s="4">
        <f t="shared" si="185"/>
        <v>4000</v>
      </c>
      <c r="L575" s="4">
        <f t="shared" si="186"/>
        <v>4000</v>
      </c>
      <c r="M575" s="4">
        <f t="shared" si="187"/>
        <v>4000</v>
      </c>
      <c r="N575" s="4">
        <f t="shared" si="181"/>
        <v>-967</v>
      </c>
      <c r="O575" s="4">
        <f t="shared" si="182"/>
        <v>-964</v>
      </c>
      <c r="P575" s="4">
        <f t="shared" si="183"/>
        <v>-805</v>
      </c>
      <c r="Q575" s="7">
        <v>4</v>
      </c>
      <c r="R575" s="7">
        <v>7</v>
      </c>
      <c r="S575" s="7">
        <v>4</v>
      </c>
      <c r="T575" s="5">
        <f t="shared" si="178"/>
        <v>1656</v>
      </c>
      <c r="U575" s="6">
        <f t="shared" si="189"/>
        <v>2463</v>
      </c>
      <c r="V575" s="6">
        <f t="shared" si="190"/>
        <v>2476</v>
      </c>
      <c r="W575" s="6">
        <f t="shared" si="188"/>
        <v>2645</v>
      </c>
      <c r="X575" s="5"/>
      <c r="Y575" s="4"/>
      <c r="Z575" s="4"/>
      <c r="AA575" s="4"/>
      <c r="AB575" s="4"/>
    </row>
    <row r="576" spans="1:28" ht="13.15" customHeight="1">
      <c r="A576" s="11">
        <f t="shared" si="191"/>
        <v>562</v>
      </c>
      <c r="B576" s="10">
        <f t="shared" si="179"/>
        <v>45605</v>
      </c>
      <c r="C576" s="9">
        <f t="shared" si="180"/>
        <v>842</v>
      </c>
      <c r="D576" s="8">
        <f t="shared" si="184"/>
        <v>3292</v>
      </c>
      <c r="E576" s="7">
        <f t="shared" si="172"/>
        <v>1104</v>
      </c>
      <c r="F576" s="7">
        <f t="shared" si="173"/>
        <v>1105</v>
      </c>
      <c r="G576" s="7">
        <f t="shared" si="174"/>
        <v>942</v>
      </c>
      <c r="H576" s="4">
        <f t="shared" si="175"/>
        <v>3030</v>
      </c>
      <c r="I576" s="4">
        <f t="shared" si="176"/>
        <v>3029</v>
      </c>
      <c r="J576" s="4">
        <f t="shared" si="177"/>
        <v>3192</v>
      </c>
      <c r="K576" s="4">
        <f t="shared" si="185"/>
        <v>4000</v>
      </c>
      <c r="L576" s="4">
        <f t="shared" si="186"/>
        <v>4000</v>
      </c>
      <c r="M576" s="4">
        <f t="shared" si="187"/>
        <v>4000</v>
      </c>
      <c r="N576" s="4">
        <f t="shared" si="181"/>
        <v>-970</v>
      </c>
      <c r="O576" s="4">
        <f t="shared" si="182"/>
        <v>-971</v>
      </c>
      <c r="P576" s="4">
        <f t="shared" si="183"/>
        <v>-808</v>
      </c>
      <c r="Q576" s="7">
        <v>3</v>
      </c>
      <c r="R576" s="7">
        <v>7</v>
      </c>
      <c r="S576" s="7">
        <v>3</v>
      </c>
      <c r="T576" s="5">
        <f t="shared" si="178"/>
        <v>1665</v>
      </c>
      <c r="U576" s="6">
        <f t="shared" si="189"/>
        <v>2460</v>
      </c>
      <c r="V576" s="6">
        <f t="shared" si="190"/>
        <v>2469</v>
      </c>
      <c r="W576" s="6">
        <f t="shared" si="188"/>
        <v>2642</v>
      </c>
      <c r="X576" s="5"/>
      <c r="Y576" s="4"/>
      <c r="Z576" s="4"/>
      <c r="AA576" s="4"/>
      <c r="AB576" s="4"/>
    </row>
    <row r="577" spans="1:28" ht="13.15" customHeight="1">
      <c r="A577" s="11">
        <f t="shared" si="191"/>
        <v>563</v>
      </c>
      <c r="B577" s="10">
        <f t="shared" si="179"/>
        <v>45606</v>
      </c>
      <c r="C577" s="9">
        <f t="shared" si="180"/>
        <v>842</v>
      </c>
      <c r="D577" s="8">
        <f t="shared" si="184"/>
        <v>3294</v>
      </c>
      <c r="E577" s="7">
        <f t="shared" si="172"/>
        <v>1108</v>
      </c>
      <c r="F577" s="7">
        <f t="shared" si="173"/>
        <v>1113</v>
      </c>
      <c r="G577" s="7">
        <f t="shared" si="174"/>
        <v>946</v>
      </c>
      <c r="H577" s="4">
        <f t="shared" si="175"/>
        <v>3028</v>
      </c>
      <c r="I577" s="4">
        <f t="shared" si="176"/>
        <v>3023</v>
      </c>
      <c r="J577" s="4">
        <f t="shared" si="177"/>
        <v>3190</v>
      </c>
      <c r="K577" s="4">
        <f t="shared" si="185"/>
        <v>4000</v>
      </c>
      <c r="L577" s="4">
        <f t="shared" si="186"/>
        <v>4000</v>
      </c>
      <c r="M577" s="4">
        <f t="shared" si="187"/>
        <v>4000</v>
      </c>
      <c r="N577" s="4">
        <f t="shared" si="181"/>
        <v>-972</v>
      </c>
      <c r="O577" s="4">
        <f t="shared" si="182"/>
        <v>-977</v>
      </c>
      <c r="P577" s="4">
        <f t="shared" si="183"/>
        <v>-810</v>
      </c>
      <c r="Q577" s="7">
        <v>2</v>
      </c>
      <c r="R577" s="7">
        <v>6</v>
      </c>
      <c r="S577" s="7">
        <v>2</v>
      </c>
      <c r="T577" s="5">
        <f t="shared" si="178"/>
        <v>1673</v>
      </c>
      <c r="U577" s="6">
        <f t="shared" si="189"/>
        <v>2458</v>
      </c>
      <c r="V577" s="6">
        <f t="shared" si="190"/>
        <v>2463</v>
      </c>
      <c r="W577" s="6">
        <f t="shared" si="188"/>
        <v>2640</v>
      </c>
      <c r="X577" s="5"/>
      <c r="Y577" s="4"/>
      <c r="Z577" s="4"/>
      <c r="AA577" s="4"/>
      <c r="AB577" s="4"/>
    </row>
    <row r="578" spans="1:28" ht="13.15" customHeight="1">
      <c r="A578" s="11">
        <f t="shared" si="191"/>
        <v>564</v>
      </c>
      <c r="B578" s="10">
        <f t="shared" si="179"/>
        <v>45607</v>
      </c>
      <c r="C578" s="9">
        <f t="shared" si="180"/>
        <v>842</v>
      </c>
      <c r="D578" s="8">
        <f t="shared" ref="D578:D609" si="192">D577+2</f>
        <v>3296</v>
      </c>
      <c r="E578" s="7">
        <f t="shared" si="172"/>
        <v>1114</v>
      </c>
      <c r="F578" s="7">
        <f t="shared" si="173"/>
        <v>1123</v>
      </c>
      <c r="G578" s="7">
        <f t="shared" si="174"/>
        <v>952</v>
      </c>
      <c r="H578" s="4">
        <f t="shared" si="175"/>
        <v>3024</v>
      </c>
      <c r="I578" s="4">
        <f t="shared" si="176"/>
        <v>3015</v>
      </c>
      <c r="J578" s="4">
        <f t="shared" si="177"/>
        <v>3186</v>
      </c>
      <c r="K578" s="4">
        <f t="shared" ref="K578:K609" si="193">K577</f>
        <v>4000</v>
      </c>
      <c r="L578" s="4">
        <f t="shared" ref="L578:L609" si="194">L577</f>
        <v>4000</v>
      </c>
      <c r="M578" s="4">
        <f t="shared" ref="M578:M609" si="195">M577</f>
        <v>4000</v>
      </c>
      <c r="N578" s="4">
        <f t="shared" si="181"/>
        <v>-976</v>
      </c>
      <c r="O578" s="4">
        <f t="shared" si="182"/>
        <v>-985</v>
      </c>
      <c r="P578" s="4">
        <f t="shared" si="183"/>
        <v>-814</v>
      </c>
      <c r="Q578" s="7">
        <v>4</v>
      </c>
      <c r="R578" s="7">
        <v>8</v>
      </c>
      <c r="S578" s="7">
        <v>4</v>
      </c>
      <c r="T578" s="5">
        <f t="shared" si="178"/>
        <v>1683</v>
      </c>
      <c r="U578" s="6">
        <f t="shared" si="189"/>
        <v>2454</v>
      </c>
      <c r="V578" s="6">
        <f t="shared" si="190"/>
        <v>2455</v>
      </c>
      <c r="W578" s="6">
        <f t="shared" si="188"/>
        <v>2636</v>
      </c>
      <c r="X578" s="5"/>
      <c r="Y578" s="4"/>
      <c r="Z578" s="4"/>
      <c r="AA578" s="4"/>
      <c r="AB578" s="4"/>
    </row>
    <row r="579" spans="1:28" ht="13.15" customHeight="1">
      <c r="A579" s="11">
        <f t="shared" si="191"/>
        <v>565</v>
      </c>
      <c r="B579" s="10">
        <f t="shared" si="179"/>
        <v>45608</v>
      </c>
      <c r="C579" s="9">
        <f t="shared" si="180"/>
        <v>842</v>
      </c>
      <c r="D579" s="8">
        <f t="shared" si="192"/>
        <v>3298</v>
      </c>
      <c r="E579" s="7">
        <f t="shared" si="172"/>
        <v>1123</v>
      </c>
      <c r="F579" s="7">
        <f t="shared" si="173"/>
        <v>1132</v>
      </c>
      <c r="G579" s="7">
        <f t="shared" si="174"/>
        <v>961</v>
      </c>
      <c r="H579" s="4">
        <f t="shared" si="175"/>
        <v>3017</v>
      </c>
      <c r="I579" s="4">
        <f t="shared" si="176"/>
        <v>3008</v>
      </c>
      <c r="J579" s="4">
        <f t="shared" si="177"/>
        <v>3179</v>
      </c>
      <c r="K579" s="4">
        <f t="shared" si="193"/>
        <v>4000</v>
      </c>
      <c r="L579" s="4">
        <f t="shared" si="194"/>
        <v>4000</v>
      </c>
      <c r="M579" s="4">
        <f t="shared" si="195"/>
        <v>4000</v>
      </c>
      <c r="N579" s="4">
        <f t="shared" si="181"/>
        <v>-983</v>
      </c>
      <c r="O579" s="4">
        <f t="shared" si="182"/>
        <v>-992</v>
      </c>
      <c r="P579" s="4">
        <f t="shared" si="183"/>
        <v>-821</v>
      </c>
      <c r="Q579" s="7">
        <v>7</v>
      </c>
      <c r="R579" s="7">
        <v>7</v>
      </c>
      <c r="S579" s="7">
        <v>7</v>
      </c>
      <c r="T579" s="5">
        <f t="shared" si="178"/>
        <v>1692</v>
      </c>
      <c r="U579" s="6">
        <f t="shared" si="189"/>
        <v>2447</v>
      </c>
      <c r="V579" s="6">
        <f t="shared" si="190"/>
        <v>2448</v>
      </c>
      <c r="W579" s="6">
        <f t="shared" si="188"/>
        <v>2629</v>
      </c>
      <c r="X579" s="5"/>
      <c r="Y579" s="4"/>
      <c r="Z579" s="4"/>
      <c r="AA579" s="4"/>
      <c r="AB579" s="4"/>
    </row>
    <row r="580" spans="1:28" ht="13.15" customHeight="1">
      <c r="A580" s="11">
        <f t="shared" si="191"/>
        <v>566</v>
      </c>
      <c r="B580" s="10">
        <f t="shared" si="179"/>
        <v>45609</v>
      </c>
      <c r="C580" s="9">
        <f t="shared" si="180"/>
        <v>842</v>
      </c>
      <c r="D580" s="8">
        <f t="shared" si="192"/>
        <v>3300</v>
      </c>
      <c r="E580" s="7">
        <f t="shared" si="172"/>
        <v>1130</v>
      </c>
      <c r="F580" s="7">
        <f t="shared" si="173"/>
        <v>1143</v>
      </c>
      <c r="G580" s="7">
        <f t="shared" si="174"/>
        <v>968</v>
      </c>
      <c r="H580" s="4">
        <f t="shared" si="175"/>
        <v>3012</v>
      </c>
      <c r="I580" s="4">
        <f t="shared" si="176"/>
        <v>2999</v>
      </c>
      <c r="J580" s="4">
        <f t="shared" si="177"/>
        <v>3174</v>
      </c>
      <c r="K580" s="4">
        <f t="shared" si="193"/>
        <v>4000</v>
      </c>
      <c r="L580" s="4">
        <f t="shared" si="194"/>
        <v>4000</v>
      </c>
      <c r="M580" s="4">
        <f t="shared" si="195"/>
        <v>4000</v>
      </c>
      <c r="N580" s="4">
        <f t="shared" si="181"/>
        <v>-988</v>
      </c>
      <c r="O580" s="4">
        <f t="shared" si="182"/>
        <v>-1001</v>
      </c>
      <c r="P580" s="4">
        <f t="shared" si="183"/>
        <v>-826</v>
      </c>
      <c r="Q580" s="7">
        <v>5</v>
      </c>
      <c r="R580" s="7">
        <v>9</v>
      </c>
      <c r="S580" s="7">
        <v>5</v>
      </c>
      <c r="T580" s="5">
        <f t="shared" si="178"/>
        <v>1703</v>
      </c>
      <c r="U580" s="6">
        <f t="shared" si="189"/>
        <v>2442</v>
      </c>
      <c r="V580" s="6">
        <f t="shared" si="190"/>
        <v>2439</v>
      </c>
      <c r="W580" s="6">
        <f t="shared" si="188"/>
        <v>2624</v>
      </c>
      <c r="X580" s="5"/>
      <c r="Y580" s="4"/>
      <c r="Z580" s="4"/>
      <c r="AA580" s="4"/>
      <c r="AB580" s="4"/>
    </row>
    <row r="581" spans="1:28" ht="13.15" customHeight="1">
      <c r="A581" s="11">
        <f t="shared" si="191"/>
        <v>567</v>
      </c>
      <c r="B581" s="10">
        <f t="shared" si="179"/>
        <v>45610</v>
      </c>
      <c r="C581" s="9">
        <f t="shared" si="180"/>
        <v>842</v>
      </c>
      <c r="D581" s="8">
        <f t="shared" si="192"/>
        <v>3302</v>
      </c>
      <c r="E581" s="7">
        <f t="shared" si="172"/>
        <v>1137</v>
      </c>
      <c r="F581" s="7">
        <f t="shared" si="173"/>
        <v>1153</v>
      </c>
      <c r="G581" s="7">
        <f t="shared" si="174"/>
        <v>975</v>
      </c>
      <c r="H581" s="4">
        <f t="shared" si="175"/>
        <v>3007</v>
      </c>
      <c r="I581" s="4">
        <f t="shared" si="176"/>
        <v>2991</v>
      </c>
      <c r="J581" s="4">
        <f t="shared" si="177"/>
        <v>3169</v>
      </c>
      <c r="K581" s="4">
        <f t="shared" si="193"/>
        <v>4000</v>
      </c>
      <c r="L581" s="4">
        <f t="shared" si="194"/>
        <v>4000</v>
      </c>
      <c r="M581" s="4">
        <f t="shared" si="195"/>
        <v>4000</v>
      </c>
      <c r="N581" s="4">
        <f t="shared" si="181"/>
        <v>-993</v>
      </c>
      <c r="O581" s="4">
        <f t="shared" si="182"/>
        <v>-1009</v>
      </c>
      <c r="P581" s="4">
        <f t="shared" si="183"/>
        <v>-831</v>
      </c>
      <c r="Q581" s="7">
        <v>5</v>
      </c>
      <c r="R581" s="7">
        <v>8</v>
      </c>
      <c r="S581" s="7">
        <v>5</v>
      </c>
      <c r="T581" s="5">
        <f t="shared" si="178"/>
        <v>1713</v>
      </c>
      <c r="U581" s="6">
        <f t="shared" si="189"/>
        <v>2437</v>
      </c>
      <c r="V581" s="6">
        <f t="shared" si="190"/>
        <v>2431</v>
      </c>
      <c r="W581" s="6">
        <f t="shared" si="188"/>
        <v>2619</v>
      </c>
      <c r="X581" s="5"/>
      <c r="Y581" s="4"/>
      <c r="Z581" s="4"/>
      <c r="AA581" s="4"/>
      <c r="AB581" s="4"/>
    </row>
    <row r="582" spans="1:28" ht="13.15" customHeight="1">
      <c r="A582" s="11">
        <f t="shared" si="191"/>
        <v>568</v>
      </c>
      <c r="B582" s="10">
        <f t="shared" si="179"/>
        <v>45611</v>
      </c>
      <c r="C582" s="9">
        <f t="shared" si="180"/>
        <v>842</v>
      </c>
      <c r="D582" s="8">
        <f t="shared" si="192"/>
        <v>3304</v>
      </c>
      <c r="E582" s="7">
        <f t="shared" si="172"/>
        <v>1143</v>
      </c>
      <c r="F582" s="7">
        <f t="shared" si="173"/>
        <v>1163</v>
      </c>
      <c r="G582" s="7">
        <f t="shared" si="174"/>
        <v>981</v>
      </c>
      <c r="H582" s="4">
        <f t="shared" si="175"/>
        <v>3003</v>
      </c>
      <c r="I582" s="4">
        <f t="shared" si="176"/>
        <v>2983</v>
      </c>
      <c r="J582" s="4">
        <f t="shared" si="177"/>
        <v>3165</v>
      </c>
      <c r="K582" s="4">
        <f t="shared" si="193"/>
        <v>4000</v>
      </c>
      <c r="L582" s="4">
        <f t="shared" si="194"/>
        <v>4000</v>
      </c>
      <c r="M582" s="4">
        <f t="shared" si="195"/>
        <v>4000</v>
      </c>
      <c r="N582" s="4">
        <f t="shared" si="181"/>
        <v>-997</v>
      </c>
      <c r="O582" s="4">
        <f t="shared" si="182"/>
        <v>-1017</v>
      </c>
      <c r="P582" s="4">
        <f t="shared" si="183"/>
        <v>-835</v>
      </c>
      <c r="Q582" s="7">
        <v>4</v>
      </c>
      <c r="R582" s="7">
        <v>8</v>
      </c>
      <c r="S582" s="7">
        <v>4</v>
      </c>
      <c r="T582" s="5">
        <f t="shared" si="178"/>
        <v>1723</v>
      </c>
      <c r="U582" s="6">
        <f t="shared" si="189"/>
        <v>2433</v>
      </c>
      <c r="V582" s="6">
        <f t="shared" si="190"/>
        <v>2423</v>
      </c>
      <c r="W582" s="6">
        <f t="shared" si="188"/>
        <v>2615</v>
      </c>
      <c r="X582" s="5"/>
      <c r="Y582" s="4"/>
      <c r="Z582" s="4"/>
      <c r="AA582" s="4"/>
      <c r="AB582" s="4"/>
    </row>
    <row r="583" spans="1:28" ht="13.15" customHeight="1">
      <c r="A583" s="11">
        <f t="shared" si="191"/>
        <v>569</v>
      </c>
      <c r="B583" s="10">
        <f t="shared" si="179"/>
        <v>45612</v>
      </c>
      <c r="C583" s="9">
        <f t="shared" si="180"/>
        <v>842</v>
      </c>
      <c r="D583" s="8">
        <f t="shared" si="192"/>
        <v>3306</v>
      </c>
      <c r="E583" s="7">
        <f t="shared" si="172"/>
        <v>1148</v>
      </c>
      <c r="F583" s="7">
        <f t="shared" si="173"/>
        <v>1174</v>
      </c>
      <c r="G583" s="7">
        <f t="shared" si="174"/>
        <v>986</v>
      </c>
      <c r="H583" s="4">
        <f t="shared" si="175"/>
        <v>3000</v>
      </c>
      <c r="I583" s="4">
        <f t="shared" si="176"/>
        <v>2974</v>
      </c>
      <c r="J583" s="4">
        <f t="shared" si="177"/>
        <v>3162</v>
      </c>
      <c r="K583" s="4">
        <f t="shared" si="193"/>
        <v>4000</v>
      </c>
      <c r="L583" s="4">
        <f t="shared" si="194"/>
        <v>4000</v>
      </c>
      <c r="M583" s="4">
        <f t="shared" si="195"/>
        <v>4000</v>
      </c>
      <c r="N583" s="4">
        <f t="shared" si="181"/>
        <v>-1000</v>
      </c>
      <c r="O583" s="4">
        <f t="shared" si="182"/>
        <v>-1026</v>
      </c>
      <c r="P583" s="4">
        <f t="shared" si="183"/>
        <v>-838</v>
      </c>
      <c r="Q583" s="7">
        <v>3</v>
      </c>
      <c r="R583" s="7">
        <v>9</v>
      </c>
      <c r="S583" s="7">
        <v>3</v>
      </c>
      <c r="T583" s="5">
        <f t="shared" si="178"/>
        <v>1734</v>
      </c>
      <c r="U583" s="6">
        <f t="shared" si="189"/>
        <v>2430</v>
      </c>
      <c r="V583" s="6">
        <f t="shared" si="190"/>
        <v>2414</v>
      </c>
      <c r="W583" s="6">
        <f t="shared" si="188"/>
        <v>2612</v>
      </c>
      <c r="X583" s="5"/>
      <c r="Y583" s="4"/>
      <c r="Z583" s="4"/>
      <c r="AA583" s="4"/>
      <c r="AB583" s="4"/>
    </row>
    <row r="584" spans="1:28" ht="13.15" customHeight="1">
      <c r="A584" s="11">
        <f t="shared" si="191"/>
        <v>570</v>
      </c>
      <c r="B584" s="10">
        <f t="shared" si="179"/>
        <v>45613</v>
      </c>
      <c r="C584" s="9">
        <f t="shared" si="180"/>
        <v>842</v>
      </c>
      <c r="D584" s="8">
        <f t="shared" si="192"/>
        <v>3308</v>
      </c>
      <c r="E584" s="7">
        <f t="shared" si="172"/>
        <v>1152</v>
      </c>
      <c r="F584" s="7">
        <f t="shared" si="173"/>
        <v>1184</v>
      </c>
      <c r="G584" s="7">
        <f t="shared" si="174"/>
        <v>990</v>
      </c>
      <c r="H584" s="4">
        <f t="shared" si="175"/>
        <v>2998</v>
      </c>
      <c r="I584" s="4">
        <f t="shared" si="176"/>
        <v>2966</v>
      </c>
      <c r="J584" s="4">
        <f t="shared" si="177"/>
        <v>3160</v>
      </c>
      <c r="K584" s="4">
        <f t="shared" si="193"/>
        <v>4000</v>
      </c>
      <c r="L584" s="4">
        <f t="shared" si="194"/>
        <v>4000</v>
      </c>
      <c r="M584" s="4">
        <f t="shared" si="195"/>
        <v>4000</v>
      </c>
      <c r="N584" s="4">
        <f t="shared" si="181"/>
        <v>-1002</v>
      </c>
      <c r="O584" s="4">
        <f t="shared" si="182"/>
        <v>-1034</v>
      </c>
      <c r="P584" s="4">
        <f t="shared" si="183"/>
        <v>-840</v>
      </c>
      <c r="Q584" s="7">
        <v>2</v>
      </c>
      <c r="R584" s="7">
        <v>8</v>
      </c>
      <c r="S584" s="7">
        <v>2</v>
      </c>
      <c r="T584" s="5">
        <f t="shared" si="178"/>
        <v>1744</v>
      </c>
      <c r="U584" s="6">
        <f t="shared" si="189"/>
        <v>2428</v>
      </c>
      <c r="V584" s="6">
        <f t="shared" si="190"/>
        <v>2406</v>
      </c>
      <c r="W584" s="6">
        <f t="shared" si="188"/>
        <v>2610</v>
      </c>
      <c r="X584" s="5"/>
      <c r="Y584" s="4"/>
      <c r="Z584" s="4"/>
      <c r="AA584" s="4"/>
      <c r="AB584" s="4"/>
    </row>
    <row r="585" spans="1:28" ht="13.15" customHeight="1">
      <c r="A585" s="11">
        <f t="shared" si="191"/>
        <v>571</v>
      </c>
      <c r="B585" s="10">
        <f t="shared" si="179"/>
        <v>45614</v>
      </c>
      <c r="C585" s="9">
        <f t="shared" si="180"/>
        <v>842</v>
      </c>
      <c r="D585" s="8">
        <f t="shared" si="192"/>
        <v>3310</v>
      </c>
      <c r="E585" s="7">
        <f t="shared" si="172"/>
        <v>1158</v>
      </c>
      <c r="F585" s="7">
        <f t="shared" si="173"/>
        <v>1195</v>
      </c>
      <c r="G585" s="7">
        <f t="shared" si="174"/>
        <v>996</v>
      </c>
      <c r="H585" s="4">
        <f t="shared" si="175"/>
        <v>2994</v>
      </c>
      <c r="I585" s="4">
        <f t="shared" si="176"/>
        <v>2957</v>
      </c>
      <c r="J585" s="4">
        <f t="shared" si="177"/>
        <v>3156</v>
      </c>
      <c r="K585" s="4">
        <f t="shared" si="193"/>
        <v>4000</v>
      </c>
      <c r="L585" s="4">
        <f t="shared" si="194"/>
        <v>4000</v>
      </c>
      <c r="M585" s="4">
        <f t="shared" si="195"/>
        <v>4000</v>
      </c>
      <c r="N585" s="4">
        <f t="shared" si="181"/>
        <v>-1006</v>
      </c>
      <c r="O585" s="4">
        <f t="shared" si="182"/>
        <v>-1043</v>
      </c>
      <c r="P585" s="4">
        <f t="shared" si="183"/>
        <v>-844</v>
      </c>
      <c r="Q585" s="7">
        <v>4</v>
      </c>
      <c r="R585" s="7">
        <v>9</v>
      </c>
      <c r="S585" s="7">
        <v>4</v>
      </c>
      <c r="T585" s="5">
        <f t="shared" si="178"/>
        <v>1755</v>
      </c>
      <c r="U585" s="6">
        <f t="shared" si="189"/>
        <v>2424</v>
      </c>
      <c r="V585" s="6">
        <f t="shared" si="190"/>
        <v>2397</v>
      </c>
      <c r="W585" s="6">
        <f t="shared" si="188"/>
        <v>2606</v>
      </c>
      <c r="X585" s="5"/>
      <c r="Y585" s="4"/>
      <c r="Z585" s="4"/>
      <c r="AA585" s="4"/>
      <c r="AB585" s="4"/>
    </row>
    <row r="586" spans="1:28" ht="13.15" customHeight="1">
      <c r="A586" s="11">
        <f t="shared" si="191"/>
        <v>572</v>
      </c>
      <c r="B586" s="10">
        <f t="shared" si="179"/>
        <v>45615</v>
      </c>
      <c r="C586" s="9">
        <f t="shared" si="180"/>
        <v>842</v>
      </c>
      <c r="D586" s="8">
        <f t="shared" si="192"/>
        <v>3312</v>
      </c>
      <c r="E586" s="7">
        <f t="shared" si="172"/>
        <v>1163</v>
      </c>
      <c r="F586" s="7">
        <f t="shared" si="173"/>
        <v>1205</v>
      </c>
      <c r="G586" s="7">
        <f t="shared" si="174"/>
        <v>1001</v>
      </c>
      <c r="H586" s="4">
        <f t="shared" si="175"/>
        <v>2991</v>
      </c>
      <c r="I586" s="4">
        <f t="shared" si="176"/>
        <v>2949</v>
      </c>
      <c r="J586" s="4">
        <f t="shared" si="177"/>
        <v>3153</v>
      </c>
      <c r="K586" s="4">
        <f t="shared" si="193"/>
        <v>4000</v>
      </c>
      <c r="L586" s="4">
        <f t="shared" si="194"/>
        <v>4000</v>
      </c>
      <c r="M586" s="4">
        <f t="shared" si="195"/>
        <v>4000</v>
      </c>
      <c r="N586" s="4">
        <f t="shared" si="181"/>
        <v>-1009</v>
      </c>
      <c r="O586" s="4">
        <f t="shared" si="182"/>
        <v>-1051</v>
      </c>
      <c r="P586" s="4">
        <f t="shared" si="183"/>
        <v>-847</v>
      </c>
      <c r="Q586" s="7">
        <v>3</v>
      </c>
      <c r="R586" s="7">
        <v>8</v>
      </c>
      <c r="S586" s="7">
        <v>3</v>
      </c>
      <c r="T586" s="5">
        <f t="shared" si="178"/>
        <v>1765</v>
      </c>
      <c r="U586" s="6">
        <f t="shared" si="189"/>
        <v>2421</v>
      </c>
      <c r="V586" s="6">
        <f t="shared" si="190"/>
        <v>2389</v>
      </c>
      <c r="W586" s="6">
        <f t="shared" si="188"/>
        <v>2603</v>
      </c>
      <c r="X586" s="5"/>
      <c r="Y586" s="4"/>
      <c r="Z586" s="4"/>
      <c r="AA586" s="4"/>
      <c r="AB586" s="4"/>
    </row>
    <row r="587" spans="1:28" ht="13.15" customHeight="1">
      <c r="A587" s="11">
        <f t="shared" si="191"/>
        <v>573</v>
      </c>
      <c r="B587" s="10">
        <f t="shared" si="179"/>
        <v>45616</v>
      </c>
      <c r="C587" s="9">
        <f t="shared" si="180"/>
        <v>842</v>
      </c>
      <c r="D587" s="8">
        <f t="shared" si="192"/>
        <v>3314</v>
      </c>
      <c r="E587" s="7">
        <f t="shared" si="172"/>
        <v>1167</v>
      </c>
      <c r="F587" s="7">
        <f t="shared" si="173"/>
        <v>1214</v>
      </c>
      <c r="G587" s="7">
        <f t="shared" si="174"/>
        <v>1005</v>
      </c>
      <c r="H587" s="4">
        <f t="shared" si="175"/>
        <v>2989</v>
      </c>
      <c r="I587" s="4">
        <f t="shared" si="176"/>
        <v>2942</v>
      </c>
      <c r="J587" s="4">
        <f t="shared" si="177"/>
        <v>3151</v>
      </c>
      <c r="K587" s="4">
        <f t="shared" si="193"/>
        <v>4000</v>
      </c>
      <c r="L587" s="4">
        <f t="shared" si="194"/>
        <v>4000</v>
      </c>
      <c r="M587" s="4">
        <f t="shared" si="195"/>
        <v>4000</v>
      </c>
      <c r="N587" s="4">
        <f t="shared" si="181"/>
        <v>-1011</v>
      </c>
      <c r="O587" s="4">
        <f t="shared" si="182"/>
        <v>-1058</v>
      </c>
      <c r="P587" s="4">
        <f t="shared" si="183"/>
        <v>-849</v>
      </c>
      <c r="Q587" s="7">
        <v>2</v>
      </c>
      <c r="R587" s="7">
        <v>7</v>
      </c>
      <c r="S587" s="7">
        <v>2</v>
      </c>
      <c r="T587" s="5">
        <f t="shared" si="178"/>
        <v>1774</v>
      </c>
      <c r="U587" s="6">
        <f t="shared" si="189"/>
        <v>2419</v>
      </c>
      <c r="V587" s="6">
        <f t="shared" si="190"/>
        <v>2382</v>
      </c>
      <c r="W587" s="6">
        <f t="shared" si="188"/>
        <v>2601</v>
      </c>
      <c r="X587" s="5"/>
      <c r="Y587" s="4"/>
      <c r="Z587" s="4"/>
      <c r="AA587" s="4"/>
      <c r="AB587" s="4"/>
    </row>
    <row r="588" spans="1:28" ht="13.15" customHeight="1">
      <c r="A588" s="11">
        <f t="shared" si="191"/>
        <v>574</v>
      </c>
      <c r="B588" s="10">
        <f t="shared" si="179"/>
        <v>45617</v>
      </c>
      <c r="C588" s="9">
        <f t="shared" si="180"/>
        <v>842</v>
      </c>
      <c r="D588" s="8">
        <f t="shared" si="192"/>
        <v>3316</v>
      </c>
      <c r="E588" s="7">
        <f t="shared" si="172"/>
        <v>1173</v>
      </c>
      <c r="F588" s="7">
        <f t="shared" si="173"/>
        <v>1225</v>
      </c>
      <c r="G588" s="7">
        <f t="shared" si="174"/>
        <v>1011</v>
      </c>
      <c r="H588" s="4">
        <f t="shared" si="175"/>
        <v>2985</v>
      </c>
      <c r="I588" s="4">
        <f t="shared" si="176"/>
        <v>2933</v>
      </c>
      <c r="J588" s="4">
        <f t="shared" si="177"/>
        <v>3147</v>
      </c>
      <c r="K588" s="4">
        <f t="shared" si="193"/>
        <v>4000</v>
      </c>
      <c r="L588" s="4">
        <f t="shared" si="194"/>
        <v>4000</v>
      </c>
      <c r="M588" s="4">
        <f t="shared" si="195"/>
        <v>4000</v>
      </c>
      <c r="N588" s="4">
        <f t="shared" si="181"/>
        <v>-1015</v>
      </c>
      <c r="O588" s="4">
        <f t="shared" si="182"/>
        <v>-1067</v>
      </c>
      <c r="P588" s="4">
        <f t="shared" si="183"/>
        <v>-853</v>
      </c>
      <c r="Q588" s="7">
        <v>4</v>
      </c>
      <c r="R588" s="7">
        <v>9</v>
      </c>
      <c r="S588" s="7">
        <v>4</v>
      </c>
      <c r="T588" s="5">
        <f t="shared" si="178"/>
        <v>1785</v>
      </c>
      <c r="U588" s="6">
        <f t="shared" si="189"/>
        <v>2415</v>
      </c>
      <c r="V588" s="6">
        <f t="shared" si="190"/>
        <v>2373</v>
      </c>
      <c r="W588" s="6">
        <f t="shared" si="188"/>
        <v>2597</v>
      </c>
      <c r="X588" s="5"/>
      <c r="Y588" s="4"/>
      <c r="Z588" s="4"/>
      <c r="AA588" s="4"/>
      <c r="AB588" s="4"/>
    </row>
    <row r="589" spans="1:28" ht="13.15" customHeight="1">
      <c r="A589" s="11">
        <f t="shared" si="191"/>
        <v>575</v>
      </c>
      <c r="B589" s="10">
        <f t="shared" si="179"/>
        <v>45618</v>
      </c>
      <c r="C589" s="9">
        <f t="shared" si="180"/>
        <v>842</v>
      </c>
      <c r="D589" s="8">
        <f t="shared" si="192"/>
        <v>3318</v>
      </c>
      <c r="E589" s="7">
        <f t="shared" si="172"/>
        <v>1182</v>
      </c>
      <c r="F589" s="7">
        <f t="shared" si="173"/>
        <v>1235</v>
      </c>
      <c r="G589" s="7">
        <f t="shared" si="174"/>
        <v>1020</v>
      </c>
      <c r="H589" s="4">
        <f t="shared" si="175"/>
        <v>2978</v>
      </c>
      <c r="I589" s="4">
        <f t="shared" si="176"/>
        <v>2925</v>
      </c>
      <c r="J589" s="4">
        <f t="shared" si="177"/>
        <v>3140</v>
      </c>
      <c r="K589" s="4">
        <f t="shared" si="193"/>
        <v>4000</v>
      </c>
      <c r="L589" s="4">
        <f t="shared" si="194"/>
        <v>4000</v>
      </c>
      <c r="M589" s="4">
        <f t="shared" si="195"/>
        <v>4000</v>
      </c>
      <c r="N589" s="4">
        <f t="shared" si="181"/>
        <v>-1022</v>
      </c>
      <c r="O589" s="4">
        <f t="shared" si="182"/>
        <v>-1075</v>
      </c>
      <c r="P589" s="4">
        <f t="shared" si="183"/>
        <v>-860</v>
      </c>
      <c r="Q589" s="7">
        <v>7</v>
      </c>
      <c r="R589" s="7">
        <v>8</v>
      </c>
      <c r="S589" s="7">
        <v>7</v>
      </c>
      <c r="T589" s="5">
        <f t="shared" si="178"/>
        <v>1795</v>
      </c>
      <c r="U589" s="6">
        <f t="shared" si="189"/>
        <v>2408</v>
      </c>
      <c r="V589" s="6">
        <f t="shared" si="190"/>
        <v>2365</v>
      </c>
      <c r="W589" s="6">
        <f t="shared" si="188"/>
        <v>2590</v>
      </c>
      <c r="X589" s="5"/>
      <c r="Y589" s="4"/>
      <c r="Z589" s="4"/>
      <c r="AA589" s="4"/>
      <c r="AB589" s="4"/>
    </row>
    <row r="590" spans="1:28" ht="13.15" customHeight="1">
      <c r="A590" s="11">
        <f t="shared" si="191"/>
        <v>576</v>
      </c>
      <c r="B590" s="10">
        <f t="shared" si="179"/>
        <v>45619</v>
      </c>
      <c r="C590" s="9">
        <f t="shared" si="180"/>
        <v>842</v>
      </c>
      <c r="D590" s="8">
        <f t="shared" si="192"/>
        <v>3320</v>
      </c>
      <c r="E590" s="7">
        <f t="shared" ref="E590:E653" si="196">C590+D590-H590</f>
        <v>1189</v>
      </c>
      <c r="F590" s="7">
        <f t="shared" ref="F590:F653" si="197">C590+D590-I590</f>
        <v>1244</v>
      </c>
      <c r="G590" s="7">
        <f t="shared" ref="G590:G653" si="198">D590+C590-J590</f>
        <v>1027</v>
      </c>
      <c r="H590" s="4">
        <f t="shared" ref="H590:H653" si="199">K590+N590</f>
        <v>2973</v>
      </c>
      <c r="I590" s="4">
        <f t="shared" ref="I590:I653" si="200">L590+O590</f>
        <v>2918</v>
      </c>
      <c r="J590" s="4">
        <f t="shared" ref="J590:J653" si="201">M590+P590</f>
        <v>3135</v>
      </c>
      <c r="K590" s="4">
        <f t="shared" si="193"/>
        <v>4000</v>
      </c>
      <c r="L590" s="4">
        <f t="shared" si="194"/>
        <v>4000</v>
      </c>
      <c r="M590" s="4">
        <f t="shared" si="195"/>
        <v>4000</v>
      </c>
      <c r="N590" s="4">
        <f t="shared" si="181"/>
        <v>-1027</v>
      </c>
      <c r="O590" s="4">
        <f t="shared" si="182"/>
        <v>-1082</v>
      </c>
      <c r="P590" s="4">
        <f t="shared" si="183"/>
        <v>-865</v>
      </c>
      <c r="Q590" s="7">
        <v>5</v>
      </c>
      <c r="R590" s="7">
        <v>7</v>
      </c>
      <c r="S590" s="7">
        <v>5</v>
      </c>
      <c r="T590" s="5">
        <f t="shared" ref="T590:T653" si="202">D590+C590-V590</f>
        <v>1804</v>
      </c>
      <c r="U590" s="6">
        <f t="shared" si="189"/>
        <v>2403</v>
      </c>
      <c r="V590" s="6">
        <f t="shared" si="190"/>
        <v>2358</v>
      </c>
      <c r="W590" s="6">
        <f t="shared" si="188"/>
        <v>2585</v>
      </c>
      <c r="X590" s="5"/>
      <c r="Y590" s="4"/>
      <c r="Z590" s="4"/>
      <c r="AA590" s="4"/>
      <c r="AB590" s="4"/>
    </row>
    <row r="591" spans="1:28" ht="13.15" customHeight="1">
      <c r="A591" s="11">
        <f t="shared" si="191"/>
        <v>577</v>
      </c>
      <c r="B591" s="10">
        <f t="shared" ref="B591:B654" si="203">B590+1</f>
        <v>45620</v>
      </c>
      <c r="C591" s="9">
        <f t="shared" ref="C591:C654" si="204">C590</f>
        <v>842</v>
      </c>
      <c r="D591" s="8">
        <f t="shared" si="192"/>
        <v>3322</v>
      </c>
      <c r="E591" s="7">
        <f t="shared" si="196"/>
        <v>1196</v>
      </c>
      <c r="F591" s="7">
        <f t="shared" si="197"/>
        <v>1253</v>
      </c>
      <c r="G591" s="7">
        <f t="shared" si="198"/>
        <v>1034</v>
      </c>
      <c r="H591" s="4">
        <f t="shared" si="199"/>
        <v>2968</v>
      </c>
      <c r="I591" s="4">
        <f t="shared" si="200"/>
        <v>2911</v>
      </c>
      <c r="J591" s="4">
        <f t="shared" si="201"/>
        <v>3130</v>
      </c>
      <c r="K591" s="4">
        <f t="shared" si="193"/>
        <v>4000</v>
      </c>
      <c r="L591" s="4">
        <f t="shared" si="194"/>
        <v>4000</v>
      </c>
      <c r="M591" s="4">
        <f t="shared" si="195"/>
        <v>4000</v>
      </c>
      <c r="N591" s="4">
        <f t="shared" ref="N591:N654" si="205">N590-Q591</f>
        <v>-1032</v>
      </c>
      <c r="O591" s="4">
        <f t="shared" ref="O591:O654" si="206">O590-R591</f>
        <v>-1089</v>
      </c>
      <c r="P591" s="4">
        <f t="shared" ref="P591:P654" si="207">P590-S591</f>
        <v>-870</v>
      </c>
      <c r="Q591" s="7">
        <v>5</v>
      </c>
      <c r="R591" s="7">
        <v>7</v>
      </c>
      <c r="S591" s="7">
        <v>5</v>
      </c>
      <c r="T591" s="5">
        <f t="shared" si="202"/>
        <v>1813</v>
      </c>
      <c r="U591" s="6">
        <f t="shared" si="189"/>
        <v>2398</v>
      </c>
      <c r="V591" s="6">
        <f t="shared" si="190"/>
        <v>2351</v>
      </c>
      <c r="W591" s="6">
        <f t="shared" si="188"/>
        <v>2580</v>
      </c>
      <c r="X591" s="5"/>
      <c r="Y591" s="4"/>
      <c r="Z591" s="4"/>
      <c r="AA591" s="4"/>
      <c r="AB591" s="4"/>
    </row>
    <row r="592" spans="1:28" ht="13.15" customHeight="1">
      <c r="A592" s="11">
        <f t="shared" si="191"/>
        <v>578</v>
      </c>
      <c r="B592" s="10">
        <f t="shared" si="203"/>
        <v>45621</v>
      </c>
      <c r="C592" s="9">
        <f t="shared" si="204"/>
        <v>842</v>
      </c>
      <c r="D592" s="8">
        <f t="shared" si="192"/>
        <v>3324</v>
      </c>
      <c r="E592" s="7">
        <f t="shared" si="196"/>
        <v>1202</v>
      </c>
      <c r="F592" s="7">
        <f t="shared" si="197"/>
        <v>1261</v>
      </c>
      <c r="G592" s="7">
        <f t="shared" si="198"/>
        <v>1040</v>
      </c>
      <c r="H592" s="4">
        <f t="shared" si="199"/>
        <v>2964</v>
      </c>
      <c r="I592" s="4">
        <f t="shared" si="200"/>
        <v>2905</v>
      </c>
      <c r="J592" s="4">
        <f t="shared" si="201"/>
        <v>3126</v>
      </c>
      <c r="K592" s="4">
        <f t="shared" si="193"/>
        <v>4000</v>
      </c>
      <c r="L592" s="4">
        <f t="shared" si="194"/>
        <v>4000</v>
      </c>
      <c r="M592" s="4">
        <f t="shared" si="195"/>
        <v>4000</v>
      </c>
      <c r="N592" s="4">
        <f t="shared" si="205"/>
        <v>-1036</v>
      </c>
      <c r="O592" s="4">
        <f t="shared" si="206"/>
        <v>-1095</v>
      </c>
      <c r="P592" s="4">
        <f t="shared" si="207"/>
        <v>-874</v>
      </c>
      <c r="Q592" s="7">
        <v>4</v>
      </c>
      <c r="R592" s="7">
        <v>6</v>
      </c>
      <c r="S592" s="7">
        <v>4</v>
      </c>
      <c r="T592" s="5">
        <f t="shared" si="202"/>
        <v>1821</v>
      </c>
      <c r="U592" s="6">
        <f t="shared" si="189"/>
        <v>2394</v>
      </c>
      <c r="V592" s="6">
        <f t="shared" si="190"/>
        <v>2345</v>
      </c>
      <c r="W592" s="6">
        <f t="shared" si="188"/>
        <v>2576</v>
      </c>
      <c r="X592" s="5"/>
      <c r="Y592" s="4"/>
      <c r="Z592" s="4"/>
      <c r="AA592" s="4"/>
      <c r="AB592" s="4"/>
    </row>
    <row r="593" spans="1:28" ht="13.15" customHeight="1">
      <c r="A593" s="11">
        <f t="shared" si="191"/>
        <v>579</v>
      </c>
      <c r="B593" s="10">
        <f t="shared" si="203"/>
        <v>45622</v>
      </c>
      <c r="C593" s="9">
        <f t="shared" si="204"/>
        <v>842</v>
      </c>
      <c r="D593" s="8">
        <f t="shared" si="192"/>
        <v>3326</v>
      </c>
      <c r="E593" s="7">
        <f t="shared" si="196"/>
        <v>1207</v>
      </c>
      <c r="F593" s="7">
        <f t="shared" si="197"/>
        <v>1266</v>
      </c>
      <c r="G593" s="7">
        <f t="shared" si="198"/>
        <v>1045</v>
      </c>
      <c r="H593" s="4">
        <f t="shared" si="199"/>
        <v>2961</v>
      </c>
      <c r="I593" s="4">
        <f t="shared" si="200"/>
        <v>2902</v>
      </c>
      <c r="J593" s="4">
        <f t="shared" si="201"/>
        <v>3123</v>
      </c>
      <c r="K593" s="4">
        <f t="shared" si="193"/>
        <v>4000</v>
      </c>
      <c r="L593" s="4">
        <f t="shared" si="194"/>
        <v>4000</v>
      </c>
      <c r="M593" s="4">
        <f t="shared" si="195"/>
        <v>4000</v>
      </c>
      <c r="N593" s="4">
        <f t="shared" si="205"/>
        <v>-1039</v>
      </c>
      <c r="O593" s="4">
        <f t="shared" si="206"/>
        <v>-1098</v>
      </c>
      <c r="P593" s="4">
        <f t="shared" si="207"/>
        <v>-877</v>
      </c>
      <c r="Q593" s="7">
        <v>3</v>
      </c>
      <c r="R593" s="7">
        <v>3</v>
      </c>
      <c r="S593" s="7">
        <v>3</v>
      </c>
      <c r="T593" s="5">
        <f t="shared" si="202"/>
        <v>1826</v>
      </c>
      <c r="U593" s="6">
        <f t="shared" si="189"/>
        <v>2391</v>
      </c>
      <c r="V593" s="6">
        <f t="shared" si="190"/>
        <v>2342</v>
      </c>
      <c r="W593" s="6">
        <f t="shared" si="188"/>
        <v>2573</v>
      </c>
      <c r="X593" s="5"/>
      <c r="Y593" s="4"/>
      <c r="Z593" s="4"/>
      <c r="AA593" s="4"/>
      <c r="AB593" s="4"/>
    </row>
    <row r="594" spans="1:28" ht="13.15" customHeight="1">
      <c r="A594" s="11">
        <f t="shared" si="191"/>
        <v>580</v>
      </c>
      <c r="B594" s="10">
        <f t="shared" si="203"/>
        <v>45623</v>
      </c>
      <c r="C594" s="9">
        <f t="shared" si="204"/>
        <v>842</v>
      </c>
      <c r="D594" s="8">
        <f t="shared" si="192"/>
        <v>3328</v>
      </c>
      <c r="E594" s="7">
        <f t="shared" si="196"/>
        <v>1211</v>
      </c>
      <c r="F594" s="7">
        <f t="shared" si="197"/>
        <v>1270</v>
      </c>
      <c r="G594" s="7">
        <f t="shared" si="198"/>
        <v>1049</v>
      </c>
      <c r="H594" s="4">
        <f t="shared" si="199"/>
        <v>2959</v>
      </c>
      <c r="I594" s="4">
        <f t="shared" si="200"/>
        <v>2900</v>
      </c>
      <c r="J594" s="4">
        <f t="shared" si="201"/>
        <v>3121</v>
      </c>
      <c r="K594" s="4">
        <f t="shared" si="193"/>
        <v>4000</v>
      </c>
      <c r="L594" s="4">
        <f t="shared" si="194"/>
        <v>4000</v>
      </c>
      <c r="M594" s="4">
        <f t="shared" si="195"/>
        <v>4000</v>
      </c>
      <c r="N594" s="4">
        <f t="shared" si="205"/>
        <v>-1041</v>
      </c>
      <c r="O594" s="4">
        <f t="shared" si="206"/>
        <v>-1100</v>
      </c>
      <c r="P594" s="4">
        <f t="shared" si="207"/>
        <v>-879</v>
      </c>
      <c r="Q594" s="7">
        <v>2</v>
      </c>
      <c r="R594" s="7">
        <v>2</v>
      </c>
      <c r="S594" s="7">
        <v>2</v>
      </c>
      <c r="T594" s="5">
        <f t="shared" si="202"/>
        <v>1830</v>
      </c>
      <c r="U594" s="6">
        <f t="shared" si="189"/>
        <v>2389</v>
      </c>
      <c r="V594" s="6">
        <f t="shared" si="190"/>
        <v>2340</v>
      </c>
      <c r="W594" s="6">
        <f t="shared" si="188"/>
        <v>2571</v>
      </c>
      <c r="X594" s="5"/>
      <c r="Y594" s="4"/>
      <c r="Z594" s="4"/>
      <c r="AA594" s="4"/>
      <c r="AB594" s="4"/>
    </row>
    <row r="595" spans="1:28" ht="13.15" customHeight="1">
      <c r="A595" s="11">
        <f t="shared" si="191"/>
        <v>581</v>
      </c>
      <c r="B595" s="10">
        <f t="shared" si="203"/>
        <v>45624</v>
      </c>
      <c r="C595" s="9">
        <f t="shared" si="204"/>
        <v>842</v>
      </c>
      <c r="D595" s="8">
        <f t="shared" si="192"/>
        <v>3330</v>
      </c>
      <c r="E595" s="7">
        <f t="shared" si="196"/>
        <v>1217</v>
      </c>
      <c r="F595" s="7">
        <f t="shared" si="197"/>
        <v>1276</v>
      </c>
      <c r="G595" s="7">
        <f t="shared" si="198"/>
        <v>1055</v>
      </c>
      <c r="H595" s="4">
        <f t="shared" si="199"/>
        <v>2955</v>
      </c>
      <c r="I595" s="4">
        <f t="shared" si="200"/>
        <v>2896</v>
      </c>
      <c r="J595" s="4">
        <f t="shared" si="201"/>
        <v>3117</v>
      </c>
      <c r="K595" s="4">
        <f t="shared" si="193"/>
        <v>4000</v>
      </c>
      <c r="L595" s="4">
        <f t="shared" si="194"/>
        <v>4000</v>
      </c>
      <c r="M595" s="4">
        <f t="shared" si="195"/>
        <v>4000</v>
      </c>
      <c r="N595" s="4">
        <f t="shared" si="205"/>
        <v>-1045</v>
      </c>
      <c r="O595" s="4">
        <f t="shared" si="206"/>
        <v>-1104</v>
      </c>
      <c r="P595" s="4">
        <f t="shared" si="207"/>
        <v>-883</v>
      </c>
      <c r="Q595" s="7">
        <v>4</v>
      </c>
      <c r="R595" s="7">
        <v>4</v>
      </c>
      <c r="S595" s="7">
        <v>4</v>
      </c>
      <c r="T595" s="5">
        <f t="shared" si="202"/>
        <v>1836</v>
      </c>
      <c r="U595" s="6">
        <f t="shared" si="189"/>
        <v>2385</v>
      </c>
      <c r="V595" s="6">
        <f t="shared" si="190"/>
        <v>2336</v>
      </c>
      <c r="W595" s="6">
        <f t="shared" si="188"/>
        <v>2567</v>
      </c>
      <c r="X595" s="5"/>
      <c r="Y595" s="4"/>
      <c r="Z595" s="4"/>
      <c r="AA595" s="4"/>
      <c r="AB595" s="4"/>
    </row>
    <row r="596" spans="1:28" ht="13.15" customHeight="1">
      <c r="A596" s="11">
        <f t="shared" si="191"/>
        <v>582</v>
      </c>
      <c r="B596" s="10">
        <f t="shared" si="203"/>
        <v>45625</v>
      </c>
      <c r="C596" s="9">
        <f t="shared" si="204"/>
        <v>842</v>
      </c>
      <c r="D596" s="8">
        <f t="shared" si="192"/>
        <v>3332</v>
      </c>
      <c r="E596" s="7">
        <f t="shared" si="196"/>
        <v>1222</v>
      </c>
      <c r="F596" s="7">
        <f t="shared" si="197"/>
        <v>1281</v>
      </c>
      <c r="G596" s="7">
        <f t="shared" si="198"/>
        <v>1060</v>
      </c>
      <c r="H596" s="4">
        <f t="shared" si="199"/>
        <v>2952</v>
      </c>
      <c r="I596" s="4">
        <f t="shared" si="200"/>
        <v>2893</v>
      </c>
      <c r="J596" s="4">
        <f t="shared" si="201"/>
        <v>3114</v>
      </c>
      <c r="K596" s="4">
        <f t="shared" si="193"/>
        <v>4000</v>
      </c>
      <c r="L596" s="4">
        <f t="shared" si="194"/>
        <v>4000</v>
      </c>
      <c r="M596" s="4">
        <f t="shared" si="195"/>
        <v>4000</v>
      </c>
      <c r="N596" s="4">
        <f t="shared" si="205"/>
        <v>-1048</v>
      </c>
      <c r="O596" s="4">
        <f t="shared" si="206"/>
        <v>-1107</v>
      </c>
      <c r="P596" s="4">
        <f t="shared" si="207"/>
        <v>-886</v>
      </c>
      <c r="Q596" s="7">
        <v>3</v>
      </c>
      <c r="R596" s="7">
        <v>3</v>
      </c>
      <c r="S596" s="7">
        <v>3</v>
      </c>
      <c r="T596" s="5">
        <f t="shared" si="202"/>
        <v>1841</v>
      </c>
      <c r="U596" s="6">
        <f t="shared" si="189"/>
        <v>2382</v>
      </c>
      <c r="V596" s="6">
        <f t="shared" si="190"/>
        <v>2333</v>
      </c>
      <c r="W596" s="6">
        <f t="shared" si="188"/>
        <v>2564</v>
      </c>
      <c r="X596" s="5"/>
      <c r="Y596" s="4"/>
      <c r="Z596" s="4"/>
      <c r="AA596" s="4"/>
      <c r="AB596" s="4"/>
    </row>
    <row r="597" spans="1:28" ht="13.15" customHeight="1">
      <c r="A597" s="11">
        <f t="shared" si="191"/>
        <v>583</v>
      </c>
      <c r="B597" s="10">
        <f t="shared" si="203"/>
        <v>45626</v>
      </c>
      <c r="C597" s="9">
        <f t="shared" si="204"/>
        <v>842</v>
      </c>
      <c r="D597" s="8">
        <f t="shared" si="192"/>
        <v>3334</v>
      </c>
      <c r="E597" s="7">
        <f t="shared" si="196"/>
        <v>1228</v>
      </c>
      <c r="F597" s="7">
        <f t="shared" si="197"/>
        <v>1287</v>
      </c>
      <c r="G597" s="7">
        <f t="shared" si="198"/>
        <v>1066</v>
      </c>
      <c r="H597" s="4">
        <f t="shared" si="199"/>
        <v>2948</v>
      </c>
      <c r="I597" s="4">
        <f t="shared" si="200"/>
        <v>2889</v>
      </c>
      <c r="J597" s="4">
        <f t="shared" si="201"/>
        <v>3110</v>
      </c>
      <c r="K597" s="4">
        <f t="shared" si="193"/>
        <v>4000</v>
      </c>
      <c r="L597" s="4">
        <f t="shared" si="194"/>
        <v>4000</v>
      </c>
      <c r="M597" s="4">
        <f t="shared" si="195"/>
        <v>4000</v>
      </c>
      <c r="N597" s="4">
        <f t="shared" si="205"/>
        <v>-1052</v>
      </c>
      <c r="O597" s="4">
        <f t="shared" si="206"/>
        <v>-1111</v>
      </c>
      <c r="P597" s="4">
        <f t="shared" si="207"/>
        <v>-890</v>
      </c>
      <c r="Q597" s="7">
        <v>4</v>
      </c>
      <c r="R597" s="7">
        <v>4</v>
      </c>
      <c r="S597" s="7">
        <v>4</v>
      </c>
      <c r="T597" s="5">
        <f t="shared" si="202"/>
        <v>1847</v>
      </c>
      <c r="U597" s="6">
        <f t="shared" si="189"/>
        <v>2378</v>
      </c>
      <c r="V597" s="6">
        <f t="shared" si="190"/>
        <v>2329</v>
      </c>
      <c r="W597" s="6">
        <f t="shared" si="188"/>
        <v>2560</v>
      </c>
      <c r="X597" s="5"/>
      <c r="Y597" s="4"/>
      <c r="Z597" s="4"/>
      <c r="AA597" s="4"/>
      <c r="AB597" s="4"/>
    </row>
    <row r="598" spans="1:28" ht="13.15" customHeight="1">
      <c r="A598" s="11">
        <f t="shared" si="191"/>
        <v>584</v>
      </c>
      <c r="B598" s="10">
        <f t="shared" si="203"/>
        <v>45627</v>
      </c>
      <c r="C598" s="9">
        <f t="shared" si="204"/>
        <v>842</v>
      </c>
      <c r="D598" s="8">
        <f t="shared" si="192"/>
        <v>3336</v>
      </c>
      <c r="E598" s="7">
        <f t="shared" si="196"/>
        <v>1237</v>
      </c>
      <c r="F598" s="7">
        <f t="shared" si="197"/>
        <v>1292</v>
      </c>
      <c r="G598" s="7">
        <f t="shared" si="198"/>
        <v>1075</v>
      </c>
      <c r="H598" s="4">
        <f t="shared" si="199"/>
        <v>2941</v>
      </c>
      <c r="I598" s="4">
        <f t="shared" si="200"/>
        <v>2886</v>
      </c>
      <c r="J598" s="4">
        <f t="shared" si="201"/>
        <v>3103</v>
      </c>
      <c r="K598" s="4">
        <f t="shared" si="193"/>
        <v>4000</v>
      </c>
      <c r="L598" s="4">
        <f t="shared" si="194"/>
        <v>4000</v>
      </c>
      <c r="M598" s="4">
        <f t="shared" si="195"/>
        <v>4000</v>
      </c>
      <c r="N598" s="4">
        <f t="shared" si="205"/>
        <v>-1059</v>
      </c>
      <c r="O598" s="4">
        <f t="shared" si="206"/>
        <v>-1114</v>
      </c>
      <c r="P598" s="4">
        <f t="shared" si="207"/>
        <v>-897</v>
      </c>
      <c r="Q598" s="7">
        <v>7</v>
      </c>
      <c r="R598" s="7">
        <v>3</v>
      </c>
      <c r="S598" s="7">
        <v>7</v>
      </c>
      <c r="T598" s="5">
        <f t="shared" si="202"/>
        <v>1852</v>
      </c>
      <c r="U598" s="6">
        <f t="shared" si="189"/>
        <v>2371</v>
      </c>
      <c r="V598" s="6">
        <f t="shared" si="190"/>
        <v>2326</v>
      </c>
      <c r="W598" s="6">
        <f t="shared" si="188"/>
        <v>2553</v>
      </c>
      <c r="X598" s="5"/>
      <c r="Y598" s="4"/>
      <c r="Z598" s="4"/>
      <c r="AA598" s="4"/>
      <c r="AB598" s="4"/>
    </row>
    <row r="599" spans="1:28" ht="13.15" customHeight="1">
      <c r="A599" s="11">
        <f t="shared" si="191"/>
        <v>585</v>
      </c>
      <c r="B599" s="10">
        <f t="shared" si="203"/>
        <v>45628</v>
      </c>
      <c r="C599" s="9">
        <f t="shared" si="204"/>
        <v>842</v>
      </c>
      <c r="D599" s="8">
        <f t="shared" si="192"/>
        <v>3338</v>
      </c>
      <c r="E599" s="7">
        <f t="shared" si="196"/>
        <v>1244</v>
      </c>
      <c r="F599" s="7">
        <f t="shared" si="197"/>
        <v>1296</v>
      </c>
      <c r="G599" s="7">
        <f t="shared" si="198"/>
        <v>1082</v>
      </c>
      <c r="H599" s="4">
        <f t="shared" si="199"/>
        <v>2936</v>
      </c>
      <c r="I599" s="4">
        <f t="shared" si="200"/>
        <v>2884</v>
      </c>
      <c r="J599" s="4">
        <f t="shared" si="201"/>
        <v>3098</v>
      </c>
      <c r="K599" s="4">
        <f t="shared" si="193"/>
        <v>4000</v>
      </c>
      <c r="L599" s="4">
        <f t="shared" si="194"/>
        <v>4000</v>
      </c>
      <c r="M599" s="4">
        <f t="shared" si="195"/>
        <v>4000</v>
      </c>
      <c r="N599" s="4">
        <f t="shared" si="205"/>
        <v>-1064</v>
      </c>
      <c r="O599" s="4">
        <f t="shared" si="206"/>
        <v>-1116</v>
      </c>
      <c r="P599" s="4">
        <f t="shared" si="207"/>
        <v>-902</v>
      </c>
      <c r="Q599" s="7">
        <v>5</v>
      </c>
      <c r="R599" s="7">
        <v>2</v>
      </c>
      <c r="S599" s="7">
        <v>5</v>
      </c>
      <c r="T599" s="5">
        <f t="shared" si="202"/>
        <v>1856</v>
      </c>
      <c r="U599" s="6">
        <f t="shared" si="189"/>
        <v>2366</v>
      </c>
      <c r="V599" s="6">
        <f t="shared" si="190"/>
        <v>2324</v>
      </c>
      <c r="W599" s="6">
        <f t="shared" si="188"/>
        <v>2548</v>
      </c>
      <c r="X599" s="5"/>
      <c r="Y599" s="4"/>
      <c r="Z599" s="4"/>
      <c r="AA599" s="4"/>
      <c r="AB599" s="4"/>
    </row>
    <row r="600" spans="1:28" ht="13.15" customHeight="1">
      <c r="A600" s="11">
        <f t="shared" si="191"/>
        <v>586</v>
      </c>
      <c r="B600" s="10">
        <f t="shared" si="203"/>
        <v>45629</v>
      </c>
      <c r="C600" s="9">
        <f t="shared" si="204"/>
        <v>842</v>
      </c>
      <c r="D600" s="8">
        <f t="shared" si="192"/>
        <v>3340</v>
      </c>
      <c r="E600" s="7">
        <f t="shared" si="196"/>
        <v>1251</v>
      </c>
      <c r="F600" s="7">
        <f t="shared" si="197"/>
        <v>1302</v>
      </c>
      <c r="G600" s="7">
        <f t="shared" si="198"/>
        <v>1089</v>
      </c>
      <c r="H600" s="4">
        <f t="shared" si="199"/>
        <v>2931</v>
      </c>
      <c r="I600" s="4">
        <f t="shared" si="200"/>
        <v>2880</v>
      </c>
      <c r="J600" s="4">
        <f t="shared" si="201"/>
        <v>3093</v>
      </c>
      <c r="K600" s="4">
        <f t="shared" si="193"/>
        <v>4000</v>
      </c>
      <c r="L600" s="4">
        <f t="shared" si="194"/>
        <v>4000</v>
      </c>
      <c r="M600" s="4">
        <f t="shared" si="195"/>
        <v>4000</v>
      </c>
      <c r="N600" s="4">
        <f t="shared" si="205"/>
        <v>-1069</v>
      </c>
      <c r="O600" s="4">
        <f t="shared" si="206"/>
        <v>-1120</v>
      </c>
      <c r="P600" s="4">
        <f t="shared" si="207"/>
        <v>-907</v>
      </c>
      <c r="Q600" s="7">
        <v>5</v>
      </c>
      <c r="R600" s="7">
        <v>4</v>
      </c>
      <c r="S600" s="7">
        <v>5</v>
      </c>
      <c r="T600" s="5">
        <f t="shared" si="202"/>
        <v>1862</v>
      </c>
      <c r="U600" s="6">
        <f t="shared" si="189"/>
        <v>2361</v>
      </c>
      <c r="V600" s="6">
        <f t="shared" si="190"/>
        <v>2320</v>
      </c>
      <c r="W600" s="6">
        <f t="shared" si="188"/>
        <v>2543</v>
      </c>
      <c r="X600" s="5"/>
      <c r="Y600" s="4"/>
      <c r="Z600" s="4"/>
      <c r="AA600" s="4"/>
      <c r="AB600" s="4"/>
    </row>
    <row r="601" spans="1:28" ht="13.15" customHeight="1">
      <c r="A601" s="11">
        <f t="shared" si="191"/>
        <v>587</v>
      </c>
      <c r="B601" s="10">
        <f t="shared" si="203"/>
        <v>45630</v>
      </c>
      <c r="C601" s="9">
        <f t="shared" si="204"/>
        <v>842</v>
      </c>
      <c r="D601" s="8">
        <f t="shared" si="192"/>
        <v>3342</v>
      </c>
      <c r="E601" s="7">
        <f t="shared" si="196"/>
        <v>1257</v>
      </c>
      <c r="F601" s="7">
        <f t="shared" si="197"/>
        <v>1311</v>
      </c>
      <c r="G601" s="7">
        <f t="shared" si="198"/>
        <v>1095</v>
      </c>
      <c r="H601" s="4">
        <f t="shared" si="199"/>
        <v>2927</v>
      </c>
      <c r="I601" s="4">
        <f t="shared" si="200"/>
        <v>2873</v>
      </c>
      <c r="J601" s="4">
        <f t="shared" si="201"/>
        <v>3089</v>
      </c>
      <c r="K601" s="4">
        <f t="shared" si="193"/>
        <v>4000</v>
      </c>
      <c r="L601" s="4">
        <f t="shared" si="194"/>
        <v>4000</v>
      </c>
      <c r="M601" s="4">
        <f t="shared" si="195"/>
        <v>4000</v>
      </c>
      <c r="N601" s="4">
        <f t="shared" si="205"/>
        <v>-1073</v>
      </c>
      <c r="O601" s="4">
        <f t="shared" si="206"/>
        <v>-1127</v>
      </c>
      <c r="P601" s="4">
        <f t="shared" si="207"/>
        <v>-911</v>
      </c>
      <c r="Q601" s="7">
        <v>4</v>
      </c>
      <c r="R601" s="7">
        <v>7</v>
      </c>
      <c r="S601" s="7">
        <v>4</v>
      </c>
      <c r="T601" s="5">
        <f t="shared" si="202"/>
        <v>1871</v>
      </c>
      <c r="U601" s="6">
        <f t="shared" si="189"/>
        <v>2357</v>
      </c>
      <c r="V601" s="6">
        <f t="shared" si="190"/>
        <v>2313</v>
      </c>
      <c r="W601" s="6">
        <f t="shared" si="188"/>
        <v>2539</v>
      </c>
      <c r="X601" s="5"/>
      <c r="Y601" s="4"/>
      <c r="Z601" s="4"/>
      <c r="AA601" s="4"/>
      <c r="AB601" s="4"/>
    </row>
    <row r="602" spans="1:28" ht="13.15" customHeight="1">
      <c r="A602" s="11">
        <f t="shared" si="191"/>
        <v>588</v>
      </c>
      <c r="B602" s="10">
        <f t="shared" si="203"/>
        <v>45631</v>
      </c>
      <c r="C602" s="9">
        <f t="shared" si="204"/>
        <v>842</v>
      </c>
      <c r="D602" s="8">
        <f t="shared" si="192"/>
        <v>3344</v>
      </c>
      <c r="E602" s="7">
        <f t="shared" si="196"/>
        <v>1262</v>
      </c>
      <c r="F602" s="7">
        <f t="shared" si="197"/>
        <v>1318</v>
      </c>
      <c r="G602" s="7">
        <f t="shared" si="198"/>
        <v>1100</v>
      </c>
      <c r="H602" s="4">
        <f t="shared" si="199"/>
        <v>2924</v>
      </c>
      <c r="I602" s="4">
        <f t="shared" si="200"/>
        <v>2868</v>
      </c>
      <c r="J602" s="4">
        <f t="shared" si="201"/>
        <v>3086</v>
      </c>
      <c r="K602" s="4">
        <f t="shared" si="193"/>
        <v>4000</v>
      </c>
      <c r="L602" s="4">
        <f t="shared" si="194"/>
        <v>4000</v>
      </c>
      <c r="M602" s="4">
        <f t="shared" si="195"/>
        <v>4000</v>
      </c>
      <c r="N602" s="4">
        <f t="shared" si="205"/>
        <v>-1076</v>
      </c>
      <c r="O602" s="4">
        <f t="shared" si="206"/>
        <v>-1132</v>
      </c>
      <c r="P602" s="4">
        <f t="shared" si="207"/>
        <v>-914</v>
      </c>
      <c r="Q602" s="7">
        <v>3</v>
      </c>
      <c r="R602" s="7">
        <v>5</v>
      </c>
      <c r="S602" s="7">
        <v>3</v>
      </c>
      <c r="T602" s="5">
        <f t="shared" si="202"/>
        <v>1878</v>
      </c>
      <c r="U602" s="6">
        <f t="shared" si="189"/>
        <v>2354</v>
      </c>
      <c r="V602" s="6">
        <f t="shared" si="190"/>
        <v>2308</v>
      </c>
      <c r="W602" s="6">
        <f t="shared" si="188"/>
        <v>2536</v>
      </c>
      <c r="X602" s="5"/>
      <c r="Y602" s="4"/>
      <c r="Z602" s="4"/>
      <c r="AA602" s="4"/>
      <c r="AB602" s="4"/>
    </row>
    <row r="603" spans="1:28" ht="13.15" customHeight="1">
      <c r="A603" s="11">
        <f t="shared" si="191"/>
        <v>589</v>
      </c>
      <c r="B603" s="10">
        <f t="shared" si="203"/>
        <v>45632</v>
      </c>
      <c r="C603" s="9">
        <f t="shared" si="204"/>
        <v>842</v>
      </c>
      <c r="D603" s="8">
        <f t="shared" si="192"/>
        <v>3346</v>
      </c>
      <c r="E603" s="7">
        <f t="shared" si="196"/>
        <v>1266</v>
      </c>
      <c r="F603" s="7">
        <f t="shared" si="197"/>
        <v>1325</v>
      </c>
      <c r="G603" s="7">
        <f t="shared" si="198"/>
        <v>1104</v>
      </c>
      <c r="H603" s="4">
        <f t="shared" si="199"/>
        <v>2922</v>
      </c>
      <c r="I603" s="4">
        <f t="shared" si="200"/>
        <v>2863</v>
      </c>
      <c r="J603" s="4">
        <f t="shared" si="201"/>
        <v>3084</v>
      </c>
      <c r="K603" s="4">
        <f t="shared" si="193"/>
        <v>4000</v>
      </c>
      <c r="L603" s="4">
        <f t="shared" si="194"/>
        <v>4000</v>
      </c>
      <c r="M603" s="4">
        <f t="shared" si="195"/>
        <v>4000</v>
      </c>
      <c r="N603" s="4">
        <f t="shared" si="205"/>
        <v>-1078</v>
      </c>
      <c r="O603" s="4">
        <f t="shared" si="206"/>
        <v>-1137</v>
      </c>
      <c r="P603" s="4">
        <f t="shared" si="207"/>
        <v>-916</v>
      </c>
      <c r="Q603" s="7">
        <v>2</v>
      </c>
      <c r="R603" s="7">
        <v>5</v>
      </c>
      <c r="S603" s="7">
        <v>2</v>
      </c>
      <c r="T603" s="5">
        <f t="shared" si="202"/>
        <v>1885</v>
      </c>
      <c r="U603" s="6">
        <f t="shared" si="189"/>
        <v>2352</v>
      </c>
      <c r="V603" s="6">
        <f t="shared" si="190"/>
        <v>2303</v>
      </c>
      <c r="W603" s="6">
        <f t="shared" si="188"/>
        <v>2534</v>
      </c>
      <c r="X603" s="5"/>
      <c r="Y603" s="4"/>
      <c r="Z603" s="4"/>
      <c r="AA603" s="4"/>
      <c r="AB603" s="4"/>
    </row>
    <row r="604" spans="1:28" ht="13.15" customHeight="1">
      <c r="A604" s="11">
        <f t="shared" si="191"/>
        <v>590</v>
      </c>
      <c r="B604" s="10">
        <f t="shared" si="203"/>
        <v>45633</v>
      </c>
      <c r="C604" s="9">
        <f t="shared" si="204"/>
        <v>842</v>
      </c>
      <c r="D604" s="8">
        <f t="shared" si="192"/>
        <v>3348</v>
      </c>
      <c r="E604" s="7">
        <f t="shared" si="196"/>
        <v>1272</v>
      </c>
      <c r="F604" s="7">
        <f t="shared" si="197"/>
        <v>1331</v>
      </c>
      <c r="G604" s="7">
        <f t="shared" si="198"/>
        <v>1110</v>
      </c>
      <c r="H604" s="4">
        <f t="shared" si="199"/>
        <v>2918</v>
      </c>
      <c r="I604" s="4">
        <f t="shared" si="200"/>
        <v>2859</v>
      </c>
      <c r="J604" s="4">
        <f t="shared" si="201"/>
        <v>3080</v>
      </c>
      <c r="K604" s="4">
        <f t="shared" si="193"/>
        <v>4000</v>
      </c>
      <c r="L604" s="4">
        <f t="shared" si="194"/>
        <v>4000</v>
      </c>
      <c r="M604" s="4">
        <f t="shared" si="195"/>
        <v>4000</v>
      </c>
      <c r="N604" s="4">
        <f t="shared" si="205"/>
        <v>-1082</v>
      </c>
      <c r="O604" s="4">
        <f t="shared" si="206"/>
        <v>-1141</v>
      </c>
      <c r="P604" s="4">
        <f t="shared" si="207"/>
        <v>-920</v>
      </c>
      <c r="Q604" s="7">
        <v>4</v>
      </c>
      <c r="R604" s="7">
        <v>4</v>
      </c>
      <c r="S604" s="7">
        <v>4</v>
      </c>
      <c r="T604" s="5">
        <f t="shared" si="202"/>
        <v>1891</v>
      </c>
      <c r="U604" s="6">
        <f t="shared" si="189"/>
        <v>2348</v>
      </c>
      <c r="V604" s="6">
        <f t="shared" si="190"/>
        <v>2299</v>
      </c>
      <c r="W604" s="6">
        <f t="shared" si="188"/>
        <v>2530</v>
      </c>
      <c r="X604" s="5"/>
      <c r="Y604" s="4"/>
      <c r="Z604" s="4"/>
      <c r="AA604" s="4"/>
      <c r="AB604" s="4"/>
    </row>
    <row r="605" spans="1:28" ht="13.15" customHeight="1">
      <c r="A605" s="11">
        <f t="shared" si="191"/>
        <v>591</v>
      </c>
      <c r="B605" s="10">
        <f t="shared" si="203"/>
        <v>45634</v>
      </c>
      <c r="C605" s="9">
        <f t="shared" si="204"/>
        <v>842</v>
      </c>
      <c r="D605" s="8">
        <f t="shared" si="192"/>
        <v>3350</v>
      </c>
      <c r="E605" s="7">
        <f t="shared" si="196"/>
        <v>1277</v>
      </c>
      <c r="F605" s="7">
        <f t="shared" si="197"/>
        <v>1336</v>
      </c>
      <c r="G605" s="7">
        <f t="shared" si="198"/>
        <v>1115</v>
      </c>
      <c r="H605" s="4">
        <f t="shared" si="199"/>
        <v>2915</v>
      </c>
      <c r="I605" s="4">
        <f t="shared" si="200"/>
        <v>2856</v>
      </c>
      <c r="J605" s="4">
        <f t="shared" si="201"/>
        <v>3077</v>
      </c>
      <c r="K605" s="4">
        <f t="shared" si="193"/>
        <v>4000</v>
      </c>
      <c r="L605" s="4">
        <f t="shared" si="194"/>
        <v>4000</v>
      </c>
      <c r="M605" s="4">
        <f t="shared" si="195"/>
        <v>4000</v>
      </c>
      <c r="N605" s="4">
        <f t="shared" si="205"/>
        <v>-1085</v>
      </c>
      <c r="O605" s="4">
        <f t="shared" si="206"/>
        <v>-1144</v>
      </c>
      <c r="P605" s="4">
        <f t="shared" si="207"/>
        <v>-923</v>
      </c>
      <c r="Q605" s="7">
        <v>3</v>
      </c>
      <c r="R605" s="7">
        <v>3</v>
      </c>
      <c r="S605" s="7">
        <v>3</v>
      </c>
      <c r="T605" s="5">
        <f t="shared" si="202"/>
        <v>1896</v>
      </c>
      <c r="U605" s="6">
        <f t="shared" si="189"/>
        <v>2345</v>
      </c>
      <c r="V605" s="6">
        <f t="shared" si="190"/>
        <v>2296</v>
      </c>
      <c r="W605" s="6">
        <f t="shared" si="188"/>
        <v>2527</v>
      </c>
      <c r="X605" s="5"/>
      <c r="Y605" s="4"/>
      <c r="Z605" s="4"/>
      <c r="AA605" s="4"/>
      <c r="AB605" s="4"/>
    </row>
    <row r="606" spans="1:28" ht="13.15" customHeight="1">
      <c r="A606" s="11">
        <f t="shared" si="191"/>
        <v>592</v>
      </c>
      <c r="B606" s="10">
        <f t="shared" si="203"/>
        <v>45635</v>
      </c>
      <c r="C606" s="9">
        <f t="shared" si="204"/>
        <v>842</v>
      </c>
      <c r="D606" s="8">
        <f t="shared" si="192"/>
        <v>3352</v>
      </c>
      <c r="E606" s="7">
        <f t="shared" si="196"/>
        <v>1281</v>
      </c>
      <c r="F606" s="7">
        <f t="shared" si="197"/>
        <v>1340</v>
      </c>
      <c r="G606" s="7">
        <f t="shared" si="198"/>
        <v>1119</v>
      </c>
      <c r="H606" s="4">
        <f t="shared" si="199"/>
        <v>2913</v>
      </c>
      <c r="I606" s="4">
        <f t="shared" si="200"/>
        <v>2854</v>
      </c>
      <c r="J606" s="4">
        <f t="shared" si="201"/>
        <v>3075</v>
      </c>
      <c r="K606" s="4">
        <f t="shared" si="193"/>
        <v>4000</v>
      </c>
      <c r="L606" s="4">
        <f t="shared" si="194"/>
        <v>4000</v>
      </c>
      <c r="M606" s="4">
        <f t="shared" si="195"/>
        <v>4000</v>
      </c>
      <c r="N606" s="4">
        <f t="shared" si="205"/>
        <v>-1087</v>
      </c>
      <c r="O606" s="4">
        <f t="shared" si="206"/>
        <v>-1146</v>
      </c>
      <c r="P606" s="4">
        <f t="shared" si="207"/>
        <v>-925</v>
      </c>
      <c r="Q606" s="7">
        <v>2</v>
      </c>
      <c r="R606" s="7">
        <v>2</v>
      </c>
      <c r="S606" s="7">
        <v>2</v>
      </c>
      <c r="T606" s="5">
        <f t="shared" si="202"/>
        <v>1900</v>
      </c>
      <c r="U606" s="6">
        <f t="shared" si="189"/>
        <v>2343</v>
      </c>
      <c r="V606" s="6">
        <f t="shared" si="190"/>
        <v>2294</v>
      </c>
      <c r="W606" s="6">
        <f t="shared" si="188"/>
        <v>2525</v>
      </c>
      <c r="X606" s="5"/>
      <c r="Y606" s="4"/>
      <c r="Z606" s="4"/>
      <c r="AA606" s="4"/>
      <c r="AB606" s="4"/>
    </row>
    <row r="607" spans="1:28" ht="13.15" customHeight="1">
      <c r="A607" s="11">
        <f t="shared" si="191"/>
        <v>593</v>
      </c>
      <c r="B607" s="10">
        <f t="shared" si="203"/>
        <v>45636</v>
      </c>
      <c r="C607" s="9">
        <f t="shared" si="204"/>
        <v>842</v>
      </c>
      <c r="D607" s="8">
        <f t="shared" si="192"/>
        <v>3354</v>
      </c>
      <c r="E607" s="7">
        <f t="shared" si="196"/>
        <v>1287</v>
      </c>
      <c r="F607" s="7">
        <f t="shared" si="197"/>
        <v>1346</v>
      </c>
      <c r="G607" s="7">
        <f t="shared" si="198"/>
        <v>1125</v>
      </c>
      <c r="H607" s="4">
        <f t="shared" si="199"/>
        <v>2909</v>
      </c>
      <c r="I607" s="4">
        <f t="shared" si="200"/>
        <v>2850</v>
      </c>
      <c r="J607" s="4">
        <f t="shared" si="201"/>
        <v>3071</v>
      </c>
      <c r="K607" s="4">
        <f t="shared" si="193"/>
        <v>4000</v>
      </c>
      <c r="L607" s="4">
        <f t="shared" si="194"/>
        <v>4000</v>
      </c>
      <c r="M607" s="4">
        <f t="shared" si="195"/>
        <v>4000</v>
      </c>
      <c r="N607" s="4">
        <f t="shared" si="205"/>
        <v>-1091</v>
      </c>
      <c r="O607" s="4">
        <f t="shared" si="206"/>
        <v>-1150</v>
      </c>
      <c r="P607" s="4">
        <f t="shared" si="207"/>
        <v>-929</v>
      </c>
      <c r="Q607" s="7">
        <v>4</v>
      </c>
      <c r="R607" s="7">
        <v>4</v>
      </c>
      <c r="S607" s="7">
        <v>4</v>
      </c>
      <c r="T607" s="5">
        <f t="shared" si="202"/>
        <v>1906</v>
      </c>
      <c r="U607" s="6">
        <f t="shared" si="189"/>
        <v>2339</v>
      </c>
      <c r="V607" s="6">
        <f t="shared" si="190"/>
        <v>2290</v>
      </c>
      <c r="W607" s="6">
        <f t="shared" si="188"/>
        <v>2521</v>
      </c>
      <c r="X607" s="5"/>
      <c r="Y607" s="4"/>
      <c r="Z607" s="4"/>
      <c r="AA607" s="4"/>
      <c r="AB607" s="4"/>
    </row>
    <row r="608" spans="1:28" ht="13.15" customHeight="1">
      <c r="A608" s="11">
        <f t="shared" si="191"/>
        <v>594</v>
      </c>
      <c r="B608" s="10">
        <f t="shared" si="203"/>
        <v>45637</v>
      </c>
      <c r="C608" s="9">
        <f t="shared" si="204"/>
        <v>842</v>
      </c>
      <c r="D608" s="8">
        <f t="shared" si="192"/>
        <v>3356</v>
      </c>
      <c r="E608" s="7">
        <f t="shared" si="196"/>
        <v>1296</v>
      </c>
      <c r="F608" s="7">
        <f t="shared" si="197"/>
        <v>1355</v>
      </c>
      <c r="G608" s="7">
        <f t="shared" si="198"/>
        <v>1134</v>
      </c>
      <c r="H608" s="4">
        <f t="shared" si="199"/>
        <v>2902</v>
      </c>
      <c r="I608" s="4">
        <f t="shared" si="200"/>
        <v>2843</v>
      </c>
      <c r="J608" s="4">
        <f t="shared" si="201"/>
        <v>3064</v>
      </c>
      <c r="K608" s="4">
        <f t="shared" si="193"/>
        <v>4000</v>
      </c>
      <c r="L608" s="4">
        <f t="shared" si="194"/>
        <v>4000</v>
      </c>
      <c r="M608" s="4">
        <f t="shared" si="195"/>
        <v>4000</v>
      </c>
      <c r="N608" s="4">
        <f t="shared" si="205"/>
        <v>-1098</v>
      </c>
      <c r="O608" s="4">
        <f t="shared" si="206"/>
        <v>-1157</v>
      </c>
      <c r="P608" s="4">
        <f t="shared" si="207"/>
        <v>-936</v>
      </c>
      <c r="Q608" s="7">
        <v>7</v>
      </c>
      <c r="R608" s="7">
        <v>7</v>
      </c>
      <c r="S608" s="7">
        <v>7</v>
      </c>
      <c r="T608" s="5">
        <f t="shared" si="202"/>
        <v>1915</v>
      </c>
      <c r="U608" s="6">
        <f t="shared" si="189"/>
        <v>2332</v>
      </c>
      <c r="V608" s="6">
        <f t="shared" si="190"/>
        <v>2283</v>
      </c>
      <c r="W608" s="6">
        <f t="shared" si="188"/>
        <v>2514</v>
      </c>
      <c r="X608" s="5"/>
      <c r="Y608" s="4"/>
      <c r="Z608" s="4"/>
      <c r="AA608" s="4"/>
      <c r="AB608" s="4"/>
    </row>
    <row r="609" spans="1:28" ht="13.15" customHeight="1">
      <c r="A609" s="11">
        <f t="shared" si="191"/>
        <v>595</v>
      </c>
      <c r="B609" s="10">
        <f t="shared" si="203"/>
        <v>45638</v>
      </c>
      <c r="C609" s="9">
        <f t="shared" si="204"/>
        <v>842</v>
      </c>
      <c r="D609" s="8">
        <f t="shared" si="192"/>
        <v>3358</v>
      </c>
      <c r="E609" s="7">
        <f t="shared" si="196"/>
        <v>1303</v>
      </c>
      <c r="F609" s="7">
        <f t="shared" si="197"/>
        <v>1362</v>
      </c>
      <c r="G609" s="7">
        <f t="shared" si="198"/>
        <v>1141</v>
      </c>
      <c r="H609" s="4">
        <f t="shared" si="199"/>
        <v>2897</v>
      </c>
      <c r="I609" s="4">
        <f t="shared" si="200"/>
        <v>2838</v>
      </c>
      <c r="J609" s="4">
        <f t="shared" si="201"/>
        <v>3059</v>
      </c>
      <c r="K609" s="4">
        <f t="shared" si="193"/>
        <v>4000</v>
      </c>
      <c r="L609" s="4">
        <f t="shared" si="194"/>
        <v>4000</v>
      </c>
      <c r="M609" s="4">
        <f t="shared" si="195"/>
        <v>4000</v>
      </c>
      <c r="N609" s="4">
        <f t="shared" si="205"/>
        <v>-1103</v>
      </c>
      <c r="O609" s="4">
        <f t="shared" si="206"/>
        <v>-1162</v>
      </c>
      <c r="P609" s="4">
        <f t="shared" si="207"/>
        <v>-941</v>
      </c>
      <c r="Q609" s="7">
        <v>5</v>
      </c>
      <c r="R609" s="7">
        <v>5</v>
      </c>
      <c r="S609" s="7">
        <v>5</v>
      </c>
      <c r="T609" s="5">
        <f t="shared" si="202"/>
        <v>1922</v>
      </c>
      <c r="U609" s="6">
        <f t="shared" si="189"/>
        <v>2327</v>
      </c>
      <c r="V609" s="6">
        <f t="shared" si="190"/>
        <v>2278</v>
      </c>
      <c r="W609" s="6">
        <f t="shared" si="188"/>
        <v>2509</v>
      </c>
      <c r="X609" s="5"/>
      <c r="Y609" s="4"/>
      <c r="Z609" s="4"/>
      <c r="AA609" s="4"/>
      <c r="AB609" s="4"/>
    </row>
    <row r="610" spans="1:28" ht="13.15" customHeight="1">
      <c r="A610" s="11">
        <f t="shared" si="191"/>
        <v>596</v>
      </c>
      <c r="B610" s="10">
        <f t="shared" si="203"/>
        <v>45639</v>
      </c>
      <c r="C610" s="9">
        <f t="shared" si="204"/>
        <v>842</v>
      </c>
      <c r="D610" s="8">
        <f t="shared" ref="D610:D641" si="208">D609+2</f>
        <v>3360</v>
      </c>
      <c r="E610" s="7">
        <f t="shared" si="196"/>
        <v>1310</v>
      </c>
      <c r="F610" s="7">
        <f t="shared" si="197"/>
        <v>1369</v>
      </c>
      <c r="G610" s="7">
        <f t="shared" si="198"/>
        <v>1148</v>
      </c>
      <c r="H610" s="4">
        <f t="shared" si="199"/>
        <v>2892</v>
      </c>
      <c r="I610" s="4">
        <f t="shared" si="200"/>
        <v>2833</v>
      </c>
      <c r="J610" s="4">
        <f t="shared" si="201"/>
        <v>3054</v>
      </c>
      <c r="K610" s="4">
        <f t="shared" ref="K610:K641" si="209">K609</f>
        <v>4000</v>
      </c>
      <c r="L610" s="4">
        <f t="shared" ref="L610:L641" si="210">L609</f>
        <v>4000</v>
      </c>
      <c r="M610" s="4">
        <f t="shared" ref="M610:M641" si="211">M609</f>
        <v>4000</v>
      </c>
      <c r="N610" s="4">
        <f t="shared" si="205"/>
        <v>-1108</v>
      </c>
      <c r="O610" s="4">
        <f t="shared" si="206"/>
        <v>-1167</v>
      </c>
      <c r="P610" s="4">
        <f t="shared" si="207"/>
        <v>-946</v>
      </c>
      <c r="Q610" s="7">
        <v>5</v>
      </c>
      <c r="R610" s="7">
        <v>5</v>
      </c>
      <c r="S610" s="7">
        <v>5</v>
      </c>
      <c r="T610" s="5">
        <f t="shared" si="202"/>
        <v>1929</v>
      </c>
      <c r="U610" s="6">
        <f t="shared" si="189"/>
        <v>2322</v>
      </c>
      <c r="V610" s="6">
        <f t="shared" si="190"/>
        <v>2273</v>
      </c>
      <c r="W610" s="6">
        <f t="shared" si="188"/>
        <v>2504</v>
      </c>
      <c r="X610" s="5"/>
      <c r="Y610" s="4"/>
      <c r="Z610" s="4"/>
      <c r="AA610" s="4"/>
      <c r="AB610" s="4"/>
    </row>
    <row r="611" spans="1:28" ht="13.15" customHeight="1">
      <c r="A611" s="11">
        <f t="shared" si="191"/>
        <v>597</v>
      </c>
      <c r="B611" s="10">
        <f t="shared" si="203"/>
        <v>45640</v>
      </c>
      <c r="C611" s="9">
        <f t="shared" si="204"/>
        <v>842</v>
      </c>
      <c r="D611" s="8">
        <f t="shared" si="208"/>
        <v>3362</v>
      </c>
      <c r="E611" s="7">
        <f t="shared" si="196"/>
        <v>1316</v>
      </c>
      <c r="F611" s="7">
        <f t="shared" si="197"/>
        <v>1375</v>
      </c>
      <c r="G611" s="7">
        <f t="shared" si="198"/>
        <v>1154</v>
      </c>
      <c r="H611" s="4">
        <f t="shared" si="199"/>
        <v>2888</v>
      </c>
      <c r="I611" s="4">
        <f t="shared" si="200"/>
        <v>2829</v>
      </c>
      <c r="J611" s="4">
        <f t="shared" si="201"/>
        <v>3050</v>
      </c>
      <c r="K611" s="4">
        <f t="shared" si="209"/>
        <v>4000</v>
      </c>
      <c r="L611" s="4">
        <f t="shared" si="210"/>
        <v>4000</v>
      </c>
      <c r="M611" s="4">
        <f t="shared" si="211"/>
        <v>4000</v>
      </c>
      <c r="N611" s="4">
        <f t="shared" si="205"/>
        <v>-1112</v>
      </c>
      <c r="O611" s="4">
        <f t="shared" si="206"/>
        <v>-1171</v>
      </c>
      <c r="P611" s="4">
        <f t="shared" si="207"/>
        <v>-950</v>
      </c>
      <c r="Q611" s="7">
        <v>4</v>
      </c>
      <c r="R611" s="7">
        <v>4</v>
      </c>
      <c r="S611" s="7">
        <v>4</v>
      </c>
      <c r="T611" s="5">
        <f t="shared" si="202"/>
        <v>1935</v>
      </c>
      <c r="U611" s="6">
        <f t="shared" si="189"/>
        <v>2318</v>
      </c>
      <c r="V611" s="6">
        <f t="shared" si="190"/>
        <v>2269</v>
      </c>
      <c r="W611" s="6">
        <f t="shared" si="188"/>
        <v>2500</v>
      </c>
      <c r="X611" s="5"/>
      <c r="Y611" s="4"/>
      <c r="Z611" s="4"/>
      <c r="AA611" s="4"/>
      <c r="AB611" s="4"/>
    </row>
    <row r="612" spans="1:28" ht="13.15" customHeight="1">
      <c r="A612" s="11">
        <f t="shared" si="191"/>
        <v>598</v>
      </c>
      <c r="B612" s="10">
        <f t="shared" si="203"/>
        <v>45641</v>
      </c>
      <c r="C612" s="9">
        <f t="shared" si="204"/>
        <v>842</v>
      </c>
      <c r="D612" s="8">
        <f t="shared" si="208"/>
        <v>3364</v>
      </c>
      <c r="E612" s="7">
        <f t="shared" si="196"/>
        <v>1321</v>
      </c>
      <c r="F612" s="7">
        <f t="shared" si="197"/>
        <v>1380</v>
      </c>
      <c r="G612" s="7">
        <f t="shared" si="198"/>
        <v>1159</v>
      </c>
      <c r="H612" s="4">
        <f t="shared" si="199"/>
        <v>2885</v>
      </c>
      <c r="I612" s="4">
        <f t="shared" si="200"/>
        <v>2826</v>
      </c>
      <c r="J612" s="4">
        <f t="shared" si="201"/>
        <v>3047</v>
      </c>
      <c r="K612" s="4">
        <f t="shared" si="209"/>
        <v>4000</v>
      </c>
      <c r="L612" s="4">
        <f t="shared" si="210"/>
        <v>4000</v>
      </c>
      <c r="M612" s="4">
        <f t="shared" si="211"/>
        <v>4000</v>
      </c>
      <c r="N612" s="4">
        <f t="shared" si="205"/>
        <v>-1115</v>
      </c>
      <c r="O612" s="4">
        <f t="shared" si="206"/>
        <v>-1174</v>
      </c>
      <c r="P612" s="4">
        <f t="shared" si="207"/>
        <v>-953</v>
      </c>
      <c r="Q612" s="7">
        <v>3</v>
      </c>
      <c r="R612" s="7">
        <v>3</v>
      </c>
      <c r="S612" s="7">
        <v>3</v>
      </c>
      <c r="T612" s="5">
        <f t="shared" si="202"/>
        <v>1940</v>
      </c>
      <c r="U612" s="6">
        <f t="shared" si="189"/>
        <v>2315</v>
      </c>
      <c r="V612" s="6">
        <f t="shared" si="190"/>
        <v>2266</v>
      </c>
      <c r="W612" s="6">
        <f t="shared" si="188"/>
        <v>2497</v>
      </c>
      <c r="X612" s="5"/>
      <c r="Y612" s="4"/>
      <c r="Z612" s="4"/>
      <c r="AA612" s="4"/>
      <c r="AB612" s="4"/>
    </row>
    <row r="613" spans="1:28" ht="13.15" customHeight="1">
      <c r="A613" s="11">
        <f t="shared" si="191"/>
        <v>599</v>
      </c>
      <c r="B613" s="10">
        <f t="shared" si="203"/>
        <v>45642</v>
      </c>
      <c r="C613" s="9">
        <f t="shared" si="204"/>
        <v>842</v>
      </c>
      <c r="D613" s="8">
        <f t="shared" si="208"/>
        <v>3366</v>
      </c>
      <c r="E613" s="7">
        <f t="shared" si="196"/>
        <v>1325</v>
      </c>
      <c r="F613" s="7">
        <f t="shared" si="197"/>
        <v>1384</v>
      </c>
      <c r="G613" s="7">
        <f t="shared" si="198"/>
        <v>1163</v>
      </c>
      <c r="H613" s="4">
        <f t="shared" si="199"/>
        <v>2883</v>
      </c>
      <c r="I613" s="4">
        <f t="shared" si="200"/>
        <v>2824</v>
      </c>
      <c r="J613" s="4">
        <f t="shared" si="201"/>
        <v>3045</v>
      </c>
      <c r="K613" s="4">
        <f t="shared" si="209"/>
        <v>4000</v>
      </c>
      <c r="L613" s="4">
        <f t="shared" si="210"/>
        <v>4000</v>
      </c>
      <c r="M613" s="4">
        <f t="shared" si="211"/>
        <v>4000</v>
      </c>
      <c r="N613" s="4">
        <f t="shared" si="205"/>
        <v>-1117</v>
      </c>
      <c r="O613" s="4">
        <f t="shared" si="206"/>
        <v>-1176</v>
      </c>
      <c r="P613" s="4">
        <f t="shared" si="207"/>
        <v>-955</v>
      </c>
      <c r="Q613" s="7">
        <v>2</v>
      </c>
      <c r="R613" s="7">
        <v>2</v>
      </c>
      <c r="S613" s="7">
        <v>2</v>
      </c>
      <c r="T613" s="5">
        <f t="shared" si="202"/>
        <v>1944</v>
      </c>
      <c r="U613" s="6">
        <f t="shared" si="189"/>
        <v>2313</v>
      </c>
      <c r="V613" s="6">
        <f t="shared" si="190"/>
        <v>2264</v>
      </c>
      <c r="W613" s="6">
        <f t="shared" si="188"/>
        <v>2495</v>
      </c>
      <c r="X613" s="5"/>
      <c r="Y613" s="4"/>
      <c r="Z613" s="4"/>
      <c r="AA613" s="4"/>
      <c r="AB613" s="4"/>
    </row>
    <row r="614" spans="1:28" ht="13.15" customHeight="1">
      <c r="A614" s="11">
        <f t="shared" si="191"/>
        <v>600</v>
      </c>
      <c r="B614" s="10">
        <f t="shared" si="203"/>
        <v>45643</v>
      </c>
      <c r="C614" s="9">
        <f t="shared" si="204"/>
        <v>842</v>
      </c>
      <c r="D614" s="8">
        <f t="shared" si="208"/>
        <v>3368</v>
      </c>
      <c r="E614" s="7">
        <f t="shared" si="196"/>
        <v>1331</v>
      </c>
      <c r="F614" s="7">
        <f t="shared" si="197"/>
        <v>1390</v>
      </c>
      <c r="G614" s="7">
        <f t="shared" si="198"/>
        <v>1169</v>
      </c>
      <c r="H614" s="4">
        <f t="shared" si="199"/>
        <v>2879</v>
      </c>
      <c r="I614" s="4">
        <f t="shared" si="200"/>
        <v>2820</v>
      </c>
      <c r="J614" s="4">
        <f t="shared" si="201"/>
        <v>3041</v>
      </c>
      <c r="K614" s="4">
        <f t="shared" si="209"/>
        <v>4000</v>
      </c>
      <c r="L614" s="4">
        <f t="shared" si="210"/>
        <v>4000</v>
      </c>
      <c r="M614" s="4">
        <f t="shared" si="211"/>
        <v>4000</v>
      </c>
      <c r="N614" s="4">
        <f t="shared" si="205"/>
        <v>-1121</v>
      </c>
      <c r="O614" s="4">
        <f t="shared" si="206"/>
        <v>-1180</v>
      </c>
      <c r="P614" s="4">
        <f t="shared" si="207"/>
        <v>-959</v>
      </c>
      <c r="Q614" s="7">
        <v>4</v>
      </c>
      <c r="R614" s="7">
        <v>4</v>
      </c>
      <c r="S614" s="7">
        <v>4</v>
      </c>
      <c r="T614" s="5">
        <f t="shared" si="202"/>
        <v>1950</v>
      </c>
      <c r="U614" s="6">
        <f t="shared" si="189"/>
        <v>2309</v>
      </c>
      <c r="V614" s="6">
        <f t="shared" si="190"/>
        <v>2260</v>
      </c>
      <c r="W614" s="6">
        <f t="shared" si="188"/>
        <v>2491</v>
      </c>
      <c r="X614" s="5"/>
      <c r="Y614" s="4"/>
      <c r="Z614" s="4"/>
      <c r="AA614" s="4"/>
      <c r="AB614" s="4"/>
    </row>
    <row r="615" spans="1:28" ht="13.15" customHeight="1">
      <c r="A615" s="11">
        <f t="shared" si="191"/>
        <v>601</v>
      </c>
      <c r="B615" s="10">
        <f t="shared" si="203"/>
        <v>45644</v>
      </c>
      <c r="C615" s="9">
        <f t="shared" si="204"/>
        <v>842</v>
      </c>
      <c r="D615" s="8">
        <f t="shared" si="208"/>
        <v>3370</v>
      </c>
      <c r="E615" s="7">
        <f t="shared" si="196"/>
        <v>1336</v>
      </c>
      <c r="F615" s="7">
        <f t="shared" si="197"/>
        <v>1395</v>
      </c>
      <c r="G615" s="7">
        <f t="shared" si="198"/>
        <v>1174</v>
      </c>
      <c r="H615" s="4">
        <f t="shared" si="199"/>
        <v>2876</v>
      </c>
      <c r="I615" s="4">
        <f t="shared" si="200"/>
        <v>2817</v>
      </c>
      <c r="J615" s="4">
        <f t="shared" si="201"/>
        <v>3038</v>
      </c>
      <c r="K615" s="4">
        <f t="shared" si="209"/>
        <v>4000</v>
      </c>
      <c r="L615" s="4">
        <f t="shared" si="210"/>
        <v>4000</v>
      </c>
      <c r="M615" s="4">
        <f t="shared" si="211"/>
        <v>4000</v>
      </c>
      <c r="N615" s="4">
        <f t="shared" si="205"/>
        <v>-1124</v>
      </c>
      <c r="O615" s="4">
        <f t="shared" si="206"/>
        <v>-1183</v>
      </c>
      <c r="P615" s="4">
        <f t="shared" si="207"/>
        <v>-962</v>
      </c>
      <c r="Q615" s="7">
        <v>3</v>
      </c>
      <c r="R615" s="7">
        <v>3</v>
      </c>
      <c r="S615" s="7">
        <v>3</v>
      </c>
      <c r="T615" s="5">
        <f t="shared" si="202"/>
        <v>1955</v>
      </c>
      <c r="U615" s="6">
        <f t="shared" si="189"/>
        <v>2306</v>
      </c>
      <c r="V615" s="6">
        <f t="shared" si="190"/>
        <v>2257</v>
      </c>
      <c r="W615" s="6">
        <f t="shared" ref="W615:W678" si="212">W614+$X615*1000-S615</f>
        <v>2488</v>
      </c>
      <c r="X615" s="5"/>
      <c r="Y615" s="4"/>
      <c r="Z615" s="4"/>
      <c r="AA615" s="4"/>
      <c r="AB615" s="4"/>
    </row>
    <row r="616" spans="1:28" ht="13.15" customHeight="1">
      <c r="A616" s="11">
        <f t="shared" si="191"/>
        <v>602</v>
      </c>
      <c r="B616" s="10">
        <f t="shared" si="203"/>
        <v>45645</v>
      </c>
      <c r="C616" s="9">
        <f t="shared" si="204"/>
        <v>842</v>
      </c>
      <c r="D616" s="8">
        <f t="shared" si="208"/>
        <v>3372</v>
      </c>
      <c r="E616" s="7">
        <f t="shared" si="196"/>
        <v>1342</v>
      </c>
      <c r="F616" s="7">
        <f t="shared" si="197"/>
        <v>1401</v>
      </c>
      <c r="G616" s="7">
        <f t="shared" si="198"/>
        <v>1180</v>
      </c>
      <c r="H616" s="4">
        <f t="shared" si="199"/>
        <v>2872</v>
      </c>
      <c r="I616" s="4">
        <f t="shared" si="200"/>
        <v>2813</v>
      </c>
      <c r="J616" s="4">
        <f t="shared" si="201"/>
        <v>3034</v>
      </c>
      <c r="K616" s="4">
        <f t="shared" si="209"/>
        <v>4000</v>
      </c>
      <c r="L616" s="4">
        <f t="shared" si="210"/>
        <v>4000</v>
      </c>
      <c r="M616" s="4">
        <f t="shared" si="211"/>
        <v>4000</v>
      </c>
      <c r="N616" s="4">
        <f t="shared" si="205"/>
        <v>-1128</v>
      </c>
      <c r="O616" s="4">
        <f t="shared" si="206"/>
        <v>-1187</v>
      </c>
      <c r="P616" s="4">
        <f t="shared" si="207"/>
        <v>-966</v>
      </c>
      <c r="Q616" s="7">
        <v>4</v>
      </c>
      <c r="R616" s="7">
        <v>4</v>
      </c>
      <c r="S616" s="7">
        <v>4</v>
      </c>
      <c r="T616" s="5">
        <f t="shared" si="202"/>
        <v>1961</v>
      </c>
      <c r="U616" s="6">
        <f t="shared" ref="U616:U679" si="213">U615+$X616*1000-Q616</f>
        <v>2302</v>
      </c>
      <c r="V616" s="6">
        <f t="shared" ref="V616:V679" si="214">V615+$X616*1000-R616</f>
        <v>2253</v>
      </c>
      <c r="W616" s="6">
        <f t="shared" si="212"/>
        <v>2484</v>
      </c>
      <c r="X616" s="5"/>
      <c r="Y616" s="4"/>
      <c r="Z616" s="4"/>
      <c r="AA616" s="4"/>
      <c r="AB616" s="4"/>
    </row>
    <row r="617" spans="1:28" ht="13.15" customHeight="1">
      <c r="A617" s="11">
        <f t="shared" si="191"/>
        <v>603</v>
      </c>
      <c r="B617" s="10">
        <f t="shared" si="203"/>
        <v>45646</v>
      </c>
      <c r="C617" s="9">
        <f t="shared" si="204"/>
        <v>842</v>
      </c>
      <c r="D617" s="8">
        <f t="shared" si="208"/>
        <v>3374</v>
      </c>
      <c r="E617" s="7">
        <f t="shared" si="196"/>
        <v>1351</v>
      </c>
      <c r="F617" s="7">
        <f t="shared" si="197"/>
        <v>1406</v>
      </c>
      <c r="G617" s="7">
        <f t="shared" si="198"/>
        <v>1189</v>
      </c>
      <c r="H617" s="4">
        <f t="shared" si="199"/>
        <v>2865</v>
      </c>
      <c r="I617" s="4">
        <f t="shared" si="200"/>
        <v>2810</v>
      </c>
      <c r="J617" s="4">
        <f t="shared" si="201"/>
        <v>3027</v>
      </c>
      <c r="K617" s="4">
        <f t="shared" si="209"/>
        <v>4000</v>
      </c>
      <c r="L617" s="4">
        <f t="shared" si="210"/>
        <v>4000</v>
      </c>
      <c r="M617" s="4">
        <f t="shared" si="211"/>
        <v>4000</v>
      </c>
      <c r="N617" s="4">
        <f t="shared" si="205"/>
        <v>-1135</v>
      </c>
      <c r="O617" s="4">
        <f t="shared" si="206"/>
        <v>-1190</v>
      </c>
      <c r="P617" s="4">
        <f t="shared" si="207"/>
        <v>-973</v>
      </c>
      <c r="Q617" s="7">
        <v>7</v>
      </c>
      <c r="R617" s="7">
        <v>3</v>
      </c>
      <c r="S617" s="7">
        <v>7</v>
      </c>
      <c r="T617" s="5">
        <f t="shared" si="202"/>
        <v>1966</v>
      </c>
      <c r="U617" s="6">
        <f t="shared" si="213"/>
        <v>2295</v>
      </c>
      <c r="V617" s="6">
        <f t="shared" si="214"/>
        <v>2250</v>
      </c>
      <c r="W617" s="6">
        <f t="shared" si="212"/>
        <v>2477</v>
      </c>
      <c r="X617" s="5"/>
      <c r="Y617" s="4"/>
      <c r="Z617" s="4"/>
      <c r="AA617" s="4"/>
      <c r="AB617" s="4"/>
    </row>
    <row r="618" spans="1:28" ht="13.15" customHeight="1">
      <c r="A618" s="11">
        <f t="shared" si="191"/>
        <v>604</v>
      </c>
      <c r="B618" s="10">
        <f t="shared" si="203"/>
        <v>45647</v>
      </c>
      <c r="C618" s="9">
        <f t="shared" si="204"/>
        <v>842</v>
      </c>
      <c r="D618" s="8">
        <f t="shared" si="208"/>
        <v>3376</v>
      </c>
      <c r="E618" s="7">
        <f t="shared" si="196"/>
        <v>1358</v>
      </c>
      <c r="F618" s="7">
        <f t="shared" si="197"/>
        <v>1410</v>
      </c>
      <c r="G618" s="7">
        <f t="shared" si="198"/>
        <v>1196</v>
      </c>
      <c r="H618" s="4">
        <f t="shared" si="199"/>
        <v>2860</v>
      </c>
      <c r="I618" s="4">
        <f t="shared" si="200"/>
        <v>2808</v>
      </c>
      <c r="J618" s="4">
        <f t="shared" si="201"/>
        <v>3022</v>
      </c>
      <c r="K618" s="4">
        <f t="shared" si="209"/>
        <v>4000</v>
      </c>
      <c r="L618" s="4">
        <f t="shared" si="210"/>
        <v>4000</v>
      </c>
      <c r="M618" s="4">
        <f t="shared" si="211"/>
        <v>4000</v>
      </c>
      <c r="N618" s="4">
        <f t="shared" si="205"/>
        <v>-1140</v>
      </c>
      <c r="O618" s="4">
        <f t="shared" si="206"/>
        <v>-1192</v>
      </c>
      <c r="P618" s="4">
        <f t="shared" si="207"/>
        <v>-978</v>
      </c>
      <c r="Q618" s="7">
        <v>5</v>
      </c>
      <c r="R618" s="7">
        <v>2</v>
      </c>
      <c r="S618" s="7">
        <v>5</v>
      </c>
      <c r="T618" s="5">
        <f t="shared" si="202"/>
        <v>1970</v>
      </c>
      <c r="U618" s="6">
        <f t="shared" si="213"/>
        <v>2290</v>
      </c>
      <c r="V618" s="6">
        <f t="shared" si="214"/>
        <v>2248</v>
      </c>
      <c r="W618" s="6">
        <f t="shared" si="212"/>
        <v>2472</v>
      </c>
      <c r="X618" s="5"/>
      <c r="Y618" s="4"/>
      <c r="Z618" s="4"/>
      <c r="AA618" s="4"/>
      <c r="AB618" s="4"/>
    </row>
    <row r="619" spans="1:28" ht="13.15" customHeight="1">
      <c r="A619" s="11">
        <f t="shared" si="191"/>
        <v>605</v>
      </c>
      <c r="B619" s="10">
        <f t="shared" si="203"/>
        <v>45648</v>
      </c>
      <c r="C619" s="9">
        <f t="shared" si="204"/>
        <v>842</v>
      </c>
      <c r="D619" s="8">
        <f t="shared" si="208"/>
        <v>3378</v>
      </c>
      <c r="E619" s="7">
        <f t="shared" si="196"/>
        <v>1365</v>
      </c>
      <c r="F619" s="7">
        <f t="shared" si="197"/>
        <v>1416</v>
      </c>
      <c r="G619" s="7">
        <f t="shared" si="198"/>
        <v>1203</v>
      </c>
      <c r="H619" s="4">
        <f t="shared" si="199"/>
        <v>2855</v>
      </c>
      <c r="I619" s="4">
        <f t="shared" si="200"/>
        <v>2804</v>
      </c>
      <c r="J619" s="4">
        <f t="shared" si="201"/>
        <v>3017</v>
      </c>
      <c r="K619" s="4">
        <f t="shared" si="209"/>
        <v>4000</v>
      </c>
      <c r="L619" s="4">
        <f t="shared" si="210"/>
        <v>4000</v>
      </c>
      <c r="M619" s="4">
        <f t="shared" si="211"/>
        <v>4000</v>
      </c>
      <c r="N619" s="4">
        <f t="shared" si="205"/>
        <v>-1145</v>
      </c>
      <c r="O619" s="4">
        <f t="shared" si="206"/>
        <v>-1196</v>
      </c>
      <c r="P619" s="4">
        <f t="shared" si="207"/>
        <v>-983</v>
      </c>
      <c r="Q619" s="7">
        <v>5</v>
      </c>
      <c r="R619" s="7">
        <v>4</v>
      </c>
      <c r="S619" s="7">
        <v>5</v>
      </c>
      <c r="T619" s="5">
        <f t="shared" si="202"/>
        <v>1976</v>
      </c>
      <c r="U619" s="6">
        <f t="shared" si="213"/>
        <v>2285</v>
      </c>
      <c r="V619" s="6">
        <f t="shared" si="214"/>
        <v>2244</v>
      </c>
      <c r="W619" s="6">
        <f t="shared" si="212"/>
        <v>2467</v>
      </c>
      <c r="X619" s="5"/>
      <c r="Y619" s="4"/>
      <c r="Z619" s="4"/>
      <c r="AA619" s="4"/>
      <c r="AB619" s="4"/>
    </row>
    <row r="620" spans="1:28" ht="13.15" customHeight="1">
      <c r="A620" s="11">
        <f t="shared" si="191"/>
        <v>606</v>
      </c>
      <c r="B620" s="10">
        <f t="shared" si="203"/>
        <v>45649</v>
      </c>
      <c r="C620" s="9">
        <f t="shared" si="204"/>
        <v>842</v>
      </c>
      <c r="D620" s="8">
        <f t="shared" si="208"/>
        <v>3380</v>
      </c>
      <c r="E620" s="7">
        <f t="shared" si="196"/>
        <v>1371</v>
      </c>
      <c r="F620" s="7">
        <f t="shared" si="197"/>
        <v>1425</v>
      </c>
      <c r="G620" s="7">
        <f t="shared" si="198"/>
        <v>1209</v>
      </c>
      <c r="H620" s="4">
        <f t="shared" si="199"/>
        <v>2851</v>
      </c>
      <c r="I620" s="4">
        <f t="shared" si="200"/>
        <v>2797</v>
      </c>
      <c r="J620" s="4">
        <f t="shared" si="201"/>
        <v>3013</v>
      </c>
      <c r="K620" s="4">
        <f t="shared" si="209"/>
        <v>4000</v>
      </c>
      <c r="L620" s="4">
        <f t="shared" si="210"/>
        <v>4000</v>
      </c>
      <c r="M620" s="4">
        <f t="shared" si="211"/>
        <v>4000</v>
      </c>
      <c r="N620" s="4">
        <f t="shared" si="205"/>
        <v>-1149</v>
      </c>
      <c r="O620" s="4">
        <f t="shared" si="206"/>
        <v>-1203</v>
      </c>
      <c r="P620" s="4">
        <f t="shared" si="207"/>
        <v>-987</v>
      </c>
      <c r="Q620" s="7">
        <v>4</v>
      </c>
      <c r="R620" s="7">
        <v>7</v>
      </c>
      <c r="S620" s="7">
        <v>4</v>
      </c>
      <c r="T620" s="5">
        <f t="shared" si="202"/>
        <v>1985</v>
      </c>
      <c r="U620" s="6">
        <f t="shared" si="213"/>
        <v>2281</v>
      </c>
      <c r="V620" s="6">
        <f t="shared" si="214"/>
        <v>2237</v>
      </c>
      <c r="W620" s="6">
        <f t="shared" si="212"/>
        <v>2463</v>
      </c>
      <c r="X620" s="5"/>
      <c r="Y620" s="4"/>
      <c r="Z620" s="4"/>
      <c r="AA620" s="4"/>
      <c r="AB620" s="4"/>
    </row>
    <row r="621" spans="1:28" ht="13.15" customHeight="1">
      <c r="A621" s="11">
        <f t="shared" si="191"/>
        <v>607</v>
      </c>
      <c r="B621" s="10">
        <f t="shared" si="203"/>
        <v>45650</v>
      </c>
      <c r="C621" s="9">
        <f t="shared" si="204"/>
        <v>842</v>
      </c>
      <c r="D621" s="8">
        <f t="shared" si="208"/>
        <v>3382</v>
      </c>
      <c r="E621" s="7">
        <f t="shared" si="196"/>
        <v>1376</v>
      </c>
      <c r="F621" s="7">
        <f t="shared" si="197"/>
        <v>1432</v>
      </c>
      <c r="G621" s="7">
        <f t="shared" si="198"/>
        <v>1214</v>
      </c>
      <c r="H621" s="4">
        <f t="shared" si="199"/>
        <v>2848</v>
      </c>
      <c r="I621" s="4">
        <f t="shared" si="200"/>
        <v>2792</v>
      </c>
      <c r="J621" s="4">
        <f t="shared" si="201"/>
        <v>3010</v>
      </c>
      <c r="K621" s="4">
        <f t="shared" si="209"/>
        <v>4000</v>
      </c>
      <c r="L621" s="4">
        <f t="shared" si="210"/>
        <v>4000</v>
      </c>
      <c r="M621" s="4">
        <f t="shared" si="211"/>
        <v>4000</v>
      </c>
      <c r="N621" s="4">
        <f t="shared" si="205"/>
        <v>-1152</v>
      </c>
      <c r="O621" s="4">
        <f t="shared" si="206"/>
        <v>-1208</v>
      </c>
      <c r="P621" s="4">
        <f t="shared" si="207"/>
        <v>-990</v>
      </c>
      <c r="Q621" s="7">
        <v>3</v>
      </c>
      <c r="R621" s="7">
        <v>5</v>
      </c>
      <c r="S621" s="7">
        <v>3</v>
      </c>
      <c r="T621" s="5">
        <f t="shared" si="202"/>
        <v>1992</v>
      </c>
      <c r="U621" s="6">
        <f t="shared" si="213"/>
        <v>2278</v>
      </c>
      <c r="V621" s="6">
        <f t="shared" si="214"/>
        <v>2232</v>
      </c>
      <c r="W621" s="6">
        <f t="shared" si="212"/>
        <v>2460</v>
      </c>
      <c r="X621" s="5"/>
      <c r="Y621" s="4"/>
      <c r="Z621" s="4"/>
      <c r="AA621" s="4"/>
      <c r="AB621" s="4"/>
    </row>
    <row r="622" spans="1:28" ht="13.15" customHeight="1">
      <c r="A622" s="11">
        <f t="shared" si="191"/>
        <v>608</v>
      </c>
      <c r="B622" s="10">
        <f t="shared" si="203"/>
        <v>45651</v>
      </c>
      <c r="C622" s="9">
        <f t="shared" si="204"/>
        <v>842</v>
      </c>
      <c r="D622" s="8">
        <f t="shared" si="208"/>
        <v>3384</v>
      </c>
      <c r="E622" s="7">
        <f t="shared" si="196"/>
        <v>1380</v>
      </c>
      <c r="F622" s="7">
        <f t="shared" si="197"/>
        <v>1439</v>
      </c>
      <c r="G622" s="7">
        <f t="shared" si="198"/>
        <v>1218</v>
      </c>
      <c r="H622" s="4">
        <f t="shared" si="199"/>
        <v>2846</v>
      </c>
      <c r="I622" s="4">
        <f t="shared" si="200"/>
        <v>2787</v>
      </c>
      <c r="J622" s="4">
        <f t="shared" si="201"/>
        <v>3008</v>
      </c>
      <c r="K622" s="4">
        <f t="shared" si="209"/>
        <v>4000</v>
      </c>
      <c r="L622" s="4">
        <f t="shared" si="210"/>
        <v>4000</v>
      </c>
      <c r="M622" s="4">
        <f t="shared" si="211"/>
        <v>4000</v>
      </c>
      <c r="N622" s="4">
        <f t="shared" si="205"/>
        <v>-1154</v>
      </c>
      <c r="O622" s="4">
        <f t="shared" si="206"/>
        <v>-1213</v>
      </c>
      <c r="P622" s="4">
        <f t="shared" si="207"/>
        <v>-992</v>
      </c>
      <c r="Q622" s="7">
        <v>2</v>
      </c>
      <c r="R622" s="7">
        <v>5</v>
      </c>
      <c r="S622" s="7">
        <v>2</v>
      </c>
      <c r="T622" s="5">
        <f t="shared" si="202"/>
        <v>1999</v>
      </c>
      <c r="U622" s="6">
        <f t="shared" si="213"/>
        <v>2276</v>
      </c>
      <c r="V622" s="6">
        <f t="shared" si="214"/>
        <v>2227</v>
      </c>
      <c r="W622" s="6">
        <f t="shared" si="212"/>
        <v>2458</v>
      </c>
      <c r="X622" s="5"/>
      <c r="Y622" s="4"/>
      <c r="Z622" s="4"/>
      <c r="AA622" s="4"/>
      <c r="AB622" s="4"/>
    </row>
    <row r="623" spans="1:28" ht="13.15" customHeight="1">
      <c r="A623" s="11">
        <f t="shared" si="191"/>
        <v>609</v>
      </c>
      <c r="B623" s="10">
        <f t="shared" si="203"/>
        <v>45652</v>
      </c>
      <c r="C623" s="9">
        <f t="shared" si="204"/>
        <v>842</v>
      </c>
      <c r="D623" s="8">
        <f t="shared" si="208"/>
        <v>3386</v>
      </c>
      <c r="E623" s="7">
        <f t="shared" si="196"/>
        <v>1386</v>
      </c>
      <c r="F623" s="7">
        <f t="shared" si="197"/>
        <v>1445</v>
      </c>
      <c r="G623" s="7">
        <f t="shared" si="198"/>
        <v>1224</v>
      </c>
      <c r="H623" s="4">
        <f t="shared" si="199"/>
        <v>2842</v>
      </c>
      <c r="I623" s="4">
        <f t="shared" si="200"/>
        <v>2783</v>
      </c>
      <c r="J623" s="4">
        <f t="shared" si="201"/>
        <v>3004</v>
      </c>
      <c r="K623" s="4">
        <f t="shared" si="209"/>
        <v>4000</v>
      </c>
      <c r="L623" s="4">
        <f t="shared" si="210"/>
        <v>4000</v>
      </c>
      <c r="M623" s="4">
        <f t="shared" si="211"/>
        <v>4000</v>
      </c>
      <c r="N623" s="4">
        <f t="shared" si="205"/>
        <v>-1158</v>
      </c>
      <c r="O623" s="4">
        <f t="shared" si="206"/>
        <v>-1217</v>
      </c>
      <c r="P623" s="4">
        <f t="shared" si="207"/>
        <v>-996</v>
      </c>
      <c r="Q623" s="7">
        <v>4</v>
      </c>
      <c r="R623" s="7">
        <v>4</v>
      </c>
      <c r="S623" s="7">
        <v>4</v>
      </c>
      <c r="T623" s="5">
        <f t="shared" si="202"/>
        <v>2005</v>
      </c>
      <c r="U623" s="6">
        <f t="shared" si="213"/>
        <v>2272</v>
      </c>
      <c r="V623" s="6">
        <f t="shared" si="214"/>
        <v>2223</v>
      </c>
      <c r="W623" s="6">
        <f t="shared" si="212"/>
        <v>2454</v>
      </c>
      <c r="X623" s="5"/>
      <c r="Y623" s="4"/>
      <c r="Z623" s="4"/>
      <c r="AA623" s="4"/>
      <c r="AB623" s="4"/>
    </row>
    <row r="624" spans="1:28" ht="13.15" customHeight="1">
      <c r="A624" s="11">
        <f t="shared" si="191"/>
        <v>610</v>
      </c>
      <c r="B624" s="10">
        <f t="shared" si="203"/>
        <v>45653</v>
      </c>
      <c r="C624" s="9">
        <f t="shared" si="204"/>
        <v>842</v>
      </c>
      <c r="D624" s="8">
        <f t="shared" si="208"/>
        <v>3388</v>
      </c>
      <c r="E624" s="7">
        <f t="shared" si="196"/>
        <v>1391</v>
      </c>
      <c r="F624" s="7">
        <f t="shared" si="197"/>
        <v>1450</v>
      </c>
      <c r="G624" s="7">
        <f t="shared" si="198"/>
        <v>1229</v>
      </c>
      <c r="H624" s="4">
        <f t="shared" si="199"/>
        <v>2839</v>
      </c>
      <c r="I624" s="4">
        <f t="shared" si="200"/>
        <v>2780</v>
      </c>
      <c r="J624" s="4">
        <f t="shared" si="201"/>
        <v>3001</v>
      </c>
      <c r="K624" s="4">
        <f t="shared" si="209"/>
        <v>4000</v>
      </c>
      <c r="L624" s="4">
        <f t="shared" si="210"/>
        <v>4000</v>
      </c>
      <c r="M624" s="4">
        <f t="shared" si="211"/>
        <v>4000</v>
      </c>
      <c r="N624" s="4">
        <f t="shared" si="205"/>
        <v>-1161</v>
      </c>
      <c r="O624" s="4">
        <f t="shared" si="206"/>
        <v>-1220</v>
      </c>
      <c r="P624" s="4">
        <f t="shared" si="207"/>
        <v>-999</v>
      </c>
      <c r="Q624" s="7">
        <v>3</v>
      </c>
      <c r="R624" s="7">
        <v>3</v>
      </c>
      <c r="S624" s="7">
        <v>3</v>
      </c>
      <c r="T624" s="5">
        <f t="shared" si="202"/>
        <v>2010</v>
      </c>
      <c r="U624" s="6">
        <f t="shared" si="213"/>
        <v>2269</v>
      </c>
      <c r="V624" s="6">
        <f t="shared" si="214"/>
        <v>2220</v>
      </c>
      <c r="W624" s="6">
        <f t="shared" si="212"/>
        <v>2451</v>
      </c>
      <c r="X624" s="5"/>
      <c r="Y624" s="4"/>
      <c r="Z624" s="4"/>
      <c r="AA624" s="4"/>
      <c r="AB624" s="4"/>
    </row>
    <row r="625" spans="1:28" ht="13.15" customHeight="1">
      <c r="A625" s="11">
        <f t="shared" si="191"/>
        <v>611</v>
      </c>
      <c r="B625" s="10">
        <f t="shared" si="203"/>
        <v>45654</v>
      </c>
      <c r="C625" s="9">
        <f t="shared" si="204"/>
        <v>842</v>
      </c>
      <c r="D625" s="8">
        <f t="shared" si="208"/>
        <v>3390</v>
      </c>
      <c r="E625" s="7">
        <f t="shared" si="196"/>
        <v>1395</v>
      </c>
      <c r="F625" s="7">
        <f t="shared" si="197"/>
        <v>1454</v>
      </c>
      <c r="G625" s="7">
        <f t="shared" si="198"/>
        <v>1233</v>
      </c>
      <c r="H625" s="4">
        <f t="shared" si="199"/>
        <v>2837</v>
      </c>
      <c r="I625" s="4">
        <f t="shared" si="200"/>
        <v>2778</v>
      </c>
      <c r="J625" s="4">
        <f t="shared" si="201"/>
        <v>2999</v>
      </c>
      <c r="K625" s="4">
        <f t="shared" si="209"/>
        <v>4000</v>
      </c>
      <c r="L625" s="4">
        <f t="shared" si="210"/>
        <v>4000</v>
      </c>
      <c r="M625" s="4">
        <f t="shared" si="211"/>
        <v>4000</v>
      </c>
      <c r="N625" s="4">
        <f t="shared" si="205"/>
        <v>-1163</v>
      </c>
      <c r="O625" s="4">
        <f t="shared" si="206"/>
        <v>-1222</v>
      </c>
      <c r="P625" s="4">
        <f t="shared" si="207"/>
        <v>-1001</v>
      </c>
      <c r="Q625" s="7">
        <v>2</v>
      </c>
      <c r="R625" s="7">
        <v>2</v>
      </c>
      <c r="S625" s="7">
        <v>2</v>
      </c>
      <c r="T625" s="5">
        <f t="shared" si="202"/>
        <v>2014</v>
      </c>
      <c r="U625" s="6">
        <f t="shared" si="213"/>
        <v>2267</v>
      </c>
      <c r="V625" s="6">
        <f t="shared" si="214"/>
        <v>2218</v>
      </c>
      <c r="W625" s="6">
        <f t="shared" si="212"/>
        <v>2449</v>
      </c>
      <c r="X625" s="5"/>
      <c r="Y625" s="4"/>
      <c r="Z625" s="4"/>
      <c r="AA625" s="4"/>
      <c r="AB625" s="4"/>
    </row>
    <row r="626" spans="1:28" ht="13.15" customHeight="1">
      <c r="A626" s="11">
        <f t="shared" si="191"/>
        <v>612</v>
      </c>
      <c r="B626" s="10">
        <f t="shared" si="203"/>
        <v>45655</v>
      </c>
      <c r="C626" s="9">
        <f t="shared" si="204"/>
        <v>842</v>
      </c>
      <c r="D626" s="8">
        <f t="shared" si="208"/>
        <v>3392</v>
      </c>
      <c r="E626" s="7">
        <f t="shared" si="196"/>
        <v>1401</v>
      </c>
      <c r="F626" s="7">
        <f t="shared" si="197"/>
        <v>1460</v>
      </c>
      <c r="G626" s="7">
        <f t="shared" si="198"/>
        <v>1239</v>
      </c>
      <c r="H626" s="4">
        <f t="shared" si="199"/>
        <v>2833</v>
      </c>
      <c r="I626" s="4">
        <f t="shared" si="200"/>
        <v>2774</v>
      </c>
      <c r="J626" s="4">
        <f t="shared" si="201"/>
        <v>2995</v>
      </c>
      <c r="K626" s="4">
        <f t="shared" si="209"/>
        <v>4000</v>
      </c>
      <c r="L626" s="4">
        <f t="shared" si="210"/>
        <v>4000</v>
      </c>
      <c r="M626" s="4">
        <f t="shared" si="211"/>
        <v>4000</v>
      </c>
      <c r="N626" s="4">
        <f t="shared" si="205"/>
        <v>-1167</v>
      </c>
      <c r="O626" s="4">
        <f t="shared" si="206"/>
        <v>-1226</v>
      </c>
      <c r="P626" s="4">
        <f t="shared" si="207"/>
        <v>-1005</v>
      </c>
      <c r="Q626" s="7">
        <v>4</v>
      </c>
      <c r="R626" s="7">
        <v>4</v>
      </c>
      <c r="S626" s="7">
        <v>4</v>
      </c>
      <c r="T626" s="5">
        <f t="shared" si="202"/>
        <v>2020</v>
      </c>
      <c r="U626" s="6">
        <f t="shared" si="213"/>
        <v>2263</v>
      </c>
      <c r="V626" s="6">
        <f t="shared" si="214"/>
        <v>2214</v>
      </c>
      <c r="W626" s="6">
        <f t="shared" si="212"/>
        <v>2445</v>
      </c>
      <c r="X626" s="5"/>
      <c r="Y626" s="4"/>
      <c r="Z626" s="4"/>
      <c r="AA626" s="4"/>
      <c r="AB626" s="4"/>
    </row>
    <row r="627" spans="1:28" ht="13.15" customHeight="1">
      <c r="A627" s="11">
        <f t="shared" si="191"/>
        <v>613</v>
      </c>
      <c r="B627" s="10">
        <f t="shared" si="203"/>
        <v>45656</v>
      </c>
      <c r="C627" s="9">
        <f t="shared" si="204"/>
        <v>842</v>
      </c>
      <c r="D627" s="8">
        <f t="shared" si="208"/>
        <v>3394</v>
      </c>
      <c r="E627" s="7">
        <f t="shared" si="196"/>
        <v>1410</v>
      </c>
      <c r="F627" s="7">
        <f t="shared" si="197"/>
        <v>1469</v>
      </c>
      <c r="G627" s="7">
        <f t="shared" si="198"/>
        <v>1248</v>
      </c>
      <c r="H627" s="4">
        <f t="shared" si="199"/>
        <v>2826</v>
      </c>
      <c r="I627" s="4">
        <f t="shared" si="200"/>
        <v>2767</v>
      </c>
      <c r="J627" s="4">
        <f t="shared" si="201"/>
        <v>2988</v>
      </c>
      <c r="K627" s="4">
        <f t="shared" si="209"/>
        <v>4000</v>
      </c>
      <c r="L627" s="4">
        <f t="shared" si="210"/>
        <v>4000</v>
      </c>
      <c r="M627" s="4">
        <f t="shared" si="211"/>
        <v>4000</v>
      </c>
      <c r="N627" s="4">
        <f t="shared" si="205"/>
        <v>-1174</v>
      </c>
      <c r="O627" s="4">
        <f t="shared" si="206"/>
        <v>-1233</v>
      </c>
      <c r="P627" s="4">
        <f t="shared" si="207"/>
        <v>-1012</v>
      </c>
      <c r="Q627" s="7">
        <v>7</v>
      </c>
      <c r="R627" s="7">
        <v>7</v>
      </c>
      <c r="S627" s="7">
        <v>7</v>
      </c>
      <c r="T627" s="5">
        <f t="shared" si="202"/>
        <v>2029</v>
      </c>
      <c r="U627" s="6">
        <f t="shared" si="213"/>
        <v>2256</v>
      </c>
      <c r="V627" s="6">
        <f t="shared" si="214"/>
        <v>2207</v>
      </c>
      <c r="W627" s="6">
        <f t="shared" si="212"/>
        <v>2438</v>
      </c>
      <c r="X627" s="5"/>
      <c r="Y627" s="4"/>
      <c r="Z627" s="4"/>
      <c r="AA627" s="4"/>
      <c r="AB627" s="4"/>
    </row>
    <row r="628" spans="1:28" ht="13.15" customHeight="1">
      <c r="A628" s="9">
        <f t="shared" si="191"/>
        <v>614</v>
      </c>
      <c r="B628" s="10">
        <f t="shared" si="203"/>
        <v>45657</v>
      </c>
      <c r="C628" s="9">
        <f t="shared" si="204"/>
        <v>842</v>
      </c>
      <c r="D628" s="8">
        <f t="shared" si="208"/>
        <v>3396</v>
      </c>
      <c r="E628" s="7">
        <f t="shared" si="196"/>
        <v>1417</v>
      </c>
      <c r="F628" s="7">
        <f t="shared" si="197"/>
        <v>1476</v>
      </c>
      <c r="G628" s="7">
        <f t="shared" si="198"/>
        <v>1255</v>
      </c>
      <c r="H628" s="4">
        <f t="shared" si="199"/>
        <v>2821</v>
      </c>
      <c r="I628" s="4">
        <f t="shared" si="200"/>
        <v>2762</v>
      </c>
      <c r="J628" s="4">
        <f t="shared" si="201"/>
        <v>2983</v>
      </c>
      <c r="K628" s="4">
        <f t="shared" si="209"/>
        <v>4000</v>
      </c>
      <c r="L628" s="4">
        <f t="shared" si="210"/>
        <v>4000</v>
      </c>
      <c r="M628" s="4">
        <f t="shared" si="211"/>
        <v>4000</v>
      </c>
      <c r="N628" s="4">
        <f t="shared" si="205"/>
        <v>-1179</v>
      </c>
      <c r="O628" s="4">
        <f t="shared" si="206"/>
        <v>-1238</v>
      </c>
      <c r="P628" s="4">
        <f t="shared" si="207"/>
        <v>-1017</v>
      </c>
      <c r="Q628" s="7">
        <v>5</v>
      </c>
      <c r="R628" s="7">
        <v>5</v>
      </c>
      <c r="S628" s="7">
        <v>5</v>
      </c>
      <c r="T628" s="5">
        <f t="shared" si="202"/>
        <v>2036</v>
      </c>
      <c r="U628" s="6">
        <f t="shared" si="213"/>
        <v>2251</v>
      </c>
      <c r="V628" s="6">
        <f t="shared" si="214"/>
        <v>2202</v>
      </c>
      <c r="W628" s="6">
        <f t="shared" si="212"/>
        <v>2433</v>
      </c>
      <c r="X628" s="5"/>
      <c r="Y628" s="4"/>
      <c r="Z628" s="4"/>
      <c r="AA628" s="4"/>
      <c r="AB628" s="4"/>
    </row>
    <row r="629" spans="1:28" ht="13.15" customHeight="1">
      <c r="A629" s="9">
        <f t="shared" si="191"/>
        <v>615</v>
      </c>
      <c r="B629" s="10">
        <f t="shared" si="203"/>
        <v>45658</v>
      </c>
      <c r="C629" s="9">
        <f t="shared" si="204"/>
        <v>842</v>
      </c>
      <c r="D629" s="8">
        <f t="shared" si="208"/>
        <v>3398</v>
      </c>
      <c r="E629" s="7">
        <f t="shared" si="196"/>
        <v>1424</v>
      </c>
      <c r="F629" s="7">
        <f t="shared" si="197"/>
        <v>1483</v>
      </c>
      <c r="G629" s="7">
        <f t="shared" si="198"/>
        <v>1262</v>
      </c>
      <c r="H629" s="4">
        <f t="shared" si="199"/>
        <v>2816</v>
      </c>
      <c r="I629" s="4">
        <f t="shared" si="200"/>
        <v>2757</v>
      </c>
      <c r="J629" s="4">
        <f t="shared" si="201"/>
        <v>2978</v>
      </c>
      <c r="K629" s="4">
        <f t="shared" si="209"/>
        <v>4000</v>
      </c>
      <c r="L629" s="4">
        <f t="shared" si="210"/>
        <v>4000</v>
      </c>
      <c r="M629" s="4">
        <f t="shared" si="211"/>
        <v>4000</v>
      </c>
      <c r="N629" s="4">
        <f t="shared" si="205"/>
        <v>-1184</v>
      </c>
      <c r="O629" s="4">
        <f t="shared" si="206"/>
        <v>-1243</v>
      </c>
      <c r="P629" s="4">
        <f t="shared" si="207"/>
        <v>-1022</v>
      </c>
      <c r="Q629" s="7">
        <v>5</v>
      </c>
      <c r="R629" s="7">
        <v>5</v>
      </c>
      <c r="S629" s="7">
        <v>5</v>
      </c>
      <c r="T629" s="5">
        <f t="shared" si="202"/>
        <v>2043</v>
      </c>
      <c r="U629" s="6">
        <f t="shared" si="213"/>
        <v>2246</v>
      </c>
      <c r="V629" s="6">
        <f t="shared" si="214"/>
        <v>2197</v>
      </c>
      <c r="W629" s="6">
        <f t="shared" si="212"/>
        <v>2428</v>
      </c>
      <c r="X629" s="5"/>
      <c r="Y629" s="4"/>
      <c r="Z629" s="4"/>
      <c r="AA629" s="4"/>
      <c r="AB629" s="4"/>
    </row>
    <row r="630" spans="1:28" ht="13.15" customHeight="1">
      <c r="A630" s="9">
        <f t="shared" si="191"/>
        <v>616</v>
      </c>
      <c r="B630" s="10">
        <f t="shared" si="203"/>
        <v>45659</v>
      </c>
      <c r="C630" s="9">
        <f t="shared" si="204"/>
        <v>842</v>
      </c>
      <c r="D630" s="8">
        <f t="shared" si="208"/>
        <v>3400</v>
      </c>
      <c r="E630" s="7">
        <f t="shared" si="196"/>
        <v>1430</v>
      </c>
      <c r="F630" s="7">
        <f t="shared" si="197"/>
        <v>1489</v>
      </c>
      <c r="G630" s="7">
        <f t="shared" si="198"/>
        <v>1268</v>
      </c>
      <c r="H630" s="4">
        <f t="shared" si="199"/>
        <v>2812</v>
      </c>
      <c r="I630" s="4">
        <f t="shared" si="200"/>
        <v>2753</v>
      </c>
      <c r="J630" s="4">
        <f t="shared" si="201"/>
        <v>2974</v>
      </c>
      <c r="K630" s="4">
        <f t="shared" si="209"/>
        <v>4000</v>
      </c>
      <c r="L630" s="4">
        <f t="shared" si="210"/>
        <v>4000</v>
      </c>
      <c r="M630" s="4">
        <f t="shared" si="211"/>
        <v>4000</v>
      </c>
      <c r="N630" s="4">
        <f t="shared" si="205"/>
        <v>-1188</v>
      </c>
      <c r="O630" s="4">
        <f t="shared" si="206"/>
        <v>-1247</v>
      </c>
      <c r="P630" s="4">
        <f t="shared" si="207"/>
        <v>-1026</v>
      </c>
      <c r="Q630" s="7">
        <v>4</v>
      </c>
      <c r="R630" s="7">
        <v>4</v>
      </c>
      <c r="S630" s="7">
        <v>4</v>
      </c>
      <c r="T630" s="5">
        <f t="shared" si="202"/>
        <v>2049</v>
      </c>
      <c r="U630" s="6">
        <f t="shared" si="213"/>
        <v>2242</v>
      </c>
      <c r="V630" s="6">
        <f t="shared" si="214"/>
        <v>2193</v>
      </c>
      <c r="W630" s="6">
        <f t="shared" si="212"/>
        <v>2424</v>
      </c>
      <c r="X630" s="5"/>
      <c r="Y630" s="4"/>
      <c r="Z630" s="4"/>
      <c r="AA630" s="4"/>
      <c r="AB630" s="4"/>
    </row>
    <row r="631" spans="1:28" ht="13.15" customHeight="1">
      <c r="A631" s="9">
        <f t="shared" si="191"/>
        <v>617</v>
      </c>
      <c r="B631" s="10">
        <f t="shared" si="203"/>
        <v>45660</v>
      </c>
      <c r="C631" s="9">
        <f t="shared" si="204"/>
        <v>842</v>
      </c>
      <c r="D631" s="8">
        <f t="shared" si="208"/>
        <v>3402</v>
      </c>
      <c r="E631" s="7">
        <f t="shared" si="196"/>
        <v>1435</v>
      </c>
      <c r="F631" s="7">
        <f t="shared" si="197"/>
        <v>1494</v>
      </c>
      <c r="G631" s="7">
        <f t="shared" si="198"/>
        <v>1273</v>
      </c>
      <c r="H631" s="4">
        <f t="shared" si="199"/>
        <v>2809</v>
      </c>
      <c r="I631" s="4">
        <f t="shared" si="200"/>
        <v>2750</v>
      </c>
      <c r="J631" s="4">
        <f t="shared" si="201"/>
        <v>2971</v>
      </c>
      <c r="K631" s="4">
        <f t="shared" si="209"/>
        <v>4000</v>
      </c>
      <c r="L631" s="4">
        <f t="shared" si="210"/>
        <v>4000</v>
      </c>
      <c r="M631" s="4">
        <f t="shared" si="211"/>
        <v>4000</v>
      </c>
      <c r="N631" s="4">
        <f t="shared" si="205"/>
        <v>-1191</v>
      </c>
      <c r="O631" s="4">
        <f t="shared" si="206"/>
        <v>-1250</v>
      </c>
      <c r="P631" s="4">
        <f t="shared" si="207"/>
        <v>-1029</v>
      </c>
      <c r="Q631" s="7">
        <v>3</v>
      </c>
      <c r="R631" s="7">
        <v>3</v>
      </c>
      <c r="S631" s="7">
        <v>3</v>
      </c>
      <c r="T631" s="5">
        <f t="shared" si="202"/>
        <v>2054</v>
      </c>
      <c r="U631" s="6">
        <f t="shared" si="213"/>
        <v>2239</v>
      </c>
      <c r="V631" s="6">
        <f t="shared" si="214"/>
        <v>2190</v>
      </c>
      <c r="W631" s="6">
        <f t="shared" si="212"/>
        <v>2421</v>
      </c>
      <c r="X631" s="5"/>
      <c r="Y631" s="4"/>
      <c r="Z631" s="4"/>
      <c r="AA631" s="4"/>
      <c r="AB631" s="4"/>
    </row>
    <row r="632" spans="1:28" ht="13.15" customHeight="1">
      <c r="A632" s="9">
        <f t="shared" si="191"/>
        <v>618</v>
      </c>
      <c r="B632" s="10">
        <f t="shared" si="203"/>
        <v>45661</v>
      </c>
      <c r="C632" s="9">
        <f t="shared" si="204"/>
        <v>842</v>
      </c>
      <c r="D632" s="8">
        <f t="shared" si="208"/>
        <v>3404</v>
      </c>
      <c r="E632" s="7">
        <f t="shared" si="196"/>
        <v>1439</v>
      </c>
      <c r="F632" s="7">
        <f t="shared" si="197"/>
        <v>1498</v>
      </c>
      <c r="G632" s="7">
        <f t="shared" si="198"/>
        <v>1277</v>
      </c>
      <c r="H632" s="4">
        <f t="shared" si="199"/>
        <v>2807</v>
      </c>
      <c r="I632" s="4">
        <f t="shared" si="200"/>
        <v>2748</v>
      </c>
      <c r="J632" s="4">
        <f t="shared" si="201"/>
        <v>2969</v>
      </c>
      <c r="K632" s="4">
        <f t="shared" si="209"/>
        <v>4000</v>
      </c>
      <c r="L632" s="4">
        <f t="shared" si="210"/>
        <v>4000</v>
      </c>
      <c r="M632" s="4">
        <f t="shared" si="211"/>
        <v>4000</v>
      </c>
      <c r="N632" s="4">
        <f t="shared" si="205"/>
        <v>-1193</v>
      </c>
      <c r="O632" s="4">
        <f t="shared" si="206"/>
        <v>-1252</v>
      </c>
      <c r="P632" s="4">
        <f t="shared" si="207"/>
        <v>-1031</v>
      </c>
      <c r="Q632" s="7">
        <v>2</v>
      </c>
      <c r="R632" s="7">
        <v>2</v>
      </c>
      <c r="S632" s="7">
        <v>2</v>
      </c>
      <c r="T632" s="5">
        <f t="shared" si="202"/>
        <v>2058</v>
      </c>
      <c r="U632" s="6">
        <f t="shared" si="213"/>
        <v>2237</v>
      </c>
      <c r="V632" s="6">
        <f t="shared" si="214"/>
        <v>2188</v>
      </c>
      <c r="W632" s="6">
        <f t="shared" si="212"/>
        <v>2419</v>
      </c>
      <c r="X632" s="5"/>
      <c r="Y632" s="4"/>
      <c r="Z632" s="4"/>
      <c r="AA632" s="4"/>
      <c r="AB632" s="4"/>
    </row>
    <row r="633" spans="1:28" ht="13.15" customHeight="1">
      <c r="A633" s="9">
        <f t="shared" si="191"/>
        <v>619</v>
      </c>
      <c r="B633" s="10">
        <f t="shared" si="203"/>
        <v>45662</v>
      </c>
      <c r="C633" s="9">
        <f t="shared" si="204"/>
        <v>842</v>
      </c>
      <c r="D633" s="8">
        <f t="shared" si="208"/>
        <v>3406</v>
      </c>
      <c r="E633" s="7">
        <f t="shared" si="196"/>
        <v>1445</v>
      </c>
      <c r="F633" s="7">
        <f t="shared" si="197"/>
        <v>1504</v>
      </c>
      <c r="G633" s="7">
        <f t="shared" si="198"/>
        <v>1283</v>
      </c>
      <c r="H633" s="4">
        <f t="shared" si="199"/>
        <v>2803</v>
      </c>
      <c r="I633" s="4">
        <f t="shared" si="200"/>
        <v>2744</v>
      </c>
      <c r="J633" s="4">
        <f t="shared" si="201"/>
        <v>2965</v>
      </c>
      <c r="K633" s="4">
        <f t="shared" si="209"/>
        <v>4000</v>
      </c>
      <c r="L633" s="4">
        <f t="shared" si="210"/>
        <v>4000</v>
      </c>
      <c r="M633" s="4">
        <f t="shared" si="211"/>
        <v>4000</v>
      </c>
      <c r="N633" s="4">
        <f t="shared" si="205"/>
        <v>-1197</v>
      </c>
      <c r="O633" s="4">
        <f t="shared" si="206"/>
        <v>-1256</v>
      </c>
      <c r="P633" s="4">
        <f t="shared" si="207"/>
        <v>-1035</v>
      </c>
      <c r="Q633" s="7">
        <v>4</v>
      </c>
      <c r="R633" s="7">
        <v>4</v>
      </c>
      <c r="S633" s="7">
        <v>4</v>
      </c>
      <c r="T633" s="5">
        <f t="shared" si="202"/>
        <v>2064</v>
      </c>
      <c r="U633" s="6">
        <f t="shared" si="213"/>
        <v>2233</v>
      </c>
      <c r="V633" s="6">
        <f t="shared" si="214"/>
        <v>2184</v>
      </c>
      <c r="W633" s="6">
        <f t="shared" si="212"/>
        <v>2415</v>
      </c>
      <c r="X633" s="5"/>
      <c r="Y633" s="4"/>
      <c r="Z633" s="4"/>
      <c r="AA633" s="4"/>
      <c r="AB633" s="4"/>
    </row>
    <row r="634" spans="1:28" ht="13.15" customHeight="1">
      <c r="A634" s="9">
        <f t="shared" si="191"/>
        <v>620</v>
      </c>
      <c r="B634" s="10">
        <f t="shared" si="203"/>
        <v>45663</v>
      </c>
      <c r="C634" s="9">
        <f t="shared" si="204"/>
        <v>842</v>
      </c>
      <c r="D634" s="8">
        <f t="shared" si="208"/>
        <v>3408</v>
      </c>
      <c r="E634" s="7">
        <f t="shared" si="196"/>
        <v>1450</v>
      </c>
      <c r="F634" s="7">
        <f t="shared" si="197"/>
        <v>1508</v>
      </c>
      <c r="G634" s="7">
        <f t="shared" si="198"/>
        <v>1287</v>
      </c>
      <c r="H634" s="4">
        <f t="shared" si="199"/>
        <v>2800</v>
      </c>
      <c r="I634" s="4">
        <f t="shared" si="200"/>
        <v>2742</v>
      </c>
      <c r="J634" s="4">
        <f t="shared" si="201"/>
        <v>2963</v>
      </c>
      <c r="K634" s="4">
        <f t="shared" si="209"/>
        <v>4000</v>
      </c>
      <c r="L634" s="4">
        <f t="shared" si="210"/>
        <v>4000</v>
      </c>
      <c r="M634" s="4">
        <f t="shared" si="211"/>
        <v>4000</v>
      </c>
      <c r="N634" s="4">
        <f t="shared" si="205"/>
        <v>-1200</v>
      </c>
      <c r="O634" s="4">
        <f t="shared" si="206"/>
        <v>-1258</v>
      </c>
      <c r="P634" s="4">
        <f t="shared" si="207"/>
        <v>-1037</v>
      </c>
      <c r="Q634" s="7">
        <v>3</v>
      </c>
      <c r="R634" s="7">
        <v>2</v>
      </c>
      <c r="S634" s="7">
        <v>2</v>
      </c>
      <c r="T634" s="5">
        <f t="shared" si="202"/>
        <v>2068</v>
      </c>
      <c r="U634" s="6">
        <f t="shared" si="213"/>
        <v>2230</v>
      </c>
      <c r="V634" s="6">
        <f t="shared" si="214"/>
        <v>2182</v>
      </c>
      <c r="W634" s="6">
        <f t="shared" si="212"/>
        <v>2413</v>
      </c>
      <c r="X634" s="5"/>
      <c r="Y634" s="4"/>
      <c r="Z634" s="4"/>
      <c r="AA634" s="4"/>
      <c r="AB634" s="4"/>
    </row>
    <row r="635" spans="1:28" ht="13.15" customHeight="1">
      <c r="A635" s="9">
        <f t="shared" ref="A635:A698" si="215">+A634+1</f>
        <v>621</v>
      </c>
      <c r="B635" s="10">
        <f t="shared" si="203"/>
        <v>45664</v>
      </c>
      <c r="C635" s="9">
        <f t="shared" si="204"/>
        <v>842</v>
      </c>
      <c r="D635" s="8">
        <f t="shared" si="208"/>
        <v>3410</v>
      </c>
      <c r="E635" s="7">
        <f t="shared" si="196"/>
        <v>1456</v>
      </c>
      <c r="F635" s="7">
        <f t="shared" si="197"/>
        <v>1514</v>
      </c>
      <c r="G635" s="7">
        <f t="shared" si="198"/>
        <v>1293</v>
      </c>
      <c r="H635" s="4">
        <f t="shared" si="199"/>
        <v>2796</v>
      </c>
      <c r="I635" s="4">
        <f t="shared" si="200"/>
        <v>2738</v>
      </c>
      <c r="J635" s="4">
        <f t="shared" si="201"/>
        <v>2959</v>
      </c>
      <c r="K635" s="4">
        <f t="shared" si="209"/>
        <v>4000</v>
      </c>
      <c r="L635" s="4">
        <f t="shared" si="210"/>
        <v>4000</v>
      </c>
      <c r="M635" s="4">
        <f t="shared" si="211"/>
        <v>4000</v>
      </c>
      <c r="N635" s="4">
        <f t="shared" si="205"/>
        <v>-1204</v>
      </c>
      <c r="O635" s="4">
        <f t="shared" si="206"/>
        <v>-1262</v>
      </c>
      <c r="P635" s="4">
        <f t="shared" si="207"/>
        <v>-1041</v>
      </c>
      <c r="Q635" s="7">
        <v>4</v>
      </c>
      <c r="R635" s="7">
        <v>4</v>
      </c>
      <c r="S635" s="7">
        <v>4</v>
      </c>
      <c r="T635" s="5">
        <f t="shared" si="202"/>
        <v>2074</v>
      </c>
      <c r="U635" s="6">
        <f t="shared" si="213"/>
        <v>2226</v>
      </c>
      <c r="V635" s="6">
        <f t="shared" si="214"/>
        <v>2178</v>
      </c>
      <c r="W635" s="6">
        <f t="shared" si="212"/>
        <v>2409</v>
      </c>
      <c r="X635" s="5"/>
      <c r="Y635" s="4"/>
      <c r="Z635" s="4"/>
      <c r="AA635" s="4"/>
      <c r="AB635" s="4"/>
    </row>
    <row r="636" spans="1:28" ht="13.15" customHeight="1">
      <c r="A636" s="9">
        <f t="shared" si="215"/>
        <v>622</v>
      </c>
      <c r="B636" s="10">
        <f t="shared" si="203"/>
        <v>45665</v>
      </c>
      <c r="C636" s="9">
        <f t="shared" si="204"/>
        <v>842</v>
      </c>
      <c r="D636" s="8">
        <f t="shared" si="208"/>
        <v>3412</v>
      </c>
      <c r="E636" s="7">
        <f t="shared" si="196"/>
        <v>1459</v>
      </c>
      <c r="F636" s="7">
        <f t="shared" si="197"/>
        <v>1517</v>
      </c>
      <c r="G636" s="7">
        <f t="shared" si="198"/>
        <v>1296</v>
      </c>
      <c r="H636" s="4">
        <f t="shared" si="199"/>
        <v>2795</v>
      </c>
      <c r="I636" s="4">
        <f t="shared" si="200"/>
        <v>2737</v>
      </c>
      <c r="J636" s="4">
        <f t="shared" si="201"/>
        <v>2958</v>
      </c>
      <c r="K636" s="4">
        <f t="shared" si="209"/>
        <v>4000</v>
      </c>
      <c r="L636" s="4">
        <f t="shared" si="210"/>
        <v>4000</v>
      </c>
      <c r="M636" s="4">
        <f t="shared" si="211"/>
        <v>4000</v>
      </c>
      <c r="N636" s="4">
        <f t="shared" si="205"/>
        <v>-1205</v>
      </c>
      <c r="O636" s="4">
        <f t="shared" si="206"/>
        <v>-1263</v>
      </c>
      <c r="P636" s="4">
        <f t="shared" si="207"/>
        <v>-1042</v>
      </c>
      <c r="Q636" s="7">
        <v>1</v>
      </c>
      <c r="R636" s="7">
        <v>1</v>
      </c>
      <c r="S636" s="7">
        <v>1</v>
      </c>
      <c r="T636" s="5">
        <f t="shared" si="202"/>
        <v>2077</v>
      </c>
      <c r="U636" s="6">
        <f t="shared" si="213"/>
        <v>2225</v>
      </c>
      <c r="V636" s="6">
        <f t="shared" si="214"/>
        <v>2177</v>
      </c>
      <c r="W636" s="6">
        <f t="shared" si="212"/>
        <v>2408</v>
      </c>
      <c r="X636" s="5"/>
      <c r="Y636" s="4"/>
      <c r="Z636" s="4"/>
      <c r="AA636" s="4"/>
      <c r="AB636" s="4"/>
    </row>
    <row r="637" spans="1:28" ht="13.15" customHeight="1">
      <c r="A637" s="9">
        <f t="shared" si="215"/>
        <v>623</v>
      </c>
      <c r="B637" s="10">
        <f t="shared" si="203"/>
        <v>45666</v>
      </c>
      <c r="C637" s="9">
        <f t="shared" si="204"/>
        <v>842</v>
      </c>
      <c r="D637" s="8">
        <f t="shared" si="208"/>
        <v>3414</v>
      </c>
      <c r="E637" s="7">
        <f t="shared" si="196"/>
        <v>1465</v>
      </c>
      <c r="F637" s="7">
        <f t="shared" si="197"/>
        <v>1520</v>
      </c>
      <c r="G637" s="7">
        <f t="shared" si="198"/>
        <v>1299</v>
      </c>
      <c r="H637" s="4">
        <f t="shared" si="199"/>
        <v>2791</v>
      </c>
      <c r="I637" s="4">
        <f t="shared" si="200"/>
        <v>2736</v>
      </c>
      <c r="J637" s="4">
        <f t="shared" si="201"/>
        <v>2957</v>
      </c>
      <c r="K637" s="4">
        <f t="shared" si="209"/>
        <v>4000</v>
      </c>
      <c r="L637" s="4">
        <f t="shared" si="210"/>
        <v>4000</v>
      </c>
      <c r="M637" s="4">
        <f t="shared" si="211"/>
        <v>4000</v>
      </c>
      <c r="N637" s="4">
        <f t="shared" si="205"/>
        <v>-1209</v>
      </c>
      <c r="O637" s="4">
        <f t="shared" si="206"/>
        <v>-1264</v>
      </c>
      <c r="P637" s="4">
        <f t="shared" si="207"/>
        <v>-1043</v>
      </c>
      <c r="Q637" s="7">
        <v>4</v>
      </c>
      <c r="R637" s="7">
        <v>1</v>
      </c>
      <c r="S637" s="7">
        <v>1</v>
      </c>
      <c r="T637" s="5">
        <f t="shared" si="202"/>
        <v>2080</v>
      </c>
      <c r="U637" s="6">
        <f t="shared" si="213"/>
        <v>2221</v>
      </c>
      <c r="V637" s="6">
        <f t="shared" si="214"/>
        <v>2176</v>
      </c>
      <c r="W637" s="6">
        <f t="shared" si="212"/>
        <v>2407</v>
      </c>
      <c r="X637" s="5"/>
      <c r="Y637" s="4"/>
      <c r="Z637" s="4"/>
      <c r="AA637" s="4"/>
      <c r="AB637" s="4"/>
    </row>
    <row r="638" spans="1:28" ht="13.15" customHeight="1">
      <c r="A638" s="9">
        <f t="shared" si="215"/>
        <v>624</v>
      </c>
      <c r="B638" s="10">
        <f t="shared" si="203"/>
        <v>45667</v>
      </c>
      <c r="C638" s="9">
        <f t="shared" si="204"/>
        <v>842</v>
      </c>
      <c r="D638" s="8">
        <f t="shared" si="208"/>
        <v>3416</v>
      </c>
      <c r="E638" s="7">
        <f t="shared" si="196"/>
        <v>1467</v>
      </c>
      <c r="F638" s="7">
        <f t="shared" si="197"/>
        <v>1523</v>
      </c>
      <c r="G638" s="7">
        <f t="shared" si="198"/>
        <v>1302</v>
      </c>
      <c r="H638" s="4">
        <f t="shared" si="199"/>
        <v>2791</v>
      </c>
      <c r="I638" s="4">
        <f t="shared" si="200"/>
        <v>2735</v>
      </c>
      <c r="J638" s="4">
        <f t="shared" si="201"/>
        <v>2956</v>
      </c>
      <c r="K638" s="4">
        <f t="shared" si="209"/>
        <v>4000</v>
      </c>
      <c r="L638" s="4">
        <f t="shared" si="210"/>
        <v>4000</v>
      </c>
      <c r="M638" s="4">
        <f t="shared" si="211"/>
        <v>4000</v>
      </c>
      <c r="N638" s="4">
        <f t="shared" si="205"/>
        <v>-1209</v>
      </c>
      <c r="O638" s="4">
        <f t="shared" si="206"/>
        <v>-1265</v>
      </c>
      <c r="P638" s="4">
        <f t="shared" si="207"/>
        <v>-1044</v>
      </c>
      <c r="Q638" s="7">
        <v>0</v>
      </c>
      <c r="R638" s="7">
        <v>1</v>
      </c>
      <c r="S638" s="7">
        <v>1</v>
      </c>
      <c r="T638" s="5">
        <f t="shared" si="202"/>
        <v>2083</v>
      </c>
      <c r="U638" s="6">
        <f t="shared" si="213"/>
        <v>2221</v>
      </c>
      <c r="V638" s="6">
        <f t="shared" si="214"/>
        <v>2175</v>
      </c>
      <c r="W638" s="6">
        <f t="shared" si="212"/>
        <v>2406</v>
      </c>
      <c r="X638" s="5"/>
      <c r="Y638" s="4"/>
      <c r="Z638" s="4"/>
      <c r="AA638" s="4"/>
      <c r="AB638" s="4"/>
    </row>
    <row r="639" spans="1:28" ht="13.15" customHeight="1">
      <c r="A639" s="9">
        <f t="shared" si="215"/>
        <v>625</v>
      </c>
      <c r="B639" s="10">
        <f t="shared" si="203"/>
        <v>45668</v>
      </c>
      <c r="C639" s="9">
        <f t="shared" si="204"/>
        <v>842</v>
      </c>
      <c r="D639" s="8">
        <f t="shared" si="208"/>
        <v>3418</v>
      </c>
      <c r="E639" s="7">
        <f t="shared" si="196"/>
        <v>1471</v>
      </c>
      <c r="F639" s="7">
        <f t="shared" si="197"/>
        <v>1528</v>
      </c>
      <c r="G639" s="7">
        <f t="shared" si="198"/>
        <v>1307</v>
      </c>
      <c r="H639" s="4">
        <f t="shared" si="199"/>
        <v>2789</v>
      </c>
      <c r="I639" s="4">
        <f t="shared" si="200"/>
        <v>2732</v>
      </c>
      <c r="J639" s="4">
        <f t="shared" si="201"/>
        <v>2953</v>
      </c>
      <c r="K639" s="4">
        <f t="shared" si="209"/>
        <v>4000</v>
      </c>
      <c r="L639" s="4">
        <f t="shared" si="210"/>
        <v>4000</v>
      </c>
      <c r="M639" s="4">
        <f t="shared" si="211"/>
        <v>4000</v>
      </c>
      <c r="N639" s="4">
        <f t="shared" si="205"/>
        <v>-1211</v>
      </c>
      <c r="O639" s="4">
        <f t="shared" si="206"/>
        <v>-1268</v>
      </c>
      <c r="P639" s="4">
        <f t="shared" si="207"/>
        <v>-1047</v>
      </c>
      <c r="Q639" s="7">
        <v>2</v>
      </c>
      <c r="R639" s="7">
        <v>3</v>
      </c>
      <c r="S639" s="7">
        <v>3</v>
      </c>
      <c r="T639" s="5">
        <f t="shared" si="202"/>
        <v>2088</v>
      </c>
      <c r="U639" s="6">
        <f t="shared" si="213"/>
        <v>2219</v>
      </c>
      <c r="V639" s="6">
        <f t="shared" si="214"/>
        <v>2172</v>
      </c>
      <c r="W639" s="6">
        <f t="shared" si="212"/>
        <v>2403</v>
      </c>
      <c r="X639" s="5"/>
      <c r="Y639" s="4"/>
      <c r="Z639" s="4"/>
      <c r="AA639" s="4"/>
      <c r="AB639" s="4"/>
    </row>
    <row r="640" spans="1:28" ht="13.15" customHeight="1">
      <c r="A640" s="9">
        <f t="shared" si="215"/>
        <v>626</v>
      </c>
      <c r="B640" s="10">
        <f t="shared" si="203"/>
        <v>45669</v>
      </c>
      <c r="C640" s="9">
        <f t="shared" si="204"/>
        <v>842</v>
      </c>
      <c r="D640" s="8">
        <f t="shared" si="208"/>
        <v>3420</v>
      </c>
      <c r="E640" s="7">
        <f t="shared" si="196"/>
        <v>1477</v>
      </c>
      <c r="F640" s="7">
        <f t="shared" si="197"/>
        <v>1531</v>
      </c>
      <c r="G640" s="7">
        <f t="shared" si="198"/>
        <v>1310</v>
      </c>
      <c r="H640" s="4">
        <f t="shared" si="199"/>
        <v>2785</v>
      </c>
      <c r="I640" s="4">
        <f t="shared" si="200"/>
        <v>2731</v>
      </c>
      <c r="J640" s="4">
        <f t="shared" si="201"/>
        <v>2952</v>
      </c>
      <c r="K640" s="4">
        <f t="shared" si="209"/>
        <v>4000</v>
      </c>
      <c r="L640" s="4">
        <f t="shared" si="210"/>
        <v>4000</v>
      </c>
      <c r="M640" s="4">
        <f t="shared" si="211"/>
        <v>4000</v>
      </c>
      <c r="N640" s="4">
        <f t="shared" si="205"/>
        <v>-1215</v>
      </c>
      <c r="O640" s="4">
        <f t="shared" si="206"/>
        <v>-1269</v>
      </c>
      <c r="P640" s="4">
        <f t="shared" si="207"/>
        <v>-1048</v>
      </c>
      <c r="Q640" s="7">
        <v>4</v>
      </c>
      <c r="R640" s="7">
        <v>1</v>
      </c>
      <c r="S640" s="7">
        <v>1</v>
      </c>
      <c r="T640" s="5">
        <f t="shared" si="202"/>
        <v>2091</v>
      </c>
      <c r="U640" s="6">
        <f t="shared" si="213"/>
        <v>2215</v>
      </c>
      <c r="V640" s="6">
        <f t="shared" si="214"/>
        <v>2171</v>
      </c>
      <c r="W640" s="6">
        <f t="shared" si="212"/>
        <v>2402</v>
      </c>
      <c r="X640" s="5"/>
      <c r="Y640" s="4"/>
      <c r="Z640" s="4"/>
      <c r="AA640" s="4"/>
      <c r="AB640" s="4"/>
    </row>
    <row r="641" spans="1:28" ht="13.15" customHeight="1">
      <c r="A641" s="9">
        <f t="shared" si="215"/>
        <v>627</v>
      </c>
      <c r="B641" s="10">
        <f t="shared" si="203"/>
        <v>45670</v>
      </c>
      <c r="C641" s="9">
        <f t="shared" si="204"/>
        <v>842</v>
      </c>
      <c r="D641" s="8">
        <f t="shared" si="208"/>
        <v>3422</v>
      </c>
      <c r="E641" s="7">
        <f t="shared" si="196"/>
        <v>1480</v>
      </c>
      <c r="F641" s="7">
        <f t="shared" si="197"/>
        <v>1535</v>
      </c>
      <c r="G641" s="7">
        <f t="shared" si="198"/>
        <v>1314</v>
      </c>
      <c r="H641" s="4">
        <f t="shared" si="199"/>
        <v>2784</v>
      </c>
      <c r="I641" s="4">
        <f t="shared" si="200"/>
        <v>2729</v>
      </c>
      <c r="J641" s="4">
        <f t="shared" si="201"/>
        <v>2950</v>
      </c>
      <c r="K641" s="4">
        <f t="shared" si="209"/>
        <v>4000</v>
      </c>
      <c r="L641" s="4">
        <f t="shared" si="210"/>
        <v>4000</v>
      </c>
      <c r="M641" s="4">
        <f t="shared" si="211"/>
        <v>4000</v>
      </c>
      <c r="N641" s="4">
        <f t="shared" si="205"/>
        <v>-1216</v>
      </c>
      <c r="O641" s="4">
        <f t="shared" si="206"/>
        <v>-1271</v>
      </c>
      <c r="P641" s="4">
        <f t="shared" si="207"/>
        <v>-1050</v>
      </c>
      <c r="Q641" s="7">
        <v>1</v>
      </c>
      <c r="R641" s="7">
        <v>2</v>
      </c>
      <c r="S641" s="7">
        <v>2</v>
      </c>
      <c r="T641" s="5">
        <f t="shared" si="202"/>
        <v>2095</v>
      </c>
      <c r="U641" s="6">
        <f t="shared" si="213"/>
        <v>2214</v>
      </c>
      <c r="V641" s="6">
        <f t="shared" si="214"/>
        <v>2169</v>
      </c>
      <c r="W641" s="6">
        <f t="shared" si="212"/>
        <v>2400</v>
      </c>
      <c r="X641" s="5"/>
      <c r="Y641" s="4"/>
      <c r="Z641" s="4"/>
      <c r="AA641" s="4"/>
      <c r="AB641" s="4"/>
    </row>
    <row r="642" spans="1:28" ht="13.15" customHeight="1">
      <c r="A642" s="9">
        <f t="shared" si="215"/>
        <v>628</v>
      </c>
      <c r="B642" s="10">
        <f t="shared" si="203"/>
        <v>45671</v>
      </c>
      <c r="C642" s="9">
        <f t="shared" si="204"/>
        <v>842</v>
      </c>
      <c r="D642" s="8">
        <f t="shared" ref="D642:D673" si="216">D641+2</f>
        <v>3424</v>
      </c>
      <c r="E642" s="7">
        <f t="shared" si="196"/>
        <v>1483</v>
      </c>
      <c r="F642" s="7">
        <f t="shared" si="197"/>
        <v>1538</v>
      </c>
      <c r="G642" s="7">
        <f t="shared" si="198"/>
        <v>1317</v>
      </c>
      <c r="H642" s="4">
        <f t="shared" si="199"/>
        <v>2783</v>
      </c>
      <c r="I642" s="4">
        <f t="shared" si="200"/>
        <v>2728</v>
      </c>
      <c r="J642" s="4">
        <f t="shared" si="201"/>
        <v>2949</v>
      </c>
      <c r="K642" s="4">
        <f t="shared" ref="K642:K673" si="217">K641</f>
        <v>4000</v>
      </c>
      <c r="L642" s="4">
        <f t="shared" ref="L642:L673" si="218">L641</f>
        <v>4000</v>
      </c>
      <c r="M642" s="4">
        <f t="shared" ref="M642:M673" si="219">M641</f>
        <v>4000</v>
      </c>
      <c r="N642" s="4">
        <f t="shared" si="205"/>
        <v>-1217</v>
      </c>
      <c r="O642" s="4">
        <f t="shared" si="206"/>
        <v>-1272</v>
      </c>
      <c r="P642" s="4">
        <f t="shared" si="207"/>
        <v>-1051</v>
      </c>
      <c r="Q642" s="7">
        <v>1</v>
      </c>
      <c r="R642" s="7">
        <v>1</v>
      </c>
      <c r="S642" s="7">
        <v>1</v>
      </c>
      <c r="T642" s="5">
        <f t="shared" si="202"/>
        <v>2098</v>
      </c>
      <c r="U642" s="6">
        <f t="shared" si="213"/>
        <v>2213</v>
      </c>
      <c r="V642" s="6">
        <f t="shared" si="214"/>
        <v>2168</v>
      </c>
      <c r="W642" s="6">
        <f t="shared" si="212"/>
        <v>2399</v>
      </c>
      <c r="X642" s="5"/>
      <c r="Y642" s="4"/>
      <c r="Z642" s="4"/>
      <c r="AA642" s="4"/>
      <c r="AB642" s="4"/>
    </row>
    <row r="643" spans="1:28" ht="13.15" customHeight="1">
      <c r="A643" s="9">
        <f t="shared" si="215"/>
        <v>629</v>
      </c>
      <c r="B643" s="10">
        <f t="shared" si="203"/>
        <v>45672</v>
      </c>
      <c r="C643" s="9">
        <f t="shared" si="204"/>
        <v>842</v>
      </c>
      <c r="D643" s="8">
        <f t="shared" si="216"/>
        <v>3426</v>
      </c>
      <c r="E643" s="7">
        <f t="shared" si="196"/>
        <v>1486</v>
      </c>
      <c r="F643" s="7">
        <f t="shared" si="197"/>
        <v>1542</v>
      </c>
      <c r="G643" s="7">
        <f t="shared" si="198"/>
        <v>1321</v>
      </c>
      <c r="H643" s="4">
        <f t="shared" si="199"/>
        <v>2782</v>
      </c>
      <c r="I643" s="4">
        <f t="shared" si="200"/>
        <v>2726</v>
      </c>
      <c r="J643" s="4">
        <f t="shared" si="201"/>
        <v>2947</v>
      </c>
      <c r="K643" s="4">
        <f t="shared" si="217"/>
        <v>4000</v>
      </c>
      <c r="L643" s="4">
        <f t="shared" si="218"/>
        <v>4000</v>
      </c>
      <c r="M643" s="4">
        <f t="shared" si="219"/>
        <v>4000</v>
      </c>
      <c r="N643" s="4">
        <f t="shared" si="205"/>
        <v>-1218</v>
      </c>
      <c r="O643" s="4">
        <f t="shared" si="206"/>
        <v>-1274</v>
      </c>
      <c r="P643" s="4">
        <f t="shared" si="207"/>
        <v>-1053</v>
      </c>
      <c r="Q643" s="7">
        <v>1</v>
      </c>
      <c r="R643" s="7">
        <v>2</v>
      </c>
      <c r="S643" s="7">
        <v>2</v>
      </c>
      <c r="T643" s="5">
        <f t="shared" si="202"/>
        <v>2102</v>
      </c>
      <c r="U643" s="6">
        <f t="shared" si="213"/>
        <v>2212</v>
      </c>
      <c r="V643" s="6">
        <f t="shared" si="214"/>
        <v>2166</v>
      </c>
      <c r="W643" s="6">
        <f t="shared" si="212"/>
        <v>2397</v>
      </c>
      <c r="X643" s="5"/>
      <c r="Y643" s="4"/>
      <c r="Z643" s="4"/>
      <c r="AA643" s="4"/>
      <c r="AB643" s="4"/>
    </row>
    <row r="644" spans="1:28" ht="13.15" customHeight="1">
      <c r="A644" s="9">
        <f t="shared" si="215"/>
        <v>630</v>
      </c>
      <c r="B644" s="10">
        <f t="shared" si="203"/>
        <v>45673</v>
      </c>
      <c r="C644" s="9">
        <f t="shared" si="204"/>
        <v>842</v>
      </c>
      <c r="D644" s="8">
        <f t="shared" si="216"/>
        <v>3428</v>
      </c>
      <c r="E644" s="7">
        <f t="shared" si="196"/>
        <v>1491</v>
      </c>
      <c r="F644" s="7">
        <f t="shared" si="197"/>
        <v>1546</v>
      </c>
      <c r="G644" s="7">
        <f t="shared" si="198"/>
        <v>1325</v>
      </c>
      <c r="H644" s="4">
        <f t="shared" si="199"/>
        <v>2779</v>
      </c>
      <c r="I644" s="4">
        <f t="shared" si="200"/>
        <v>2724</v>
      </c>
      <c r="J644" s="4">
        <f t="shared" si="201"/>
        <v>2945</v>
      </c>
      <c r="K644" s="4">
        <f t="shared" si="217"/>
        <v>4000</v>
      </c>
      <c r="L644" s="4">
        <f t="shared" si="218"/>
        <v>4000</v>
      </c>
      <c r="M644" s="4">
        <f t="shared" si="219"/>
        <v>4000</v>
      </c>
      <c r="N644" s="4">
        <f t="shared" si="205"/>
        <v>-1221</v>
      </c>
      <c r="O644" s="4">
        <f t="shared" si="206"/>
        <v>-1276</v>
      </c>
      <c r="P644" s="4">
        <f t="shared" si="207"/>
        <v>-1055</v>
      </c>
      <c r="Q644" s="7">
        <v>3</v>
      </c>
      <c r="R644" s="7">
        <v>2</v>
      </c>
      <c r="S644" s="7">
        <v>2</v>
      </c>
      <c r="T644" s="5">
        <f t="shared" si="202"/>
        <v>2106</v>
      </c>
      <c r="U644" s="6">
        <f t="shared" si="213"/>
        <v>2209</v>
      </c>
      <c r="V644" s="6">
        <f t="shared" si="214"/>
        <v>2164</v>
      </c>
      <c r="W644" s="6">
        <f t="shared" si="212"/>
        <v>2395</v>
      </c>
      <c r="X644" s="5"/>
      <c r="Y644" s="4"/>
      <c r="Z644" s="4"/>
      <c r="AA644" s="4"/>
      <c r="AB644" s="4"/>
    </row>
    <row r="645" spans="1:28" ht="13.15" customHeight="1">
      <c r="A645" s="9">
        <f t="shared" si="215"/>
        <v>631</v>
      </c>
      <c r="B645" s="10">
        <f t="shared" si="203"/>
        <v>45674</v>
      </c>
      <c r="C645" s="9">
        <f t="shared" si="204"/>
        <v>842</v>
      </c>
      <c r="D645" s="8">
        <f t="shared" si="216"/>
        <v>3430</v>
      </c>
      <c r="E645" s="7">
        <f t="shared" si="196"/>
        <v>1494</v>
      </c>
      <c r="F645" s="7">
        <f t="shared" si="197"/>
        <v>1551</v>
      </c>
      <c r="G645" s="7">
        <f t="shared" si="198"/>
        <v>1330</v>
      </c>
      <c r="H645" s="4">
        <f t="shared" si="199"/>
        <v>2778</v>
      </c>
      <c r="I645" s="4">
        <f t="shared" si="200"/>
        <v>2721</v>
      </c>
      <c r="J645" s="4">
        <f t="shared" si="201"/>
        <v>2942</v>
      </c>
      <c r="K645" s="4">
        <f t="shared" si="217"/>
        <v>4000</v>
      </c>
      <c r="L645" s="4">
        <f t="shared" si="218"/>
        <v>4000</v>
      </c>
      <c r="M645" s="4">
        <f t="shared" si="219"/>
        <v>4000</v>
      </c>
      <c r="N645" s="4">
        <f t="shared" si="205"/>
        <v>-1222</v>
      </c>
      <c r="O645" s="4">
        <f t="shared" si="206"/>
        <v>-1279</v>
      </c>
      <c r="P645" s="4">
        <f t="shared" si="207"/>
        <v>-1058</v>
      </c>
      <c r="Q645" s="7">
        <v>1</v>
      </c>
      <c r="R645" s="7">
        <v>3</v>
      </c>
      <c r="S645" s="7">
        <v>3</v>
      </c>
      <c r="T645" s="5">
        <f t="shared" si="202"/>
        <v>2111</v>
      </c>
      <c r="U645" s="6">
        <f t="shared" si="213"/>
        <v>2208</v>
      </c>
      <c r="V645" s="6">
        <f t="shared" si="214"/>
        <v>2161</v>
      </c>
      <c r="W645" s="6">
        <f t="shared" si="212"/>
        <v>2392</v>
      </c>
      <c r="X645" s="5"/>
      <c r="Y645" s="4"/>
      <c r="Z645" s="4"/>
      <c r="AA645" s="4"/>
      <c r="AB645" s="4"/>
    </row>
    <row r="646" spans="1:28" ht="13.15" customHeight="1">
      <c r="A646" s="9">
        <f t="shared" si="215"/>
        <v>632</v>
      </c>
      <c r="B646" s="10">
        <f t="shared" si="203"/>
        <v>45675</v>
      </c>
      <c r="C646" s="9">
        <f t="shared" si="204"/>
        <v>842</v>
      </c>
      <c r="D646" s="8">
        <f t="shared" si="216"/>
        <v>3432</v>
      </c>
      <c r="E646" s="7">
        <f t="shared" si="196"/>
        <v>1498</v>
      </c>
      <c r="F646" s="7">
        <f t="shared" si="197"/>
        <v>1554</v>
      </c>
      <c r="G646" s="7">
        <f t="shared" si="198"/>
        <v>1333</v>
      </c>
      <c r="H646" s="4">
        <f t="shared" si="199"/>
        <v>2776</v>
      </c>
      <c r="I646" s="4">
        <f t="shared" si="200"/>
        <v>2720</v>
      </c>
      <c r="J646" s="4">
        <f t="shared" si="201"/>
        <v>2941</v>
      </c>
      <c r="K646" s="4">
        <f t="shared" si="217"/>
        <v>4000</v>
      </c>
      <c r="L646" s="4">
        <f t="shared" si="218"/>
        <v>4000</v>
      </c>
      <c r="M646" s="4">
        <f t="shared" si="219"/>
        <v>4000</v>
      </c>
      <c r="N646" s="4">
        <f t="shared" si="205"/>
        <v>-1224</v>
      </c>
      <c r="O646" s="4">
        <f t="shared" si="206"/>
        <v>-1280</v>
      </c>
      <c r="P646" s="4">
        <f t="shared" si="207"/>
        <v>-1059</v>
      </c>
      <c r="Q646" s="7">
        <v>2</v>
      </c>
      <c r="R646" s="7">
        <v>1</v>
      </c>
      <c r="S646" s="7">
        <v>1</v>
      </c>
      <c r="T646" s="5">
        <f t="shared" si="202"/>
        <v>2114</v>
      </c>
      <c r="U646" s="6">
        <f t="shared" si="213"/>
        <v>2206</v>
      </c>
      <c r="V646" s="6">
        <f t="shared" si="214"/>
        <v>2160</v>
      </c>
      <c r="W646" s="6">
        <f t="shared" si="212"/>
        <v>2391</v>
      </c>
      <c r="X646" s="5"/>
      <c r="Y646" s="4"/>
      <c r="Z646" s="4"/>
      <c r="AA646" s="4"/>
      <c r="AB646" s="4"/>
    </row>
    <row r="647" spans="1:28" ht="13.15" customHeight="1">
      <c r="A647" s="9">
        <f t="shared" si="215"/>
        <v>633</v>
      </c>
      <c r="B647" s="10">
        <f t="shared" si="203"/>
        <v>45676</v>
      </c>
      <c r="C647" s="9">
        <f t="shared" si="204"/>
        <v>842</v>
      </c>
      <c r="D647" s="8">
        <f t="shared" si="216"/>
        <v>3434</v>
      </c>
      <c r="E647" s="7">
        <f t="shared" si="196"/>
        <v>1501</v>
      </c>
      <c r="F647" s="7">
        <f t="shared" si="197"/>
        <v>1558</v>
      </c>
      <c r="G647" s="7">
        <f t="shared" si="198"/>
        <v>1337</v>
      </c>
      <c r="H647" s="4">
        <f t="shared" si="199"/>
        <v>2775</v>
      </c>
      <c r="I647" s="4">
        <f t="shared" si="200"/>
        <v>2718</v>
      </c>
      <c r="J647" s="4">
        <f t="shared" si="201"/>
        <v>2939</v>
      </c>
      <c r="K647" s="4">
        <f t="shared" si="217"/>
        <v>4000</v>
      </c>
      <c r="L647" s="4">
        <f t="shared" si="218"/>
        <v>4000</v>
      </c>
      <c r="M647" s="4">
        <f t="shared" si="219"/>
        <v>4000</v>
      </c>
      <c r="N647" s="4">
        <f t="shared" si="205"/>
        <v>-1225</v>
      </c>
      <c r="O647" s="4">
        <f t="shared" si="206"/>
        <v>-1282</v>
      </c>
      <c r="P647" s="4">
        <f t="shared" si="207"/>
        <v>-1061</v>
      </c>
      <c r="Q647" s="7">
        <v>1</v>
      </c>
      <c r="R647" s="7">
        <v>2</v>
      </c>
      <c r="S647" s="7">
        <v>2</v>
      </c>
      <c r="T647" s="5">
        <f t="shared" si="202"/>
        <v>2118</v>
      </c>
      <c r="U647" s="6">
        <f t="shared" si="213"/>
        <v>2205</v>
      </c>
      <c r="V647" s="6">
        <f t="shared" si="214"/>
        <v>2158</v>
      </c>
      <c r="W647" s="6">
        <f t="shared" si="212"/>
        <v>2389</v>
      </c>
      <c r="X647" s="5"/>
      <c r="Y647" s="4"/>
      <c r="Z647" s="4"/>
      <c r="AA647" s="4"/>
      <c r="AB647" s="4"/>
    </row>
    <row r="648" spans="1:28" ht="13.15" customHeight="1">
      <c r="A648" s="9">
        <f t="shared" si="215"/>
        <v>634</v>
      </c>
      <c r="B648" s="10">
        <f t="shared" si="203"/>
        <v>45677</v>
      </c>
      <c r="C648" s="9">
        <f t="shared" si="204"/>
        <v>842</v>
      </c>
      <c r="D648" s="8">
        <f t="shared" si="216"/>
        <v>3436</v>
      </c>
      <c r="E648" s="7">
        <f t="shared" si="196"/>
        <v>1505</v>
      </c>
      <c r="F648" s="7">
        <f t="shared" si="197"/>
        <v>1562</v>
      </c>
      <c r="G648" s="7">
        <f t="shared" si="198"/>
        <v>1341</v>
      </c>
      <c r="H648" s="4">
        <f t="shared" si="199"/>
        <v>2773</v>
      </c>
      <c r="I648" s="4">
        <f t="shared" si="200"/>
        <v>2716</v>
      </c>
      <c r="J648" s="4">
        <f t="shared" si="201"/>
        <v>2937</v>
      </c>
      <c r="K648" s="4">
        <f t="shared" si="217"/>
        <v>4000</v>
      </c>
      <c r="L648" s="4">
        <f t="shared" si="218"/>
        <v>4000</v>
      </c>
      <c r="M648" s="4">
        <f t="shared" si="219"/>
        <v>4000</v>
      </c>
      <c r="N648" s="4">
        <f t="shared" si="205"/>
        <v>-1227</v>
      </c>
      <c r="O648" s="4">
        <f t="shared" si="206"/>
        <v>-1284</v>
      </c>
      <c r="P648" s="4">
        <f t="shared" si="207"/>
        <v>-1063</v>
      </c>
      <c r="Q648" s="7">
        <v>2</v>
      </c>
      <c r="R648" s="7">
        <v>2</v>
      </c>
      <c r="S648" s="7">
        <v>2</v>
      </c>
      <c r="T648" s="5">
        <f t="shared" si="202"/>
        <v>2122</v>
      </c>
      <c r="U648" s="6">
        <f t="shared" si="213"/>
        <v>2203</v>
      </c>
      <c r="V648" s="6">
        <f t="shared" si="214"/>
        <v>2156</v>
      </c>
      <c r="W648" s="6">
        <f t="shared" si="212"/>
        <v>2387</v>
      </c>
      <c r="X648" s="5"/>
      <c r="Y648" s="4"/>
      <c r="Z648" s="4"/>
      <c r="AA648" s="4"/>
      <c r="AB648" s="4"/>
    </row>
    <row r="649" spans="1:28" ht="13.15" customHeight="1">
      <c r="A649" s="9">
        <f t="shared" si="215"/>
        <v>635</v>
      </c>
      <c r="B649" s="10">
        <f t="shared" si="203"/>
        <v>45678</v>
      </c>
      <c r="C649" s="9">
        <f t="shared" si="204"/>
        <v>842</v>
      </c>
      <c r="D649" s="8">
        <f t="shared" si="216"/>
        <v>3438</v>
      </c>
      <c r="E649" s="7">
        <f t="shared" si="196"/>
        <v>1509</v>
      </c>
      <c r="F649" s="7">
        <f t="shared" si="197"/>
        <v>1565</v>
      </c>
      <c r="G649" s="7">
        <f t="shared" si="198"/>
        <v>1344</v>
      </c>
      <c r="H649" s="4">
        <f t="shared" si="199"/>
        <v>2771</v>
      </c>
      <c r="I649" s="4">
        <f t="shared" si="200"/>
        <v>2715</v>
      </c>
      <c r="J649" s="4">
        <f t="shared" si="201"/>
        <v>2936</v>
      </c>
      <c r="K649" s="4">
        <f t="shared" si="217"/>
        <v>4000</v>
      </c>
      <c r="L649" s="4">
        <f t="shared" si="218"/>
        <v>4000</v>
      </c>
      <c r="M649" s="4">
        <f t="shared" si="219"/>
        <v>4000</v>
      </c>
      <c r="N649" s="4">
        <f t="shared" si="205"/>
        <v>-1229</v>
      </c>
      <c r="O649" s="4">
        <f t="shared" si="206"/>
        <v>-1285</v>
      </c>
      <c r="P649" s="4">
        <f t="shared" si="207"/>
        <v>-1064</v>
      </c>
      <c r="Q649" s="7">
        <v>2</v>
      </c>
      <c r="R649" s="7">
        <v>1</v>
      </c>
      <c r="S649" s="7">
        <v>1</v>
      </c>
      <c r="T649" s="5">
        <f t="shared" si="202"/>
        <v>2125</v>
      </c>
      <c r="U649" s="6">
        <f t="shared" si="213"/>
        <v>2201</v>
      </c>
      <c r="V649" s="6">
        <f t="shared" si="214"/>
        <v>2155</v>
      </c>
      <c r="W649" s="6">
        <f t="shared" si="212"/>
        <v>2386</v>
      </c>
      <c r="X649" s="5"/>
      <c r="Y649" s="4"/>
      <c r="Z649" s="4"/>
      <c r="AA649" s="4"/>
      <c r="AB649" s="4"/>
    </row>
    <row r="650" spans="1:28" ht="13.15" customHeight="1">
      <c r="A650" s="9">
        <f t="shared" si="215"/>
        <v>636</v>
      </c>
      <c r="B650" s="10">
        <f t="shared" si="203"/>
        <v>45679</v>
      </c>
      <c r="C650" s="9">
        <f t="shared" si="204"/>
        <v>842</v>
      </c>
      <c r="D650" s="8">
        <f t="shared" si="216"/>
        <v>3440</v>
      </c>
      <c r="E650" s="7">
        <f t="shared" si="196"/>
        <v>1514</v>
      </c>
      <c r="F650" s="7">
        <f t="shared" si="197"/>
        <v>1569</v>
      </c>
      <c r="G650" s="7">
        <f t="shared" si="198"/>
        <v>1348</v>
      </c>
      <c r="H650" s="4">
        <f t="shared" si="199"/>
        <v>2768</v>
      </c>
      <c r="I650" s="4">
        <f t="shared" si="200"/>
        <v>2713</v>
      </c>
      <c r="J650" s="4">
        <f t="shared" si="201"/>
        <v>2934</v>
      </c>
      <c r="K650" s="4">
        <f t="shared" si="217"/>
        <v>4000</v>
      </c>
      <c r="L650" s="4">
        <f t="shared" si="218"/>
        <v>4000</v>
      </c>
      <c r="M650" s="4">
        <f t="shared" si="219"/>
        <v>4000</v>
      </c>
      <c r="N650" s="4">
        <f t="shared" si="205"/>
        <v>-1232</v>
      </c>
      <c r="O650" s="4">
        <f t="shared" si="206"/>
        <v>-1287</v>
      </c>
      <c r="P650" s="4">
        <f t="shared" si="207"/>
        <v>-1066</v>
      </c>
      <c r="Q650" s="7">
        <v>3</v>
      </c>
      <c r="R650" s="7">
        <v>2</v>
      </c>
      <c r="S650" s="7">
        <v>2</v>
      </c>
      <c r="T650" s="5">
        <f t="shared" si="202"/>
        <v>2129</v>
      </c>
      <c r="U650" s="6">
        <f t="shared" si="213"/>
        <v>2198</v>
      </c>
      <c r="V650" s="6">
        <f t="shared" si="214"/>
        <v>2153</v>
      </c>
      <c r="W650" s="6">
        <f t="shared" si="212"/>
        <v>2384</v>
      </c>
      <c r="X650" s="5"/>
      <c r="Y650" s="4"/>
      <c r="Z650" s="4"/>
      <c r="AA650" s="4"/>
      <c r="AB650" s="4"/>
    </row>
    <row r="651" spans="1:28" ht="13.15" customHeight="1">
      <c r="A651" s="9">
        <f t="shared" si="215"/>
        <v>637</v>
      </c>
      <c r="B651" s="10">
        <f t="shared" si="203"/>
        <v>45680</v>
      </c>
      <c r="C651" s="9">
        <f t="shared" si="204"/>
        <v>842</v>
      </c>
      <c r="D651" s="8">
        <f t="shared" si="216"/>
        <v>3442</v>
      </c>
      <c r="E651" s="7">
        <f t="shared" si="196"/>
        <v>1517</v>
      </c>
      <c r="F651" s="7">
        <f t="shared" si="197"/>
        <v>1575</v>
      </c>
      <c r="G651" s="7">
        <f t="shared" si="198"/>
        <v>1354</v>
      </c>
      <c r="H651" s="4">
        <f t="shared" si="199"/>
        <v>2767</v>
      </c>
      <c r="I651" s="4">
        <f t="shared" si="200"/>
        <v>2709</v>
      </c>
      <c r="J651" s="4">
        <f t="shared" si="201"/>
        <v>2930</v>
      </c>
      <c r="K651" s="4">
        <f t="shared" si="217"/>
        <v>4000</v>
      </c>
      <c r="L651" s="4">
        <f t="shared" si="218"/>
        <v>4000</v>
      </c>
      <c r="M651" s="4">
        <f t="shared" si="219"/>
        <v>4000</v>
      </c>
      <c r="N651" s="4">
        <f t="shared" si="205"/>
        <v>-1233</v>
      </c>
      <c r="O651" s="4">
        <f t="shared" si="206"/>
        <v>-1291</v>
      </c>
      <c r="P651" s="4">
        <f t="shared" si="207"/>
        <v>-1070</v>
      </c>
      <c r="Q651" s="7">
        <v>1</v>
      </c>
      <c r="R651" s="7">
        <v>4</v>
      </c>
      <c r="S651" s="7">
        <v>4</v>
      </c>
      <c r="T651" s="5">
        <f t="shared" si="202"/>
        <v>2135</v>
      </c>
      <c r="U651" s="6">
        <f t="shared" si="213"/>
        <v>2197</v>
      </c>
      <c r="V651" s="6">
        <f t="shared" si="214"/>
        <v>2149</v>
      </c>
      <c r="W651" s="6">
        <f t="shared" si="212"/>
        <v>2380</v>
      </c>
      <c r="X651" s="5"/>
      <c r="Y651" s="4"/>
      <c r="Z651" s="4"/>
      <c r="AA651" s="4"/>
      <c r="AB651" s="4"/>
    </row>
    <row r="652" spans="1:28" ht="13.15" customHeight="1">
      <c r="A652" s="9">
        <f t="shared" si="215"/>
        <v>638</v>
      </c>
      <c r="B652" s="10">
        <f t="shared" si="203"/>
        <v>45681</v>
      </c>
      <c r="C652" s="9">
        <f t="shared" si="204"/>
        <v>842</v>
      </c>
      <c r="D652" s="8">
        <f t="shared" si="216"/>
        <v>3444</v>
      </c>
      <c r="E652" s="7">
        <f t="shared" si="196"/>
        <v>1521</v>
      </c>
      <c r="F652" s="7">
        <f t="shared" si="197"/>
        <v>1579</v>
      </c>
      <c r="G652" s="7">
        <f t="shared" si="198"/>
        <v>1358</v>
      </c>
      <c r="H652" s="4">
        <f t="shared" si="199"/>
        <v>2765</v>
      </c>
      <c r="I652" s="4">
        <f t="shared" si="200"/>
        <v>2707</v>
      </c>
      <c r="J652" s="4">
        <f t="shared" si="201"/>
        <v>2928</v>
      </c>
      <c r="K652" s="4">
        <f t="shared" si="217"/>
        <v>4000</v>
      </c>
      <c r="L652" s="4">
        <f t="shared" si="218"/>
        <v>4000</v>
      </c>
      <c r="M652" s="4">
        <f t="shared" si="219"/>
        <v>4000</v>
      </c>
      <c r="N652" s="4">
        <f t="shared" si="205"/>
        <v>-1235</v>
      </c>
      <c r="O652" s="4">
        <f t="shared" si="206"/>
        <v>-1293</v>
      </c>
      <c r="P652" s="4">
        <f t="shared" si="207"/>
        <v>-1072</v>
      </c>
      <c r="Q652" s="7">
        <v>2</v>
      </c>
      <c r="R652" s="7">
        <v>2</v>
      </c>
      <c r="S652" s="7">
        <v>2</v>
      </c>
      <c r="T652" s="5">
        <f t="shared" si="202"/>
        <v>2139</v>
      </c>
      <c r="U652" s="6">
        <f t="shared" si="213"/>
        <v>2195</v>
      </c>
      <c r="V652" s="6">
        <f t="shared" si="214"/>
        <v>2147</v>
      </c>
      <c r="W652" s="6">
        <f t="shared" si="212"/>
        <v>2378</v>
      </c>
      <c r="X652" s="5"/>
      <c r="Y652" s="4"/>
      <c r="Z652" s="4"/>
      <c r="AA652" s="4"/>
      <c r="AB652" s="4"/>
    </row>
    <row r="653" spans="1:28" ht="13.15" customHeight="1">
      <c r="A653" s="9">
        <f t="shared" si="215"/>
        <v>639</v>
      </c>
      <c r="B653" s="10">
        <f t="shared" si="203"/>
        <v>45682</v>
      </c>
      <c r="C653" s="9">
        <f t="shared" si="204"/>
        <v>842</v>
      </c>
      <c r="D653" s="8">
        <f t="shared" si="216"/>
        <v>3446</v>
      </c>
      <c r="E653" s="7">
        <f t="shared" si="196"/>
        <v>1525</v>
      </c>
      <c r="F653" s="7">
        <f t="shared" si="197"/>
        <v>1583</v>
      </c>
      <c r="G653" s="7">
        <f t="shared" si="198"/>
        <v>1362</v>
      </c>
      <c r="H653" s="4">
        <f t="shared" si="199"/>
        <v>2763</v>
      </c>
      <c r="I653" s="4">
        <f t="shared" si="200"/>
        <v>2705</v>
      </c>
      <c r="J653" s="4">
        <f t="shared" si="201"/>
        <v>2926</v>
      </c>
      <c r="K653" s="4">
        <f t="shared" si="217"/>
        <v>4000</v>
      </c>
      <c r="L653" s="4">
        <f t="shared" si="218"/>
        <v>4000</v>
      </c>
      <c r="M653" s="4">
        <f t="shared" si="219"/>
        <v>4000</v>
      </c>
      <c r="N653" s="4">
        <f t="shared" si="205"/>
        <v>-1237</v>
      </c>
      <c r="O653" s="4">
        <f t="shared" si="206"/>
        <v>-1295</v>
      </c>
      <c r="P653" s="4">
        <f t="shared" si="207"/>
        <v>-1074</v>
      </c>
      <c r="Q653" s="7">
        <v>2</v>
      </c>
      <c r="R653" s="7">
        <v>2</v>
      </c>
      <c r="S653" s="7">
        <v>2</v>
      </c>
      <c r="T653" s="5">
        <f t="shared" si="202"/>
        <v>2143</v>
      </c>
      <c r="U653" s="6">
        <f t="shared" si="213"/>
        <v>2193</v>
      </c>
      <c r="V653" s="6">
        <f t="shared" si="214"/>
        <v>2145</v>
      </c>
      <c r="W653" s="6">
        <f t="shared" si="212"/>
        <v>2376</v>
      </c>
      <c r="X653" s="5"/>
      <c r="Y653" s="4"/>
      <c r="Z653" s="4"/>
      <c r="AA653" s="4"/>
      <c r="AB653" s="4"/>
    </row>
    <row r="654" spans="1:28" ht="13.15" customHeight="1">
      <c r="A654" s="9">
        <f t="shared" si="215"/>
        <v>640</v>
      </c>
      <c r="B654" s="10">
        <f t="shared" si="203"/>
        <v>45683</v>
      </c>
      <c r="C654" s="9">
        <f t="shared" si="204"/>
        <v>842</v>
      </c>
      <c r="D654" s="8">
        <f t="shared" si="216"/>
        <v>3448</v>
      </c>
      <c r="E654" s="7">
        <f t="shared" ref="E654:E717" si="220">C654+D654-H654</f>
        <v>1528</v>
      </c>
      <c r="F654" s="7">
        <f t="shared" ref="F654:F718" si="221">C654+D654-I654</f>
        <v>1586</v>
      </c>
      <c r="G654" s="7">
        <f t="shared" ref="G654:G718" si="222">D654+C654-J654</f>
        <v>1365</v>
      </c>
      <c r="H654" s="4">
        <f t="shared" ref="H654:H718" si="223">K654+N654</f>
        <v>2762</v>
      </c>
      <c r="I654" s="4">
        <f t="shared" ref="I654:I718" si="224">L654+O654</f>
        <v>2704</v>
      </c>
      <c r="J654" s="4">
        <f t="shared" ref="J654:J718" si="225">M654+P654</f>
        <v>2925</v>
      </c>
      <c r="K654" s="4">
        <f t="shared" si="217"/>
        <v>4000</v>
      </c>
      <c r="L654" s="4">
        <f t="shared" si="218"/>
        <v>4000</v>
      </c>
      <c r="M654" s="4">
        <f t="shared" si="219"/>
        <v>4000</v>
      </c>
      <c r="N654" s="4">
        <f t="shared" si="205"/>
        <v>-1238</v>
      </c>
      <c r="O654" s="4">
        <f t="shared" si="206"/>
        <v>-1296</v>
      </c>
      <c r="P654" s="4">
        <f t="shared" si="207"/>
        <v>-1075</v>
      </c>
      <c r="Q654" s="7">
        <v>1</v>
      </c>
      <c r="R654" s="7">
        <v>1</v>
      </c>
      <c r="S654" s="7">
        <v>1</v>
      </c>
      <c r="T654" s="5">
        <f t="shared" ref="T654:T718" si="226">D654+C654-V654</f>
        <v>2146</v>
      </c>
      <c r="U654" s="6">
        <f t="shared" si="213"/>
        <v>2192</v>
      </c>
      <c r="V654" s="6">
        <f t="shared" si="214"/>
        <v>2144</v>
      </c>
      <c r="W654" s="6">
        <f t="shared" si="212"/>
        <v>2375</v>
      </c>
      <c r="X654" s="5"/>
      <c r="Y654" s="4"/>
      <c r="Z654" s="4"/>
      <c r="AA654" s="4"/>
      <c r="AB654" s="4"/>
    </row>
    <row r="655" spans="1:28" ht="13.15" customHeight="1">
      <c r="A655" s="9">
        <f t="shared" si="215"/>
        <v>641</v>
      </c>
      <c r="B655" s="10">
        <f t="shared" ref="B655:B718" si="227">B654+1</f>
        <v>45684</v>
      </c>
      <c r="C655" s="9">
        <f t="shared" ref="C655:C718" si="228">C654</f>
        <v>842</v>
      </c>
      <c r="D655" s="8">
        <f t="shared" si="216"/>
        <v>3450</v>
      </c>
      <c r="E655" s="7">
        <f t="shared" si="220"/>
        <v>1532</v>
      </c>
      <c r="F655" s="7">
        <f t="shared" si="221"/>
        <v>1590</v>
      </c>
      <c r="G655" s="7">
        <f t="shared" si="222"/>
        <v>1369</v>
      </c>
      <c r="H655" s="4">
        <f t="shared" si="223"/>
        <v>2760</v>
      </c>
      <c r="I655" s="4">
        <f t="shared" si="224"/>
        <v>2702</v>
      </c>
      <c r="J655" s="4">
        <f t="shared" si="225"/>
        <v>2923</v>
      </c>
      <c r="K655" s="4">
        <f t="shared" si="217"/>
        <v>4000</v>
      </c>
      <c r="L655" s="4">
        <f t="shared" si="218"/>
        <v>4000</v>
      </c>
      <c r="M655" s="4">
        <f t="shared" si="219"/>
        <v>4000</v>
      </c>
      <c r="N655" s="4">
        <f t="shared" ref="N655:N718" si="229">N654-Q655</f>
        <v>-1240</v>
      </c>
      <c r="O655" s="4">
        <f t="shared" ref="O655:O718" si="230">O654-R655</f>
        <v>-1298</v>
      </c>
      <c r="P655" s="4">
        <f t="shared" ref="P655:P718" si="231">P654-S655</f>
        <v>-1077</v>
      </c>
      <c r="Q655" s="7">
        <v>2</v>
      </c>
      <c r="R655" s="7">
        <v>2</v>
      </c>
      <c r="S655" s="7">
        <v>2</v>
      </c>
      <c r="T655" s="5">
        <f t="shared" si="226"/>
        <v>2150</v>
      </c>
      <c r="U655" s="6">
        <f t="shared" si="213"/>
        <v>2190</v>
      </c>
      <c r="V655" s="6">
        <f t="shared" si="214"/>
        <v>2142</v>
      </c>
      <c r="W655" s="6">
        <f t="shared" si="212"/>
        <v>2373</v>
      </c>
      <c r="X655" s="5"/>
      <c r="Y655" s="4"/>
      <c r="Z655" s="4"/>
      <c r="AA655" s="4"/>
      <c r="AB655" s="4"/>
    </row>
    <row r="656" spans="1:28" ht="13.15" customHeight="1">
      <c r="A656" s="9">
        <f t="shared" si="215"/>
        <v>642</v>
      </c>
      <c r="B656" s="10">
        <f t="shared" si="227"/>
        <v>45685</v>
      </c>
      <c r="C656" s="9">
        <f t="shared" si="228"/>
        <v>842</v>
      </c>
      <c r="D656" s="8">
        <f t="shared" si="216"/>
        <v>3452</v>
      </c>
      <c r="E656" s="7">
        <f t="shared" si="220"/>
        <v>1538</v>
      </c>
      <c r="F656" s="7">
        <f t="shared" si="221"/>
        <v>1595</v>
      </c>
      <c r="G656" s="7">
        <f t="shared" si="222"/>
        <v>1374</v>
      </c>
      <c r="H656" s="4">
        <f t="shared" si="223"/>
        <v>2756</v>
      </c>
      <c r="I656" s="4">
        <f t="shared" si="224"/>
        <v>2699</v>
      </c>
      <c r="J656" s="4">
        <f t="shared" si="225"/>
        <v>2920</v>
      </c>
      <c r="K656" s="4">
        <f t="shared" si="217"/>
        <v>4000</v>
      </c>
      <c r="L656" s="4">
        <f t="shared" si="218"/>
        <v>4000</v>
      </c>
      <c r="M656" s="4">
        <f t="shared" si="219"/>
        <v>4000</v>
      </c>
      <c r="N656" s="4">
        <f t="shared" si="229"/>
        <v>-1244</v>
      </c>
      <c r="O656" s="4">
        <f t="shared" si="230"/>
        <v>-1301</v>
      </c>
      <c r="P656" s="4">
        <f t="shared" si="231"/>
        <v>-1080</v>
      </c>
      <c r="Q656" s="7">
        <v>4</v>
      </c>
      <c r="R656" s="7">
        <v>3</v>
      </c>
      <c r="S656" s="7">
        <v>3</v>
      </c>
      <c r="T656" s="5">
        <f t="shared" si="226"/>
        <v>2155</v>
      </c>
      <c r="U656" s="6">
        <f t="shared" si="213"/>
        <v>2186</v>
      </c>
      <c r="V656" s="6">
        <f t="shared" si="214"/>
        <v>2139</v>
      </c>
      <c r="W656" s="6">
        <f t="shared" si="212"/>
        <v>2370</v>
      </c>
      <c r="X656" s="5"/>
      <c r="Y656" s="4"/>
      <c r="Z656" s="4"/>
      <c r="AA656" s="4"/>
      <c r="AB656" s="4"/>
    </row>
    <row r="657" spans="1:28" ht="13.15" customHeight="1">
      <c r="A657" s="9">
        <f t="shared" si="215"/>
        <v>643</v>
      </c>
      <c r="B657" s="10">
        <f t="shared" si="227"/>
        <v>45686</v>
      </c>
      <c r="C657" s="9">
        <f t="shared" si="228"/>
        <v>842</v>
      </c>
      <c r="D657" s="8">
        <f t="shared" si="216"/>
        <v>3454</v>
      </c>
      <c r="E657" s="7">
        <f t="shared" si="220"/>
        <v>1542</v>
      </c>
      <c r="F657" s="7">
        <f t="shared" si="221"/>
        <v>1599</v>
      </c>
      <c r="G657" s="7">
        <f t="shared" si="222"/>
        <v>1378</v>
      </c>
      <c r="H657" s="4">
        <f t="shared" si="223"/>
        <v>2754</v>
      </c>
      <c r="I657" s="4">
        <f t="shared" si="224"/>
        <v>2697</v>
      </c>
      <c r="J657" s="4">
        <f t="shared" si="225"/>
        <v>2918</v>
      </c>
      <c r="K657" s="4">
        <f t="shared" si="217"/>
        <v>4000</v>
      </c>
      <c r="L657" s="4">
        <f t="shared" si="218"/>
        <v>4000</v>
      </c>
      <c r="M657" s="4">
        <f t="shared" si="219"/>
        <v>4000</v>
      </c>
      <c r="N657" s="4">
        <f t="shared" si="229"/>
        <v>-1246</v>
      </c>
      <c r="O657" s="4">
        <f t="shared" si="230"/>
        <v>-1303</v>
      </c>
      <c r="P657" s="4">
        <f t="shared" si="231"/>
        <v>-1082</v>
      </c>
      <c r="Q657" s="7">
        <v>2</v>
      </c>
      <c r="R657" s="7">
        <v>2</v>
      </c>
      <c r="S657" s="7">
        <v>2</v>
      </c>
      <c r="T657" s="5">
        <f t="shared" si="226"/>
        <v>2159</v>
      </c>
      <c r="U657" s="6">
        <f t="shared" si="213"/>
        <v>2184</v>
      </c>
      <c r="V657" s="6">
        <f t="shared" si="214"/>
        <v>2137</v>
      </c>
      <c r="W657" s="6">
        <f t="shared" si="212"/>
        <v>2368</v>
      </c>
      <c r="X657" s="5"/>
      <c r="Y657" s="4"/>
      <c r="Z657" s="4"/>
      <c r="AA657" s="4"/>
      <c r="AB657" s="4"/>
    </row>
    <row r="658" spans="1:28" ht="13.15" customHeight="1">
      <c r="A658" s="9">
        <f t="shared" si="215"/>
        <v>644</v>
      </c>
      <c r="B658" s="10">
        <f t="shared" si="227"/>
        <v>45687</v>
      </c>
      <c r="C658" s="9">
        <f t="shared" si="228"/>
        <v>842</v>
      </c>
      <c r="D658" s="8">
        <f t="shared" si="216"/>
        <v>3456</v>
      </c>
      <c r="E658" s="7">
        <f t="shared" si="220"/>
        <v>1546</v>
      </c>
      <c r="F658" s="7">
        <f t="shared" si="221"/>
        <v>1604</v>
      </c>
      <c r="G658" s="7">
        <f t="shared" si="222"/>
        <v>1383</v>
      </c>
      <c r="H658" s="4">
        <f t="shared" si="223"/>
        <v>2752</v>
      </c>
      <c r="I658" s="4">
        <f t="shared" si="224"/>
        <v>2694</v>
      </c>
      <c r="J658" s="4">
        <f t="shared" si="225"/>
        <v>2915</v>
      </c>
      <c r="K658" s="4">
        <f t="shared" si="217"/>
        <v>4000</v>
      </c>
      <c r="L658" s="4">
        <f t="shared" si="218"/>
        <v>4000</v>
      </c>
      <c r="M658" s="4">
        <f t="shared" si="219"/>
        <v>4000</v>
      </c>
      <c r="N658" s="4">
        <f t="shared" si="229"/>
        <v>-1248</v>
      </c>
      <c r="O658" s="4">
        <f t="shared" si="230"/>
        <v>-1306</v>
      </c>
      <c r="P658" s="4">
        <f t="shared" si="231"/>
        <v>-1085</v>
      </c>
      <c r="Q658" s="7">
        <v>2</v>
      </c>
      <c r="R658" s="7">
        <v>3</v>
      </c>
      <c r="S658" s="7">
        <v>3</v>
      </c>
      <c r="T658" s="5">
        <f t="shared" si="226"/>
        <v>2164</v>
      </c>
      <c r="U658" s="6">
        <f t="shared" si="213"/>
        <v>2182</v>
      </c>
      <c r="V658" s="6">
        <f t="shared" si="214"/>
        <v>2134</v>
      </c>
      <c r="W658" s="6">
        <f t="shared" si="212"/>
        <v>2365</v>
      </c>
      <c r="X658" s="5"/>
      <c r="Y658" s="4"/>
      <c r="Z658" s="4"/>
      <c r="AA658" s="4"/>
      <c r="AB658" s="4"/>
    </row>
    <row r="659" spans="1:28" ht="13.15" customHeight="1">
      <c r="A659" s="9">
        <f t="shared" si="215"/>
        <v>645</v>
      </c>
      <c r="B659" s="10">
        <f t="shared" si="227"/>
        <v>45688</v>
      </c>
      <c r="C659" s="9">
        <f t="shared" si="228"/>
        <v>842</v>
      </c>
      <c r="D659" s="8">
        <f t="shared" si="216"/>
        <v>3458</v>
      </c>
      <c r="E659" s="7">
        <f t="shared" si="220"/>
        <v>1549</v>
      </c>
      <c r="F659" s="7">
        <f t="shared" si="221"/>
        <v>1610</v>
      </c>
      <c r="G659" s="7">
        <f t="shared" si="222"/>
        <v>1389</v>
      </c>
      <c r="H659" s="4">
        <f t="shared" si="223"/>
        <v>2751</v>
      </c>
      <c r="I659" s="4">
        <f t="shared" si="224"/>
        <v>2690</v>
      </c>
      <c r="J659" s="4">
        <f t="shared" si="225"/>
        <v>2911</v>
      </c>
      <c r="K659" s="4">
        <f t="shared" si="217"/>
        <v>4000</v>
      </c>
      <c r="L659" s="4">
        <f t="shared" si="218"/>
        <v>4000</v>
      </c>
      <c r="M659" s="4">
        <f t="shared" si="219"/>
        <v>4000</v>
      </c>
      <c r="N659" s="4">
        <f t="shared" si="229"/>
        <v>-1249</v>
      </c>
      <c r="O659" s="4">
        <f t="shared" si="230"/>
        <v>-1310</v>
      </c>
      <c r="P659" s="4">
        <f t="shared" si="231"/>
        <v>-1089</v>
      </c>
      <c r="Q659" s="7">
        <v>1</v>
      </c>
      <c r="R659" s="7">
        <v>4</v>
      </c>
      <c r="S659" s="7">
        <v>4</v>
      </c>
      <c r="T659" s="5">
        <f t="shared" si="226"/>
        <v>2170</v>
      </c>
      <c r="U659" s="6">
        <f t="shared" si="213"/>
        <v>2181</v>
      </c>
      <c r="V659" s="6">
        <f t="shared" si="214"/>
        <v>2130</v>
      </c>
      <c r="W659" s="6">
        <f t="shared" si="212"/>
        <v>2361</v>
      </c>
      <c r="X659" s="5"/>
      <c r="Y659" s="4"/>
      <c r="Z659" s="4"/>
      <c r="AA659" s="4"/>
      <c r="AB659" s="4"/>
    </row>
    <row r="660" spans="1:28" ht="13.15" customHeight="1">
      <c r="A660" s="9">
        <f t="shared" si="215"/>
        <v>646</v>
      </c>
      <c r="B660" s="10">
        <f t="shared" si="227"/>
        <v>45689</v>
      </c>
      <c r="C660" s="9">
        <f t="shared" si="228"/>
        <v>842</v>
      </c>
      <c r="D660" s="8">
        <f t="shared" si="216"/>
        <v>3460</v>
      </c>
      <c r="E660" s="7">
        <f t="shared" si="220"/>
        <v>1553</v>
      </c>
      <c r="F660" s="7">
        <f t="shared" si="221"/>
        <v>1615</v>
      </c>
      <c r="G660" s="7">
        <f t="shared" si="222"/>
        <v>1394</v>
      </c>
      <c r="H660" s="4">
        <f t="shared" si="223"/>
        <v>2749</v>
      </c>
      <c r="I660" s="4">
        <f t="shared" si="224"/>
        <v>2687</v>
      </c>
      <c r="J660" s="4">
        <f t="shared" si="225"/>
        <v>2908</v>
      </c>
      <c r="K660" s="4">
        <f t="shared" si="217"/>
        <v>4000</v>
      </c>
      <c r="L660" s="4">
        <f t="shared" si="218"/>
        <v>4000</v>
      </c>
      <c r="M660" s="4">
        <f t="shared" si="219"/>
        <v>4000</v>
      </c>
      <c r="N660" s="4">
        <f t="shared" si="229"/>
        <v>-1251</v>
      </c>
      <c r="O660" s="4">
        <f t="shared" si="230"/>
        <v>-1313</v>
      </c>
      <c r="P660" s="4">
        <f t="shared" si="231"/>
        <v>-1092</v>
      </c>
      <c r="Q660" s="7">
        <v>2</v>
      </c>
      <c r="R660" s="7">
        <v>3</v>
      </c>
      <c r="S660" s="7">
        <v>3</v>
      </c>
      <c r="T660" s="5">
        <f t="shared" si="226"/>
        <v>2175</v>
      </c>
      <c r="U660" s="6">
        <f t="shared" si="213"/>
        <v>2179</v>
      </c>
      <c r="V660" s="6">
        <f t="shared" si="214"/>
        <v>2127</v>
      </c>
      <c r="W660" s="6">
        <f t="shared" si="212"/>
        <v>2358</v>
      </c>
      <c r="X660" s="5"/>
      <c r="Y660" s="4"/>
      <c r="Z660" s="4"/>
      <c r="AA660" s="4"/>
      <c r="AB660" s="4"/>
    </row>
    <row r="661" spans="1:28" ht="13.15" customHeight="1">
      <c r="A661" s="9">
        <f t="shared" si="215"/>
        <v>647</v>
      </c>
      <c r="B661" s="10">
        <f t="shared" si="227"/>
        <v>45690</v>
      </c>
      <c r="C661" s="9">
        <f t="shared" si="228"/>
        <v>842</v>
      </c>
      <c r="D661" s="8">
        <f t="shared" si="216"/>
        <v>3462</v>
      </c>
      <c r="E661" s="7">
        <f t="shared" si="220"/>
        <v>1558</v>
      </c>
      <c r="F661" s="7">
        <f t="shared" si="221"/>
        <v>1618</v>
      </c>
      <c r="G661" s="7">
        <f t="shared" si="222"/>
        <v>1397</v>
      </c>
      <c r="H661" s="4">
        <f t="shared" si="223"/>
        <v>2746</v>
      </c>
      <c r="I661" s="4">
        <f t="shared" si="224"/>
        <v>2686</v>
      </c>
      <c r="J661" s="4">
        <f t="shared" si="225"/>
        <v>2907</v>
      </c>
      <c r="K661" s="4">
        <f t="shared" si="217"/>
        <v>4000</v>
      </c>
      <c r="L661" s="4">
        <f t="shared" si="218"/>
        <v>4000</v>
      </c>
      <c r="M661" s="4">
        <f t="shared" si="219"/>
        <v>4000</v>
      </c>
      <c r="N661" s="4">
        <f t="shared" si="229"/>
        <v>-1254</v>
      </c>
      <c r="O661" s="4">
        <f t="shared" si="230"/>
        <v>-1314</v>
      </c>
      <c r="P661" s="4">
        <f t="shared" si="231"/>
        <v>-1093</v>
      </c>
      <c r="Q661" s="7">
        <v>3</v>
      </c>
      <c r="R661" s="7">
        <v>1</v>
      </c>
      <c r="S661" s="7">
        <v>1</v>
      </c>
      <c r="T661" s="5">
        <f t="shared" si="226"/>
        <v>2178</v>
      </c>
      <c r="U661" s="6">
        <f t="shared" si="213"/>
        <v>2176</v>
      </c>
      <c r="V661" s="6">
        <f t="shared" si="214"/>
        <v>2126</v>
      </c>
      <c r="W661" s="6">
        <f t="shared" si="212"/>
        <v>2357</v>
      </c>
      <c r="X661" s="5"/>
      <c r="Y661" s="4"/>
      <c r="Z661" s="4"/>
      <c r="AA661" s="4"/>
      <c r="AB661" s="4"/>
    </row>
    <row r="662" spans="1:28" ht="13.15" customHeight="1">
      <c r="A662" s="9">
        <f t="shared" si="215"/>
        <v>648</v>
      </c>
      <c r="B662" s="10">
        <f t="shared" si="227"/>
        <v>45691</v>
      </c>
      <c r="C662" s="9">
        <f t="shared" si="228"/>
        <v>842</v>
      </c>
      <c r="D662" s="8">
        <f t="shared" si="216"/>
        <v>3464</v>
      </c>
      <c r="E662" s="7">
        <f t="shared" si="220"/>
        <v>1562</v>
      </c>
      <c r="F662" s="7">
        <f t="shared" si="221"/>
        <v>1622</v>
      </c>
      <c r="G662" s="7">
        <f t="shared" si="222"/>
        <v>1401</v>
      </c>
      <c r="H662" s="4">
        <f t="shared" si="223"/>
        <v>2744</v>
      </c>
      <c r="I662" s="4">
        <f t="shared" si="224"/>
        <v>2684</v>
      </c>
      <c r="J662" s="4">
        <f t="shared" si="225"/>
        <v>2905</v>
      </c>
      <c r="K662" s="4">
        <f t="shared" si="217"/>
        <v>4000</v>
      </c>
      <c r="L662" s="4">
        <f t="shared" si="218"/>
        <v>4000</v>
      </c>
      <c r="M662" s="4">
        <f t="shared" si="219"/>
        <v>4000</v>
      </c>
      <c r="N662" s="4">
        <f t="shared" si="229"/>
        <v>-1256</v>
      </c>
      <c r="O662" s="4">
        <f t="shared" si="230"/>
        <v>-1316</v>
      </c>
      <c r="P662" s="4">
        <f t="shared" si="231"/>
        <v>-1095</v>
      </c>
      <c r="Q662" s="7">
        <v>2</v>
      </c>
      <c r="R662" s="7">
        <v>2</v>
      </c>
      <c r="S662" s="7">
        <v>2</v>
      </c>
      <c r="T662" s="5">
        <f t="shared" si="226"/>
        <v>2182</v>
      </c>
      <c r="U662" s="6">
        <f t="shared" si="213"/>
        <v>2174</v>
      </c>
      <c r="V662" s="6">
        <f t="shared" si="214"/>
        <v>2124</v>
      </c>
      <c r="W662" s="6">
        <f t="shared" si="212"/>
        <v>2355</v>
      </c>
      <c r="X662" s="5"/>
      <c r="Y662" s="4"/>
      <c r="Z662" s="4"/>
      <c r="AA662" s="4"/>
      <c r="AB662" s="4"/>
    </row>
    <row r="663" spans="1:28" ht="13.15" customHeight="1">
      <c r="A663" s="9">
        <f t="shared" si="215"/>
        <v>649</v>
      </c>
      <c r="B663" s="10">
        <f t="shared" si="227"/>
        <v>45692</v>
      </c>
      <c r="C663" s="9">
        <f t="shared" si="228"/>
        <v>842</v>
      </c>
      <c r="D663" s="8">
        <f t="shared" si="216"/>
        <v>3466</v>
      </c>
      <c r="E663" s="7">
        <f t="shared" si="220"/>
        <v>1567</v>
      </c>
      <c r="F663" s="7">
        <f t="shared" si="221"/>
        <v>1627</v>
      </c>
      <c r="G663" s="7">
        <f t="shared" si="222"/>
        <v>1406</v>
      </c>
      <c r="H663" s="4">
        <f t="shared" si="223"/>
        <v>2741</v>
      </c>
      <c r="I663" s="4">
        <f t="shared" si="224"/>
        <v>2681</v>
      </c>
      <c r="J663" s="4">
        <f t="shared" si="225"/>
        <v>2902</v>
      </c>
      <c r="K663" s="4">
        <f t="shared" si="217"/>
        <v>4000</v>
      </c>
      <c r="L663" s="4">
        <f t="shared" si="218"/>
        <v>4000</v>
      </c>
      <c r="M663" s="4">
        <f t="shared" si="219"/>
        <v>4000</v>
      </c>
      <c r="N663" s="4">
        <f t="shared" si="229"/>
        <v>-1259</v>
      </c>
      <c r="O663" s="4">
        <f t="shared" si="230"/>
        <v>-1319</v>
      </c>
      <c r="P663" s="4">
        <f t="shared" si="231"/>
        <v>-1098</v>
      </c>
      <c r="Q663" s="7">
        <v>3</v>
      </c>
      <c r="R663" s="7">
        <v>3</v>
      </c>
      <c r="S663" s="7">
        <v>3</v>
      </c>
      <c r="T663" s="5">
        <f t="shared" si="226"/>
        <v>2187</v>
      </c>
      <c r="U663" s="6">
        <f t="shared" si="213"/>
        <v>2171</v>
      </c>
      <c r="V663" s="6">
        <f t="shared" si="214"/>
        <v>2121</v>
      </c>
      <c r="W663" s="6">
        <f t="shared" si="212"/>
        <v>2352</v>
      </c>
      <c r="X663" s="5"/>
      <c r="Y663" s="4"/>
      <c r="Z663" s="4"/>
      <c r="AA663" s="4"/>
      <c r="AB663" s="4"/>
    </row>
    <row r="664" spans="1:28" ht="13.15" customHeight="1">
      <c r="A664" s="9">
        <f t="shared" si="215"/>
        <v>650</v>
      </c>
      <c r="B664" s="10">
        <f t="shared" si="227"/>
        <v>45693</v>
      </c>
      <c r="C664" s="9">
        <f t="shared" si="228"/>
        <v>842</v>
      </c>
      <c r="D664" s="8">
        <f t="shared" si="216"/>
        <v>3468</v>
      </c>
      <c r="E664" s="7">
        <f t="shared" si="220"/>
        <v>1573</v>
      </c>
      <c r="F664" s="7">
        <f t="shared" si="221"/>
        <v>1632</v>
      </c>
      <c r="G664" s="7">
        <f t="shared" si="222"/>
        <v>1411</v>
      </c>
      <c r="H664" s="4">
        <f t="shared" si="223"/>
        <v>2737</v>
      </c>
      <c r="I664" s="4">
        <f t="shared" si="224"/>
        <v>2678</v>
      </c>
      <c r="J664" s="4">
        <f t="shared" si="225"/>
        <v>2899</v>
      </c>
      <c r="K664" s="4">
        <f t="shared" si="217"/>
        <v>4000</v>
      </c>
      <c r="L664" s="4">
        <f t="shared" si="218"/>
        <v>4000</v>
      </c>
      <c r="M664" s="4">
        <f t="shared" si="219"/>
        <v>4000</v>
      </c>
      <c r="N664" s="4">
        <f t="shared" si="229"/>
        <v>-1263</v>
      </c>
      <c r="O664" s="4">
        <f t="shared" si="230"/>
        <v>-1322</v>
      </c>
      <c r="P664" s="4">
        <f t="shared" si="231"/>
        <v>-1101</v>
      </c>
      <c r="Q664" s="7">
        <v>4</v>
      </c>
      <c r="R664" s="7">
        <v>3</v>
      </c>
      <c r="S664" s="7">
        <v>3</v>
      </c>
      <c r="T664" s="5">
        <f t="shared" si="226"/>
        <v>2192</v>
      </c>
      <c r="U664" s="6">
        <f t="shared" si="213"/>
        <v>2167</v>
      </c>
      <c r="V664" s="6">
        <f t="shared" si="214"/>
        <v>2118</v>
      </c>
      <c r="W664" s="6">
        <f t="shared" si="212"/>
        <v>2349</v>
      </c>
      <c r="X664" s="5"/>
      <c r="Y664" s="4"/>
      <c r="Z664" s="4"/>
      <c r="AA664" s="4"/>
      <c r="AB664" s="4"/>
    </row>
    <row r="665" spans="1:28" ht="13.15" customHeight="1">
      <c r="A665" s="9">
        <f t="shared" si="215"/>
        <v>651</v>
      </c>
      <c r="B665" s="10">
        <f t="shared" si="227"/>
        <v>45694</v>
      </c>
      <c r="C665" s="9">
        <f t="shared" si="228"/>
        <v>842</v>
      </c>
      <c r="D665" s="8">
        <f t="shared" si="216"/>
        <v>3470</v>
      </c>
      <c r="E665" s="7">
        <f t="shared" si="220"/>
        <v>1578</v>
      </c>
      <c r="F665" s="7">
        <f t="shared" si="221"/>
        <v>1638</v>
      </c>
      <c r="G665" s="7">
        <f t="shared" si="222"/>
        <v>1417</v>
      </c>
      <c r="H665" s="4">
        <f t="shared" si="223"/>
        <v>2734</v>
      </c>
      <c r="I665" s="4">
        <f t="shared" si="224"/>
        <v>2674</v>
      </c>
      <c r="J665" s="4">
        <f t="shared" si="225"/>
        <v>2895</v>
      </c>
      <c r="K665" s="4">
        <f t="shared" si="217"/>
        <v>4000</v>
      </c>
      <c r="L665" s="4">
        <f t="shared" si="218"/>
        <v>4000</v>
      </c>
      <c r="M665" s="4">
        <f t="shared" si="219"/>
        <v>4000</v>
      </c>
      <c r="N665" s="4">
        <f t="shared" si="229"/>
        <v>-1266</v>
      </c>
      <c r="O665" s="4">
        <f t="shared" si="230"/>
        <v>-1326</v>
      </c>
      <c r="P665" s="4">
        <f t="shared" si="231"/>
        <v>-1105</v>
      </c>
      <c r="Q665" s="7">
        <v>3</v>
      </c>
      <c r="R665" s="7">
        <v>4</v>
      </c>
      <c r="S665" s="7">
        <v>4</v>
      </c>
      <c r="T665" s="5">
        <f t="shared" si="226"/>
        <v>2198</v>
      </c>
      <c r="U665" s="6">
        <f t="shared" si="213"/>
        <v>2164</v>
      </c>
      <c r="V665" s="6">
        <f t="shared" si="214"/>
        <v>2114</v>
      </c>
      <c r="W665" s="6">
        <f t="shared" si="212"/>
        <v>2345</v>
      </c>
      <c r="X665" s="5"/>
      <c r="Y665" s="4"/>
      <c r="Z665" s="4"/>
      <c r="AA665" s="4"/>
      <c r="AB665" s="4"/>
    </row>
    <row r="666" spans="1:28" ht="13.15" customHeight="1">
      <c r="A666" s="9">
        <f t="shared" si="215"/>
        <v>652</v>
      </c>
      <c r="B666" s="10">
        <f t="shared" si="227"/>
        <v>45695</v>
      </c>
      <c r="C666" s="9">
        <f t="shared" si="228"/>
        <v>842</v>
      </c>
      <c r="D666" s="8">
        <f t="shared" si="216"/>
        <v>3472</v>
      </c>
      <c r="E666" s="7">
        <f t="shared" si="220"/>
        <v>1581</v>
      </c>
      <c r="F666" s="7">
        <f t="shared" si="221"/>
        <v>1643</v>
      </c>
      <c r="G666" s="7">
        <f t="shared" si="222"/>
        <v>1422</v>
      </c>
      <c r="H666" s="4">
        <f t="shared" si="223"/>
        <v>2733</v>
      </c>
      <c r="I666" s="4">
        <f t="shared" si="224"/>
        <v>2671</v>
      </c>
      <c r="J666" s="4">
        <f t="shared" si="225"/>
        <v>2892</v>
      </c>
      <c r="K666" s="4">
        <f t="shared" si="217"/>
        <v>4000</v>
      </c>
      <c r="L666" s="4">
        <f t="shared" si="218"/>
        <v>4000</v>
      </c>
      <c r="M666" s="4">
        <f t="shared" si="219"/>
        <v>4000</v>
      </c>
      <c r="N666" s="4">
        <f t="shared" si="229"/>
        <v>-1267</v>
      </c>
      <c r="O666" s="4">
        <f t="shared" si="230"/>
        <v>-1329</v>
      </c>
      <c r="P666" s="4">
        <f t="shared" si="231"/>
        <v>-1108</v>
      </c>
      <c r="Q666" s="7">
        <v>1</v>
      </c>
      <c r="R666" s="7">
        <v>3</v>
      </c>
      <c r="S666" s="7">
        <v>3</v>
      </c>
      <c r="T666" s="5">
        <f t="shared" si="226"/>
        <v>2203</v>
      </c>
      <c r="U666" s="6">
        <f t="shared" si="213"/>
        <v>2163</v>
      </c>
      <c r="V666" s="6">
        <f t="shared" si="214"/>
        <v>2111</v>
      </c>
      <c r="W666" s="6">
        <f t="shared" si="212"/>
        <v>2342</v>
      </c>
      <c r="X666" s="5"/>
      <c r="Y666" s="4"/>
      <c r="Z666" s="4"/>
      <c r="AA666" s="4"/>
      <c r="AB666" s="4"/>
    </row>
    <row r="667" spans="1:28" ht="13.15" customHeight="1">
      <c r="A667" s="9">
        <f t="shared" si="215"/>
        <v>653</v>
      </c>
      <c r="B667" s="10">
        <f t="shared" si="227"/>
        <v>45696</v>
      </c>
      <c r="C667" s="9">
        <f t="shared" si="228"/>
        <v>842</v>
      </c>
      <c r="D667" s="8">
        <f t="shared" si="216"/>
        <v>3474</v>
      </c>
      <c r="E667" s="7">
        <f t="shared" si="220"/>
        <v>1585</v>
      </c>
      <c r="F667" s="7">
        <f t="shared" si="221"/>
        <v>1649</v>
      </c>
      <c r="G667" s="7">
        <f t="shared" si="222"/>
        <v>1428</v>
      </c>
      <c r="H667" s="4">
        <f t="shared" si="223"/>
        <v>2731</v>
      </c>
      <c r="I667" s="4">
        <f t="shared" si="224"/>
        <v>2667</v>
      </c>
      <c r="J667" s="4">
        <f t="shared" si="225"/>
        <v>2888</v>
      </c>
      <c r="K667" s="4">
        <f t="shared" si="217"/>
        <v>4000</v>
      </c>
      <c r="L667" s="4">
        <f t="shared" si="218"/>
        <v>4000</v>
      </c>
      <c r="M667" s="4">
        <f t="shared" si="219"/>
        <v>4000</v>
      </c>
      <c r="N667" s="4">
        <f t="shared" si="229"/>
        <v>-1269</v>
      </c>
      <c r="O667" s="4">
        <f t="shared" si="230"/>
        <v>-1333</v>
      </c>
      <c r="P667" s="4">
        <f t="shared" si="231"/>
        <v>-1112</v>
      </c>
      <c r="Q667" s="7">
        <v>2</v>
      </c>
      <c r="R667" s="7">
        <v>4</v>
      </c>
      <c r="S667" s="7">
        <v>4</v>
      </c>
      <c r="T667" s="5">
        <f t="shared" si="226"/>
        <v>2209</v>
      </c>
      <c r="U667" s="6">
        <f t="shared" si="213"/>
        <v>2161</v>
      </c>
      <c r="V667" s="6">
        <f t="shared" si="214"/>
        <v>2107</v>
      </c>
      <c r="W667" s="6">
        <f t="shared" si="212"/>
        <v>2338</v>
      </c>
      <c r="X667" s="5"/>
      <c r="Y667" s="4"/>
      <c r="Z667" s="4"/>
      <c r="AA667" s="4"/>
      <c r="AB667" s="4"/>
    </row>
    <row r="668" spans="1:28" ht="13.15" customHeight="1">
      <c r="A668" s="9">
        <f t="shared" si="215"/>
        <v>654</v>
      </c>
      <c r="B668" s="10">
        <f t="shared" si="227"/>
        <v>45697</v>
      </c>
      <c r="C668" s="9">
        <f t="shared" si="228"/>
        <v>842</v>
      </c>
      <c r="D668" s="8">
        <f t="shared" si="216"/>
        <v>3476</v>
      </c>
      <c r="E668" s="7">
        <f t="shared" si="220"/>
        <v>1590</v>
      </c>
      <c r="F668" s="7">
        <f t="shared" si="221"/>
        <v>1655</v>
      </c>
      <c r="G668" s="7">
        <f t="shared" si="222"/>
        <v>1434</v>
      </c>
      <c r="H668" s="4">
        <f t="shared" si="223"/>
        <v>2728</v>
      </c>
      <c r="I668" s="4">
        <f t="shared" si="224"/>
        <v>2663</v>
      </c>
      <c r="J668" s="4">
        <f t="shared" si="225"/>
        <v>2884</v>
      </c>
      <c r="K668" s="4">
        <f t="shared" si="217"/>
        <v>4000</v>
      </c>
      <c r="L668" s="4">
        <f t="shared" si="218"/>
        <v>4000</v>
      </c>
      <c r="M668" s="4">
        <f t="shared" si="219"/>
        <v>4000</v>
      </c>
      <c r="N668" s="4">
        <f t="shared" si="229"/>
        <v>-1272</v>
      </c>
      <c r="O668" s="4">
        <f t="shared" si="230"/>
        <v>-1337</v>
      </c>
      <c r="P668" s="4">
        <f t="shared" si="231"/>
        <v>-1116</v>
      </c>
      <c r="Q668" s="7">
        <v>3</v>
      </c>
      <c r="R668" s="7">
        <v>4</v>
      </c>
      <c r="S668" s="7">
        <v>4</v>
      </c>
      <c r="T668" s="5">
        <f t="shared" si="226"/>
        <v>2215</v>
      </c>
      <c r="U668" s="6">
        <f t="shared" si="213"/>
        <v>2158</v>
      </c>
      <c r="V668" s="6">
        <f t="shared" si="214"/>
        <v>2103</v>
      </c>
      <c r="W668" s="6">
        <f t="shared" si="212"/>
        <v>2334</v>
      </c>
      <c r="X668" s="5"/>
      <c r="Y668" s="4"/>
      <c r="Z668" s="4"/>
      <c r="AA668" s="4"/>
      <c r="AB668" s="4"/>
    </row>
    <row r="669" spans="1:28" ht="13.15" customHeight="1">
      <c r="A669" s="9">
        <f t="shared" si="215"/>
        <v>655</v>
      </c>
      <c r="B669" s="10">
        <f t="shared" si="227"/>
        <v>45698</v>
      </c>
      <c r="C669" s="9">
        <f t="shared" si="228"/>
        <v>842</v>
      </c>
      <c r="D669" s="8">
        <f t="shared" si="216"/>
        <v>3478</v>
      </c>
      <c r="E669" s="7">
        <f t="shared" si="220"/>
        <v>1595</v>
      </c>
      <c r="F669" s="7">
        <f t="shared" si="221"/>
        <v>1658</v>
      </c>
      <c r="G669" s="7">
        <f t="shared" si="222"/>
        <v>1437</v>
      </c>
      <c r="H669" s="4">
        <f t="shared" si="223"/>
        <v>2725</v>
      </c>
      <c r="I669" s="4">
        <f t="shared" si="224"/>
        <v>2662</v>
      </c>
      <c r="J669" s="4">
        <f t="shared" si="225"/>
        <v>2883</v>
      </c>
      <c r="K669" s="4">
        <f t="shared" si="217"/>
        <v>4000</v>
      </c>
      <c r="L669" s="4">
        <f t="shared" si="218"/>
        <v>4000</v>
      </c>
      <c r="M669" s="4">
        <f t="shared" si="219"/>
        <v>4000</v>
      </c>
      <c r="N669" s="4">
        <f t="shared" si="229"/>
        <v>-1275</v>
      </c>
      <c r="O669" s="4">
        <f t="shared" si="230"/>
        <v>-1338</v>
      </c>
      <c r="P669" s="4">
        <f t="shared" si="231"/>
        <v>-1117</v>
      </c>
      <c r="Q669" s="7">
        <v>3</v>
      </c>
      <c r="R669" s="7">
        <v>1</v>
      </c>
      <c r="S669" s="7">
        <v>1</v>
      </c>
      <c r="T669" s="5">
        <f t="shared" si="226"/>
        <v>2218</v>
      </c>
      <c r="U669" s="6">
        <f t="shared" si="213"/>
        <v>2155</v>
      </c>
      <c r="V669" s="6">
        <f t="shared" si="214"/>
        <v>2102</v>
      </c>
      <c r="W669" s="6">
        <f t="shared" si="212"/>
        <v>2333</v>
      </c>
      <c r="X669" s="5"/>
      <c r="Y669" s="4"/>
      <c r="Z669" s="4"/>
      <c r="AA669" s="4"/>
      <c r="AB669" s="4"/>
    </row>
    <row r="670" spans="1:28" ht="13.15" customHeight="1">
      <c r="A670" s="9">
        <f t="shared" si="215"/>
        <v>656</v>
      </c>
      <c r="B670" s="10">
        <f t="shared" si="227"/>
        <v>45699</v>
      </c>
      <c r="C670" s="9">
        <f t="shared" si="228"/>
        <v>842</v>
      </c>
      <c r="D670" s="8">
        <f t="shared" si="216"/>
        <v>3480</v>
      </c>
      <c r="E670" s="7">
        <f t="shared" si="220"/>
        <v>1601</v>
      </c>
      <c r="F670" s="7">
        <f t="shared" si="221"/>
        <v>1662</v>
      </c>
      <c r="G670" s="7">
        <f t="shared" si="222"/>
        <v>1441</v>
      </c>
      <c r="H670" s="4">
        <f t="shared" si="223"/>
        <v>2721</v>
      </c>
      <c r="I670" s="4">
        <f t="shared" si="224"/>
        <v>2660</v>
      </c>
      <c r="J670" s="4">
        <f t="shared" si="225"/>
        <v>2881</v>
      </c>
      <c r="K670" s="4">
        <f t="shared" si="217"/>
        <v>4000</v>
      </c>
      <c r="L670" s="4">
        <f t="shared" si="218"/>
        <v>4000</v>
      </c>
      <c r="M670" s="4">
        <f t="shared" si="219"/>
        <v>4000</v>
      </c>
      <c r="N670" s="4">
        <f t="shared" si="229"/>
        <v>-1279</v>
      </c>
      <c r="O670" s="4">
        <f t="shared" si="230"/>
        <v>-1340</v>
      </c>
      <c r="P670" s="4">
        <f t="shared" si="231"/>
        <v>-1119</v>
      </c>
      <c r="Q670" s="7">
        <v>4</v>
      </c>
      <c r="R670" s="7">
        <v>2</v>
      </c>
      <c r="S670" s="7">
        <v>2</v>
      </c>
      <c r="T670" s="5">
        <f t="shared" si="226"/>
        <v>2222</v>
      </c>
      <c r="U670" s="6">
        <f t="shared" si="213"/>
        <v>2151</v>
      </c>
      <c r="V670" s="6">
        <f t="shared" si="214"/>
        <v>2100</v>
      </c>
      <c r="W670" s="6">
        <f t="shared" si="212"/>
        <v>2331</v>
      </c>
      <c r="X670" s="5"/>
      <c r="Y670" s="4"/>
      <c r="Z670" s="4"/>
      <c r="AA670" s="4"/>
      <c r="AB670" s="4"/>
    </row>
    <row r="671" spans="1:28" ht="13.15" customHeight="1">
      <c r="A671" s="9">
        <f t="shared" si="215"/>
        <v>657</v>
      </c>
      <c r="B671" s="10">
        <f t="shared" si="227"/>
        <v>45700</v>
      </c>
      <c r="C671" s="9">
        <f t="shared" si="228"/>
        <v>842</v>
      </c>
      <c r="D671" s="8">
        <f t="shared" si="216"/>
        <v>3482</v>
      </c>
      <c r="E671" s="7">
        <f t="shared" si="220"/>
        <v>1606</v>
      </c>
      <c r="F671" s="7">
        <f t="shared" si="221"/>
        <v>1665</v>
      </c>
      <c r="G671" s="7">
        <f t="shared" si="222"/>
        <v>1444</v>
      </c>
      <c r="H671" s="4">
        <f t="shared" si="223"/>
        <v>2718</v>
      </c>
      <c r="I671" s="4">
        <f t="shared" si="224"/>
        <v>2659</v>
      </c>
      <c r="J671" s="4">
        <f t="shared" si="225"/>
        <v>2880</v>
      </c>
      <c r="K671" s="4">
        <f t="shared" si="217"/>
        <v>4000</v>
      </c>
      <c r="L671" s="4">
        <f t="shared" si="218"/>
        <v>4000</v>
      </c>
      <c r="M671" s="4">
        <f t="shared" si="219"/>
        <v>4000</v>
      </c>
      <c r="N671" s="4">
        <f t="shared" si="229"/>
        <v>-1282</v>
      </c>
      <c r="O671" s="4">
        <f t="shared" si="230"/>
        <v>-1341</v>
      </c>
      <c r="P671" s="4">
        <f t="shared" si="231"/>
        <v>-1120</v>
      </c>
      <c r="Q671" s="7">
        <v>3</v>
      </c>
      <c r="R671" s="7">
        <v>1</v>
      </c>
      <c r="S671" s="7">
        <v>1</v>
      </c>
      <c r="T671" s="5">
        <f t="shared" si="226"/>
        <v>2225</v>
      </c>
      <c r="U671" s="6">
        <f t="shared" si="213"/>
        <v>2148</v>
      </c>
      <c r="V671" s="6">
        <f t="shared" si="214"/>
        <v>2099</v>
      </c>
      <c r="W671" s="6">
        <f t="shared" si="212"/>
        <v>2330</v>
      </c>
      <c r="X671" s="5"/>
      <c r="Y671" s="4"/>
      <c r="Z671" s="4"/>
      <c r="AA671" s="4"/>
      <c r="AB671" s="4"/>
    </row>
    <row r="672" spans="1:28" ht="13.15" customHeight="1">
      <c r="A672" s="9">
        <f t="shared" si="215"/>
        <v>658</v>
      </c>
      <c r="B672" s="10">
        <f t="shared" si="227"/>
        <v>45701</v>
      </c>
      <c r="C672" s="9">
        <f t="shared" si="228"/>
        <v>842</v>
      </c>
      <c r="D672" s="8">
        <f t="shared" si="216"/>
        <v>3484</v>
      </c>
      <c r="E672" s="7">
        <f t="shared" si="220"/>
        <v>1612</v>
      </c>
      <c r="F672" s="7">
        <f t="shared" si="221"/>
        <v>1670</v>
      </c>
      <c r="G672" s="7">
        <f t="shared" si="222"/>
        <v>1449</v>
      </c>
      <c r="H672" s="4">
        <f t="shared" si="223"/>
        <v>2714</v>
      </c>
      <c r="I672" s="4">
        <f t="shared" si="224"/>
        <v>2656</v>
      </c>
      <c r="J672" s="4">
        <f t="shared" si="225"/>
        <v>2877</v>
      </c>
      <c r="K672" s="4">
        <f t="shared" si="217"/>
        <v>4000</v>
      </c>
      <c r="L672" s="4">
        <f t="shared" si="218"/>
        <v>4000</v>
      </c>
      <c r="M672" s="4">
        <f t="shared" si="219"/>
        <v>4000</v>
      </c>
      <c r="N672" s="4">
        <f t="shared" si="229"/>
        <v>-1286</v>
      </c>
      <c r="O672" s="4">
        <f t="shared" si="230"/>
        <v>-1344</v>
      </c>
      <c r="P672" s="4">
        <f t="shared" si="231"/>
        <v>-1123</v>
      </c>
      <c r="Q672" s="7">
        <v>4</v>
      </c>
      <c r="R672" s="7">
        <v>3</v>
      </c>
      <c r="S672" s="7">
        <v>3</v>
      </c>
      <c r="T672" s="5">
        <f t="shared" si="226"/>
        <v>2230</v>
      </c>
      <c r="U672" s="6">
        <f t="shared" si="213"/>
        <v>2144</v>
      </c>
      <c r="V672" s="6">
        <f t="shared" si="214"/>
        <v>2096</v>
      </c>
      <c r="W672" s="6">
        <f t="shared" si="212"/>
        <v>2327</v>
      </c>
      <c r="X672" s="5"/>
      <c r="Y672" s="4"/>
      <c r="Z672" s="4"/>
      <c r="AA672" s="4"/>
      <c r="AB672" s="4"/>
    </row>
    <row r="673" spans="1:28" ht="13.15" customHeight="1">
      <c r="A673" s="9">
        <f t="shared" si="215"/>
        <v>659</v>
      </c>
      <c r="B673" s="10">
        <f t="shared" si="227"/>
        <v>45702</v>
      </c>
      <c r="C673" s="9">
        <f t="shared" si="228"/>
        <v>842</v>
      </c>
      <c r="D673" s="8">
        <f t="shared" si="216"/>
        <v>3486</v>
      </c>
      <c r="E673" s="7">
        <f t="shared" si="220"/>
        <v>1618</v>
      </c>
      <c r="F673" s="7">
        <f t="shared" si="221"/>
        <v>1674</v>
      </c>
      <c r="G673" s="7">
        <f t="shared" si="222"/>
        <v>1453</v>
      </c>
      <c r="H673" s="4">
        <f t="shared" si="223"/>
        <v>2710</v>
      </c>
      <c r="I673" s="4">
        <f t="shared" si="224"/>
        <v>2654</v>
      </c>
      <c r="J673" s="4">
        <f t="shared" si="225"/>
        <v>2875</v>
      </c>
      <c r="K673" s="4">
        <f t="shared" si="217"/>
        <v>4000</v>
      </c>
      <c r="L673" s="4">
        <f t="shared" si="218"/>
        <v>4000</v>
      </c>
      <c r="M673" s="4">
        <f t="shared" si="219"/>
        <v>4000</v>
      </c>
      <c r="N673" s="4">
        <f t="shared" si="229"/>
        <v>-1290</v>
      </c>
      <c r="O673" s="4">
        <f t="shared" si="230"/>
        <v>-1346</v>
      </c>
      <c r="P673" s="4">
        <f t="shared" si="231"/>
        <v>-1125</v>
      </c>
      <c r="Q673" s="7">
        <v>4</v>
      </c>
      <c r="R673" s="7">
        <v>2</v>
      </c>
      <c r="S673" s="7">
        <v>2</v>
      </c>
      <c r="T673" s="5">
        <f t="shared" si="226"/>
        <v>2234</v>
      </c>
      <c r="U673" s="6">
        <f t="shared" si="213"/>
        <v>2140</v>
      </c>
      <c r="V673" s="6">
        <f t="shared" si="214"/>
        <v>2094</v>
      </c>
      <c r="W673" s="6">
        <f t="shared" si="212"/>
        <v>2325</v>
      </c>
      <c r="X673" s="5"/>
      <c r="Y673" s="4"/>
      <c r="Z673" s="4"/>
      <c r="AA673" s="4"/>
      <c r="AB673" s="4"/>
    </row>
    <row r="674" spans="1:28" ht="13.15" customHeight="1">
      <c r="A674" s="9">
        <f t="shared" si="215"/>
        <v>660</v>
      </c>
      <c r="B674" s="10">
        <f t="shared" si="227"/>
        <v>45703</v>
      </c>
      <c r="C674" s="9">
        <f t="shared" si="228"/>
        <v>842</v>
      </c>
      <c r="D674" s="8">
        <f t="shared" ref="D674:D705" si="232">D673+2</f>
        <v>3488</v>
      </c>
      <c r="E674" s="7">
        <f t="shared" si="220"/>
        <v>1621</v>
      </c>
      <c r="F674" s="7">
        <f t="shared" si="221"/>
        <v>1677</v>
      </c>
      <c r="G674" s="7">
        <f t="shared" si="222"/>
        <v>1456</v>
      </c>
      <c r="H674" s="4">
        <f t="shared" si="223"/>
        <v>2709</v>
      </c>
      <c r="I674" s="4">
        <f t="shared" si="224"/>
        <v>2653</v>
      </c>
      <c r="J674" s="4">
        <f t="shared" si="225"/>
        <v>2874</v>
      </c>
      <c r="K674" s="4">
        <f t="shared" ref="K674:K705" si="233">K673</f>
        <v>4000</v>
      </c>
      <c r="L674" s="4">
        <f t="shared" ref="L674:L705" si="234">L673</f>
        <v>4000</v>
      </c>
      <c r="M674" s="4">
        <f t="shared" ref="M674:M705" si="235">M673</f>
        <v>4000</v>
      </c>
      <c r="N674" s="4">
        <f t="shared" si="229"/>
        <v>-1291</v>
      </c>
      <c r="O674" s="4">
        <f t="shared" si="230"/>
        <v>-1347</v>
      </c>
      <c r="P674" s="4">
        <f t="shared" si="231"/>
        <v>-1126</v>
      </c>
      <c r="Q674" s="7">
        <v>1</v>
      </c>
      <c r="R674" s="7">
        <v>1</v>
      </c>
      <c r="S674" s="7">
        <v>1</v>
      </c>
      <c r="T674" s="5">
        <f t="shared" si="226"/>
        <v>2237</v>
      </c>
      <c r="U674" s="6">
        <f t="shared" si="213"/>
        <v>2139</v>
      </c>
      <c r="V674" s="6">
        <f t="shared" si="214"/>
        <v>2093</v>
      </c>
      <c r="W674" s="6">
        <f t="shared" si="212"/>
        <v>2324</v>
      </c>
      <c r="X674" s="5"/>
      <c r="Y674" s="4"/>
      <c r="Z674" s="4"/>
      <c r="AA674" s="4"/>
      <c r="AB674" s="4"/>
    </row>
    <row r="675" spans="1:28" ht="13.15" customHeight="1">
      <c r="A675" s="9">
        <f t="shared" si="215"/>
        <v>661</v>
      </c>
      <c r="B675" s="10">
        <f t="shared" si="227"/>
        <v>45704</v>
      </c>
      <c r="C675" s="9">
        <f t="shared" si="228"/>
        <v>842</v>
      </c>
      <c r="D675" s="8">
        <f t="shared" si="232"/>
        <v>3490</v>
      </c>
      <c r="E675" s="7">
        <f t="shared" si="220"/>
        <v>1625</v>
      </c>
      <c r="F675" s="7">
        <f t="shared" si="221"/>
        <v>1682</v>
      </c>
      <c r="G675" s="7">
        <f t="shared" si="222"/>
        <v>1461</v>
      </c>
      <c r="H675" s="4">
        <f t="shared" si="223"/>
        <v>2707</v>
      </c>
      <c r="I675" s="4">
        <f t="shared" si="224"/>
        <v>2650</v>
      </c>
      <c r="J675" s="4">
        <f t="shared" si="225"/>
        <v>2871</v>
      </c>
      <c r="K675" s="4">
        <f t="shared" si="233"/>
        <v>4000</v>
      </c>
      <c r="L675" s="4">
        <f t="shared" si="234"/>
        <v>4000</v>
      </c>
      <c r="M675" s="4">
        <f t="shared" si="235"/>
        <v>4000</v>
      </c>
      <c r="N675" s="4">
        <f t="shared" si="229"/>
        <v>-1293</v>
      </c>
      <c r="O675" s="4">
        <f t="shared" si="230"/>
        <v>-1350</v>
      </c>
      <c r="P675" s="4">
        <f t="shared" si="231"/>
        <v>-1129</v>
      </c>
      <c r="Q675" s="7">
        <v>2</v>
      </c>
      <c r="R675" s="7">
        <v>3</v>
      </c>
      <c r="S675" s="7">
        <v>3</v>
      </c>
      <c r="T675" s="5">
        <f t="shared" si="226"/>
        <v>2242</v>
      </c>
      <c r="U675" s="6">
        <f t="shared" si="213"/>
        <v>2137</v>
      </c>
      <c r="V675" s="6">
        <f t="shared" si="214"/>
        <v>2090</v>
      </c>
      <c r="W675" s="6">
        <f t="shared" si="212"/>
        <v>2321</v>
      </c>
      <c r="X675" s="5"/>
      <c r="Y675" s="4"/>
      <c r="Z675" s="4"/>
      <c r="AA675" s="4"/>
      <c r="AB675" s="4"/>
    </row>
    <row r="676" spans="1:28" ht="13.15" customHeight="1">
      <c r="A676" s="9">
        <f t="shared" si="215"/>
        <v>662</v>
      </c>
      <c r="B676" s="10">
        <f t="shared" si="227"/>
        <v>45705</v>
      </c>
      <c r="C676" s="9">
        <f t="shared" si="228"/>
        <v>842</v>
      </c>
      <c r="D676" s="8">
        <f t="shared" si="232"/>
        <v>3492</v>
      </c>
      <c r="E676" s="7">
        <f t="shared" si="220"/>
        <v>1628</v>
      </c>
      <c r="F676" s="7">
        <f t="shared" si="221"/>
        <v>1687</v>
      </c>
      <c r="G676" s="7">
        <f t="shared" si="222"/>
        <v>1466</v>
      </c>
      <c r="H676" s="4">
        <f t="shared" si="223"/>
        <v>2706</v>
      </c>
      <c r="I676" s="4">
        <f t="shared" si="224"/>
        <v>2647</v>
      </c>
      <c r="J676" s="4">
        <f t="shared" si="225"/>
        <v>2868</v>
      </c>
      <c r="K676" s="4">
        <f t="shared" si="233"/>
        <v>4000</v>
      </c>
      <c r="L676" s="4">
        <f t="shared" si="234"/>
        <v>4000</v>
      </c>
      <c r="M676" s="4">
        <f t="shared" si="235"/>
        <v>4000</v>
      </c>
      <c r="N676" s="4">
        <f t="shared" si="229"/>
        <v>-1294</v>
      </c>
      <c r="O676" s="4">
        <f t="shared" si="230"/>
        <v>-1353</v>
      </c>
      <c r="P676" s="4">
        <f t="shared" si="231"/>
        <v>-1132</v>
      </c>
      <c r="Q676" s="7">
        <v>1</v>
      </c>
      <c r="R676" s="7">
        <v>3</v>
      </c>
      <c r="S676" s="7">
        <v>3</v>
      </c>
      <c r="T676" s="5">
        <f t="shared" si="226"/>
        <v>2247</v>
      </c>
      <c r="U676" s="6">
        <f t="shared" si="213"/>
        <v>2136</v>
      </c>
      <c r="V676" s="6">
        <f t="shared" si="214"/>
        <v>2087</v>
      </c>
      <c r="W676" s="6">
        <f t="shared" si="212"/>
        <v>2318</v>
      </c>
      <c r="X676" s="5"/>
      <c r="Y676" s="4"/>
      <c r="Z676" s="4"/>
      <c r="AA676" s="4"/>
      <c r="AB676" s="4"/>
    </row>
    <row r="677" spans="1:28" ht="13.15" customHeight="1">
      <c r="A677" s="9">
        <f t="shared" si="215"/>
        <v>663</v>
      </c>
      <c r="B677" s="10">
        <f t="shared" si="227"/>
        <v>45706</v>
      </c>
      <c r="C677" s="9">
        <f t="shared" si="228"/>
        <v>842</v>
      </c>
      <c r="D677" s="8">
        <f t="shared" si="232"/>
        <v>3494</v>
      </c>
      <c r="E677" s="7">
        <f t="shared" si="220"/>
        <v>1633</v>
      </c>
      <c r="F677" s="7">
        <f t="shared" si="221"/>
        <v>1692</v>
      </c>
      <c r="G677" s="7">
        <f t="shared" si="222"/>
        <v>1471</v>
      </c>
      <c r="H677" s="4">
        <f t="shared" si="223"/>
        <v>2703</v>
      </c>
      <c r="I677" s="4">
        <f t="shared" si="224"/>
        <v>2644</v>
      </c>
      <c r="J677" s="4">
        <f t="shared" si="225"/>
        <v>2865</v>
      </c>
      <c r="K677" s="4">
        <f t="shared" si="233"/>
        <v>4000</v>
      </c>
      <c r="L677" s="4">
        <f t="shared" si="234"/>
        <v>4000</v>
      </c>
      <c r="M677" s="4">
        <f t="shared" si="235"/>
        <v>4000</v>
      </c>
      <c r="N677" s="4">
        <f t="shared" si="229"/>
        <v>-1297</v>
      </c>
      <c r="O677" s="4">
        <f t="shared" si="230"/>
        <v>-1356</v>
      </c>
      <c r="P677" s="4">
        <f t="shared" si="231"/>
        <v>-1135</v>
      </c>
      <c r="Q677" s="7">
        <v>3</v>
      </c>
      <c r="R677" s="7">
        <v>3</v>
      </c>
      <c r="S677" s="7">
        <v>3</v>
      </c>
      <c r="T677" s="5">
        <f t="shared" si="226"/>
        <v>2252</v>
      </c>
      <c r="U677" s="6">
        <f t="shared" si="213"/>
        <v>2133</v>
      </c>
      <c r="V677" s="6">
        <f t="shared" si="214"/>
        <v>2084</v>
      </c>
      <c r="W677" s="6">
        <f t="shared" si="212"/>
        <v>2315</v>
      </c>
      <c r="X677" s="5"/>
      <c r="Y677" s="4"/>
      <c r="Z677" s="4"/>
      <c r="AA677" s="4"/>
      <c r="AB677" s="4"/>
    </row>
    <row r="678" spans="1:28" ht="13.15" customHeight="1">
      <c r="A678" s="9">
        <f t="shared" si="215"/>
        <v>664</v>
      </c>
      <c r="B678" s="10">
        <f t="shared" si="227"/>
        <v>45707</v>
      </c>
      <c r="C678" s="9">
        <f t="shared" si="228"/>
        <v>842</v>
      </c>
      <c r="D678" s="8">
        <f t="shared" si="232"/>
        <v>3496</v>
      </c>
      <c r="E678" s="7">
        <f t="shared" si="220"/>
        <v>1637</v>
      </c>
      <c r="F678" s="7">
        <f t="shared" si="221"/>
        <v>1697</v>
      </c>
      <c r="G678" s="7">
        <f t="shared" si="222"/>
        <v>1476</v>
      </c>
      <c r="H678" s="4">
        <f t="shared" si="223"/>
        <v>2701</v>
      </c>
      <c r="I678" s="4">
        <f t="shared" si="224"/>
        <v>2641</v>
      </c>
      <c r="J678" s="4">
        <f t="shared" si="225"/>
        <v>2862</v>
      </c>
      <c r="K678" s="4">
        <f t="shared" si="233"/>
        <v>4000</v>
      </c>
      <c r="L678" s="4">
        <f t="shared" si="234"/>
        <v>4000</v>
      </c>
      <c r="M678" s="4">
        <f t="shared" si="235"/>
        <v>4000</v>
      </c>
      <c r="N678" s="4">
        <f t="shared" si="229"/>
        <v>-1299</v>
      </c>
      <c r="O678" s="4">
        <f t="shared" si="230"/>
        <v>-1359</v>
      </c>
      <c r="P678" s="4">
        <f t="shared" si="231"/>
        <v>-1138</v>
      </c>
      <c r="Q678" s="7">
        <v>2</v>
      </c>
      <c r="R678" s="7">
        <v>3</v>
      </c>
      <c r="S678" s="7">
        <v>3</v>
      </c>
      <c r="T678" s="5">
        <f t="shared" si="226"/>
        <v>2257</v>
      </c>
      <c r="U678" s="6">
        <f t="shared" si="213"/>
        <v>2131</v>
      </c>
      <c r="V678" s="6">
        <f t="shared" si="214"/>
        <v>2081</v>
      </c>
      <c r="W678" s="6">
        <f t="shared" si="212"/>
        <v>2312</v>
      </c>
      <c r="X678" s="5"/>
      <c r="Y678" s="4"/>
      <c r="Z678" s="4"/>
      <c r="AA678" s="4"/>
      <c r="AB678" s="4"/>
    </row>
    <row r="679" spans="1:28" ht="13.15" customHeight="1">
      <c r="A679" s="9">
        <f t="shared" si="215"/>
        <v>665</v>
      </c>
      <c r="B679" s="10">
        <f t="shared" si="227"/>
        <v>45708</v>
      </c>
      <c r="C679" s="9">
        <f t="shared" si="228"/>
        <v>842</v>
      </c>
      <c r="D679" s="8">
        <f t="shared" si="232"/>
        <v>3498</v>
      </c>
      <c r="E679" s="7">
        <f t="shared" si="220"/>
        <v>1640</v>
      </c>
      <c r="F679" s="7">
        <f t="shared" si="221"/>
        <v>1701</v>
      </c>
      <c r="G679" s="7">
        <f t="shared" si="222"/>
        <v>1480</v>
      </c>
      <c r="H679" s="4">
        <f t="shared" si="223"/>
        <v>2700</v>
      </c>
      <c r="I679" s="4">
        <f t="shared" si="224"/>
        <v>2639</v>
      </c>
      <c r="J679" s="4">
        <f t="shared" si="225"/>
        <v>2860</v>
      </c>
      <c r="K679" s="4">
        <f t="shared" si="233"/>
        <v>4000</v>
      </c>
      <c r="L679" s="4">
        <f t="shared" si="234"/>
        <v>4000</v>
      </c>
      <c r="M679" s="4">
        <f t="shared" si="235"/>
        <v>4000</v>
      </c>
      <c r="N679" s="4">
        <f t="shared" si="229"/>
        <v>-1300</v>
      </c>
      <c r="O679" s="4">
        <f t="shared" si="230"/>
        <v>-1361</v>
      </c>
      <c r="P679" s="4">
        <f t="shared" si="231"/>
        <v>-1140</v>
      </c>
      <c r="Q679" s="7">
        <v>1</v>
      </c>
      <c r="R679" s="7">
        <v>2</v>
      </c>
      <c r="S679" s="7">
        <v>2</v>
      </c>
      <c r="T679" s="5">
        <f t="shared" si="226"/>
        <v>2261</v>
      </c>
      <c r="U679" s="6">
        <f t="shared" si="213"/>
        <v>2130</v>
      </c>
      <c r="V679" s="6">
        <f t="shared" si="214"/>
        <v>2079</v>
      </c>
      <c r="W679" s="6">
        <f t="shared" ref="W679:W718" si="236">W678+$X679*1000-S679</f>
        <v>2310</v>
      </c>
      <c r="X679" s="5"/>
      <c r="Y679" s="4"/>
      <c r="Z679" s="4"/>
      <c r="AA679" s="4"/>
      <c r="AB679" s="4"/>
    </row>
    <row r="680" spans="1:28" ht="13.15" customHeight="1">
      <c r="A680" s="9">
        <f t="shared" si="215"/>
        <v>666</v>
      </c>
      <c r="B680" s="10">
        <f t="shared" si="227"/>
        <v>45709</v>
      </c>
      <c r="C680" s="9">
        <f t="shared" si="228"/>
        <v>842</v>
      </c>
      <c r="D680" s="8">
        <f t="shared" si="232"/>
        <v>3500</v>
      </c>
      <c r="E680" s="7">
        <f t="shared" si="220"/>
        <v>1645</v>
      </c>
      <c r="F680" s="7">
        <f t="shared" si="221"/>
        <v>1705</v>
      </c>
      <c r="G680" s="7">
        <f t="shared" si="222"/>
        <v>1484</v>
      </c>
      <c r="H680" s="4">
        <f t="shared" si="223"/>
        <v>2697</v>
      </c>
      <c r="I680" s="4">
        <f t="shared" si="224"/>
        <v>2637</v>
      </c>
      <c r="J680" s="4">
        <f t="shared" si="225"/>
        <v>2858</v>
      </c>
      <c r="K680" s="4">
        <f t="shared" si="233"/>
        <v>4000</v>
      </c>
      <c r="L680" s="4">
        <f t="shared" si="234"/>
        <v>4000</v>
      </c>
      <c r="M680" s="4">
        <f t="shared" si="235"/>
        <v>4000</v>
      </c>
      <c r="N680" s="4">
        <f t="shared" si="229"/>
        <v>-1303</v>
      </c>
      <c r="O680" s="4">
        <f t="shared" si="230"/>
        <v>-1363</v>
      </c>
      <c r="P680" s="4">
        <f t="shared" si="231"/>
        <v>-1142</v>
      </c>
      <c r="Q680" s="7">
        <v>3</v>
      </c>
      <c r="R680" s="7">
        <v>2</v>
      </c>
      <c r="S680" s="7">
        <v>2</v>
      </c>
      <c r="T680" s="5">
        <f t="shared" si="226"/>
        <v>2265</v>
      </c>
      <c r="U680" s="6">
        <f t="shared" ref="U680:U718" si="237">U679+$X680*1000-Q680</f>
        <v>2127</v>
      </c>
      <c r="V680" s="6">
        <f t="shared" ref="V680:V718" si="238">V679+$X680*1000-R680</f>
        <v>2077</v>
      </c>
      <c r="W680" s="6">
        <f t="shared" si="236"/>
        <v>2308</v>
      </c>
      <c r="X680" s="5"/>
      <c r="Y680" s="4"/>
      <c r="Z680" s="4"/>
      <c r="AA680" s="4"/>
      <c r="AB680" s="4"/>
    </row>
    <row r="681" spans="1:28" ht="13.15" customHeight="1">
      <c r="A681" s="9">
        <f t="shared" si="215"/>
        <v>667</v>
      </c>
      <c r="B681" s="10">
        <f t="shared" si="227"/>
        <v>45710</v>
      </c>
      <c r="C681" s="9">
        <f t="shared" si="228"/>
        <v>842</v>
      </c>
      <c r="D681" s="8">
        <f t="shared" si="232"/>
        <v>3502</v>
      </c>
      <c r="E681" s="7">
        <f t="shared" si="220"/>
        <v>1650</v>
      </c>
      <c r="F681" s="7">
        <f t="shared" si="221"/>
        <v>1709</v>
      </c>
      <c r="G681" s="7">
        <f t="shared" si="222"/>
        <v>1488</v>
      </c>
      <c r="H681" s="4">
        <f t="shared" si="223"/>
        <v>2694</v>
      </c>
      <c r="I681" s="4">
        <f t="shared" si="224"/>
        <v>2635</v>
      </c>
      <c r="J681" s="4">
        <f t="shared" si="225"/>
        <v>2856</v>
      </c>
      <c r="K681" s="4">
        <f t="shared" si="233"/>
        <v>4000</v>
      </c>
      <c r="L681" s="4">
        <f t="shared" si="234"/>
        <v>4000</v>
      </c>
      <c r="M681" s="4">
        <f t="shared" si="235"/>
        <v>4000</v>
      </c>
      <c r="N681" s="4">
        <f t="shared" si="229"/>
        <v>-1306</v>
      </c>
      <c r="O681" s="4">
        <f t="shared" si="230"/>
        <v>-1365</v>
      </c>
      <c r="P681" s="4">
        <f t="shared" si="231"/>
        <v>-1144</v>
      </c>
      <c r="Q681" s="7">
        <v>3</v>
      </c>
      <c r="R681" s="7">
        <v>2</v>
      </c>
      <c r="S681" s="7">
        <v>2</v>
      </c>
      <c r="T681" s="5">
        <f t="shared" si="226"/>
        <v>2269</v>
      </c>
      <c r="U681" s="6">
        <f t="shared" si="237"/>
        <v>2124</v>
      </c>
      <c r="V681" s="6">
        <f t="shared" si="238"/>
        <v>2075</v>
      </c>
      <c r="W681" s="6">
        <f t="shared" si="236"/>
        <v>2306</v>
      </c>
      <c r="X681" s="5"/>
      <c r="Y681" s="4"/>
      <c r="Z681" s="4"/>
      <c r="AA681" s="4"/>
      <c r="AB681" s="4"/>
    </row>
    <row r="682" spans="1:28" ht="13.15" customHeight="1">
      <c r="A682" s="9">
        <f t="shared" si="215"/>
        <v>668</v>
      </c>
      <c r="B682" s="10">
        <f t="shared" si="227"/>
        <v>45711</v>
      </c>
      <c r="C682" s="9">
        <f t="shared" si="228"/>
        <v>842</v>
      </c>
      <c r="D682" s="8">
        <f t="shared" si="232"/>
        <v>3504</v>
      </c>
      <c r="E682" s="7">
        <f t="shared" si="220"/>
        <v>1655</v>
      </c>
      <c r="F682" s="7">
        <f t="shared" si="221"/>
        <v>1712</v>
      </c>
      <c r="G682" s="7">
        <f t="shared" si="222"/>
        <v>1491</v>
      </c>
      <c r="H682" s="4">
        <f t="shared" si="223"/>
        <v>2691</v>
      </c>
      <c r="I682" s="4">
        <f t="shared" si="224"/>
        <v>2634</v>
      </c>
      <c r="J682" s="4">
        <f t="shared" si="225"/>
        <v>2855</v>
      </c>
      <c r="K682" s="4">
        <f t="shared" si="233"/>
        <v>4000</v>
      </c>
      <c r="L682" s="4">
        <f t="shared" si="234"/>
        <v>4000</v>
      </c>
      <c r="M682" s="4">
        <f t="shared" si="235"/>
        <v>4000</v>
      </c>
      <c r="N682" s="4">
        <f t="shared" si="229"/>
        <v>-1309</v>
      </c>
      <c r="O682" s="4">
        <f t="shared" si="230"/>
        <v>-1366</v>
      </c>
      <c r="P682" s="4">
        <f t="shared" si="231"/>
        <v>-1145</v>
      </c>
      <c r="Q682" s="7">
        <v>3</v>
      </c>
      <c r="R682" s="7">
        <v>1</v>
      </c>
      <c r="S682" s="7">
        <v>1</v>
      </c>
      <c r="T682" s="5">
        <f t="shared" si="226"/>
        <v>2272</v>
      </c>
      <c r="U682" s="6">
        <f t="shared" si="237"/>
        <v>2121</v>
      </c>
      <c r="V682" s="6">
        <f t="shared" si="238"/>
        <v>2074</v>
      </c>
      <c r="W682" s="6">
        <f t="shared" si="236"/>
        <v>2305</v>
      </c>
      <c r="X682" s="5"/>
      <c r="Y682" s="4"/>
      <c r="Z682" s="4"/>
      <c r="AA682" s="4"/>
      <c r="AB682" s="4"/>
    </row>
    <row r="683" spans="1:28" ht="13.15" customHeight="1">
      <c r="A683" s="9">
        <f t="shared" si="215"/>
        <v>669</v>
      </c>
      <c r="B683" s="10">
        <f t="shared" si="227"/>
        <v>45712</v>
      </c>
      <c r="C683" s="9">
        <f t="shared" si="228"/>
        <v>842</v>
      </c>
      <c r="D683" s="8">
        <f t="shared" si="232"/>
        <v>3506</v>
      </c>
      <c r="E683" s="7">
        <f t="shared" si="220"/>
        <v>1660</v>
      </c>
      <c r="F683" s="7">
        <f t="shared" si="221"/>
        <v>1717</v>
      </c>
      <c r="G683" s="7">
        <f t="shared" si="222"/>
        <v>1496</v>
      </c>
      <c r="H683" s="4">
        <f t="shared" si="223"/>
        <v>2688</v>
      </c>
      <c r="I683" s="4">
        <f t="shared" si="224"/>
        <v>2631</v>
      </c>
      <c r="J683" s="4">
        <f t="shared" si="225"/>
        <v>2852</v>
      </c>
      <c r="K683" s="4">
        <f t="shared" si="233"/>
        <v>4000</v>
      </c>
      <c r="L683" s="4">
        <f t="shared" si="234"/>
        <v>4000</v>
      </c>
      <c r="M683" s="4">
        <f t="shared" si="235"/>
        <v>4000</v>
      </c>
      <c r="N683" s="4">
        <f t="shared" si="229"/>
        <v>-1312</v>
      </c>
      <c r="O683" s="4">
        <f t="shared" si="230"/>
        <v>-1369</v>
      </c>
      <c r="P683" s="4">
        <f t="shared" si="231"/>
        <v>-1148</v>
      </c>
      <c r="Q683" s="7">
        <v>3</v>
      </c>
      <c r="R683" s="7">
        <v>3</v>
      </c>
      <c r="S683" s="7">
        <v>3</v>
      </c>
      <c r="T683" s="5">
        <f t="shared" si="226"/>
        <v>2277</v>
      </c>
      <c r="U683" s="6">
        <f t="shared" si="237"/>
        <v>2118</v>
      </c>
      <c r="V683" s="6">
        <f t="shared" si="238"/>
        <v>2071</v>
      </c>
      <c r="W683" s="6">
        <f t="shared" si="236"/>
        <v>2302</v>
      </c>
      <c r="X683" s="5"/>
      <c r="Y683" s="4"/>
      <c r="Z683" s="4"/>
      <c r="AA683" s="4"/>
      <c r="AB683" s="4"/>
    </row>
    <row r="684" spans="1:28" ht="13.15" customHeight="1">
      <c r="A684" s="9">
        <f t="shared" si="215"/>
        <v>670</v>
      </c>
      <c r="B684" s="10">
        <f t="shared" si="227"/>
        <v>45713</v>
      </c>
      <c r="C684" s="9">
        <f t="shared" si="228"/>
        <v>842</v>
      </c>
      <c r="D684" s="8">
        <f t="shared" si="232"/>
        <v>3508</v>
      </c>
      <c r="E684" s="7">
        <f t="shared" si="220"/>
        <v>1664</v>
      </c>
      <c r="F684" s="7">
        <f t="shared" si="221"/>
        <v>1721</v>
      </c>
      <c r="G684" s="7">
        <f t="shared" si="222"/>
        <v>1500</v>
      </c>
      <c r="H684" s="4">
        <f t="shared" si="223"/>
        <v>2686</v>
      </c>
      <c r="I684" s="4">
        <f t="shared" si="224"/>
        <v>2629</v>
      </c>
      <c r="J684" s="4">
        <f t="shared" si="225"/>
        <v>2850</v>
      </c>
      <c r="K684" s="4">
        <f t="shared" si="233"/>
        <v>4000</v>
      </c>
      <c r="L684" s="4">
        <f t="shared" si="234"/>
        <v>4000</v>
      </c>
      <c r="M684" s="4">
        <f t="shared" si="235"/>
        <v>4000</v>
      </c>
      <c r="N684" s="4">
        <f t="shared" si="229"/>
        <v>-1314</v>
      </c>
      <c r="O684" s="4">
        <f t="shared" si="230"/>
        <v>-1371</v>
      </c>
      <c r="P684" s="4">
        <f t="shared" si="231"/>
        <v>-1150</v>
      </c>
      <c r="Q684" s="7">
        <v>2</v>
      </c>
      <c r="R684" s="7">
        <v>2</v>
      </c>
      <c r="S684" s="7">
        <v>2</v>
      </c>
      <c r="T684" s="5">
        <f t="shared" si="226"/>
        <v>2281</v>
      </c>
      <c r="U684" s="6">
        <f t="shared" si="237"/>
        <v>2116</v>
      </c>
      <c r="V684" s="6">
        <f t="shared" si="238"/>
        <v>2069</v>
      </c>
      <c r="W684" s="6">
        <f t="shared" si="236"/>
        <v>2300</v>
      </c>
      <c r="X684" s="5"/>
      <c r="Y684" s="4"/>
      <c r="Z684" s="4"/>
      <c r="AA684" s="4"/>
      <c r="AB684" s="4"/>
    </row>
    <row r="685" spans="1:28" ht="13.15" customHeight="1">
      <c r="A685" s="9">
        <f t="shared" si="215"/>
        <v>671</v>
      </c>
      <c r="B685" s="10">
        <f t="shared" si="227"/>
        <v>45714</v>
      </c>
      <c r="C685" s="9">
        <f t="shared" si="228"/>
        <v>842</v>
      </c>
      <c r="D685" s="8">
        <f t="shared" si="232"/>
        <v>3510</v>
      </c>
      <c r="E685" s="7">
        <f t="shared" si="220"/>
        <v>1668</v>
      </c>
      <c r="F685" s="7">
        <f t="shared" si="221"/>
        <v>1725</v>
      </c>
      <c r="G685" s="7">
        <f t="shared" si="222"/>
        <v>1504</v>
      </c>
      <c r="H685" s="4">
        <f t="shared" si="223"/>
        <v>2684</v>
      </c>
      <c r="I685" s="4">
        <f t="shared" si="224"/>
        <v>2627</v>
      </c>
      <c r="J685" s="4">
        <f t="shared" si="225"/>
        <v>2848</v>
      </c>
      <c r="K685" s="4">
        <f t="shared" si="233"/>
        <v>4000</v>
      </c>
      <c r="L685" s="4">
        <f t="shared" si="234"/>
        <v>4000</v>
      </c>
      <c r="M685" s="4">
        <f t="shared" si="235"/>
        <v>4000</v>
      </c>
      <c r="N685" s="4">
        <f t="shared" si="229"/>
        <v>-1316</v>
      </c>
      <c r="O685" s="4">
        <f t="shared" si="230"/>
        <v>-1373</v>
      </c>
      <c r="P685" s="4">
        <f t="shared" si="231"/>
        <v>-1152</v>
      </c>
      <c r="Q685" s="7">
        <v>2</v>
      </c>
      <c r="R685" s="7">
        <v>2</v>
      </c>
      <c r="S685" s="7">
        <v>2</v>
      </c>
      <c r="T685" s="5">
        <f t="shared" si="226"/>
        <v>2285</v>
      </c>
      <c r="U685" s="6">
        <f t="shared" si="237"/>
        <v>2114</v>
      </c>
      <c r="V685" s="6">
        <f t="shared" si="238"/>
        <v>2067</v>
      </c>
      <c r="W685" s="6">
        <f t="shared" si="236"/>
        <v>2298</v>
      </c>
      <c r="X685" s="5"/>
      <c r="Y685" s="4"/>
      <c r="Z685" s="4"/>
      <c r="AA685" s="4"/>
      <c r="AB685" s="4"/>
    </row>
    <row r="686" spans="1:28" ht="13.15" customHeight="1">
      <c r="A686" s="9">
        <f t="shared" si="215"/>
        <v>672</v>
      </c>
      <c r="B686" s="10">
        <f t="shared" si="227"/>
        <v>45715</v>
      </c>
      <c r="C686" s="9">
        <f t="shared" si="228"/>
        <v>842</v>
      </c>
      <c r="D686" s="8">
        <f t="shared" si="232"/>
        <v>3512</v>
      </c>
      <c r="E686" s="7">
        <f t="shared" si="220"/>
        <v>1672</v>
      </c>
      <c r="F686" s="7">
        <f t="shared" si="221"/>
        <v>1728</v>
      </c>
      <c r="G686" s="7">
        <f t="shared" si="222"/>
        <v>1507</v>
      </c>
      <c r="H686" s="4">
        <f t="shared" si="223"/>
        <v>2682</v>
      </c>
      <c r="I686" s="4">
        <f t="shared" si="224"/>
        <v>2626</v>
      </c>
      <c r="J686" s="4">
        <f t="shared" si="225"/>
        <v>2847</v>
      </c>
      <c r="K686" s="4">
        <f t="shared" si="233"/>
        <v>4000</v>
      </c>
      <c r="L686" s="4">
        <f t="shared" si="234"/>
        <v>4000</v>
      </c>
      <c r="M686" s="4">
        <f t="shared" si="235"/>
        <v>4000</v>
      </c>
      <c r="N686" s="4">
        <f t="shared" si="229"/>
        <v>-1318</v>
      </c>
      <c r="O686" s="4">
        <f t="shared" si="230"/>
        <v>-1374</v>
      </c>
      <c r="P686" s="4">
        <f t="shared" si="231"/>
        <v>-1153</v>
      </c>
      <c r="Q686" s="7">
        <v>2</v>
      </c>
      <c r="R686" s="7">
        <v>1</v>
      </c>
      <c r="S686" s="7">
        <v>1</v>
      </c>
      <c r="T686" s="5">
        <f t="shared" si="226"/>
        <v>2288</v>
      </c>
      <c r="U686" s="6">
        <f t="shared" si="237"/>
        <v>2112</v>
      </c>
      <c r="V686" s="6">
        <f t="shared" si="238"/>
        <v>2066</v>
      </c>
      <c r="W686" s="6">
        <f t="shared" si="236"/>
        <v>2297</v>
      </c>
      <c r="X686" s="5"/>
      <c r="Y686" s="4"/>
      <c r="Z686" s="4"/>
      <c r="AA686" s="4"/>
      <c r="AB686" s="4"/>
    </row>
    <row r="687" spans="1:28" ht="13.15" customHeight="1">
      <c r="A687" s="9">
        <f t="shared" si="215"/>
        <v>673</v>
      </c>
      <c r="B687" s="10">
        <f t="shared" si="227"/>
        <v>45716</v>
      </c>
      <c r="C687" s="9">
        <f t="shared" si="228"/>
        <v>842</v>
      </c>
      <c r="D687" s="8">
        <f t="shared" si="232"/>
        <v>3514</v>
      </c>
      <c r="E687" s="7">
        <f t="shared" si="220"/>
        <v>1675</v>
      </c>
      <c r="F687" s="7">
        <f t="shared" si="221"/>
        <v>1733</v>
      </c>
      <c r="G687" s="7">
        <f t="shared" si="222"/>
        <v>1512</v>
      </c>
      <c r="H687" s="4">
        <f t="shared" si="223"/>
        <v>2681</v>
      </c>
      <c r="I687" s="4">
        <f t="shared" si="224"/>
        <v>2623</v>
      </c>
      <c r="J687" s="4">
        <f t="shared" si="225"/>
        <v>2844</v>
      </c>
      <c r="K687" s="4">
        <f t="shared" si="233"/>
        <v>4000</v>
      </c>
      <c r="L687" s="4">
        <f t="shared" si="234"/>
        <v>4000</v>
      </c>
      <c r="M687" s="4">
        <f t="shared" si="235"/>
        <v>4000</v>
      </c>
      <c r="N687" s="4">
        <f t="shared" si="229"/>
        <v>-1319</v>
      </c>
      <c r="O687" s="4">
        <f t="shared" si="230"/>
        <v>-1377</v>
      </c>
      <c r="P687" s="4">
        <f t="shared" si="231"/>
        <v>-1156</v>
      </c>
      <c r="Q687" s="7">
        <v>1</v>
      </c>
      <c r="R687" s="7">
        <v>3</v>
      </c>
      <c r="S687" s="7">
        <v>3</v>
      </c>
      <c r="T687" s="5">
        <f t="shared" si="226"/>
        <v>2293</v>
      </c>
      <c r="U687" s="6">
        <f t="shared" si="237"/>
        <v>2111</v>
      </c>
      <c r="V687" s="6">
        <f t="shared" si="238"/>
        <v>2063</v>
      </c>
      <c r="W687" s="6">
        <f t="shared" si="236"/>
        <v>2294</v>
      </c>
      <c r="X687" s="5"/>
      <c r="Y687" s="4"/>
      <c r="Z687" s="4"/>
      <c r="AA687" s="4"/>
      <c r="AB687" s="4"/>
    </row>
    <row r="688" spans="1:28" ht="13.15" customHeight="1">
      <c r="A688" s="9">
        <f t="shared" si="215"/>
        <v>674</v>
      </c>
      <c r="B688" s="10">
        <f t="shared" si="227"/>
        <v>45717</v>
      </c>
      <c r="C688" s="9">
        <f t="shared" si="228"/>
        <v>842</v>
      </c>
      <c r="D688" s="8">
        <f t="shared" si="232"/>
        <v>3516</v>
      </c>
      <c r="E688" s="7">
        <f t="shared" si="220"/>
        <v>1680</v>
      </c>
      <c r="F688" s="7">
        <f t="shared" si="221"/>
        <v>1738</v>
      </c>
      <c r="G688" s="7">
        <f t="shared" si="222"/>
        <v>1517</v>
      </c>
      <c r="H688" s="4">
        <f t="shared" si="223"/>
        <v>2678</v>
      </c>
      <c r="I688" s="4">
        <f t="shared" si="224"/>
        <v>2620</v>
      </c>
      <c r="J688" s="4">
        <f t="shared" si="225"/>
        <v>2841</v>
      </c>
      <c r="K688" s="4">
        <f t="shared" si="233"/>
        <v>4000</v>
      </c>
      <c r="L688" s="4">
        <f t="shared" si="234"/>
        <v>4000</v>
      </c>
      <c r="M688" s="4">
        <f t="shared" si="235"/>
        <v>4000</v>
      </c>
      <c r="N688" s="4">
        <f t="shared" si="229"/>
        <v>-1322</v>
      </c>
      <c r="O688" s="4">
        <f t="shared" si="230"/>
        <v>-1380</v>
      </c>
      <c r="P688" s="4">
        <f t="shared" si="231"/>
        <v>-1159</v>
      </c>
      <c r="Q688" s="7">
        <v>3</v>
      </c>
      <c r="R688" s="7">
        <v>3</v>
      </c>
      <c r="S688" s="7">
        <v>3</v>
      </c>
      <c r="T688" s="5">
        <f t="shared" si="226"/>
        <v>2298</v>
      </c>
      <c r="U688" s="6">
        <f t="shared" si="237"/>
        <v>2108</v>
      </c>
      <c r="V688" s="6">
        <f t="shared" si="238"/>
        <v>2060</v>
      </c>
      <c r="W688" s="6">
        <f t="shared" si="236"/>
        <v>2291</v>
      </c>
      <c r="X688" s="5"/>
      <c r="Y688" s="4"/>
      <c r="Z688" s="4"/>
      <c r="AA688" s="4"/>
      <c r="AB688" s="4"/>
    </row>
    <row r="689" spans="1:28" ht="13.15" customHeight="1">
      <c r="A689" s="9">
        <f t="shared" si="215"/>
        <v>675</v>
      </c>
      <c r="B689" s="10">
        <f t="shared" si="227"/>
        <v>45718</v>
      </c>
      <c r="C689" s="9">
        <f t="shared" si="228"/>
        <v>842</v>
      </c>
      <c r="D689" s="8">
        <f t="shared" si="232"/>
        <v>3518</v>
      </c>
      <c r="E689" s="7">
        <f t="shared" si="220"/>
        <v>1684</v>
      </c>
      <c r="F689" s="7">
        <f t="shared" si="221"/>
        <v>1742</v>
      </c>
      <c r="G689" s="7">
        <f t="shared" si="222"/>
        <v>1521</v>
      </c>
      <c r="H689" s="4">
        <f t="shared" si="223"/>
        <v>2676</v>
      </c>
      <c r="I689" s="4">
        <f t="shared" si="224"/>
        <v>2618</v>
      </c>
      <c r="J689" s="4">
        <f t="shared" si="225"/>
        <v>2839</v>
      </c>
      <c r="K689" s="4">
        <f t="shared" si="233"/>
        <v>4000</v>
      </c>
      <c r="L689" s="4">
        <f t="shared" si="234"/>
        <v>4000</v>
      </c>
      <c r="M689" s="4">
        <f t="shared" si="235"/>
        <v>4000</v>
      </c>
      <c r="N689" s="4">
        <f t="shared" si="229"/>
        <v>-1324</v>
      </c>
      <c r="O689" s="4">
        <f t="shared" si="230"/>
        <v>-1382</v>
      </c>
      <c r="P689" s="4">
        <f t="shared" si="231"/>
        <v>-1161</v>
      </c>
      <c r="Q689" s="7">
        <v>2</v>
      </c>
      <c r="R689" s="7">
        <v>2</v>
      </c>
      <c r="S689" s="7">
        <v>2</v>
      </c>
      <c r="T689" s="5">
        <f t="shared" si="226"/>
        <v>2302</v>
      </c>
      <c r="U689" s="6">
        <f t="shared" si="237"/>
        <v>2106</v>
      </c>
      <c r="V689" s="6">
        <f t="shared" si="238"/>
        <v>2058</v>
      </c>
      <c r="W689" s="6">
        <f t="shared" si="236"/>
        <v>2289</v>
      </c>
      <c r="X689" s="5"/>
      <c r="Y689" s="4"/>
      <c r="Z689" s="4"/>
      <c r="AA689" s="4"/>
      <c r="AB689" s="4"/>
    </row>
    <row r="690" spans="1:28" ht="13.15" customHeight="1">
      <c r="A690" s="9">
        <f t="shared" si="215"/>
        <v>676</v>
      </c>
      <c r="B690" s="10">
        <f t="shared" si="227"/>
        <v>45719</v>
      </c>
      <c r="C690" s="9">
        <f t="shared" si="228"/>
        <v>842</v>
      </c>
      <c r="D690" s="8">
        <f t="shared" si="232"/>
        <v>3520</v>
      </c>
      <c r="E690" s="7">
        <f t="shared" si="220"/>
        <v>1688</v>
      </c>
      <c r="F690" s="7">
        <f t="shared" si="221"/>
        <v>1746</v>
      </c>
      <c r="G690" s="7">
        <f t="shared" si="222"/>
        <v>1525</v>
      </c>
      <c r="H690" s="4">
        <f t="shared" si="223"/>
        <v>2674</v>
      </c>
      <c r="I690" s="4">
        <f t="shared" si="224"/>
        <v>2616</v>
      </c>
      <c r="J690" s="4">
        <f t="shared" si="225"/>
        <v>2837</v>
      </c>
      <c r="K690" s="4">
        <f t="shared" si="233"/>
        <v>4000</v>
      </c>
      <c r="L690" s="4">
        <f t="shared" si="234"/>
        <v>4000</v>
      </c>
      <c r="M690" s="4">
        <f t="shared" si="235"/>
        <v>4000</v>
      </c>
      <c r="N690" s="4">
        <f t="shared" si="229"/>
        <v>-1326</v>
      </c>
      <c r="O690" s="4">
        <f t="shared" si="230"/>
        <v>-1384</v>
      </c>
      <c r="P690" s="4">
        <f t="shared" si="231"/>
        <v>-1163</v>
      </c>
      <c r="Q690" s="7">
        <v>2</v>
      </c>
      <c r="R690" s="7">
        <v>2</v>
      </c>
      <c r="S690" s="7">
        <v>2</v>
      </c>
      <c r="T690" s="5">
        <f t="shared" si="226"/>
        <v>2306</v>
      </c>
      <c r="U690" s="6">
        <f t="shared" si="237"/>
        <v>2104</v>
      </c>
      <c r="V690" s="6">
        <f t="shared" si="238"/>
        <v>2056</v>
      </c>
      <c r="W690" s="6">
        <f t="shared" si="236"/>
        <v>2287</v>
      </c>
      <c r="X690" s="5"/>
      <c r="Y690" s="4"/>
      <c r="Z690" s="4"/>
      <c r="AA690" s="4"/>
      <c r="AB690" s="4"/>
    </row>
    <row r="691" spans="1:28" ht="13.15" customHeight="1">
      <c r="A691" s="9">
        <f t="shared" si="215"/>
        <v>677</v>
      </c>
      <c r="B691" s="10">
        <f t="shared" si="227"/>
        <v>45720</v>
      </c>
      <c r="C691" s="9">
        <f t="shared" si="228"/>
        <v>842</v>
      </c>
      <c r="D691" s="8">
        <f t="shared" si="232"/>
        <v>3522</v>
      </c>
      <c r="E691" s="7">
        <f t="shared" si="220"/>
        <v>1691</v>
      </c>
      <c r="F691" s="7">
        <f t="shared" si="221"/>
        <v>1751</v>
      </c>
      <c r="G691" s="7">
        <f t="shared" si="222"/>
        <v>1530</v>
      </c>
      <c r="H691" s="4">
        <f t="shared" si="223"/>
        <v>2673</v>
      </c>
      <c r="I691" s="4">
        <f t="shared" si="224"/>
        <v>2613</v>
      </c>
      <c r="J691" s="4">
        <f t="shared" si="225"/>
        <v>2834</v>
      </c>
      <c r="K691" s="4">
        <f t="shared" si="233"/>
        <v>4000</v>
      </c>
      <c r="L691" s="4">
        <f t="shared" si="234"/>
        <v>4000</v>
      </c>
      <c r="M691" s="4">
        <f t="shared" si="235"/>
        <v>4000</v>
      </c>
      <c r="N691" s="4">
        <f t="shared" si="229"/>
        <v>-1327</v>
      </c>
      <c r="O691" s="4">
        <f t="shared" si="230"/>
        <v>-1387</v>
      </c>
      <c r="P691" s="4">
        <f t="shared" si="231"/>
        <v>-1166</v>
      </c>
      <c r="Q691" s="7">
        <v>1</v>
      </c>
      <c r="R691" s="7">
        <v>3</v>
      </c>
      <c r="S691" s="7">
        <v>3</v>
      </c>
      <c r="T691" s="5">
        <f t="shared" si="226"/>
        <v>2311</v>
      </c>
      <c r="U691" s="6">
        <f t="shared" si="237"/>
        <v>2103</v>
      </c>
      <c r="V691" s="6">
        <f t="shared" si="238"/>
        <v>2053</v>
      </c>
      <c r="W691" s="6">
        <f t="shared" si="236"/>
        <v>2284</v>
      </c>
      <c r="X691" s="5"/>
      <c r="Y691" s="4"/>
      <c r="Z691" s="4"/>
      <c r="AA691" s="4"/>
      <c r="AB691" s="4"/>
    </row>
    <row r="692" spans="1:28" ht="13.15" customHeight="1">
      <c r="A692" s="9">
        <f t="shared" si="215"/>
        <v>678</v>
      </c>
      <c r="B692" s="10">
        <f t="shared" si="227"/>
        <v>45721</v>
      </c>
      <c r="C692" s="9">
        <f t="shared" si="228"/>
        <v>842</v>
      </c>
      <c r="D692" s="8">
        <f t="shared" si="232"/>
        <v>3524</v>
      </c>
      <c r="E692" s="7">
        <f t="shared" si="220"/>
        <v>1696</v>
      </c>
      <c r="F692" s="7">
        <f t="shared" si="221"/>
        <v>1757</v>
      </c>
      <c r="G692" s="7">
        <f t="shared" si="222"/>
        <v>1533</v>
      </c>
      <c r="H692" s="4">
        <f t="shared" si="223"/>
        <v>2670</v>
      </c>
      <c r="I692" s="4">
        <f t="shared" si="224"/>
        <v>2609</v>
      </c>
      <c r="J692" s="4">
        <f t="shared" si="225"/>
        <v>2833</v>
      </c>
      <c r="K692" s="4">
        <f t="shared" si="233"/>
        <v>4000</v>
      </c>
      <c r="L692" s="4">
        <f t="shared" si="234"/>
        <v>4000</v>
      </c>
      <c r="M692" s="4">
        <f t="shared" si="235"/>
        <v>4000</v>
      </c>
      <c r="N692" s="4">
        <f t="shared" si="229"/>
        <v>-1330</v>
      </c>
      <c r="O692" s="4">
        <f t="shared" si="230"/>
        <v>-1391</v>
      </c>
      <c r="P692" s="4">
        <f t="shared" si="231"/>
        <v>-1167</v>
      </c>
      <c r="Q692" s="7">
        <v>3</v>
      </c>
      <c r="R692" s="7">
        <v>4</v>
      </c>
      <c r="S692" s="7">
        <v>1</v>
      </c>
      <c r="T692" s="5">
        <f t="shared" si="226"/>
        <v>2317</v>
      </c>
      <c r="U692" s="6">
        <f t="shared" si="237"/>
        <v>2100</v>
      </c>
      <c r="V692" s="6">
        <f t="shared" si="238"/>
        <v>2049</v>
      </c>
      <c r="W692" s="6">
        <f t="shared" si="236"/>
        <v>2283</v>
      </c>
      <c r="X692" s="5"/>
      <c r="Y692" s="4"/>
      <c r="Z692" s="4"/>
      <c r="AA692" s="4"/>
      <c r="AB692" s="4"/>
    </row>
    <row r="693" spans="1:28" ht="13.15" customHeight="1">
      <c r="A693" s="9">
        <f t="shared" si="215"/>
        <v>679</v>
      </c>
      <c r="B693" s="10">
        <f t="shared" si="227"/>
        <v>45722</v>
      </c>
      <c r="C693" s="9">
        <f t="shared" si="228"/>
        <v>842</v>
      </c>
      <c r="D693" s="8">
        <f t="shared" si="232"/>
        <v>3526</v>
      </c>
      <c r="E693" s="7">
        <f t="shared" si="220"/>
        <v>1701</v>
      </c>
      <c r="F693" s="7">
        <f t="shared" si="221"/>
        <v>1761</v>
      </c>
      <c r="G693" s="7">
        <f t="shared" si="222"/>
        <v>1537</v>
      </c>
      <c r="H693" s="4">
        <f t="shared" si="223"/>
        <v>2667</v>
      </c>
      <c r="I693" s="4">
        <f t="shared" si="224"/>
        <v>2607</v>
      </c>
      <c r="J693" s="4">
        <f t="shared" si="225"/>
        <v>2831</v>
      </c>
      <c r="K693" s="4">
        <f t="shared" si="233"/>
        <v>4000</v>
      </c>
      <c r="L693" s="4">
        <f t="shared" si="234"/>
        <v>4000</v>
      </c>
      <c r="M693" s="4">
        <f t="shared" si="235"/>
        <v>4000</v>
      </c>
      <c r="N693" s="4">
        <f t="shared" si="229"/>
        <v>-1333</v>
      </c>
      <c r="O693" s="4">
        <f t="shared" si="230"/>
        <v>-1393</v>
      </c>
      <c r="P693" s="4">
        <f t="shared" si="231"/>
        <v>-1169</v>
      </c>
      <c r="Q693" s="7">
        <v>3</v>
      </c>
      <c r="R693" s="7">
        <v>2</v>
      </c>
      <c r="S693" s="7">
        <v>2</v>
      </c>
      <c r="T693" s="5">
        <f t="shared" si="226"/>
        <v>2321</v>
      </c>
      <c r="U693" s="6">
        <f t="shared" si="237"/>
        <v>2097</v>
      </c>
      <c r="V693" s="6">
        <f t="shared" si="238"/>
        <v>2047</v>
      </c>
      <c r="W693" s="6">
        <f t="shared" si="236"/>
        <v>2281</v>
      </c>
      <c r="X693" s="5"/>
      <c r="Y693" s="4"/>
      <c r="Z693" s="4"/>
      <c r="AA693" s="4"/>
      <c r="AB693" s="4"/>
    </row>
    <row r="694" spans="1:28" ht="13.15" customHeight="1">
      <c r="A694" s="9">
        <f t="shared" si="215"/>
        <v>680</v>
      </c>
      <c r="B694" s="10">
        <f t="shared" si="227"/>
        <v>45723</v>
      </c>
      <c r="C694" s="9">
        <f t="shared" si="228"/>
        <v>842</v>
      </c>
      <c r="D694" s="8">
        <f t="shared" si="232"/>
        <v>3528</v>
      </c>
      <c r="E694" s="7">
        <f t="shared" si="220"/>
        <v>1705</v>
      </c>
      <c r="F694" s="7">
        <f t="shared" si="221"/>
        <v>1765</v>
      </c>
      <c r="G694" s="7">
        <f t="shared" si="222"/>
        <v>1541</v>
      </c>
      <c r="H694" s="4">
        <f t="shared" si="223"/>
        <v>2665</v>
      </c>
      <c r="I694" s="4">
        <f t="shared" si="224"/>
        <v>2605</v>
      </c>
      <c r="J694" s="4">
        <f t="shared" si="225"/>
        <v>2829</v>
      </c>
      <c r="K694" s="4">
        <f t="shared" si="233"/>
        <v>4000</v>
      </c>
      <c r="L694" s="4">
        <f t="shared" si="234"/>
        <v>4000</v>
      </c>
      <c r="M694" s="4">
        <f t="shared" si="235"/>
        <v>4000</v>
      </c>
      <c r="N694" s="4">
        <f t="shared" si="229"/>
        <v>-1335</v>
      </c>
      <c r="O694" s="4">
        <f t="shared" si="230"/>
        <v>-1395</v>
      </c>
      <c r="P694" s="4">
        <f t="shared" si="231"/>
        <v>-1171</v>
      </c>
      <c r="Q694" s="7">
        <v>2</v>
      </c>
      <c r="R694" s="7">
        <v>2</v>
      </c>
      <c r="S694" s="7">
        <v>2</v>
      </c>
      <c r="T694" s="5">
        <f t="shared" si="226"/>
        <v>2325</v>
      </c>
      <c r="U694" s="6">
        <f t="shared" si="237"/>
        <v>2095</v>
      </c>
      <c r="V694" s="6">
        <f t="shared" si="238"/>
        <v>2045</v>
      </c>
      <c r="W694" s="6">
        <f t="shared" si="236"/>
        <v>2279</v>
      </c>
      <c r="X694" s="5"/>
      <c r="Y694" s="4"/>
      <c r="Z694" s="4"/>
      <c r="AA694" s="4"/>
      <c r="AB694" s="4"/>
    </row>
    <row r="695" spans="1:28" ht="13.15" customHeight="1">
      <c r="A695" s="9">
        <f t="shared" si="215"/>
        <v>681</v>
      </c>
      <c r="B695" s="10">
        <f t="shared" si="227"/>
        <v>45724</v>
      </c>
      <c r="C695" s="9">
        <f t="shared" si="228"/>
        <v>842</v>
      </c>
      <c r="D695" s="8">
        <f t="shared" si="232"/>
        <v>3530</v>
      </c>
      <c r="E695" s="7">
        <f t="shared" si="220"/>
        <v>1709</v>
      </c>
      <c r="F695" s="7">
        <f t="shared" si="221"/>
        <v>1768</v>
      </c>
      <c r="G695" s="7">
        <f t="shared" si="222"/>
        <v>1544</v>
      </c>
      <c r="H695" s="4">
        <f t="shared" si="223"/>
        <v>2663</v>
      </c>
      <c r="I695" s="4">
        <f t="shared" si="224"/>
        <v>2604</v>
      </c>
      <c r="J695" s="4">
        <f t="shared" si="225"/>
        <v>2828</v>
      </c>
      <c r="K695" s="4">
        <f t="shared" si="233"/>
        <v>4000</v>
      </c>
      <c r="L695" s="4">
        <f t="shared" si="234"/>
        <v>4000</v>
      </c>
      <c r="M695" s="4">
        <f t="shared" si="235"/>
        <v>4000</v>
      </c>
      <c r="N695" s="4">
        <f t="shared" si="229"/>
        <v>-1337</v>
      </c>
      <c r="O695" s="4">
        <f t="shared" si="230"/>
        <v>-1396</v>
      </c>
      <c r="P695" s="4">
        <f t="shared" si="231"/>
        <v>-1172</v>
      </c>
      <c r="Q695" s="7">
        <v>2</v>
      </c>
      <c r="R695" s="7">
        <v>1</v>
      </c>
      <c r="S695" s="7">
        <v>1</v>
      </c>
      <c r="T695" s="5">
        <f t="shared" si="226"/>
        <v>2328</v>
      </c>
      <c r="U695" s="6">
        <f t="shared" si="237"/>
        <v>2093</v>
      </c>
      <c r="V695" s="6">
        <f t="shared" si="238"/>
        <v>2044</v>
      </c>
      <c r="W695" s="6">
        <f t="shared" si="236"/>
        <v>2278</v>
      </c>
      <c r="X695" s="5"/>
      <c r="Y695" s="4"/>
      <c r="Z695" s="4"/>
      <c r="AA695" s="4"/>
      <c r="AB695" s="4"/>
    </row>
    <row r="696" spans="1:28" ht="13.15" customHeight="1">
      <c r="A696" s="9">
        <f t="shared" si="215"/>
        <v>682</v>
      </c>
      <c r="B696" s="10">
        <f t="shared" si="227"/>
        <v>45725</v>
      </c>
      <c r="C696" s="9">
        <f t="shared" si="228"/>
        <v>842</v>
      </c>
      <c r="D696" s="8">
        <f t="shared" si="232"/>
        <v>3532</v>
      </c>
      <c r="E696" s="7">
        <f t="shared" si="220"/>
        <v>1714</v>
      </c>
      <c r="F696" s="7">
        <f t="shared" si="221"/>
        <v>1772</v>
      </c>
      <c r="G696" s="7">
        <f t="shared" si="222"/>
        <v>1548</v>
      </c>
      <c r="H696" s="4">
        <f t="shared" si="223"/>
        <v>2660</v>
      </c>
      <c r="I696" s="4">
        <f t="shared" si="224"/>
        <v>2602</v>
      </c>
      <c r="J696" s="4">
        <f t="shared" si="225"/>
        <v>2826</v>
      </c>
      <c r="K696" s="4">
        <f t="shared" si="233"/>
        <v>4000</v>
      </c>
      <c r="L696" s="4">
        <f t="shared" si="234"/>
        <v>4000</v>
      </c>
      <c r="M696" s="4">
        <f t="shared" si="235"/>
        <v>4000</v>
      </c>
      <c r="N696" s="4">
        <f t="shared" si="229"/>
        <v>-1340</v>
      </c>
      <c r="O696" s="4">
        <f t="shared" si="230"/>
        <v>-1398</v>
      </c>
      <c r="P696" s="4">
        <f t="shared" si="231"/>
        <v>-1174</v>
      </c>
      <c r="Q696" s="7">
        <v>3</v>
      </c>
      <c r="R696" s="7">
        <v>2</v>
      </c>
      <c r="S696" s="7">
        <v>2</v>
      </c>
      <c r="T696" s="5">
        <f t="shared" si="226"/>
        <v>2332</v>
      </c>
      <c r="U696" s="6">
        <f t="shared" si="237"/>
        <v>2090</v>
      </c>
      <c r="V696" s="6">
        <f t="shared" si="238"/>
        <v>2042</v>
      </c>
      <c r="W696" s="6">
        <f t="shared" si="236"/>
        <v>2276</v>
      </c>
      <c r="X696" s="5"/>
      <c r="Y696" s="4"/>
      <c r="Z696" s="4"/>
      <c r="AA696" s="4"/>
      <c r="AB696" s="4"/>
    </row>
    <row r="697" spans="1:28" ht="13.15" customHeight="1">
      <c r="A697" s="9">
        <f t="shared" si="215"/>
        <v>683</v>
      </c>
      <c r="B697" s="10">
        <f t="shared" si="227"/>
        <v>45726</v>
      </c>
      <c r="C697" s="9">
        <f t="shared" si="228"/>
        <v>842</v>
      </c>
      <c r="D697" s="8">
        <f t="shared" si="232"/>
        <v>3534</v>
      </c>
      <c r="E697" s="7">
        <f t="shared" si="220"/>
        <v>1720</v>
      </c>
      <c r="F697" s="7">
        <f t="shared" si="221"/>
        <v>1775</v>
      </c>
      <c r="G697" s="7">
        <f t="shared" si="222"/>
        <v>1551</v>
      </c>
      <c r="H697" s="4">
        <f t="shared" si="223"/>
        <v>2656</v>
      </c>
      <c r="I697" s="4">
        <f t="shared" si="224"/>
        <v>2601</v>
      </c>
      <c r="J697" s="4">
        <f t="shared" si="225"/>
        <v>2825</v>
      </c>
      <c r="K697" s="4">
        <f t="shared" si="233"/>
        <v>4000</v>
      </c>
      <c r="L697" s="4">
        <f t="shared" si="234"/>
        <v>4000</v>
      </c>
      <c r="M697" s="4">
        <f t="shared" si="235"/>
        <v>4000</v>
      </c>
      <c r="N697" s="4">
        <f t="shared" si="229"/>
        <v>-1344</v>
      </c>
      <c r="O697" s="4">
        <f t="shared" si="230"/>
        <v>-1399</v>
      </c>
      <c r="P697" s="4">
        <f t="shared" si="231"/>
        <v>-1175</v>
      </c>
      <c r="Q697" s="7">
        <v>4</v>
      </c>
      <c r="R697" s="7">
        <v>1</v>
      </c>
      <c r="S697" s="7">
        <v>1</v>
      </c>
      <c r="T697" s="5">
        <f t="shared" si="226"/>
        <v>2335</v>
      </c>
      <c r="U697" s="6">
        <f t="shared" si="237"/>
        <v>2086</v>
      </c>
      <c r="V697" s="6">
        <f t="shared" si="238"/>
        <v>2041</v>
      </c>
      <c r="W697" s="6">
        <f t="shared" si="236"/>
        <v>2275</v>
      </c>
      <c r="X697" s="5"/>
      <c r="Y697" s="4"/>
      <c r="Z697" s="4"/>
      <c r="AA697" s="4"/>
      <c r="AB697" s="4"/>
    </row>
    <row r="698" spans="1:28" ht="13.15" customHeight="1">
      <c r="A698" s="9">
        <f t="shared" si="215"/>
        <v>684</v>
      </c>
      <c r="B698" s="10">
        <f t="shared" si="227"/>
        <v>45727</v>
      </c>
      <c r="C698" s="9">
        <f t="shared" si="228"/>
        <v>842</v>
      </c>
      <c r="D698" s="8">
        <f t="shared" si="232"/>
        <v>3536</v>
      </c>
      <c r="E698" s="7">
        <f t="shared" si="220"/>
        <v>1724</v>
      </c>
      <c r="F698" s="7">
        <f t="shared" si="221"/>
        <v>1778</v>
      </c>
      <c r="G698" s="7">
        <f t="shared" si="222"/>
        <v>1554</v>
      </c>
      <c r="H698" s="4">
        <f t="shared" si="223"/>
        <v>2654</v>
      </c>
      <c r="I698" s="4">
        <f t="shared" si="224"/>
        <v>2600</v>
      </c>
      <c r="J698" s="4">
        <f t="shared" si="225"/>
        <v>2824</v>
      </c>
      <c r="K698" s="4">
        <f t="shared" si="233"/>
        <v>4000</v>
      </c>
      <c r="L698" s="4">
        <f t="shared" si="234"/>
        <v>4000</v>
      </c>
      <c r="M698" s="4">
        <f t="shared" si="235"/>
        <v>4000</v>
      </c>
      <c r="N698" s="4">
        <f t="shared" si="229"/>
        <v>-1346</v>
      </c>
      <c r="O698" s="4">
        <f t="shared" si="230"/>
        <v>-1400</v>
      </c>
      <c r="P698" s="4">
        <f t="shared" si="231"/>
        <v>-1176</v>
      </c>
      <c r="Q698" s="7">
        <v>2</v>
      </c>
      <c r="R698" s="7">
        <v>1</v>
      </c>
      <c r="S698" s="7">
        <v>1</v>
      </c>
      <c r="T698" s="5">
        <f t="shared" si="226"/>
        <v>2338</v>
      </c>
      <c r="U698" s="6">
        <f t="shared" si="237"/>
        <v>2084</v>
      </c>
      <c r="V698" s="6">
        <f t="shared" si="238"/>
        <v>2040</v>
      </c>
      <c r="W698" s="6">
        <f t="shared" si="236"/>
        <v>2274</v>
      </c>
      <c r="X698" s="5"/>
      <c r="Y698" s="4"/>
      <c r="Z698" s="4"/>
      <c r="AA698" s="4"/>
      <c r="AB698" s="4"/>
    </row>
    <row r="699" spans="1:28" ht="13.15" customHeight="1">
      <c r="A699" s="9">
        <f t="shared" ref="A699:A718" si="239">+A698+1</f>
        <v>685</v>
      </c>
      <c r="B699" s="10">
        <f t="shared" si="227"/>
        <v>45728</v>
      </c>
      <c r="C699" s="9">
        <f t="shared" si="228"/>
        <v>842</v>
      </c>
      <c r="D699" s="8">
        <f t="shared" si="232"/>
        <v>3538</v>
      </c>
      <c r="E699" s="7">
        <f t="shared" si="220"/>
        <v>1728</v>
      </c>
      <c r="F699" s="7">
        <f t="shared" si="221"/>
        <v>1782</v>
      </c>
      <c r="G699" s="7">
        <f t="shared" si="222"/>
        <v>1558</v>
      </c>
      <c r="H699" s="4">
        <f t="shared" si="223"/>
        <v>2652</v>
      </c>
      <c r="I699" s="4">
        <f t="shared" si="224"/>
        <v>2598</v>
      </c>
      <c r="J699" s="4">
        <f t="shared" si="225"/>
        <v>2822</v>
      </c>
      <c r="K699" s="4">
        <f t="shared" si="233"/>
        <v>4000</v>
      </c>
      <c r="L699" s="4">
        <f t="shared" si="234"/>
        <v>4000</v>
      </c>
      <c r="M699" s="4">
        <f t="shared" si="235"/>
        <v>4000</v>
      </c>
      <c r="N699" s="4">
        <f t="shared" si="229"/>
        <v>-1348</v>
      </c>
      <c r="O699" s="4">
        <f t="shared" si="230"/>
        <v>-1402</v>
      </c>
      <c r="P699" s="4">
        <f t="shared" si="231"/>
        <v>-1178</v>
      </c>
      <c r="Q699" s="7">
        <v>2</v>
      </c>
      <c r="R699" s="7">
        <v>2</v>
      </c>
      <c r="S699" s="7">
        <v>2</v>
      </c>
      <c r="T699" s="5">
        <f t="shared" si="226"/>
        <v>2342</v>
      </c>
      <c r="U699" s="6">
        <f t="shared" si="237"/>
        <v>2082</v>
      </c>
      <c r="V699" s="6">
        <f t="shared" si="238"/>
        <v>2038</v>
      </c>
      <c r="W699" s="6">
        <f t="shared" si="236"/>
        <v>2272</v>
      </c>
      <c r="X699" s="5"/>
      <c r="Y699" s="4"/>
      <c r="Z699" s="4"/>
      <c r="AA699" s="4"/>
      <c r="AB699" s="4"/>
    </row>
    <row r="700" spans="1:28" ht="13.15" customHeight="1">
      <c r="A700" s="9">
        <f t="shared" si="239"/>
        <v>686</v>
      </c>
      <c r="B700" s="10">
        <f t="shared" si="227"/>
        <v>45729</v>
      </c>
      <c r="C700" s="9">
        <f t="shared" si="228"/>
        <v>842</v>
      </c>
      <c r="D700" s="8">
        <f t="shared" si="232"/>
        <v>3540</v>
      </c>
      <c r="E700" s="7">
        <f t="shared" si="220"/>
        <v>1731</v>
      </c>
      <c r="F700" s="7">
        <f t="shared" si="221"/>
        <v>1785</v>
      </c>
      <c r="G700" s="7">
        <f t="shared" si="222"/>
        <v>1561</v>
      </c>
      <c r="H700" s="4">
        <f t="shared" si="223"/>
        <v>2651</v>
      </c>
      <c r="I700" s="4">
        <f t="shared" si="224"/>
        <v>2597</v>
      </c>
      <c r="J700" s="4">
        <f t="shared" si="225"/>
        <v>2821</v>
      </c>
      <c r="K700" s="4">
        <f t="shared" si="233"/>
        <v>4000</v>
      </c>
      <c r="L700" s="4">
        <f t="shared" si="234"/>
        <v>4000</v>
      </c>
      <c r="M700" s="4">
        <f t="shared" si="235"/>
        <v>4000</v>
      </c>
      <c r="N700" s="4">
        <f t="shared" si="229"/>
        <v>-1349</v>
      </c>
      <c r="O700" s="4">
        <f t="shared" si="230"/>
        <v>-1403</v>
      </c>
      <c r="P700" s="4">
        <f t="shared" si="231"/>
        <v>-1179</v>
      </c>
      <c r="Q700" s="7">
        <v>1</v>
      </c>
      <c r="R700" s="7">
        <v>1</v>
      </c>
      <c r="S700" s="7">
        <v>1</v>
      </c>
      <c r="T700" s="5">
        <f t="shared" si="226"/>
        <v>2345</v>
      </c>
      <c r="U700" s="6">
        <f t="shared" si="237"/>
        <v>2081</v>
      </c>
      <c r="V700" s="6">
        <f t="shared" si="238"/>
        <v>2037</v>
      </c>
      <c r="W700" s="6">
        <f t="shared" si="236"/>
        <v>2271</v>
      </c>
      <c r="X700" s="5"/>
      <c r="Y700" s="4"/>
      <c r="Z700" s="4"/>
      <c r="AA700" s="4"/>
      <c r="AB700" s="4"/>
    </row>
    <row r="701" spans="1:28" ht="13.15" customHeight="1">
      <c r="A701" s="9">
        <f t="shared" si="239"/>
        <v>687</v>
      </c>
      <c r="B701" s="10">
        <f t="shared" si="227"/>
        <v>45730</v>
      </c>
      <c r="C701" s="9">
        <f t="shared" si="228"/>
        <v>842</v>
      </c>
      <c r="D701" s="8">
        <f t="shared" si="232"/>
        <v>3542</v>
      </c>
      <c r="E701" s="7">
        <f t="shared" si="220"/>
        <v>1735</v>
      </c>
      <c r="F701" s="7">
        <f t="shared" si="221"/>
        <v>1788</v>
      </c>
      <c r="G701" s="7">
        <f t="shared" si="222"/>
        <v>1564</v>
      </c>
      <c r="H701" s="4">
        <f t="shared" si="223"/>
        <v>2649</v>
      </c>
      <c r="I701" s="4">
        <f t="shared" si="224"/>
        <v>2596</v>
      </c>
      <c r="J701" s="4">
        <f t="shared" si="225"/>
        <v>2820</v>
      </c>
      <c r="K701" s="4">
        <f t="shared" si="233"/>
        <v>4000</v>
      </c>
      <c r="L701" s="4">
        <f t="shared" si="234"/>
        <v>4000</v>
      </c>
      <c r="M701" s="4">
        <f t="shared" si="235"/>
        <v>4000</v>
      </c>
      <c r="N701" s="4">
        <f t="shared" si="229"/>
        <v>-1351</v>
      </c>
      <c r="O701" s="4">
        <f t="shared" si="230"/>
        <v>-1404</v>
      </c>
      <c r="P701" s="4">
        <f t="shared" si="231"/>
        <v>-1180</v>
      </c>
      <c r="Q701" s="7">
        <v>2</v>
      </c>
      <c r="R701" s="7">
        <v>1</v>
      </c>
      <c r="S701" s="7">
        <v>1</v>
      </c>
      <c r="T701" s="5">
        <f t="shared" si="226"/>
        <v>2348</v>
      </c>
      <c r="U701" s="6">
        <f t="shared" si="237"/>
        <v>2079</v>
      </c>
      <c r="V701" s="6">
        <f t="shared" si="238"/>
        <v>2036</v>
      </c>
      <c r="W701" s="6">
        <f t="shared" si="236"/>
        <v>2270</v>
      </c>
      <c r="X701" s="5"/>
      <c r="Y701" s="4"/>
      <c r="Z701" s="4"/>
      <c r="AA701" s="4"/>
      <c r="AB701" s="4"/>
    </row>
    <row r="702" spans="1:28" ht="13.15" customHeight="1">
      <c r="A702" s="9">
        <f t="shared" si="239"/>
        <v>688</v>
      </c>
      <c r="B702" s="10">
        <f t="shared" si="227"/>
        <v>45731</v>
      </c>
      <c r="C702" s="9">
        <f t="shared" si="228"/>
        <v>842</v>
      </c>
      <c r="D702" s="8">
        <f t="shared" si="232"/>
        <v>3544</v>
      </c>
      <c r="E702" s="7">
        <f t="shared" si="220"/>
        <v>1738</v>
      </c>
      <c r="F702" s="7">
        <f t="shared" si="221"/>
        <v>1793</v>
      </c>
      <c r="G702" s="7">
        <f t="shared" si="222"/>
        <v>1566</v>
      </c>
      <c r="H702" s="4">
        <f t="shared" si="223"/>
        <v>2648</v>
      </c>
      <c r="I702" s="4">
        <f t="shared" si="224"/>
        <v>2593</v>
      </c>
      <c r="J702" s="4">
        <f t="shared" si="225"/>
        <v>2820</v>
      </c>
      <c r="K702" s="4">
        <f t="shared" si="233"/>
        <v>4000</v>
      </c>
      <c r="L702" s="4">
        <f t="shared" si="234"/>
        <v>4000</v>
      </c>
      <c r="M702" s="4">
        <f t="shared" si="235"/>
        <v>4000</v>
      </c>
      <c r="N702" s="4">
        <f t="shared" si="229"/>
        <v>-1352</v>
      </c>
      <c r="O702" s="4">
        <f t="shared" si="230"/>
        <v>-1407</v>
      </c>
      <c r="P702" s="4">
        <f t="shared" si="231"/>
        <v>-1180</v>
      </c>
      <c r="Q702" s="7">
        <v>1</v>
      </c>
      <c r="R702" s="7">
        <v>3</v>
      </c>
      <c r="S702" s="7">
        <v>0</v>
      </c>
      <c r="T702" s="5">
        <f t="shared" si="226"/>
        <v>2353</v>
      </c>
      <c r="U702" s="6">
        <f t="shared" si="237"/>
        <v>2078</v>
      </c>
      <c r="V702" s="6">
        <f t="shared" si="238"/>
        <v>2033</v>
      </c>
      <c r="W702" s="6">
        <f t="shared" si="236"/>
        <v>2270</v>
      </c>
      <c r="X702" s="5"/>
      <c r="Y702" s="4"/>
      <c r="Z702" s="4"/>
      <c r="AA702" s="4"/>
      <c r="AB702" s="4"/>
    </row>
    <row r="703" spans="1:28" ht="13.15" customHeight="1">
      <c r="A703" s="9">
        <f t="shared" si="239"/>
        <v>689</v>
      </c>
      <c r="B703" s="10">
        <f t="shared" si="227"/>
        <v>45732</v>
      </c>
      <c r="C703" s="9">
        <f t="shared" si="228"/>
        <v>842</v>
      </c>
      <c r="D703" s="8">
        <f t="shared" si="232"/>
        <v>3546</v>
      </c>
      <c r="E703" s="7">
        <f t="shared" si="220"/>
        <v>1741</v>
      </c>
      <c r="F703" s="7">
        <f t="shared" si="221"/>
        <v>1798</v>
      </c>
      <c r="G703" s="7">
        <f t="shared" si="222"/>
        <v>1568</v>
      </c>
      <c r="H703" s="4">
        <f t="shared" si="223"/>
        <v>2647</v>
      </c>
      <c r="I703" s="4">
        <f t="shared" si="224"/>
        <v>2590</v>
      </c>
      <c r="J703" s="4">
        <f t="shared" si="225"/>
        <v>2820</v>
      </c>
      <c r="K703" s="4">
        <f t="shared" si="233"/>
        <v>4000</v>
      </c>
      <c r="L703" s="4">
        <f t="shared" si="234"/>
        <v>4000</v>
      </c>
      <c r="M703" s="4">
        <f t="shared" si="235"/>
        <v>4000</v>
      </c>
      <c r="N703" s="4">
        <f t="shared" si="229"/>
        <v>-1353</v>
      </c>
      <c r="O703" s="4">
        <f t="shared" si="230"/>
        <v>-1410</v>
      </c>
      <c r="P703" s="4">
        <f t="shared" si="231"/>
        <v>-1180</v>
      </c>
      <c r="Q703" s="7">
        <v>1</v>
      </c>
      <c r="R703" s="7">
        <v>3</v>
      </c>
      <c r="S703" s="7">
        <v>0</v>
      </c>
      <c r="T703" s="5">
        <f t="shared" si="226"/>
        <v>2358</v>
      </c>
      <c r="U703" s="6">
        <f t="shared" si="237"/>
        <v>2077</v>
      </c>
      <c r="V703" s="6">
        <f t="shared" si="238"/>
        <v>2030</v>
      </c>
      <c r="W703" s="6">
        <f t="shared" si="236"/>
        <v>2270</v>
      </c>
      <c r="X703" s="5"/>
      <c r="Y703" s="4"/>
      <c r="Z703" s="4"/>
      <c r="AA703" s="4"/>
      <c r="AB703" s="4"/>
    </row>
    <row r="704" spans="1:28" ht="13.15" customHeight="1">
      <c r="A704" s="9">
        <f t="shared" si="239"/>
        <v>690</v>
      </c>
      <c r="B704" s="10">
        <f t="shared" si="227"/>
        <v>45733</v>
      </c>
      <c r="C704" s="9">
        <f t="shared" si="228"/>
        <v>842</v>
      </c>
      <c r="D704" s="8">
        <f t="shared" si="232"/>
        <v>3548</v>
      </c>
      <c r="E704" s="7">
        <f t="shared" si="220"/>
        <v>1745</v>
      </c>
      <c r="F704" s="7">
        <f t="shared" si="221"/>
        <v>1801</v>
      </c>
      <c r="G704" s="7">
        <f t="shared" si="222"/>
        <v>1571</v>
      </c>
      <c r="H704" s="4">
        <f t="shared" si="223"/>
        <v>2645</v>
      </c>
      <c r="I704" s="4">
        <f t="shared" si="224"/>
        <v>2589</v>
      </c>
      <c r="J704" s="4">
        <f t="shared" si="225"/>
        <v>2819</v>
      </c>
      <c r="K704" s="4">
        <f t="shared" si="233"/>
        <v>4000</v>
      </c>
      <c r="L704" s="4">
        <f t="shared" si="234"/>
        <v>4000</v>
      </c>
      <c r="M704" s="4">
        <f t="shared" si="235"/>
        <v>4000</v>
      </c>
      <c r="N704" s="4">
        <f t="shared" si="229"/>
        <v>-1355</v>
      </c>
      <c r="O704" s="4">
        <f t="shared" si="230"/>
        <v>-1411</v>
      </c>
      <c r="P704" s="4">
        <f t="shared" si="231"/>
        <v>-1181</v>
      </c>
      <c r="Q704" s="7">
        <v>2</v>
      </c>
      <c r="R704" s="7">
        <v>1</v>
      </c>
      <c r="S704" s="7">
        <v>1</v>
      </c>
      <c r="T704" s="5">
        <f t="shared" si="226"/>
        <v>2361</v>
      </c>
      <c r="U704" s="6">
        <f t="shared" si="237"/>
        <v>2075</v>
      </c>
      <c r="V704" s="6">
        <f t="shared" si="238"/>
        <v>2029</v>
      </c>
      <c r="W704" s="6">
        <f t="shared" si="236"/>
        <v>2269</v>
      </c>
      <c r="X704" s="5"/>
      <c r="Y704" s="4"/>
      <c r="Z704" s="4"/>
      <c r="AA704" s="4"/>
      <c r="AB704" s="4"/>
    </row>
    <row r="705" spans="1:28" ht="13.15" customHeight="1">
      <c r="A705" s="9">
        <f t="shared" si="239"/>
        <v>691</v>
      </c>
      <c r="B705" s="10">
        <f t="shared" si="227"/>
        <v>45734</v>
      </c>
      <c r="C705" s="9">
        <f t="shared" si="228"/>
        <v>842</v>
      </c>
      <c r="D705" s="8">
        <f t="shared" si="232"/>
        <v>3550</v>
      </c>
      <c r="E705" s="7">
        <f t="shared" si="220"/>
        <v>1748</v>
      </c>
      <c r="F705" s="7">
        <f t="shared" si="221"/>
        <v>1805</v>
      </c>
      <c r="G705" s="7">
        <f t="shared" si="222"/>
        <v>1573</v>
      </c>
      <c r="H705" s="4">
        <f t="shared" si="223"/>
        <v>2644</v>
      </c>
      <c r="I705" s="4">
        <f t="shared" si="224"/>
        <v>2587</v>
      </c>
      <c r="J705" s="4">
        <f t="shared" si="225"/>
        <v>2819</v>
      </c>
      <c r="K705" s="4">
        <f t="shared" si="233"/>
        <v>4000</v>
      </c>
      <c r="L705" s="4">
        <f t="shared" si="234"/>
        <v>4000</v>
      </c>
      <c r="M705" s="4">
        <f t="shared" si="235"/>
        <v>4000</v>
      </c>
      <c r="N705" s="4">
        <f t="shared" si="229"/>
        <v>-1356</v>
      </c>
      <c r="O705" s="4">
        <f t="shared" si="230"/>
        <v>-1413</v>
      </c>
      <c r="P705" s="4">
        <f t="shared" si="231"/>
        <v>-1181</v>
      </c>
      <c r="Q705" s="7">
        <v>1</v>
      </c>
      <c r="R705" s="7">
        <v>2</v>
      </c>
      <c r="S705" s="7">
        <v>0</v>
      </c>
      <c r="T705" s="5">
        <f t="shared" si="226"/>
        <v>2365</v>
      </c>
      <c r="U705" s="6">
        <f t="shared" si="237"/>
        <v>2074</v>
      </c>
      <c r="V705" s="6">
        <f t="shared" si="238"/>
        <v>2027</v>
      </c>
      <c r="W705" s="6">
        <f t="shared" si="236"/>
        <v>2269</v>
      </c>
      <c r="X705" s="5"/>
      <c r="Y705" s="4"/>
      <c r="Z705" s="4"/>
      <c r="AA705" s="4"/>
      <c r="AB705" s="4"/>
    </row>
    <row r="706" spans="1:28" ht="13.15" customHeight="1">
      <c r="A706" s="9">
        <f t="shared" si="239"/>
        <v>692</v>
      </c>
      <c r="B706" s="10">
        <f t="shared" si="227"/>
        <v>45735</v>
      </c>
      <c r="C706" s="9">
        <f t="shared" si="228"/>
        <v>842</v>
      </c>
      <c r="D706" s="8">
        <f t="shared" ref="D706:D718" si="240">D705+2</f>
        <v>3552</v>
      </c>
      <c r="E706" s="7">
        <f t="shared" si="220"/>
        <v>1751</v>
      </c>
      <c r="F706" s="7">
        <f t="shared" si="221"/>
        <v>1808</v>
      </c>
      <c r="G706" s="7">
        <f t="shared" si="222"/>
        <v>1576</v>
      </c>
      <c r="H706" s="4">
        <f t="shared" si="223"/>
        <v>2643</v>
      </c>
      <c r="I706" s="4">
        <f t="shared" si="224"/>
        <v>2586</v>
      </c>
      <c r="J706" s="4">
        <f t="shared" si="225"/>
        <v>2818</v>
      </c>
      <c r="K706" s="4">
        <f t="shared" ref="K706:K718" si="241">K705</f>
        <v>4000</v>
      </c>
      <c r="L706" s="4">
        <f t="shared" ref="L706:L718" si="242">L705</f>
        <v>4000</v>
      </c>
      <c r="M706" s="4">
        <f t="shared" ref="M706:M718" si="243">M705</f>
        <v>4000</v>
      </c>
      <c r="N706" s="4">
        <f t="shared" si="229"/>
        <v>-1357</v>
      </c>
      <c r="O706" s="4">
        <f t="shared" si="230"/>
        <v>-1414</v>
      </c>
      <c r="P706" s="4">
        <f t="shared" si="231"/>
        <v>-1182</v>
      </c>
      <c r="Q706" s="7">
        <v>1</v>
      </c>
      <c r="R706" s="7">
        <v>1</v>
      </c>
      <c r="S706" s="7">
        <v>1</v>
      </c>
      <c r="T706" s="5">
        <f t="shared" si="226"/>
        <v>2368</v>
      </c>
      <c r="U706" s="6">
        <f t="shared" si="237"/>
        <v>2073</v>
      </c>
      <c r="V706" s="6">
        <f t="shared" si="238"/>
        <v>2026</v>
      </c>
      <c r="W706" s="6">
        <f t="shared" si="236"/>
        <v>2268</v>
      </c>
      <c r="X706" s="5"/>
      <c r="Y706" s="4"/>
      <c r="Z706" s="4"/>
      <c r="AA706" s="4"/>
      <c r="AB706" s="4"/>
    </row>
    <row r="707" spans="1:28" ht="13.15" customHeight="1">
      <c r="A707" s="9">
        <f t="shared" si="239"/>
        <v>693</v>
      </c>
      <c r="B707" s="10">
        <f t="shared" si="227"/>
        <v>45736</v>
      </c>
      <c r="C707" s="9">
        <f t="shared" si="228"/>
        <v>842</v>
      </c>
      <c r="D707" s="8">
        <f t="shared" si="240"/>
        <v>3554</v>
      </c>
      <c r="E707" s="7">
        <f t="shared" si="220"/>
        <v>1753</v>
      </c>
      <c r="F707" s="7">
        <f t="shared" si="221"/>
        <v>1812</v>
      </c>
      <c r="G707" s="7">
        <f t="shared" si="222"/>
        <v>1580</v>
      </c>
      <c r="H707" s="4">
        <f t="shared" si="223"/>
        <v>2643</v>
      </c>
      <c r="I707" s="4">
        <f t="shared" si="224"/>
        <v>2584</v>
      </c>
      <c r="J707" s="4">
        <f t="shared" si="225"/>
        <v>2816</v>
      </c>
      <c r="K707" s="4">
        <f t="shared" si="241"/>
        <v>4000</v>
      </c>
      <c r="L707" s="4">
        <f t="shared" si="242"/>
        <v>4000</v>
      </c>
      <c r="M707" s="4">
        <f t="shared" si="243"/>
        <v>4000</v>
      </c>
      <c r="N707" s="4">
        <f t="shared" si="229"/>
        <v>-1357</v>
      </c>
      <c r="O707" s="4">
        <f t="shared" si="230"/>
        <v>-1416</v>
      </c>
      <c r="P707" s="4">
        <f t="shared" si="231"/>
        <v>-1184</v>
      </c>
      <c r="Q707" s="7">
        <v>0</v>
      </c>
      <c r="R707" s="7">
        <v>2</v>
      </c>
      <c r="S707" s="7">
        <v>2</v>
      </c>
      <c r="T707" s="5">
        <f t="shared" si="226"/>
        <v>2372</v>
      </c>
      <c r="U707" s="6">
        <f t="shared" si="237"/>
        <v>2073</v>
      </c>
      <c r="V707" s="6">
        <f t="shared" si="238"/>
        <v>2024</v>
      </c>
      <c r="W707" s="6">
        <f t="shared" si="236"/>
        <v>2266</v>
      </c>
      <c r="X707" s="5"/>
      <c r="Y707" s="4"/>
      <c r="Z707" s="4"/>
      <c r="AA707" s="4"/>
      <c r="AB707" s="4"/>
    </row>
    <row r="708" spans="1:28" ht="13.15" customHeight="1">
      <c r="A708" s="9">
        <f t="shared" si="239"/>
        <v>694</v>
      </c>
      <c r="B708" s="10">
        <f t="shared" si="227"/>
        <v>45737</v>
      </c>
      <c r="C708" s="9">
        <f t="shared" si="228"/>
        <v>842</v>
      </c>
      <c r="D708" s="8">
        <f t="shared" si="240"/>
        <v>3556</v>
      </c>
      <c r="E708" s="7">
        <f t="shared" si="220"/>
        <v>1755</v>
      </c>
      <c r="F708" s="7">
        <f t="shared" si="221"/>
        <v>1815</v>
      </c>
      <c r="G708" s="7">
        <f t="shared" si="222"/>
        <v>1583</v>
      </c>
      <c r="H708" s="4">
        <f t="shared" si="223"/>
        <v>2643</v>
      </c>
      <c r="I708" s="4">
        <f t="shared" si="224"/>
        <v>2583</v>
      </c>
      <c r="J708" s="4">
        <f t="shared" si="225"/>
        <v>2815</v>
      </c>
      <c r="K708" s="4">
        <f t="shared" si="241"/>
        <v>4000</v>
      </c>
      <c r="L708" s="4">
        <f t="shared" si="242"/>
        <v>4000</v>
      </c>
      <c r="M708" s="4">
        <f t="shared" si="243"/>
        <v>4000</v>
      </c>
      <c r="N708" s="4">
        <f t="shared" si="229"/>
        <v>-1357</v>
      </c>
      <c r="O708" s="4">
        <f t="shared" si="230"/>
        <v>-1417</v>
      </c>
      <c r="P708" s="4">
        <f t="shared" si="231"/>
        <v>-1185</v>
      </c>
      <c r="Q708" s="7">
        <v>0</v>
      </c>
      <c r="R708" s="7">
        <v>1</v>
      </c>
      <c r="S708" s="7">
        <v>1</v>
      </c>
      <c r="T708" s="5">
        <f t="shared" si="226"/>
        <v>2375</v>
      </c>
      <c r="U708" s="6">
        <f t="shared" si="237"/>
        <v>2073</v>
      </c>
      <c r="V708" s="6">
        <f t="shared" si="238"/>
        <v>2023</v>
      </c>
      <c r="W708" s="6">
        <f t="shared" si="236"/>
        <v>2265</v>
      </c>
      <c r="X708" s="5"/>
      <c r="Y708" s="4"/>
      <c r="Z708" s="4"/>
      <c r="AA708" s="4"/>
      <c r="AB708" s="4"/>
    </row>
    <row r="709" spans="1:28" ht="13.15" customHeight="1">
      <c r="A709" s="9">
        <f t="shared" si="239"/>
        <v>695</v>
      </c>
      <c r="B709" s="10">
        <f t="shared" si="227"/>
        <v>45738</v>
      </c>
      <c r="C709" s="9">
        <f t="shared" si="228"/>
        <v>842</v>
      </c>
      <c r="D709" s="8">
        <f t="shared" si="240"/>
        <v>3558</v>
      </c>
      <c r="E709" s="7">
        <f t="shared" si="220"/>
        <v>1758</v>
      </c>
      <c r="F709" s="7">
        <f t="shared" si="221"/>
        <v>1819</v>
      </c>
      <c r="G709" s="7">
        <f t="shared" si="222"/>
        <v>1585</v>
      </c>
      <c r="H709" s="4">
        <f t="shared" si="223"/>
        <v>2642</v>
      </c>
      <c r="I709" s="4">
        <f t="shared" si="224"/>
        <v>2581</v>
      </c>
      <c r="J709" s="4">
        <f t="shared" si="225"/>
        <v>2815</v>
      </c>
      <c r="K709" s="4">
        <f t="shared" si="241"/>
        <v>4000</v>
      </c>
      <c r="L709" s="4">
        <f t="shared" si="242"/>
        <v>4000</v>
      </c>
      <c r="M709" s="4">
        <f t="shared" si="243"/>
        <v>4000</v>
      </c>
      <c r="N709" s="4">
        <f t="shared" si="229"/>
        <v>-1358</v>
      </c>
      <c r="O709" s="4">
        <f t="shared" si="230"/>
        <v>-1419</v>
      </c>
      <c r="P709" s="4">
        <f t="shared" si="231"/>
        <v>-1185</v>
      </c>
      <c r="Q709" s="7">
        <v>1</v>
      </c>
      <c r="R709" s="7">
        <v>2</v>
      </c>
      <c r="S709" s="7">
        <v>0</v>
      </c>
      <c r="T709" s="5">
        <f t="shared" si="226"/>
        <v>2379</v>
      </c>
      <c r="U709" s="6">
        <f t="shared" si="237"/>
        <v>2072</v>
      </c>
      <c r="V709" s="6">
        <f t="shared" si="238"/>
        <v>2021</v>
      </c>
      <c r="W709" s="6">
        <f t="shared" si="236"/>
        <v>2265</v>
      </c>
      <c r="X709" s="5"/>
      <c r="Y709" s="4"/>
      <c r="Z709" s="4"/>
      <c r="AA709" s="4"/>
      <c r="AB709" s="4"/>
    </row>
    <row r="710" spans="1:28" ht="13.15" customHeight="1">
      <c r="A710" s="9">
        <f t="shared" si="239"/>
        <v>696</v>
      </c>
      <c r="B710" s="10">
        <f t="shared" si="227"/>
        <v>45739</v>
      </c>
      <c r="C710" s="9">
        <f t="shared" si="228"/>
        <v>842</v>
      </c>
      <c r="D710" s="8">
        <f t="shared" si="240"/>
        <v>3560</v>
      </c>
      <c r="E710" s="7">
        <f t="shared" si="220"/>
        <v>1762</v>
      </c>
      <c r="F710" s="7">
        <f t="shared" si="221"/>
        <v>1823</v>
      </c>
      <c r="G710" s="7">
        <f t="shared" si="222"/>
        <v>1589</v>
      </c>
      <c r="H710" s="4">
        <f t="shared" si="223"/>
        <v>2640</v>
      </c>
      <c r="I710" s="4">
        <f t="shared" si="224"/>
        <v>2579</v>
      </c>
      <c r="J710" s="4">
        <f t="shared" si="225"/>
        <v>2813</v>
      </c>
      <c r="K710" s="4">
        <f t="shared" si="241"/>
        <v>4000</v>
      </c>
      <c r="L710" s="4">
        <f t="shared" si="242"/>
        <v>4000</v>
      </c>
      <c r="M710" s="4">
        <f t="shared" si="243"/>
        <v>4000</v>
      </c>
      <c r="N710" s="4">
        <f t="shared" si="229"/>
        <v>-1360</v>
      </c>
      <c r="O710" s="4">
        <f t="shared" si="230"/>
        <v>-1421</v>
      </c>
      <c r="P710" s="4">
        <f t="shared" si="231"/>
        <v>-1187</v>
      </c>
      <c r="Q710" s="7">
        <v>2</v>
      </c>
      <c r="R710" s="7">
        <v>2</v>
      </c>
      <c r="S710" s="7">
        <v>2</v>
      </c>
      <c r="T710" s="5">
        <f t="shared" si="226"/>
        <v>2383</v>
      </c>
      <c r="U710" s="6">
        <f t="shared" si="237"/>
        <v>2070</v>
      </c>
      <c r="V710" s="6">
        <f t="shared" si="238"/>
        <v>2019</v>
      </c>
      <c r="W710" s="6">
        <f t="shared" si="236"/>
        <v>2263</v>
      </c>
      <c r="X710" s="5"/>
      <c r="Y710" s="4"/>
      <c r="Z710" s="4"/>
      <c r="AA710" s="4"/>
      <c r="AB710" s="4"/>
    </row>
    <row r="711" spans="1:28" ht="13.15" customHeight="1">
      <c r="A711" s="9">
        <f t="shared" si="239"/>
        <v>697</v>
      </c>
      <c r="B711" s="10">
        <f t="shared" si="227"/>
        <v>45740</v>
      </c>
      <c r="C711" s="9">
        <f t="shared" si="228"/>
        <v>842</v>
      </c>
      <c r="D711" s="8">
        <f t="shared" si="240"/>
        <v>3562</v>
      </c>
      <c r="E711" s="7">
        <f t="shared" si="220"/>
        <v>1765</v>
      </c>
      <c r="F711" s="7">
        <f t="shared" si="221"/>
        <v>1827</v>
      </c>
      <c r="G711" s="7">
        <f t="shared" si="222"/>
        <v>1593</v>
      </c>
      <c r="H711" s="4">
        <f t="shared" si="223"/>
        <v>2639</v>
      </c>
      <c r="I711" s="4">
        <f t="shared" si="224"/>
        <v>2577</v>
      </c>
      <c r="J711" s="4">
        <f t="shared" si="225"/>
        <v>2811</v>
      </c>
      <c r="K711" s="4">
        <f t="shared" si="241"/>
        <v>4000</v>
      </c>
      <c r="L711" s="4">
        <f t="shared" si="242"/>
        <v>4000</v>
      </c>
      <c r="M711" s="4">
        <f t="shared" si="243"/>
        <v>4000</v>
      </c>
      <c r="N711" s="4">
        <f t="shared" si="229"/>
        <v>-1361</v>
      </c>
      <c r="O711" s="4">
        <f t="shared" si="230"/>
        <v>-1423</v>
      </c>
      <c r="P711" s="4">
        <f t="shared" si="231"/>
        <v>-1189</v>
      </c>
      <c r="Q711" s="7">
        <v>1</v>
      </c>
      <c r="R711" s="7">
        <v>2</v>
      </c>
      <c r="S711" s="7">
        <v>2</v>
      </c>
      <c r="T711" s="5">
        <f t="shared" si="226"/>
        <v>2387</v>
      </c>
      <c r="U711" s="6">
        <f t="shared" si="237"/>
        <v>2069</v>
      </c>
      <c r="V711" s="6">
        <f t="shared" si="238"/>
        <v>2017</v>
      </c>
      <c r="W711" s="6">
        <f t="shared" si="236"/>
        <v>2261</v>
      </c>
      <c r="X711" s="5"/>
      <c r="Y711" s="4"/>
      <c r="Z711" s="4"/>
      <c r="AA711" s="4"/>
      <c r="AB711" s="4"/>
    </row>
    <row r="712" spans="1:28" ht="13.15" customHeight="1">
      <c r="A712" s="9">
        <f t="shared" si="239"/>
        <v>698</v>
      </c>
      <c r="B712" s="10">
        <f t="shared" si="227"/>
        <v>45741</v>
      </c>
      <c r="C712" s="9">
        <f t="shared" si="228"/>
        <v>842</v>
      </c>
      <c r="D712" s="8">
        <f t="shared" si="240"/>
        <v>3564</v>
      </c>
      <c r="E712" s="7">
        <f t="shared" si="220"/>
        <v>1769</v>
      </c>
      <c r="F712" s="7">
        <f t="shared" si="221"/>
        <v>1831</v>
      </c>
      <c r="G712" s="7">
        <f t="shared" si="222"/>
        <v>1595</v>
      </c>
      <c r="H712" s="4">
        <f t="shared" si="223"/>
        <v>2637</v>
      </c>
      <c r="I712" s="4">
        <f t="shared" si="224"/>
        <v>2575</v>
      </c>
      <c r="J712" s="4">
        <f t="shared" si="225"/>
        <v>2811</v>
      </c>
      <c r="K712" s="4">
        <f t="shared" si="241"/>
        <v>4000</v>
      </c>
      <c r="L712" s="4">
        <f t="shared" si="242"/>
        <v>4000</v>
      </c>
      <c r="M712" s="4">
        <f t="shared" si="243"/>
        <v>4000</v>
      </c>
      <c r="N712" s="4">
        <f t="shared" si="229"/>
        <v>-1363</v>
      </c>
      <c r="O712" s="4">
        <f t="shared" si="230"/>
        <v>-1425</v>
      </c>
      <c r="P712" s="4">
        <f t="shared" si="231"/>
        <v>-1189</v>
      </c>
      <c r="Q712" s="7">
        <v>2</v>
      </c>
      <c r="R712" s="7">
        <v>2</v>
      </c>
      <c r="S712" s="7">
        <v>0</v>
      </c>
      <c r="T712" s="5">
        <f t="shared" si="226"/>
        <v>2391</v>
      </c>
      <c r="U712" s="6">
        <f t="shared" si="237"/>
        <v>2067</v>
      </c>
      <c r="V712" s="6">
        <f t="shared" si="238"/>
        <v>2015</v>
      </c>
      <c r="W712" s="6">
        <f t="shared" si="236"/>
        <v>2261</v>
      </c>
      <c r="X712" s="5"/>
      <c r="Y712" s="4"/>
      <c r="Z712" s="4"/>
      <c r="AA712" s="4"/>
      <c r="AB712" s="4"/>
    </row>
    <row r="713" spans="1:28" ht="13.15" customHeight="1">
      <c r="A713" s="9">
        <f t="shared" si="239"/>
        <v>699</v>
      </c>
      <c r="B713" s="10">
        <f t="shared" si="227"/>
        <v>45742</v>
      </c>
      <c r="C713" s="9">
        <f t="shared" si="228"/>
        <v>842</v>
      </c>
      <c r="D713" s="8">
        <f t="shared" si="240"/>
        <v>3566</v>
      </c>
      <c r="E713" s="7">
        <f t="shared" si="220"/>
        <v>1772</v>
      </c>
      <c r="F713" s="7">
        <f t="shared" si="221"/>
        <v>1835</v>
      </c>
      <c r="G713" s="7">
        <f t="shared" si="222"/>
        <v>1599</v>
      </c>
      <c r="H713" s="4">
        <f t="shared" si="223"/>
        <v>2636</v>
      </c>
      <c r="I713" s="4">
        <f t="shared" si="224"/>
        <v>2573</v>
      </c>
      <c r="J713" s="4">
        <f t="shared" si="225"/>
        <v>2809</v>
      </c>
      <c r="K713" s="4">
        <f t="shared" si="241"/>
        <v>4000</v>
      </c>
      <c r="L713" s="4">
        <f t="shared" si="242"/>
        <v>4000</v>
      </c>
      <c r="M713" s="4">
        <f t="shared" si="243"/>
        <v>4000</v>
      </c>
      <c r="N713" s="4">
        <f t="shared" si="229"/>
        <v>-1364</v>
      </c>
      <c r="O713" s="4">
        <f t="shared" si="230"/>
        <v>-1427</v>
      </c>
      <c r="P713" s="4">
        <f t="shared" si="231"/>
        <v>-1191</v>
      </c>
      <c r="Q713" s="7">
        <v>1</v>
      </c>
      <c r="R713" s="7">
        <v>2</v>
      </c>
      <c r="S713" s="7">
        <v>2</v>
      </c>
      <c r="T713" s="5">
        <f t="shared" si="226"/>
        <v>2395</v>
      </c>
      <c r="U713" s="6">
        <f t="shared" si="237"/>
        <v>2066</v>
      </c>
      <c r="V713" s="6">
        <f t="shared" si="238"/>
        <v>2013</v>
      </c>
      <c r="W713" s="6">
        <f t="shared" si="236"/>
        <v>2259</v>
      </c>
      <c r="X713" s="5"/>
      <c r="Y713" s="4"/>
      <c r="Z713" s="4"/>
      <c r="AA713" s="4"/>
      <c r="AB713" s="4"/>
    </row>
    <row r="714" spans="1:28" ht="13.15" customHeight="1">
      <c r="A714" s="9">
        <f t="shared" si="239"/>
        <v>700</v>
      </c>
      <c r="B714" s="10">
        <f t="shared" si="227"/>
        <v>45743</v>
      </c>
      <c r="C714" s="9">
        <f t="shared" si="228"/>
        <v>842</v>
      </c>
      <c r="D714" s="8">
        <f t="shared" si="240"/>
        <v>3568</v>
      </c>
      <c r="E714" s="7">
        <f t="shared" si="220"/>
        <v>1774</v>
      </c>
      <c r="F714" s="7">
        <f t="shared" si="221"/>
        <v>1839</v>
      </c>
      <c r="G714" s="7">
        <f t="shared" si="222"/>
        <v>1601</v>
      </c>
      <c r="H714" s="4">
        <f t="shared" si="223"/>
        <v>2636</v>
      </c>
      <c r="I714" s="4">
        <f t="shared" si="224"/>
        <v>2571</v>
      </c>
      <c r="J714" s="4">
        <f t="shared" si="225"/>
        <v>2809</v>
      </c>
      <c r="K714" s="4">
        <f t="shared" si="241"/>
        <v>4000</v>
      </c>
      <c r="L714" s="4">
        <f t="shared" si="242"/>
        <v>4000</v>
      </c>
      <c r="M714" s="4">
        <f t="shared" si="243"/>
        <v>4000</v>
      </c>
      <c r="N714" s="4">
        <f t="shared" si="229"/>
        <v>-1364</v>
      </c>
      <c r="O714" s="4">
        <f t="shared" si="230"/>
        <v>-1429</v>
      </c>
      <c r="P714" s="4">
        <f t="shared" si="231"/>
        <v>-1191</v>
      </c>
      <c r="Q714" s="7">
        <v>0</v>
      </c>
      <c r="R714" s="7">
        <v>2</v>
      </c>
      <c r="S714" s="7">
        <v>0</v>
      </c>
      <c r="T714" s="5">
        <f t="shared" si="226"/>
        <v>2399</v>
      </c>
      <c r="U714" s="6">
        <f t="shared" si="237"/>
        <v>2066</v>
      </c>
      <c r="V714" s="6">
        <f t="shared" si="238"/>
        <v>2011</v>
      </c>
      <c r="W714" s="6">
        <f t="shared" si="236"/>
        <v>2259</v>
      </c>
      <c r="X714" s="5"/>
      <c r="Y714" s="4"/>
      <c r="Z714" s="4"/>
      <c r="AA714" s="4"/>
      <c r="AB714" s="4"/>
    </row>
    <row r="715" spans="1:28" ht="13.15" customHeight="1">
      <c r="A715" s="9">
        <f t="shared" si="239"/>
        <v>701</v>
      </c>
      <c r="B715" s="10">
        <f t="shared" si="227"/>
        <v>45744</v>
      </c>
      <c r="C715" s="9">
        <f t="shared" si="228"/>
        <v>842</v>
      </c>
      <c r="D715" s="8">
        <f t="shared" si="240"/>
        <v>3570</v>
      </c>
      <c r="E715" s="7">
        <f t="shared" si="220"/>
        <v>1778</v>
      </c>
      <c r="F715" s="7">
        <f t="shared" si="221"/>
        <v>1844</v>
      </c>
      <c r="G715" s="7">
        <f t="shared" si="222"/>
        <v>1603</v>
      </c>
      <c r="H715" s="4">
        <f t="shared" si="223"/>
        <v>2634</v>
      </c>
      <c r="I715" s="4">
        <f t="shared" si="224"/>
        <v>2568</v>
      </c>
      <c r="J715" s="4">
        <f t="shared" si="225"/>
        <v>2809</v>
      </c>
      <c r="K715" s="4">
        <f t="shared" si="241"/>
        <v>4000</v>
      </c>
      <c r="L715" s="4">
        <f t="shared" si="242"/>
        <v>4000</v>
      </c>
      <c r="M715" s="4">
        <f t="shared" si="243"/>
        <v>4000</v>
      </c>
      <c r="N715" s="4">
        <f t="shared" si="229"/>
        <v>-1366</v>
      </c>
      <c r="O715" s="4">
        <f t="shared" si="230"/>
        <v>-1432</v>
      </c>
      <c r="P715" s="4">
        <f t="shared" si="231"/>
        <v>-1191</v>
      </c>
      <c r="Q715" s="7">
        <v>2</v>
      </c>
      <c r="R715" s="7">
        <v>3</v>
      </c>
      <c r="S715" s="7">
        <v>0</v>
      </c>
      <c r="T715" s="5">
        <f t="shared" si="226"/>
        <v>2404</v>
      </c>
      <c r="U715" s="6">
        <f t="shared" si="237"/>
        <v>2064</v>
      </c>
      <c r="V715" s="6">
        <f t="shared" si="238"/>
        <v>2008</v>
      </c>
      <c r="W715" s="6">
        <f t="shared" si="236"/>
        <v>2259</v>
      </c>
      <c r="X715" s="5"/>
      <c r="Y715" s="4"/>
      <c r="Z715" s="4"/>
      <c r="AA715" s="4"/>
      <c r="AB715" s="4"/>
    </row>
    <row r="716" spans="1:28" ht="13.15" customHeight="1">
      <c r="A716" s="9">
        <f t="shared" si="239"/>
        <v>702</v>
      </c>
      <c r="B716" s="10">
        <f t="shared" si="227"/>
        <v>45745</v>
      </c>
      <c r="C716" s="9">
        <f t="shared" si="228"/>
        <v>842</v>
      </c>
      <c r="D716" s="8">
        <f t="shared" si="240"/>
        <v>3572</v>
      </c>
      <c r="E716" s="7">
        <f t="shared" si="220"/>
        <v>1782</v>
      </c>
      <c r="F716" s="7">
        <f t="shared" si="221"/>
        <v>1847</v>
      </c>
      <c r="G716" s="7">
        <f t="shared" si="222"/>
        <v>1607</v>
      </c>
      <c r="H716" s="4">
        <f t="shared" si="223"/>
        <v>2632</v>
      </c>
      <c r="I716" s="4">
        <f t="shared" si="224"/>
        <v>2567</v>
      </c>
      <c r="J716" s="4">
        <f t="shared" si="225"/>
        <v>2807</v>
      </c>
      <c r="K716" s="4">
        <f t="shared" si="241"/>
        <v>4000</v>
      </c>
      <c r="L716" s="4">
        <f t="shared" si="242"/>
        <v>4000</v>
      </c>
      <c r="M716" s="4">
        <f t="shared" si="243"/>
        <v>4000</v>
      </c>
      <c r="N716" s="4">
        <f t="shared" si="229"/>
        <v>-1368</v>
      </c>
      <c r="O716" s="4">
        <f t="shared" si="230"/>
        <v>-1433</v>
      </c>
      <c r="P716" s="4">
        <f t="shared" si="231"/>
        <v>-1193</v>
      </c>
      <c r="Q716" s="7">
        <v>2</v>
      </c>
      <c r="R716" s="7">
        <v>1</v>
      </c>
      <c r="S716" s="7">
        <v>2</v>
      </c>
      <c r="T716" s="5">
        <f t="shared" si="226"/>
        <v>2407</v>
      </c>
      <c r="U716" s="6">
        <f t="shared" si="237"/>
        <v>2062</v>
      </c>
      <c r="V716" s="6">
        <f t="shared" si="238"/>
        <v>2007</v>
      </c>
      <c r="W716" s="6">
        <f t="shared" si="236"/>
        <v>2257</v>
      </c>
      <c r="X716" s="5"/>
      <c r="Y716" s="4"/>
      <c r="Z716" s="4"/>
      <c r="AA716" s="4"/>
      <c r="AB716" s="4"/>
    </row>
    <row r="717" spans="1:28" ht="13.15" customHeight="1">
      <c r="A717" s="9">
        <f t="shared" si="239"/>
        <v>703</v>
      </c>
      <c r="B717" s="10">
        <f t="shared" si="227"/>
        <v>45746</v>
      </c>
      <c r="C717" s="9">
        <f t="shared" si="228"/>
        <v>842</v>
      </c>
      <c r="D717" s="8">
        <f t="shared" si="240"/>
        <v>3574</v>
      </c>
      <c r="E717" s="7">
        <f t="shared" si="220"/>
        <v>1784</v>
      </c>
      <c r="F717" s="7">
        <f t="shared" si="221"/>
        <v>1853</v>
      </c>
      <c r="G717" s="7">
        <f t="shared" si="222"/>
        <v>1609</v>
      </c>
      <c r="H717" s="4">
        <f t="shared" si="223"/>
        <v>2632</v>
      </c>
      <c r="I717" s="4">
        <f t="shared" si="224"/>
        <v>2563</v>
      </c>
      <c r="J717" s="4">
        <f t="shared" si="225"/>
        <v>2807</v>
      </c>
      <c r="K717" s="4">
        <f t="shared" si="241"/>
        <v>4000</v>
      </c>
      <c r="L717" s="4">
        <f t="shared" si="242"/>
        <v>4000</v>
      </c>
      <c r="M717" s="4">
        <f t="shared" si="243"/>
        <v>4000</v>
      </c>
      <c r="N717" s="4">
        <f t="shared" si="229"/>
        <v>-1368</v>
      </c>
      <c r="O717" s="4">
        <f t="shared" si="230"/>
        <v>-1437</v>
      </c>
      <c r="P717" s="4">
        <f t="shared" si="231"/>
        <v>-1193</v>
      </c>
      <c r="Q717" s="7">
        <v>0</v>
      </c>
      <c r="R717" s="7">
        <v>4</v>
      </c>
      <c r="S717" s="7">
        <v>0</v>
      </c>
      <c r="T717" s="5">
        <f t="shared" si="226"/>
        <v>2413</v>
      </c>
      <c r="U717" s="6">
        <f t="shared" si="237"/>
        <v>2062</v>
      </c>
      <c r="V717" s="6">
        <f t="shared" si="238"/>
        <v>2003</v>
      </c>
      <c r="W717" s="6">
        <f t="shared" si="236"/>
        <v>2257</v>
      </c>
      <c r="X717" s="5"/>
      <c r="Y717" s="4"/>
      <c r="Z717" s="4"/>
      <c r="AA717" s="4"/>
      <c r="AB717" s="4"/>
    </row>
    <row r="718" spans="1:28" ht="13.15" customHeight="1">
      <c r="A718" s="9">
        <f t="shared" si="239"/>
        <v>704</v>
      </c>
      <c r="B718" s="10">
        <f t="shared" si="227"/>
        <v>45747</v>
      </c>
      <c r="C718" s="9">
        <f t="shared" si="228"/>
        <v>842</v>
      </c>
      <c r="D718" s="8">
        <f t="shared" si="240"/>
        <v>3576</v>
      </c>
      <c r="E718" s="7">
        <f t="shared" ref="E718" si="244">C718+D718-H718</f>
        <v>1788</v>
      </c>
      <c r="F718" s="7">
        <f t="shared" si="221"/>
        <v>1859</v>
      </c>
      <c r="G718" s="7">
        <f t="shared" si="222"/>
        <v>1611</v>
      </c>
      <c r="H718" s="4">
        <f t="shared" si="223"/>
        <v>2630</v>
      </c>
      <c r="I718" s="4">
        <f t="shared" si="224"/>
        <v>2559</v>
      </c>
      <c r="J718" s="4">
        <f t="shared" si="225"/>
        <v>2807</v>
      </c>
      <c r="K718" s="4">
        <f t="shared" si="241"/>
        <v>4000</v>
      </c>
      <c r="L718" s="4">
        <f t="shared" si="242"/>
        <v>4000</v>
      </c>
      <c r="M718" s="4">
        <f t="shared" si="243"/>
        <v>4000</v>
      </c>
      <c r="N718" s="4">
        <f t="shared" si="229"/>
        <v>-1370</v>
      </c>
      <c r="O718" s="4">
        <f t="shared" si="230"/>
        <v>-1441</v>
      </c>
      <c r="P718" s="4">
        <f t="shared" si="231"/>
        <v>-1193</v>
      </c>
      <c r="Q718" s="7">
        <v>2</v>
      </c>
      <c r="R718" s="7">
        <v>4</v>
      </c>
      <c r="S718" s="7">
        <v>0</v>
      </c>
      <c r="T718" s="5">
        <f t="shared" si="226"/>
        <v>2419</v>
      </c>
      <c r="U718" s="6">
        <f t="shared" si="237"/>
        <v>2060</v>
      </c>
      <c r="V718" s="6">
        <f t="shared" si="238"/>
        <v>1999</v>
      </c>
      <c r="W718" s="6">
        <f t="shared" si="236"/>
        <v>2257</v>
      </c>
      <c r="X718" s="5"/>
      <c r="Y718" s="4"/>
      <c r="Z718" s="4"/>
      <c r="AA718" s="4"/>
      <c r="AB718" s="4"/>
    </row>
    <row r="719" spans="1:28" ht="13.15" customHeight="1">
      <c r="A719" s="9">
        <f t="shared" ref="A719:A730" si="245">+A718+1</f>
        <v>705</v>
      </c>
      <c r="B719" s="10">
        <f t="shared" ref="B719:B730" si="246">B718+1</f>
        <v>45748</v>
      </c>
      <c r="C719" s="9">
        <f t="shared" ref="C719:C730" si="247">C718</f>
        <v>842</v>
      </c>
      <c r="D719" s="8">
        <f t="shared" ref="D719:D730" si="248">D718+2</f>
        <v>3578</v>
      </c>
      <c r="E719" s="7">
        <f t="shared" ref="E719:E730" si="249">C719+D719-H719</f>
        <v>1790</v>
      </c>
      <c r="F719" s="7">
        <f t="shared" ref="F719:F730" si="250">C719+D719-I719</f>
        <v>1861</v>
      </c>
      <c r="G719" s="7">
        <f t="shared" ref="G719:G730" si="251">D719+C719-J719</f>
        <v>1613</v>
      </c>
      <c r="H719" s="4">
        <f t="shared" ref="H719:H730" si="252">K719+N719</f>
        <v>2630</v>
      </c>
      <c r="I719" s="4">
        <f t="shared" ref="I719:I730" si="253">L719+O719</f>
        <v>2559</v>
      </c>
      <c r="J719" s="4">
        <f t="shared" ref="J719:J730" si="254">M719+P719</f>
        <v>2807</v>
      </c>
      <c r="K719" s="4">
        <f t="shared" ref="K719:K730" si="255">K718</f>
        <v>4000</v>
      </c>
      <c r="L719" s="4">
        <f t="shared" ref="L719:L730" si="256">L718</f>
        <v>4000</v>
      </c>
      <c r="M719" s="4">
        <f t="shared" ref="M719:M730" si="257">M718</f>
        <v>4000</v>
      </c>
      <c r="N719" s="4">
        <f t="shared" ref="N719:N730" si="258">N718-Q719</f>
        <v>-1370</v>
      </c>
      <c r="O719" s="4">
        <f t="shared" ref="O719:O730" si="259">O718-R719</f>
        <v>-1441</v>
      </c>
      <c r="P719" s="4">
        <f t="shared" ref="P719:P730" si="260">P718-S719</f>
        <v>-1193</v>
      </c>
      <c r="Q719" s="7">
        <v>0</v>
      </c>
      <c r="R719" s="7">
        <v>0</v>
      </c>
      <c r="S719" s="7">
        <v>0</v>
      </c>
      <c r="T719" s="5">
        <f t="shared" ref="T719:T730" si="261">D719+C719-V719</f>
        <v>2421</v>
      </c>
      <c r="U719" s="6">
        <f t="shared" ref="U719:U730" si="262">U718+$X719*1000-Q719</f>
        <v>2060</v>
      </c>
      <c r="V719" s="6">
        <f t="shared" ref="V719:V730" si="263">V718+$X719*1000-R719</f>
        <v>1999</v>
      </c>
      <c r="W719" s="6">
        <f t="shared" ref="W719:W730" si="264">W718+$X719*1000-S719</f>
        <v>2257</v>
      </c>
      <c r="X719" s="5"/>
      <c r="Y719" s="4"/>
      <c r="Z719" s="4"/>
      <c r="AA719" s="4"/>
      <c r="AB719" s="4"/>
    </row>
    <row r="720" spans="1:28" ht="13.15" customHeight="1">
      <c r="A720" s="9">
        <f t="shared" si="245"/>
        <v>706</v>
      </c>
      <c r="B720" s="10">
        <f t="shared" si="246"/>
        <v>45749</v>
      </c>
      <c r="C720" s="9">
        <f t="shared" si="247"/>
        <v>842</v>
      </c>
      <c r="D720" s="8">
        <f t="shared" si="248"/>
        <v>3580</v>
      </c>
      <c r="E720" s="7">
        <f t="shared" si="249"/>
        <v>1792</v>
      </c>
      <c r="F720" s="7">
        <f t="shared" si="250"/>
        <v>1867</v>
      </c>
      <c r="G720" s="7">
        <f t="shared" si="251"/>
        <v>1615</v>
      </c>
      <c r="H720" s="4">
        <f t="shared" si="252"/>
        <v>2630</v>
      </c>
      <c r="I720" s="4">
        <f t="shared" si="253"/>
        <v>2555</v>
      </c>
      <c r="J720" s="4">
        <f t="shared" si="254"/>
        <v>2807</v>
      </c>
      <c r="K720" s="4">
        <f t="shared" si="255"/>
        <v>4000</v>
      </c>
      <c r="L720" s="4">
        <f t="shared" si="256"/>
        <v>4000</v>
      </c>
      <c r="M720" s="4">
        <f t="shared" si="257"/>
        <v>4000</v>
      </c>
      <c r="N720" s="4">
        <f t="shared" si="258"/>
        <v>-1370</v>
      </c>
      <c r="O720" s="4">
        <f t="shared" si="259"/>
        <v>-1445</v>
      </c>
      <c r="P720" s="4">
        <f t="shared" si="260"/>
        <v>-1193</v>
      </c>
      <c r="Q720" s="7">
        <v>0</v>
      </c>
      <c r="R720" s="7">
        <v>4</v>
      </c>
      <c r="S720" s="7">
        <v>0</v>
      </c>
      <c r="T720" s="5">
        <f t="shared" si="261"/>
        <v>2427</v>
      </c>
      <c r="U720" s="6">
        <f t="shared" si="262"/>
        <v>2060</v>
      </c>
      <c r="V720" s="6">
        <f t="shared" si="263"/>
        <v>1995</v>
      </c>
      <c r="W720" s="6">
        <f t="shared" si="264"/>
        <v>2257</v>
      </c>
      <c r="X720" s="5"/>
      <c r="Y720" s="4"/>
      <c r="Z720" s="4"/>
      <c r="AA720" s="4"/>
      <c r="AB720" s="4"/>
    </row>
    <row r="721" spans="1:28" ht="13.15" customHeight="1">
      <c r="A721" s="9">
        <f t="shared" si="245"/>
        <v>707</v>
      </c>
      <c r="B721" s="10">
        <f t="shared" si="246"/>
        <v>45750</v>
      </c>
      <c r="C721" s="9">
        <f t="shared" si="247"/>
        <v>842</v>
      </c>
      <c r="D721" s="8">
        <f t="shared" si="248"/>
        <v>3582</v>
      </c>
      <c r="E721" s="7">
        <f t="shared" si="249"/>
        <v>1794</v>
      </c>
      <c r="F721" s="7">
        <f t="shared" si="250"/>
        <v>1869</v>
      </c>
      <c r="G721" s="7">
        <f t="shared" si="251"/>
        <v>1617</v>
      </c>
      <c r="H721" s="4">
        <f t="shared" si="252"/>
        <v>2630</v>
      </c>
      <c r="I721" s="4">
        <f t="shared" si="253"/>
        <v>2555</v>
      </c>
      <c r="J721" s="4">
        <f t="shared" si="254"/>
        <v>2807</v>
      </c>
      <c r="K721" s="4">
        <f t="shared" si="255"/>
        <v>4000</v>
      </c>
      <c r="L721" s="4">
        <f t="shared" si="256"/>
        <v>4000</v>
      </c>
      <c r="M721" s="4">
        <f t="shared" si="257"/>
        <v>4000</v>
      </c>
      <c r="N721" s="4">
        <f t="shared" si="258"/>
        <v>-1370</v>
      </c>
      <c r="O721" s="4">
        <f t="shared" si="259"/>
        <v>-1445</v>
      </c>
      <c r="P721" s="4">
        <f t="shared" si="260"/>
        <v>-1193</v>
      </c>
      <c r="Q721" s="7">
        <v>0</v>
      </c>
      <c r="R721" s="7">
        <v>0</v>
      </c>
      <c r="S721" s="7">
        <v>0</v>
      </c>
      <c r="T721" s="5">
        <f t="shared" si="261"/>
        <v>2429</v>
      </c>
      <c r="U721" s="6">
        <f t="shared" si="262"/>
        <v>2060</v>
      </c>
      <c r="V721" s="6">
        <f t="shared" si="263"/>
        <v>1995</v>
      </c>
      <c r="W721" s="6">
        <f t="shared" si="264"/>
        <v>2257</v>
      </c>
      <c r="X721" s="5"/>
      <c r="Y721" s="4"/>
      <c r="Z721" s="4"/>
      <c r="AA721" s="4"/>
      <c r="AB721" s="4"/>
    </row>
    <row r="722" spans="1:28" ht="13.15" customHeight="1">
      <c r="A722" s="9">
        <f t="shared" si="245"/>
        <v>708</v>
      </c>
      <c r="B722" s="10">
        <f t="shared" si="246"/>
        <v>45751</v>
      </c>
      <c r="C722" s="9">
        <f t="shared" si="247"/>
        <v>842</v>
      </c>
      <c r="D722" s="8">
        <f t="shared" si="248"/>
        <v>3584</v>
      </c>
      <c r="E722" s="7">
        <f t="shared" si="249"/>
        <v>1796</v>
      </c>
      <c r="F722" s="7">
        <f t="shared" si="250"/>
        <v>1874</v>
      </c>
      <c r="G722" s="7">
        <f t="shared" si="251"/>
        <v>1619</v>
      </c>
      <c r="H722" s="4">
        <f t="shared" si="252"/>
        <v>2630</v>
      </c>
      <c r="I722" s="4">
        <f t="shared" si="253"/>
        <v>2552</v>
      </c>
      <c r="J722" s="4">
        <f t="shared" si="254"/>
        <v>2807</v>
      </c>
      <c r="K722" s="4">
        <f t="shared" si="255"/>
        <v>4000</v>
      </c>
      <c r="L722" s="4">
        <f t="shared" si="256"/>
        <v>4000</v>
      </c>
      <c r="M722" s="4">
        <f t="shared" si="257"/>
        <v>4000</v>
      </c>
      <c r="N722" s="4">
        <f t="shared" si="258"/>
        <v>-1370</v>
      </c>
      <c r="O722" s="4">
        <f t="shared" si="259"/>
        <v>-1448</v>
      </c>
      <c r="P722" s="4">
        <f t="shared" si="260"/>
        <v>-1193</v>
      </c>
      <c r="Q722" s="7">
        <v>0</v>
      </c>
      <c r="R722" s="7">
        <v>3</v>
      </c>
      <c r="S722" s="7">
        <v>0</v>
      </c>
      <c r="T722" s="5">
        <f t="shared" si="261"/>
        <v>2434</v>
      </c>
      <c r="U722" s="6">
        <f t="shared" si="262"/>
        <v>2060</v>
      </c>
      <c r="V722" s="6">
        <f t="shared" si="263"/>
        <v>1992</v>
      </c>
      <c r="W722" s="6">
        <f t="shared" si="264"/>
        <v>2257</v>
      </c>
      <c r="X722" s="5"/>
      <c r="Y722" s="4"/>
      <c r="Z722" s="4"/>
      <c r="AA722" s="4"/>
      <c r="AB722" s="4"/>
    </row>
    <row r="723" spans="1:28" ht="13.15" customHeight="1">
      <c r="A723" s="9">
        <f t="shared" si="245"/>
        <v>709</v>
      </c>
      <c r="B723" s="10">
        <f t="shared" si="246"/>
        <v>45752</v>
      </c>
      <c r="C723" s="9">
        <f t="shared" si="247"/>
        <v>842</v>
      </c>
      <c r="D723" s="8">
        <f t="shared" si="248"/>
        <v>3586</v>
      </c>
      <c r="E723" s="7">
        <f t="shared" si="249"/>
        <v>1801</v>
      </c>
      <c r="F723" s="7">
        <f t="shared" si="250"/>
        <v>1876</v>
      </c>
      <c r="G723" s="7">
        <f t="shared" si="251"/>
        <v>1621</v>
      </c>
      <c r="H723" s="4">
        <f t="shared" si="252"/>
        <v>2627</v>
      </c>
      <c r="I723" s="4">
        <f t="shared" si="253"/>
        <v>2552</v>
      </c>
      <c r="J723" s="4">
        <f t="shared" si="254"/>
        <v>2807</v>
      </c>
      <c r="K723" s="4">
        <f t="shared" si="255"/>
        <v>4000</v>
      </c>
      <c r="L723" s="4">
        <f t="shared" si="256"/>
        <v>4000</v>
      </c>
      <c r="M723" s="4">
        <f t="shared" si="257"/>
        <v>4000</v>
      </c>
      <c r="N723" s="4">
        <f t="shared" si="258"/>
        <v>-1373</v>
      </c>
      <c r="O723" s="4">
        <f t="shared" si="259"/>
        <v>-1448</v>
      </c>
      <c r="P723" s="4">
        <f t="shared" si="260"/>
        <v>-1193</v>
      </c>
      <c r="Q723" s="7">
        <v>3</v>
      </c>
      <c r="R723" s="7">
        <v>0</v>
      </c>
      <c r="S723" s="7">
        <v>0</v>
      </c>
      <c r="T723" s="5">
        <f t="shared" si="261"/>
        <v>2436</v>
      </c>
      <c r="U723" s="6">
        <f t="shared" si="262"/>
        <v>2057</v>
      </c>
      <c r="V723" s="6">
        <f t="shared" si="263"/>
        <v>1992</v>
      </c>
      <c r="W723" s="6">
        <f t="shared" si="264"/>
        <v>2257</v>
      </c>
      <c r="X723" s="5"/>
      <c r="Y723" s="4"/>
      <c r="Z723" s="4"/>
      <c r="AA723" s="4"/>
      <c r="AB723" s="4"/>
    </row>
    <row r="724" spans="1:28" ht="13.15" customHeight="1">
      <c r="A724" s="9">
        <f t="shared" si="245"/>
        <v>710</v>
      </c>
      <c r="B724" s="10">
        <f t="shared" si="246"/>
        <v>45753</v>
      </c>
      <c r="C724" s="9">
        <f t="shared" si="247"/>
        <v>842</v>
      </c>
      <c r="D724" s="8">
        <f t="shared" si="248"/>
        <v>3588</v>
      </c>
      <c r="E724" s="7">
        <f t="shared" si="249"/>
        <v>1805</v>
      </c>
      <c r="F724" s="7">
        <f t="shared" si="250"/>
        <v>1880</v>
      </c>
      <c r="G724" s="7">
        <f t="shared" si="251"/>
        <v>1623</v>
      </c>
      <c r="H724" s="4">
        <f t="shared" si="252"/>
        <v>2625</v>
      </c>
      <c r="I724" s="4">
        <f t="shared" si="253"/>
        <v>2550</v>
      </c>
      <c r="J724" s="4">
        <f t="shared" si="254"/>
        <v>2807</v>
      </c>
      <c r="K724" s="4">
        <f t="shared" si="255"/>
        <v>4000</v>
      </c>
      <c r="L724" s="4">
        <f t="shared" si="256"/>
        <v>4000</v>
      </c>
      <c r="M724" s="4">
        <f t="shared" si="257"/>
        <v>4000</v>
      </c>
      <c r="N724" s="4">
        <f t="shared" si="258"/>
        <v>-1375</v>
      </c>
      <c r="O724" s="4">
        <f t="shared" si="259"/>
        <v>-1450</v>
      </c>
      <c r="P724" s="4">
        <f t="shared" si="260"/>
        <v>-1193</v>
      </c>
      <c r="Q724" s="7">
        <v>2</v>
      </c>
      <c r="R724" s="7">
        <v>2</v>
      </c>
      <c r="S724" s="7">
        <v>0</v>
      </c>
      <c r="T724" s="5">
        <f t="shared" si="261"/>
        <v>2440</v>
      </c>
      <c r="U724" s="6">
        <f t="shared" si="262"/>
        <v>2055</v>
      </c>
      <c r="V724" s="6">
        <f t="shared" si="263"/>
        <v>1990</v>
      </c>
      <c r="W724" s="6">
        <f t="shared" si="264"/>
        <v>2257</v>
      </c>
      <c r="X724" s="5"/>
      <c r="Y724" s="4"/>
      <c r="Z724" s="4"/>
      <c r="AA724" s="4"/>
      <c r="AB724" s="4"/>
    </row>
    <row r="725" spans="1:28" ht="13.15" customHeight="1">
      <c r="A725" s="9">
        <f t="shared" si="245"/>
        <v>711</v>
      </c>
      <c r="B725" s="10">
        <f t="shared" si="246"/>
        <v>45754</v>
      </c>
      <c r="C725" s="9">
        <f t="shared" si="247"/>
        <v>842</v>
      </c>
      <c r="D725" s="8">
        <f t="shared" si="248"/>
        <v>3590</v>
      </c>
      <c r="E725" s="7">
        <f t="shared" si="249"/>
        <v>1809</v>
      </c>
      <c r="F725" s="7">
        <f t="shared" si="250"/>
        <v>1882</v>
      </c>
      <c r="G725" s="7">
        <f t="shared" si="251"/>
        <v>1625</v>
      </c>
      <c r="H725" s="4">
        <f t="shared" si="252"/>
        <v>2623</v>
      </c>
      <c r="I725" s="4">
        <f t="shared" si="253"/>
        <v>2550</v>
      </c>
      <c r="J725" s="4">
        <f t="shared" si="254"/>
        <v>2807</v>
      </c>
      <c r="K725" s="4">
        <f t="shared" si="255"/>
        <v>4000</v>
      </c>
      <c r="L725" s="4">
        <f t="shared" si="256"/>
        <v>4000</v>
      </c>
      <c r="M725" s="4">
        <f t="shared" si="257"/>
        <v>4000</v>
      </c>
      <c r="N725" s="4">
        <f t="shared" si="258"/>
        <v>-1377</v>
      </c>
      <c r="O725" s="4">
        <f t="shared" si="259"/>
        <v>-1450</v>
      </c>
      <c r="P725" s="4">
        <f t="shared" si="260"/>
        <v>-1193</v>
      </c>
      <c r="Q725" s="7">
        <v>2</v>
      </c>
      <c r="R725" s="7">
        <v>0</v>
      </c>
      <c r="S725" s="7">
        <v>0</v>
      </c>
      <c r="T725" s="5">
        <f t="shared" si="261"/>
        <v>2442</v>
      </c>
      <c r="U725" s="6">
        <f t="shared" si="262"/>
        <v>2053</v>
      </c>
      <c r="V725" s="6">
        <f t="shared" si="263"/>
        <v>1990</v>
      </c>
      <c r="W725" s="6">
        <f t="shared" si="264"/>
        <v>2257</v>
      </c>
      <c r="X725" s="5"/>
      <c r="Y725" s="4"/>
      <c r="Z725" s="4"/>
      <c r="AA725" s="4"/>
      <c r="AB725" s="4"/>
    </row>
    <row r="726" spans="1:28" ht="13.15" customHeight="1">
      <c r="A726" s="9">
        <f t="shared" si="245"/>
        <v>712</v>
      </c>
      <c r="B726" s="10">
        <f t="shared" si="246"/>
        <v>45755</v>
      </c>
      <c r="C726" s="9">
        <f t="shared" si="247"/>
        <v>842</v>
      </c>
      <c r="D726" s="8">
        <f t="shared" si="248"/>
        <v>3592</v>
      </c>
      <c r="E726" s="7">
        <f t="shared" si="249"/>
        <v>1811</v>
      </c>
      <c r="F726" s="7">
        <f t="shared" si="250"/>
        <v>1890</v>
      </c>
      <c r="G726" s="7">
        <f t="shared" si="251"/>
        <v>1627</v>
      </c>
      <c r="H726" s="4">
        <f t="shared" si="252"/>
        <v>2623</v>
      </c>
      <c r="I726" s="4">
        <f t="shared" si="253"/>
        <v>2544</v>
      </c>
      <c r="J726" s="4">
        <f t="shared" si="254"/>
        <v>2807</v>
      </c>
      <c r="K726" s="4">
        <f t="shared" si="255"/>
        <v>4000</v>
      </c>
      <c r="L726" s="4">
        <f t="shared" si="256"/>
        <v>4000</v>
      </c>
      <c r="M726" s="4">
        <f t="shared" si="257"/>
        <v>4000</v>
      </c>
      <c r="N726" s="4">
        <f t="shared" si="258"/>
        <v>-1377</v>
      </c>
      <c r="O726" s="4">
        <f t="shared" si="259"/>
        <v>-1456</v>
      </c>
      <c r="P726" s="4">
        <f t="shared" si="260"/>
        <v>-1193</v>
      </c>
      <c r="Q726" s="7">
        <v>0</v>
      </c>
      <c r="R726" s="7">
        <v>6</v>
      </c>
      <c r="S726" s="7">
        <v>0</v>
      </c>
      <c r="T726" s="5">
        <f t="shared" si="261"/>
        <v>2450</v>
      </c>
      <c r="U726" s="6">
        <f t="shared" si="262"/>
        <v>2053</v>
      </c>
      <c r="V726" s="6">
        <f t="shared" si="263"/>
        <v>1984</v>
      </c>
      <c r="W726" s="6">
        <f t="shared" si="264"/>
        <v>2257</v>
      </c>
      <c r="X726" s="5"/>
      <c r="Y726" s="4"/>
      <c r="Z726" s="4"/>
      <c r="AA726" s="4"/>
      <c r="AB726" s="4"/>
    </row>
    <row r="727" spans="1:28" ht="13.15" customHeight="1">
      <c r="A727" s="9">
        <f t="shared" si="245"/>
        <v>713</v>
      </c>
      <c r="B727" s="10">
        <f t="shared" si="246"/>
        <v>45756</v>
      </c>
      <c r="C727" s="9">
        <f t="shared" si="247"/>
        <v>842</v>
      </c>
      <c r="D727" s="8">
        <f t="shared" si="248"/>
        <v>3594</v>
      </c>
      <c r="E727" s="7">
        <f t="shared" si="249"/>
        <v>1813</v>
      </c>
      <c r="F727" s="7">
        <f t="shared" si="250"/>
        <v>1892</v>
      </c>
      <c r="G727" s="7">
        <f t="shared" si="251"/>
        <v>1629</v>
      </c>
      <c r="H727" s="4">
        <f t="shared" si="252"/>
        <v>2623</v>
      </c>
      <c r="I727" s="4">
        <f t="shared" si="253"/>
        <v>2544</v>
      </c>
      <c r="J727" s="4">
        <f t="shared" si="254"/>
        <v>2807</v>
      </c>
      <c r="K727" s="4">
        <f t="shared" si="255"/>
        <v>4000</v>
      </c>
      <c r="L727" s="4">
        <f t="shared" si="256"/>
        <v>4000</v>
      </c>
      <c r="M727" s="4">
        <f t="shared" si="257"/>
        <v>4000</v>
      </c>
      <c r="N727" s="4">
        <f t="shared" si="258"/>
        <v>-1377</v>
      </c>
      <c r="O727" s="4">
        <f t="shared" si="259"/>
        <v>-1456</v>
      </c>
      <c r="P727" s="4">
        <f t="shared" si="260"/>
        <v>-1193</v>
      </c>
      <c r="Q727" s="7">
        <v>0</v>
      </c>
      <c r="R727" s="7">
        <v>0</v>
      </c>
      <c r="S727" s="7">
        <v>0</v>
      </c>
      <c r="T727" s="5">
        <f t="shared" si="261"/>
        <v>2452</v>
      </c>
      <c r="U727" s="6">
        <f t="shared" si="262"/>
        <v>2053</v>
      </c>
      <c r="V727" s="6">
        <f t="shared" si="263"/>
        <v>1984</v>
      </c>
      <c r="W727" s="6">
        <f t="shared" si="264"/>
        <v>2257</v>
      </c>
      <c r="X727" s="5"/>
      <c r="Y727" s="4"/>
      <c r="Z727" s="4"/>
      <c r="AA727" s="4"/>
      <c r="AB727" s="4"/>
    </row>
    <row r="728" spans="1:28" ht="13.15" customHeight="1">
      <c r="A728" s="9">
        <f t="shared" si="245"/>
        <v>714</v>
      </c>
      <c r="B728" s="10">
        <f t="shared" si="246"/>
        <v>45757</v>
      </c>
      <c r="C728" s="9">
        <f t="shared" si="247"/>
        <v>842</v>
      </c>
      <c r="D728" s="8">
        <f t="shared" si="248"/>
        <v>3596</v>
      </c>
      <c r="E728" s="7">
        <f t="shared" si="249"/>
        <v>1817</v>
      </c>
      <c r="F728" s="7">
        <f t="shared" si="250"/>
        <v>1901</v>
      </c>
      <c r="G728" s="7">
        <f t="shared" si="251"/>
        <v>1633</v>
      </c>
      <c r="H728" s="4">
        <f t="shared" si="252"/>
        <v>2621</v>
      </c>
      <c r="I728" s="4">
        <f t="shared" si="253"/>
        <v>2537</v>
      </c>
      <c r="J728" s="4">
        <f t="shared" si="254"/>
        <v>2805</v>
      </c>
      <c r="K728" s="4">
        <f t="shared" si="255"/>
        <v>4000</v>
      </c>
      <c r="L728" s="4">
        <f t="shared" si="256"/>
        <v>4000</v>
      </c>
      <c r="M728" s="4">
        <f t="shared" si="257"/>
        <v>4000</v>
      </c>
      <c r="N728" s="4">
        <f t="shared" si="258"/>
        <v>-1379</v>
      </c>
      <c r="O728" s="4">
        <f t="shared" si="259"/>
        <v>-1463</v>
      </c>
      <c r="P728" s="4">
        <f t="shared" si="260"/>
        <v>-1195</v>
      </c>
      <c r="Q728" s="7">
        <v>2</v>
      </c>
      <c r="R728" s="7">
        <v>7</v>
      </c>
      <c r="S728" s="7">
        <v>2</v>
      </c>
      <c r="T728" s="5">
        <f t="shared" si="261"/>
        <v>2461</v>
      </c>
      <c r="U728" s="6">
        <f t="shared" si="262"/>
        <v>2051</v>
      </c>
      <c r="V728" s="6">
        <f t="shared" si="263"/>
        <v>1977</v>
      </c>
      <c r="W728" s="6">
        <f t="shared" si="264"/>
        <v>2255</v>
      </c>
      <c r="X728" s="5"/>
      <c r="Y728" s="4"/>
      <c r="Z728" s="4"/>
      <c r="AA728" s="4"/>
      <c r="AB728" s="4"/>
    </row>
    <row r="729" spans="1:28" ht="13.15" customHeight="1">
      <c r="A729" s="9">
        <f t="shared" si="245"/>
        <v>715</v>
      </c>
      <c r="B729" s="10">
        <f t="shared" si="246"/>
        <v>45758</v>
      </c>
      <c r="C729" s="9">
        <f t="shared" si="247"/>
        <v>842</v>
      </c>
      <c r="D729" s="8">
        <f t="shared" si="248"/>
        <v>3598</v>
      </c>
      <c r="E729" s="7">
        <f t="shared" si="249"/>
        <v>1819</v>
      </c>
      <c r="F729" s="7">
        <f t="shared" si="250"/>
        <v>1903</v>
      </c>
      <c r="G729" s="7">
        <f t="shared" si="251"/>
        <v>1635</v>
      </c>
      <c r="H729" s="4">
        <f t="shared" si="252"/>
        <v>2621</v>
      </c>
      <c r="I729" s="4">
        <f t="shared" si="253"/>
        <v>2537</v>
      </c>
      <c r="J729" s="4">
        <f t="shared" si="254"/>
        <v>2805</v>
      </c>
      <c r="K729" s="4">
        <f t="shared" si="255"/>
        <v>4000</v>
      </c>
      <c r="L729" s="4">
        <f t="shared" si="256"/>
        <v>4000</v>
      </c>
      <c r="M729" s="4">
        <f t="shared" si="257"/>
        <v>4000</v>
      </c>
      <c r="N729" s="4">
        <f t="shared" si="258"/>
        <v>-1379</v>
      </c>
      <c r="O729" s="4">
        <f t="shared" si="259"/>
        <v>-1463</v>
      </c>
      <c r="P729" s="4">
        <f t="shared" si="260"/>
        <v>-1195</v>
      </c>
      <c r="Q729" s="7">
        <v>0</v>
      </c>
      <c r="R729" s="7">
        <v>0</v>
      </c>
      <c r="S729" s="7">
        <v>0</v>
      </c>
      <c r="T729" s="5">
        <f t="shared" si="261"/>
        <v>2463</v>
      </c>
      <c r="U729" s="6">
        <f t="shared" si="262"/>
        <v>2051</v>
      </c>
      <c r="V729" s="6">
        <f t="shared" si="263"/>
        <v>1977</v>
      </c>
      <c r="W729" s="6">
        <f t="shared" si="264"/>
        <v>2255</v>
      </c>
      <c r="X729" s="5"/>
      <c r="Y729" s="4"/>
      <c r="Z729" s="4"/>
      <c r="AA729" s="4"/>
      <c r="AB729" s="4"/>
    </row>
    <row r="730" spans="1:28" ht="13.15" customHeight="1">
      <c r="A730" s="9">
        <f t="shared" si="245"/>
        <v>716</v>
      </c>
      <c r="B730" s="10">
        <f t="shared" si="246"/>
        <v>45759</v>
      </c>
      <c r="C730" s="9">
        <f t="shared" si="247"/>
        <v>842</v>
      </c>
      <c r="D730" s="8">
        <f t="shared" si="248"/>
        <v>3600</v>
      </c>
      <c r="E730" s="7">
        <f t="shared" si="249"/>
        <v>1821</v>
      </c>
      <c r="F730" s="7">
        <f t="shared" si="250"/>
        <v>1908</v>
      </c>
      <c r="G730" s="7">
        <f t="shared" si="251"/>
        <v>1637</v>
      </c>
      <c r="H730" s="4">
        <f t="shared" si="252"/>
        <v>2621</v>
      </c>
      <c r="I730" s="4">
        <f t="shared" si="253"/>
        <v>2534</v>
      </c>
      <c r="J730" s="4">
        <f t="shared" si="254"/>
        <v>2805</v>
      </c>
      <c r="K730" s="4">
        <f t="shared" si="255"/>
        <v>4000</v>
      </c>
      <c r="L730" s="4">
        <f t="shared" si="256"/>
        <v>4000</v>
      </c>
      <c r="M730" s="4">
        <f t="shared" si="257"/>
        <v>4000</v>
      </c>
      <c r="N730" s="4">
        <f t="shared" si="258"/>
        <v>-1379</v>
      </c>
      <c r="O730" s="4">
        <f t="shared" si="259"/>
        <v>-1466</v>
      </c>
      <c r="P730" s="4">
        <f t="shared" si="260"/>
        <v>-1195</v>
      </c>
      <c r="Q730" s="7">
        <v>0</v>
      </c>
      <c r="R730" s="7">
        <v>3</v>
      </c>
      <c r="S730" s="7">
        <v>0</v>
      </c>
      <c r="T730" s="5">
        <f t="shared" si="261"/>
        <v>2268</v>
      </c>
      <c r="U730" s="6">
        <f t="shared" si="262"/>
        <v>2251</v>
      </c>
      <c r="V730" s="6">
        <f t="shared" si="263"/>
        <v>2174</v>
      </c>
      <c r="W730" s="6">
        <f t="shared" si="264"/>
        <v>2455</v>
      </c>
      <c r="X730" s="63">
        <v>0.2</v>
      </c>
      <c r="Y730" s="4"/>
      <c r="Z730" s="4"/>
      <c r="AA730" s="4"/>
      <c r="AB730" s="4" t="s">
        <v>44</v>
      </c>
    </row>
    <row r="731" spans="1:28" ht="13.15" customHeight="1">
      <c r="A731" s="9">
        <f t="shared" ref="A731:A763" si="265">+A730+1</f>
        <v>717</v>
      </c>
      <c r="B731" s="10">
        <f t="shared" ref="B731:B762" si="266">B730+1</f>
        <v>45760</v>
      </c>
      <c r="C731" s="9">
        <f t="shared" ref="C731:C763" si="267">C730</f>
        <v>842</v>
      </c>
      <c r="D731" s="8">
        <f t="shared" ref="D731:D763" si="268">D730+2</f>
        <v>3602</v>
      </c>
      <c r="E731" s="7">
        <f t="shared" ref="E731:E763" si="269">C731+D731-H731</f>
        <v>1825</v>
      </c>
      <c r="F731" s="7">
        <f t="shared" ref="F731:F763" si="270">C731+D731-I731</f>
        <v>1910</v>
      </c>
      <c r="G731" s="7">
        <f t="shared" ref="G731:G763" si="271">D731+C731-J731</f>
        <v>1641</v>
      </c>
      <c r="H731" s="4">
        <f t="shared" ref="H731:H763" si="272">K731+N731</f>
        <v>2619</v>
      </c>
      <c r="I731" s="4">
        <f t="shared" ref="I731:I763" si="273">L731+O731</f>
        <v>2534</v>
      </c>
      <c r="J731" s="4">
        <f t="shared" ref="J731:J763" si="274">M731+P731</f>
        <v>2803</v>
      </c>
      <c r="K731" s="4">
        <f t="shared" ref="K731:K763" si="275">K730</f>
        <v>4000</v>
      </c>
      <c r="L731" s="4">
        <f t="shared" ref="L731:L763" si="276">L730</f>
        <v>4000</v>
      </c>
      <c r="M731" s="4">
        <f t="shared" ref="M731:M763" si="277">M730</f>
        <v>4000</v>
      </c>
      <c r="N731" s="4">
        <f t="shared" ref="N731:N763" si="278">N730-Q731</f>
        <v>-1381</v>
      </c>
      <c r="O731" s="4">
        <f t="shared" ref="O731:O763" si="279">O730-R731</f>
        <v>-1466</v>
      </c>
      <c r="P731" s="4">
        <f t="shared" ref="P731:P763" si="280">P730-S731</f>
        <v>-1197</v>
      </c>
      <c r="Q731" s="7">
        <v>2</v>
      </c>
      <c r="R731" s="7">
        <v>0</v>
      </c>
      <c r="S731" s="7">
        <v>2</v>
      </c>
      <c r="T731" s="5">
        <f t="shared" ref="T731:T763" si="281">D731+C731-V731</f>
        <v>2270</v>
      </c>
      <c r="U731" s="6">
        <f t="shared" ref="U731:U763" si="282">U730+$X731*1000-Q731</f>
        <v>2249</v>
      </c>
      <c r="V731" s="6">
        <f t="shared" ref="V731:V763" si="283">V730+$X731*1000-R731</f>
        <v>2174</v>
      </c>
      <c r="W731" s="6">
        <f t="shared" ref="W731:W763" si="284">W730+$X731*1000-S731</f>
        <v>2453</v>
      </c>
      <c r="X731" s="5"/>
      <c r="Y731" s="4"/>
      <c r="Z731" s="4"/>
      <c r="AA731" s="4"/>
      <c r="AB731" s="4"/>
    </row>
    <row r="732" spans="1:28" ht="13.15" customHeight="1">
      <c r="A732" s="9">
        <f t="shared" si="265"/>
        <v>718</v>
      </c>
      <c r="B732" s="10">
        <f t="shared" si="266"/>
        <v>45761</v>
      </c>
      <c r="C732" s="9">
        <f t="shared" si="267"/>
        <v>842</v>
      </c>
      <c r="D732" s="8">
        <f t="shared" si="268"/>
        <v>3604</v>
      </c>
      <c r="E732" s="7">
        <f t="shared" si="269"/>
        <v>1831</v>
      </c>
      <c r="F732" s="7">
        <f t="shared" si="270"/>
        <v>1914</v>
      </c>
      <c r="G732" s="7">
        <f t="shared" si="271"/>
        <v>1643</v>
      </c>
      <c r="H732" s="4">
        <f t="shared" si="272"/>
        <v>2615</v>
      </c>
      <c r="I732" s="4">
        <f t="shared" si="273"/>
        <v>2532</v>
      </c>
      <c r="J732" s="4">
        <f t="shared" si="274"/>
        <v>2803</v>
      </c>
      <c r="K732" s="4">
        <f t="shared" si="275"/>
        <v>4000</v>
      </c>
      <c r="L732" s="4">
        <f t="shared" si="276"/>
        <v>4000</v>
      </c>
      <c r="M732" s="4">
        <f t="shared" si="277"/>
        <v>4000</v>
      </c>
      <c r="N732" s="4">
        <f t="shared" si="278"/>
        <v>-1385</v>
      </c>
      <c r="O732" s="4">
        <f t="shared" si="279"/>
        <v>-1468</v>
      </c>
      <c r="P732" s="4">
        <f t="shared" si="280"/>
        <v>-1197</v>
      </c>
      <c r="Q732" s="7">
        <v>4</v>
      </c>
      <c r="R732" s="7">
        <v>2</v>
      </c>
      <c r="S732" s="7">
        <v>0</v>
      </c>
      <c r="T732" s="5">
        <f t="shared" si="281"/>
        <v>2274</v>
      </c>
      <c r="U732" s="6">
        <f t="shared" si="282"/>
        <v>2245</v>
      </c>
      <c r="V732" s="6">
        <f t="shared" si="283"/>
        <v>2172</v>
      </c>
      <c r="W732" s="6">
        <f t="shared" si="284"/>
        <v>2453</v>
      </c>
      <c r="X732" s="5"/>
      <c r="Y732" s="4"/>
      <c r="Z732" s="4"/>
      <c r="AA732" s="4"/>
      <c r="AB732" s="4"/>
    </row>
    <row r="733" spans="1:28" ht="13.15" customHeight="1">
      <c r="A733" s="9">
        <f t="shared" si="265"/>
        <v>719</v>
      </c>
      <c r="B733" s="10">
        <f t="shared" si="266"/>
        <v>45762</v>
      </c>
      <c r="C733" s="9">
        <f t="shared" si="267"/>
        <v>842</v>
      </c>
      <c r="D733" s="8">
        <f t="shared" si="268"/>
        <v>3606</v>
      </c>
      <c r="E733" s="7">
        <f t="shared" si="269"/>
        <v>1840</v>
      </c>
      <c r="F733" s="7">
        <f t="shared" si="270"/>
        <v>1916</v>
      </c>
      <c r="G733" s="7">
        <f t="shared" si="271"/>
        <v>1645</v>
      </c>
      <c r="H733" s="4">
        <f t="shared" si="272"/>
        <v>2608</v>
      </c>
      <c r="I733" s="4">
        <f t="shared" si="273"/>
        <v>2532</v>
      </c>
      <c r="J733" s="4">
        <f t="shared" si="274"/>
        <v>2803</v>
      </c>
      <c r="K733" s="4">
        <f t="shared" si="275"/>
        <v>4000</v>
      </c>
      <c r="L733" s="4">
        <f t="shared" si="276"/>
        <v>4000</v>
      </c>
      <c r="M733" s="4">
        <f t="shared" si="277"/>
        <v>4000</v>
      </c>
      <c r="N733" s="4">
        <f t="shared" si="278"/>
        <v>-1392</v>
      </c>
      <c r="O733" s="4">
        <f t="shared" si="279"/>
        <v>-1468</v>
      </c>
      <c r="P733" s="4">
        <f t="shared" si="280"/>
        <v>-1197</v>
      </c>
      <c r="Q733" s="7">
        <v>7</v>
      </c>
      <c r="R733" s="7">
        <v>0</v>
      </c>
      <c r="S733" s="7">
        <v>0</v>
      </c>
      <c r="T733" s="5">
        <f t="shared" si="281"/>
        <v>2276</v>
      </c>
      <c r="U733" s="6">
        <f t="shared" si="282"/>
        <v>2238</v>
      </c>
      <c r="V733" s="6">
        <f t="shared" si="283"/>
        <v>2172</v>
      </c>
      <c r="W733" s="6">
        <f t="shared" si="284"/>
        <v>2453</v>
      </c>
      <c r="X733" s="5"/>
      <c r="Y733" s="4"/>
      <c r="Z733" s="4"/>
      <c r="AA733" s="4"/>
      <c r="AB733" s="4"/>
    </row>
    <row r="734" spans="1:28" ht="13.15" customHeight="1">
      <c r="A734" s="9">
        <f t="shared" si="265"/>
        <v>720</v>
      </c>
      <c r="B734" s="10">
        <f t="shared" si="266"/>
        <v>45763</v>
      </c>
      <c r="C734" s="9">
        <f t="shared" si="267"/>
        <v>842</v>
      </c>
      <c r="D734" s="8">
        <f t="shared" si="268"/>
        <v>3608</v>
      </c>
      <c r="E734" s="7">
        <f t="shared" si="269"/>
        <v>1844</v>
      </c>
      <c r="F734" s="7">
        <f t="shared" si="270"/>
        <v>1918</v>
      </c>
      <c r="G734" s="7">
        <f t="shared" si="271"/>
        <v>1647</v>
      </c>
      <c r="H734" s="4">
        <f t="shared" si="272"/>
        <v>2606</v>
      </c>
      <c r="I734" s="4">
        <f t="shared" si="273"/>
        <v>2532</v>
      </c>
      <c r="J734" s="4">
        <f t="shared" si="274"/>
        <v>2803</v>
      </c>
      <c r="K734" s="4">
        <f t="shared" si="275"/>
        <v>4000</v>
      </c>
      <c r="L734" s="4">
        <f t="shared" si="276"/>
        <v>4000</v>
      </c>
      <c r="M734" s="4">
        <f t="shared" si="277"/>
        <v>4000</v>
      </c>
      <c r="N734" s="4">
        <f t="shared" si="278"/>
        <v>-1394</v>
      </c>
      <c r="O734" s="4">
        <f t="shared" si="279"/>
        <v>-1468</v>
      </c>
      <c r="P734" s="4">
        <f t="shared" si="280"/>
        <v>-1197</v>
      </c>
      <c r="Q734" s="7">
        <v>2</v>
      </c>
      <c r="R734" s="7">
        <v>0</v>
      </c>
      <c r="S734" s="7">
        <v>0</v>
      </c>
      <c r="T734" s="5">
        <f t="shared" si="281"/>
        <v>2278</v>
      </c>
      <c r="U734" s="6">
        <f t="shared" si="282"/>
        <v>2236</v>
      </c>
      <c r="V734" s="6">
        <f t="shared" si="283"/>
        <v>2172</v>
      </c>
      <c r="W734" s="6">
        <f t="shared" si="284"/>
        <v>2453</v>
      </c>
      <c r="X734" s="5"/>
      <c r="Y734" s="4"/>
      <c r="Z734" s="4"/>
      <c r="AA734" s="4"/>
      <c r="AB734" s="4"/>
    </row>
    <row r="735" spans="1:28" ht="13.15" customHeight="1">
      <c r="A735" s="9">
        <f t="shared" si="265"/>
        <v>721</v>
      </c>
      <c r="B735" s="10">
        <f t="shared" si="266"/>
        <v>45764</v>
      </c>
      <c r="C735" s="9">
        <f t="shared" si="267"/>
        <v>842</v>
      </c>
      <c r="D735" s="8">
        <f t="shared" si="268"/>
        <v>3610</v>
      </c>
      <c r="E735" s="7">
        <f t="shared" si="269"/>
        <v>1848</v>
      </c>
      <c r="F735" s="7">
        <f t="shared" si="270"/>
        <v>1922</v>
      </c>
      <c r="G735" s="7">
        <f t="shared" si="271"/>
        <v>1649</v>
      </c>
      <c r="H735" s="4">
        <f t="shared" si="272"/>
        <v>2604</v>
      </c>
      <c r="I735" s="4">
        <f t="shared" si="273"/>
        <v>2530</v>
      </c>
      <c r="J735" s="4">
        <f t="shared" si="274"/>
        <v>2803</v>
      </c>
      <c r="K735" s="4">
        <f t="shared" si="275"/>
        <v>4000</v>
      </c>
      <c r="L735" s="4">
        <f t="shared" si="276"/>
        <v>4000</v>
      </c>
      <c r="M735" s="4">
        <f t="shared" si="277"/>
        <v>4000</v>
      </c>
      <c r="N735" s="4">
        <f t="shared" si="278"/>
        <v>-1396</v>
      </c>
      <c r="O735" s="4">
        <f t="shared" si="279"/>
        <v>-1470</v>
      </c>
      <c r="P735" s="4">
        <f t="shared" si="280"/>
        <v>-1197</v>
      </c>
      <c r="Q735" s="7">
        <v>2</v>
      </c>
      <c r="R735" s="7">
        <v>2</v>
      </c>
      <c r="S735" s="7">
        <v>0</v>
      </c>
      <c r="T735" s="5">
        <f t="shared" si="281"/>
        <v>1982</v>
      </c>
      <c r="U735" s="6">
        <f t="shared" si="282"/>
        <v>2534</v>
      </c>
      <c r="V735" s="6">
        <f t="shared" si="283"/>
        <v>2470</v>
      </c>
      <c r="W735" s="6">
        <f t="shared" si="284"/>
        <v>2753</v>
      </c>
      <c r="X735" s="63">
        <v>0.3</v>
      </c>
      <c r="Y735" s="4"/>
      <c r="Z735" s="4"/>
      <c r="AA735" s="4"/>
      <c r="AB735" s="4" t="s">
        <v>45</v>
      </c>
    </row>
    <row r="736" spans="1:28" ht="13.15" customHeight="1">
      <c r="A736" s="9">
        <f t="shared" si="265"/>
        <v>722</v>
      </c>
      <c r="B736" s="10">
        <f t="shared" si="266"/>
        <v>45765</v>
      </c>
      <c r="C736" s="9">
        <f t="shared" si="267"/>
        <v>842</v>
      </c>
      <c r="D736" s="8">
        <f t="shared" si="268"/>
        <v>3612</v>
      </c>
      <c r="E736" s="7">
        <f t="shared" si="269"/>
        <v>1850</v>
      </c>
      <c r="F736" s="7">
        <f t="shared" si="270"/>
        <v>1924</v>
      </c>
      <c r="G736" s="7">
        <f t="shared" si="271"/>
        <v>1652</v>
      </c>
      <c r="H736" s="4">
        <f t="shared" si="272"/>
        <v>2604</v>
      </c>
      <c r="I736" s="4">
        <f t="shared" si="273"/>
        <v>2530</v>
      </c>
      <c r="J736" s="4">
        <f t="shared" si="274"/>
        <v>2802</v>
      </c>
      <c r="K736" s="4">
        <f t="shared" si="275"/>
        <v>4000</v>
      </c>
      <c r="L736" s="4">
        <f t="shared" si="276"/>
        <v>4000</v>
      </c>
      <c r="M736" s="4">
        <f t="shared" si="277"/>
        <v>4000</v>
      </c>
      <c r="N736" s="4">
        <f t="shared" si="278"/>
        <v>-1396</v>
      </c>
      <c r="O736" s="4">
        <f t="shared" si="279"/>
        <v>-1470</v>
      </c>
      <c r="P736" s="4">
        <f t="shared" si="280"/>
        <v>-1198</v>
      </c>
      <c r="Q736" s="7">
        <v>0</v>
      </c>
      <c r="R736" s="7">
        <v>0</v>
      </c>
      <c r="S736" s="7">
        <v>1</v>
      </c>
      <c r="T736" s="5">
        <f t="shared" si="281"/>
        <v>1984</v>
      </c>
      <c r="U736" s="6">
        <f t="shared" si="282"/>
        <v>2534</v>
      </c>
      <c r="V736" s="6">
        <f t="shared" si="283"/>
        <v>2470</v>
      </c>
      <c r="W736" s="6">
        <f t="shared" si="284"/>
        <v>2752</v>
      </c>
      <c r="X736" s="5"/>
      <c r="Y736" s="4"/>
      <c r="Z736" s="4"/>
      <c r="AA736" s="4"/>
      <c r="AB736" s="4"/>
    </row>
    <row r="737" spans="1:28" ht="13.15" customHeight="1">
      <c r="A737" s="9">
        <f t="shared" si="265"/>
        <v>723</v>
      </c>
      <c r="B737" s="10">
        <f t="shared" si="266"/>
        <v>45766</v>
      </c>
      <c r="C737" s="9">
        <f t="shared" si="267"/>
        <v>842</v>
      </c>
      <c r="D737" s="8">
        <f t="shared" si="268"/>
        <v>3614</v>
      </c>
      <c r="E737" s="7">
        <f t="shared" si="269"/>
        <v>1854</v>
      </c>
      <c r="F737" s="7">
        <f t="shared" si="270"/>
        <v>1930</v>
      </c>
      <c r="G737" s="7">
        <f t="shared" si="271"/>
        <v>1654</v>
      </c>
      <c r="H737" s="4">
        <f t="shared" si="272"/>
        <v>2602</v>
      </c>
      <c r="I737" s="4">
        <f t="shared" si="273"/>
        <v>2526</v>
      </c>
      <c r="J737" s="4">
        <f t="shared" si="274"/>
        <v>2802</v>
      </c>
      <c r="K737" s="4">
        <f t="shared" si="275"/>
        <v>4000</v>
      </c>
      <c r="L737" s="4">
        <f t="shared" si="276"/>
        <v>4000</v>
      </c>
      <c r="M737" s="4">
        <f t="shared" si="277"/>
        <v>4000</v>
      </c>
      <c r="N737" s="4">
        <f t="shared" si="278"/>
        <v>-1398</v>
      </c>
      <c r="O737" s="4">
        <f t="shared" si="279"/>
        <v>-1474</v>
      </c>
      <c r="P737" s="4">
        <f t="shared" si="280"/>
        <v>-1198</v>
      </c>
      <c r="Q737" s="7">
        <v>2</v>
      </c>
      <c r="R737" s="7">
        <v>4</v>
      </c>
      <c r="S737" s="7">
        <v>0</v>
      </c>
      <c r="T737" s="5">
        <f t="shared" si="281"/>
        <v>1990</v>
      </c>
      <c r="U737" s="6">
        <f t="shared" si="282"/>
        <v>2532</v>
      </c>
      <c r="V737" s="6">
        <f t="shared" si="283"/>
        <v>2466</v>
      </c>
      <c r="W737" s="6">
        <f t="shared" si="284"/>
        <v>2752</v>
      </c>
      <c r="X737" s="5"/>
      <c r="Y737" s="4"/>
      <c r="Z737" s="4"/>
      <c r="AA737" s="4"/>
      <c r="AB737" s="4"/>
    </row>
    <row r="738" spans="1:28" ht="13.15" customHeight="1">
      <c r="A738" s="9">
        <f t="shared" si="265"/>
        <v>724</v>
      </c>
      <c r="B738" s="10">
        <f t="shared" si="266"/>
        <v>45767</v>
      </c>
      <c r="C738" s="9">
        <f t="shared" si="267"/>
        <v>842</v>
      </c>
      <c r="D738" s="8">
        <f t="shared" si="268"/>
        <v>3616</v>
      </c>
      <c r="E738" s="7">
        <f t="shared" si="269"/>
        <v>1856</v>
      </c>
      <c r="F738" s="7">
        <f t="shared" si="270"/>
        <v>1932</v>
      </c>
      <c r="G738" s="7">
        <f t="shared" si="271"/>
        <v>1656</v>
      </c>
      <c r="H738" s="4">
        <f t="shared" si="272"/>
        <v>2602</v>
      </c>
      <c r="I738" s="4">
        <f t="shared" si="273"/>
        <v>2526</v>
      </c>
      <c r="J738" s="4">
        <f t="shared" si="274"/>
        <v>2802</v>
      </c>
      <c r="K738" s="4">
        <f t="shared" si="275"/>
        <v>4000</v>
      </c>
      <c r="L738" s="4">
        <f t="shared" si="276"/>
        <v>4000</v>
      </c>
      <c r="M738" s="4">
        <f t="shared" si="277"/>
        <v>4000</v>
      </c>
      <c r="N738" s="4">
        <f t="shared" si="278"/>
        <v>-1398</v>
      </c>
      <c r="O738" s="4">
        <f t="shared" si="279"/>
        <v>-1474</v>
      </c>
      <c r="P738" s="4">
        <f t="shared" si="280"/>
        <v>-1198</v>
      </c>
      <c r="Q738" s="7">
        <v>0</v>
      </c>
      <c r="R738" s="7">
        <v>0</v>
      </c>
      <c r="S738" s="7">
        <v>0</v>
      </c>
      <c r="T738" s="5">
        <f t="shared" si="281"/>
        <v>1992</v>
      </c>
      <c r="U738" s="6">
        <f t="shared" si="282"/>
        <v>2532</v>
      </c>
      <c r="V738" s="6">
        <f t="shared" si="283"/>
        <v>2466</v>
      </c>
      <c r="W738" s="6">
        <f t="shared" si="284"/>
        <v>2752</v>
      </c>
      <c r="X738" s="5"/>
      <c r="Y738" s="4"/>
      <c r="Z738" s="4"/>
      <c r="AA738" s="4"/>
      <c r="AB738" s="4"/>
    </row>
    <row r="739" spans="1:28" ht="13.15" customHeight="1">
      <c r="A739" s="9">
        <f t="shared" si="265"/>
        <v>725</v>
      </c>
      <c r="B739" s="10">
        <f t="shared" si="266"/>
        <v>45768</v>
      </c>
      <c r="C739" s="9">
        <f t="shared" si="267"/>
        <v>842</v>
      </c>
      <c r="D739" s="8">
        <f t="shared" si="268"/>
        <v>3618</v>
      </c>
      <c r="E739" s="7">
        <f t="shared" si="269"/>
        <v>1858</v>
      </c>
      <c r="F739" s="7">
        <f t="shared" si="270"/>
        <v>1937</v>
      </c>
      <c r="G739" s="7">
        <f t="shared" si="271"/>
        <v>1658</v>
      </c>
      <c r="H739" s="4">
        <f t="shared" si="272"/>
        <v>2602</v>
      </c>
      <c r="I739" s="4">
        <f t="shared" si="273"/>
        <v>2523</v>
      </c>
      <c r="J739" s="4">
        <f t="shared" si="274"/>
        <v>2802</v>
      </c>
      <c r="K739" s="4">
        <f t="shared" si="275"/>
        <v>4000</v>
      </c>
      <c r="L739" s="4">
        <f t="shared" si="276"/>
        <v>4000</v>
      </c>
      <c r="M739" s="4">
        <f t="shared" si="277"/>
        <v>4000</v>
      </c>
      <c r="N739" s="4">
        <f t="shared" si="278"/>
        <v>-1398</v>
      </c>
      <c r="O739" s="4">
        <f t="shared" si="279"/>
        <v>-1477</v>
      </c>
      <c r="P739" s="4">
        <f t="shared" si="280"/>
        <v>-1198</v>
      </c>
      <c r="Q739" s="7">
        <v>0</v>
      </c>
      <c r="R739" s="7">
        <v>3</v>
      </c>
      <c r="S739" s="7">
        <v>0</v>
      </c>
      <c r="T739" s="5">
        <f t="shared" si="281"/>
        <v>1997</v>
      </c>
      <c r="U739" s="6">
        <f t="shared" si="282"/>
        <v>2532</v>
      </c>
      <c r="V739" s="6">
        <f t="shared" si="283"/>
        <v>2463</v>
      </c>
      <c r="W739" s="6">
        <f t="shared" si="284"/>
        <v>2752</v>
      </c>
      <c r="X739" s="5"/>
      <c r="Y739" s="4"/>
      <c r="Z739" s="4"/>
      <c r="AA739" s="4"/>
      <c r="AB739" s="4"/>
    </row>
    <row r="740" spans="1:28" ht="13.15" customHeight="1">
      <c r="A740" s="9">
        <f t="shared" si="265"/>
        <v>726</v>
      </c>
      <c r="B740" s="10">
        <f t="shared" si="266"/>
        <v>45769</v>
      </c>
      <c r="C740" s="9">
        <f t="shared" si="267"/>
        <v>842</v>
      </c>
      <c r="D740" s="8">
        <f t="shared" si="268"/>
        <v>3620</v>
      </c>
      <c r="E740" s="7">
        <f t="shared" si="269"/>
        <v>1862</v>
      </c>
      <c r="F740" s="7">
        <f t="shared" si="270"/>
        <v>1939</v>
      </c>
      <c r="G740" s="7">
        <f t="shared" si="271"/>
        <v>1660</v>
      </c>
      <c r="H740" s="4">
        <f t="shared" si="272"/>
        <v>2600</v>
      </c>
      <c r="I740" s="4">
        <f t="shared" si="273"/>
        <v>2523</v>
      </c>
      <c r="J740" s="4">
        <f t="shared" si="274"/>
        <v>2802</v>
      </c>
      <c r="K740" s="4">
        <f t="shared" si="275"/>
        <v>4000</v>
      </c>
      <c r="L740" s="4">
        <f t="shared" si="276"/>
        <v>4000</v>
      </c>
      <c r="M740" s="4">
        <f t="shared" si="277"/>
        <v>4000</v>
      </c>
      <c r="N740" s="4">
        <f t="shared" si="278"/>
        <v>-1400</v>
      </c>
      <c r="O740" s="4">
        <f t="shared" si="279"/>
        <v>-1477</v>
      </c>
      <c r="P740" s="4">
        <f t="shared" si="280"/>
        <v>-1198</v>
      </c>
      <c r="Q740" s="7">
        <v>2</v>
      </c>
      <c r="R740" s="7">
        <v>0</v>
      </c>
      <c r="S740" s="7">
        <v>0</v>
      </c>
      <c r="T740" s="5">
        <f t="shared" si="281"/>
        <v>1699</v>
      </c>
      <c r="U740" s="6">
        <f t="shared" si="282"/>
        <v>2830</v>
      </c>
      <c r="V740" s="6">
        <f t="shared" si="283"/>
        <v>2763</v>
      </c>
      <c r="W740" s="6">
        <f t="shared" si="284"/>
        <v>3052</v>
      </c>
      <c r="X740" s="63">
        <v>0.3</v>
      </c>
      <c r="Y740" s="4"/>
      <c r="Z740" s="4"/>
      <c r="AA740" s="4"/>
      <c r="AB740" s="4" t="s">
        <v>46</v>
      </c>
    </row>
    <row r="741" spans="1:28" ht="13.15" customHeight="1">
      <c r="A741" s="9">
        <f t="shared" si="265"/>
        <v>727</v>
      </c>
      <c r="B741" s="10">
        <f t="shared" si="266"/>
        <v>45770</v>
      </c>
      <c r="C741" s="9">
        <f t="shared" si="267"/>
        <v>842</v>
      </c>
      <c r="D741" s="8">
        <f t="shared" si="268"/>
        <v>3622</v>
      </c>
      <c r="E741" s="7">
        <f t="shared" si="269"/>
        <v>1864</v>
      </c>
      <c r="F741" s="7">
        <f t="shared" si="270"/>
        <v>1943</v>
      </c>
      <c r="G741" s="7">
        <f t="shared" si="271"/>
        <v>1662</v>
      </c>
      <c r="H741" s="4">
        <f t="shared" si="272"/>
        <v>2600</v>
      </c>
      <c r="I741" s="4">
        <f t="shared" si="273"/>
        <v>2521</v>
      </c>
      <c r="J741" s="4">
        <f t="shared" si="274"/>
        <v>2802</v>
      </c>
      <c r="K741" s="4">
        <f t="shared" si="275"/>
        <v>4000</v>
      </c>
      <c r="L741" s="4">
        <f t="shared" si="276"/>
        <v>4000</v>
      </c>
      <c r="M741" s="4">
        <f t="shared" si="277"/>
        <v>4000</v>
      </c>
      <c r="N741" s="4">
        <f t="shared" si="278"/>
        <v>-1400</v>
      </c>
      <c r="O741" s="4">
        <f t="shared" si="279"/>
        <v>-1479</v>
      </c>
      <c r="P741" s="4">
        <f t="shared" si="280"/>
        <v>-1198</v>
      </c>
      <c r="Q741" s="7">
        <v>0</v>
      </c>
      <c r="R741" s="7">
        <v>2</v>
      </c>
      <c r="S741" s="7">
        <v>0</v>
      </c>
      <c r="T741" s="5">
        <f t="shared" si="281"/>
        <v>1703</v>
      </c>
      <c r="U741" s="6">
        <f t="shared" si="282"/>
        <v>2830</v>
      </c>
      <c r="V741" s="6">
        <f t="shared" si="283"/>
        <v>2761</v>
      </c>
      <c r="W741" s="6">
        <f t="shared" si="284"/>
        <v>3052</v>
      </c>
      <c r="X741" s="5"/>
      <c r="Y741" s="4"/>
      <c r="Z741" s="4"/>
      <c r="AA741" s="4"/>
      <c r="AB741" s="4"/>
    </row>
    <row r="742" spans="1:28" ht="13.15" customHeight="1">
      <c r="A742" s="9">
        <f t="shared" si="265"/>
        <v>728</v>
      </c>
      <c r="B742" s="10">
        <f t="shared" si="266"/>
        <v>45771</v>
      </c>
      <c r="C742" s="9">
        <f t="shared" si="267"/>
        <v>842</v>
      </c>
      <c r="D742" s="8">
        <f t="shared" si="268"/>
        <v>3624</v>
      </c>
      <c r="E742" s="7">
        <f t="shared" si="269"/>
        <v>1866</v>
      </c>
      <c r="F742" s="7">
        <f t="shared" si="270"/>
        <v>1945</v>
      </c>
      <c r="G742" s="7">
        <f t="shared" si="271"/>
        <v>1664</v>
      </c>
      <c r="H742" s="4">
        <f t="shared" si="272"/>
        <v>2600</v>
      </c>
      <c r="I742" s="4">
        <f t="shared" si="273"/>
        <v>2521</v>
      </c>
      <c r="J742" s="4">
        <f t="shared" si="274"/>
        <v>2802</v>
      </c>
      <c r="K742" s="4">
        <f t="shared" si="275"/>
        <v>4000</v>
      </c>
      <c r="L742" s="4">
        <f t="shared" si="276"/>
        <v>4000</v>
      </c>
      <c r="M742" s="4">
        <f t="shared" si="277"/>
        <v>4000</v>
      </c>
      <c r="N742" s="4">
        <f t="shared" si="278"/>
        <v>-1400</v>
      </c>
      <c r="O742" s="4">
        <f t="shared" si="279"/>
        <v>-1479</v>
      </c>
      <c r="P742" s="4">
        <f t="shared" si="280"/>
        <v>-1198</v>
      </c>
      <c r="Q742" s="7">
        <v>0</v>
      </c>
      <c r="R742" s="7">
        <v>0</v>
      </c>
      <c r="S742" s="7">
        <v>0</v>
      </c>
      <c r="T742" s="5">
        <f t="shared" si="281"/>
        <v>1705</v>
      </c>
      <c r="U742" s="6">
        <f t="shared" si="282"/>
        <v>2830</v>
      </c>
      <c r="V742" s="6">
        <f t="shared" si="283"/>
        <v>2761</v>
      </c>
      <c r="W742" s="6">
        <f t="shared" si="284"/>
        <v>3052</v>
      </c>
      <c r="X742" s="5"/>
      <c r="Y742" s="4"/>
      <c r="Z742" s="4"/>
      <c r="AA742" s="4"/>
      <c r="AB742" s="4"/>
    </row>
    <row r="743" spans="1:28" ht="13.15" customHeight="1">
      <c r="A743" s="9">
        <f t="shared" si="265"/>
        <v>729</v>
      </c>
      <c r="B743" s="10">
        <f t="shared" si="266"/>
        <v>45772</v>
      </c>
      <c r="C743" s="9">
        <f t="shared" si="267"/>
        <v>842</v>
      </c>
      <c r="D743" s="8">
        <f t="shared" si="268"/>
        <v>3626</v>
      </c>
      <c r="E743" s="7">
        <f t="shared" si="269"/>
        <v>1871</v>
      </c>
      <c r="F743" s="7">
        <f t="shared" si="270"/>
        <v>1947</v>
      </c>
      <c r="G743" s="7">
        <f t="shared" si="271"/>
        <v>1666</v>
      </c>
      <c r="H743" s="4">
        <f t="shared" si="272"/>
        <v>2597</v>
      </c>
      <c r="I743" s="4">
        <f t="shared" si="273"/>
        <v>2521</v>
      </c>
      <c r="J743" s="4">
        <f t="shared" si="274"/>
        <v>2802</v>
      </c>
      <c r="K743" s="4">
        <f t="shared" si="275"/>
        <v>4000</v>
      </c>
      <c r="L743" s="4">
        <f t="shared" si="276"/>
        <v>4000</v>
      </c>
      <c r="M743" s="4">
        <f t="shared" si="277"/>
        <v>4000</v>
      </c>
      <c r="N743" s="4">
        <f t="shared" si="278"/>
        <v>-1403</v>
      </c>
      <c r="O743" s="4">
        <f t="shared" si="279"/>
        <v>-1479</v>
      </c>
      <c r="P743" s="4">
        <f t="shared" si="280"/>
        <v>-1198</v>
      </c>
      <c r="Q743" s="7">
        <v>3</v>
      </c>
      <c r="R743" s="7">
        <v>0</v>
      </c>
      <c r="S743" s="7">
        <v>0</v>
      </c>
      <c r="T743" s="5">
        <f t="shared" si="281"/>
        <v>1707</v>
      </c>
      <c r="U743" s="6">
        <f t="shared" si="282"/>
        <v>2827</v>
      </c>
      <c r="V743" s="6">
        <f t="shared" si="283"/>
        <v>2761</v>
      </c>
      <c r="W743" s="6">
        <f t="shared" si="284"/>
        <v>3052</v>
      </c>
      <c r="X743" s="5"/>
      <c r="Y743" s="4"/>
      <c r="Z743" s="4"/>
      <c r="AA743" s="4"/>
      <c r="AB743" s="4"/>
    </row>
    <row r="744" spans="1:28" ht="13.15" customHeight="1">
      <c r="A744" s="9">
        <f t="shared" si="265"/>
        <v>730</v>
      </c>
      <c r="B744" s="10">
        <f t="shared" si="266"/>
        <v>45773</v>
      </c>
      <c r="C744" s="9">
        <f t="shared" si="267"/>
        <v>842</v>
      </c>
      <c r="D744" s="8">
        <f t="shared" si="268"/>
        <v>3628</v>
      </c>
      <c r="E744" s="7">
        <f t="shared" si="269"/>
        <v>1877</v>
      </c>
      <c r="F744" s="7">
        <f t="shared" si="270"/>
        <v>1951</v>
      </c>
      <c r="G744" s="7">
        <f t="shared" si="271"/>
        <v>1668</v>
      </c>
      <c r="H744" s="4">
        <f t="shared" si="272"/>
        <v>2593</v>
      </c>
      <c r="I744" s="4">
        <f t="shared" si="273"/>
        <v>2519</v>
      </c>
      <c r="J744" s="4">
        <f t="shared" si="274"/>
        <v>2802</v>
      </c>
      <c r="K744" s="4">
        <f t="shared" si="275"/>
        <v>4000</v>
      </c>
      <c r="L744" s="4">
        <f t="shared" si="276"/>
        <v>4000</v>
      </c>
      <c r="M744" s="4">
        <f t="shared" si="277"/>
        <v>4000</v>
      </c>
      <c r="N744" s="4">
        <f t="shared" si="278"/>
        <v>-1407</v>
      </c>
      <c r="O744" s="4">
        <f t="shared" si="279"/>
        <v>-1481</v>
      </c>
      <c r="P744" s="4">
        <f t="shared" si="280"/>
        <v>-1198</v>
      </c>
      <c r="Q744" s="7">
        <v>4</v>
      </c>
      <c r="R744" s="7">
        <v>2</v>
      </c>
      <c r="S744" s="7">
        <v>0</v>
      </c>
      <c r="T744" s="5">
        <f t="shared" si="281"/>
        <v>1711</v>
      </c>
      <c r="U744" s="6">
        <f t="shared" si="282"/>
        <v>2823</v>
      </c>
      <c r="V744" s="6">
        <f t="shared" si="283"/>
        <v>2759</v>
      </c>
      <c r="W744" s="6">
        <f t="shared" si="284"/>
        <v>3052</v>
      </c>
      <c r="X744" s="5"/>
      <c r="Y744" s="4"/>
      <c r="Z744" s="4"/>
      <c r="AA744" s="4"/>
      <c r="AB744" s="4"/>
    </row>
    <row r="745" spans="1:28" ht="13.15" customHeight="1">
      <c r="A745" s="9">
        <f t="shared" si="265"/>
        <v>731</v>
      </c>
      <c r="B745" s="10">
        <f t="shared" si="266"/>
        <v>45774</v>
      </c>
      <c r="C745" s="9">
        <f t="shared" si="267"/>
        <v>842</v>
      </c>
      <c r="D745" s="8">
        <f t="shared" si="268"/>
        <v>3630</v>
      </c>
      <c r="E745" s="7">
        <f t="shared" si="269"/>
        <v>1882</v>
      </c>
      <c r="F745" s="7">
        <f t="shared" si="270"/>
        <v>1953</v>
      </c>
      <c r="G745" s="7">
        <f t="shared" si="271"/>
        <v>1670</v>
      </c>
      <c r="H745" s="4">
        <f t="shared" si="272"/>
        <v>2590</v>
      </c>
      <c r="I745" s="4">
        <f t="shared" si="273"/>
        <v>2519</v>
      </c>
      <c r="J745" s="4">
        <f t="shared" si="274"/>
        <v>2802</v>
      </c>
      <c r="K745" s="4">
        <f t="shared" si="275"/>
        <v>4000</v>
      </c>
      <c r="L745" s="4">
        <f t="shared" si="276"/>
        <v>4000</v>
      </c>
      <c r="M745" s="4">
        <f t="shared" si="277"/>
        <v>4000</v>
      </c>
      <c r="N745" s="4">
        <f t="shared" si="278"/>
        <v>-1410</v>
      </c>
      <c r="O745" s="4">
        <f t="shared" si="279"/>
        <v>-1481</v>
      </c>
      <c r="P745" s="4">
        <f t="shared" si="280"/>
        <v>-1198</v>
      </c>
      <c r="Q745" s="7">
        <v>3</v>
      </c>
      <c r="R745" s="7">
        <v>0</v>
      </c>
      <c r="S745" s="7">
        <v>0</v>
      </c>
      <c r="T745" s="5">
        <f t="shared" si="281"/>
        <v>1413</v>
      </c>
      <c r="U745" s="6">
        <f t="shared" si="282"/>
        <v>3120</v>
      </c>
      <c r="V745" s="6">
        <f t="shared" si="283"/>
        <v>3059</v>
      </c>
      <c r="W745" s="6">
        <f t="shared" si="284"/>
        <v>3352</v>
      </c>
      <c r="X745" s="63">
        <v>0.3</v>
      </c>
      <c r="Y745" s="4"/>
      <c r="Z745" s="4"/>
      <c r="AA745" s="4"/>
      <c r="AB745" s="4" t="s">
        <v>47</v>
      </c>
    </row>
    <row r="746" spans="1:28" ht="13.15" customHeight="1">
      <c r="A746" s="9">
        <f t="shared" si="265"/>
        <v>732</v>
      </c>
      <c r="B746" s="10">
        <f t="shared" si="266"/>
        <v>45775</v>
      </c>
      <c r="C746" s="9">
        <f t="shared" si="267"/>
        <v>842</v>
      </c>
      <c r="D746" s="8">
        <f t="shared" si="268"/>
        <v>3632</v>
      </c>
      <c r="E746" s="7">
        <f t="shared" si="269"/>
        <v>1886</v>
      </c>
      <c r="F746" s="7">
        <f t="shared" si="270"/>
        <v>1955</v>
      </c>
      <c r="G746" s="7">
        <f t="shared" si="271"/>
        <v>1672</v>
      </c>
      <c r="H746" s="4">
        <f t="shared" si="272"/>
        <v>2588</v>
      </c>
      <c r="I746" s="4">
        <f t="shared" si="273"/>
        <v>2519</v>
      </c>
      <c r="J746" s="4">
        <f t="shared" si="274"/>
        <v>2802</v>
      </c>
      <c r="K746" s="4">
        <f t="shared" si="275"/>
        <v>4000</v>
      </c>
      <c r="L746" s="4">
        <f t="shared" si="276"/>
        <v>4000</v>
      </c>
      <c r="M746" s="4">
        <f t="shared" si="277"/>
        <v>4000</v>
      </c>
      <c r="N746" s="4">
        <f t="shared" si="278"/>
        <v>-1412</v>
      </c>
      <c r="O746" s="4">
        <f t="shared" si="279"/>
        <v>-1481</v>
      </c>
      <c r="P746" s="4">
        <f t="shared" si="280"/>
        <v>-1198</v>
      </c>
      <c r="Q746" s="7">
        <v>2</v>
      </c>
      <c r="R746" s="7">
        <v>0</v>
      </c>
      <c r="S746" s="7">
        <v>0</v>
      </c>
      <c r="T746" s="5">
        <f t="shared" si="281"/>
        <v>1415</v>
      </c>
      <c r="U746" s="6">
        <f t="shared" si="282"/>
        <v>3118</v>
      </c>
      <c r="V746" s="6">
        <f t="shared" si="283"/>
        <v>3059</v>
      </c>
      <c r="W746" s="6">
        <f t="shared" si="284"/>
        <v>3352</v>
      </c>
      <c r="X746" s="5"/>
      <c r="Y746" s="4"/>
      <c r="Z746" s="4"/>
      <c r="AA746" s="4"/>
      <c r="AB746" s="4"/>
    </row>
    <row r="747" spans="1:28" ht="13.15" customHeight="1">
      <c r="A747" s="9">
        <f t="shared" si="265"/>
        <v>733</v>
      </c>
      <c r="B747" s="10">
        <f t="shared" si="266"/>
        <v>45776</v>
      </c>
      <c r="C747" s="9">
        <f t="shared" si="267"/>
        <v>842</v>
      </c>
      <c r="D747" s="8">
        <f t="shared" si="268"/>
        <v>3634</v>
      </c>
      <c r="E747" s="7">
        <f t="shared" si="269"/>
        <v>1892</v>
      </c>
      <c r="F747" s="7">
        <f t="shared" si="270"/>
        <v>1959</v>
      </c>
      <c r="G747" s="7">
        <f t="shared" si="271"/>
        <v>1674</v>
      </c>
      <c r="H747" s="4">
        <f t="shared" si="272"/>
        <v>2584</v>
      </c>
      <c r="I747" s="4">
        <f t="shared" si="273"/>
        <v>2517</v>
      </c>
      <c r="J747" s="4">
        <f t="shared" si="274"/>
        <v>2802</v>
      </c>
      <c r="K747" s="4">
        <f t="shared" si="275"/>
        <v>4000</v>
      </c>
      <c r="L747" s="4">
        <f t="shared" si="276"/>
        <v>4000</v>
      </c>
      <c r="M747" s="4">
        <f t="shared" si="277"/>
        <v>4000</v>
      </c>
      <c r="N747" s="4">
        <f t="shared" si="278"/>
        <v>-1416</v>
      </c>
      <c r="O747" s="4">
        <f t="shared" si="279"/>
        <v>-1483</v>
      </c>
      <c r="P747" s="4">
        <f t="shared" si="280"/>
        <v>-1198</v>
      </c>
      <c r="Q747" s="7">
        <v>4</v>
      </c>
      <c r="R747" s="7">
        <v>2</v>
      </c>
      <c r="S747" s="7">
        <v>0</v>
      </c>
      <c r="T747" s="5">
        <f t="shared" si="281"/>
        <v>1419</v>
      </c>
      <c r="U747" s="6">
        <f t="shared" si="282"/>
        <v>3114</v>
      </c>
      <c r="V747" s="6">
        <f t="shared" si="283"/>
        <v>3057</v>
      </c>
      <c r="W747" s="6">
        <f t="shared" si="284"/>
        <v>3352</v>
      </c>
      <c r="X747" s="5"/>
      <c r="Y747" s="4"/>
      <c r="Z747" s="4"/>
      <c r="AA747" s="4"/>
      <c r="AB747" s="4"/>
    </row>
    <row r="748" spans="1:28" ht="13.15" customHeight="1">
      <c r="A748" s="9">
        <f t="shared" si="265"/>
        <v>734</v>
      </c>
      <c r="B748" s="10">
        <f t="shared" si="266"/>
        <v>45777</v>
      </c>
      <c r="C748" s="9">
        <f t="shared" si="267"/>
        <v>842</v>
      </c>
      <c r="D748" s="8">
        <f t="shared" si="268"/>
        <v>3636</v>
      </c>
      <c r="E748" s="7">
        <f t="shared" si="269"/>
        <v>1901</v>
      </c>
      <c r="F748" s="7">
        <f t="shared" si="270"/>
        <v>1961</v>
      </c>
      <c r="G748" s="7">
        <f t="shared" si="271"/>
        <v>1676</v>
      </c>
      <c r="H748" s="4">
        <f t="shared" si="272"/>
        <v>2577</v>
      </c>
      <c r="I748" s="4">
        <f t="shared" si="273"/>
        <v>2517</v>
      </c>
      <c r="J748" s="4">
        <f t="shared" si="274"/>
        <v>2802</v>
      </c>
      <c r="K748" s="4">
        <f t="shared" si="275"/>
        <v>4000</v>
      </c>
      <c r="L748" s="4">
        <f t="shared" si="276"/>
        <v>4000</v>
      </c>
      <c r="M748" s="4">
        <f t="shared" si="277"/>
        <v>4000</v>
      </c>
      <c r="N748" s="4">
        <f t="shared" si="278"/>
        <v>-1423</v>
      </c>
      <c r="O748" s="4">
        <f t="shared" si="279"/>
        <v>-1483</v>
      </c>
      <c r="P748" s="4">
        <f t="shared" si="280"/>
        <v>-1198</v>
      </c>
      <c r="Q748" s="7">
        <v>7</v>
      </c>
      <c r="R748" s="7">
        <v>0</v>
      </c>
      <c r="S748" s="7">
        <v>0</v>
      </c>
      <c r="T748" s="5">
        <f t="shared" si="281"/>
        <v>1421</v>
      </c>
      <c r="U748" s="6">
        <f t="shared" si="282"/>
        <v>3107</v>
      </c>
      <c r="V748" s="6">
        <f t="shared" si="283"/>
        <v>3057</v>
      </c>
      <c r="W748" s="6">
        <f t="shared" si="284"/>
        <v>3352</v>
      </c>
      <c r="X748" s="5"/>
      <c r="Y748" s="4"/>
      <c r="Z748" s="4"/>
      <c r="AA748" s="4"/>
      <c r="AB748" s="4"/>
    </row>
    <row r="749" spans="1:28" ht="13.15" customHeight="1">
      <c r="A749" s="9">
        <f t="shared" si="265"/>
        <v>735</v>
      </c>
      <c r="B749" s="10">
        <f t="shared" si="266"/>
        <v>45778</v>
      </c>
      <c r="C749" s="9">
        <f t="shared" si="267"/>
        <v>842</v>
      </c>
      <c r="D749" s="8">
        <f t="shared" si="268"/>
        <v>3638</v>
      </c>
      <c r="E749" s="7">
        <f t="shared" si="269"/>
        <v>1905</v>
      </c>
      <c r="F749" s="7">
        <f t="shared" si="270"/>
        <v>1963</v>
      </c>
      <c r="G749" s="7">
        <f t="shared" si="271"/>
        <v>1678</v>
      </c>
      <c r="H749" s="4">
        <f t="shared" si="272"/>
        <v>2575</v>
      </c>
      <c r="I749" s="4">
        <f t="shared" si="273"/>
        <v>2517</v>
      </c>
      <c r="J749" s="4">
        <f t="shared" si="274"/>
        <v>2802</v>
      </c>
      <c r="K749" s="4">
        <f t="shared" si="275"/>
        <v>4000</v>
      </c>
      <c r="L749" s="4">
        <f t="shared" si="276"/>
        <v>4000</v>
      </c>
      <c r="M749" s="4">
        <f t="shared" si="277"/>
        <v>4000</v>
      </c>
      <c r="N749" s="4">
        <f t="shared" si="278"/>
        <v>-1425</v>
      </c>
      <c r="O749" s="4">
        <f t="shared" si="279"/>
        <v>-1483</v>
      </c>
      <c r="P749" s="4">
        <f t="shared" si="280"/>
        <v>-1198</v>
      </c>
      <c r="Q749" s="7">
        <v>2</v>
      </c>
      <c r="R749" s="7">
        <v>0</v>
      </c>
      <c r="S749" s="7">
        <v>0</v>
      </c>
      <c r="T749" s="5">
        <f t="shared" si="281"/>
        <v>1423</v>
      </c>
      <c r="U749" s="6">
        <f t="shared" si="282"/>
        <v>3105</v>
      </c>
      <c r="V749" s="6">
        <f t="shared" si="283"/>
        <v>3057</v>
      </c>
      <c r="W749" s="6">
        <f t="shared" si="284"/>
        <v>3352</v>
      </c>
      <c r="X749" s="5"/>
      <c r="Y749" s="4"/>
      <c r="Z749" s="4"/>
      <c r="AA749" s="4"/>
      <c r="AB749" s="4"/>
    </row>
    <row r="750" spans="1:28" ht="13.15" customHeight="1">
      <c r="A750" s="9">
        <f t="shared" si="265"/>
        <v>736</v>
      </c>
      <c r="B750" s="10">
        <f t="shared" si="266"/>
        <v>45779</v>
      </c>
      <c r="C750" s="9">
        <f t="shared" si="267"/>
        <v>842</v>
      </c>
      <c r="D750" s="8">
        <f t="shared" si="268"/>
        <v>3640</v>
      </c>
      <c r="E750" s="7">
        <f t="shared" si="269"/>
        <v>1911</v>
      </c>
      <c r="F750" s="7">
        <f t="shared" si="270"/>
        <v>1973</v>
      </c>
      <c r="G750" s="7">
        <f t="shared" si="271"/>
        <v>1681</v>
      </c>
      <c r="H750" s="4">
        <f t="shared" si="272"/>
        <v>2571</v>
      </c>
      <c r="I750" s="4">
        <f t="shared" si="273"/>
        <v>2509</v>
      </c>
      <c r="J750" s="4">
        <f t="shared" si="274"/>
        <v>2801</v>
      </c>
      <c r="K750" s="4">
        <f t="shared" si="275"/>
        <v>4000</v>
      </c>
      <c r="L750" s="4">
        <f t="shared" si="276"/>
        <v>4000</v>
      </c>
      <c r="M750" s="4">
        <f t="shared" si="277"/>
        <v>4000</v>
      </c>
      <c r="N750" s="4">
        <f t="shared" si="278"/>
        <v>-1429</v>
      </c>
      <c r="O750" s="4">
        <f t="shared" si="279"/>
        <v>-1491</v>
      </c>
      <c r="P750" s="4">
        <f t="shared" si="280"/>
        <v>-1199</v>
      </c>
      <c r="Q750" s="7">
        <v>4</v>
      </c>
      <c r="R750" s="7">
        <v>8</v>
      </c>
      <c r="S750" s="7">
        <v>1</v>
      </c>
      <c r="T750" s="5">
        <f t="shared" si="281"/>
        <v>1133</v>
      </c>
      <c r="U750" s="6">
        <f t="shared" si="282"/>
        <v>3401</v>
      </c>
      <c r="V750" s="6">
        <f t="shared" si="283"/>
        <v>3349</v>
      </c>
      <c r="W750" s="6">
        <f t="shared" si="284"/>
        <v>3651</v>
      </c>
      <c r="X750" s="63">
        <v>0.3</v>
      </c>
      <c r="Y750" s="4"/>
      <c r="Z750" s="4"/>
      <c r="AA750" s="4"/>
      <c r="AB750" s="4" t="s">
        <v>48</v>
      </c>
    </row>
    <row r="751" spans="1:28" ht="13.15" customHeight="1">
      <c r="A751" s="9">
        <f t="shared" si="265"/>
        <v>737</v>
      </c>
      <c r="B751" s="10">
        <f t="shared" si="266"/>
        <v>45780</v>
      </c>
      <c r="C751" s="9">
        <f t="shared" si="267"/>
        <v>842</v>
      </c>
      <c r="D751" s="8">
        <f t="shared" si="268"/>
        <v>3642</v>
      </c>
      <c r="E751" s="7">
        <f t="shared" si="269"/>
        <v>1915</v>
      </c>
      <c r="F751" s="7">
        <f t="shared" si="270"/>
        <v>1983</v>
      </c>
      <c r="G751" s="7">
        <f t="shared" si="271"/>
        <v>1683</v>
      </c>
      <c r="H751" s="4">
        <f t="shared" si="272"/>
        <v>2569</v>
      </c>
      <c r="I751" s="4">
        <f t="shared" si="273"/>
        <v>2501</v>
      </c>
      <c r="J751" s="4">
        <f t="shared" si="274"/>
        <v>2801</v>
      </c>
      <c r="K751" s="4">
        <f t="shared" si="275"/>
        <v>4000</v>
      </c>
      <c r="L751" s="4">
        <f t="shared" si="276"/>
        <v>4000</v>
      </c>
      <c r="M751" s="4">
        <f t="shared" si="277"/>
        <v>4000</v>
      </c>
      <c r="N751" s="4">
        <f t="shared" si="278"/>
        <v>-1431</v>
      </c>
      <c r="O751" s="4">
        <f t="shared" si="279"/>
        <v>-1499</v>
      </c>
      <c r="P751" s="4">
        <f t="shared" si="280"/>
        <v>-1199</v>
      </c>
      <c r="Q751" s="7">
        <v>2</v>
      </c>
      <c r="R751" s="7">
        <v>8</v>
      </c>
      <c r="S751" s="7">
        <v>0</v>
      </c>
      <c r="T751" s="5">
        <f t="shared" si="281"/>
        <v>1143</v>
      </c>
      <c r="U751" s="6">
        <f t="shared" si="282"/>
        <v>3399</v>
      </c>
      <c r="V751" s="6">
        <f t="shared" si="283"/>
        <v>3341</v>
      </c>
      <c r="W751" s="6">
        <f t="shared" si="284"/>
        <v>3651</v>
      </c>
      <c r="X751" s="5"/>
      <c r="Y751" s="4"/>
      <c r="Z751" s="4"/>
      <c r="AA751" s="4"/>
      <c r="AB751" s="4"/>
    </row>
    <row r="752" spans="1:28" ht="13.15" customHeight="1">
      <c r="A752" s="9">
        <f t="shared" si="265"/>
        <v>738</v>
      </c>
      <c r="B752" s="10">
        <f t="shared" si="266"/>
        <v>45781</v>
      </c>
      <c r="C752" s="9">
        <f t="shared" si="267"/>
        <v>842</v>
      </c>
      <c r="D752" s="8">
        <f t="shared" si="268"/>
        <v>3644</v>
      </c>
      <c r="E752" s="7">
        <f t="shared" si="269"/>
        <v>1924</v>
      </c>
      <c r="F752" s="7">
        <f t="shared" si="270"/>
        <v>1992</v>
      </c>
      <c r="G752" s="7">
        <f t="shared" si="271"/>
        <v>1685</v>
      </c>
      <c r="H752" s="4">
        <f t="shared" si="272"/>
        <v>2562</v>
      </c>
      <c r="I752" s="4">
        <f t="shared" si="273"/>
        <v>2494</v>
      </c>
      <c r="J752" s="4">
        <f t="shared" si="274"/>
        <v>2801</v>
      </c>
      <c r="K752" s="4">
        <f t="shared" si="275"/>
        <v>4000</v>
      </c>
      <c r="L752" s="4">
        <f t="shared" si="276"/>
        <v>4000</v>
      </c>
      <c r="M752" s="4">
        <f t="shared" si="277"/>
        <v>4000</v>
      </c>
      <c r="N752" s="4">
        <f t="shared" si="278"/>
        <v>-1438</v>
      </c>
      <c r="O752" s="4">
        <f t="shared" si="279"/>
        <v>-1506</v>
      </c>
      <c r="P752" s="4">
        <f t="shared" si="280"/>
        <v>-1199</v>
      </c>
      <c r="Q752" s="7">
        <v>7</v>
      </c>
      <c r="R752" s="7">
        <v>7</v>
      </c>
      <c r="S752" s="7">
        <v>0</v>
      </c>
      <c r="T752" s="5">
        <f t="shared" si="281"/>
        <v>1152</v>
      </c>
      <c r="U752" s="6">
        <f t="shared" si="282"/>
        <v>3392</v>
      </c>
      <c r="V752" s="6">
        <f t="shared" si="283"/>
        <v>3334</v>
      </c>
      <c r="W752" s="6">
        <f t="shared" si="284"/>
        <v>3651</v>
      </c>
      <c r="X752" s="5"/>
      <c r="Y752" s="4"/>
      <c r="Z752" s="4"/>
      <c r="AA752" s="4"/>
      <c r="AB752" s="4"/>
    </row>
    <row r="753" spans="1:28" ht="13.15" customHeight="1">
      <c r="A753" s="9">
        <f t="shared" si="265"/>
        <v>739</v>
      </c>
      <c r="B753" s="10">
        <f t="shared" si="266"/>
        <v>45782</v>
      </c>
      <c r="C753" s="9">
        <f t="shared" si="267"/>
        <v>842</v>
      </c>
      <c r="D753" s="8">
        <f t="shared" si="268"/>
        <v>3646</v>
      </c>
      <c r="E753" s="7">
        <f t="shared" si="269"/>
        <v>1926</v>
      </c>
      <c r="F753" s="7">
        <f t="shared" si="270"/>
        <v>2000</v>
      </c>
      <c r="G753" s="7">
        <f t="shared" si="271"/>
        <v>1687</v>
      </c>
      <c r="H753" s="4">
        <f t="shared" si="272"/>
        <v>2562</v>
      </c>
      <c r="I753" s="4">
        <f t="shared" si="273"/>
        <v>2488</v>
      </c>
      <c r="J753" s="4">
        <f t="shared" si="274"/>
        <v>2801</v>
      </c>
      <c r="K753" s="4">
        <f t="shared" si="275"/>
        <v>4000</v>
      </c>
      <c r="L753" s="4">
        <f t="shared" si="276"/>
        <v>4000</v>
      </c>
      <c r="M753" s="4">
        <f t="shared" si="277"/>
        <v>4000</v>
      </c>
      <c r="N753" s="4">
        <f t="shared" si="278"/>
        <v>-1438</v>
      </c>
      <c r="O753" s="4">
        <f t="shared" si="279"/>
        <v>-1512</v>
      </c>
      <c r="P753" s="4">
        <f t="shared" si="280"/>
        <v>-1199</v>
      </c>
      <c r="Q753" s="7">
        <v>0</v>
      </c>
      <c r="R753" s="7">
        <v>6</v>
      </c>
      <c r="S753" s="7">
        <v>0</v>
      </c>
      <c r="T753" s="5">
        <f t="shared" si="281"/>
        <v>1160</v>
      </c>
      <c r="U753" s="6">
        <f t="shared" si="282"/>
        <v>3392</v>
      </c>
      <c r="V753" s="6">
        <f t="shared" si="283"/>
        <v>3328</v>
      </c>
      <c r="W753" s="6">
        <f t="shared" si="284"/>
        <v>3651</v>
      </c>
      <c r="X753" s="5"/>
      <c r="Y753" s="4"/>
      <c r="Z753" s="4"/>
      <c r="AA753" s="4"/>
      <c r="AB753" s="4"/>
    </row>
    <row r="754" spans="1:28" ht="13.15" customHeight="1">
      <c r="A754" s="9">
        <f t="shared" si="265"/>
        <v>740</v>
      </c>
      <c r="B754" s="10">
        <f t="shared" si="266"/>
        <v>45783</v>
      </c>
      <c r="C754" s="9">
        <f t="shared" si="267"/>
        <v>842</v>
      </c>
      <c r="D754" s="8">
        <f t="shared" si="268"/>
        <v>3648</v>
      </c>
      <c r="E754" s="7">
        <f t="shared" si="269"/>
        <v>1934</v>
      </c>
      <c r="F754" s="7">
        <f t="shared" si="270"/>
        <v>2010</v>
      </c>
      <c r="G754" s="7">
        <f t="shared" si="271"/>
        <v>1690</v>
      </c>
      <c r="H754" s="4">
        <f t="shared" si="272"/>
        <v>2556</v>
      </c>
      <c r="I754" s="4">
        <f t="shared" si="273"/>
        <v>2480</v>
      </c>
      <c r="J754" s="4">
        <f t="shared" si="274"/>
        <v>2800</v>
      </c>
      <c r="K754" s="4">
        <f t="shared" si="275"/>
        <v>4000</v>
      </c>
      <c r="L754" s="4">
        <f t="shared" si="276"/>
        <v>4000</v>
      </c>
      <c r="M754" s="4">
        <f t="shared" si="277"/>
        <v>4000</v>
      </c>
      <c r="N754" s="4">
        <f t="shared" si="278"/>
        <v>-1444</v>
      </c>
      <c r="O754" s="4">
        <f t="shared" si="279"/>
        <v>-1520</v>
      </c>
      <c r="P754" s="4">
        <f t="shared" si="280"/>
        <v>-1200</v>
      </c>
      <c r="Q754" s="7">
        <v>6</v>
      </c>
      <c r="R754" s="7">
        <v>8</v>
      </c>
      <c r="S754" s="7">
        <v>1</v>
      </c>
      <c r="T754" s="5">
        <f t="shared" si="281"/>
        <v>1170</v>
      </c>
      <c r="U754" s="6">
        <f t="shared" si="282"/>
        <v>3386</v>
      </c>
      <c r="V754" s="6">
        <f t="shared" si="283"/>
        <v>3320</v>
      </c>
      <c r="W754" s="6">
        <f t="shared" si="284"/>
        <v>3650</v>
      </c>
      <c r="X754" s="5"/>
      <c r="Y754" s="4"/>
      <c r="Z754" s="4"/>
      <c r="AA754" s="4"/>
      <c r="AB754" s="4"/>
    </row>
    <row r="755" spans="1:28" ht="13.15" customHeight="1">
      <c r="A755" s="9">
        <f t="shared" si="265"/>
        <v>741</v>
      </c>
      <c r="B755" s="10">
        <f t="shared" si="266"/>
        <v>45784</v>
      </c>
      <c r="C755" s="9">
        <f t="shared" si="267"/>
        <v>842</v>
      </c>
      <c r="D755" s="8">
        <f t="shared" si="268"/>
        <v>3650</v>
      </c>
      <c r="E755" s="7">
        <f t="shared" si="269"/>
        <v>1941</v>
      </c>
      <c r="F755" s="7">
        <f t="shared" si="270"/>
        <v>2020</v>
      </c>
      <c r="G755" s="7">
        <f t="shared" si="271"/>
        <v>1692</v>
      </c>
      <c r="H755" s="4">
        <f t="shared" si="272"/>
        <v>2551</v>
      </c>
      <c r="I755" s="4">
        <f t="shared" si="273"/>
        <v>2472</v>
      </c>
      <c r="J755" s="4">
        <f t="shared" si="274"/>
        <v>2800</v>
      </c>
      <c r="K755" s="4">
        <f t="shared" si="275"/>
        <v>4000</v>
      </c>
      <c r="L755" s="4">
        <f t="shared" si="276"/>
        <v>4000</v>
      </c>
      <c r="M755" s="4">
        <f t="shared" si="277"/>
        <v>4000</v>
      </c>
      <c r="N755" s="4">
        <f t="shared" si="278"/>
        <v>-1449</v>
      </c>
      <c r="O755" s="4">
        <f t="shared" si="279"/>
        <v>-1528</v>
      </c>
      <c r="P755" s="4">
        <f t="shared" si="280"/>
        <v>-1200</v>
      </c>
      <c r="Q755" s="7">
        <v>5</v>
      </c>
      <c r="R755" s="7">
        <v>8</v>
      </c>
      <c r="S755" s="7">
        <v>0</v>
      </c>
      <c r="T755" s="5">
        <f t="shared" si="281"/>
        <v>880</v>
      </c>
      <c r="U755" s="6">
        <f t="shared" si="282"/>
        <v>3681</v>
      </c>
      <c r="V755" s="6">
        <f t="shared" si="283"/>
        <v>3612</v>
      </c>
      <c r="W755" s="6">
        <f t="shared" si="284"/>
        <v>3950</v>
      </c>
      <c r="X755" s="63">
        <v>0.3</v>
      </c>
      <c r="Y755" s="4"/>
      <c r="Z755" s="4"/>
      <c r="AA755" s="4"/>
      <c r="AB755" s="4" t="s">
        <v>49</v>
      </c>
    </row>
    <row r="756" spans="1:28" ht="13.15" customHeight="1">
      <c r="A756" s="9">
        <f t="shared" si="265"/>
        <v>742</v>
      </c>
      <c r="B756" s="10">
        <f t="shared" si="266"/>
        <v>45785</v>
      </c>
      <c r="C756" s="9">
        <f t="shared" si="267"/>
        <v>842</v>
      </c>
      <c r="D756" s="8">
        <f t="shared" si="268"/>
        <v>3652</v>
      </c>
      <c r="E756" s="7">
        <f t="shared" si="269"/>
        <v>1944</v>
      </c>
      <c r="F756" s="7">
        <f t="shared" si="270"/>
        <v>2031</v>
      </c>
      <c r="G756" s="7">
        <f t="shared" si="271"/>
        <v>1694</v>
      </c>
      <c r="H756" s="4">
        <f t="shared" si="272"/>
        <v>2550</v>
      </c>
      <c r="I756" s="4">
        <f t="shared" si="273"/>
        <v>2463</v>
      </c>
      <c r="J756" s="4">
        <f t="shared" si="274"/>
        <v>2800</v>
      </c>
      <c r="K756" s="4">
        <f t="shared" si="275"/>
        <v>4000</v>
      </c>
      <c r="L756" s="4">
        <f t="shared" si="276"/>
        <v>4000</v>
      </c>
      <c r="M756" s="4">
        <f t="shared" si="277"/>
        <v>4000</v>
      </c>
      <c r="N756" s="4">
        <f t="shared" si="278"/>
        <v>-1450</v>
      </c>
      <c r="O756" s="4">
        <f t="shared" si="279"/>
        <v>-1537</v>
      </c>
      <c r="P756" s="4">
        <f t="shared" si="280"/>
        <v>-1200</v>
      </c>
      <c r="Q756" s="7">
        <v>1</v>
      </c>
      <c r="R756" s="7">
        <v>9</v>
      </c>
      <c r="S756" s="7">
        <v>0</v>
      </c>
      <c r="T756" s="5">
        <f t="shared" si="281"/>
        <v>891</v>
      </c>
      <c r="U756" s="6">
        <f t="shared" si="282"/>
        <v>3680</v>
      </c>
      <c r="V756" s="6">
        <f t="shared" si="283"/>
        <v>3603</v>
      </c>
      <c r="W756" s="6">
        <f t="shared" si="284"/>
        <v>3950</v>
      </c>
      <c r="X756" s="5"/>
      <c r="Y756" s="4"/>
      <c r="Z756" s="4"/>
      <c r="AA756" s="4"/>
      <c r="AB756" s="4"/>
    </row>
    <row r="757" spans="1:28" ht="13.15" customHeight="1">
      <c r="A757" s="9">
        <f t="shared" si="265"/>
        <v>743</v>
      </c>
      <c r="B757" s="10">
        <f t="shared" si="266"/>
        <v>45786</v>
      </c>
      <c r="C757" s="9">
        <f t="shared" si="267"/>
        <v>842</v>
      </c>
      <c r="D757" s="8">
        <f t="shared" si="268"/>
        <v>3654</v>
      </c>
      <c r="E757" s="7">
        <f t="shared" si="269"/>
        <v>1948</v>
      </c>
      <c r="F757" s="7">
        <f t="shared" si="270"/>
        <v>2041</v>
      </c>
      <c r="G757" s="7">
        <f t="shared" si="271"/>
        <v>1696</v>
      </c>
      <c r="H757" s="4">
        <f t="shared" si="272"/>
        <v>2548</v>
      </c>
      <c r="I757" s="4">
        <f t="shared" si="273"/>
        <v>2455</v>
      </c>
      <c r="J757" s="4">
        <f t="shared" si="274"/>
        <v>2800</v>
      </c>
      <c r="K757" s="4">
        <f t="shared" si="275"/>
        <v>4000</v>
      </c>
      <c r="L757" s="4">
        <f t="shared" si="276"/>
        <v>4000</v>
      </c>
      <c r="M757" s="4">
        <f t="shared" si="277"/>
        <v>4000</v>
      </c>
      <c r="N757" s="4">
        <f t="shared" si="278"/>
        <v>-1452</v>
      </c>
      <c r="O757" s="4">
        <f t="shared" si="279"/>
        <v>-1545</v>
      </c>
      <c r="P757" s="4">
        <f t="shared" si="280"/>
        <v>-1200</v>
      </c>
      <c r="Q757" s="7">
        <v>2</v>
      </c>
      <c r="R757" s="7">
        <v>8</v>
      </c>
      <c r="S757" s="7">
        <v>0</v>
      </c>
      <c r="T757" s="5">
        <f t="shared" si="281"/>
        <v>901</v>
      </c>
      <c r="U757" s="6">
        <f t="shared" si="282"/>
        <v>3678</v>
      </c>
      <c r="V757" s="6">
        <f t="shared" si="283"/>
        <v>3595</v>
      </c>
      <c r="W757" s="6">
        <f t="shared" si="284"/>
        <v>3950</v>
      </c>
      <c r="X757" s="5"/>
      <c r="Y757" s="4"/>
      <c r="Z757" s="4"/>
      <c r="AA757" s="4"/>
      <c r="AB757" s="4"/>
    </row>
    <row r="758" spans="1:28" ht="13.15" customHeight="1">
      <c r="A758" s="9">
        <f t="shared" si="265"/>
        <v>744</v>
      </c>
      <c r="B758" s="10">
        <f t="shared" si="266"/>
        <v>45787</v>
      </c>
      <c r="C758" s="9">
        <f t="shared" si="267"/>
        <v>842</v>
      </c>
      <c r="D758" s="8">
        <f t="shared" si="268"/>
        <v>3656</v>
      </c>
      <c r="E758" s="7">
        <f t="shared" si="269"/>
        <v>1954</v>
      </c>
      <c r="F758" s="7">
        <f t="shared" si="270"/>
        <v>2052</v>
      </c>
      <c r="G758" s="7">
        <f t="shared" si="271"/>
        <v>1699</v>
      </c>
      <c r="H758" s="4">
        <f t="shared" si="272"/>
        <v>2544</v>
      </c>
      <c r="I758" s="4">
        <f t="shared" si="273"/>
        <v>2446</v>
      </c>
      <c r="J758" s="4">
        <f t="shared" si="274"/>
        <v>2799</v>
      </c>
      <c r="K758" s="4">
        <f t="shared" si="275"/>
        <v>4000</v>
      </c>
      <c r="L758" s="4">
        <f t="shared" si="276"/>
        <v>4000</v>
      </c>
      <c r="M758" s="4">
        <f t="shared" si="277"/>
        <v>4000</v>
      </c>
      <c r="N758" s="4">
        <f t="shared" si="278"/>
        <v>-1456</v>
      </c>
      <c r="O758" s="4">
        <f t="shared" si="279"/>
        <v>-1554</v>
      </c>
      <c r="P758" s="4">
        <f t="shared" si="280"/>
        <v>-1201</v>
      </c>
      <c r="Q758" s="7">
        <v>4</v>
      </c>
      <c r="R758" s="7">
        <v>9</v>
      </c>
      <c r="S758" s="7">
        <v>1</v>
      </c>
      <c r="T758" s="5">
        <f t="shared" si="281"/>
        <v>912</v>
      </c>
      <c r="U758" s="6">
        <f t="shared" si="282"/>
        <v>3674</v>
      </c>
      <c r="V758" s="6">
        <f t="shared" si="283"/>
        <v>3586</v>
      </c>
      <c r="W758" s="6">
        <f t="shared" si="284"/>
        <v>3949</v>
      </c>
      <c r="X758" s="5"/>
      <c r="Y758" s="4"/>
      <c r="Z758" s="4"/>
      <c r="AA758" s="4"/>
      <c r="AB758" s="4"/>
    </row>
    <row r="759" spans="1:28" ht="13.15" customHeight="1">
      <c r="A759" s="9">
        <f t="shared" si="265"/>
        <v>745</v>
      </c>
      <c r="B759" s="10">
        <f t="shared" si="266"/>
        <v>45788</v>
      </c>
      <c r="C759" s="9">
        <f t="shared" si="267"/>
        <v>842</v>
      </c>
      <c r="D759" s="8">
        <f t="shared" si="268"/>
        <v>3658</v>
      </c>
      <c r="E759" s="7">
        <f t="shared" si="269"/>
        <v>1963</v>
      </c>
      <c r="F759" s="7">
        <f t="shared" si="270"/>
        <v>2062</v>
      </c>
      <c r="G759" s="7">
        <f t="shared" si="271"/>
        <v>1702</v>
      </c>
      <c r="H759" s="4">
        <f t="shared" si="272"/>
        <v>2537</v>
      </c>
      <c r="I759" s="4">
        <f t="shared" si="273"/>
        <v>2438</v>
      </c>
      <c r="J759" s="4">
        <f t="shared" si="274"/>
        <v>2798</v>
      </c>
      <c r="K759" s="4">
        <f t="shared" si="275"/>
        <v>4000</v>
      </c>
      <c r="L759" s="4">
        <f t="shared" si="276"/>
        <v>4000</v>
      </c>
      <c r="M759" s="4">
        <f t="shared" si="277"/>
        <v>4000</v>
      </c>
      <c r="N759" s="4">
        <f t="shared" si="278"/>
        <v>-1463</v>
      </c>
      <c r="O759" s="4">
        <f t="shared" si="279"/>
        <v>-1562</v>
      </c>
      <c r="P759" s="4">
        <f t="shared" si="280"/>
        <v>-1202</v>
      </c>
      <c r="Q759" s="7">
        <v>7</v>
      </c>
      <c r="R759" s="7">
        <v>8</v>
      </c>
      <c r="S759" s="7">
        <v>1</v>
      </c>
      <c r="T759" s="5">
        <f t="shared" si="281"/>
        <v>922</v>
      </c>
      <c r="U759" s="6">
        <f t="shared" si="282"/>
        <v>3667</v>
      </c>
      <c r="V759" s="6">
        <f t="shared" si="283"/>
        <v>3578</v>
      </c>
      <c r="W759" s="6">
        <f t="shared" si="284"/>
        <v>3948</v>
      </c>
      <c r="X759" s="5"/>
      <c r="Y759" s="4"/>
      <c r="Z759" s="4"/>
      <c r="AA759" s="4"/>
      <c r="AB759" s="4"/>
    </row>
    <row r="760" spans="1:28" ht="13.15" customHeight="1">
      <c r="A760" s="9">
        <f t="shared" si="265"/>
        <v>746</v>
      </c>
      <c r="B760" s="10">
        <f t="shared" si="266"/>
        <v>45789</v>
      </c>
      <c r="C760" s="9">
        <f t="shared" si="267"/>
        <v>842</v>
      </c>
      <c r="D760" s="8">
        <f t="shared" si="268"/>
        <v>3660</v>
      </c>
      <c r="E760" s="7">
        <f t="shared" si="269"/>
        <v>1970</v>
      </c>
      <c r="F760" s="7">
        <f t="shared" si="270"/>
        <v>2071</v>
      </c>
      <c r="G760" s="7">
        <f t="shared" si="271"/>
        <v>1704</v>
      </c>
      <c r="H760" s="4">
        <f t="shared" si="272"/>
        <v>2532</v>
      </c>
      <c r="I760" s="4">
        <f t="shared" si="273"/>
        <v>2431</v>
      </c>
      <c r="J760" s="4">
        <f t="shared" si="274"/>
        <v>2798</v>
      </c>
      <c r="K760" s="4">
        <f t="shared" si="275"/>
        <v>4000</v>
      </c>
      <c r="L760" s="4">
        <f t="shared" si="276"/>
        <v>4000</v>
      </c>
      <c r="M760" s="4">
        <f t="shared" si="277"/>
        <v>4000</v>
      </c>
      <c r="N760" s="4">
        <f t="shared" si="278"/>
        <v>-1468</v>
      </c>
      <c r="O760" s="4">
        <f t="shared" si="279"/>
        <v>-1569</v>
      </c>
      <c r="P760" s="4">
        <f t="shared" si="280"/>
        <v>-1202</v>
      </c>
      <c r="Q760" s="7">
        <v>5</v>
      </c>
      <c r="R760" s="7">
        <v>7</v>
      </c>
      <c r="S760" s="7">
        <v>0</v>
      </c>
      <c r="T760" s="5">
        <f t="shared" si="281"/>
        <v>931</v>
      </c>
      <c r="U760" s="6">
        <f t="shared" si="282"/>
        <v>3662</v>
      </c>
      <c r="V760" s="6">
        <f t="shared" si="283"/>
        <v>3571</v>
      </c>
      <c r="W760" s="6">
        <f t="shared" si="284"/>
        <v>3948</v>
      </c>
      <c r="X760" s="5"/>
      <c r="Y760" s="4"/>
      <c r="Z760" s="4"/>
      <c r="AA760" s="4"/>
      <c r="AB760" s="4"/>
    </row>
    <row r="761" spans="1:28" ht="13.15" customHeight="1">
      <c r="A761" s="9">
        <f t="shared" si="265"/>
        <v>747</v>
      </c>
      <c r="B761" s="10">
        <f t="shared" si="266"/>
        <v>45790</v>
      </c>
      <c r="C761" s="9">
        <f t="shared" si="267"/>
        <v>842</v>
      </c>
      <c r="D761" s="8">
        <f t="shared" si="268"/>
        <v>3662</v>
      </c>
      <c r="E761" s="7">
        <f t="shared" si="269"/>
        <v>1975</v>
      </c>
      <c r="F761" s="7">
        <f t="shared" si="270"/>
        <v>2082</v>
      </c>
      <c r="G761" s="7">
        <f t="shared" si="271"/>
        <v>1706</v>
      </c>
      <c r="H761" s="4">
        <f t="shared" si="272"/>
        <v>2529</v>
      </c>
      <c r="I761" s="4">
        <f t="shared" si="273"/>
        <v>2422</v>
      </c>
      <c r="J761" s="4">
        <f t="shared" si="274"/>
        <v>2798</v>
      </c>
      <c r="K761" s="4">
        <f t="shared" si="275"/>
        <v>4000</v>
      </c>
      <c r="L761" s="4">
        <f t="shared" si="276"/>
        <v>4000</v>
      </c>
      <c r="M761" s="4">
        <f t="shared" si="277"/>
        <v>4000</v>
      </c>
      <c r="N761" s="4">
        <f t="shared" si="278"/>
        <v>-1471</v>
      </c>
      <c r="O761" s="4">
        <f t="shared" si="279"/>
        <v>-1578</v>
      </c>
      <c r="P761" s="4">
        <f t="shared" si="280"/>
        <v>-1202</v>
      </c>
      <c r="Q761" s="7">
        <v>3</v>
      </c>
      <c r="R761" s="7">
        <v>9</v>
      </c>
      <c r="S761" s="7">
        <v>0</v>
      </c>
      <c r="T761" s="5">
        <f t="shared" si="281"/>
        <v>942</v>
      </c>
      <c r="U761" s="6">
        <f t="shared" si="282"/>
        <v>3659</v>
      </c>
      <c r="V761" s="6">
        <f t="shared" si="283"/>
        <v>3562</v>
      </c>
      <c r="W761" s="6">
        <f t="shared" si="284"/>
        <v>3948</v>
      </c>
      <c r="X761" s="5"/>
      <c r="Y761" s="4"/>
      <c r="Z761" s="4"/>
      <c r="AA761" s="4"/>
      <c r="AB761" s="4"/>
    </row>
    <row r="762" spans="1:28" s="55" customFormat="1" ht="13.15" customHeight="1">
      <c r="A762" s="50">
        <f t="shared" si="265"/>
        <v>748</v>
      </c>
      <c r="B762" s="51">
        <f t="shared" si="266"/>
        <v>45791</v>
      </c>
      <c r="C762" s="50">
        <f t="shared" si="267"/>
        <v>842</v>
      </c>
      <c r="D762" s="52">
        <f t="shared" si="268"/>
        <v>3664</v>
      </c>
      <c r="E762" s="53">
        <f t="shared" si="269"/>
        <v>1986</v>
      </c>
      <c r="F762" s="53">
        <f t="shared" si="270"/>
        <v>2092</v>
      </c>
      <c r="G762" s="53">
        <f t="shared" si="271"/>
        <v>1708</v>
      </c>
      <c r="H762" s="53">
        <f t="shared" si="272"/>
        <v>2520</v>
      </c>
      <c r="I762" s="53">
        <f t="shared" si="273"/>
        <v>2414</v>
      </c>
      <c r="J762" s="53">
        <f t="shared" si="274"/>
        <v>2798</v>
      </c>
      <c r="K762" s="53">
        <f t="shared" si="275"/>
        <v>4000</v>
      </c>
      <c r="L762" s="53">
        <f t="shared" si="276"/>
        <v>4000</v>
      </c>
      <c r="M762" s="53">
        <f t="shared" si="277"/>
        <v>4000</v>
      </c>
      <c r="N762" s="53">
        <f t="shared" si="278"/>
        <v>-1480</v>
      </c>
      <c r="O762" s="53">
        <f t="shared" si="279"/>
        <v>-1586</v>
      </c>
      <c r="P762" s="53">
        <f t="shared" si="280"/>
        <v>-1202</v>
      </c>
      <c r="Q762" s="53">
        <v>9</v>
      </c>
      <c r="R762" s="21">
        <v>8</v>
      </c>
      <c r="S762" s="53">
        <v>0</v>
      </c>
      <c r="T762" s="53">
        <f t="shared" si="281"/>
        <v>652</v>
      </c>
      <c r="U762" s="54">
        <f t="shared" si="282"/>
        <v>3950</v>
      </c>
      <c r="V762" s="54">
        <f t="shared" si="283"/>
        <v>3854</v>
      </c>
      <c r="W762" s="54">
        <f t="shared" si="284"/>
        <v>4248</v>
      </c>
      <c r="X762" s="64">
        <v>0.3</v>
      </c>
      <c r="Y762" s="53"/>
      <c r="Z762" s="53"/>
      <c r="AA762" s="53"/>
      <c r="AB762" s="53" t="s">
        <v>43</v>
      </c>
    </row>
    <row r="763" spans="1:28" ht="13.15" customHeight="1">
      <c r="A763" s="9">
        <f t="shared" si="265"/>
        <v>749</v>
      </c>
      <c r="B763" s="10">
        <f>B762+3</f>
        <v>45794</v>
      </c>
      <c r="C763" s="9">
        <f t="shared" si="267"/>
        <v>842</v>
      </c>
      <c r="D763" s="8">
        <f t="shared" si="268"/>
        <v>3666</v>
      </c>
      <c r="E763" s="7">
        <f t="shared" si="269"/>
        <v>2007</v>
      </c>
      <c r="F763" s="7">
        <f t="shared" si="270"/>
        <v>2114</v>
      </c>
      <c r="G763" s="7">
        <f t="shared" si="271"/>
        <v>1727</v>
      </c>
      <c r="H763" s="4">
        <f t="shared" si="272"/>
        <v>2501</v>
      </c>
      <c r="I763" s="4">
        <f t="shared" si="273"/>
        <v>2394</v>
      </c>
      <c r="J763" s="4">
        <f t="shared" si="274"/>
        <v>2781</v>
      </c>
      <c r="K763" s="4">
        <f t="shared" si="275"/>
        <v>4000</v>
      </c>
      <c r="L763" s="4">
        <f t="shared" si="276"/>
        <v>4000</v>
      </c>
      <c r="M763" s="4">
        <f t="shared" si="277"/>
        <v>4000</v>
      </c>
      <c r="N763" s="4">
        <f t="shared" si="278"/>
        <v>-1499</v>
      </c>
      <c r="O763" s="4">
        <f t="shared" si="279"/>
        <v>-1606</v>
      </c>
      <c r="P763" s="4">
        <f t="shared" si="280"/>
        <v>-1219</v>
      </c>
      <c r="Q763" s="62">
        <v>19</v>
      </c>
      <c r="R763" s="7">
        <v>20</v>
      </c>
      <c r="S763" s="7">
        <v>17</v>
      </c>
      <c r="T763" s="5">
        <f t="shared" si="281"/>
        <v>674</v>
      </c>
      <c r="U763" s="6">
        <f t="shared" si="282"/>
        <v>3931</v>
      </c>
      <c r="V763" s="6">
        <f t="shared" si="283"/>
        <v>3834</v>
      </c>
      <c r="W763" s="6">
        <f t="shared" si="284"/>
        <v>4231</v>
      </c>
      <c r="X763" s="5"/>
      <c r="Y763" s="4"/>
      <c r="Z763" s="4"/>
      <c r="AA763" s="4"/>
      <c r="AB763" s="4"/>
    </row>
    <row r="764" spans="1:28" ht="13.15" customHeight="1">
      <c r="A764" s="9">
        <f t="shared" ref="A764:A776" si="285">+A763+1</f>
        <v>750</v>
      </c>
      <c r="B764" s="10">
        <f>B763+4</f>
        <v>45798</v>
      </c>
      <c r="C764" s="9">
        <f t="shared" ref="C764:C776" si="286">C763</f>
        <v>842</v>
      </c>
      <c r="D764" s="8">
        <f t="shared" ref="D764:D776" si="287">D763+2</f>
        <v>3668</v>
      </c>
      <c r="E764" s="7">
        <f t="shared" ref="E764:E775" si="288">C764+D764-H764</f>
        <v>2033</v>
      </c>
      <c r="F764" s="7">
        <f t="shared" ref="F764:F775" si="289">C764+D764-I764</f>
        <v>2144</v>
      </c>
      <c r="G764" s="7">
        <f t="shared" ref="G764:G775" si="290">D764+C764-J764</f>
        <v>1749</v>
      </c>
      <c r="H764" s="4">
        <f t="shared" ref="H764:H775" si="291">K764+N764</f>
        <v>2477</v>
      </c>
      <c r="I764" s="4">
        <f t="shared" ref="I764:I775" si="292">L764+O764</f>
        <v>2366</v>
      </c>
      <c r="J764" s="4">
        <f t="shared" ref="J764:J775" si="293">M764+P764</f>
        <v>2761</v>
      </c>
      <c r="K764" s="4">
        <f t="shared" ref="K764:K776" si="294">K763</f>
        <v>4000</v>
      </c>
      <c r="L764" s="4">
        <f t="shared" ref="L764:L776" si="295">L763</f>
        <v>4000</v>
      </c>
      <c r="M764" s="4">
        <f t="shared" ref="M764:M776" si="296">M763</f>
        <v>4000</v>
      </c>
      <c r="N764" s="4">
        <f t="shared" ref="N764:N775" si="297">N763-Q764</f>
        <v>-1523</v>
      </c>
      <c r="O764" s="4">
        <f t="shared" ref="O764:O775" si="298">O763-R764</f>
        <v>-1634</v>
      </c>
      <c r="P764" s="4">
        <f t="shared" ref="P764:P775" si="299">P763-S764</f>
        <v>-1239</v>
      </c>
      <c r="Q764" s="62">
        <v>24</v>
      </c>
      <c r="R764" s="7">
        <v>28</v>
      </c>
      <c r="S764" s="7">
        <v>20</v>
      </c>
      <c r="T764" s="5">
        <f t="shared" ref="T764:T775" si="300">D764+C764-V764</f>
        <v>704</v>
      </c>
      <c r="U764" s="6">
        <f t="shared" ref="U764:U775" si="301">U763+$X764*1000-Q764</f>
        <v>3907</v>
      </c>
      <c r="V764" s="6">
        <f t="shared" ref="V764:V775" si="302">V763+$X764*1000-R764</f>
        <v>3806</v>
      </c>
      <c r="W764" s="6">
        <f t="shared" ref="W764:W775" si="303">W763+$X764*1000-S764</f>
        <v>4211</v>
      </c>
      <c r="X764" s="5"/>
      <c r="Y764" s="4"/>
      <c r="Z764" s="4"/>
      <c r="AA764" s="4"/>
      <c r="AB764" s="4"/>
    </row>
    <row r="765" spans="1:28" ht="13.15" customHeight="1">
      <c r="A765" s="9">
        <f t="shared" si="285"/>
        <v>751</v>
      </c>
      <c r="B765" s="10">
        <f>B764+3</f>
        <v>45801</v>
      </c>
      <c r="C765" s="9">
        <f t="shared" si="286"/>
        <v>842</v>
      </c>
      <c r="D765" s="8">
        <f t="shared" si="287"/>
        <v>3670</v>
      </c>
      <c r="E765" s="7">
        <f t="shared" si="288"/>
        <v>2047</v>
      </c>
      <c r="F765" s="7">
        <f t="shared" si="289"/>
        <v>2164</v>
      </c>
      <c r="G765" s="7">
        <f t="shared" si="290"/>
        <v>1767</v>
      </c>
      <c r="H765" s="4">
        <f t="shared" si="291"/>
        <v>2465</v>
      </c>
      <c r="I765" s="4">
        <f t="shared" si="292"/>
        <v>2348</v>
      </c>
      <c r="J765" s="4">
        <f t="shared" si="293"/>
        <v>2745</v>
      </c>
      <c r="K765" s="4">
        <f t="shared" si="294"/>
        <v>4000</v>
      </c>
      <c r="L765" s="4">
        <f t="shared" si="295"/>
        <v>4000</v>
      </c>
      <c r="M765" s="4">
        <f t="shared" si="296"/>
        <v>4000</v>
      </c>
      <c r="N765" s="4">
        <f t="shared" si="297"/>
        <v>-1535</v>
      </c>
      <c r="O765" s="4">
        <f t="shared" si="298"/>
        <v>-1652</v>
      </c>
      <c r="P765" s="4">
        <f t="shared" si="299"/>
        <v>-1255</v>
      </c>
      <c r="Q765" s="62">
        <v>12</v>
      </c>
      <c r="R765" s="7">
        <v>18</v>
      </c>
      <c r="S765" s="7">
        <v>16</v>
      </c>
      <c r="T765" s="5">
        <f t="shared" si="300"/>
        <v>724</v>
      </c>
      <c r="U765" s="6">
        <f t="shared" si="301"/>
        <v>3895</v>
      </c>
      <c r="V765" s="6">
        <f t="shared" si="302"/>
        <v>3788</v>
      </c>
      <c r="W765" s="6">
        <f t="shared" si="303"/>
        <v>4195</v>
      </c>
      <c r="X765" s="5"/>
      <c r="Y765" s="4"/>
      <c r="Z765" s="4"/>
      <c r="AA765" s="4"/>
      <c r="AB765" s="4"/>
    </row>
    <row r="766" spans="1:28" s="60" customFormat="1" ht="13.15" customHeight="1">
      <c r="A766" s="56">
        <f t="shared" si="285"/>
        <v>752</v>
      </c>
      <c r="B766" s="57">
        <f>B765+4</f>
        <v>45805</v>
      </c>
      <c r="C766" s="56">
        <f t="shared" si="286"/>
        <v>842</v>
      </c>
      <c r="D766" s="58">
        <f t="shared" si="287"/>
        <v>3672</v>
      </c>
      <c r="E766" s="12">
        <f t="shared" si="288"/>
        <v>2069</v>
      </c>
      <c r="F766" s="12">
        <f t="shared" si="289"/>
        <v>2190</v>
      </c>
      <c r="G766" s="12">
        <f t="shared" si="290"/>
        <v>1789</v>
      </c>
      <c r="H766" s="12">
        <f t="shared" si="291"/>
        <v>2445</v>
      </c>
      <c r="I766" s="12">
        <f t="shared" si="292"/>
        <v>2324</v>
      </c>
      <c r="J766" s="12">
        <f t="shared" si="293"/>
        <v>2725</v>
      </c>
      <c r="K766" s="12">
        <f t="shared" si="294"/>
        <v>4000</v>
      </c>
      <c r="L766" s="12">
        <f t="shared" si="295"/>
        <v>4000</v>
      </c>
      <c r="M766" s="12">
        <f t="shared" si="296"/>
        <v>4000</v>
      </c>
      <c r="N766" s="12">
        <f t="shared" si="297"/>
        <v>-1555</v>
      </c>
      <c r="O766" s="12">
        <f t="shared" si="298"/>
        <v>-1676</v>
      </c>
      <c r="P766" s="12">
        <f t="shared" si="299"/>
        <v>-1275</v>
      </c>
      <c r="Q766" s="30">
        <v>20</v>
      </c>
      <c r="R766" s="12">
        <v>24</v>
      </c>
      <c r="S766" s="12">
        <v>20</v>
      </c>
      <c r="T766" s="12">
        <f t="shared" si="300"/>
        <v>750</v>
      </c>
      <c r="U766" s="59">
        <f t="shared" si="301"/>
        <v>3875</v>
      </c>
      <c r="V766" s="59">
        <f t="shared" si="302"/>
        <v>3764</v>
      </c>
      <c r="W766" s="59">
        <f t="shared" si="303"/>
        <v>4175</v>
      </c>
      <c r="X766" s="12"/>
      <c r="Y766" s="12"/>
      <c r="Z766" s="12"/>
      <c r="AA766" s="12"/>
      <c r="AB766" s="12"/>
    </row>
    <row r="767" spans="1:28" ht="13.15" customHeight="1">
      <c r="A767" s="9">
        <f t="shared" si="285"/>
        <v>753</v>
      </c>
      <c r="B767" s="10">
        <f>B766+3</f>
        <v>45808</v>
      </c>
      <c r="C767" s="9">
        <f t="shared" si="286"/>
        <v>842</v>
      </c>
      <c r="D767" s="8">
        <f t="shared" si="287"/>
        <v>3674</v>
      </c>
      <c r="E767" s="7">
        <f t="shared" si="288"/>
        <v>2083</v>
      </c>
      <c r="F767" s="7">
        <f t="shared" si="289"/>
        <v>2214</v>
      </c>
      <c r="G767" s="7">
        <f t="shared" si="290"/>
        <v>1806</v>
      </c>
      <c r="H767" s="4">
        <f t="shared" si="291"/>
        <v>2433</v>
      </c>
      <c r="I767" s="4">
        <f t="shared" si="292"/>
        <v>2302</v>
      </c>
      <c r="J767" s="4">
        <f t="shared" si="293"/>
        <v>2710</v>
      </c>
      <c r="K767" s="4">
        <f t="shared" si="294"/>
        <v>4000</v>
      </c>
      <c r="L767" s="4">
        <f t="shared" si="295"/>
        <v>4000</v>
      </c>
      <c r="M767" s="4">
        <f t="shared" si="296"/>
        <v>4000</v>
      </c>
      <c r="N767" s="4">
        <f t="shared" si="297"/>
        <v>-1567</v>
      </c>
      <c r="O767" s="4">
        <f t="shared" si="298"/>
        <v>-1698</v>
      </c>
      <c r="P767" s="4">
        <f t="shared" si="299"/>
        <v>-1290</v>
      </c>
      <c r="Q767" s="62">
        <v>12</v>
      </c>
      <c r="R767" s="7">
        <v>22</v>
      </c>
      <c r="S767" s="7">
        <v>15</v>
      </c>
      <c r="T767" s="5">
        <f t="shared" si="300"/>
        <v>774</v>
      </c>
      <c r="U767" s="6">
        <f t="shared" si="301"/>
        <v>3863</v>
      </c>
      <c r="V767" s="6">
        <f t="shared" si="302"/>
        <v>3742</v>
      </c>
      <c r="W767" s="6">
        <f t="shared" si="303"/>
        <v>4160</v>
      </c>
      <c r="X767" s="5"/>
      <c r="Y767" s="4"/>
      <c r="Z767" s="4"/>
      <c r="AA767" s="4"/>
      <c r="AB767" s="4"/>
    </row>
    <row r="768" spans="1:28" ht="13.15" customHeight="1">
      <c r="A768" s="9">
        <f t="shared" si="285"/>
        <v>754</v>
      </c>
      <c r="B768" s="10">
        <f>B767+4</f>
        <v>45812</v>
      </c>
      <c r="C768" s="9">
        <f t="shared" si="286"/>
        <v>842</v>
      </c>
      <c r="D768" s="8">
        <f t="shared" si="287"/>
        <v>3676</v>
      </c>
      <c r="E768" s="7">
        <f t="shared" si="288"/>
        <v>2103</v>
      </c>
      <c r="F768" s="7">
        <f t="shared" si="289"/>
        <v>2242</v>
      </c>
      <c r="G768" s="7">
        <f t="shared" si="290"/>
        <v>1828</v>
      </c>
      <c r="H768" s="4">
        <f t="shared" si="291"/>
        <v>2415</v>
      </c>
      <c r="I768" s="4">
        <f t="shared" si="292"/>
        <v>2276</v>
      </c>
      <c r="J768" s="4">
        <f t="shared" si="293"/>
        <v>2690</v>
      </c>
      <c r="K768" s="4">
        <f t="shared" si="294"/>
        <v>4000</v>
      </c>
      <c r="L768" s="4">
        <f t="shared" si="295"/>
        <v>4000</v>
      </c>
      <c r="M768" s="4">
        <f t="shared" si="296"/>
        <v>4000</v>
      </c>
      <c r="N768" s="4">
        <f t="shared" si="297"/>
        <v>-1585</v>
      </c>
      <c r="O768" s="4">
        <f t="shared" si="298"/>
        <v>-1724</v>
      </c>
      <c r="P768" s="4">
        <f t="shared" si="299"/>
        <v>-1310</v>
      </c>
      <c r="Q768" s="62">
        <v>18</v>
      </c>
      <c r="R768" s="7">
        <v>26</v>
      </c>
      <c r="S768" s="7">
        <v>20</v>
      </c>
      <c r="T768" s="5">
        <f t="shared" si="300"/>
        <v>802</v>
      </c>
      <c r="U768" s="6">
        <f t="shared" si="301"/>
        <v>3845</v>
      </c>
      <c r="V768" s="6">
        <f t="shared" si="302"/>
        <v>3716</v>
      </c>
      <c r="W768" s="6">
        <f t="shared" si="303"/>
        <v>4140</v>
      </c>
      <c r="X768" s="5"/>
      <c r="Y768" s="4"/>
      <c r="Z768" s="4"/>
      <c r="AA768" s="4"/>
      <c r="AB768" s="4"/>
    </row>
    <row r="769" spans="1:28" ht="13.15" customHeight="1">
      <c r="A769" s="9">
        <f t="shared" si="285"/>
        <v>755</v>
      </c>
      <c r="B769" s="10">
        <f>B768+3</f>
        <v>45815</v>
      </c>
      <c r="C769" s="9">
        <f t="shared" si="286"/>
        <v>842</v>
      </c>
      <c r="D769" s="8">
        <f t="shared" si="287"/>
        <v>3678</v>
      </c>
      <c r="E769" s="7">
        <f t="shared" si="288"/>
        <v>2115</v>
      </c>
      <c r="F769" s="7">
        <f t="shared" si="289"/>
        <v>2264</v>
      </c>
      <c r="G769" s="7">
        <f t="shared" si="290"/>
        <v>1842</v>
      </c>
      <c r="H769" s="4">
        <f t="shared" si="291"/>
        <v>2405</v>
      </c>
      <c r="I769" s="4">
        <f t="shared" si="292"/>
        <v>2256</v>
      </c>
      <c r="J769" s="4">
        <f t="shared" si="293"/>
        <v>2678</v>
      </c>
      <c r="K769" s="4">
        <f t="shared" si="294"/>
        <v>4000</v>
      </c>
      <c r="L769" s="4">
        <f t="shared" si="295"/>
        <v>4000</v>
      </c>
      <c r="M769" s="4">
        <f t="shared" si="296"/>
        <v>4000</v>
      </c>
      <c r="N769" s="4">
        <f t="shared" si="297"/>
        <v>-1595</v>
      </c>
      <c r="O769" s="4">
        <f t="shared" si="298"/>
        <v>-1744</v>
      </c>
      <c r="P769" s="4">
        <f t="shared" si="299"/>
        <v>-1322</v>
      </c>
      <c r="Q769" s="62">
        <v>10</v>
      </c>
      <c r="R769" s="7">
        <v>20</v>
      </c>
      <c r="S769" s="7">
        <v>12</v>
      </c>
      <c r="T769" s="5">
        <f t="shared" si="300"/>
        <v>824</v>
      </c>
      <c r="U769" s="6">
        <f t="shared" si="301"/>
        <v>3835</v>
      </c>
      <c r="V769" s="6">
        <f t="shared" si="302"/>
        <v>3696</v>
      </c>
      <c r="W769" s="6">
        <f t="shared" si="303"/>
        <v>4128</v>
      </c>
      <c r="X769" s="5"/>
      <c r="Y769" s="4"/>
      <c r="Z769" s="4"/>
      <c r="AA769" s="4"/>
      <c r="AB769" s="4"/>
    </row>
    <row r="770" spans="1:28" s="60" customFormat="1" ht="13.15" customHeight="1">
      <c r="A770" s="56">
        <f t="shared" si="285"/>
        <v>756</v>
      </c>
      <c r="B770" s="57">
        <f>B769+4</f>
        <v>45819</v>
      </c>
      <c r="C770" s="56">
        <f t="shared" si="286"/>
        <v>842</v>
      </c>
      <c r="D770" s="58">
        <f t="shared" si="287"/>
        <v>3680</v>
      </c>
      <c r="E770" s="12">
        <f t="shared" si="288"/>
        <v>2136</v>
      </c>
      <c r="F770" s="12">
        <f t="shared" si="289"/>
        <v>2290</v>
      </c>
      <c r="G770" s="12">
        <f t="shared" si="290"/>
        <v>1863</v>
      </c>
      <c r="H770" s="12">
        <f t="shared" si="291"/>
        <v>2386</v>
      </c>
      <c r="I770" s="12">
        <f t="shared" si="292"/>
        <v>2232</v>
      </c>
      <c r="J770" s="12">
        <f t="shared" si="293"/>
        <v>2659</v>
      </c>
      <c r="K770" s="12">
        <f t="shared" si="294"/>
        <v>4000</v>
      </c>
      <c r="L770" s="12">
        <f t="shared" si="295"/>
        <v>4000</v>
      </c>
      <c r="M770" s="12">
        <f t="shared" si="296"/>
        <v>4000</v>
      </c>
      <c r="N770" s="12">
        <f t="shared" si="297"/>
        <v>-1614</v>
      </c>
      <c r="O770" s="12">
        <f t="shared" si="298"/>
        <v>-1768</v>
      </c>
      <c r="P770" s="12">
        <f t="shared" si="299"/>
        <v>-1341</v>
      </c>
      <c r="Q770" s="30">
        <v>19</v>
      </c>
      <c r="R770" s="12">
        <v>24</v>
      </c>
      <c r="S770" s="12">
        <v>19</v>
      </c>
      <c r="T770" s="12">
        <f t="shared" si="300"/>
        <v>850</v>
      </c>
      <c r="U770" s="59">
        <f t="shared" si="301"/>
        <v>3816</v>
      </c>
      <c r="V770" s="59">
        <f t="shared" si="302"/>
        <v>3672</v>
      </c>
      <c r="W770" s="59">
        <f t="shared" si="303"/>
        <v>4109</v>
      </c>
      <c r="X770" s="12"/>
      <c r="Y770" s="12"/>
      <c r="Z770" s="12"/>
      <c r="AA770" s="12"/>
      <c r="AB770" s="12"/>
    </row>
    <row r="771" spans="1:28" ht="13.15" customHeight="1">
      <c r="A771" s="9">
        <f t="shared" si="285"/>
        <v>757</v>
      </c>
      <c r="B771" s="10">
        <f>B770+7</f>
        <v>45826</v>
      </c>
      <c r="C771" s="9">
        <f t="shared" si="286"/>
        <v>842</v>
      </c>
      <c r="D771" s="8">
        <f t="shared" si="287"/>
        <v>3682</v>
      </c>
      <c r="E771" s="7">
        <f t="shared" si="288"/>
        <v>2165</v>
      </c>
      <c r="F771" s="7">
        <f t="shared" si="289"/>
        <v>2314</v>
      </c>
      <c r="G771" s="7">
        <f t="shared" si="290"/>
        <v>1888</v>
      </c>
      <c r="H771" s="4">
        <f t="shared" si="291"/>
        <v>2359</v>
      </c>
      <c r="I771" s="4">
        <f t="shared" si="292"/>
        <v>2210</v>
      </c>
      <c r="J771" s="4">
        <f t="shared" si="293"/>
        <v>2636</v>
      </c>
      <c r="K771" s="4">
        <f t="shared" si="294"/>
        <v>4000</v>
      </c>
      <c r="L771" s="4">
        <f t="shared" si="295"/>
        <v>4000</v>
      </c>
      <c r="M771" s="4">
        <f t="shared" si="296"/>
        <v>4000</v>
      </c>
      <c r="N771" s="4">
        <f t="shared" si="297"/>
        <v>-1641</v>
      </c>
      <c r="O771" s="4">
        <f t="shared" si="298"/>
        <v>-1789.9999999999998</v>
      </c>
      <c r="P771" s="4">
        <f t="shared" si="299"/>
        <v>-1364</v>
      </c>
      <c r="Q771" s="62">
        <v>27</v>
      </c>
      <c r="R771" s="7">
        <v>21.999999999999773</v>
      </c>
      <c r="S771" s="7">
        <v>23</v>
      </c>
      <c r="T771" s="5">
        <f t="shared" si="300"/>
        <v>874</v>
      </c>
      <c r="U771" s="6">
        <f t="shared" si="301"/>
        <v>3789</v>
      </c>
      <c r="V771" s="6">
        <f t="shared" si="302"/>
        <v>3650</v>
      </c>
      <c r="W771" s="6">
        <f t="shared" si="303"/>
        <v>4086</v>
      </c>
      <c r="X771" s="5"/>
      <c r="Y771" s="4"/>
      <c r="Z771" s="4"/>
      <c r="AA771" s="4"/>
      <c r="AB771" s="4"/>
    </row>
    <row r="772" spans="1:28" ht="13.15" customHeight="1">
      <c r="A772" s="9">
        <f t="shared" si="285"/>
        <v>758</v>
      </c>
      <c r="B772" s="10">
        <f t="shared" ref="B772:B776" si="304">B771+7</f>
        <v>45833</v>
      </c>
      <c r="C772" s="9">
        <f t="shared" si="286"/>
        <v>842</v>
      </c>
      <c r="D772" s="8">
        <f t="shared" si="287"/>
        <v>3684</v>
      </c>
      <c r="E772" s="7">
        <f t="shared" si="288"/>
        <v>2187</v>
      </c>
      <c r="F772" s="7">
        <f t="shared" si="289"/>
        <v>2336</v>
      </c>
      <c r="G772" s="7">
        <f t="shared" si="290"/>
        <v>1910</v>
      </c>
      <c r="H772" s="4">
        <f t="shared" si="291"/>
        <v>2339</v>
      </c>
      <c r="I772" s="4">
        <f t="shared" si="292"/>
        <v>2190</v>
      </c>
      <c r="J772" s="4">
        <f t="shared" si="293"/>
        <v>2616</v>
      </c>
      <c r="K772" s="4">
        <f t="shared" si="294"/>
        <v>4000</v>
      </c>
      <c r="L772" s="4">
        <f t="shared" si="295"/>
        <v>4000</v>
      </c>
      <c r="M772" s="4">
        <f t="shared" si="296"/>
        <v>4000</v>
      </c>
      <c r="N772" s="4">
        <f t="shared" si="297"/>
        <v>-1661</v>
      </c>
      <c r="O772" s="4">
        <f t="shared" si="298"/>
        <v>-1809.9999999999998</v>
      </c>
      <c r="P772" s="4">
        <f t="shared" si="299"/>
        <v>-1384</v>
      </c>
      <c r="Q772" s="62">
        <v>20</v>
      </c>
      <c r="R772" s="7">
        <v>20</v>
      </c>
      <c r="S772" s="7">
        <v>20</v>
      </c>
      <c r="T772" s="5">
        <f t="shared" si="300"/>
        <v>896</v>
      </c>
      <c r="U772" s="6">
        <f t="shared" si="301"/>
        <v>3769</v>
      </c>
      <c r="V772" s="6">
        <f t="shared" si="302"/>
        <v>3630</v>
      </c>
      <c r="W772" s="6">
        <f t="shared" si="303"/>
        <v>4066</v>
      </c>
      <c r="X772" s="5"/>
      <c r="Y772" s="4"/>
      <c r="Z772" s="4"/>
      <c r="AA772" s="4"/>
      <c r="AB772" s="4"/>
    </row>
    <row r="773" spans="1:28" ht="13.15" customHeight="1">
      <c r="A773" s="9">
        <f t="shared" si="285"/>
        <v>759</v>
      </c>
      <c r="B773" s="10">
        <f t="shared" si="304"/>
        <v>45840</v>
      </c>
      <c r="C773" s="9">
        <f t="shared" si="286"/>
        <v>842</v>
      </c>
      <c r="D773" s="8">
        <f t="shared" si="287"/>
        <v>3686</v>
      </c>
      <c r="E773" s="7">
        <f t="shared" si="288"/>
        <v>2207</v>
      </c>
      <c r="F773" s="7">
        <f t="shared" si="289"/>
        <v>2360</v>
      </c>
      <c r="G773" s="7">
        <f t="shared" si="290"/>
        <v>1927</v>
      </c>
      <c r="H773" s="4">
        <f t="shared" si="291"/>
        <v>2321</v>
      </c>
      <c r="I773" s="4">
        <f t="shared" si="292"/>
        <v>2168</v>
      </c>
      <c r="J773" s="4">
        <f t="shared" si="293"/>
        <v>2601</v>
      </c>
      <c r="K773" s="4">
        <f t="shared" si="294"/>
        <v>4000</v>
      </c>
      <c r="L773" s="4">
        <f t="shared" si="295"/>
        <v>4000</v>
      </c>
      <c r="M773" s="4">
        <f t="shared" si="296"/>
        <v>4000</v>
      </c>
      <c r="N773" s="4">
        <f t="shared" si="297"/>
        <v>-1679</v>
      </c>
      <c r="O773" s="4">
        <f t="shared" si="298"/>
        <v>-1831.9999999999998</v>
      </c>
      <c r="P773" s="4">
        <f t="shared" si="299"/>
        <v>-1399</v>
      </c>
      <c r="Q773" s="62">
        <v>18</v>
      </c>
      <c r="R773" s="7">
        <v>22</v>
      </c>
      <c r="S773" s="7">
        <v>15</v>
      </c>
      <c r="T773" s="5">
        <f t="shared" si="300"/>
        <v>920</v>
      </c>
      <c r="U773" s="6">
        <f t="shared" si="301"/>
        <v>3751</v>
      </c>
      <c r="V773" s="6">
        <f t="shared" si="302"/>
        <v>3608</v>
      </c>
      <c r="W773" s="6">
        <f t="shared" si="303"/>
        <v>4051</v>
      </c>
      <c r="X773" s="5"/>
      <c r="Y773" s="4"/>
      <c r="Z773" s="4"/>
      <c r="AA773" s="4"/>
      <c r="AB773" s="4"/>
    </row>
    <row r="774" spans="1:28" ht="13.15" customHeight="1">
      <c r="A774" s="9">
        <f t="shared" si="285"/>
        <v>760</v>
      </c>
      <c r="B774" s="10">
        <f t="shared" si="304"/>
        <v>45847</v>
      </c>
      <c r="C774" s="9">
        <f t="shared" si="286"/>
        <v>842</v>
      </c>
      <c r="D774" s="8">
        <f t="shared" si="287"/>
        <v>3688</v>
      </c>
      <c r="E774" s="7">
        <f t="shared" si="288"/>
        <v>2223</v>
      </c>
      <c r="F774" s="7">
        <f t="shared" si="289"/>
        <v>2380</v>
      </c>
      <c r="G774" s="7">
        <f t="shared" si="290"/>
        <v>1941</v>
      </c>
      <c r="H774" s="4">
        <f t="shared" si="291"/>
        <v>2307</v>
      </c>
      <c r="I774" s="4">
        <f t="shared" si="292"/>
        <v>2150</v>
      </c>
      <c r="J774" s="4">
        <f t="shared" si="293"/>
        <v>2589</v>
      </c>
      <c r="K774" s="4">
        <f t="shared" si="294"/>
        <v>4000</v>
      </c>
      <c r="L774" s="4">
        <f t="shared" si="295"/>
        <v>4000</v>
      </c>
      <c r="M774" s="4">
        <f t="shared" si="296"/>
        <v>4000</v>
      </c>
      <c r="N774" s="4">
        <f t="shared" si="297"/>
        <v>-1693</v>
      </c>
      <c r="O774" s="4">
        <f t="shared" si="298"/>
        <v>-1849.9999999999998</v>
      </c>
      <c r="P774" s="4">
        <f t="shared" si="299"/>
        <v>-1411</v>
      </c>
      <c r="Q774" s="62">
        <v>14</v>
      </c>
      <c r="R774" s="7">
        <v>18</v>
      </c>
      <c r="S774" s="7">
        <v>12</v>
      </c>
      <c r="T774" s="5">
        <f t="shared" si="300"/>
        <v>940</v>
      </c>
      <c r="U774" s="6">
        <f t="shared" si="301"/>
        <v>3737</v>
      </c>
      <c r="V774" s="6">
        <f t="shared" si="302"/>
        <v>3590</v>
      </c>
      <c r="W774" s="6">
        <f t="shared" si="303"/>
        <v>4039</v>
      </c>
      <c r="X774" s="5"/>
      <c r="Y774" s="4"/>
      <c r="Z774" s="4"/>
      <c r="AA774" s="4"/>
      <c r="AB774" s="4"/>
    </row>
    <row r="775" spans="1:28" ht="13.15" customHeight="1">
      <c r="A775" s="9">
        <f t="shared" si="285"/>
        <v>761</v>
      </c>
      <c r="B775" s="10">
        <f t="shared" si="304"/>
        <v>45854</v>
      </c>
      <c r="C775" s="9">
        <f t="shared" si="286"/>
        <v>842</v>
      </c>
      <c r="D775" s="8">
        <f t="shared" si="287"/>
        <v>3690</v>
      </c>
      <c r="E775" s="7">
        <f t="shared" si="288"/>
        <v>2237</v>
      </c>
      <c r="F775" s="7">
        <f t="shared" si="289"/>
        <v>2398</v>
      </c>
      <c r="G775" s="7">
        <f t="shared" si="290"/>
        <v>1953</v>
      </c>
      <c r="H775" s="4">
        <f t="shared" si="291"/>
        <v>2295</v>
      </c>
      <c r="I775" s="4">
        <f t="shared" si="292"/>
        <v>2134</v>
      </c>
      <c r="J775" s="4">
        <f t="shared" si="293"/>
        <v>2579</v>
      </c>
      <c r="K775" s="4">
        <f t="shared" si="294"/>
        <v>4000</v>
      </c>
      <c r="L775" s="4">
        <f t="shared" si="295"/>
        <v>4000</v>
      </c>
      <c r="M775" s="4">
        <f t="shared" si="296"/>
        <v>4000</v>
      </c>
      <c r="N775" s="4">
        <f t="shared" si="297"/>
        <v>-1705</v>
      </c>
      <c r="O775" s="4">
        <f t="shared" si="298"/>
        <v>-1865.9999999999998</v>
      </c>
      <c r="P775" s="4">
        <f t="shared" si="299"/>
        <v>-1421</v>
      </c>
      <c r="Q775" s="62">
        <v>12</v>
      </c>
      <c r="R775" s="7">
        <v>16</v>
      </c>
      <c r="S775" s="7">
        <v>10</v>
      </c>
      <c r="T775" s="5">
        <f t="shared" si="300"/>
        <v>958</v>
      </c>
      <c r="U775" s="6">
        <f t="shared" si="301"/>
        <v>3725</v>
      </c>
      <c r="V775" s="6">
        <f t="shared" si="302"/>
        <v>3574</v>
      </c>
      <c r="W775" s="6">
        <f t="shared" si="303"/>
        <v>4029</v>
      </c>
      <c r="X775" s="5"/>
      <c r="Y775" s="4"/>
      <c r="Z775" s="4"/>
      <c r="AA775" s="4"/>
      <c r="AB775" s="4"/>
    </row>
    <row r="776" spans="1:28" ht="13.15" customHeight="1">
      <c r="A776" s="9">
        <f t="shared" si="285"/>
        <v>762</v>
      </c>
      <c r="B776" s="10">
        <f t="shared" si="304"/>
        <v>45861</v>
      </c>
      <c r="C776" s="9">
        <f t="shared" si="286"/>
        <v>842</v>
      </c>
      <c r="D776" s="8">
        <f t="shared" si="287"/>
        <v>3692</v>
      </c>
      <c r="E776" s="7">
        <f t="shared" ref="E776" si="305">C776+D776-H776</f>
        <v>2249</v>
      </c>
      <c r="F776" s="7">
        <f t="shared" ref="F776" si="306">C776+D776-I776</f>
        <v>2420</v>
      </c>
      <c r="G776" s="7">
        <f t="shared" ref="G776" si="307">D776+C776-J776</f>
        <v>1963</v>
      </c>
      <c r="H776" s="4">
        <f t="shared" ref="H776" si="308">K776+N776</f>
        <v>2285</v>
      </c>
      <c r="I776" s="4">
        <f t="shared" ref="I776" si="309">L776+O776</f>
        <v>2114</v>
      </c>
      <c r="J776" s="4">
        <f t="shared" ref="J776" si="310">M776+P776</f>
        <v>2571</v>
      </c>
      <c r="K776" s="4">
        <f t="shared" si="294"/>
        <v>4000</v>
      </c>
      <c r="L776" s="4">
        <f t="shared" si="295"/>
        <v>4000</v>
      </c>
      <c r="M776" s="4">
        <f t="shared" si="296"/>
        <v>4000</v>
      </c>
      <c r="N776" s="4">
        <f t="shared" ref="N776" si="311">N775-Q776</f>
        <v>-1715</v>
      </c>
      <c r="O776" s="4">
        <f t="shared" ref="O776" si="312">O775-R776</f>
        <v>-1885.9999999999998</v>
      </c>
      <c r="P776" s="4">
        <f t="shared" ref="P776" si="313">P775-S776</f>
        <v>-1429</v>
      </c>
      <c r="Q776" s="62">
        <v>10</v>
      </c>
      <c r="R776" s="7">
        <v>20</v>
      </c>
      <c r="S776" s="7">
        <v>8</v>
      </c>
      <c r="T776" s="5">
        <f t="shared" ref="T776" si="314">D776+C776-V776</f>
        <v>980</v>
      </c>
      <c r="U776" s="6">
        <f t="shared" ref="U776" si="315">U775+$X776*1000-Q776</f>
        <v>3715</v>
      </c>
      <c r="V776" s="6">
        <f t="shared" ref="V776" si="316">V775+$X776*1000-R776</f>
        <v>3554</v>
      </c>
      <c r="W776" s="6">
        <f t="shared" ref="W776" si="317">W775+$X776*1000-S776</f>
        <v>4021</v>
      </c>
      <c r="X776" s="5"/>
      <c r="Y776" s="4"/>
      <c r="Z776" s="4"/>
      <c r="AA776" s="4"/>
      <c r="AB776" s="4"/>
    </row>
    <row r="777" spans="1:28" customFormat="1" ht="13.15" customHeight="1"/>
    <row r="778" spans="1:28" customFormat="1" ht="13.15" customHeight="1">
      <c r="Q778" s="61"/>
      <c r="R778" s="61"/>
      <c r="S778" s="61"/>
    </row>
    <row r="779" spans="1:28" customFormat="1" ht="13.15" customHeight="1"/>
  </sheetData>
  <mergeCells count="27">
    <mergeCell ref="I6:R6"/>
    <mergeCell ref="S5:AB5"/>
    <mergeCell ref="S6:AB6"/>
    <mergeCell ref="A7:AB7"/>
    <mergeCell ref="K12:M12"/>
    <mergeCell ref="H12:J12"/>
    <mergeCell ref="AB12:AB13"/>
    <mergeCell ref="N12:P12"/>
    <mergeCell ref="Z12:Z13"/>
    <mergeCell ref="AA12:AA13"/>
    <mergeCell ref="X12:X13"/>
    <mergeCell ref="A2:AB2"/>
    <mergeCell ref="A3:AB3"/>
    <mergeCell ref="A12:A13"/>
    <mergeCell ref="B12:B13"/>
    <mergeCell ref="C12:C13"/>
    <mergeCell ref="D12:D13"/>
    <mergeCell ref="E12:G12"/>
    <mergeCell ref="Q12:S12"/>
    <mergeCell ref="T12:T13"/>
    <mergeCell ref="Y12:Y13"/>
    <mergeCell ref="M10:N10"/>
    <mergeCell ref="U12:W12"/>
    <mergeCell ref="A4:AB4"/>
    <mergeCell ref="A5:H5"/>
    <mergeCell ref="A6:H6"/>
    <mergeCell ref="I5:R5"/>
  </mergeCells>
  <printOptions horizontalCentered="1"/>
  <pageMargins left="0.39370078740157483" right="0.39370078740157483" top="0.78740157480314965" bottom="0.39370078740157483" header="0.31496062992125984" footer="0.31496062992125984"/>
  <pageSetup paperSize="9" scale="55" fitToHeight="0" orientation="landscape" blackAndWhite="1" r:id="rId1"/>
  <colBreaks count="1" manualBreakCount="1">
    <brk id="28"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114+220</vt:lpstr>
      <vt:lpstr>'114+220'!Print_Area</vt:lpstr>
      <vt:lpstr>'114+220'!Print_Titles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tan</dc:creator>
  <cp:lastModifiedBy>Đăng Huân Võ</cp:lastModifiedBy>
  <dcterms:created xsi:type="dcterms:W3CDTF">2025-07-23T00:44:06Z</dcterms:created>
  <dcterms:modified xsi:type="dcterms:W3CDTF">2025-07-29T03:13:21Z</dcterms:modified>
</cp:coreProperties>
</file>