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ĐẦU NAI\SLQT\"/>
    </mc:Choice>
  </mc:AlternateContent>
  <xr:revisionPtr revIDLastSave="0" documentId="13_ncr:1_{EFF0BDBA-E42E-4FCA-9C5B-FA3C52DAC71C}" xr6:coauthVersionLast="47" xr6:coauthVersionMax="47" xr10:uidLastSave="{00000000-0000-0000-0000-000000000000}"/>
  <bookViews>
    <workbookView xWindow="-120" yWindow="-120" windowWidth="29040" windowHeight="15840" activeTab="2" xr2:uid="{4173A47E-02D0-4439-B2AE-95B6298F004A}"/>
  </bookViews>
  <sheets>
    <sheet name="115+260" sheetId="2" r:id="rId1"/>
    <sheet name="BC.115+260" sheetId="3" r:id="rId2"/>
    <sheet name="SL.115+26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'115+260'!$A$2:$AB$638</definedName>
    <definedName name="_xlnm.Print_Area" localSheetId="1">'BC.115+260'!$A$1:$AB$297</definedName>
    <definedName name="_xlnm.Print_Area" localSheetId="2">'SL.115+260'!$A$1:$O$420</definedName>
    <definedName name="_xlnm.Print_Titles" localSheetId="0">'115+260'!$12:$13</definedName>
    <definedName name="_xlnm.Print_Titles" localSheetId="1">'BC.115+260'!$1:$12</definedName>
    <definedName name="_xlnm.Print_Titles" localSheetId="2">'SL.115+260'!$12:$13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'115+260'!#REF!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20" i="4" l="1"/>
  <c r="A539" i="4"/>
  <c r="B539" i="4"/>
  <c r="A540" i="4"/>
  <c r="B540" i="4"/>
  <c r="B539" i="3"/>
  <c r="C539" i="3" s="1"/>
  <c r="D539" i="3"/>
  <c r="E539" i="3"/>
  <c r="F539" i="3" s="1"/>
  <c r="H539" i="3"/>
  <c r="J539" i="3"/>
  <c r="G540" i="4" s="1"/>
  <c r="K539" i="3"/>
  <c r="L539" i="3"/>
  <c r="Q539" i="3"/>
  <c r="T539" i="3"/>
  <c r="V539" i="3"/>
  <c r="K540" i="4" s="1"/>
  <c r="W539" i="3"/>
  <c r="X539" i="3"/>
  <c r="B540" i="3"/>
  <c r="M540" i="3" s="1"/>
  <c r="D540" i="3"/>
  <c r="F540" i="3" s="1"/>
  <c r="E540" i="3"/>
  <c r="G540" i="3"/>
  <c r="H540" i="3"/>
  <c r="J540" i="3"/>
  <c r="K540" i="3"/>
  <c r="L540" i="3" s="1"/>
  <c r="N540" i="3"/>
  <c r="P540" i="3"/>
  <c r="Q540" i="3"/>
  <c r="S540" i="3"/>
  <c r="T540" i="3"/>
  <c r="V540" i="3"/>
  <c r="W540" i="3"/>
  <c r="X540" i="3" s="1"/>
  <c r="B541" i="3"/>
  <c r="H541" i="3" s="1"/>
  <c r="D541" i="3"/>
  <c r="E541" i="3"/>
  <c r="F541" i="3" s="1"/>
  <c r="G541" i="3"/>
  <c r="K541" i="3"/>
  <c r="S541" i="3"/>
  <c r="W541" i="3"/>
  <c r="X541" i="3" s="1"/>
  <c r="B542" i="3"/>
  <c r="E542" i="3" s="1"/>
  <c r="C542" i="3"/>
  <c r="D542" i="3"/>
  <c r="K542" i="3"/>
  <c r="P542" i="3"/>
  <c r="Q542" i="3"/>
  <c r="W542" i="3"/>
  <c r="X542" i="3" s="1"/>
  <c r="X543" i="3" s="1"/>
  <c r="B543" i="3"/>
  <c r="C543" i="3" s="1"/>
  <c r="H543" i="3"/>
  <c r="J543" i="3"/>
  <c r="K543" i="3"/>
  <c r="M543" i="3"/>
  <c r="N543" i="3"/>
  <c r="Q543" i="3"/>
  <c r="T543" i="3"/>
  <c r="V543" i="3"/>
  <c r="W543" i="3"/>
  <c r="B544" i="3"/>
  <c r="M544" i="3" s="1"/>
  <c r="E544" i="3"/>
  <c r="G544" i="3"/>
  <c r="H544" i="3"/>
  <c r="J544" i="3"/>
  <c r="K544" i="3"/>
  <c r="P544" i="3"/>
  <c r="Q544" i="3"/>
  <c r="S544" i="3"/>
  <c r="T544" i="3"/>
  <c r="V544" i="3"/>
  <c r="W544" i="3"/>
  <c r="Y541" i="3" l="1"/>
  <c r="Z541" i="3" s="1"/>
  <c r="L541" i="3"/>
  <c r="I541" i="3"/>
  <c r="X544" i="3"/>
  <c r="L542" i="3"/>
  <c r="L543" i="3" s="1"/>
  <c r="F542" i="3"/>
  <c r="U540" i="3"/>
  <c r="O540" i="3"/>
  <c r="I540" i="3"/>
  <c r="I539" i="3"/>
  <c r="F540" i="4" s="1"/>
  <c r="U539" i="3"/>
  <c r="J540" i="4" s="1"/>
  <c r="L544" i="3"/>
  <c r="M542" i="3"/>
  <c r="P541" i="3"/>
  <c r="C541" i="3"/>
  <c r="N541" i="3"/>
  <c r="O541" i="3" s="1"/>
  <c r="S543" i="3"/>
  <c r="C544" i="3"/>
  <c r="C540" i="3"/>
  <c r="N544" i="3"/>
  <c r="E543" i="3"/>
  <c r="T542" i="3"/>
  <c r="H542" i="3"/>
  <c r="P543" i="3"/>
  <c r="D543" i="3"/>
  <c r="S542" i="3"/>
  <c r="Y542" i="3" s="1"/>
  <c r="Z542" i="3" s="1"/>
  <c r="G542" i="3"/>
  <c r="V541" i="3"/>
  <c r="J541" i="3"/>
  <c r="N542" i="3"/>
  <c r="G543" i="3"/>
  <c r="V542" i="3"/>
  <c r="J542" i="3"/>
  <c r="M541" i="3"/>
  <c r="T541" i="3"/>
  <c r="U541" i="3" s="1"/>
  <c r="Y543" i="3" l="1"/>
  <c r="Z543" i="3" s="1"/>
  <c r="I542" i="3"/>
  <c r="U542" i="3"/>
  <c r="O542" i="3"/>
  <c r="D544" i="3"/>
  <c r="F544" i="3" s="1"/>
  <c r="F543" i="3"/>
  <c r="Y544" i="3"/>
  <c r="Z544" i="3" s="1"/>
  <c r="O544" i="3" l="1"/>
  <c r="I544" i="3"/>
  <c r="U544" i="3"/>
  <c r="O543" i="3"/>
  <c r="I543" i="3"/>
  <c r="U543" i="3"/>
  <c r="A539" i="2" l="1"/>
  <c r="A540" i="2" s="1"/>
  <c r="B539" i="2"/>
  <c r="B540" i="2" s="1"/>
  <c r="C539" i="2"/>
  <c r="D539" i="2"/>
  <c r="D540" i="2" s="1"/>
  <c r="K539" i="2"/>
  <c r="L539" i="2"/>
  <c r="L540" i="2" s="1"/>
  <c r="M539" i="2"/>
  <c r="M540" i="2" s="1"/>
  <c r="C540" i="2"/>
  <c r="K540" i="2"/>
  <c r="A536" i="4"/>
  <c r="B536" i="4"/>
  <c r="A537" i="4"/>
  <c r="B537" i="4"/>
  <c r="B538" i="4" s="1"/>
  <c r="A538" i="4"/>
  <c r="A511" i="4"/>
  <c r="B511" i="4"/>
  <c r="A512" i="4"/>
  <c r="B512" i="4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B526" i="3"/>
  <c r="C526" i="3" s="1"/>
  <c r="D526" i="3"/>
  <c r="K526" i="3"/>
  <c r="Q526" i="3"/>
  <c r="W526" i="3"/>
  <c r="B527" i="3"/>
  <c r="C527" i="3"/>
  <c r="D527" i="3"/>
  <c r="K527" i="3"/>
  <c r="Q527" i="3"/>
  <c r="W527" i="3"/>
  <c r="B528" i="3"/>
  <c r="C528" i="3"/>
  <c r="D528" i="3"/>
  <c r="E528" i="3"/>
  <c r="K528" i="3"/>
  <c r="Q528" i="3"/>
  <c r="W528" i="3"/>
  <c r="B529" i="3"/>
  <c r="D529" i="3"/>
  <c r="E529" i="3"/>
  <c r="K529" i="3"/>
  <c r="Q529" i="3"/>
  <c r="W529" i="3"/>
  <c r="B530" i="3"/>
  <c r="C530" i="3" s="1"/>
  <c r="K530" i="3"/>
  <c r="Q530" i="3"/>
  <c r="W530" i="3"/>
  <c r="B531" i="3"/>
  <c r="K531" i="3"/>
  <c r="Q531" i="3"/>
  <c r="W531" i="3"/>
  <c r="B532" i="3"/>
  <c r="E532" i="3"/>
  <c r="K532" i="3"/>
  <c r="Q532" i="3"/>
  <c r="W532" i="3"/>
  <c r="B533" i="3"/>
  <c r="E533" i="3"/>
  <c r="K533" i="3"/>
  <c r="Q533" i="3"/>
  <c r="W533" i="3"/>
  <c r="B534" i="3"/>
  <c r="C534" i="3" s="1"/>
  <c r="K534" i="3"/>
  <c r="Q534" i="3"/>
  <c r="W534" i="3"/>
  <c r="B535" i="3"/>
  <c r="K535" i="3"/>
  <c r="Q535" i="3"/>
  <c r="W535" i="3"/>
  <c r="B536" i="3"/>
  <c r="E536" i="3"/>
  <c r="K536" i="3"/>
  <c r="Q536" i="3"/>
  <c r="W536" i="3"/>
  <c r="B537" i="3"/>
  <c r="E537" i="3"/>
  <c r="K537" i="3"/>
  <c r="Q537" i="3"/>
  <c r="W537" i="3"/>
  <c r="B538" i="3"/>
  <c r="C538" i="3" s="1"/>
  <c r="K538" i="3"/>
  <c r="Q538" i="3"/>
  <c r="W538" i="3"/>
  <c r="B510" i="3"/>
  <c r="C510" i="3" s="1"/>
  <c r="D510" i="3"/>
  <c r="K510" i="3"/>
  <c r="Q510" i="3"/>
  <c r="W510" i="3"/>
  <c r="X510" i="3" s="1"/>
  <c r="B511" i="3"/>
  <c r="K511" i="3"/>
  <c r="Q511" i="3"/>
  <c r="W511" i="3"/>
  <c r="B512" i="3"/>
  <c r="C512" i="3"/>
  <c r="K512" i="3"/>
  <c r="Q512" i="3"/>
  <c r="W512" i="3"/>
  <c r="B513" i="3"/>
  <c r="E513" i="3"/>
  <c r="K513" i="3"/>
  <c r="Q513" i="3"/>
  <c r="W513" i="3"/>
  <c r="B514" i="3"/>
  <c r="C514" i="3" s="1"/>
  <c r="K514" i="3"/>
  <c r="Q514" i="3"/>
  <c r="W514" i="3"/>
  <c r="B515" i="3"/>
  <c r="K515" i="3"/>
  <c r="Q515" i="3"/>
  <c r="W515" i="3"/>
  <c r="B516" i="3"/>
  <c r="K516" i="3"/>
  <c r="Q516" i="3"/>
  <c r="W516" i="3"/>
  <c r="B517" i="3"/>
  <c r="E517" i="3"/>
  <c r="K517" i="3"/>
  <c r="Q517" i="3"/>
  <c r="W517" i="3"/>
  <c r="B518" i="3"/>
  <c r="C518" i="3" s="1"/>
  <c r="K518" i="3"/>
  <c r="Q518" i="3"/>
  <c r="W518" i="3"/>
  <c r="B519" i="3"/>
  <c r="K519" i="3"/>
  <c r="Q519" i="3"/>
  <c r="W519" i="3"/>
  <c r="B520" i="3"/>
  <c r="E520" i="3"/>
  <c r="K520" i="3"/>
  <c r="Q520" i="3"/>
  <c r="W520" i="3"/>
  <c r="B521" i="3"/>
  <c r="E521" i="3"/>
  <c r="K521" i="3"/>
  <c r="Q521" i="3"/>
  <c r="W521" i="3"/>
  <c r="B522" i="3"/>
  <c r="C522" i="3" s="1"/>
  <c r="K522" i="3"/>
  <c r="Q522" i="3"/>
  <c r="W522" i="3"/>
  <c r="B523" i="3"/>
  <c r="K523" i="3"/>
  <c r="Q523" i="3"/>
  <c r="W523" i="3"/>
  <c r="B524" i="3"/>
  <c r="E524" i="3"/>
  <c r="K524" i="3"/>
  <c r="Q524" i="3"/>
  <c r="W524" i="3"/>
  <c r="B525" i="3"/>
  <c r="E525" i="3"/>
  <c r="K525" i="3"/>
  <c r="Q525" i="3"/>
  <c r="W525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X511" i="3" l="1"/>
  <c r="F529" i="3"/>
  <c r="F528" i="3"/>
  <c r="C537" i="3"/>
  <c r="C533" i="3"/>
  <c r="C529" i="3"/>
  <c r="C536" i="3"/>
  <c r="C532" i="3"/>
  <c r="E527" i="3"/>
  <c r="F527" i="3" s="1"/>
  <c r="E535" i="3"/>
  <c r="E531" i="3"/>
  <c r="C535" i="3"/>
  <c r="C531" i="3"/>
  <c r="E538" i="3"/>
  <c r="E534" i="3"/>
  <c r="E530" i="3"/>
  <c r="E526" i="3"/>
  <c r="F526" i="3" s="1"/>
  <c r="D530" i="3"/>
  <c r="X512" i="3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C525" i="3"/>
  <c r="C521" i="3"/>
  <c r="C517" i="3"/>
  <c r="C513" i="3"/>
  <c r="E512" i="3"/>
  <c r="E516" i="3"/>
  <c r="C524" i="3"/>
  <c r="E519" i="3"/>
  <c r="D511" i="3"/>
  <c r="C520" i="3"/>
  <c r="C516" i="3"/>
  <c r="E523" i="3"/>
  <c r="E515" i="3"/>
  <c r="E511" i="3"/>
  <c r="C523" i="3"/>
  <c r="C519" i="3"/>
  <c r="C515" i="3"/>
  <c r="C511" i="3"/>
  <c r="E522" i="3"/>
  <c r="E518" i="3"/>
  <c r="E514" i="3"/>
  <c r="E510" i="3"/>
  <c r="F510" i="3" s="1"/>
  <c r="F530" i="3" l="1"/>
  <c r="D531" i="3"/>
  <c r="F511" i="3"/>
  <c r="D512" i="3"/>
  <c r="D532" i="3" l="1"/>
  <c r="F531" i="3"/>
  <c r="F512" i="3"/>
  <c r="D513" i="3"/>
  <c r="D533" i="3" l="1"/>
  <c r="F532" i="3"/>
  <c r="F513" i="3"/>
  <c r="D514" i="3"/>
  <c r="F533" i="3" l="1"/>
  <c r="D534" i="3"/>
  <c r="F514" i="3"/>
  <c r="D515" i="3"/>
  <c r="F534" i="3" l="1"/>
  <c r="D535" i="3"/>
  <c r="F515" i="3"/>
  <c r="D516" i="3"/>
  <c r="D536" i="3" l="1"/>
  <c r="F535" i="3"/>
  <c r="F516" i="3"/>
  <c r="D517" i="3"/>
  <c r="D537" i="3" l="1"/>
  <c r="F536" i="3"/>
  <c r="F517" i="3"/>
  <c r="D518" i="3"/>
  <c r="F537" i="3" l="1"/>
  <c r="D538" i="3"/>
  <c r="F538" i="3" s="1"/>
  <c r="F518" i="3"/>
  <c r="D519" i="3"/>
  <c r="F519" i="3" l="1"/>
  <c r="D520" i="3"/>
  <c r="D521" i="3" l="1"/>
  <c r="F520" i="3"/>
  <c r="F521" i="3" l="1"/>
  <c r="D522" i="3"/>
  <c r="F522" i="3" l="1"/>
  <c r="D523" i="3"/>
  <c r="F523" i="3" l="1"/>
  <c r="D524" i="3"/>
  <c r="D525" i="3" l="1"/>
  <c r="F525" i="3" s="1"/>
  <c r="F524" i="3"/>
  <c r="B530" i="2" l="1"/>
  <c r="B531" i="2" s="1"/>
  <c r="B532" i="2" s="1"/>
  <c r="B533" i="2" s="1"/>
  <c r="B534" i="2" s="1"/>
  <c r="B535" i="2" s="1"/>
  <c r="B536" i="2" s="1"/>
  <c r="B537" i="2" s="1"/>
  <c r="B538" i="2" s="1"/>
  <c r="B529" i="2"/>
  <c r="B526" i="2"/>
  <c r="B527" i="2" s="1"/>
  <c r="B528" i="2" s="1"/>
  <c r="B525" i="2"/>
  <c r="B524" i="2"/>
  <c r="B523" i="2"/>
  <c r="B522" i="2"/>
  <c r="B521" i="2"/>
  <c r="A529" i="2"/>
  <c r="A530" i="2" s="1"/>
  <c r="A531" i="2" s="1"/>
  <c r="A532" i="2" s="1"/>
  <c r="A533" i="2" s="1"/>
  <c r="A534" i="2" s="1"/>
  <c r="A535" i="2" s="1"/>
  <c r="A536" i="2" s="1"/>
  <c r="A537" i="2" s="1"/>
  <c r="A538" i="2" s="1"/>
  <c r="C529" i="2"/>
  <c r="D529" i="2"/>
  <c r="K529" i="2"/>
  <c r="L529" i="2"/>
  <c r="L530" i="2" s="1"/>
  <c r="M529" i="2"/>
  <c r="M530" i="2" s="1"/>
  <c r="C530" i="2"/>
  <c r="D530" i="2"/>
  <c r="K530" i="2"/>
  <c r="K531" i="2" s="1"/>
  <c r="C531" i="2"/>
  <c r="C532" i="2" s="1"/>
  <c r="A511" i="2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B511" i="2"/>
  <c r="B512" i="2" s="1"/>
  <c r="B513" i="2" s="1"/>
  <c r="B514" i="2" s="1"/>
  <c r="B515" i="2" s="1"/>
  <c r="B516" i="2" s="1"/>
  <c r="B517" i="2" s="1"/>
  <c r="B518" i="2" s="1"/>
  <c r="B519" i="2" s="1"/>
  <c r="B520" i="2" s="1"/>
  <c r="C511" i="2"/>
  <c r="D511" i="2"/>
  <c r="K511" i="2"/>
  <c r="L511" i="2"/>
  <c r="M511" i="2"/>
  <c r="M512" i="2" s="1"/>
  <c r="P511" i="2"/>
  <c r="K512" i="2"/>
  <c r="L512" i="2"/>
  <c r="K513" i="2"/>
  <c r="K514" i="2" s="1"/>
  <c r="L513" i="2"/>
  <c r="L514" i="2" s="1"/>
  <c r="A3" i="4"/>
  <c r="F5" i="4"/>
  <c r="B7" i="4"/>
  <c r="M7" i="4"/>
  <c r="B8" i="4"/>
  <c r="B9" i="4"/>
  <c r="A11" i="4" s="1"/>
  <c r="E14" i="4"/>
  <c r="B274" i="4"/>
  <c r="B275" i="4" s="1"/>
  <c r="B276" i="4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3" i="3"/>
  <c r="J5" i="3"/>
  <c r="C7" i="3"/>
  <c r="N7" i="3"/>
  <c r="C8" i="3"/>
  <c r="C9" i="3"/>
  <c r="B13" i="3"/>
  <c r="K13" i="3"/>
  <c r="P13" i="3"/>
  <c r="Q13" i="3"/>
  <c r="W13" i="3"/>
  <c r="Z13" i="3"/>
  <c r="AA13" i="3" s="1"/>
  <c r="K14" i="3"/>
  <c r="L14" i="3"/>
  <c r="Q14" i="3"/>
  <c r="R14" i="3" s="1"/>
  <c r="W14" i="3"/>
  <c r="X14" i="3"/>
  <c r="K15" i="3"/>
  <c r="L15" i="3" s="1"/>
  <c r="L16" i="3" s="1"/>
  <c r="Q15" i="3"/>
  <c r="W15" i="3"/>
  <c r="X15" i="3" s="1"/>
  <c r="X16" i="3" s="1"/>
  <c r="A16" i="3"/>
  <c r="A17" i="3" s="1"/>
  <c r="A18" i="3" s="1"/>
  <c r="K16" i="3"/>
  <c r="Q16" i="3"/>
  <c r="W16" i="3"/>
  <c r="K17" i="3"/>
  <c r="Q17" i="3"/>
  <c r="W17" i="3"/>
  <c r="K18" i="3"/>
  <c r="Q18" i="3"/>
  <c r="W18" i="3"/>
  <c r="A19" i="3"/>
  <c r="A20" i="3" s="1"/>
  <c r="A21" i="3" s="1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4" i="2"/>
  <c r="I14" i="2"/>
  <c r="F14" i="2" s="1"/>
  <c r="J14" i="2"/>
  <c r="G14" i="2" s="1"/>
  <c r="U14" i="2"/>
  <c r="V14" i="2"/>
  <c r="W14" i="2"/>
  <c r="B15" i="2"/>
  <c r="B16" i="2" s="1"/>
  <c r="B17" i="2" s="1"/>
  <c r="B18" i="2" s="1"/>
  <c r="B19" i="2" s="1"/>
  <c r="B20" i="2" s="1"/>
  <c r="C15" i="2"/>
  <c r="D15" i="2"/>
  <c r="H15" i="2"/>
  <c r="K15" i="2"/>
  <c r="L15" i="2"/>
  <c r="M15" i="2"/>
  <c r="J15" i="2" s="1"/>
  <c r="N15" i="2"/>
  <c r="N16" i="2" s="1"/>
  <c r="N17" i="2" s="1"/>
  <c r="N18" i="2" s="1"/>
  <c r="N19" i="2" s="1"/>
  <c r="N20" i="2" s="1"/>
  <c r="O15" i="2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P15" i="2"/>
  <c r="P16" i="2" s="1"/>
  <c r="P17" i="2" s="1"/>
  <c r="P18" i="2" s="1"/>
  <c r="P19" i="2" s="1"/>
  <c r="U15" i="2"/>
  <c r="W15" i="2"/>
  <c r="H16" i="2"/>
  <c r="K16" i="2"/>
  <c r="M16" i="2"/>
  <c r="J16" i="2" s="1"/>
  <c r="U16" i="2"/>
  <c r="W16" i="2"/>
  <c r="W17" i="2" s="1"/>
  <c r="W18" i="2" s="1"/>
  <c r="J17" i="2"/>
  <c r="K17" i="2"/>
  <c r="M17" i="2"/>
  <c r="M18" i="2" s="1"/>
  <c r="U17" i="2"/>
  <c r="K18" i="2"/>
  <c r="H18" i="2" s="1"/>
  <c r="U18" i="2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K19" i="2"/>
  <c r="K20" i="2" s="1"/>
  <c r="W19" i="2"/>
  <c r="W20" i="2" s="1"/>
  <c r="W21" i="2" s="1"/>
  <c r="W22" i="2" s="1"/>
  <c r="W23" i="2" s="1"/>
  <c r="W24" i="2" s="1"/>
  <c r="W25" i="2" s="1"/>
  <c r="W26" i="2" s="1"/>
  <c r="P20" i="2"/>
  <c r="P21" i="2" s="1"/>
  <c r="P22" i="2" s="1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P23" i="2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O26" i="2"/>
  <c r="O27" i="2" s="1"/>
  <c r="O28" i="2" s="1"/>
  <c r="O29" i="2" s="1"/>
  <c r="O30" i="2" s="1"/>
  <c r="O31" i="2" s="1"/>
  <c r="W27" i="2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O32" i="2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P39" i="2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B45" i="2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U45" i="2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N46" i="2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P55" i="2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U77" i="2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B93" i="2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N93" i="2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P138" i="2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B142" i="2"/>
  <c r="B143" i="2" s="1"/>
  <c r="B144" i="2" s="1"/>
  <c r="B145" i="2" s="1"/>
  <c r="B146" i="2" s="1"/>
  <c r="B147" i="2" s="1"/>
  <c r="B148" i="2" s="1"/>
  <c r="B149" i="2" s="1"/>
  <c r="B150" i="2" s="1"/>
  <c r="B151" i="2" s="1"/>
  <c r="B152" i="2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U172" i="2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A298" i="2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I511" i="2" l="1"/>
  <c r="P510" i="3"/>
  <c r="I511" i="4" s="1"/>
  <c r="W512" i="2"/>
  <c r="S510" i="3"/>
  <c r="P512" i="2"/>
  <c r="V510" i="3"/>
  <c r="K511" i="4" s="1"/>
  <c r="U512" i="2"/>
  <c r="G510" i="3"/>
  <c r="H511" i="2"/>
  <c r="E511" i="2" s="1"/>
  <c r="H510" i="3" s="1"/>
  <c r="I510" i="3" s="1"/>
  <c r="F511" i="4" s="1"/>
  <c r="J510" i="3"/>
  <c r="G511" i="4" s="1"/>
  <c r="C533" i="2"/>
  <c r="M531" i="2"/>
  <c r="L531" i="2"/>
  <c r="K532" i="2"/>
  <c r="D531" i="2"/>
  <c r="L515" i="2"/>
  <c r="K515" i="2"/>
  <c r="M513" i="2"/>
  <c r="J512" i="2"/>
  <c r="D512" i="2"/>
  <c r="O512" i="2"/>
  <c r="P511" i="3" s="1"/>
  <c r="I512" i="4" s="1"/>
  <c r="C512" i="2"/>
  <c r="N512" i="2"/>
  <c r="J511" i="3" s="1"/>
  <c r="G512" i="4" s="1"/>
  <c r="J511" i="2"/>
  <c r="G511" i="2" s="1"/>
  <c r="T510" i="3" s="1"/>
  <c r="U510" i="3" s="1"/>
  <c r="J511" i="4" s="1"/>
  <c r="F511" i="2"/>
  <c r="N510" i="3" s="1"/>
  <c r="O510" i="3" s="1"/>
  <c r="H511" i="4" s="1"/>
  <c r="E15" i="2"/>
  <c r="C16" i="2"/>
  <c r="T15" i="2"/>
  <c r="V15" i="2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T14" i="2"/>
  <c r="M19" i="2"/>
  <c r="J18" i="2"/>
  <c r="H17" i="2"/>
  <c r="K21" i="2"/>
  <c r="H20" i="2"/>
  <c r="L16" i="2"/>
  <c r="I15" i="2"/>
  <c r="F15" i="2" s="1"/>
  <c r="H19" i="2"/>
  <c r="M9" i="4"/>
  <c r="N9" i="3"/>
  <c r="M8" i="4"/>
  <c r="N8" i="3"/>
  <c r="D16" i="2"/>
  <c r="G15" i="2"/>
  <c r="R15" i="3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AB540" i="3" s="1"/>
  <c r="A14" i="4"/>
  <c r="D13" i="3"/>
  <c r="E13" i="3"/>
  <c r="G13" i="3"/>
  <c r="H13" i="3"/>
  <c r="V13" i="3"/>
  <c r="J13" i="3"/>
  <c r="M13" i="3"/>
  <c r="C14" i="4" s="1"/>
  <c r="N13" i="3"/>
  <c r="X17" i="3"/>
  <c r="D14" i="4"/>
  <c r="X18" i="3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L17" i="3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T13" i="3"/>
  <c r="S13" i="3"/>
  <c r="V512" i="2" l="1"/>
  <c r="T512" i="2" s="1"/>
  <c r="M510" i="3"/>
  <c r="P513" i="2"/>
  <c r="V511" i="3"/>
  <c r="K512" i="4" s="1"/>
  <c r="W513" i="2"/>
  <c r="S511" i="3"/>
  <c r="Y511" i="3" s="1"/>
  <c r="Z511" i="3" s="1"/>
  <c r="U513" i="2"/>
  <c r="G511" i="3"/>
  <c r="T511" i="2"/>
  <c r="K533" i="2"/>
  <c r="L532" i="2"/>
  <c r="C534" i="2"/>
  <c r="D532" i="2"/>
  <c r="M532" i="2"/>
  <c r="C513" i="2"/>
  <c r="G512" i="2"/>
  <c r="T511" i="3" s="1"/>
  <c r="U511" i="3" s="1"/>
  <c r="J512" i="4" s="1"/>
  <c r="D513" i="2"/>
  <c r="L516" i="2"/>
  <c r="H512" i="2"/>
  <c r="E512" i="2" s="1"/>
  <c r="H511" i="3" s="1"/>
  <c r="I511" i="3" s="1"/>
  <c r="F512" i="4" s="1"/>
  <c r="N513" i="2"/>
  <c r="J512" i="3" s="1"/>
  <c r="G513" i="4" s="1"/>
  <c r="M514" i="2"/>
  <c r="J513" i="2"/>
  <c r="I512" i="2"/>
  <c r="F512" i="2" s="1"/>
  <c r="N511" i="3" s="1"/>
  <c r="O511" i="3" s="1"/>
  <c r="H512" i="4" s="1"/>
  <c r="O513" i="2"/>
  <c r="P512" i="3" s="1"/>
  <c r="I513" i="4" s="1"/>
  <c r="K516" i="2"/>
  <c r="D17" i="2"/>
  <c r="G16" i="2"/>
  <c r="T16" i="2"/>
  <c r="L17" i="2"/>
  <c r="I16" i="2"/>
  <c r="H21" i="2"/>
  <c r="K22" i="2"/>
  <c r="C17" i="2"/>
  <c r="F16" i="2"/>
  <c r="E16" i="2"/>
  <c r="D14" i="3"/>
  <c r="F13" i="3"/>
  <c r="G14" i="4"/>
  <c r="L540" i="4" s="1"/>
  <c r="I14" i="4"/>
  <c r="K14" i="4"/>
  <c r="N540" i="4" s="1"/>
  <c r="J19" i="2"/>
  <c r="M20" i="2"/>
  <c r="A15" i="4"/>
  <c r="J14" i="3"/>
  <c r="V14" i="3"/>
  <c r="M14" i="3"/>
  <c r="N14" i="3"/>
  <c r="C14" i="3"/>
  <c r="P14" i="3"/>
  <c r="T14" i="3"/>
  <c r="E14" i="3"/>
  <c r="G14" i="3"/>
  <c r="H14" i="3"/>
  <c r="S14" i="3"/>
  <c r="Y14" i="3" s="1"/>
  <c r="Z14" i="3" s="1"/>
  <c r="AA14" i="3" s="1"/>
  <c r="AB510" i="3" l="1"/>
  <c r="E511" i="4" s="1"/>
  <c r="C511" i="4"/>
  <c r="V513" i="2"/>
  <c r="T513" i="2" s="1"/>
  <c r="M511" i="3"/>
  <c r="W514" i="2"/>
  <c r="S512" i="3"/>
  <c r="Y512" i="3" s="1"/>
  <c r="Z512" i="3" s="1"/>
  <c r="P514" i="2"/>
  <c r="V512" i="3"/>
  <c r="K513" i="4" s="1"/>
  <c r="N513" i="4" s="1"/>
  <c r="U514" i="2"/>
  <c r="G512" i="3"/>
  <c r="N512" i="4"/>
  <c r="N511" i="4"/>
  <c r="M14" i="4"/>
  <c r="M512" i="4"/>
  <c r="M511" i="4"/>
  <c r="M513" i="4"/>
  <c r="L14" i="4"/>
  <c r="L513" i="4"/>
  <c r="L512" i="4"/>
  <c r="L511" i="4"/>
  <c r="M533" i="2"/>
  <c r="D533" i="2"/>
  <c r="C535" i="2"/>
  <c r="L533" i="2"/>
  <c r="K534" i="2"/>
  <c r="M515" i="2"/>
  <c r="J514" i="2"/>
  <c r="N514" i="2"/>
  <c r="J513" i="3" s="1"/>
  <c r="G514" i="4" s="1"/>
  <c r="L514" i="4" s="1"/>
  <c r="H513" i="2"/>
  <c r="E513" i="2" s="1"/>
  <c r="H512" i="3" s="1"/>
  <c r="I512" i="3" s="1"/>
  <c r="F513" i="4" s="1"/>
  <c r="L517" i="2"/>
  <c r="D514" i="2"/>
  <c r="G513" i="2"/>
  <c r="T512" i="3" s="1"/>
  <c r="U512" i="3" s="1"/>
  <c r="J513" i="4" s="1"/>
  <c r="C514" i="2"/>
  <c r="I513" i="2"/>
  <c r="F513" i="2" s="1"/>
  <c r="N512" i="3" s="1"/>
  <c r="O512" i="3" s="1"/>
  <c r="H513" i="4" s="1"/>
  <c r="O514" i="2"/>
  <c r="P513" i="3" s="1"/>
  <c r="I514" i="4" s="1"/>
  <c r="M514" i="4" s="1"/>
  <c r="K517" i="2"/>
  <c r="U13" i="3"/>
  <c r="J14" i="4" s="1"/>
  <c r="I13" i="3"/>
  <c r="F14" i="4" s="1"/>
  <c r="O13" i="3"/>
  <c r="H14" i="4" s="1"/>
  <c r="F14" i="3"/>
  <c r="D15" i="3"/>
  <c r="M21" i="2"/>
  <c r="J20" i="2"/>
  <c r="E17" i="2"/>
  <c r="C18" i="2"/>
  <c r="G15" i="4"/>
  <c r="L15" i="4" s="1"/>
  <c r="I15" i="4"/>
  <c r="M15" i="4" s="1"/>
  <c r="K15" i="4"/>
  <c r="N15" i="4" s="1"/>
  <c r="K23" i="2"/>
  <c r="H22" i="2"/>
  <c r="A16" i="4"/>
  <c r="G15" i="3"/>
  <c r="S15" i="3"/>
  <c r="Y15" i="3" s="1"/>
  <c r="Z15" i="3" s="1"/>
  <c r="AA15" i="3" s="1"/>
  <c r="H15" i="3"/>
  <c r="T15" i="3"/>
  <c r="J15" i="3"/>
  <c r="V15" i="3"/>
  <c r="M15" i="3"/>
  <c r="C15" i="3"/>
  <c r="E15" i="3"/>
  <c r="N15" i="3"/>
  <c r="P15" i="3"/>
  <c r="C15" i="4"/>
  <c r="AB14" i="3"/>
  <c r="E15" i="4" s="1"/>
  <c r="L18" i="2"/>
  <c r="I17" i="2"/>
  <c r="F17" i="2" s="1"/>
  <c r="D15" i="4"/>
  <c r="T17" i="2"/>
  <c r="G17" i="2"/>
  <c r="D18" i="2"/>
  <c r="AB511" i="3" l="1"/>
  <c r="E512" i="4" s="1"/>
  <c r="C512" i="4"/>
  <c r="V514" i="2"/>
  <c r="T514" i="2" s="1"/>
  <c r="M512" i="3"/>
  <c r="P515" i="2"/>
  <c r="V513" i="3"/>
  <c r="K514" i="4" s="1"/>
  <c r="N514" i="4" s="1"/>
  <c r="W515" i="2"/>
  <c r="S513" i="3"/>
  <c r="Y513" i="3" s="1"/>
  <c r="Z513" i="3" s="1"/>
  <c r="U515" i="2"/>
  <c r="G513" i="3"/>
  <c r="C536" i="2"/>
  <c r="D534" i="2"/>
  <c r="L534" i="2"/>
  <c r="K535" i="2"/>
  <c r="M534" i="2"/>
  <c r="C515" i="2"/>
  <c r="L518" i="2"/>
  <c r="G514" i="2"/>
  <c r="T513" i="3" s="1"/>
  <c r="U513" i="3" s="1"/>
  <c r="J514" i="4" s="1"/>
  <c r="D515" i="2"/>
  <c r="K518" i="2"/>
  <c r="N515" i="2"/>
  <c r="J514" i="3" s="1"/>
  <c r="G515" i="4" s="1"/>
  <c r="L515" i="4" s="1"/>
  <c r="H514" i="2"/>
  <c r="E514" i="2" s="1"/>
  <c r="H513" i="3" s="1"/>
  <c r="I513" i="3" s="1"/>
  <c r="F514" i="4" s="1"/>
  <c r="O515" i="2"/>
  <c r="P514" i="3" s="1"/>
  <c r="I515" i="4" s="1"/>
  <c r="M515" i="4" s="1"/>
  <c r="I514" i="2"/>
  <c r="F514" i="2" s="1"/>
  <c r="N513" i="3" s="1"/>
  <c r="O513" i="3" s="1"/>
  <c r="H514" i="4" s="1"/>
  <c r="M516" i="2"/>
  <c r="J515" i="2"/>
  <c r="D16" i="4"/>
  <c r="I18" i="2"/>
  <c r="L19" i="2"/>
  <c r="C19" i="2"/>
  <c r="E18" i="2"/>
  <c r="F18" i="2"/>
  <c r="A17" i="4"/>
  <c r="N16" i="3"/>
  <c r="C16" i="3"/>
  <c r="P16" i="3"/>
  <c r="E16" i="3"/>
  <c r="G16" i="3"/>
  <c r="S16" i="3"/>
  <c r="Y16" i="3" s="1"/>
  <c r="Z16" i="3" s="1"/>
  <c r="AA16" i="3" s="1"/>
  <c r="H16" i="3"/>
  <c r="T16" i="3"/>
  <c r="J16" i="3"/>
  <c r="M16" i="3"/>
  <c r="V16" i="3"/>
  <c r="G16" i="4"/>
  <c r="L16" i="4" s="1"/>
  <c r="I16" i="4"/>
  <c r="M16" i="4" s="1"/>
  <c r="K16" i="4"/>
  <c r="N16" i="4" s="1"/>
  <c r="M22" i="2"/>
  <c r="J21" i="2"/>
  <c r="K24" i="2"/>
  <c r="H23" i="2"/>
  <c r="F15" i="3"/>
  <c r="D16" i="3"/>
  <c r="D19" i="2"/>
  <c r="T18" i="2"/>
  <c r="G18" i="2"/>
  <c r="I14" i="3"/>
  <c r="F15" i="4" s="1"/>
  <c r="U14" i="3"/>
  <c r="J15" i="4" s="1"/>
  <c r="O14" i="3"/>
  <c r="H15" i="4" s="1"/>
  <c r="C16" i="4"/>
  <c r="AB15" i="3"/>
  <c r="E16" i="4" s="1"/>
  <c r="AB512" i="3" l="1"/>
  <c r="E513" i="4" s="1"/>
  <c r="C513" i="4"/>
  <c r="V515" i="2"/>
  <c r="T515" i="2" s="1"/>
  <c r="M513" i="3"/>
  <c r="W516" i="2"/>
  <c r="S514" i="3"/>
  <c r="Y514" i="3" s="1"/>
  <c r="Z514" i="3" s="1"/>
  <c r="P516" i="2"/>
  <c r="V514" i="3"/>
  <c r="K515" i="4" s="1"/>
  <c r="N515" i="4" s="1"/>
  <c r="U516" i="2"/>
  <c r="G514" i="3"/>
  <c r="K536" i="2"/>
  <c r="L535" i="2"/>
  <c r="C537" i="2"/>
  <c r="D535" i="2"/>
  <c r="M535" i="2"/>
  <c r="K519" i="2"/>
  <c r="G515" i="2"/>
  <c r="T514" i="3" s="1"/>
  <c r="U514" i="3" s="1"/>
  <c r="J515" i="4" s="1"/>
  <c r="D516" i="2"/>
  <c r="L519" i="2"/>
  <c r="M517" i="2"/>
  <c r="J516" i="2"/>
  <c r="C516" i="2"/>
  <c r="N516" i="2"/>
  <c r="J515" i="3" s="1"/>
  <c r="G516" i="4" s="1"/>
  <c r="L516" i="4" s="1"/>
  <c r="H515" i="2"/>
  <c r="E515" i="2" s="1"/>
  <c r="H514" i="3" s="1"/>
  <c r="I514" i="3" s="1"/>
  <c r="F515" i="4" s="1"/>
  <c r="O516" i="2"/>
  <c r="P515" i="3" s="1"/>
  <c r="I516" i="4" s="1"/>
  <c r="M516" i="4" s="1"/>
  <c r="I515" i="2"/>
  <c r="F515" i="2" s="1"/>
  <c r="N514" i="3" s="1"/>
  <c r="O514" i="3" s="1"/>
  <c r="H515" i="4" s="1"/>
  <c r="D17" i="4"/>
  <c r="T19" i="2"/>
  <c r="G19" i="2"/>
  <c r="D20" i="2"/>
  <c r="F16" i="3"/>
  <c r="D17" i="3"/>
  <c r="G17" i="4"/>
  <c r="L17" i="4" s="1"/>
  <c r="I17" i="4"/>
  <c r="M17" i="4" s="1"/>
  <c r="K17" i="4"/>
  <c r="N17" i="4" s="1"/>
  <c r="I15" i="3"/>
  <c r="F16" i="4" s="1"/>
  <c r="U15" i="3"/>
  <c r="J16" i="4" s="1"/>
  <c r="O15" i="3"/>
  <c r="H16" i="4" s="1"/>
  <c r="C17" i="4"/>
  <c r="AB16" i="3"/>
  <c r="E17" i="4" s="1"/>
  <c r="K25" i="2"/>
  <c r="H24" i="2"/>
  <c r="E19" i="2"/>
  <c r="F19" i="2"/>
  <c r="C20" i="2"/>
  <c r="L20" i="2"/>
  <c r="I19" i="2"/>
  <c r="M23" i="2"/>
  <c r="J22" i="2"/>
  <c r="A18" i="4"/>
  <c r="J17" i="3"/>
  <c r="V17" i="3"/>
  <c r="M17" i="3"/>
  <c r="N17" i="3"/>
  <c r="C17" i="3"/>
  <c r="P17" i="3"/>
  <c r="E17" i="3"/>
  <c r="G17" i="3"/>
  <c r="S17" i="3"/>
  <c r="Y17" i="3" s="1"/>
  <c r="Z17" i="3" s="1"/>
  <c r="AA17" i="3" s="1"/>
  <c r="H17" i="3"/>
  <c r="T17" i="3"/>
  <c r="C514" i="4" l="1"/>
  <c r="AB513" i="3"/>
  <c r="E514" i="4" s="1"/>
  <c r="V516" i="2"/>
  <c r="T516" i="2" s="1"/>
  <c r="M514" i="3"/>
  <c r="P517" i="2"/>
  <c r="V515" i="3"/>
  <c r="K516" i="4" s="1"/>
  <c r="N516" i="4" s="1"/>
  <c r="W517" i="2"/>
  <c r="S515" i="3"/>
  <c r="Y515" i="3" s="1"/>
  <c r="Z515" i="3" s="1"/>
  <c r="U517" i="2"/>
  <c r="G515" i="3"/>
  <c r="D536" i="2"/>
  <c r="L536" i="2"/>
  <c r="C538" i="2"/>
  <c r="M536" i="2"/>
  <c r="K537" i="2"/>
  <c r="M518" i="2"/>
  <c r="J517" i="2"/>
  <c r="D517" i="2"/>
  <c r="G516" i="2"/>
  <c r="T515" i="3" s="1"/>
  <c r="U515" i="3" s="1"/>
  <c r="J516" i="4" s="1"/>
  <c r="O517" i="2"/>
  <c r="P516" i="3" s="1"/>
  <c r="I517" i="4" s="1"/>
  <c r="M517" i="4" s="1"/>
  <c r="I516" i="2"/>
  <c r="F516" i="2" s="1"/>
  <c r="N515" i="3" s="1"/>
  <c r="O515" i="3" s="1"/>
  <c r="H516" i="4" s="1"/>
  <c r="C517" i="2"/>
  <c r="L520" i="2"/>
  <c r="N517" i="2"/>
  <c r="J516" i="3" s="1"/>
  <c r="G517" i="4" s="1"/>
  <c r="L517" i="4" s="1"/>
  <c r="H516" i="2"/>
  <c r="E516" i="2" s="1"/>
  <c r="H515" i="3" s="1"/>
  <c r="I515" i="3" s="1"/>
  <c r="F516" i="4" s="1"/>
  <c r="K520" i="2"/>
  <c r="D18" i="4"/>
  <c r="C21" i="2"/>
  <c r="E20" i="2"/>
  <c r="C18" i="4"/>
  <c r="AB17" i="3"/>
  <c r="E18" i="4" s="1"/>
  <c r="H25" i="2"/>
  <c r="K26" i="2"/>
  <c r="D18" i="3"/>
  <c r="F17" i="3"/>
  <c r="O16" i="3"/>
  <c r="H17" i="4" s="1"/>
  <c r="I16" i="3"/>
  <c r="F17" i="4" s="1"/>
  <c r="U16" i="3"/>
  <c r="J17" i="4" s="1"/>
  <c r="G20" i="2"/>
  <c r="D21" i="2"/>
  <c r="T20" i="2"/>
  <c r="A19" i="4"/>
  <c r="G18" i="3"/>
  <c r="S18" i="3"/>
  <c r="Y18" i="3" s="1"/>
  <c r="Z18" i="3" s="1"/>
  <c r="AA18" i="3" s="1"/>
  <c r="H18" i="3"/>
  <c r="T18" i="3"/>
  <c r="J18" i="3"/>
  <c r="V18" i="3"/>
  <c r="M18" i="3"/>
  <c r="C18" i="3"/>
  <c r="N18" i="3"/>
  <c r="P18" i="3"/>
  <c r="E18" i="3"/>
  <c r="G18" i="4"/>
  <c r="L18" i="4" s="1"/>
  <c r="I18" i="4"/>
  <c r="M18" i="4" s="1"/>
  <c r="K18" i="4"/>
  <c r="N18" i="4" s="1"/>
  <c r="J23" i="2"/>
  <c r="M24" i="2"/>
  <c r="L21" i="2"/>
  <c r="I20" i="2"/>
  <c r="F20" i="2" s="1"/>
  <c r="C515" i="4" l="1"/>
  <c r="AB514" i="3"/>
  <c r="E515" i="4" s="1"/>
  <c r="V517" i="2"/>
  <c r="M515" i="3"/>
  <c r="W518" i="2"/>
  <c r="S516" i="3"/>
  <c r="Y516" i="3" s="1"/>
  <c r="Z516" i="3" s="1"/>
  <c r="P518" i="2"/>
  <c r="V516" i="3"/>
  <c r="K517" i="4" s="1"/>
  <c r="N517" i="4" s="1"/>
  <c r="U518" i="2"/>
  <c r="G516" i="3"/>
  <c r="L537" i="2"/>
  <c r="M537" i="2"/>
  <c r="K538" i="2"/>
  <c r="D537" i="2"/>
  <c r="L521" i="2"/>
  <c r="C518" i="2"/>
  <c r="O518" i="2"/>
  <c r="P517" i="3" s="1"/>
  <c r="I518" i="4" s="1"/>
  <c r="M518" i="4" s="1"/>
  <c r="I517" i="2"/>
  <c r="F517" i="2" s="1"/>
  <c r="N516" i="3" s="1"/>
  <c r="O516" i="3" s="1"/>
  <c r="H517" i="4" s="1"/>
  <c r="K521" i="2"/>
  <c r="T517" i="2"/>
  <c r="G517" i="2"/>
  <c r="T516" i="3" s="1"/>
  <c r="U516" i="3" s="1"/>
  <c r="J517" i="4" s="1"/>
  <c r="D518" i="2"/>
  <c r="N518" i="2"/>
  <c r="J517" i="3" s="1"/>
  <c r="G518" i="4" s="1"/>
  <c r="L518" i="4" s="1"/>
  <c r="H517" i="2"/>
  <c r="E517" i="2" s="1"/>
  <c r="H516" i="3" s="1"/>
  <c r="I516" i="3" s="1"/>
  <c r="F517" i="4" s="1"/>
  <c r="M519" i="2"/>
  <c r="J518" i="2"/>
  <c r="D19" i="4"/>
  <c r="O17" i="3"/>
  <c r="H18" i="4" s="1"/>
  <c r="I17" i="3"/>
  <c r="F18" i="4" s="1"/>
  <c r="U17" i="3"/>
  <c r="J18" i="4" s="1"/>
  <c r="F18" i="3"/>
  <c r="D19" i="3"/>
  <c r="K27" i="2"/>
  <c r="H26" i="2"/>
  <c r="A20" i="4"/>
  <c r="N19" i="3"/>
  <c r="C19" i="3"/>
  <c r="P19" i="3"/>
  <c r="E19" i="3"/>
  <c r="G19" i="3"/>
  <c r="S19" i="3"/>
  <c r="Y19" i="3" s="1"/>
  <c r="Z19" i="3" s="1"/>
  <c r="AA19" i="3" s="1"/>
  <c r="H19" i="3"/>
  <c r="T19" i="3"/>
  <c r="V19" i="3"/>
  <c r="J19" i="3"/>
  <c r="M19" i="3"/>
  <c r="G19" i="4"/>
  <c r="L19" i="4" s="1"/>
  <c r="I19" i="4"/>
  <c r="M19" i="4" s="1"/>
  <c r="K19" i="4"/>
  <c r="N19" i="4" s="1"/>
  <c r="D22" i="2"/>
  <c r="T21" i="2"/>
  <c r="G21" i="2"/>
  <c r="E21" i="2"/>
  <c r="C22" i="2"/>
  <c r="L22" i="2"/>
  <c r="I21" i="2"/>
  <c r="F21" i="2" s="1"/>
  <c r="M25" i="2"/>
  <c r="J24" i="2"/>
  <c r="C19" i="4"/>
  <c r="AB18" i="3"/>
  <c r="E19" i="4" s="1"/>
  <c r="C516" i="4" l="1"/>
  <c r="AB515" i="3"/>
  <c r="E516" i="4" s="1"/>
  <c r="V518" i="2"/>
  <c r="T518" i="2" s="1"/>
  <c r="M516" i="3"/>
  <c r="P519" i="2"/>
  <c r="V517" i="3"/>
  <c r="K518" i="4" s="1"/>
  <c r="N518" i="4" s="1"/>
  <c r="W519" i="2"/>
  <c r="S517" i="3"/>
  <c r="Y517" i="3" s="1"/>
  <c r="Z517" i="3" s="1"/>
  <c r="U519" i="2"/>
  <c r="G517" i="3"/>
  <c r="M538" i="2"/>
  <c r="L538" i="2"/>
  <c r="D538" i="2"/>
  <c r="G518" i="2"/>
  <c r="T517" i="3" s="1"/>
  <c r="U517" i="3" s="1"/>
  <c r="J518" i="4" s="1"/>
  <c r="D519" i="2"/>
  <c r="O519" i="2"/>
  <c r="P518" i="3" s="1"/>
  <c r="I519" i="4" s="1"/>
  <c r="M519" i="4" s="1"/>
  <c r="I518" i="2"/>
  <c r="F518" i="2" s="1"/>
  <c r="N517" i="3" s="1"/>
  <c r="O517" i="3" s="1"/>
  <c r="H518" i="4" s="1"/>
  <c r="C519" i="2"/>
  <c r="K522" i="2"/>
  <c r="M520" i="2"/>
  <c r="J519" i="2"/>
  <c r="N519" i="2"/>
  <c r="J518" i="3" s="1"/>
  <c r="G519" i="4" s="1"/>
  <c r="L519" i="4" s="1"/>
  <c r="H518" i="2"/>
  <c r="E518" i="2" s="1"/>
  <c r="H517" i="3" s="1"/>
  <c r="I517" i="3" s="1"/>
  <c r="F518" i="4" s="1"/>
  <c r="L522" i="2"/>
  <c r="D20" i="4"/>
  <c r="I22" i="2"/>
  <c r="F22" i="2" s="1"/>
  <c r="L23" i="2"/>
  <c r="C20" i="4"/>
  <c r="AB19" i="3"/>
  <c r="E20" i="4" s="1"/>
  <c r="G20" i="4"/>
  <c r="L20" i="4" s="1"/>
  <c r="I20" i="4"/>
  <c r="M20" i="4" s="1"/>
  <c r="K20" i="4"/>
  <c r="N20" i="4" s="1"/>
  <c r="E22" i="2"/>
  <c r="C23" i="2"/>
  <c r="K28" i="2"/>
  <c r="H27" i="2"/>
  <c r="F19" i="3"/>
  <c r="D20" i="3"/>
  <c r="I18" i="3"/>
  <c r="F19" i="4" s="1"/>
  <c r="U18" i="3"/>
  <c r="J19" i="4" s="1"/>
  <c r="O18" i="3"/>
  <c r="H19" i="4" s="1"/>
  <c r="T22" i="2"/>
  <c r="G22" i="2"/>
  <c r="D23" i="2"/>
  <c r="A21" i="4"/>
  <c r="J20" i="3"/>
  <c r="V20" i="3"/>
  <c r="M20" i="3"/>
  <c r="N20" i="3"/>
  <c r="C20" i="3"/>
  <c r="P20" i="3"/>
  <c r="E20" i="3"/>
  <c r="G20" i="3"/>
  <c r="S20" i="3"/>
  <c r="Y20" i="3" s="1"/>
  <c r="Z20" i="3" s="1"/>
  <c r="AA20" i="3" s="1"/>
  <c r="H20" i="3"/>
  <c r="T20" i="3"/>
  <c r="M26" i="2"/>
  <c r="J25" i="2"/>
  <c r="C517" i="4" l="1"/>
  <c r="AB516" i="3"/>
  <c r="E517" i="4" s="1"/>
  <c r="V519" i="2"/>
  <c r="M517" i="3"/>
  <c r="W520" i="2"/>
  <c r="S518" i="3"/>
  <c r="Y518" i="3" s="1"/>
  <c r="Z518" i="3" s="1"/>
  <c r="P520" i="2"/>
  <c r="V518" i="3"/>
  <c r="K519" i="4" s="1"/>
  <c r="N519" i="4" s="1"/>
  <c r="U520" i="2"/>
  <c r="G518" i="3"/>
  <c r="M521" i="2"/>
  <c r="C520" i="2"/>
  <c r="K523" i="2"/>
  <c r="O520" i="2"/>
  <c r="P519" i="3" s="1"/>
  <c r="I520" i="4" s="1"/>
  <c r="M520" i="4" s="1"/>
  <c r="I519" i="2"/>
  <c r="F519" i="2" s="1"/>
  <c r="N518" i="3" s="1"/>
  <c r="O518" i="3" s="1"/>
  <c r="H519" i="4" s="1"/>
  <c r="L523" i="2"/>
  <c r="D520" i="2"/>
  <c r="T519" i="2"/>
  <c r="G519" i="2"/>
  <c r="T518" i="3" s="1"/>
  <c r="U518" i="3" s="1"/>
  <c r="J519" i="4" s="1"/>
  <c r="N520" i="2"/>
  <c r="J519" i="3" s="1"/>
  <c r="G520" i="4" s="1"/>
  <c r="L520" i="4" s="1"/>
  <c r="H519" i="2"/>
  <c r="E519" i="2" s="1"/>
  <c r="H518" i="3" s="1"/>
  <c r="I518" i="3" s="1"/>
  <c r="F519" i="4" s="1"/>
  <c r="D21" i="4"/>
  <c r="D21" i="3"/>
  <c r="F20" i="3"/>
  <c r="O19" i="3"/>
  <c r="H20" i="4" s="1"/>
  <c r="I19" i="3"/>
  <c r="F20" i="4" s="1"/>
  <c r="U19" i="3"/>
  <c r="J20" i="4" s="1"/>
  <c r="A22" i="4"/>
  <c r="G21" i="3"/>
  <c r="S21" i="3"/>
  <c r="Y21" i="3" s="1"/>
  <c r="Z21" i="3" s="1"/>
  <c r="AA21" i="3" s="1"/>
  <c r="H21" i="3"/>
  <c r="T21" i="3"/>
  <c r="J21" i="3"/>
  <c r="V21" i="3"/>
  <c r="M21" i="3"/>
  <c r="C21" i="3"/>
  <c r="E21" i="3"/>
  <c r="N21" i="3"/>
  <c r="P21" i="3"/>
  <c r="C21" i="4"/>
  <c r="AB20" i="3"/>
  <c r="E21" i="4" s="1"/>
  <c r="K29" i="2"/>
  <c r="H28" i="2"/>
  <c r="I23" i="2"/>
  <c r="L24" i="2"/>
  <c r="M27" i="2"/>
  <c r="J26" i="2"/>
  <c r="C24" i="2"/>
  <c r="E23" i="2"/>
  <c r="F23" i="2"/>
  <c r="G21" i="4"/>
  <c r="L21" i="4" s="1"/>
  <c r="I21" i="4"/>
  <c r="M21" i="4" s="1"/>
  <c r="Y92" i="4"/>
  <c r="K21" i="4"/>
  <c r="N21" i="4" s="1"/>
  <c r="D24" i="2"/>
  <c r="T23" i="2"/>
  <c r="G23" i="2"/>
  <c r="C518" i="4" l="1"/>
  <c r="AB517" i="3"/>
  <c r="E518" i="4" s="1"/>
  <c r="V520" i="2"/>
  <c r="M518" i="3"/>
  <c r="P521" i="2"/>
  <c r="V519" i="3"/>
  <c r="K520" i="4" s="1"/>
  <c r="N520" i="4" s="1"/>
  <c r="J520" i="2"/>
  <c r="G520" i="2" s="1"/>
  <c r="T519" i="3" s="1"/>
  <c r="U519" i="3" s="1"/>
  <c r="J520" i="4" s="1"/>
  <c r="W521" i="2"/>
  <c r="S519" i="3"/>
  <c r="Y519" i="3" s="1"/>
  <c r="Z519" i="3" s="1"/>
  <c r="U521" i="2"/>
  <c r="G519" i="3"/>
  <c r="T520" i="2"/>
  <c r="D521" i="2"/>
  <c r="L524" i="2"/>
  <c r="C521" i="2"/>
  <c r="O521" i="2"/>
  <c r="P520" i="3" s="1"/>
  <c r="I521" i="4" s="1"/>
  <c r="M521" i="4" s="1"/>
  <c r="I520" i="2"/>
  <c r="F520" i="2" s="1"/>
  <c r="N519" i="3" s="1"/>
  <c r="O519" i="3" s="1"/>
  <c r="H520" i="4" s="1"/>
  <c r="K524" i="2"/>
  <c r="N521" i="2"/>
  <c r="J520" i="3" s="1"/>
  <c r="G521" i="4" s="1"/>
  <c r="L521" i="4" s="1"/>
  <c r="H520" i="2"/>
  <c r="E520" i="2" s="1"/>
  <c r="H519" i="3" s="1"/>
  <c r="I519" i="3" s="1"/>
  <c r="F520" i="4" s="1"/>
  <c r="M522" i="2"/>
  <c r="J521" i="2"/>
  <c r="D22" i="4"/>
  <c r="H29" i="2"/>
  <c r="K30" i="2"/>
  <c r="A23" i="4"/>
  <c r="C22" i="3"/>
  <c r="P22" i="3"/>
  <c r="E22" i="3"/>
  <c r="G22" i="3"/>
  <c r="S22" i="3"/>
  <c r="Y22" i="3" s="1"/>
  <c r="Z22" i="3" s="1"/>
  <c r="AA22" i="3" s="1"/>
  <c r="H22" i="3"/>
  <c r="T22" i="3"/>
  <c r="J22" i="3"/>
  <c r="V22" i="3"/>
  <c r="M22" i="3"/>
  <c r="N22" i="3"/>
  <c r="K22" i="4"/>
  <c r="N22" i="4" s="1"/>
  <c r="G22" i="4"/>
  <c r="L22" i="4" s="1"/>
  <c r="I22" i="4"/>
  <c r="M22" i="4" s="1"/>
  <c r="F24" i="2"/>
  <c r="C25" i="2"/>
  <c r="E24" i="2"/>
  <c r="O20" i="3"/>
  <c r="H21" i="4" s="1"/>
  <c r="I20" i="3"/>
  <c r="F21" i="4" s="1"/>
  <c r="U20" i="3"/>
  <c r="J21" i="4" s="1"/>
  <c r="G24" i="2"/>
  <c r="D25" i="2"/>
  <c r="T24" i="2"/>
  <c r="J27" i="2"/>
  <c r="M28" i="2"/>
  <c r="C22" i="4"/>
  <c r="AB21" i="3"/>
  <c r="E22" i="4" s="1"/>
  <c r="F21" i="3"/>
  <c r="D22" i="3"/>
  <c r="L25" i="2"/>
  <c r="I24" i="2"/>
  <c r="C519" i="4" l="1"/>
  <c r="AB518" i="3"/>
  <c r="E519" i="4" s="1"/>
  <c r="V521" i="2"/>
  <c r="M519" i="3"/>
  <c r="W522" i="2"/>
  <c r="S520" i="3"/>
  <c r="Y520" i="3" s="1"/>
  <c r="Z520" i="3" s="1"/>
  <c r="P522" i="2"/>
  <c r="V520" i="3"/>
  <c r="K521" i="4" s="1"/>
  <c r="N521" i="4" s="1"/>
  <c r="U522" i="2"/>
  <c r="G520" i="3"/>
  <c r="K525" i="2"/>
  <c r="C522" i="2"/>
  <c r="M523" i="2"/>
  <c r="J522" i="2"/>
  <c r="L525" i="2"/>
  <c r="O522" i="2"/>
  <c r="P521" i="3" s="1"/>
  <c r="I522" i="4" s="1"/>
  <c r="M522" i="4" s="1"/>
  <c r="I521" i="2"/>
  <c r="F521" i="2" s="1"/>
  <c r="N520" i="3" s="1"/>
  <c r="O520" i="3" s="1"/>
  <c r="H521" i="4" s="1"/>
  <c r="T521" i="2"/>
  <c r="G521" i="2"/>
  <c r="T520" i="3" s="1"/>
  <c r="U520" i="3" s="1"/>
  <c r="J521" i="4" s="1"/>
  <c r="D522" i="2"/>
  <c r="N522" i="2"/>
  <c r="J521" i="3" s="1"/>
  <c r="G522" i="4" s="1"/>
  <c r="L522" i="4" s="1"/>
  <c r="H521" i="2"/>
  <c r="E521" i="2" s="1"/>
  <c r="H520" i="3" s="1"/>
  <c r="I520" i="3" s="1"/>
  <c r="F521" i="4" s="1"/>
  <c r="D23" i="4"/>
  <c r="J28" i="2"/>
  <c r="M29" i="2"/>
  <c r="A24" i="4"/>
  <c r="M23" i="3"/>
  <c r="N23" i="3"/>
  <c r="C23" i="3"/>
  <c r="P23" i="3"/>
  <c r="E23" i="3"/>
  <c r="G23" i="3"/>
  <c r="S23" i="3"/>
  <c r="Y23" i="3" s="1"/>
  <c r="Z23" i="3" s="1"/>
  <c r="AA23" i="3" s="1"/>
  <c r="V23" i="3"/>
  <c r="H23" i="3"/>
  <c r="J23" i="3"/>
  <c r="T23" i="3"/>
  <c r="G25" i="2"/>
  <c r="D26" i="2"/>
  <c r="T25" i="2"/>
  <c r="K23" i="4"/>
  <c r="N23" i="4" s="1"/>
  <c r="G23" i="4"/>
  <c r="L23" i="4" s="1"/>
  <c r="I23" i="4"/>
  <c r="M23" i="4" s="1"/>
  <c r="C23" i="4"/>
  <c r="AB22" i="3"/>
  <c r="E23" i="4" s="1"/>
  <c r="H30" i="2"/>
  <c r="K31" i="2"/>
  <c r="L26" i="2"/>
  <c r="I25" i="2"/>
  <c r="F25" i="2" s="1"/>
  <c r="F22" i="3"/>
  <c r="D23" i="3"/>
  <c r="I21" i="3"/>
  <c r="F22" i="4" s="1"/>
  <c r="U21" i="3"/>
  <c r="J22" i="4" s="1"/>
  <c r="O21" i="3"/>
  <c r="H22" i="4" s="1"/>
  <c r="E25" i="2"/>
  <c r="C26" i="2"/>
  <c r="C520" i="4" l="1"/>
  <c r="AB519" i="3"/>
  <c r="E520" i="4" s="1"/>
  <c r="V522" i="2"/>
  <c r="M520" i="3"/>
  <c r="P523" i="2"/>
  <c r="V521" i="3"/>
  <c r="K522" i="4" s="1"/>
  <c r="N522" i="4" s="1"/>
  <c r="W523" i="2"/>
  <c r="S521" i="3"/>
  <c r="Y521" i="3" s="1"/>
  <c r="Z521" i="3" s="1"/>
  <c r="U523" i="2"/>
  <c r="G521" i="3"/>
  <c r="M524" i="2"/>
  <c r="J523" i="2"/>
  <c r="C523" i="2"/>
  <c r="O523" i="2"/>
  <c r="P522" i="3" s="1"/>
  <c r="I523" i="4" s="1"/>
  <c r="M523" i="4" s="1"/>
  <c r="I522" i="2"/>
  <c r="F522" i="2" s="1"/>
  <c r="N521" i="3" s="1"/>
  <c r="O521" i="3" s="1"/>
  <c r="H522" i="4" s="1"/>
  <c r="N523" i="2"/>
  <c r="J522" i="3" s="1"/>
  <c r="G523" i="4" s="1"/>
  <c r="L523" i="4" s="1"/>
  <c r="H522" i="2"/>
  <c r="E522" i="2" s="1"/>
  <c r="H521" i="3" s="1"/>
  <c r="I521" i="3" s="1"/>
  <c r="F522" i="4" s="1"/>
  <c r="L526" i="2"/>
  <c r="D523" i="2"/>
  <c r="T522" i="2"/>
  <c r="G522" i="2"/>
  <c r="T521" i="3" s="1"/>
  <c r="U521" i="3" s="1"/>
  <c r="J522" i="4" s="1"/>
  <c r="K526" i="2"/>
  <c r="D24" i="4"/>
  <c r="A25" i="4"/>
  <c r="J24" i="3"/>
  <c r="V24" i="3"/>
  <c r="M24" i="3"/>
  <c r="N24" i="3"/>
  <c r="C24" i="3"/>
  <c r="P24" i="3"/>
  <c r="E24" i="3"/>
  <c r="G24" i="3"/>
  <c r="H24" i="3"/>
  <c r="S24" i="3"/>
  <c r="Y24" i="3" s="1"/>
  <c r="Z24" i="3" s="1"/>
  <c r="AA24" i="3" s="1"/>
  <c r="T24" i="3"/>
  <c r="F23" i="3"/>
  <c r="D24" i="3"/>
  <c r="O22" i="3"/>
  <c r="H23" i="4" s="1"/>
  <c r="I22" i="3"/>
  <c r="F23" i="4" s="1"/>
  <c r="U22" i="3"/>
  <c r="J23" i="4" s="1"/>
  <c r="I26" i="2"/>
  <c r="F26" i="2" s="1"/>
  <c r="L27" i="2"/>
  <c r="T26" i="2"/>
  <c r="D27" i="2"/>
  <c r="G26" i="2"/>
  <c r="K32" i="2"/>
  <c r="H31" i="2"/>
  <c r="C24" i="4"/>
  <c r="AB23" i="3"/>
  <c r="E24" i="4" s="1"/>
  <c r="I24" i="4"/>
  <c r="M24" i="4" s="1"/>
  <c r="K24" i="4"/>
  <c r="N24" i="4" s="1"/>
  <c r="G24" i="4"/>
  <c r="L24" i="4" s="1"/>
  <c r="E26" i="2"/>
  <c r="C27" i="2"/>
  <c r="M30" i="2"/>
  <c r="J29" i="2"/>
  <c r="C521" i="4" l="1"/>
  <c r="AB520" i="3"/>
  <c r="E521" i="4" s="1"/>
  <c r="V523" i="2"/>
  <c r="M521" i="3"/>
  <c r="W524" i="2"/>
  <c r="S522" i="3"/>
  <c r="Y522" i="3" s="1"/>
  <c r="Z522" i="3" s="1"/>
  <c r="P524" i="2"/>
  <c r="V522" i="3"/>
  <c r="K523" i="4" s="1"/>
  <c r="N523" i="4" s="1"/>
  <c r="U524" i="2"/>
  <c r="G522" i="3"/>
  <c r="T523" i="2"/>
  <c r="G523" i="2"/>
  <c r="T522" i="3" s="1"/>
  <c r="U522" i="3" s="1"/>
  <c r="J523" i="4" s="1"/>
  <c r="D524" i="2"/>
  <c r="L527" i="2"/>
  <c r="N524" i="2"/>
  <c r="J523" i="3" s="1"/>
  <c r="G524" i="4" s="1"/>
  <c r="L524" i="4" s="1"/>
  <c r="H523" i="2"/>
  <c r="E523" i="2" s="1"/>
  <c r="H522" i="3" s="1"/>
  <c r="I522" i="3" s="1"/>
  <c r="F523" i="4" s="1"/>
  <c r="O524" i="2"/>
  <c r="P523" i="3" s="1"/>
  <c r="I524" i="4" s="1"/>
  <c r="M524" i="4" s="1"/>
  <c r="I523" i="2"/>
  <c r="F523" i="2" s="1"/>
  <c r="N522" i="3" s="1"/>
  <c r="O522" i="3" s="1"/>
  <c r="H523" i="4" s="1"/>
  <c r="K527" i="2"/>
  <c r="C524" i="2"/>
  <c r="M525" i="2"/>
  <c r="J524" i="2"/>
  <c r="D25" i="4"/>
  <c r="L28" i="2"/>
  <c r="I27" i="2"/>
  <c r="T27" i="2"/>
  <c r="G27" i="2"/>
  <c r="D28" i="2"/>
  <c r="C25" i="4"/>
  <c r="AB24" i="3"/>
  <c r="E25" i="4" s="1"/>
  <c r="F24" i="3"/>
  <c r="D25" i="3"/>
  <c r="O23" i="3"/>
  <c r="H24" i="4" s="1"/>
  <c r="I23" i="3"/>
  <c r="F24" i="4" s="1"/>
  <c r="U23" i="3"/>
  <c r="J24" i="4" s="1"/>
  <c r="M31" i="2"/>
  <c r="J30" i="2"/>
  <c r="A26" i="4"/>
  <c r="G25" i="3"/>
  <c r="S25" i="3"/>
  <c r="Y25" i="3" s="1"/>
  <c r="Z25" i="3" s="1"/>
  <c r="AA25" i="3" s="1"/>
  <c r="H25" i="3"/>
  <c r="T25" i="3"/>
  <c r="J25" i="3"/>
  <c r="V25" i="3"/>
  <c r="M25" i="3"/>
  <c r="C25" i="3"/>
  <c r="E25" i="3"/>
  <c r="N25" i="3"/>
  <c r="P25" i="3"/>
  <c r="I25" i="4"/>
  <c r="M25" i="4" s="1"/>
  <c r="K25" i="4"/>
  <c r="N25" i="4" s="1"/>
  <c r="G25" i="4"/>
  <c r="L25" i="4" s="1"/>
  <c r="E27" i="2"/>
  <c r="F27" i="2"/>
  <c r="C28" i="2"/>
  <c r="K33" i="2"/>
  <c r="H32" i="2"/>
  <c r="C522" i="4" l="1"/>
  <c r="AB521" i="3"/>
  <c r="E522" i="4" s="1"/>
  <c r="V524" i="2"/>
  <c r="M522" i="3"/>
  <c r="P525" i="2"/>
  <c r="V523" i="3"/>
  <c r="K524" i="4" s="1"/>
  <c r="N524" i="4" s="1"/>
  <c r="S523" i="3"/>
  <c r="Y523" i="3" s="1"/>
  <c r="Z523" i="3" s="1"/>
  <c r="W525" i="2"/>
  <c r="G523" i="3"/>
  <c r="U525" i="2"/>
  <c r="O525" i="2"/>
  <c r="P524" i="3" s="1"/>
  <c r="I525" i="4" s="1"/>
  <c r="M525" i="4" s="1"/>
  <c r="I524" i="2"/>
  <c r="F524" i="2" s="1"/>
  <c r="N523" i="3" s="1"/>
  <c r="O523" i="3" s="1"/>
  <c r="H524" i="4" s="1"/>
  <c r="N525" i="2"/>
  <c r="J524" i="3" s="1"/>
  <c r="G525" i="4" s="1"/>
  <c r="L525" i="4" s="1"/>
  <c r="H524" i="2"/>
  <c r="E524" i="2" s="1"/>
  <c r="H523" i="3" s="1"/>
  <c r="I523" i="3" s="1"/>
  <c r="F524" i="4" s="1"/>
  <c r="T524" i="2"/>
  <c r="G524" i="2"/>
  <c r="T523" i="3" s="1"/>
  <c r="U523" i="3" s="1"/>
  <c r="J524" i="4" s="1"/>
  <c r="D525" i="2"/>
  <c r="L528" i="2"/>
  <c r="M526" i="2"/>
  <c r="J525" i="2"/>
  <c r="C525" i="2"/>
  <c r="K528" i="2"/>
  <c r="D26" i="4"/>
  <c r="F25" i="3"/>
  <c r="D26" i="3"/>
  <c r="I24" i="3"/>
  <c r="F25" i="4" s="1"/>
  <c r="U24" i="3"/>
  <c r="J25" i="4" s="1"/>
  <c r="O24" i="3"/>
  <c r="H25" i="4" s="1"/>
  <c r="C26" i="4"/>
  <c r="AB25" i="3"/>
  <c r="E26" i="4" s="1"/>
  <c r="D29" i="2"/>
  <c r="G28" i="2"/>
  <c r="T28" i="2"/>
  <c r="A27" i="4"/>
  <c r="C26" i="3"/>
  <c r="P26" i="3"/>
  <c r="E26" i="3"/>
  <c r="G26" i="3"/>
  <c r="S26" i="3"/>
  <c r="Y26" i="3" s="1"/>
  <c r="Z26" i="3" s="1"/>
  <c r="AA26" i="3" s="1"/>
  <c r="H26" i="3"/>
  <c r="T26" i="3"/>
  <c r="J26" i="3"/>
  <c r="V26" i="3"/>
  <c r="M26" i="3"/>
  <c r="N26" i="3"/>
  <c r="G26" i="4"/>
  <c r="L26" i="4" s="1"/>
  <c r="I26" i="4"/>
  <c r="M26" i="4" s="1"/>
  <c r="K26" i="4"/>
  <c r="N26" i="4" s="1"/>
  <c r="H33" i="2"/>
  <c r="K34" i="2"/>
  <c r="J31" i="2"/>
  <c r="M32" i="2"/>
  <c r="I28" i="2"/>
  <c r="F28" i="2" s="1"/>
  <c r="L29" i="2"/>
  <c r="C29" i="2"/>
  <c r="E28" i="2"/>
  <c r="C523" i="4" l="1"/>
  <c r="AB522" i="3"/>
  <c r="E523" i="4" s="1"/>
  <c r="V525" i="2"/>
  <c r="T525" i="2" s="1"/>
  <c r="M523" i="3"/>
  <c r="W526" i="2"/>
  <c r="S524" i="3"/>
  <c r="Y524" i="3" s="1"/>
  <c r="Z524" i="3" s="1"/>
  <c r="P526" i="2"/>
  <c r="V524" i="3"/>
  <c r="K525" i="4" s="1"/>
  <c r="N525" i="4" s="1"/>
  <c r="G524" i="3"/>
  <c r="U526" i="2"/>
  <c r="M527" i="2"/>
  <c r="D526" i="2"/>
  <c r="G525" i="2"/>
  <c r="T524" i="3" s="1"/>
  <c r="U524" i="3" s="1"/>
  <c r="J525" i="4" s="1"/>
  <c r="C526" i="2"/>
  <c r="N526" i="2"/>
  <c r="J525" i="3" s="1"/>
  <c r="G526" i="4" s="1"/>
  <c r="L526" i="4" s="1"/>
  <c r="H525" i="2"/>
  <c r="E525" i="2" s="1"/>
  <c r="H524" i="3" s="1"/>
  <c r="I524" i="3" s="1"/>
  <c r="F525" i="4" s="1"/>
  <c r="O526" i="2"/>
  <c r="P525" i="3" s="1"/>
  <c r="I526" i="4" s="1"/>
  <c r="M526" i="4" s="1"/>
  <c r="I525" i="2"/>
  <c r="F525" i="2" s="1"/>
  <c r="N524" i="3" s="1"/>
  <c r="O524" i="3" s="1"/>
  <c r="H525" i="4" s="1"/>
  <c r="D27" i="4"/>
  <c r="C27" i="4"/>
  <c r="AB26" i="3"/>
  <c r="E27" i="4" s="1"/>
  <c r="T29" i="2"/>
  <c r="G29" i="2"/>
  <c r="D30" i="2"/>
  <c r="K35" i="2"/>
  <c r="H34" i="2"/>
  <c r="A28" i="4"/>
  <c r="M27" i="3"/>
  <c r="N27" i="3"/>
  <c r="C27" i="3"/>
  <c r="P27" i="3"/>
  <c r="E27" i="3"/>
  <c r="G27" i="3"/>
  <c r="S27" i="3"/>
  <c r="Y27" i="3" s="1"/>
  <c r="Z27" i="3" s="1"/>
  <c r="AA27" i="3" s="1"/>
  <c r="H27" i="3"/>
  <c r="J27" i="3"/>
  <c r="T27" i="3"/>
  <c r="V27" i="3"/>
  <c r="F26" i="3"/>
  <c r="D27" i="3"/>
  <c r="M33" i="2"/>
  <c r="J32" i="2"/>
  <c r="I25" i="3"/>
  <c r="F26" i="4" s="1"/>
  <c r="U25" i="3"/>
  <c r="J26" i="4" s="1"/>
  <c r="O25" i="3"/>
  <c r="H26" i="4" s="1"/>
  <c r="E29" i="2"/>
  <c r="C30" i="2"/>
  <c r="F29" i="2"/>
  <c r="L30" i="2"/>
  <c r="I29" i="2"/>
  <c r="G27" i="4"/>
  <c r="L27" i="4" s="1"/>
  <c r="I27" i="4"/>
  <c r="M27" i="4" s="1"/>
  <c r="K27" i="4"/>
  <c r="N27" i="4" s="1"/>
  <c r="C524" i="4" l="1"/>
  <c r="AB523" i="3"/>
  <c r="E524" i="4" s="1"/>
  <c r="V526" i="2"/>
  <c r="T526" i="2" s="1"/>
  <c r="M524" i="3"/>
  <c r="P527" i="2"/>
  <c r="V525" i="3"/>
  <c r="K526" i="4" s="1"/>
  <c r="N526" i="4" s="1"/>
  <c r="J526" i="2"/>
  <c r="W527" i="2"/>
  <c r="S525" i="3"/>
  <c r="Y525" i="3" s="1"/>
  <c r="Z525" i="3" s="1"/>
  <c r="U527" i="2"/>
  <c r="G525" i="3"/>
  <c r="C527" i="2"/>
  <c r="G526" i="2"/>
  <c r="T525" i="3" s="1"/>
  <c r="U525" i="3" s="1"/>
  <c r="J526" i="4" s="1"/>
  <c r="D527" i="2"/>
  <c r="N527" i="2"/>
  <c r="J526" i="3" s="1"/>
  <c r="G527" i="4" s="1"/>
  <c r="L527" i="4" s="1"/>
  <c r="H526" i="2"/>
  <c r="E526" i="2" s="1"/>
  <c r="H525" i="3" s="1"/>
  <c r="I525" i="3" s="1"/>
  <c r="F526" i="4" s="1"/>
  <c r="O527" i="2"/>
  <c r="P526" i="3" s="1"/>
  <c r="I527" i="4" s="1"/>
  <c r="M527" i="4" s="1"/>
  <c r="I526" i="2"/>
  <c r="F526" i="2" s="1"/>
  <c r="N525" i="3" s="1"/>
  <c r="O525" i="3" s="1"/>
  <c r="H526" i="4" s="1"/>
  <c r="M528" i="2"/>
  <c r="J527" i="2"/>
  <c r="D28" i="4"/>
  <c r="O26" i="3"/>
  <c r="H27" i="4" s="1"/>
  <c r="I26" i="3"/>
  <c r="F27" i="4" s="1"/>
  <c r="U26" i="3"/>
  <c r="J27" i="4" s="1"/>
  <c r="G28" i="4"/>
  <c r="L28" i="4" s="1"/>
  <c r="I28" i="4"/>
  <c r="M28" i="4" s="1"/>
  <c r="K28" i="4"/>
  <c r="N28" i="4" s="1"/>
  <c r="C28" i="4"/>
  <c r="AB27" i="3"/>
  <c r="E28" i="4" s="1"/>
  <c r="I30" i="2"/>
  <c r="L31" i="2"/>
  <c r="H35" i="2"/>
  <c r="K36" i="2"/>
  <c r="G30" i="2"/>
  <c r="T30" i="2"/>
  <c r="D31" i="2"/>
  <c r="F27" i="3"/>
  <c r="D28" i="3"/>
  <c r="C31" i="2"/>
  <c r="E30" i="2"/>
  <c r="F30" i="2"/>
  <c r="A29" i="4"/>
  <c r="J28" i="3"/>
  <c r="V28" i="3"/>
  <c r="M28" i="3"/>
  <c r="N28" i="3"/>
  <c r="C28" i="3"/>
  <c r="P28" i="3"/>
  <c r="G28" i="3"/>
  <c r="H28" i="3"/>
  <c r="S28" i="3"/>
  <c r="Y28" i="3" s="1"/>
  <c r="Z28" i="3" s="1"/>
  <c r="AA28" i="3" s="1"/>
  <c r="T28" i="3"/>
  <c r="E28" i="3"/>
  <c r="J33" i="2"/>
  <c r="M34" i="2"/>
  <c r="C525" i="4" l="1"/>
  <c r="AB524" i="3"/>
  <c r="E525" i="4" s="1"/>
  <c r="V527" i="2"/>
  <c r="M525" i="3"/>
  <c r="W528" i="2"/>
  <c r="S526" i="3"/>
  <c r="Y526" i="3" s="1"/>
  <c r="Z526" i="3" s="1"/>
  <c r="P528" i="2"/>
  <c r="V526" i="3"/>
  <c r="K527" i="4" s="1"/>
  <c r="N527" i="4" s="1"/>
  <c r="U528" i="2"/>
  <c r="G526" i="3"/>
  <c r="O528" i="2"/>
  <c r="P527" i="3" s="1"/>
  <c r="I528" i="4" s="1"/>
  <c r="M528" i="4" s="1"/>
  <c r="I527" i="2"/>
  <c r="F527" i="2" s="1"/>
  <c r="N526" i="3" s="1"/>
  <c r="O526" i="3" s="1"/>
  <c r="H527" i="4" s="1"/>
  <c r="N528" i="2"/>
  <c r="H527" i="2"/>
  <c r="E527" i="2" s="1"/>
  <c r="H526" i="3" s="1"/>
  <c r="I526" i="3" s="1"/>
  <c r="F527" i="4" s="1"/>
  <c r="C528" i="2"/>
  <c r="T527" i="2"/>
  <c r="G527" i="2"/>
  <c r="T526" i="3" s="1"/>
  <c r="U526" i="3" s="1"/>
  <c r="J527" i="4" s="1"/>
  <c r="D528" i="2"/>
  <c r="D29" i="4"/>
  <c r="F28" i="3"/>
  <c r="D29" i="3"/>
  <c r="O27" i="3"/>
  <c r="H28" i="4" s="1"/>
  <c r="I27" i="3"/>
  <c r="F28" i="4" s="1"/>
  <c r="U27" i="3"/>
  <c r="J28" i="4" s="1"/>
  <c r="E31" i="2"/>
  <c r="C32" i="2"/>
  <c r="T31" i="2"/>
  <c r="G31" i="2"/>
  <c r="D32" i="2"/>
  <c r="C29" i="4"/>
  <c r="AB28" i="3"/>
  <c r="E29" i="4" s="1"/>
  <c r="K37" i="2"/>
  <c r="H36" i="2"/>
  <c r="M35" i="2"/>
  <c r="J34" i="2"/>
  <c r="L32" i="2"/>
  <c r="I31" i="2"/>
  <c r="F31" i="2" s="1"/>
  <c r="G29" i="4"/>
  <c r="L29" i="4" s="1"/>
  <c r="I29" i="4"/>
  <c r="M29" i="4" s="1"/>
  <c r="K29" i="4"/>
  <c r="N29" i="4" s="1"/>
  <c r="A30" i="4"/>
  <c r="G29" i="3"/>
  <c r="S29" i="3"/>
  <c r="Y29" i="3" s="1"/>
  <c r="Z29" i="3" s="1"/>
  <c r="AA29" i="3" s="1"/>
  <c r="H29" i="3"/>
  <c r="T29" i="3"/>
  <c r="J29" i="3"/>
  <c r="V29" i="3"/>
  <c r="M29" i="3"/>
  <c r="C29" i="3"/>
  <c r="P29" i="3"/>
  <c r="E29" i="3"/>
  <c r="N29" i="3"/>
  <c r="C526" i="4" l="1"/>
  <c r="AB525" i="3"/>
  <c r="E526" i="4" s="1"/>
  <c r="V528" i="2"/>
  <c r="M526" i="3"/>
  <c r="V527" i="3"/>
  <c r="K528" i="4" s="1"/>
  <c r="N528" i="4" s="1"/>
  <c r="P529" i="2"/>
  <c r="S527" i="3"/>
  <c r="Y527" i="3" s="1"/>
  <c r="Z527" i="3" s="1"/>
  <c r="W529" i="2"/>
  <c r="J528" i="2"/>
  <c r="G528" i="2" s="1"/>
  <c r="T527" i="3" s="1"/>
  <c r="U527" i="3" s="1"/>
  <c r="J528" i="4" s="1"/>
  <c r="G527" i="3"/>
  <c r="U529" i="2"/>
  <c r="H528" i="2"/>
  <c r="J527" i="3"/>
  <c r="G528" i="4" s="1"/>
  <c r="L528" i="4" s="1"/>
  <c r="N529" i="2"/>
  <c r="I528" i="2"/>
  <c r="F528" i="2" s="1"/>
  <c r="N527" i="3" s="1"/>
  <c r="O527" i="3" s="1"/>
  <c r="H528" i="4" s="1"/>
  <c r="O529" i="2"/>
  <c r="P528" i="3" s="1"/>
  <c r="I529" i="4" s="1"/>
  <c r="M529" i="4" s="1"/>
  <c r="T528" i="2"/>
  <c r="E528" i="2"/>
  <c r="H527" i="3" s="1"/>
  <c r="I527" i="3" s="1"/>
  <c r="F528" i="4" s="1"/>
  <c r="D30" i="4"/>
  <c r="C33" i="2"/>
  <c r="E32" i="2"/>
  <c r="L33" i="2"/>
  <c r="I32" i="2"/>
  <c r="F32" i="2" s="1"/>
  <c r="J35" i="2"/>
  <c r="M36" i="2"/>
  <c r="C30" i="4"/>
  <c r="AB29" i="3"/>
  <c r="E30" i="4" s="1"/>
  <c r="G30" i="4"/>
  <c r="L30" i="4" s="1"/>
  <c r="I30" i="4"/>
  <c r="M30" i="4" s="1"/>
  <c r="K30" i="4"/>
  <c r="N30" i="4" s="1"/>
  <c r="H37" i="2"/>
  <c r="K38" i="2"/>
  <c r="F29" i="3"/>
  <c r="D30" i="3"/>
  <c r="I28" i="3"/>
  <c r="F29" i="4" s="1"/>
  <c r="U28" i="3"/>
  <c r="J29" i="4" s="1"/>
  <c r="O28" i="3"/>
  <c r="H29" i="4" s="1"/>
  <c r="A31" i="4"/>
  <c r="C30" i="3"/>
  <c r="P30" i="3"/>
  <c r="E30" i="3"/>
  <c r="G30" i="3"/>
  <c r="S30" i="3"/>
  <c r="Y30" i="3" s="1"/>
  <c r="Z30" i="3" s="1"/>
  <c r="AA30" i="3" s="1"/>
  <c r="H30" i="3"/>
  <c r="T30" i="3"/>
  <c r="J30" i="3"/>
  <c r="V30" i="3"/>
  <c r="M30" i="3"/>
  <c r="N30" i="3"/>
  <c r="G32" i="2"/>
  <c r="D33" i="2"/>
  <c r="T32" i="2"/>
  <c r="AB526" i="3" l="1"/>
  <c r="E527" i="4" s="1"/>
  <c r="C527" i="4"/>
  <c r="V529" i="2"/>
  <c r="M527" i="3"/>
  <c r="W530" i="2"/>
  <c r="S528" i="3"/>
  <c r="Y528" i="3" s="1"/>
  <c r="Z528" i="3" s="1"/>
  <c r="J529" i="2"/>
  <c r="G529" i="2" s="1"/>
  <c r="T528" i="3" s="1"/>
  <c r="U528" i="3" s="1"/>
  <c r="J529" i="4" s="1"/>
  <c r="V528" i="3"/>
  <c r="K529" i="4" s="1"/>
  <c r="N529" i="4" s="1"/>
  <c r="P530" i="2"/>
  <c r="U530" i="2"/>
  <c r="G528" i="3"/>
  <c r="J528" i="3"/>
  <c r="G529" i="4" s="1"/>
  <c r="L529" i="4" s="1"/>
  <c r="N530" i="2"/>
  <c r="H529" i="2"/>
  <c r="E529" i="2" s="1"/>
  <c r="H528" i="3" s="1"/>
  <c r="I528" i="3" s="1"/>
  <c r="F529" i="4" s="1"/>
  <c r="O530" i="2"/>
  <c r="P529" i="3" s="1"/>
  <c r="I530" i="4" s="1"/>
  <c r="M530" i="4" s="1"/>
  <c r="I529" i="2"/>
  <c r="F529" i="2" s="1"/>
  <c r="N528" i="3" s="1"/>
  <c r="O528" i="3" s="1"/>
  <c r="H529" i="4" s="1"/>
  <c r="D31" i="4"/>
  <c r="F30" i="3"/>
  <c r="D31" i="3"/>
  <c r="M37" i="2"/>
  <c r="J36" i="2"/>
  <c r="I29" i="3"/>
  <c r="F30" i="4" s="1"/>
  <c r="U29" i="3"/>
  <c r="J30" i="4" s="1"/>
  <c r="O29" i="3"/>
  <c r="H30" i="4" s="1"/>
  <c r="K39" i="2"/>
  <c r="H38" i="2"/>
  <c r="L34" i="2"/>
  <c r="I33" i="2"/>
  <c r="A32" i="4"/>
  <c r="M31" i="3"/>
  <c r="N31" i="3"/>
  <c r="C31" i="3"/>
  <c r="P31" i="3"/>
  <c r="E31" i="3"/>
  <c r="G31" i="3"/>
  <c r="S31" i="3"/>
  <c r="Y31" i="3" s="1"/>
  <c r="Z31" i="3" s="1"/>
  <c r="AA31" i="3" s="1"/>
  <c r="H31" i="3"/>
  <c r="J31" i="3"/>
  <c r="T31" i="3"/>
  <c r="V31" i="3"/>
  <c r="C31" i="4"/>
  <c r="AB30" i="3"/>
  <c r="E31" i="4" s="1"/>
  <c r="E33" i="2"/>
  <c r="C34" i="2"/>
  <c r="F33" i="2"/>
  <c r="D34" i="2"/>
  <c r="T33" i="2"/>
  <c r="G33" i="2"/>
  <c r="I31" i="4"/>
  <c r="M31" i="4" s="1"/>
  <c r="K31" i="4"/>
  <c r="N31" i="4" s="1"/>
  <c r="G31" i="4"/>
  <c r="L31" i="4" s="1"/>
  <c r="AB527" i="3" l="1"/>
  <c r="E528" i="4" s="1"/>
  <c r="C528" i="4"/>
  <c r="V530" i="2"/>
  <c r="M528" i="3"/>
  <c r="T529" i="2"/>
  <c r="P531" i="2"/>
  <c r="J530" i="2"/>
  <c r="G530" i="2" s="1"/>
  <c r="T529" i="3" s="1"/>
  <c r="U529" i="3" s="1"/>
  <c r="J530" i="4" s="1"/>
  <c r="V529" i="3"/>
  <c r="K530" i="4" s="1"/>
  <c r="N530" i="4" s="1"/>
  <c r="W531" i="2"/>
  <c r="S529" i="3"/>
  <c r="Y529" i="3" s="1"/>
  <c r="Z529" i="3" s="1"/>
  <c r="U531" i="2"/>
  <c r="G529" i="3"/>
  <c r="N531" i="2"/>
  <c r="J529" i="3"/>
  <c r="G530" i="4" s="1"/>
  <c r="L530" i="4" s="1"/>
  <c r="H530" i="2"/>
  <c r="E530" i="2" s="1"/>
  <c r="H529" i="3" s="1"/>
  <c r="I529" i="3" s="1"/>
  <c r="F530" i="4" s="1"/>
  <c r="O531" i="2"/>
  <c r="P530" i="3" s="1"/>
  <c r="I531" i="4" s="1"/>
  <c r="M531" i="4" s="1"/>
  <c r="I530" i="2"/>
  <c r="F530" i="2" s="1"/>
  <c r="N529" i="3" s="1"/>
  <c r="O529" i="3" s="1"/>
  <c r="H530" i="4" s="1"/>
  <c r="D32" i="4"/>
  <c r="H39" i="2"/>
  <c r="K40" i="2"/>
  <c r="T34" i="2"/>
  <c r="D35" i="2"/>
  <c r="G34" i="2"/>
  <c r="A33" i="4"/>
  <c r="J32" i="3"/>
  <c r="V32" i="3"/>
  <c r="M32" i="3"/>
  <c r="N32" i="3"/>
  <c r="C32" i="3"/>
  <c r="P32" i="3"/>
  <c r="S32" i="3"/>
  <c r="Y32" i="3" s="1"/>
  <c r="Z32" i="3" s="1"/>
  <c r="AA32" i="3" s="1"/>
  <c r="T32" i="3"/>
  <c r="E32" i="3"/>
  <c r="G32" i="3"/>
  <c r="H32" i="3"/>
  <c r="E34" i="2"/>
  <c r="F34" i="2"/>
  <c r="C35" i="2"/>
  <c r="M38" i="2"/>
  <c r="J37" i="2"/>
  <c r="F31" i="3"/>
  <c r="D32" i="3"/>
  <c r="C32" i="4"/>
  <c r="AB31" i="3"/>
  <c r="E32" i="4" s="1"/>
  <c r="O30" i="3"/>
  <c r="H31" i="4" s="1"/>
  <c r="I30" i="3"/>
  <c r="F31" i="4" s="1"/>
  <c r="U30" i="3"/>
  <c r="J31" i="4" s="1"/>
  <c r="G32" i="4"/>
  <c r="L32" i="4" s="1"/>
  <c r="I32" i="4"/>
  <c r="M32" i="4" s="1"/>
  <c r="K32" i="4"/>
  <c r="N32" i="4" s="1"/>
  <c r="I34" i="2"/>
  <c r="L35" i="2"/>
  <c r="AB528" i="3" l="1"/>
  <c r="E529" i="4" s="1"/>
  <c r="C529" i="4"/>
  <c r="T530" i="2"/>
  <c r="V531" i="2"/>
  <c r="M529" i="3"/>
  <c r="S530" i="3"/>
  <c r="Y530" i="3" s="1"/>
  <c r="Z530" i="3" s="1"/>
  <c r="W532" i="2"/>
  <c r="P532" i="2"/>
  <c r="V530" i="3"/>
  <c r="K531" i="4" s="1"/>
  <c r="N531" i="4" s="1"/>
  <c r="J531" i="2"/>
  <c r="G531" i="2" s="1"/>
  <c r="T530" i="3" s="1"/>
  <c r="U530" i="3" s="1"/>
  <c r="J531" i="4" s="1"/>
  <c r="U532" i="2"/>
  <c r="G530" i="3"/>
  <c r="N532" i="2"/>
  <c r="J530" i="3"/>
  <c r="G531" i="4" s="1"/>
  <c r="L531" i="4" s="1"/>
  <c r="H531" i="2"/>
  <c r="E531" i="2" s="1"/>
  <c r="H530" i="3" s="1"/>
  <c r="I530" i="3" s="1"/>
  <c r="F531" i="4" s="1"/>
  <c r="O532" i="2"/>
  <c r="P531" i="3" s="1"/>
  <c r="I532" i="4" s="1"/>
  <c r="M532" i="4" s="1"/>
  <c r="I531" i="2"/>
  <c r="F531" i="2" s="1"/>
  <c r="N530" i="3" s="1"/>
  <c r="O530" i="3" s="1"/>
  <c r="H531" i="4" s="1"/>
  <c r="D33" i="4"/>
  <c r="C36" i="2"/>
  <c r="E35" i="2"/>
  <c r="C33" i="4"/>
  <c r="AB32" i="3"/>
  <c r="E33" i="4" s="1"/>
  <c r="G33" i="4"/>
  <c r="L33" i="4" s="1"/>
  <c r="I33" i="4"/>
  <c r="M33" i="4" s="1"/>
  <c r="K33" i="4"/>
  <c r="N33" i="4" s="1"/>
  <c r="D36" i="2"/>
  <c r="G35" i="2"/>
  <c r="T35" i="2"/>
  <c r="A34" i="4"/>
  <c r="G33" i="3"/>
  <c r="S33" i="3"/>
  <c r="Y33" i="3" s="1"/>
  <c r="Z33" i="3" s="1"/>
  <c r="AA33" i="3" s="1"/>
  <c r="H33" i="3"/>
  <c r="T33" i="3"/>
  <c r="J33" i="3"/>
  <c r="V33" i="3"/>
  <c r="M33" i="3"/>
  <c r="C33" i="3"/>
  <c r="P33" i="3"/>
  <c r="E33" i="3"/>
  <c r="N33" i="3"/>
  <c r="M39" i="2"/>
  <c r="J38" i="2"/>
  <c r="I35" i="2"/>
  <c r="F35" i="2" s="1"/>
  <c r="L36" i="2"/>
  <c r="H40" i="2"/>
  <c r="K41" i="2"/>
  <c r="F32" i="3"/>
  <c r="D33" i="3"/>
  <c r="O31" i="3"/>
  <c r="H32" i="4" s="1"/>
  <c r="I31" i="3"/>
  <c r="F32" i="4" s="1"/>
  <c r="U31" i="3"/>
  <c r="J32" i="4" s="1"/>
  <c r="C530" i="4" l="1"/>
  <c r="AB529" i="3"/>
  <c r="E530" i="4" s="1"/>
  <c r="T531" i="2"/>
  <c r="V532" i="2"/>
  <c r="M530" i="3"/>
  <c r="P533" i="2"/>
  <c r="V531" i="3"/>
  <c r="K532" i="4" s="1"/>
  <c r="N532" i="4" s="1"/>
  <c r="J532" i="2"/>
  <c r="G532" i="2" s="1"/>
  <c r="T531" i="3" s="1"/>
  <c r="U531" i="3" s="1"/>
  <c r="J532" i="4" s="1"/>
  <c r="W533" i="2"/>
  <c r="S531" i="3"/>
  <c r="Y531" i="3" s="1"/>
  <c r="Z531" i="3" s="1"/>
  <c r="U533" i="2"/>
  <c r="G531" i="3"/>
  <c r="N533" i="2"/>
  <c r="J531" i="3"/>
  <c r="G532" i="4" s="1"/>
  <c r="L532" i="4" s="1"/>
  <c r="H532" i="2"/>
  <c r="E532" i="2" s="1"/>
  <c r="H531" i="3" s="1"/>
  <c r="I531" i="3" s="1"/>
  <c r="F532" i="4" s="1"/>
  <c r="O533" i="2"/>
  <c r="P532" i="3" s="1"/>
  <c r="I533" i="4" s="1"/>
  <c r="M533" i="4" s="1"/>
  <c r="I532" i="2"/>
  <c r="F532" i="2" s="1"/>
  <c r="N531" i="3" s="1"/>
  <c r="O531" i="3" s="1"/>
  <c r="H532" i="4" s="1"/>
  <c r="D34" i="4"/>
  <c r="L37" i="2"/>
  <c r="I36" i="2"/>
  <c r="J39" i="2"/>
  <c r="M40" i="2"/>
  <c r="H41" i="2"/>
  <c r="K42" i="2"/>
  <c r="K34" i="4"/>
  <c r="N34" i="4" s="1"/>
  <c r="G34" i="4"/>
  <c r="L34" i="4" s="1"/>
  <c r="I34" i="4"/>
  <c r="M34" i="4" s="1"/>
  <c r="C34" i="4"/>
  <c r="AB33" i="3"/>
  <c r="E34" i="4" s="1"/>
  <c r="I32" i="3"/>
  <c r="F33" i="4" s="1"/>
  <c r="U32" i="3"/>
  <c r="J33" i="4" s="1"/>
  <c r="O32" i="3"/>
  <c r="H33" i="4" s="1"/>
  <c r="A35" i="4"/>
  <c r="C34" i="3"/>
  <c r="P34" i="3"/>
  <c r="E34" i="3"/>
  <c r="G34" i="3"/>
  <c r="S34" i="3"/>
  <c r="Y34" i="3" s="1"/>
  <c r="Z34" i="3" s="1"/>
  <c r="AA34" i="3" s="1"/>
  <c r="H34" i="3"/>
  <c r="T34" i="3"/>
  <c r="J34" i="3"/>
  <c r="V34" i="3"/>
  <c r="M34" i="3"/>
  <c r="N34" i="3"/>
  <c r="F36" i="2"/>
  <c r="E36" i="2"/>
  <c r="C37" i="2"/>
  <c r="G36" i="2"/>
  <c r="T36" i="2"/>
  <c r="D37" i="2"/>
  <c r="F33" i="3"/>
  <c r="D34" i="3"/>
  <c r="C531" i="4" l="1"/>
  <c r="AB530" i="3"/>
  <c r="E531" i="4" s="1"/>
  <c r="T532" i="2"/>
  <c r="M531" i="3"/>
  <c r="V533" i="2"/>
  <c r="W534" i="2"/>
  <c r="S532" i="3"/>
  <c r="Y532" i="3" s="1"/>
  <c r="Z532" i="3" s="1"/>
  <c r="P534" i="2"/>
  <c r="V532" i="3"/>
  <c r="K533" i="4" s="1"/>
  <c r="N533" i="4" s="1"/>
  <c r="J533" i="2"/>
  <c r="G533" i="2" s="1"/>
  <c r="T532" i="3" s="1"/>
  <c r="U532" i="3" s="1"/>
  <c r="J533" i="4" s="1"/>
  <c r="G532" i="3"/>
  <c r="U534" i="2"/>
  <c r="N534" i="2"/>
  <c r="J532" i="3"/>
  <c r="G533" i="4" s="1"/>
  <c r="L533" i="4" s="1"/>
  <c r="H533" i="2"/>
  <c r="E533" i="2" s="1"/>
  <c r="H532" i="3" s="1"/>
  <c r="I532" i="3" s="1"/>
  <c r="F533" i="4" s="1"/>
  <c r="O534" i="2"/>
  <c r="P533" i="3" s="1"/>
  <c r="I534" i="4" s="1"/>
  <c r="M534" i="4" s="1"/>
  <c r="I533" i="2"/>
  <c r="F533" i="2" s="1"/>
  <c r="N532" i="3" s="1"/>
  <c r="O532" i="3" s="1"/>
  <c r="H533" i="4" s="1"/>
  <c r="D35" i="4"/>
  <c r="C38" i="2"/>
  <c r="E37" i="2"/>
  <c r="K35" i="4"/>
  <c r="N35" i="4" s="1"/>
  <c r="G35" i="4"/>
  <c r="L35" i="4" s="1"/>
  <c r="I35" i="4"/>
  <c r="M35" i="4" s="1"/>
  <c r="H42" i="2"/>
  <c r="K43" i="2"/>
  <c r="C35" i="4"/>
  <c r="AB34" i="3"/>
  <c r="E35" i="4" s="1"/>
  <c r="A36" i="4"/>
  <c r="M35" i="3"/>
  <c r="N35" i="3"/>
  <c r="P35" i="3"/>
  <c r="E35" i="3"/>
  <c r="G35" i="3"/>
  <c r="S35" i="3"/>
  <c r="Y35" i="3" s="1"/>
  <c r="Z35" i="3" s="1"/>
  <c r="AA35" i="3" s="1"/>
  <c r="C35" i="3"/>
  <c r="H35" i="3"/>
  <c r="J35" i="3"/>
  <c r="T35" i="3"/>
  <c r="V35" i="3"/>
  <c r="J40" i="2"/>
  <c r="M41" i="2"/>
  <c r="D35" i="3"/>
  <c r="F34" i="3"/>
  <c r="O33" i="3"/>
  <c r="H34" i="4" s="1"/>
  <c r="U33" i="3"/>
  <c r="J34" i="4" s="1"/>
  <c r="I33" i="3"/>
  <c r="F34" i="4" s="1"/>
  <c r="L38" i="2"/>
  <c r="I37" i="2"/>
  <c r="F37" i="2" s="1"/>
  <c r="G37" i="2"/>
  <c r="D38" i="2"/>
  <c r="T37" i="2"/>
  <c r="T533" i="2" l="1"/>
  <c r="V534" i="2"/>
  <c r="M532" i="3"/>
  <c r="C532" i="4"/>
  <c r="AB531" i="3"/>
  <c r="E532" i="4" s="1"/>
  <c r="P535" i="2"/>
  <c r="V533" i="3"/>
  <c r="K534" i="4" s="1"/>
  <c r="N534" i="4" s="1"/>
  <c r="J534" i="2"/>
  <c r="G534" i="2" s="1"/>
  <c r="T533" i="3" s="1"/>
  <c r="U533" i="3" s="1"/>
  <c r="J534" i="4" s="1"/>
  <c r="S533" i="3"/>
  <c r="Y533" i="3" s="1"/>
  <c r="Z533" i="3" s="1"/>
  <c r="W535" i="2"/>
  <c r="U535" i="2"/>
  <c r="G533" i="3"/>
  <c r="N535" i="2"/>
  <c r="J533" i="3"/>
  <c r="G534" i="4" s="1"/>
  <c r="L534" i="4" s="1"/>
  <c r="H534" i="2"/>
  <c r="E534" i="2" s="1"/>
  <c r="H533" i="3" s="1"/>
  <c r="I533" i="3" s="1"/>
  <c r="F534" i="4" s="1"/>
  <c r="O535" i="2"/>
  <c r="P534" i="3" s="1"/>
  <c r="I535" i="4" s="1"/>
  <c r="M535" i="4" s="1"/>
  <c r="I534" i="2"/>
  <c r="F534" i="2" s="1"/>
  <c r="N533" i="3" s="1"/>
  <c r="O533" i="3" s="1"/>
  <c r="H534" i="4" s="1"/>
  <c r="D36" i="4"/>
  <c r="A37" i="4"/>
  <c r="J36" i="3"/>
  <c r="V36" i="3"/>
  <c r="M36" i="3"/>
  <c r="N36" i="3"/>
  <c r="C36" i="3"/>
  <c r="P36" i="3"/>
  <c r="E36" i="3"/>
  <c r="G36" i="3"/>
  <c r="H36" i="3"/>
  <c r="S36" i="3"/>
  <c r="Y36" i="3" s="1"/>
  <c r="Z36" i="3" s="1"/>
  <c r="AA36" i="3" s="1"/>
  <c r="T36" i="3"/>
  <c r="O34" i="3"/>
  <c r="H35" i="4" s="1"/>
  <c r="I34" i="3"/>
  <c r="F35" i="4" s="1"/>
  <c r="U34" i="3"/>
  <c r="J35" i="4" s="1"/>
  <c r="F35" i="3"/>
  <c r="D36" i="3"/>
  <c r="M42" i="2"/>
  <c r="J41" i="2"/>
  <c r="C36" i="4"/>
  <c r="AB35" i="3"/>
  <c r="E36" i="4" s="1"/>
  <c r="I36" i="4"/>
  <c r="M36" i="4" s="1"/>
  <c r="K36" i="4"/>
  <c r="N36" i="4" s="1"/>
  <c r="G36" i="4"/>
  <c r="L36" i="4" s="1"/>
  <c r="E38" i="2"/>
  <c r="C39" i="2"/>
  <c r="D39" i="2"/>
  <c r="G38" i="2"/>
  <c r="T38" i="2"/>
  <c r="L39" i="2"/>
  <c r="I38" i="2"/>
  <c r="F38" i="2" s="1"/>
  <c r="K44" i="2"/>
  <c r="H43" i="2"/>
  <c r="C533" i="4" l="1"/>
  <c r="AB532" i="3"/>
  <c r="E533" i="4" s="1"/>
  <c r="M533" i="3"/>
  <c r="T534" i="2"/>
  <c r="V535" i="2"/>
  <c r="S534" i="3"/>
  <c r="Y534" i="3" s="1"/>
  <c r="Z534" i="3" s="1"/>
  <c r="W536" i="2"/>
  <c r="P536" i="2"/>
  <c r="V534" i="3"/>
  <c r="K535" i="4" s="1"/>
  <c r="N535" i="4" s="1"/>
  <c r="J535" i="2"/>
  <c r="G535" i="2" s="1"/>
  <c r="T534" i="3" s="1"/>
  <c r="U534" i="3" s="1"/>
  <c r="J535" i="4" s="1"/>
  <c r="U536" i="2"/>
  <c r="G534" i="3"/>
  <c r="N536" i="2"/>
  <c r="J534" i="3"/>
  <c r="G535" i="4" s="1"/>
  <c r="L535" i="4" s="1"/>
  <c r="H535" i="2"/>
  <c r="E535" i="2" s="1"/>
  <c r="H534" i="3" s="1"/>
  <c r="I534" i="3" s="1"/>
  <c r="F535" i="4" s="1"/>
  <c r="O536" i="2"/>
  <c r="P535" i="3" s="1"/>
  <c r="I536" i="4" s="1"/>
  <c r="M536" i="4" s="1"/>
  <c r="I535" i="2"/>
  <c r="F535" i="2" s="1"/>
  <c r="N534" i="3" s="1"/>
  <c r="O534" i="3" s="1"/>
  <c r="H535" i="4" s="1"/>
  <c r="D37" i="4"/>
  <c r="T39" i="2"/>
  <c r="G39" i="2"/>
  <c r="D40" i="2"/>
  <c r="A38" i="4"/>
  <c r="G37" i="3"/>
  <c r="S37" i="3"/>
  <c r="Y37" i="3" s="1"/>
  <c r="Z37" i="3" s="1"/>
  <c r="AA37" i="3" s="1"/>
  <c r="H37" i="3"/>
  <c r="T37" i="3"/>
  <c r="J37" i="3"/>
  <c r="V37" i="3"/>
  <c r="M37" i="3"/>
  <c r="C37" i="3"/>
  <c r="E37" i="3"/>
  <c r="N37" i="3"/>
  <c r="P37" i="3"/>
  <c r="E39" i="2"/>
  <c r="F39" i="2"/>
  <c r="C40" i="2"/>
  <c r="M43" i="2"/>
  <c r="J42" i="2"/>
  <c r="F36" i="3"/>
  <c r="D37" i="3"/>
  <c r="I35" i="3"/>
  <c r="F36" i="4" s="1"/>
  <c r="U35" i="3"/>
  <c r="J36" i="4" s="1"/>
  <c r="O35" i="3"/>
  <c r="H36" i="4" s="1"/>
  <c r="C37" i="4"/>
  <c r="AB36" i="3"/>
  <c r="E37" i="4" s="1"/>
  <c r="K45" i="2"/>
  <c r="H44" i="2"/>
  <c r="I37" i="4"/>
  <c r="M37" i="4" s="1"/>
  <c r="K37" i="4"/>
  <c r="N37" i="4" s="1"/>
  <c r="G37" i="4"/>
  <c r="L37" i="4" s="1"/>
  <c r="L40" i="2"/>
  <c r="I39" i="2"/>
  <c r="M534" i="3" l="1"/>
  <c r="T535" i="2"/>
  <c r="V536" i="2"/>
  <c r="C534" i="4"/>
  <c r="AB533" i="3"/>
  <c r="E534" i="4" s="1"/>
  <c r="P537" i="2"/>
  <c r="V535" i="3"/>
  <c r="K536" i="4" s="1"/>
  <c r="N536" i="4" s="1"/>
  <c r="J536" i="2"/>
  <c r="G536" i="2" s="1"/>
  <c r="T535" i="3" s="1"/>
  <c r="U535" i="3" s="1"/>
  <c r="J536" i="4" s="1"/>
  <c r="W537" i="2"/>
  <c r="S535" i="3"/>
  <c r="Y535" i="3" s="1"/>
  <c r="Z535" i="3" s="1"/>
  <c r="U537" i="2"/>
  <c r="G535" i="3"/>
  <c r="N537" i="2"/>
  <c r="J535" i="3"/>
  <c r="G536" i="4" s="1"/>
  <c r="L536" i="4" s="1"/>
  <c r="H536" i="2"/>
  <c r="E536" i="2" s="1"/>
  <c r="H535" i="3" s="1"/>
  <c r="I535" i="3" s="1"/>
  <c r="F536" i="4" s="1"/>
  <c r="O537" i="2"/>
  <c r="P536" i="3" s="1"/>
  <c r="I537" i="4" s="1"/>
  <c r="M537" i="4" s="1"/>
  <c r="I536" i="2"/>
  <c r="F536" i="2" s="1"/>
  <c r="N535" i="3" s="1"/>
  <c r="O535" i="3" s="1"/>
  <c r="H536" i="4" s="1"/>
  <c r="D38" i="4"/>
  <c r="J43" i="2"/>
  <c r="M44" i="2"/>
  <c r="C41" i="2"/>
  <c r="E40" i="2"/>
  <c r="H45" i="2"/>
  <c r="K46" i="2"/>
  <c r="G38" i="4"/>
  <c r="L38" i="4" s="1"/>
  <c r="I38" i="4"/>
  <c r="M38" i="4" s="1"/>
  <c r="K38" i="4"/>
  <c r="N38" i="4" s="1"/>
  <c r="D41" i="2"/>
  <c r="G40" i="2"/>
  <c r="T40" i="2"/>
  <c r="I36" i="3"/>
  <c r="F37" i="4" s="1"/>
  <c r="U36" i="3"/>
  <c r="J37" i="4" s="1"/>
  <c r="O36" i="3"/>
  <c r="H37" i="4" s="1"/>
  <c r="I40" i="2"/>
  <c r="F40" i="2" s="1"/>
  <c r="L41" i="2"/>
  <c r="A39" i="4"/>
  <c r="C38" i="3"/>
  <c r="P38" i="3"/>
  <c r="E38" i="3"/>
  <c r="G38" i="3"/>
  <c r="S38" i="3"/>
  <c r="Y38" i="3" s="1"/>
  <c r="Z38" i="3" s="1"/>
  <c r="AA38" i="3" s="1"/>
  <c r="H38" i="3"/>
  <c r="T38" i="3"/>
  <c r="J38" i="3"/>
  <c r="V38" i="3"/>
  <c r="M38" i="3"/>
  <c r="N38" i="3"/>
  <c r="F37" i="3"/>
  <c r="D38" i="3"/>
  <c r="C38" i="4"/>
  <c r="AB37" i="3"/>
  <c r="E38" i="4" s="1"/>
  <c r="T536" i="2" l="1"/>
  <c r="V537" i="2"/>
  <c r="M535" i="3"/>
  <c r="C535" i="4"/>
  <c r="AB534" i="3"/>
  <c r="E535" i="4" s="1"/>
  <c r="W538" i="2"/>
  <c r="S536" i="3"/>
  <c r="Y536" i="3" s="1"/>
  <c r="Z536" i="3" s="1"/>
  <c r="V536" i="3"/>
  <c r="K537" i="4" s="1"/>
  <c r="N537" i="4" s="1"/>
  <c r="P538" i="2"/>
  <c r="J537" i="2"/>
  <c r="G537" i="2" s="1"/>
  <c r="T536" i="3" s="1"/>
  <c r="U536" i="3" s="1"/>
  <c r="J537" i="4" s="1"/>
  <c r="U538" i="2"/>
  <c r="G536" i="3"/>
  <c r="N538" i="2"/>
  <c r="J536" i="3"/>
  <c r="G537" i="4" s="1"/>
  <c r="L537" i="4" s="1"/>
  <c r="H537" i="2"/>
  <c r="E537" i="2" s="1"/>
  <c r="H536" i="3" s="1"/>
  <c r="I536" i="3" s="1"/>
  <c r="F537" i="4" s="1"/>
  <c r="O538" i="2"/>
  <c r="I537" i="2"/>
  <c r="F537" i="2" s="1"/>
  <c r="N536" i="3" s="1"/>
  <c r="O536" i="3" s="1"/>
  <c r="H537" i="4" s="1"/>
  <c r="D39" i="4"/>
  <c r="C39" i="4"/>
  <c r="AB38" i="3"/>
  <c r="E39" i="4" s="1"/>
  <c r="I41" i="2"/>
  <c r="L42" i="2"/>
  <c r="K47" i="2"/>
  <c r="H46" i="2"/>
  <c r="E41" i="2"/>
  <c r="F41" i="2"/>
  <c r="C42" i="2"/>
  <c r="A40" i="4"/>
  <c r="M39" i="3"/>
  <c r="N39" i="3"/>
  <c r="P39" i="3"/>
  <c r="E39" i="3"/>
  <c r="G39" i="3"/>
  <c r="S39" i="3"/>
  <c r="Y39" i="3" s="1"/>
  <c r="Z39" i="3" s="1"/>
  <c r="AA39" i="3" s="1"/>
  <c r="J39" i="3"/>
  <c r="T39" i="3"/>
  <c r="V39" i="3"/>
  <c r="C39" i="3"/>
  <c r="H39" i="3"/>
  <c r="T41" i="2"/>
  <c r="G41" i="2"/>
  <c r="D42" i="2"/>
  <c r="M45" i="2"/>
  <c r="J44" i="2"/>
  <c r="D39" i="3"/>
  <c r="F38" i="3"/>
  <c r="G39" i="4"/>
  <c r="L39" i="4" s="1"/>
  <c r="I39" i="4"/>
  <c r="M39" i="4" s="1"/>
  <c r="K39" i="4"/>
  <c r="N39" i="4" s="1"/>
  <c r="O37" i="3"/>
  <c r="H38" i="4" s="1"/>
  <c r="I37" i="3"/>
  <c r="F38" i="4" s="1"/>
  <c r="U37" i="3"/>
  <c r="J38" i="4" s="1"/>
  <c r="C536" i="4" l="1"/>
  <c r="AB535" i="3"/>
  <c r="E536" i="4" s="1"/>
  <c r="T537" i="2"/>
  <c r="M536" i="3"/>
  <c r="V538" i="2"/>
  <c r="I538" i="2"/>
  <c r="F538" i="2" s="1"/>
  <c r="N537" i="3" s="1"/>
  <c r="O537" i="3" s="1"/>
  <c r="H538" i="4" s="1"/>
  <c r="P537" i="3"/>
  <c r="I538" i="4" s="1"/>
  <c r="M538" i="4" s="1"/>
  <c r="O539" i="2"/>
  <c r="P539" i="2"/>
  <c r="V537" i="3"/>
  <c r="K538" i="4" s="1"/>
  <c r="N538" i="4" s="1"/>
  <c r="J538" i="2"/>
  <c r="G538" i="2" s="1"/>
  <c r="T537" i="3" s="1"/>
  <c r="U537" i="3" s="1"/>
  <c r="J538" i="4" s="1"/>
  <c r="W539" i="2"/>
  <c r="S537" i="3"/>
  <c r="Y537" i="3" s="1"/>
  <c r="Z537" i="3" s="1"/>
  <c r="G537" i="3"/>
  <c r="U539" i="2"/>
  <c r="N539" i="2"/>
  <c r="J537" i="3"/>
  <c r="G538" i="4" s="1"/>
  <c r="L538" i="4" s="1"/>
  <c r="H538" i="2"/>
  <c r="E538" i="2" s="1"/>
  <c r="H537" i="3" s="1"/>
  <c r="I537" i="3" s="1"/>
  <c r="F538" i="4" s="1"/>
  <c r="D40" i="4"/>
  <c r="G40" i="4"/>
  <c r="L40" i="4" s="1"/>
  <c r="I40" i="4"/>
  <c r="M40" i="4" s="1"/>
  <c r="K40" i="4"/>
  <c r="N40" i="4" s="1"/>
  <c r="C43" i="2"/>
  <c r="E42" i="2"/>
  <c r="F42" i="2"/>
  <c r="O38" i="3"/>
  <c r="H39" i="4" s="1"/>
  <c r="I38" i="3"/>
  <c r="F39" i="4" s="1"/>
  <c r="U38" i="3"/>
  <c r="J39" i="4" s="1"/>
  <c r="K48" i="2"/>
  <c r="H47" i="2"/>
  <c r="F39" i="3"/>
  <c r="D40" i="3"/>
  <c r="L43" i="2"/>
  <c r="I42" i="2"/>
  <c r="A41" i="4"/>
  <c r="J40" i="3"/>
  <c r="V40" i="3"/>
  <c r="M40" i="3"/>
  <c r="N40" i="3"/>
  <c r="C40" i="3"/>
  <c r="P40" i="3"/>
  <c r="S40" i="3"/>
  <c r="Y40" i="3" s="1"/>
  <c r="Z40" i="3" s="1"/>
  <c r="AA40" i="3" s="1"/>
  <c r="T40" i="3"/>
  <c r="E40" i="3"/>
  <c r="G40" i="3"/>
  <c r="H40" i="3"/>
  <c r="J45" i="2"/>
  <c r="M46" i="2"/>
  <c r="T42" i="2"/>
  <c r="D43" i="2"/>
  <c r="G42" i="2"/>
  <c r="C40" i="4"/>
  <c r="AB39" i="3"/>
  <c r="E40" i="4" s="1"/>
  <c r="M537" i="3" l="1"/>
  <c r="T538" i="2"/>
  <c r="V539" i="2"/>
  <c r="C537" i="4"/>
  <c r="AB536" i="3"/>
  <c r="E537" i="4" s="1"/>
  <c r="O540" i="2"/>
  <c r="I539" i="2"/>
  <c r="F539" i="2" s="1"/>
  <c r="N538" i="3" s="1"/>
  <c r="O538" i="3" s="1"/>
  <c r="H539" i="4" s="1"/>
  <c r="P538" i="3"/>
  <c r="I539" i="4" s="1"/>
  <c r="M539" i="4" s="1"/>
  <c r="W540" i="2"/>
  <c r="S539" i="3" s="1"/>
  <c r="Y540" i="3" s="1"/>
  <c r="Z540" i="3" s="1"/>
  <c r="S538" i="3"/>
  <c r="V538" i="3"/>
  <c r="K539" i="4" s="1"/>
  <c r="N539" i="4" s="1"/>
  <c r="J539" i="2"/>
  <c r="G539" i="2" s="1"/>
  <c r="T538" i="3" s="1"/>
  <c r="U538" i="3" s="1"/>
  <c r="J539" i="4" s="1"/>
  <c r="P540" i="2"/>
  <c r="U540" i="2"/>
  <c r="G539" i="3" s="1"/>
  <c r="G538" i="3"/>
  <c r="N540" i="2"/>
  <c r="H539" i="2"/>
  <c r="E539" i="2" s="1"/>
  <c r="H538" i="3" s="1"/>
  <c r="I538" i="3" s="1"/>
  <c r="F539" i="4" s="1"/>
  <c r="J538" i="3"/>
  <c r="G539" i="4" s="1"/>
  <c r="L539" i="4" s="1"/>
  <c r="D41" i="4"/>
  <c r="C41" i="4"/>
  <c r="AB40" i="3"/>
  <c r="E41" i="4" s="1"/>
  <c r="G41" i="4"/>
  <c r="L41" i="4" s="1"/>
  <c r="K41" i="4"/>
  <c r="N41" i="4" s="1"/>
  <c r="I41" i="4"/>
  <c r="M41" i="4" s="1"/>
  <c r="E43" i="2"/>
  <c r="F43" i="2"/>
  <c r="C44" i="2"/>
  <c r="J46" i="2"/>
  <c r="M47" i="2"/>
  <c r="L44" i="2"/>
  <c r="I43" i="2"/>
  <c r="A42" i="4"/>
  <c r="G41" i="3"/>
  <c r="S41" i="3"/>
  <c r="Y41" i="3" s="1"/>
  <c r="Z41" i="3" s="1"/>
  <c r="AA41" i="3" s="1"/>
  <c r="H41" i="3"/>
  <c r="T41" i="3"/>
  <c r="J41" i="3"/>
  <c r="V41" i="3"/>
  <c r="M41" i="3"/>
  <c r="C41" i="3"/>
  <c r="P41" i="3"/>
  <c r="E41" i="3"/>
  <c r="N41" i="3"/>
  <c r="F40" i="3"/>
  <c r="D41" i="3"/>
  <c r="I39" i="3"/>
  <c r="F40" i="4" s="1"/>
  <c r="U39" i="3"/>
  <c r="J40" i="4" s="1"/>
  <c r="O39" i="3"/>
  <c r="H40" i="4" s="1"/>
  <c r="H48" i="2"/>
  <c r="K49" i="2"/>
  <c r="G43" i="2"/>
  <c r="T43" i="2"/>
  <c r="D44" i="2"/>
  <c r="T539" i="2" l="1"/>
  <c r="M538" i="3"/>
  <c r="V540" i="2"/>
  <c r="C538" i="4"/>
  <c r="AB537" i="3"/>
  <c r="E538" i="4" s="1"/>
  <c r="Y538" i="3"/>
  <c r="Z538" i="3" s="1"/>
  <c r="Y539" i="3"/>
  <c r="Z539" i="3" s="1"/>
  <c r="P539" i="3"/>
  <c r="I540" i="4" s="1"/>
  <c r="M540" i="4" s="1"/>
  <c r="R542" i="2"/>
  <c r="Q541" i="3" s="1"/>
  <c r="R541" i="3" s="1"/>
  <c r="I540" i="2"/>
  <c r="F540" i="2" s="1"/>
  <c r="N539" i="3" s="1"/>
  <c r="O539" i="3" s="1"/>
  <c r="H540" i="4" s="1"/>
  <c r="S542" i="2"/>
  <c r="J540" i="2"/>
  <c r="G540" i="2" s="1"/>
  <c r="H540" i="2"/>
  <c r="E540" i="2" s="1"/>
  <c r="Q542" i="2"/>
  <c r="D42" i="4"/>
  <c r="I40" i="3"/>
  <c r="F41" i="4" s="1"/>
  <c r="U40" i="3"/>
  <c r="J41" i="4" s="1"/>
  <c r="O40" i="3"/>
  <c r="H41" i="4" s="1"/>
  <c r="G42" i="4"/>
  <c r="L42" i="4" s="1"/>
  <c r="I42" i="4"/>
  <c r="M42" i="4" s="1"/>
  <c r="K42" i="4"/>
  <c r="N42" i="4" s="1"/>
  <c r="F41" i="3"/>
  <c r="D42" i="3"/>
  <c r="G44" i="2"/>
  <c r="D45" i="2"/>
  <c r="T44" i="2"/>
  <c r="A43" i="4"/>
  <c r="C42" i="3"/>
  <c r="P42" i="3"/>
  <c r="E42" i="3"/>
  <c r="G42" i="3"/>
  <c r="S42" i="3"/>
  <c r="Y42" i="3" s="1"/>
  <c r="Z42" i="3" s="1"/>
  <c r="AA42" i="3" s="1"/>
  <c r="H42" i="3"/>
  <c r="T42" i="3"/>
  <c r="J42" i="3"/>
  <c r="V42" i="3"/>
  <c r="M42" i="3"/>
  <c r="N42" i="3"/>
  <c r="I44" i="2"/>
  <c r="F44" i="2" s="1"/>
  <c r="L45" i="2"/>
  <c r="M48" i="2"/>
  <c r="J47" i="2"/>
  <c r="H49" i="2"/>
  <c r="K50" i="2"/>
  <c r="C42" i="4"/>
  <c r="AB41" i="3"/>
  <c r="E42" i="4" s="1"/>
  <c r="E44" i="2"/>
  <c r="C45" i="2"/>
  <c r="M539" i="3" l="1"/>
  <c r="T540" i="2"/>
  <c r="AB538" i="3"/>
  <c r="E539" i="4" s="1"/>
  <c r="C539" i="4"/>
  <c r="R542" i="3"/>
  <c r="AB541" i="3"/>
  <c r="D43" i="4"/>
  <c r="K51" i="2"/>
  <c r="H50" i="2"/>
  <c r="O41" i="3"/>
  <c r="H42" i="4" s="1"/>
  <c r="U41" i="3"/>
  <c r="J42" i="4" s="1"/>
  <c r="I41" i="3"/>
  <c r="F42" i="4" s="1"/>
  <c r="A44" i="4"/>
  <c r="M43" i="3"/>
  <c r="N43" i="3"/>
  <c r="P43" i="3"/>
  <c r="E43" i="3"/>
  <c r="G43" i="3"/>
  <c r="S43" i="3"/>
  <c r="Y43" i="3" s="1"/>
  <c r="Z43" i="3" s="1"/>
  <c r="AA43" i="3" s="1"/>
  <c r="C43" i="3"/>
  <c r="H43" i="3"/>
  <c r="J43" i="3"/>
  <c r="T43" i="3"/>
  <c r="V43" i="3"/>
  <c r="M49" i="2"/>
  <c r="J48" i="2"/>
  <c r="I45" i="2"/>
  <c r="F45" i="2" s="1"/>
  <c r="L46" i="2"/>
  <c r="I43" i="4"/>
  <c r="M43" i="4" s="1"/>
  <c r="K43" i="4"/>
  <c r="N43" i="4" s="1"/>
  <c r="G43" i="4"/>
  <c r="L43" i="4" s="1"/>
  <c r="E45" i="2"/>
  <c r="C46" i="2"/>
  <c r="C43" i="4"/>
  <c r="AB42" i="3"/>
  <c r="E43" i="4" s="1"/>
  <c r="D46" i="2"/>
  <c r="T45" i="2"/>
  <c r="G45" i="2"/>
  <c r="D43" i="3"/>
  <c r="F42" i="3"/>
  <c r="C540" i="4" l="1"/>
  <c r="AB539" i="3"/>
  <c r="E540" i="4" s="1"/>
  <c r="R543" i="3"/>
  <c r="AB542" i="3"/>
  <c r="D44" i="4"/>
  <c r="T46" i="2"/>
  <c r="G46" i="2"/>
  <c r="D47" i="2"/>
  <c r="I46" i="2"/>
  <c r="L47" i="2"/>
  <c r="F46" i="2"/>
  <c r="C47" i="2"/>
  <c r="E46" i="2"/>
  <c r="J49" i="2"/>
  <c r="M50" i="2"/>
  <c r="C44" i="4"/>
  <c r="AB43" i="3"/>
  <c r="E44" i="4" s="1"/>
  <c r="G44" i="4"/>
  <c r="L44" i="4" s="1"/>
  <c r="I44" i="4"/>
  <c r="M44" i="4" s="1"/>
  <c r="K44" i="4"/>
  <c r="N44" i="4" s="1"/>
  <c r="O42" i="3"/>
  <c r="H43" i="4" s="1"/>
  <c r="I42" i="3"/>
  <c r="F43" i="4" s="1"/>
  <c r="U42" i="3"/>
  <c r="J43" i="4" s="1"/>
  <c r="F43" i="3"/>
  <c r="D44" i="3"/>
  <c r="H51" i="2"/>
  <c r="K52" i="2"/>
  <c r="A45" i="4"/>
  <c r="J44" i="3"/>
  <c r="V44" i="3"/>
  <c r="M44" i="3"/>
  <c r="N44" i="3"/>
  <c r="C44" i="3"/>
  <c r="P44" i="3"/>
  <c r="E44" i="3"/>
  <c r="G44" i="3"/>
  <c r="H44" i="3"/>
  <c r="S44" i="3"/>
  <c r="Y44" i="3" s="1"/>
  <c r="Z44" i="3" s="1"/>
  <c r="AA44" i="3" s="1"/>
  <c r="T44" i="3"/>
  <c r="R544" i="3" l="1"/>
  <c r="AB544" i="3" s="1"/>
  <c r="AB543" i="3"/>
  <c r="D45" i="4"/>
  <c r="I43" i="3"/>
  <c r="F44" i="4" s="1"/>
  <c r="U43" i="3"/>
  <c r="J44" i="4" s="1"/>
  <c r="O43" i="3"/>
  <c r="H44" i="4" s="1"/>
  <c r="J50" i="2"/>
  <c r="M51" i="2"/>
  <c r="E47" i="2"/>
  <c r="F47" i="2"/>
  <c r="C48" i="2"/>
  <c r="C45" i="4"/>
  <c r="AB44" i="3"/>
  <c r="E45" i="4" s="1"/>
  <c r="I47" i="2"/>
  <c r="L48" i="2"/>
  <c r="D48" i="2"/>
  <c r="T47" i="2"/>
  <c r="G47" i="2"/>
  <c r="G45" i="4"/>
  <c r="L45" i="4" s="1"/>
  <c r="I45" i="4"/>
  <c r="M45" i="4" s="1"/>
  <c r="K45" i="4"/>
  <c r="N45" i="4" s="1"/>
  <c r="K53" i="2"/>
  <c r="H52" i="2"/>
  <c r="A46" i="4"/>
  <c r="G45" i="3"/>
  <c r="S45" i="3"/>
  <c r="Y45" i="3" s="1"/>
  <c r="Z45" i="3" s="1"/>
  <c r="AA45" i="3" s="1"/>
  <c r="H45" i="3"/>
  <c r="T45" i="3"/>
  <c r="J45" i="3"/>
  <c r="V45" i="3"/>
  <c r="M45" i="3"/>
  <c r="C45" i="3"/>
  <c r="E45" i="3"/>
  <c r="N45" i="3"/>
  <c r="P45" i="3"/>
  <c r="F44" i="3"/>
  <c r="D45" i="3"/>
  <c r="D46" i="4" l="1"/>
  <c r="H53" i="2"/>
  <c r="K54" i="2"/>
  <c r="C46" i="4"/>
  <c r="AB45" i="3"/>
  <c r="E46" i="4" s="1"/>
  <c r="A47" i="4"/>
  <c r="C46" i="3"/>
  <c r="P46" i="3"/>
  <c r="E46" i="3"/>
  <c r="G46" i="3"/>
  <c r="S46" i="3"/>
  <c r="Y46" i="3" s="1"/>
  <c r="Z46" i="3" s="1"/>
  <c r="AA46" i="3" s="1"/>
  <c r="H46" i="3"/>
  <c r="J46" i="3"/>
  <c r="V46" i="3"/>
  <c r="M46" i="3"/>
  <c r="N46" i="3"/>
  <c r="T46" i="3"/>
  <c r="M52" i="2"/>
  <c r="J51" i="2"/>
  <c r="E48" i="2"/>
  <c r="F48" i="2"/>
  <c r="C49" i="2"/>
  <c r="T48" i="2"/>
  <c r="G48" i="2"/>
  <c r="D49" i="2"/>
  <c r="I44" i="3"/>
  <c r="F45" i="4" s="1"/>
  <c r="U44" i="3"/>
  <c r="J45" i="4" s="1"/>
  <c r="O44" i="3"/>
  <c r="H45" i="4" s="1"/>
  <c r="K46" i="4"/>
  <c r="N46" i="4" s="1"/>
  <c r="I46" i="4"/>
  <c r="M46" i="4" s="1"/>
  <c r="G46" i="4"/>
  <c r="L46" i="4" s="1"/>
  <c r="L49" i="2"/>
  <c r="I48" i="2"/>
  <c r="F45" i="3"/>
  <c r="D46" i="3"/>
  <c r="D47" i="4" l="1"/>
  <c r="E49" i="2"/>
  <c r="C50" i="2"/>
  <c r="J52" i="2"/>
  <c r="M53" i="2"/>
  <c r="A48" i="4"/>
  <c r="M47" i="3"/>
  <c r="N47" i="3"/>
  <c r="G47" i="3"/>
  <c r="E47" i="3"/>
  <c r="H47" i="3"/>
  <c r="J47" i="3"/>
  <c r="P47" i="3"/>
  <c r="S47" i="3"/>
  <c r="Y47" i="3" s="1"/>
  <c r="Z47" i="3" s="1"/>
  <c r="AA47" i="3" s="1"/>
  <c r="T47" i="3"/>
  <c r="V47" i="3"/>
  <c r="C47" i="3"/>
  <c r="G47" i="4"/>
  <c r="L47" i="4" s="1"/>
  <c r="I47" i="4"/>
  <c r="M47" i="4" s="1"/>
  <c r="K47" i="4"/>
  <c r="N47" i="4" s="1"/>
  <c r="C47" i="4"/>
  <c r="AB46" i="3"/>
  <c r="E47" i="4" s="1"/>
  <c r="K55" i="2"/>
  <c r="H54" i="2"/>
  <c r="G49" i="2"/>
  <c r="T49" i="2"/>
  <c r="D50" i="2"/>
  <c r="O45" i="3"/>
  <c r="H46" i="4" s="1"/>
  <c r="I45" i="3"/>
  <c r="F46" i="4" s="1"/>
  <c r="U45" i="3"/>
  <c r="J46" i="4" s="1"/>
  <c r="D47" i="3"/>
  <c r="F46" i="3"/>
  <c r="L50" i="2"/>
  <c r="I49" i="2"/>
  <c r="F49" i="2" s="1"/>
  <c r="D48" i="4" l="1"/>
  <c r="C48" i="4"/>
  <c r="AB47" i="3"/>
  <c r="E48" i="4" s="1"/>
  <c r="I48" i="4"/>
  <c r="M48" i="4" s="1"/>
  <c r="K48" i="4"/>
  <c r="N48" i="4" s="1"/>
  <c r="G48" i="4"/>
  <c r="L48" i="4" s="1"/>
  <c r="M54" i="2"/>
  <c r="J53" i="2"/>
  <c r="G50" i="2"/>
  <c r="D51" i="2"/>
  <c r="T50" i="2"/>
  <c r="K56" i="2"/>
  <c r="H55" i="2"/>
  <c r="E50" i="2"/>
  <c r="C51" i="2"/>
  <c r="I50" i="2"/>
  <c r="F50" i="2" s="1"/>
  <c r="L51" i="2"/>
  <c r="O46" i="3"/>
  <c r="H47" i="4" s="1"/>
  <c r="I46" i="3"/>
  <c r="F47" i="4" s="1"/>
  <c r="U46" i="3"/>
  <c r="J47" i="4" s="1"/>
  <c r="A49" i="4"/>
  <c r="J48" i="3"/>
  <c r="V48" i="3"/>
  <c r="C48" i="3"/>
  <c r="S48" i="3"/>
  <c r="Y48" i="3" s="1"/>
  <c r="Z48" i="3" s="1"/>
  <c r="AA48" i="3" s="1"/>
  <c r="T48" i="3"/>
  <c r="E48" i="3"/>
  <c r="G48" i="3"/>
  <c r="H48" i="3"/>
  <c r="M48" i="3"/>
  <c r="N48" i="3"/>
  <c r="P48" i="3"/>
  <c r="F47" i="3"/>
  <c r="D48" i="3"/>
  <c r="D49" i="4" l="1"/>
  <c r="M55" i="2"/>
  <c r="J54" i="2"/>
  <c r="L52" i="2"/>
  <c r="I51" i="2"/>
  <c r="E51" i="2"/>
  <c r="F51" i="2"/>
  <c r="C52" i="2"/>
  <c r="A50" i="4"/>
  <c r="G49" i="3"/>
  <c r="S49" i="3"/>
  <c r="Y49" i="3" s="1"/>
  <c r="Z49" i="3" s="1"/>
  <c r="AA49" i="3" s="1"/>
  <c r="H49" i="3"/>
  <c r="T49" i="3"/>
  <c r="C49" i="3"/>
  <c r="M49" i="3"/>
  <c r="N49" i="3"/>
  <c r="P49" i="3"/>
  <c r="V49" i="3"/>
  <c r="E49" i="3"/>
  <c r="J49" i="3"/>
  <c r="C49" i="4"/>
  <c r="AB48" i="3"/>
  <c r="E49" i="4" s="1"/>
  <c r="F48" i="3"/>
  <c r="D49" i="3"/>
  <c r="K57" i="2"/>
  <c r="H56" i="2"/>
  <c r="I47" i="3"/>
  <c r="F48" i="4" s="1"/>
  <c r="U47" i="3"/>
  <c r="J48" i="4" s="1"/>
  <c r="O47" i="3"/>
  <c r="H48" i="4" s="1"/>
  <c r="K49" i="4"/>
  <c r="N49" i="4" s="1"/>
  <c r="G49" i="4"/>
  <c r="L49" i="4" s="1"/>
  <c r="I49" i="4"/>
  <c r="M49" i="4" s="1"/>
  <c r="T51" i="2"/>
  <c r="D52" i="2"/>
  <c r="G51" i="2"/>
  <c r="D50" i="4" l="1"/>
  <c r="A51" i="4"/>
  <c r="C50" i="3"/>
  <c r="P50" i="3"/>
  <c r="E50" i="3"/>
  <c r="G50" i="3"/>
  <c r="H50" i="3"/>
  <c r="J50" i="3"/>
  <c r="M50" i="3"/>
  <c r="N50" i="3"/>
  <c r="S50" i="3"/>
  <c r="Y50" i="3" s="1"/>
  <c r="Z50" i="3" s="1"/>
  <c r="AA50" i="3" s="1"/>
  <c r="T50" i="3"/>
  <c r="V50" i="3"/>
  <c r="G50" i="4"/>
  <c r="L50" i="4" s="1"/>
  <c r="I50" i="4"/>
  <c r="M50" i="4" s="1"/>
  <c r="K50" i="4"/>
  <c r="N50" i="4" s="1"/>
  <c r="C53" i="2"/>
  <c r="E52" i="2"/>
  <c r="F52" i="2"/>
  <c r="L53" i="2"/>
  <c r="I52" i="2"/>
  <c r="C50" i="4"/>
  <c r="AB49" i="3"/>
  <c r="E50" i="4" s="1"/>
  <c r="T52" i="2"/>
  <c r="G52" i="2"/>
  <c r="D53" i="2"/>
  <c r="K58" i="2"/>
  <c r="H57" i="2"/>
  <c r="M56" i="2"/>
  <c r="J55" i="2"/>
  <c r="F49" i="3"/>
  <c r="D50" i="3"/>
  <c r="I48" i="3"/>
  <c r="F49" i="4" s="1"/>
  <c r="U48" i="3"/>
  <c r="J49" i="4" s="1"/>
  <c r="O48" i="3"/>
  <c r="H49" i="4" s="1"/>
  <c r="D51" i="4" l="1"/>
  <c r="C51" i="4"/>
  <c r="AB50" i="3"/>
  <c r="E51" i="4" s="1"/>
  <c r="O49" i="3"/>
  <c r="H50" i="4" s="1"/>
  <c r="U49" i="3"/>
  <c r="J50" i="4" s="1"/>
  <c r="I49" i="3"/>
  <c r="F50" i="4" s="1"/>
  <c r="M57" i="2"/>
  <c r="J56" i="2"/>
  <c r="C54" i="2"/>
  <c r="F53" i="2"/>
  <c r="E53" i="2"/>
  <c r="G53" i="2"/>
  <c r="D54" i="2"/>
  <c r="T53" i="2"/>
  <c r="A52" i="4"/>
  <c r="M51" i="3"/>
  <c r="N51" i="3"/>
  <c r="S51" i="3"/>
  <c r="Y51" i="3" s="1"/>
  <c r="Z51" i="3" s="1"/>
  <c r="AA51" i="3" s="1"/>
  <c r="T51" i="3"/>
  <c r="C51" i="3"/>
  <c r="V51" i="3"/>
  <c r="E51" i="3"/>
  <c r="G51" i="3"/>
  <c r="H51" i="3"/>
  <c r="J51" i="3"/>
  <c r="P51" i="3"/>
  <c r="K59" i="2"/>
  <c r="H58" i="2"/>
  <c r="I51" i="4"/>
  <c r="M51" i="4" s="1"/>
  <c r="G51" i="4"/>
  <c r="L51" i="4" s="1"/>
  <c r="K51" i="4"/>
  <c r="N51" i="4" s="1"/>
  <c r="F50" i="3"/>
  <c r="D51" i="3"/>
  <c r="I53" i="2"/>
  <c r="L54" i="2"/>
  <c r="D52" i="4" l="1"/>
  <c r="E54" i="2"/>
  <c r="C55" i="2"/>
  <c r="M58" i="2"/>
  <c r="J57" i="2"/>
  <c r="K60" i="2"/>
  <c r="H59" i="2"/>
  <c r="C52" i="4"/>
  <c r="AB51" i="3"/>
  <c r="E52" i="4" s="1"/>
  <c r="G52" i="4"/>
  <c r="L52" i="4" s="1"/>
  <c r="I52" i="4"/>
  <c r="M52" i="4" s="1"/>
  <c r="K52" i="4"/>
  <c r="N52" i="4" s="1"/>
  <c r="F51" i="3"/>
  <c r="D52" i="3"/>
  <c r="A53" i="4"/>
  <c r="J52" i="3"/>
  <c r="V52" i="3"/>
  <c r="H52" i="3"/>
  <c r="M52" i="3"/>
  <c r="N52" i="3"/>
  <c r="P52" i="3"/>
  <c r="C52" i="3"/>
  <c r="S52" i="3"/>
  <c r="Y52" i="3" s="1"/>
  <c r="Z52" i="3" s="1"/>
  <c r="AA52" i="3" s="1"/>
  <c r="T52" i="3"/>
  <c r="E52" i="3"/>
  <c r="G52" i="3"/>
  <c r="T54" i="2"/>
  <c r="G54" i="2"/>
  <c r="D55" i="2"/>
  <c r="L55" i="2"/>
  <c r="I54" i="2"/>
  <c r="F54" i="2" s="1"/>
  <c r="O50" i="3"/>
  <c r="H51" i="4" s="1"/>
  <c r="I50" i="3"/>
  <c r="F51" i="4" s="1"/>
  <c r="U50" i="3"/>
  <c r="J51" i="4" s="1"/>
  <c r="D53" i="4" l="1"/>
  <c r="G55" i="2"/>
  <c r="D56" i="2"/>
  <c r="T55" i="2"/>
  <c r="L56" i="2"/>
  <c r="I55" i="2"/>
  <c r="G53" i="4"/>
  <c r="L53" i="4" s="1"/>
  <c r="K53" i="4"/>
  <c r="N53" i="4" s="1"/>
  <c r="I53" i="4"/>
  <c r="M53" i="4" s="1"/>
  <c r="H60" i="2"/>
  <c r="K61" i="2"/>
  <c r="F52" i="3"/>
  <c r="D53" i="3"/>
  <c r="I51" i="3"/>
  <c r="F52" i="4" s="1"/>
  <c r="U51" i="3"/>
  <c r="J52" i="4" s="1"/>
  <c r="O51" i="3"/>
  <c r="H52" i="4" s="1"/>
  <c r="J58" i="2"/>
  <c r="M59" i="2"/>
  <c r="F55" i="2"/>
  <c r="C56" i="2"/>
  <c r="E55" i="2"/>
  <c r="C53" i="4"/>
  <c r="AB52" i="3"/>
  <c r="E53" i="4" s="1"/>
  <c r="A54" i="4"/>
  <c r="G53" i="3"/>
  <c r="S53" i="3"/>
  <c r="Y53" i="3" s="1"/>
  <c r="Z53" i="3" s="1"/>
  <c r="AA53" i="3" s="1"/>
  <c r="H53" i="3"/>
  <c r="T53" i="3"/>
  <c r="C53" i="3"/>
  <c r="N53" i="3"/>
  <c r="P53" i="3"/>
  <c r="V53" i="3"/>
  <c r="E53" i="3"/>
  <c r="J53" i="3"/>
  <c r="M53" i="3"/>
  <c r="D54" i="4" l="1"/>
  <c r="E56" i="2"/>
  <c r="C57" i="2"/>
  <c r="M60" i="2"/>
  <c r="J59" i="2"/>
  <c r="L57" i="2"/>
  <c r="I56" i="2"/>
  <c r="F56" i="2" s="1"/>
  <c r="F53" i="3"/>
  <c r="D54" i="3"/>
  <c r="A55" i="4"/>
  <c r="C54" i="3"/>
  <c r="P54" i="3"/>
  <c r="G54" i="3"/>
  <c r="V54" i="3"/>
  <c r="H54" i="3"/>
  <c r="J54" i="3"/>
  <c r="M54" i="3"/>
  <c r="N54" i="3"/>
  <c r="S54" i="3"/>
  <c r="Y54" i="3" s="1"/>
  <c r="Z54" i="3" s="1"/>
  <c r="AA54" i="3" s="1"/>
  <c r="T54" i="3"/>
  <c r="E54" i="3"/>
  <c r="G54" i="4"/>
  <c r="L54" i="4" s="1"/>
  <c r="I54" i="4"/>
  <c r="M54" i="4" s="1"/>
  <c r="K54" i="4"/>
  <c r="N54" i="4" s="1"/>
  <c r="I52" i="3"/>
  <c r="F53" i="4" s="1"/>
  <c r="U52" i="3"/>
  <c r="J53" i="4" s="1"/>
  <c r="O52" i="3"/>
  <c r="H53" i="4" s="1"/>
  <c r="D57" i="2"/>
  <c r="T56" i="2"/>
  <c r="G56" i="2"/>
  <c r="C54" i="4"/>
  <c r="AB53" i="3"/>
  <c r="E54" i="4" s="1"/>
  <c r="K62" i="2"/>
  <c r="H61" i="2"/>
  <c r="D55" i="4" l="1"/>
  <c r="I55" i="4"/>
  <c r="M55" i="4" s="1"/>
  <c r="K55" i="4"/>
  <c r="N55" i="4" s="1"/>
  <c r="G55" i="4"/>
  <c r="L55" i="4" s="1"/>
  <c r="F54" i="3"/>
  <c r="D55" i="3"/>
  <c r="T57" i="2"/>
  <c r="G57" i="2"/>
  <c r="D58" i="2"/>
  <c r="O53" i="3"/>
  <c r="H54" i="4" s="1"/>
  <c r="U53" i="3"/>
  <c r="J54" i="4" s="1"/>
  <c r="I53" i="3"/>
  <c r="F54" i="4" s="1"/>
  <c r="C55" i="4"/>
  <c r="AB54" i="3"/>
  <c r="E55" i="4" s="1"/>
  <c r="L58" i="2"/>
  <c r="I57" i="2"/>
  <c r="F57" i="2" s="1"/>
  <c r="A56" i="4"/>
  <c r="M55" i="3"/>
  <c r="J55" i="3"/>
  <c r="N55" i="3"/>
  <c r="P55" i="3"/>
  <c r="C55" i="3"/>
  <c r="S55" i="3"/>
  <c r="Y55" i="3" s="1"/>
  <c r="Z55" i="3" s="1"/>
  <c r="AA55" i="3" s="1"/>
  <c r="E55" i="3"/>
  <c r="T55" i="3"/>
  <c r="V55" i="3"/>
  <c r="G55" i="3"/>
  <c r="H55" i="3"/>
  <c r="M61" i="2"/>
  <c r="J60" i="2"/>
  <c r="E57" i="2"/>
  <c r="C58" i="2"/>
  <c r="K63" i="2"/>
  <c r="H62" i="2"/>
  <c r="D56" i="4" l="1"/>
  <c r="M62" i="2"/>
  <c r="J61" i="2"/>
  <c r="C56" i="4"/>
  <c r="AB55" i="3"/>
  <c r="E56" i="4" s="1"/>
  <c r="D56" i="3"/>
  <c r="F55" i="3"/>
  <c r="G56" i="4"/>
  <c r="L56" i="4" s="1"/>
  <c r="I56" i="4"/>
  <c r="M56" i="4" s="1"/>
  <c r="K56" i="4"/>
  <c r="N56" i="4" s="1"/>
  <c r="O54" i="3"/>
  <c r="H55" i="4" s="1"/>
  <c r="U54" i="3"/>
  <c r="J55" i="4" s="1"/>
  <c r="I54" i="3"/>
  <c r="F55" i="4" s="1"/>
  <c r="I58" i="2"/>
  <c r="L59" i="2"/>
  <c r="K64" i="2"/>
  <c r="H63" i="2"/>
  <c r="C59" i="2"/>
  <c r="E58" i="2"/>
  <c r="F58" i="2"/>
  <c r="A57" i="4"/>
  <c r="J56" i="3"/>
  <c r="P56" i="3"/>
  <c r="C56" i="3"/>
  <c r="S56" i="3"/>
  <c r="Y56" i="3" s="1"/>
  <c r="Z56" i="3" s="1"/>
  <c r="AA56" i="3" s="1"/>
  <c r="T56" i="3"/>
  <c r="E56" i="3"/>
  <c r="V56" i="3"/>
  <c r="G56" i="3"/>
  <c r="H56" i="3"/>
  <c r="N56" i="3"/>
  <c r="M56" i="3"/>
  <c r="D59" i="2"/>
  <c r="T58" i="2"/>
  <c r="G58" i="2"/>
  <c r="D57" i="4" l="1"/>
  <c r="E59" i="2"/>
  <c r="C60" i="2"/>
  <c r="K65" i="2"/>
  <c r="H64" i="2"/>
  <c r="I55" i="3"/>
  <c r="F56" i="4" s="1"/>
  <c r="U55" i="3"/>
  <c r="J56" i="4" s="1"/>
  <c r="O55" i="3"/>
  <c r="H56" i="4" s="1"/>
  <c r="L60" i="2"/>
  <c r="I59" i="2"/>
  <c r="F59" i="2" s="1"/>
  <c r="F56" i="3"/>
  <c r="D57" i="3"/>
  <c r="A58" i="4"/>
  <c r="C57" i="3"/>
  <c r="S57" i="3"/>
  <c r="Y57" i="3" s="1"/>
  <c r="Z57" i="3" s="1"/>
  <c r="AA57" i="3" s="1"/>
  <c r="E57" i="3"/>
  <c r="T57" i="3"/>
  <c r="G57" i="3"/>
  <c r="H57" i="3"/>
  <c r="V57" i="3"/>
  <c r="J57" i="3"/>
  <c r="M57" i="3"/>
  <c r="N57" i="3"/>
  <c r="P57" i="3"/>
  <c r="M63" i="2"/>
  <c r="J62" i="2"/>
  <c r="T59" i="2"/>
  <c r="G59" i="2"/>
  <c r="D60" i="2"/>
  <c r="C57" i="4"/>
  <c r="AB56" i="3"/>
  <c r="E57" i="4" s="1"/>
  <c r="G57" i="4"/>
  <c r="L57" i="4" s="1"/>
  <c r="I57" i="4"/>
  <c r="M57" i="4" s="1"/>
  <c r="K57" i="4"/>
  <c r="N57" i="4" s="1"/>
  <c r="D58" i="4" l="1"/>
  <c r="L61" i="2"/>
  <c r="I60" i="2"/>
  <c r="F60" i="2" s="1"/>
  <c r="C58" i="4"/>
  <c r="AB57" i="3"/>
  <c r="E58" i="4" s="1"/>
  <c r="G60" i="2"/>
  <c r="D61" i="2"/>
  <c r="T60" i="2"/>
  <c r="H65" i="2"/>
  <c r="K66" i="2"/>
  <c r="C61" i="2"/>
  <c r="E60" i="2"/>
  <c r="J63" i="2"/>
  <c r="M64" i="2"/>
  <c r="A59" i="4"/>
  <c r="C58" i="3"/>
  <c r="E58" i="3"/>
  <c r="S58" i="3"/>
  <c r="Y58" i="3" s="1"/>
  <c r="Z58" i="3" s="1"/>
  <c r="AA58" i="3" s="1"/>
  <c r="G58" i="3"/>
  <c r="T58" i="3"/>
  <c r="H58" i="3"/>
  <c r="V58" i="3"/>
  <c r="J58" i="3"/>
  <c r="M58" i="3"/>
  <c r="N58" i="3"/>
  <c r="P58" i="3"/>
  <c r="K58" i="4"/>
  <c r="N58" i="4" s="1"/>
  <c r="G58" i="4"/>
  <c r="L58" i="4" s="1"/>
  <c r="I58" i="4"/>
  <c r="M58" i="4" s="1"/>
  <c r="F57" i="3"/>
  <c r="D58" i="3"/>
  <c r="I56" i="3"/>
  <c r="F57" i="4" s="1"/>
  <c r="U56" i="3"/>
  <c r="J57" i="4" s="1"/>
  <c r="O56" i="3"/>
  <c r="H57" i="4" s="1"/>
  <c r="D59" i="4" l="1"/>
  <c r="O57" i="3"/>
  <c r="H58" i="4" s="1"/>
  <c r="U57" i="3"/>
  <c r="J58" i="4" s="1"/>
  <c r="I57" i="3"/>
  <c r="F58" i="4" s="1"/>
  <c r="E61" i="2"/>
  <c r="C62" i="2"/>
  <c r="T61" i="2"/>
  <c r="G61" i="2"/>
  <c r="D62" i="2"/>
  <c r="A60" i="4"/>
  <c r="C59" i="3"/>
  <c r="P59" i="3"/>
  <c r="E59" i="3"/>
  <c r="S59" i="3"/>
  <c r="Y59" i="3" s="1"/>
  <c r="Z59" i="3" s="1"/>
  <c r="AA59" i="3" s="1"/>
  <c r="G59" i="3"/>
  <c r="T59" i="3"/>
  <c r="H59" i="3"/>
  <c r="V59" i="3"/>
  <c r="J59" i="3"/>
  <c r="M59" i="3"/>
  <c r="N59" i="3"/>
  <c r="G59" i="4"/>
  <c r="L59" i="4" s="1"/>
  <c r="K59" i="4"/>
  <c r="N59" i="4" s="1"/>
  <c r="I59" i="4"/>
  <c r="M59" i="4" s="1"/>
  <c r="M65" i="2"/>
  <c r="J64" i="2"/>
  <c r="L62" i="2"/>
  <c r="I61" i="2"/>
  <c r="F61" i="2" s="1"/>
  <c r="K67" i="2"/>
  <c r="H66" i="2"/>
  <c r="C59" i="4"/>
  <c r="AB58" i="3"/>
  <c r="E59" i="4" s="1"/>
  <c r="D59" i="3"/>
  <c r="F58" i="3"/>
  <c r="D60" i="4" l="1"/>
  <c r="I60" i="4"/>
  <c r="M60" i="4" s="1"/>
  <c r="K60" i="4"/>
  <c r="N60" i="4" s="1"/>
  <c r="G60" i="4"/>
  <c r="L60" i="4" s="1"/>
  <c r="T62" i="2"/>
  <c r="G62" i="2"/>
  <c r="D63" i="2"/>
  <c r="L63" i="2"/>
  <c r="I62" i="2"/>
  <c r="E62" i="2"/>
  <c r="F62" i="2"/>
  <c r="C63" i="2"/>
  <c r="K68" i="2"/>
  <c r="H67" i="2"/>
  <c r="M66" i="2"/>
  <c r="J65" i="2"/>
  <c r="C60" i="4"/>
  <c r="AB59" i="3"/>
  <c r="E60" i="4" s="1"/>
  <c r="A61" i="4"/>
  <c r="C60" i="3"/>
  <c r="P60" i="3"/>
  <c r="E60" i="3"/>
  <c r="S60" i="3"/>
  <c r="Y60" i="3" s="1"/>
  <c r="Z60" i="3" s="1"/>
  <c r="AA60" i="3" s="1"/>
  <c r="G60" i="3"/>
  <c r="T60" i="3"/>
  <c r="H60" i="3"/>
  <c r="V60" i="3"/>
  <c r="J60" i="3"/>
  <c r="M60" i="3"/>
  <c r="N60" i="3"/>
  <c r="O58" i="3"/>
  <c r="H59" i="4" s="1"/>
  <c r="U58" i="3"/>
  <c r="J59" i="4" s="1"/>
  <c r="I58" i="3"/>
  <c r="F59" i="4" s="1"/>
  <c r="D60" i="3"/>
  <c r="F59" i="3"/>
  <c r="D61" i="4" l="1"/>
  <c r="L64" i="2"/>
  <c r="I63" i="2"/>
  <c r="F63" i="2" s="1"/>
  <c r="C61" i="4"/>
  <c r="AB60" i="3"/>
  <c r="E61" i="4" s="1"/>
  <c r="K61" i="4"/>
  <c r="N61" i="4" s="1"/>
  <c r="G61" i="4"/>
  <c r="L61" i="4" s="1"/>
  <c r="I61" i="4"/>
  <c r="M61" i="4" s="1"/>
  <c r="M67" i="2"/>
  <c r="J66" i="2"/>
  <c r="D64" i="2"/>
  <c r="T63" i="2"/>
  <c r="G63" i="2"/>
  <c r="K69" i="2"/>
  <c r="H68" i="2"/>
  <c r="U59" i="3"/>
  <c r="J60" i="4" s="1"/>
  <c r="I59" i="3"/>
  <c r="F60" i="4" s="1"/>
  <c r="O59" i="3"/>
  <c r="H60" i="4" s="1"/>
  <c r="C64" i="2"/>
  <c r="E63" i="2"/>
  <c r="D61" i="3"/>
  <c r="F60" i="3"/>
  <c r="A62" i="4"/>
  <c r="N61" i="3"/>
  <c r="C61" i="3"/>
  <c r="P61" i="3"/>
  <c r="E61" i="3"/>
  <c r="S61" i="3"/>
  <c r="Y61" i="3" s="1"/>
  <c r="Z61" i="3" s="1"/>
  <c r="AA61" i="3" s="1"/>
  <c r="G61" i="3"/>
  <c r="T61" i="3"/>
  <c r="H61" i="3"/>
  <c r="V61" i="3"/>
  <c r="J61" i="3"/>
  <c r="M61" i="3"/>
  <c r="D62" i="4" l="1"/>
  <c r="K70" i="2"/>
  <c r="H69" i="2"/>
  <c r="C62" i="4"/>
  <c r="AB61" i="3"/>
  <c r="E62" i="4" s="1"/>
  <c r="G62" i="4"/>
  <c r="L62" i="4" s="1"/>
  <c r="I62" i="4"/>
  <c r="M62" i="4" s="1"/>
  <c r="K62" i="4"/>
  <c r="N62" i="4" s="1"/>
  <c r="E64" i="2"/>
  <c r="C65" i="2"/>
  <c r="A63" i="4"/>
  <c r="C62" i="3"/>
  <c r="M62" i="3"/>
  <c r="N62" i="3"/>
  <c r="P62" i="3"/>
  <c r="E62" i="3"/>
  <c r="S62" i="3"/>
  <c r="Y62" i="3" s="1"/>
  <c r="Z62" i="3" s="1"/>
  <c r="AA62" i="3" s="1"/>
  <c r="G62" i="3"/>
  <c r="T62" i="3"/>
  <c r="H62" i="3"/>
  <c r="V62" i="3"/>
  <c r="J62" i="3"/>
  <c r="I60" i="3"/>
  <c r="F61" i="4" s="1"/>
  <c r="U60" i="3"/>
  <c r="J61" i="4" s="1"/>
  <c r="O60" i="3"/>
  <c r="H61" i="4" s="1"/>
  <c r="T64" i="2"/>
  <c r="G64" i="2"/>
  <c r="D65" i="2"/>
  <c r="L65" i="2"/>
  <c r="I64" i="2"/>
  <c r="F64" i="2" s="1"/>
  <c r="F61" i="3"/>
  <c r="D62" i="3"/>
  <c r="M68" i="2"/>
  <c r="J67" i="2"/>
  <c r="D63" i="4" l="1"/>
  <c r="D66" i="2"/>
  <c r="T65" i="2"/>
  <c r="G65" i="2"/>
  <c r="A64" i="4"/>
  <c r="M63" i="3"/>
  <c r="N63" i="3"/>
  <c r="C63" i="3"/>
  <c r="P63" i="3"/>
  <c r="E63" i="3"/>
  <c r="S63" i="3"/>
  <c r="Y63" i="3" s="1"/>
  <c r="Z63" i="3" s="1"/>
  <c r="AA63" i="3" s="1"/>
  <c r="G63" i="3"/>
  <c r="T63" i="3"/>
  <c r="H63" i="3"/>
  <c r="V63" i="3"/>
  <c r="J63" i="3"/>
  <c r="C63" i="4"/>
  <c r="AB62" i="3"/>
  <c r="E63" i="4" s="1"/>
  <c r="I65" i="2"/>
  <c r="L66" i="2"/>
  <c r="I63" i="4"/>
  <c r="M63" i="4" s="1"/>
  <c r="G63" i="4"/>
  <c r="L63" i="4" s="1"/>
  <c r="K63" i="4"/>
  <c r="N63" i="4" s="1"/>
  <c r="M69" i="2"/>
  <c r="J68" i="2"/>
  <c r="C66" i="2"/>
  <c r="E65" i="2"/>
  <c r="F65" i="2"/>
  <c r="K71" i="2"/>
  <c r="H70" i="2"/>
  <c r="D63" i="3"/>
  <c r="F62" i="3"/>
  <c r="O61" i="3"/>
  <c r="H62" i="4" s="1"/>
  <c r="U61" i="3"/>
  <c r="J62" i="4" s="1"/>
  <c r="I61" i="3"/>
  <c r="F62" i="4" s="1"/>
  <c r="D64" i="4" l="1"/>
  <c r="A65" i="4"/>
  <c r="M64" i="3"/>
  <c r="N64" i="3"/>
  <c r="C64" i="3"/>
  <c r="P64" i="3"/>
  <c r="E64" i="3"/>
  <c r="S64" i="3"/>
  <c r="Y64" i="3" s="1"/>
  <c r="Z64" i="3" s="1"/>
  <c r="AA64" i="3" s="1"/>
  <c r="G64" i="3"/>
  <c r="T64" i="3"/>
  <c r="H64" i="3"/>
  <c r="V64" i="3"/>
  <c r="J64" i="3"/>
  <c r="L67" i="2"/>
  <c r="I66" i="2"/>
  <c r="K72" i="2"/>
  <c r="H71" i="2"/>
  <c r="D64" i="3"/>
  <c r="F63" i="3"/>
  <c r="E66" i="2"/>
  <c r="F66" i="2"/>
  <c r="C67" i="2"/>
  <c r="C64" i="4"/>
  <c r="AB63" i="3"/>
  <c r="E64" i="4" s="1"/>
  <c r="G64" i="4"/>
  <c r="L64" i="4" s="1"/>
  <c r="I64" i="4"/>
  <c r="M64" i="4" s="1"/>
  <c r="K64" i="4"/>
  <c r="N64" i="4" s="1"/>
  <c r="M70" i="2"/>
  <c r="J69" i="2"/>
  <c r="T66" i="2"/>
  <c r="G66" i="2"/>
  <c r="D67" i="2"/>
  <c r="O62" i="3"/>
  <c r="H63" i="4" s="1"/>
  <c r="U62" i="3"/>
  <c r="J63" i="4" s="1"/>
  <c r="I62" i="3"/>
  <c r="F63" i="4" s="1"/>
  <c r="D65" i="4" l="1"/>
  <c r="C68" i="2"/>
  <c r="E67" i="2"/>
  <c r="J70" i="2"/>
  <c r="M71" i="2"/>
  <c r="O63" i="3"/>
  <c r="H64" i="4" s="1"/>
  <c r="U63" i="3"/>
  <c r="J64" i="4" s="1"/>
  <c r="I63" i="3"/>
  <c r="F64" i="4" s="1"/>
  <c r="A66" i="4"/>
  <c r="J65" i="3"/>
  <c r="V65" i="3"/>
  <c r="M65" i="3"/>
  <c r="N65" i="3"/>
  <c r="C65" i="3"/>
  <c r="P65" i="3"/>
  <c r="E65" i="3"/>
  <c r="G65" i="3"/>
  <c r="S65" i="3"/>
  <c r="Y65" i="3" s="1"/>
  <c r="Z65" i="3" s="1"/>
  <c r="AA65" i="3" s="1"/>
  <c r="T65" i="3"/>
  <c r="H65" i="3"/>
  <c r="H72" i="2"/>
  <c r="K73" i="2"/>
  <c r="L68" i="2"/>
  <c r="I67" i="2"/>
  <c r="F67" i="2" s="1"/>
  <c r="C65" i="4"/>
  <c r="AB64" i="3"/>
  <c r="E65" i="4" s="1"/>
  <c r="G65" i="4"/>
  <c r="L65" i="4" s="1"/>
  <c r="K65" i="4"/>
  <c r="N65" i="4" s="1"/>
  <c r="I65" i="4"/>
  <c r="M65" i="4" s="1"/>
  <c r="D65" i="3"/>
  <c r="F64" i="3"/>
  <c r="G67" i="2"/>
  <c r="D68" i="2"/>
  <c r="T67" i="2"/>
  <c r="D66" i="4" l="1"/>
  <c r="F65" i="3"/>
  <c r="D66" i="3"/>
  <c r="A67" i="4"/>
  <c r="G66" i="3"/>
  <c r="S66" i="3"/>
  <c r="Y66" i="3" s="1"/>
  <c r="Z66" i="3" s="1"/>
  <c r="AA66" i="3" s="1"/>
  <c r="H66" i="3"/>
  <c r="T66" i="3"/>
  <c r="J66" i="3"/>
  <c r="V66" i="3"/>
  <c r="M66" i="3"/>
  <c r="N66" i="3"/>
  <c r="C66" i="3"/>
  <c r="P66" i="3"/>
  <c r="E66" i="3"/>
  <c r="M72" i="2"/>
  <c r="J71" i="2"/>
  <c r="G66" i="4"/>
  <c r="L66" i="4" s="1"/>
  <c r="I66" i="4"/>
  <c r="M66" i="4" s="1"/>
  <c r="K66" i="4"/>
  <c r="N66" i="4" s="1"/>
  <c r="E68" i="2"/>
  <c r="C69" i="2"/>
  <c r="D69" i="2"/>
  <c r="T68" i="2"/>
  <c r="G68" i="2"/>
  <c r="L69" i="2"/>
  <c r="I68" i="2"/>
  <c r="F68" i="2" s="1"/>
  <c r="C66" i="4"/>
  <c r="AB65" i="3"/>
  <c r="E66" i="4" s="1"/>
  <c r="I64" i="3"/>
  <c r="F65" i="4" s="1"/>
  <c r="U64" i="3"/>
  <c r="J65" i="4" s="1"/>
  <c r="O64" i="3"/>
  <c r="H65" i="4" s="1"/>
  <c r="K74" i="2"/>
  <c r="H73" i="2"/>
  <c r="D67" i="4" l="1"/>
  <c r="C67" i="4"/>
  <c r="AB66" i="3"/>
  <c r="E67" i="4" s="1"/>
  <c r="M73" i="2"/>
  <c r="J72" i="2"/>
  <c r="T69" i="2"/>
  <c r="G69" i="2"/>
  <c r="D70" i="2"/>
  <c r="A68" i="4"/>
  <c r="P67" i="3"/>
  <c r="E67" i="3"/>
  <c r="G67" i="3"/>
  <c r="S67" i="3"/>
  <c r="Y67" i="3" s="1"/>
  <c r="Z67" i="3" s="1"/>
  <c r="AA67" i="3" s="1"/>
  <c r="H67" i="3"/>
  <c r="T67" i="3"/>
  <c r="J67" i="3"/>
  <c r="V67" i="3"/>
  <c r="M67" i="3"/>
  <c r="N67" i="3"/>
  <c r="C67" i="3"/>
  <c r="I67" i="4"/>
  <c r="M67" i="4" s="1"/>
  <c r="K67" i="4"/>
  <c r="N67" i="4" s="1"/>
  <c r="G67" i="4"/>
  <c r="L67" i="4" s="1"/>
  <c r="E69" i="2"/>
  <c r="C70" i="2"/>
  <c r="D67" i="3"/>
  <c r="F66" i="3"/>
  <c r="K75" i="2"/>
  <c r="H74" i="2"/>
  <c r="O65" i="3"/>
  <c r="H66" i="4" s="1"/>
  <c r="U65" i="3"/>
  <c r="J66" i="4" s="1"/>
  <c r="I65" i="3"/>
  <c r="F66" i="4" s="1"/>
  <c r="L70" i="2"/>
  <c r="I69" i="2"/>
  <c r="F69" i="2" s="1"/>
  <c r="D68" i="4" l="1"/>
  <c r="K76" i="2"/>
  <c r="H75" i="2"/>
  <c r="G68" i="4"/>
  <c r="L68" i="4" s="1"/>
  <c r="K68" i="4"/>
  <c r="N68" i="4" s="1"/>
  <c r="I68" i="4"/>
  <c r="M68" i="4" s="1"/>
  <c r="I66" i="3"/>
  <c r="F67" i="4" s="1"/>
  <c r="U66" i="3"/>
  <c r="J67" i="4" s="1"/>
  <c r="O66" i="3"/>
  <c r="H67" i="4" s="1"/>
  <c r="D71" i="2"/>
  <c r="T70" i="2"/>
  <c r="G70" i="2"/>
  <c r="F67" i="3"/>
  <c r="D68" i="3"/>
  <c r="C68" i="4"/>
  <c r="AB67" i="3"/>
  <c r="E68" i="4" s="1"/>
  <c r="C71" i="2"/>
  <c r="E70" i="2"/>
  <c r="F70" i="2"/>
  <c r="M74" i="2"/>
  <c r="J73" i="2"/>
  <c r="I70" i="2"/>
  <c r="L71" i="2"/>
  <c r="A69" i="4"/>
  <c r="M68" i="3"/>
  <c r="N68" i="3"/>
  <c r="C68" i="3"/>
  <c r="P68" i="3"/>
  <c r="E68" i="3"/>
  <c r="G68" i="3"/>
  <c r="S68" i="3"/>
  <c r="Y68" i="3" s="1"/>
  <c r="Z68" i="3" s="1"/>
  <c r="AA68" i="3" s="1"/>
  <c r="H68" i="3"/>
  <c r="T68" i="3"/>
  <c r="J68" i="3"/>
  <c r="V68" i="3"/>
  <c r="D69" i="4" l="1"/>
  <c r="E71" i="2"/>
  <c r="C72" i="2"/>
  <c r="A70" i="4"/>
  <c r="J69" i="3"/>
  <c r="V69" i="3"/>
  <c r="M69" i="3"/>
  <c r="N69" i="3"/>
  <c r="C69" i="3"/>
  <c r="P69" i="3"/>
  <c r="E69" i="3"/>
  <c r="G69" i="3"/>
  <c r="S69" i="3"/>
  <c r="Y69" i="3" s="1"/>
  <c r="Z69" i="3" s="1"/>
  <c r="AA69" i="3" s="1"/>
  <c r="T69" i="3"/>
  <c r="H69" i="3"/>
  <c r="F68" i="3"/>
  <c r="D69" i="3"/>
  <c r="I67" i="3"/>
  <c r="F68" i="4" s="1"/>
  <c r="U67" i="3"/>
  <c r="J68" i="4" s="1"/>
  <c r="O67" i="3"/>
  <c r="H68" i="4" s="1"/>
  <c r="G69" i="4"/>
  <c r="L69" i="4" s="1"/>
  <c r="I69" i="4"/>
  <c r="M69" i="4" s="1"/>
  <c r="K69" i="4"/>
  <c r="N69" i="4" s="1"/>
  <c r="C69" i="4"/>
  <c r="AB68" i="3"/>
  <c r="E69" i="4" s="1"/>
  <c r="L72" i="2"/>
  <c r="I71" i="2"/>
  <c r="F71" i="2" s="1"/>
  <c r="K77" i="2"/>
  <c r="H76" i="2"/>
  <c r="M75" i="2"/>
  <c r="J74" i="2"/>
  <c r="T71" i="2"/>
  <c r="G71" i="2"/>
  <c r="D72" i="2"/>
  <c r="D70" i="4" l="1"/>
  <c r="H77" i="2"/>
  <c r="K78" i="2"/>
  <c r="C70" i="4"/>
  <c r="AB69" i="3"/>
  <c r="E70" i="4" s="1"/>
  <c r="L73" i="2"/>
  <c r="I72" i="2"/>
  <c r="F69" i="3"/>
  <c r="D70" i="3"/>
  <c r="O68" i="3"/>
  <c r="H69" i="4" s="1"/>
  <c r="I68" i="3"/>
  <c r="F69" i="4" s="1"/>
  <c r="U68" i="3"/>
  <c r="J69" i="4" s="1"/>
  <c r="K70" i="4"/>
  <c r="N70" i="4" s="1"/>
  <c r="G70" i="4"/>
  <c r="L70" i="4" s="1"/>
  <c r="I70" i="4"/>
  <c r="M70" i="4" s="1"/>
  <c r="C73" i="2"/>
  <c r="F72" i="2"/>
  <c r="E72" i="2"/>
  <c r="J75" i="2"/>
  <c r="M76" i="2"/>
  <c r="G72" i="2"/>
  <c r="D73" i="2"/>
  <c r="T72" i="2"/>
  <c r="A71" i="4"/>
  <c r="G70" i="3"/>
  <c r="S70" i="3"/>
  <c r="Y70" i="3" s="1"/>
  <c r="Z70" i="3" s="1"/>
  <c r="AA70" i="3" s="1"/>
  <c r="H70" i="3"/>
  <c r="T70" i="3"/>
  <c r="J70" i="3"/>
  <c r="V70" i="3"/>
  <c r="M70" i="3"/>
  <c r="N70" i="3"/>
  <c r="C70" i="3"/>
  <c r="P70" i="3"/>
  <c r="E70" i="3"/>
  <c r="D71" i="4" l="1"/>
  <c r="C71" i="4"/>
  <c r="AB70" i="3"/>
  <c r="E71" i="4" s="1"/>
  <c r="D71" i="3"/>
  <c r="F70" i="3"/>
  <c r="O69" i="3"/>
  <c r="H70" i="4" s="1"/>
  <c r="I69" i="3"/>
  <c r="F70" i="4" s="1"/>
  <c r="U69" i="3"/>
  <c r="J70" i="4" s="1"/>
  <c r="E73" i="2"/>
  <c r="F73" i="2"/>
  <c r="C74" i="2"/>
  <c r="L74" i="2"/>
  <c r="I73" i="2"/>
  <c r="G71" i="4"/>
  <c r="L71" i="4" s="1"/>
  <c r="I71" i="4"/>
  <c r="M71" i="4" s="1"/>
  <c r="K71" i="4"/>
  <c r="N71" i="4" s="1"/>
  <c r="K79" i="2"/>
  <c r="H78" i="2"/>
  <c r="A72" i="4"/>
  <c r="P71" i="3"/>
  <c r="E71" i="3"/>
  <c r="G71" i="3"/>
  <c r="S71" i="3"/>
  <c r="Y71" i="3" s="1"/>
  <c r="Z71" i="3" s="1"/>
  <c r="AA71" i="3" s="1"/>
  <c r="H71" i="3"/>
  <c r="T71" i="3"/>
  <c r="J71" i="3"/>
  <c r="V71" i="3"/>
  <c r="M71" i="3"/>
  <c r="C71" i="3"/>
  <c r="N71" i="3"/>
  <c r="T73" i="2"/>
  <c r="G73" i="2"/>
  <c r="D74" i="2"/>
  <c r="M77" i="2"/>
  <c r="J76" i="2"/>
  <c r="D72" i="4" l="1"/>
  <c r="E74" i="2"/>
  <c r="C75" i="2"/>
  <c r="I72" i="4"/>
  <c r="M72" i="4" s="1"/>
  <c r="K72" i="4"/>
  <c r="N72" i="4" s="1"/>
  <c r="G72" i="4"/>
  <c r="L72" i="4" s="1"/>
  <c r="K80" i="2"/>
  <c r="H79" i="2"/>
  <c r="I70" i="3"/>
  <c r="F71" i="4" s="1"/>
  <c r="U70" i="3"/>
  <c r="J71" i="4" s="1"/>
  <c r="O70" i="3"/>
  <c r="H71" i="4" s="1"/>
  <c r="F71" i="3"/>
  <c r="D72" i="3"/>
  <c r="C72" i="4"/>
  <c r="AB71" i="3"/>
  <c r="E72" i="4" s="1"/>
  <c r="T74" i="2"/>
  <c r="G74" i="2"/>
  <c r="D75" i="2"/>
  <c r="A73" i="4"/>
  <c r="M72" i="3"/>
  <c r="N72" i="3"/>
  <c r="C72" i="3"/>
  <c r="P72" i="3"/>
  <c r="E72" i="3"/>
  <c r="G72" i="3"/>
  <c r="S72" i="3"/>
  <c r="Y72" i="3" s="1"/>
  <c r="Z72" i="3" s="1"/>
  <c r="AA72" i="3" s="1"/>
  <c r="J72" i="3"/>
  <c r="V72" i="3"/>
  <c r="T72" i="3"/>
  <c r="H72" i="3"/>
  <c r="M78" i="2"/>
  <c r="J77" i="2"/>
  <c r="L75" i="2"/>
  <c r="I74" i="2"/>
  <c r="F74" i="2" s="1"/>
  <c r="D73" i="4" l="1"/>
  <c r="D76" i="2"/>
  <c r="T75" i="2"/>
  <c r="G75" i="2"/>
  <c r="K73" i="4"/>
  <c r="N73" i="4" s="1"/>
  <c r="G73" i="4"/>
  <c r="L73" i="4" s="1"/>
  <c r="I73" i="4"/>
  <c r="M73" i="4" s="1"/>
  <c r="K81" i="2"/>
  <c r="H80" i="2"/>
  <c r="A74" i="4"/>
  <c r="M73" i="3"/>
  <c r="N73" i="3"/>
  <c r="C73" i="3"/>
  <c r="P73" i="3"/>
  <c r="G73" i="3"/>
  <c r="S73" i="3"/>
  <c r="Y73" i="3" s="1"/>
  <c r="Z73" i="3" s="1"/>
  <c r="AA73" i="3" s="1"/>
  <c r="V73" i="3"/>
  <c r="E73" i="3"/>
  <c r="H73" i="3"/>
  <c r="J73" i="3"/>
  <c r="T73" i="3"/>
  <c r="F72" i="3"/>
  <c r="D73" i="3"/>
  <c r="I71" i="3"/>
  <c r="F72" i="4" s="1"/>
  <c r="U71" i="3"/>
  <c r="J72" i="4" s="1"/>
  <c r="O71" i="3"/>
  <c r="H72" i="4" s="1"/>
  <c r="C76" i="2"/>
  <c r="E75" i="2"/>
  <c r="F75" i="2"/>
  <c r="L76" i="2"/>
  <c r="I75" i="2"/>
  <c r="M79" i="2"/>
  <c r="J78" i="2"/>
  <c r="C73" i="4"/>
  <c r="AB72" i="3"/>
  <c r="E73" i="4" s="1"/>
  <c r="D74" i="4" l="1"/>
  <c r="K82" i="2"/>
  <c r="H81" i="2"/>
  <c r="L77" i="2"/>
  <c r="I76" i="2"/>
  <c r="F73" i="3"/>
  <c r="D74" i="3"/>
  <c r="O72" i="3"/>
  <c r="H73" i="4" s="1"/>
  <c r="I72" i="3"/>
  <c r="F73" i="4" s="1"/>
  <c r="U72" i="3"/>
  <c r="J73" i="4" s="1"/>
  <c r="C74" i="4"/>
  <c r="AB73" i="3"/>
  <c r="E74" i="4" s="1"/>
  <c r="T76" i="2"/>
  <c r="G76" i="2"/>
  <c r="D77" i="2"/>
  <c r="G74" i="4"/>
  <c r="L74" i="4" s="1"/>
  <c r="I74" i="4"/>
  <c r="M74" i="4" s="1"/>
  <c r="K74" i="4"/>
  <c r="N74" i="4" s="1"/>
  <c r="A75" i="4"/>
  <c r="H74" i="3"/>
  <c r="T74" i="3"/>
  <c r="J74" i="3"/>
  <c r="V74" i="3"/>
  <c r="M74" i="3"/>
  <c r="C74" i="3"/>
  <c r="P74" i="3"/>
  <c r="E74" i="3"/>
  <c r="G74" i="3"/>
  <c r="N74" i="3"/>
  <c r="S74" i="3"/>
  <c r="Y74" i="3" s="1"/>
  <c r="Z74" i="3" s="1"/>
  <c r="AA74" i="3" s="1"/>
  <c r="E76" i="2"/>
  <c r="F76" i="2"/>
  <c r="C77" i="2"/>
  <c r="M80" i="2"/>
  <c r="J79" i="2"/>
  <c r="D75" i="4" l="1"/>
  <c r="I75" i="4"/>
  <c r="M75" i="4" s="1"/>
  <c r="G75" i="4"/>
  <c r="L75" i="4" s="1"/>
  <c r="K75" i="4"/>
  <c r="N75" i="4" s="1"/>
  <c r="F74" i="3"/>
  <c r="D75" i="3"/>
  <c r="A76" i="4"/>
  <c r="E75" i="3"/>
  <c r="G75" i="3"/>
  <c r="S75" i="3"/>
  <c r="Y75" i="3" s="1"/>
  <c r="Z75" i="3" s="1"/>
  <c r="AA75" i="3" s="1"/>
  <c r="H75" i="3"/>
  <c r="T75" i="3"/>
  <c r="J75" i="3"/>
  <c r="V75" i="3"/>
  <c r="M75" i="3"/>
  <c r="C75" i="3"/>
  <c r="N75" i="3"/>
  <c r="P75" i="3"/>
  <c r="O73" i="3"/>
  <c r="H74" i="4" s="1"/>
  <c r="U73" i="3"/>
  <c r="J74" i="4" s="1"/>
  <c r="I73" i="3"/>
  <c r="F74" i="4" s="1"/>
  <c r="I77" i="2"/>
  <c r="L78" i="2"/>
  <c r="C75" i="4"/>
  <c r="AB74" i="3"/>
  <c r="E75" i="4" s="1"/>
  <c r="D78" i="2"/>
  <c r="T77" i="2"/>
  <c r="G77" i="2"/>
  <c r="M81" i="2"/>
  <c r="J80" i="2"/>
  <c r="K83" i="2"/>
  <c r="H82" i="2"/>
  <c r="C78" i="2"/>
  <c r="E77" i="2"/>
  <c r="F77" i="2"/>
  <c r="D76" i="4" l="1"/>
  <c r="K84" i="2"/>
  <c r="H83" i="2"/>
  <c r="F75" i="3"/>
  <c r="D76" i="3"/>
  <c r="I74" i="3"/>
  <c r="F75" i="4" s="1"/>
  <c r="U74" i="3"/>
  <c r="J75" i="4" s="1"/>
  <c r="O74" i="3"/>
  <c r="H75" i="4" s="1"/>
  <c r="G76" i="4"/>
  <c r="L76" i="4" s="1"/>
  <c r="I76" i="4"/>
  <c r="M76" i="4" s="1"/>
  <c r="K76" i="4"/>
  <c r="N76" i="4" s="1"/>
  <c r="C76" i="4"/>
  <c r="AB75" i="3"/>
  <c r="E76" i="4" s="1"/>
  <c r="T78" i="2"/>
  <c r="G78" i="2"/>
  <c r="D79" i="2"/>
  <c r="M82" i="2"/>
  <c r="J81" i="2"/>
  <c r="L79" i="2"/>
  <c r="I78" i="2"/>
  <c r="F78" i="2" s="1"/>
  <c r="E78" i="2"/>
  <c r="C79" i="2"/>
  <c r="A77" i="4"/>
  <c r="C76" i="3"/>
  <c r="P76" i="3"/>
  <c r="E76" i="3"/>
  <c r="G76" i="3"/>
  <c r="S76" i="3"/>
  <c r="Y76" i="3" s="1"/>
  <c r="Z76" i="3" s="1"/>
  <c r="AA76" i="3" s="1"/>
  <c r="J76" i="3"/>
  <c r="V76" i="3"/>
  <c r="T76" i="3"/>
  <c r="H76" i="3"/>
  <c r="M76" i="3"/>
  <c r="N76" i="3"/>
  <c r="D77" i="4" l="1"/>
  <c r="J82" i="2"/>
  <c r="M83" i="2"/>
  <c r="L80" i="2"/>
  <c r="I79" i="2"/>
  <c r="G79" i="2"/>
  <c r="D80" i="2"/>
  <c r="T79" i="2"/>
  <c r="F76" i="3"/>
  <c r="D77" i="3"/>
  <c r="I75" i="3"/>
  <c r="F76" i="4" s="1"/>
  <c r="U75" i="3"/>
  <c r="J76" i="4" s="1"/>
  <c r="O75" i="3"/>
  <c r="H76" i="4" s="1"/>
  <c r="G77" i="4"/>
  <c r="L77" i="4" s="1"/>
  <c r="K77" i="4"/>
  <c r="N77" i="4" s="1"/>
  <c r="I77" i="4"/>
  <c r="M77" i="4" s="1"/>
  <c r="C77" i="4"/>
  <c r="AB76" i="3"/>
  <c r="E77" i="4" s="1"/>
  <c r="F79" i="2"/>
  <c r="C80" i="2"/>
  <c r="E79" i="2"/>
  <c r="H84" i="2"/>
  <c r="K85" i="2"/>
  <c r="A78" i="4"/>
  <c r="N77" i="3"/>
  <c r="C77" i="3"/>
  <c r="P77" i="3"/>
  <c r="G77" i="3"/>
  <c r="S77" i="3"/>
  <c r="Y77" i="3" s="1"/>
  <c r="Z77" i="3" s="1"/>
  <c r="AA77" i="3" s="1"/>
  <c r="M77" i="3"/>
  <c r="T77" i="3"/>
  <c r="V77" i="3"/>
  <c r="E77" i="3"/>
  <c r="H77" i="3"/>
  <c r="J77" i="3"/>
  <c r="D78" i="4" l="1"/>
  <c r="E80" i="2"/>
  <c r="F80" i="2"/>
  <c r="C81" i="2"/>
  <c r="D78" i="3"/>
  <c r="F77" i="3"/>
  <c r="D81" i="2"/>
  <c r="T80" i="2"/>
  <c r="G80" i="2"/>
  <c r="O76" i="3"/>
  <c r="H77" i="4" s="1"/>
  <c r="U76" i="3"/>
  <c r="J77" i="4" s="1"/>
  <c r="I76" i="3"/>
  <c r="F77" i="4" s="1"/>
  <c r="L81" i="2"/>
  <c r="I80" i="2"/>
  <c r="G78" i="4"/>
  <c r="L78" i="4" s="1"/>
  <c r="I78" i="4"/>
  <c r="M78" i="4" s="1"/>
  <c r="K78" i="4"/>
  <c r="N78" i="4" s="1"/>
  <c r="M84" i="2"/>
  <c r="J83" i="2"/>
  <c r="K86" i="2"/>
  <c r="H85" i="2"/>
  <c r="C78" i="4"/>
  <c r="AB77" i="3"/>
  <c r="E78" i="4" s="1"/>
  <c r="A79" i="4"/>
  <c r="M78" i="3"/>
  <c r="P78" i="3"/>
  <c r="G78" i="3"/>
  <c r="H78" i="3"/>
  <c r="J78" i="3"/>
  <c r="N78" i="3"/>
  <c r="S78" i="3"/>
  <c r="Y78" i="3" s="1"/>
  <c r="Z78" i="3" s="1"/>
  <c r="AA78" i="3" s="1"/>
  <c r="C78" i="3"/>
  <c r="T78" i="3"/>
  <c r="V78" i="3"/>
  <c r="E78" i="3"/>
  <c r="D79" i="4" l="1"/>
  <c r="K87" i="2"/>
  <c r="H86" i="2"/>
  <c r="T81" i="2"/>
  <c r="G81" i="2"/>
  <c r="D82" i="2"/>
  <c r="O77" i="3"/>
  <c r="H78" i="4" s="1"/>
  <c r="U77" i="3"/>
  <c r="J78" i="4" s="1"/>
  <c r="I77" i="3"/>
  <c r="F78" i="4" s="1"/>
  <c r="D79" i="3"/>
  <c r="F78" i="3"/>
  <c r="E81" i="2"/>
  <c r="C82" i="2"/>
  <c r="A80" i="4"/>
  <c r="H79" i="3"/>
  <c r="T79" i="3"/>
  <c r="J79" i="3"/>
  <c r="P79" i="3"/>
  <c r="S79" i="3"/>
  <c r="Y79" i="3" s="1"/>
  <c r="Z79" i="3" s="1"/>
  <c r="AA79" i="3" s="1"/>
  <c r="C79" i="3"/>
  <c r="V79" i="3"/>
  <c r="E79" i="3"/>
  <c r="G79" i="3"/>
  <c r="M79" i="3"/>
  <c r="N79" i="3"/>
  <c r="I79" i="4"/>
  <c r="M79" i="4" s="1"/>
  <c r="K79" i="4"/>
  <c r="N79" i="4" s="1"/>
  <c r="G79" i="4"/>
  <c r="L79" i="4" s="1"/>
  <c r="L82" i="2"/>
  <c r="I81" i="2"/>
  <c r="F81" i="2" s="1"/>
  <c r="M85" i="2"/>
  <c r="J84" i="2"/>
  <c r="C79" i="4"/>
  <c r="AB78" i="3"/>
  <c r="E79" i="4" s="1"/>
  <c r="D80" i="4" l="1"/>
  <c r="I78" i="3"/>
  <c r="F79" i="4" s="1"/>
  <c r="U78" i="3"/>
  <c r="J79" i="4" s="1"/>
  <c r="O78" i="3"/>
  <c r="H79" i="4" s="1"/>
  <c r="I82" i="2"/>
  <c r="L83" i="2"/>
  <c r="F79" i="3"/>
  <c r="D80" i="3"/>
  <c r="D83" i="2"/>
  <c r="T82" i="2"/>
  <c r="G82" i="2"/>
  <c r="A81" i="4"/>
  <c r="C80" i="3"/>
  <c r="E80" i="3"/>
  <c r="G80" i="3"/>
  <c r="H80" i="3"/>
  <c r="V80" i="3"/>
  <c r="J80" i="3"/>
  <c r="M80" i="3"/>
  <c r="N80" i="3"/>
  <c r="P80" i="3"/>
  <c r="S80" i="3"/>
  <c r="Y80" i="3" s="1"/>
  <c r="Z80" i="3" s="1"/>
  <c r="AA80" i="3" s="1"/>
  <c r="T80" i="3"/>
  <c r="G80" i="4"/>
  <c r="L80" i="4" s="1"/>
  <c r="I80" i="4"/>
  <c r="M80" i="4" s="1"/>
  <c r="K80" i="4"/>
  <c r="N80" i="4" s="1"/>
  <c r="C83" i="2"/>
  <c r="E82" i="2"/>
  <c r="F82" i="2"/>
  <c r="K88" i="2"/>
  <c r="H87" i="2"/>
  <c r="C80" i="4"/>
  <c r="AB79" i="3"/>
  <c r="E80" i="4" s="1"/>
  <c r="M86" i="2"/>
  <c r="J85" i="2"/>
  <c r="D81" i="4" l="1"/>
  <c r="T83" i="2"/>
  <c r="G83" i="2"/>
  <c r="D84" i="2"/>
  <c r="C81" i="4"/>
  <c r="AB80" i="3"/>
  <c r="E81" i="4" s="1"/>
  <c r="F80" i="3"/>
  <c r="D81" i="3"/>
  <c r="E83" i="2"/>
  <c r="F83" i="2"/>
  <c r="C84" i="2"/>
  <c r="I79" i="3"/>
  <c r="F80" i="4" s="1"/>
  <c r="U79" i="3"/>
  <c r="J80" i="4" s="1"/>
  <c r="O79" i="3"/>
  <c r="H80" i="4" s="1"/>
  <c r="L84" i="2"/>
  <c r="I83" i="2"/>
  <c r="K89" i="2"/>
  <c r="H88" i="2"/>
  <c r="A82" i="4"/>
  <c r="N81" i="3"/>
  <c r="C81" i="3"/>
  <c r="J81" i="3"/>
  <c r="M81" i="3"/>
  <c r="P81" i="3"/>
  <c r="S81" i="3"/>
  <c r="Y81" i="3" s="1"/>
  <c r="Z81" i="3" s="1"/>
  <c r="AA81" i="3" s="1"/>
  <c r="E81" i="3"/>
  <c r="T81" i="3"/>
  <c r="G81" i="3"/>
  <c r="H81" i="3"/>
  <c r="V81" i="3"/>
  <c r="M87" i="2"/>
  <c r="J86" i="2"/>
  <c r="G81" i="4"/>
  <c r="L81" i="4" s="1"/>
  <c r="I81" i="4"/>
  <c r="M81" i="4" s="1"/>
  <c r="K81" i="4"/>
  <c r="N81" i="4" s="1"/>
  <c r="D82" i="4" l="1"/>
  <c r="A83" i="4"/>
  <c r="N82" i="3"/>
  <c r="P82" i="3"/>
  <c r="C82" i="3"/>
  <c r="E82" i="3"/>
  <c r="S82" i="3"/>
  <c r="Y82" i="3" s="1"/>
  <c r="Z82" i="3" s="1"/>
  <c r="AA82" i="3" s="1"/>
  <c r="T82" i="3"/>
  <c r="G82" i="3"/>
  <c r="V82" i="3"/>
  <c r="H82" i="3"/>
  <c r="J82" i="3"/>
  <c r="M82" i="3"/>
  <c r="C85" i="2"/>
  <c r="E84" i="2"/>
  <c r="J87" i="2"/>
  <c r="M88" i="2"/>
  <c r="D82" i="3"/>
  <c r="F81" i="3"/>
  <c r="K82" i="4"/>
  <c r="N82" i="4" s="1"/>
  <c r="G82" i="4"/>
  <c r="L82" i="4" s="1"/>
  <c r="I82" i="4"/>
  <c r="M82" i="4" s="1"/>
  <c r="O80" i="3"/>
  <c r="H81" i="4" s="1"/>
  <c r="U80" i="3"/>
  <c r="J81" i="4" s="1"/>
  <c r="I80" i="3"/>
  <c r="F81" i="4" s="1"/>
  <c r="H89" i="2"/>
  <c r="K90" i="2"/>
  <c r="G84" i="2"/>
  <c r="D85" i="2"/>
  <c r="T84" i="2"/>
  <c r="L85" i="2"/>
  <c r="I84" i="2"/>
  <c r="F84" i="2" s="1"/>
  <c r="C82" i="4"/>
  <c r="AB81" i="3"/>
  <c r="E82" i="4" s="1"/>
  <c r="D83" i="4" l="1"/>
  <c r="T85" i="2"/>
  <c r="G85" i="2"/>
  <c r="D86" i="2"/>
  <c r="O81" i="3"/>
  <c r="H82" i="4" s="1"/>
  <c r="I81" i="3"/>
  <c r="F82" i="4" s="1"/>
  <c r="U81" i="3"/>
  <c r="J82" i="4" s="1"/>
  <c r="K91" i="2"/>
  <c r="H90" i="2"/>
  <c r="D83" i="3"/>
  <c r="F82" i="3"/>
  <c r="M89" i="2"/>
  <c r="J88" i="2"/>
  <c r="A84" i="4"/>
  <c r="H83" i="3"/>
  <c r="T83" i="3"/>
  <c r="P83" i="3"/>
  <c r="C83" i="3"/>
  <c r="S83" i="3"/>
  <c r="Y83" i="3" s="1"/>
  <c r="Z83" i="3" s="1"/>
  <c r="AA83" i="3" s="1"/>
  <c r="V83" i="3"/>
  <c r="E83" i="3"/>
  <c r="G83" i="3"/>
  <c r="J83" i="3"/>
  <c r="M83" i="3"/>
  <c r="N83" i="3"/>
  <c r="E85" i="2"/>
  <c r="C86" i="2"/>
  <c r="C83" i="4"/>
  <c r="AB82" i="3"/>
  <c r="E83" i="4" s="1"/>
  <c r="G83" i="4"/>
  <c r="L83" i="4" s="1"/>
  <c r="I83" i="4"/>
  <c r="M83" i="4" s="1"/>
  <c r="K83" i="4"/>
  <c r="N83" i="4" s="1"/>
  <c r="L86" i="2"/>
  <c r="I85" i="2"/>
  <c r="F85" i="2" s="1"/>
  <c r="D84" i="4" l="1"/>
  <c r="I82" i="3"/>
  <c r="F83" i="4" s="1"/>
  <c r="U82" i="3"/>
  <c r="J83" i="4" s="1"/>
  <c r="O82" i="3"/>
  <c r="H83" i="4" s="1"/>
  <c r="K92" i="2"/>
  <c r="H91" i="2"/>
  <c r="F83" i="3"/>
  <c r="D84" i="3"/>
  <c r="T86" i="2"/>
  <c r="G86" i="2"/>
  <c r="D87" i="2"/>
  <c r="L87" i="2"/>
  <c r="I86" i="2"/>
  <c r="A85" i="4"/>
  <c r="C84" i="3"/>
  <c r="E84" i="3"/>
  <c r="S84" i="3"/>
  <c r="Y84" i="3" s="1"/>
  <c r="Z84" i="3" s="1"/>
  <c r="AA84" i="3" s="1"/>
  <c r="G84" i="3"/>
  <c r="T84" i="3"/>
  <c r="H84" i="3"/>
  <c r="V84" i="3"/>
  <c r="J84" i="3"/>
  <c r="M84" i="3"/>
  <c r="N84" i="3"/>
  <c r="P84" i="3"/>
  <c r="I84" i="4"/>
  <c r="M84" i="4" s="1"/>
  <c r="K84" i="4"/>
  <c r="N84" i="4" s="1"/>
  <c r="G84" i="4"/>
  <c r="L84" i="4" s="1"/>
  <c r="E86" i="2"/>
  <c r="F86" i="2"/>
  <c r="C87" i="2"/>
  <c r="C84" i="4"/>
  <c r="AB83" i="3"/>
  <c r="E84" i="4" s="1"/>
  <c r="M90" i="2"/>
  <c r="J89" i="2"/>
  <c r="D85" i="4" l="1"/>
  <c r="C88" i="2"/>
  <c r="E87" i="2"/>
  <c r="D88" i="2"/>
  <c r="T87" i="2"/>
  <c r="G87" i="2"/>
  <c r="I83" i="3"/>
  <c r="F84" i="4" s="1"/>
  <c r="U83" i="3"/>
  <c r="J84" i="4" s="1"/>
  <c r="O83" i="3"/>
  <c r="H84" i="4" s="1"/>
  <c r="F84" i="3"/>
  <c r="D85" i="3"/>
  <c r="A86" i="4"/>
  <c r="N85" i="3"/>
  <c r="T85" i="3"/>
  <c r="G85" i="3"/>
  <c r="H85" i="3"/>
  <c r="V85" i="3"/>
  <c r="J85" i="3"/>
  <c r="M85" i="3"/>
  <c r="P85" i="3"/>
  <c r="C85" i="3"/>
  <c r="E85" i="3"/>
  <c r="S85" i="3"/>
  <c r="Y85" i="3" s="1"/>
  <c r="Z85" i="3" s="1"/>
  <c r="AA85" i="3" s="1"/>
  <c r="K93" i="2"/>
  <c r="H92" i="2"/>
  <c r="K85" i="4"/>
  <c r="N85" i="4" s="1"/>
  <c r="G85" i="4"/>
  <c r="L85" i="4" s="1"/>
  <c r="I85" i="4"/>
  <c r="M85" i="4" s="1"/>
  <c r="M91" i="2"/>
  <c r="J90" i="2"/>
  <c r="C85" i="4"/>
  <c r="AB84" i="3"/>
  <c r="E85" i="4" s="1"/>
  <c r="L88" i="2"/>
  <c r="I87" i="2"/>
  <c r="F87" i="2" s="1"/>
  <c r="D86" i="4" l="1"/>
  <c r="A87" i="4"/>
  <c r="G86" i="3"/>
  <c r="T86" i="3"/>
  <c r="H86" i="3"/>
  <c r="V86" i="3"/>
  <c r="J86" i="3"/>
  <c r="M86" i="3"/>
  <c r="N86" i="3"/>
  <c r="C86" i="3"/>
  <c r="P86" i="3"/>
  <c r="S86" i="3"/>
  <c r="Y86" i="3" s="1"/>
  <c r="Z86" i="3" s="1"/>
  <c r="AA86" i="3" s="1"/>
  <c r="E86" i="3"/>
  <c r="O84" i="3"/>
  <c r="H85" i="4" s="1"/>
  <c r="U84" i="3"/>
  <c r="J85" i="4" s="1"/>
  <c r="I84" i="3"/>
  <c r="F85" i="4" s="1"/>
  <c r="C86" i="4"/>
  <c r="AB85" i="3"/>
  <c r="E86" i="4" s="1"/>
  <c r="T88" i="2"/>
  <c r="G88" i="2"/>
  <c r="D89" i="2"/>
  <c r="M92" i="2"/>
  <c r="J91" i="2"/>
  <c r="L89" i="2"/>
  <c r="I88" i="2"/>
  <c r="E88" i="2"/>
  <c r="F88" i="2"/>
  <c r="C89" i="2"/>
  <c r="G86" i="4"/>
  <c r="L86" i="4" s="1"/>
  <c r="I86" i="4"/>
  <c r="M86" i="4" s="1"/>
  <c r="K86" i="4"/>
  <c r="N86" i="4" s="1"/>
  <c r="K94" i="2"/>
  <c r="H93" i="2"/>
  <c r="F85" i="3"/>
  <c r="D86" i="3"/>
  <c r="D87" i="4" l="1"/>
  <c r="M93" i="2"/>
  <c r="J92" i="2"/>
  <c r="D90" i="2"/>
  <c r="T89" i="2"/>
  <c r="G89" i="2"/>
  <c r="C90" i="2"/>
  <c r="E89" i="2"/>
  <c r="F89" i="2"/>
  <c r="C87" i="4"/>
  <c r="AB86" i="3"/>
  <c r="E87" i="4" s="1"/>
  <c r="D87" i="3"/>
  <c r="F86" i="3"/>
  <c r="U85" i="3"/>
  <c r="J86" i="4" s="1"/>
  <c r="I85" i="3"/>
  <c r="F86" i="4" s="1"/>
  <c r="O85" i="3"/>
  <c r="H86" i="4" s="1"/>
  <c r="I87" i="4"/>
  <c r="M87" i="4" s="1"/>
  <c r="G87" i="4"/>
  <c r="L87" i="4" s="1"/>
  <c r="K87" i="4"/>
  <c r="N87" i="4" s="1"/>
  <c r="I89" i="2"/>
  <c r="L90" i="2"/>
  <c r="K95" i="2"/>
  <c r="H94" i="2"/>
  <c r="A88" i="4"/>
  <c r="G87" i="3"/>
  <c r="T87" i="3"/>
  <c r="H87" i="3"/>
  <c r="V87" i="3"/>
  <c r="J87" i="3"/>
  <c r="M87" i="3"/>
  <c r="N87" i="3"/>
  <c r="C87" i="3"/>
  <c r="P87" i="3"/>
  <c r="E87" i="3"/>
  <c r="S87" i="3"/>
  <c r="Y87" i="3" s="1"/>
  <c r="Z87" i="3" s="1"/>
  <c r="AA87" i="3" s="1"/>
  <c r="D88" i="4" l="1"/>
  <c r="E90" i="2"/>
  <c r="F90" i="2"/>
  <c r="C91" i="2"/>
  <c r="T90" i="2"/>
  <c r="G90" i="2"/>
  <c r="D91" i="2"/>
  <c r="C88" i="4"/>
  <c r="AB87" i="3"/>
  <c r="E88" i="4" s="1"/>
  <c r="M94" i="2"/>
  <c r="J93" i="2"/>
  <c r="A89" i="4"/>
  <c r="C88" i="3"/>
  <c r="S88" i="3"/>
  <c r="Y88" i="3" s="1"/>
  <c r="Z88" i="3" s="1"/>
  <c r="AA88" i="3" s="1"/>
  <c r="G88" i="3"/>
  <c r="T88" i="3"/>
  <c r="H88" i="3"/>
  <c r="V88" i="3"/>
  <c r="J88" i="3"/>
  <c r="M88" i="3"/>
  <c r="N88" i="3"/>
  <c r="P88" i="3"/>
  <c r="E88" i="3"/>
  <c r="K96" i="2"/>
  <c r="H95" i="2"/>
  <c r="I86" i="3"/>
  <c r="F87" i="4" s="1"/>
  <c r="U86" i="3"/>
  <c r="J87" i="4" s="1"/>
  <c r="O86" i="3"/>
  <c r="H87" i="4" s="1"/>
  <c r="G88" i="4"/>
  <c r="L88" i="4" s="1"/>
  <c r="I88" i="4"/>
  <c r="M88" i="4" s="1"/>
  <c r="K88" i="4"/>
  <c r="N88" i="4" s="1"/>
  <c r="L91" i="2"/>
  <c r="I90" i="2"/>
  <c r="F87" i="3"/>
  <c r="D88" i="3"/>
  <c r="D89" i="4" l="1"/>
  <c r="J94" i="2"/>
  <c r="M95" i="2"/>
  <c r="C89" i="4"/>
  <c r="AB88" i="3"/>
  <c r="E89" i="4" s="1"/>
  <c r="G91" i="2"/>
  <c r="D92" i="2"/>
  <c r="T91" i="2"/>
  <c r="C92" i="2"/>
  <c r="E91" i="2"/>
  <c r="A90" i="4"/>
  <c r="P89" i="3"/>
  <c r="E89" i="3"/>
  <c r="G89" i="3"/>
  <c r="S89" i="3"/>
  <c r="Y89" i="3" s="1"/>
  <c r="Z89" i="3" s="1"/>
  <c r="AA89" i="3" s="1"/>
  <c r="H89" i="3"/>
  <c r="T89" i="3"/>
  <c r="J89" i="3"/>
  <c r="V89" i="3"/>
  <c r="M89" i="3"/>
  <c r="C89" i="3"/>
  <c r="N89" i="3"/>
  <c r="F88" i="3"/>
  <c r="D89" i="3"/>
  <c r="U87" i="3"/>
  <c r="J88" i="4" s="1"/>
  <c r="I87" i="3"/>
  <c r="F88" i="4" s="1"/>
  <c r="O87" i="3"/>
  <c r="H88" i="4" s="1"/>
  <c r="H96" i="2"/>
  <c r="K97" i="2"/>
  <c r="L92" i="2"/>
  <c r="I91" i="2"/>
  <c r="F91" i="2" s="1"/>
  <c r="G89" i="4"/>
  <c r="L89" i="4" s="1"/>
  <c r="K89" i="4"/>
  <c r="N89" i="4" s="1"/>
  <c r="I89" i="4"/>
  <c r="M89" i="4" s="1"/>
  <c r="D90" i="4" l="1"/>
  <c r="C90" i="4"/>
  <c r="AB89" i="3"/>
  <c r="E90" i="4" s="1"/>
  <c r="E92" i="2"/>
  <c r="C93" i="2"/>
  <c r="K98" i="2"/>
  <c r="H97" i="2"/>
  <c r="D93" i="2"/>
  <c r="T92" i="2"/>
  <c r="G92" i="2"/>
  <c r="A91" i="4"/>
  <c r="M90" i="3"/>
  <c r="N90" i="3"/>
  <c r="C90" i="3"/>
  <c r="P90" i="3"/>
  <c r="E90" i="3"/>
  <c r="G90" i="3"/>
  <c r="S90" i="3"/>
  <c r="Y90" i="3" s="1"/>
  <c r="Z90" i="3" s="1"/>
  <c r="AA90" i="3" s="1"/>
  <c r="H90" i="3"/>
  <c r="T90" i="3"/>
  <c r="J90" i="3"/>
  <c r="V90" i="3"/>
  <c r="M96" i="2"/>
  <c r="J95" i="2"/>
  <c r="L93" i="2"/>
  <c r="I92" i="2"/>
  <c r="F92" i="2" s="1"/>
  <c r="F89" i="3"/>
  <c r="D90" i="3"/>
  <c r="O88" i="3"/>
  <c r="H89" i="4" s="1"/>
  <c r="U88" i="3"/>
  <c r="J89" i="4" s="1"/>
  <c r="I88" i="3"/>
  <c r="F89" i="4" s="1"/>
  <c r="G90" i="4"/>
  <c r="L90" i="4" s="1"/>
  <c r="I90" i="4"/>
  <c r="M90" i="4" s="1"/>
  <c r="K90" i="4"/>
  <c r="N90" i="4" s="1"/>
  <c r="D91" i="4" l="1"/>
  <c r="T93" i="2"/>
  <c r="G93" i="2"/>
  <c r="D94" i="2"/>
  <c r="K99" i="2"/>
  <c r="H98" i="2"/>
  <c r="F90" i="3"/>
  <c r="D91" i="3"/>
  <c r="A92" i="4"/>
  <c r="J91" i="3"/>
  <c r="V91" i="3"/>
  <c r="M91" i="3"/>
  <c r="N91" i="3"/>
  <c r="C91" i="3"/>
  <c r="P91" i="3"/>
  <c r="E91" i="3"/>
  <c r="G91" i="3"/>
  <c r="S91" i="3"/>
  <c r="Y91" i="3" s="1"/>
  <c r="Z91" i="3" s="1"/>
  <c r="AA91" i="3" s="1"/>
  <c r="H91" i="3"/>
  <c r="T91" i="3"/>
  <c r="E93" i="2"/>
  <c r="F93" i="2"/>
  <c r="C94" i="2"/>
  <c r="I89" i="3"/>
  <c r="F90" i="4" s="1"/>
  <c r="U89" i="3"/>
  <c r="J90" i="4" s="1"/>
  <c r="O89" i="3"/>
  <c r="H90" i="4" s="1"/>
  <c r="L94" i="2"/>
  <c r="I93" i="2"/>
  <c r="M97" i="2"/>
  <c r="J96" i="2"/>
  <c r="C91" i="4"/>
  <c r="AB90" i="3"/>
  <c r="E91" i="4" s="1"/>
  <c r="K91" i="4"/>
  <c r="N91" i="4" s="1"/>
  <c r="G91" i="4"/>
  <c r="L91" i="4" s="1"/>
  <c r="I91" i="4"/>
  <c r="M91" i="4" s="1"/>
  <c r="D92" i="4" l="1"/>
  <c r="K92" i="4"/>
  <c r="N92" i="4" s="1"/>
  <c r="G92" i="4"/>
  <c r="L92" i="4" s="1"/>
  <c r="I92" i="4"/>
  <c r="M92" i="4" s="1"/>
  <c r="F91" i="3"/>
  <c r="D92" i="3"/>
  <c r="O90" i="3"/>
  <c r="H91" i="4" s="1"/>
  <c r="I90" i="3"/>
  <c r="F91" i="4" s="1"/>
  <c r="U90" i="3"/>
  <c r="J91" i="4" s="1"/>
  <c r="M98" i="2"/>
  <c r="J97" i="2"/>
  <c r="A93" i="4"/>
  <c r="G92" i="3"/>
  <c r="S92" i="3"/>
  <c r="Y92" i="3" s="1"/>
  <c r="Z92" i="3" s="1"/>
  <c r="AA92" i="3" s="1"/>
  <c r="H92" i="3"/>
  <c r="T92" i="3"/>
  <c r="J92" i="3"/>
  <c r="V92" i="3"/>
  <c r="M92" i="3"/>
  <c r="N92" i="3"/>
  <c r="C92" i="3"/>
  <c r="P92" i="3"/>
  <c r="E92" i="3"/>
  <c r="K100" i="2"/>
  <c r="H99" i="2"/>
  <c r="I94" i="2"/>
  <c r="F94" i="2" s="1"/>
  <c r="L95" i="2"/>
  <c r="D95" i="2"/>
  <c r="T94" i="2"/>
  <c r="G94" i="2"/>
  <c r="C95" i="2"/>
  <c r="E94" i="2"/>
  <c r="C92" i="4"/>
  <c r="AB91" i="3"/>
  <c r="E92" i="4" s="1"/>
  <c r="D93" i="4" l="1"/>
  <c r="C93" i="4"/>
  <c r="AB92" i="3"/>
  <c r="E93" i="4" s="1"/>
  <c r="D93" i="3"/>
  <c r="F92" i="3"/>
  <c r="T95" i="2"/>
  <c r="G95" i="2"/>
  <c r="D96" i="2"/>
  <c r="O91" i="3"/>
  <c r="H92" i="4" s="1"/>
  <c r="I91" i="3"/>
  <c r="F92" i="4" s="1"/>
  <c r="U91" i="3"/>
  <c r="J92" i="4" s="1"/>
  <c r="E95" i="2"/>
  <c r="C96" i="2"/>
  <c r="A94" i="4"/>
  <c r="P93" i="3"/>
  <c r="E93" i="3"/>
  <c r="G93" i="3"/>
  <c r="S93" i="3"/>
  <c r="Y93" i="3" s="1"/>
  <c r="Z93" i="3" s="1"/>
  <c r="AA93" i="3" s="1"/>
  <c r="H93" i="3"/>
  <c r="T93" i="3"/>
  <c r="J93" i="3"/>
  <c r="V93" i="3"/>
  <c r="M93" i="3"/>
  <c r="C93" i="3"/>
  <c r="N93" i="3"/>
  <c r="I93" i="4"/>
  <c r="M93" i="4" s="1"/>
  <c r="K93" i="4"/>
  <c r="N93" i="4" s="1"/>
  <c r="G93" i="4"/>
  <c r="L93" i="4" s="1"/>
  <c r="K101" i="2"/>
  <c r="H100" i="2"/>
  <c r="M99" i="2"/>
  <c r="J98" i="2"/>
  <c r="L96" i="2"/>
  <c r="I95" i="2"/>
  <c r="F95" i="2" s="1"/>
  <c r="D94" i="4" l="1"/>
  <c r="G96" i="2"/>
  <c r="D97" i="2"/>
  <c r="T96" i="2"/>
  <c r="A95" i="4"/>
  <c r="M94" i="3"/>
  <c r="N94" i="3"/>
  <c r="C94" i="3"/>
  <c r="P94" i="3"/>
  <c r="E94" i="3"/>
  <c r="G94" i="3"/>
  <c r="S94" i="3"/>
  <c r="Y94" i="3" s="1"/>
  <c r="Z94" i="3" s="1"/>
  <c r="AA94" i="3" s="1"/>
  <c r="H94" i="3"/>
  <c r="T94" i="3"/>
  <c r="J94" i="3"/>
  <c r="V94" i="3"/>
  <c r="I92" i="3"/>
  <c r="F93" i="4" s="1"/>
  <c r="U92" i="3"/>
  <c r="J93" i="4" s="1"/>
  <c r="O92" i="3"/>
  <c r="H93" i="4" s="1"/>
  <c r="H101" i="2"/>
  <c r="K102" i="2"/>
  <c r="F93" i="3"/>
  <c r="D94" i="3"/>
  <c r="I94" i="4"/>
  <c r="M94" i="4" s="1"/>
  <c r="K94" i="4"/>
  <c r="N94" i="4" s="1"/>
  <c r="G94" i="4"/>
  <c r="L94" i="4" s="1"/>
  <c r="L97" i="2"/>
  <c r="I96" i="2"/>
  <c r="F96" i="2" s="1"/>
  <c r="C97" i="2"/>
  <c r="E96" i="2"/>
  <c r="C94" i="4"/>
  <c r="AB93" i="3"/>
  <c r="E94" i="4" s="1"/>
  <c r="J99" i="2"/>
  <c r="M100" i="2"/>
  <c r="D95" i="4" l="1"/>
  <c r="A96" i="4"/>
  <c r="J95" i="3"/>
  <c r="V95" i="3"/>
  <c r="M95" i="3"/>
  <c r="N95" i="3"/>
  <c r="C95" i="3"/>
  <c r="P95" i="3"/>
  <c r="E95" i="3"/>
  <c r="G95" i="3"/>
  <c r="S95" i="3"/>
  <c r="Y95" i="3" s="1"/>
  <c r="Z95" i="3" s="1"/>
  <c r="AA95" i="3" s="1"/>
  <c r="T95" i="3"/>
  <c r="H95" i="3"/>
  <c r="K103" i="2"/>
  <c r="H102" i="2"/>
  <c r="I93" i="3"/>
  <c r="F94" i="4" s="1"/>
  <c r="U93" i="3"/>
  <c r="J94" i="4" s="1"/>
  <c r="O93" i="3"/>
  <c r="H94" i="4" s="1"/>
  <c r="E97" i="2"/>
  <c r="C98" i="2"/>
  <c r="C95" i="4"/>
  <c r="AB94" i="3"/>
  <c r="E95" i="4" s="1"/>
  <c r="G95" i="4"/>
  <c r="L95" i="4" s="1"/>
  <c r="I95" i="4"/>
  <c r="M95" i="4" s="1"/>
  <c r="K95" i="4"/>
  <c r="N95" i="4" s="1"/>
  <c r="L98" i="2"/>
  <c r="I97" i="2"/>
  <c r="F97" i="2" s="1"/>
  <c r="M101" i="2"/>
  <c r="J100" i="2"/>
  <c r="T97" i="2"/>
  <c r="G97" i="2"/>
  <c r="D98" i="2"/>
  <c r="F94" i="3"/>
  <c r="D95" i="3"/>
  <c r="D96" i="4" l="1"/>
  <c r="E98" i="2"/>
  <c r="C99" i="2"/>
  <c r="A97" i="4"/>
  <c r="G96" i="3"/>
  <c r="S96" i="3"/>
  <c r="Y96" i="3" s="1"/>
  <c r="Z96" i="3" s="1"/>
  <c r="AA96" i="3" s="1"/>
  <c r="H96" i="3"/>
  <c r="T96" i="3"/>
  <c r="J96" i="3"/>
  <c r="V96" i="3"/>
  <c r="M96" i="3"/>
  <c r="N96" i="3"/>
  <c r="C96" i="3"/>
  <c r="P96" i="3"/>
  <c r="E96" i="3"/>
  <c r="M102" i="2"/>
  <c r="J101" i="2"/>
  <c r="C96" i="4"/>
  <c r="AB95" i="3"/>
  <c r="E96" i="4" s="1"/>
  <c r="L99" i="2"/>
  <c r="I98" i="2"/>
  <c r="F98" i="2" s="1"/>
  <c r="F95" i="3"/>
  <c r="D96" i="3"/>
  <c r="K104" i="2"/>
  <c r="H103" i="2"/>
  <c r="O94" i="3"/>
  <c r="H95" i="4" s="1"/>
  <c r="I94" i="3"/>
  <c r="F95" i="4" s="1"/>
  <c r="U94" i="3"/>
  <c r="J95" i="4" s="1"/>
  <c r="G96" i="4"/>
  <c r="L96" i="4" s="1"/>
  <c r="I96" i="4"/>
  <c r="M96" i="4" s="1"/>
  <c r="K96" i="4"/>
  <c r="N96" i="4" s="1"/>
  <c r="T98" i="2"/>
  <c r="G98" i="2"/>
  <c r="D99" i="2"/>
  <c r="D97" i="4" l="1"/>
  <c r="M103" i="2"/>
  <c r="J102" i="2"/>
  <c r="A98" i="4"/>
  <c r="P97" i="3"/>
  <c r="E97" i="3"/>
  <c r="G97" i="3"/>
  <c r="S97" i="3"/>
  <c r="Y97" i="3" s="1"/>
  <c r="Z97" i="3" s="1"/>
  <c r="AA97" i="3" s="1"/>
  <c r="H97" i="3"/>
  <c r="T97" i="3"/>
  <c r="J97" i="3"/>
  <c r="V97" i="3"/>
  <c r="M97" i="3"/>
  <c r="N97" i="3"/>
  <c r="C97" i="3"/>
  <c r="G97" i="4"/>
  <c r="L97" i="4" s="1"/>
  <c r="I97" i="4"/>
  <c r="M97" i="4" s="1"/>
  <c r="K97" i="4"/>
  <c r="N97" i="4" s="1"/>
  <c r="C100" i="2"/>
  <c r="E99" i="2"/>
  <c r="D100" i="2"/>
  <c r="T99" i="2"/>
  <c r="G99" i="2"/>
  <c r="K105" i="2"/>
  <c r="H104" i="2"/>
  <c r="D97" i="3"/>
  <c r="F96" i="3"/>
  <c r="L100" i="2"/>
  <c r="I99" i="2"/>
  <c r="F99" i="2" s="1"/>
  <c r="O95" i="3"/>
  <c r="H96" i="4" s="1"/>
  <c r="U95" i="3"/>
  <c r="J96" i="4" s="1"/>
  <c r="I95" i="3"/>
  <c r="F96" i="4" s="1"/>
  <c r="C97" i="4"/>
  <c r="AB96" i="3"/>
  <c r="E97" i="4" s="1"/>
  <c r="D98" i="4" l="1"/>
  <c r="E100" i="2"/>
  <c r="C101" i="2"/>
  <c r="A99" i="4"/>
  <c r="M98" i="3"/>
  <c r="N98" i="3"/>
  <c r="C98" i="3"/>
  <c r="P98" i="3"/>
  <c r="E98" i="3"/>
  <c r="G98" i="3"/>
  <c r="S98" i="3"/>
  <c r="Y98" i="3" s="1"/>
  <c r="Z98" i="3" s="1"/>
  <c r="AA98" i="3" s="1"/>
  <c r="H98" i="3"/>
  <c r="T98" i="3"/>
  <c r="J98" i="3"/>
  <c r="V98" i="3"/>
  <c r="L101" i="2"/>
  <c r="I100" i="2"/>
  <c r="F100" i="2" s="1"/>
  <c r="K106" i="2"/>
  <c r="H105" i="2"/>
  <c r="G98" i="4"/>
  <c r="L98" i="4" s="1"/>
  <c r="I98" i="4"/>
  <c r="M98" i="4" s="1"/>
  <c r="K98" i="4"/>
  <c r="N98" i="4" s="1"/>
  <c r="F97" i="3"/>
  <c r="D98" i="3"/>
  <c r="T100" i="2"/>
  <c r="G100" i="2"/>
  <c r="D101" i="2"/>
  <c r="C98" i="4"/>
  <c r="AB97" i="3"/>
  <c r="E98" i="4" s="1"/>
  <c r="M104" i="2"/>
  <c r="J103" i="2"/>
  <c r="I96" i="3"/>
  <c r="F97" i="4" s="1"/>
  <c r="U96" i="3"/>
  <c r="J97" i="4" s="1"/>
  <c r="O96" i="3"/>
  <c r="H97" i="4" s="1"/>
  <c r="D99" i="4" l="1"/>
  <c r="D102" i="2"/>
  <c r="T101" i="2"/>
  <c r="G101" i="2"/>
  <c r="K107" i="2"/>
  <c r="H106" i="2"/>
  <c r="I101" i="2"/>
  <c r="F101" i="2" s="1"/>
  <c r="L102" i="2"/>
  <c r="C99" i="4"/>
  <c r="AB98" i="3"/>
  <c r="E99" i="4" s="1"/>
  <c r="A100" i="4"/>
  <c r="J99" i="3"/>
  <c r="V99" i="3"/>
  <c r="M99" i="3"/>
  <c r="N99" i="3"/>
  <c r="C99" i="3"/>
  <c r="P99" i="3"/>
  <c r="E99" i="3"/>
  <c r="G99" i="3"/>
  <c r="S99" i="3"/>
  <c r="Y99" i="3" s="1"/>
  <c r="Z99" i="3" s="1"/>
  <c r="AA99" i="3" s="1"/>
  <c r="H99" i="3"/>
  <c r="T99" i="3"/>
  <c r="F98" i="3"/>
  <c r="D99" i="3"/>
  <c r="G99" i="4"/>
  <c r="L99" i="4" s="1"/>
  <c r="I99" i="4"/>
  <c r="M99" i="4" s="1"/>
  <c r="K99" i="4"/>
  <c r="N99" i="4" s="1"/>
  <c r="I97" i="3"/>
  <c r="F98" i="4" s="1"/>
  <c r="U97" i="3"/>
  <c r="J98" i="4" s="1"/>
  <c r="O97" i="3"/>
  <c r="H98" i="4" s="1"/>
  <c r="C102" i="2"/>
  <c r="E101" i="2"/>
  <c r="M105" i="2"/>
  <c r="J104" i="2"/>
  <c r="D100" i="4" l="1"/>
  <c r="E102" i="2"/>
  <c r="F102" i="2"/>
  <c r="C103" i="2"/>
  <c r="G100" i="4"/>
  <c r="L100" i="4" s="1"/>
  <c r="I100" i="4"/>
  <c r="M100" i="4" s="1"/>
  <c r="K100" i="4"/>
  <c r="N100" i="4" s="1"/>
  <c r="L103" i="2"/>
  <c r="I102" i="2"/>
  <c r="A101" i="4"/>
  <c r="G100" i="3"/>
  <c r="S100" i="3"/>
  <c r="Y100" i="3" s="1"/>
  <c r="Z100" i="3" s="1"/>
  <c r="AA100" i="3" s="1"/>
  <c r="H100" i="3"/>
  <c r="T100" i="3"/>
  <c r="J100" i="3"/>
  <c r="V100" i="3"/>
  <c r="M100" i="3"/>
  <c r="N100" i="3"/>
  <c r="C100" i="3"/>
  <c r="P100" i="3"/>
  <c r="E100" i="3"/>
  <c r="K108" i="2"/>
  <c r="H107" i="2"/>
  <c r="C100" i="4"/>
  <c r="AB99" i="3"/>
  <c r="E100" i="4" s="1"/>
  <c r="T102" i="2"/>
  <c r="G102" i="2"/>
  <c r="D103" i="2"/>
  <c r="M106" i="2"/>
  <c r="J105" i="2"/>
  <c r="F99" i="3"/>
  <c r="D100" i="3"/>
  <c r="O98" i="3"/>
  <c r="H99" i="4" s="1"/>
  <c r="I98" i="3"/>
  <c r="F99" i="4" s="1"/>
  <c r="U98" i="3"/>
  <c r="J99" i="4" s="1"/>
  <c r="D101" i="4" l="1"/>
  <c r="C101" i="4"/>
  <c r="AB100" i="3"/>
  <c r="E101" i="4" s="1"/>
  <c r="O99" i="3"/>
  <c r="H100" i="4" s="1"/>
  <c r="I99" i="3"/>
  <c r="F100" i="4" s="1"/>
  <c r="U99" i="3"/>
  <c r="J100" i="4" s="1"/>
  <c r="J106" i="2"/>
  <c r="M107" i="2"/>
  <c r="F103" i="2"/>
  <c r="C104" i="2"/>
  <c r="E103" i="2"/>
  <c r="G103" i="2"/>
  <c r="D104" i="2"/>
  <c r="T103" i="2"/>
  <c r="L104" i="2"/>
  <c r="I103" i="2"/>
  <c r="G101" i="4"/>
  <c r="L101" i="4" s="1"/>
  <c r="I101" i="4"/>
  <c r="M101" i="4" s="1"/>
  <c r="K101" i="4"/>
  <c r="N101" i="4" s="1"/>
  <c r="H108" i="2"/>
  <c r="K109" i="2"/>
  <c r="D101" i="3"/>
  <c r="F100" i="3"/>
  <c r="A102" i="4"/>
  <c r="P101" i="3"/>
  <c r="E101" i="3"/>
  <c r="G101" i="3"/>
  <c r="S101" i="3"/>
  <c r="Y101" i="3" s="1"/>
  <c r="Z101" i="3" s="1"/>
  <c r="AA101" i="3" s="1"/>
  <c r="H101" i="3"/>
  <c r="T101" i="3"/>
  <c r="J101" i="3"/>
  <c r="V101" i="3"/>
  <c r="M101" i="3"/>
  <c r="C101" i="3"/>
  <c r="N101" i="3"/>
  <c r="D102" i="4" l="1"/>
  <c r="E104" i="2"/>
  <c r="F104" i="2"/>
  <c r="C105" i="2"/>
  <c r="M108" i="2"/>
  <c r="J107" i="2"/>
  <c r="G102" i="4"/>
  <c r="L102" i="4" s="1"/>
  <c r="I102" i="4"/>
  <c r="M102" i="4" s="1"/>
  <c r="K102" i="4"/>
  <c r="N102" i="4" s="1"/>
  <c r="L105" i="2"/>
  <c r="I104" i="2"/>
  <c r="A103" i="4"/>
  <c r="M102" i="3"/>
  <c r="N102" i="3"/>
  <c r="C102" i="3"/>
  <c r="P102" i="3"/>
  <c r="E102" i="3"/>
  <c r="G102" i="3"/>
  <c r="S102" i="3"/>
  <c r="Y102" i="3" s="1"/>
  <c r="Z102" i="3" s="1"/>
  <c r="AA102" i="3" s="1"/>
  <c r="H102" i="3"/>
  <c r="T102" i="3"/>
  <c r="J102" i="3"/>
  <c r="V102" i="3"/>
  <c r="I100" i="3"/>
  <c r="F101" i="4" s="1"/>
  <c r="U100" i="3"/>
  <c r="J101" i="4" s="1"/>
  <c r="O100" i="3"/>
  <c r="H101" i="4" s="1"/>
  <c r="C102" i="4"/>
  <c r="AB101" i="3"/>
  <c r="E102" i="4" s="1"/>
  <c r="F101" i="3"/>
  <c r="D102" i="3"/>
  <c r="D105" i="2"/>
  <c r="T104" i="2"/>
  <c r="G104" i="2"/>
  <c r="K110" i="2"/>
  <c r="H109" i="2"/>
  <c r="D103" i="4" l="1"/>
  <c r="I101" i="3"/>
  <c r="F102" i="4" s="1"/>
  <c r="U101" i="3"/>
  <c r="J102" i="4" s="1"/>
  <c r="O101" i="3"/>
  <c r="H102" i="4" s="1"/>
  <c r="A104" i="4"/>
  <c r="J103" i="3"/>
  <c r="V103" i="3"/>
  <c r="M103" i="3"/>
  <c r="N103" i="3"/>
  <c r="C103" i="3"/>
  <c r="P103" i="3"/>
  <c r="E103" i="3"/>
  <c r="G103" i="3"/>
  <c r="S103" i="3"/>
  <c r="Y103" i="3" s="1"/>
  <c r="Z103" i="3" s="1"/>
  <c r="AA103" i="3" s="1"/>
  <c r="H103" i="3"/>
  <c r="T103" i="3"/>
  <c r="M109" i="2"/>
  <c r="J108" i="2"/>
  <c r="C103" i="4"/>
  <c r="AB102" i="3"/>
  <c r="E103" i="4" s="1"/>
  <c r="E105" i="2"/>
  <c r="F105" i="2"/>
  <c r="C106" i="2"/>
  <c r="K103" i="4"/>
  <c r="N103" i="4" s="1"/>
  <c r="G103" i="4"/>
  <c r="L103" i="4" s="1"/>
  <c r="I103" i="4"/>
  <c r="M103" i="4" s="1"/>
  <c r="T105" i="2"/>
  <c r="G105" i="2"/>
  <c r="D106" i="2"/>
  <c r="K111" i="2"/>
  <c r="H110" i="2"/>
  <c r="F102" i="3"/>
  <c r="D103" i="3"/>
  <c r="L106" i="2"/>
  <c r="I105" i="2"/>
  <c r="D104" i="4" l="1"/>
  <c r="K112" i="2"/>
  <c r="H111" i="2"/>
  <c r="D107" i="2"/>
  <c r="T106" i="2"/>
  <c r="G106" i="2"/>
  <c r="C104" i="4"/>
  <c r="AB103" i="3"/>
  <c r="E104" i="4" s="1"/>
  <c r="M110" i="2"/>
  <c r="J109" i="2"/>
  <c r="K104" i="4"/>
  <c r="N104" i="4" s="1"/>
  <c r="G104" i="4"/>
  <c r="L104" i="4" s="1"/>
  <c r="I104" i="4"/>
  <c r="M104" i="4" s="1"/>
  <c r="I106" i="2"/>
  <c r="L107" i="2"/>
  <c r="F103" i="3"/>
  <c r="D104" i="3"/>
  <c r="A105" i="4"/>
  <c r="G104" i="3"/>
  <c r="S104" i="3"/>
  <c r="Y104" i="3" s="1"/>
  <c r="Z104" i="3" s="1"/>
  <c r="AA104" i="3" s="1"/>
  <c r="H104" i="3"/>
  <c r="T104" i="3"/>
  <c r="J104" i="3"/>
  <c r="V104" i="3"/>
  <c r="M104" i="3"/>
  <c r="N104" i="3"/>
  <c r="C104" i="3"/>
  <c r="P104" i="3"/>
  <c r="E104" i="3"/>
  <c r="O102" i="3"/>
  <c r="H103" i="4" s="1"/>
  <c r="I102" i="3"/>
  <c r="F103" i="4" s="1"/>
  <c r="U102" i="3"/>
  <c r="J103" i="4" s="1"/>
  <c r="C107" i="2"/>
  <c r="E106" i="2"/>
  <c r="F106" i="2"/>
  <c r="D105" i="4" l="1"/>
  <c r="I105" i="4"/>
  <c r="M105" i="4" s="1"/>
  <c r="K105" i="4"/>
  <c r="N105" i="4" s="1"/>
  <c r="G105" i="4"/>
  <c r="L105" i="4" s="1"/>
  <c r="M111" i="2"/>
  <c r="J110" i="2"/>
  <c r="A106" i="4"/>
  <c r="P105" i="3"/>
  <c r="E105" i="3"/>
  <c r="G105" i="3"/>
  <c r="S105" i="3"/>
  <c r="Y105" i="3" s="1"/>
  <c r="Z105" i="3" s="1"/>
  <c r="AA105" i="3" s="1"/>
  <c r="H105" i="3"/>
  <c r="T105" i="3"/>
  <c r="J105" i="3"/>
  <c r="V105" i="3"/>
  <c r="M105" i="3"/>
  <c r="C105" i="3"/>
  <c r="N105" i="3"/>
  <c r="D105" i="3"/>
  <c r="F104" i="3"/>
  <c r="O103" i="3"/>
  <c r="H104" i="4" s="1"/>
  <c r="I103" i="3"/>
  <c r="F104" i="4" s="1"/>
  <c r="U103" i="3"/>
  <c r="J104" i="4" s="1"/>
  <c r="L108" i="2"/>
  <c r="I107" i="2"/>
  <c r="F107" i="2" s="1"/>
  <c r="C105" i="4"/>
  <c r="AB104" i="3"/>
  <c r="E105" i="4" s="1"/>
  <c r="T107" i="2"/>
  <c r="G107" i="2"/>
  <c r="D108" i="2"/>
  <c r="K113" i="2"/>
  <c r="H112" i="2"/>
  <c r="E107" i="2"/>
  <c r="C108" i="2"/>
  <c r="D106" i="4" l="1"/>
  <c r="G108" i="2"/>
  <c r="D109" i="2"/>
  <c r="T108" i="2"/>
  <c r="I106" i="4"/>
  <c r="M106" i="4" s="1"/>
  <c r="K106" i="4"/>
  <c r="N106" i="4" s="1"/>
  <c r="G106" i="4"/>
  <c r="L106" i="4" s="1"/>
  <c r="C106" i="4"/>
  <c r="AB105" i="3"/>
  <c r="E106" i="4" s="1"/>
  <c r="J111" i="2"/>
  <c r="M112" i="2"/>
  <c r="F105" i="3"/>
  <c r="D106" i="3"/>
  <c r="L109" i="2"/>
  <c r="I108" i="2"/>
  <c r="C109" i="2"/>
  <c r="F108" i="2"/>
  <c r="E108" i="2"/>
  <c r="H113" i="2"/>
  <c r="K114" i="2"/>
  <c r="A107" i="4"/>
  <c r="M106" i="3"/>
  <c r="N106" i="3"/>
  <c r="C106" i="3"/>
  <c r="P106" i="3"/>
  <c r="E106" i="3"/>
  <c r="G106" i="3"/>
  <c r="S106" i="3"/>
  <c r="Y106" i="3" s="1"/>
  <c r="Z106" i="3" s="1"/>
  <c r="AA106" i="3" s="1"/>
  <c r="H106" i="3"/>
  <c r="T106" i="3"/>
  <c r="J106" i="3"/>
  <c r="V106" i="3"/>
  <c r="I104" i="3"/>
  <c r="F105" i="4" s="1"/>
  <c r="U104" i="3"/>
  <c r="J105" i="4" s="1"/>
  <c r="O104" i="3"/>
  <c r="H105" i="4" s="1"/>
  <c r="D107" i="4" l="1"/>
  <c r="K115" i="2"/>
  <c r="H114" i="2"/>
  <c r="A108" i="4"/>
  <c r="J107" i="3"/>
  <c r="V107" i="3"/>
  <c r="M107" i="3"/>
  <c r="N107" i="3"/>
  <c r="C107" i="3"/>
  <c r="P107" i="3"/>
  <c r="E107" i="3"/>
  <c r="G107" i="3"/>
  <c r="S107" i="3"/>
  <c r="Y107" i="3" s="1"/>
  <c r="Z107" i="3" s="1"/>
  <c r="AA107" i="3" s="1"/>
  <c r="H107" i="3"/>
  <c r="T107" i="3"/>
  <c r="L110" i="2"/>
  <c r="I109" i="2"/>
  <c r="F109" i="2" s="1"/>
  <c r="E109" i="2"/>
  <c r="C110" i="2"/>
  <c r="F106" i="3"/>
  <c r="D107" i="3"/>
  <c r="I105" i="3"/>
  <c r="F106" i="4" s="1"/>
  <c r="U105" i="3"/>
  <c r="J106" i="4" s="1"/>
  <c r="O105" i="3"/>
  <c r="H106" i="4" s="1"/>
  <c r="T109" i="2"/>
  <c r="G109" i="2"/>
  <c r="D110" i="2"/>
  <c r="M113" i="2"/>
  <c r="J112" i="2"/>
  <c r="C107" i="4"/>
  <c r="AB106" i="3"/>
  <c r="E107" i="4" s="1"/>
  <c r="G107" i="4"/>
  <c r="L107" i="4" s="1"/>
  <c r="I107" i="4"/>
  <c r="M107" i="4" s="1"/>
  <c r="K107" i="4"/>
  <c r="N107" i="4" s="1"/>
  <c r="D108" i="4" l="1"/>
  <c r="O106" i="3"/>
  <c r="H107" i="4" s="1"/>
  <c r="I106" i="3"/>
  <c r="F107" i="4" s="1"/>
  <c r="U106" i="3"/>
  <c r="J107" i="4" s="1"/>
  <c r="E110" i="2"/>
  <c r="C111" i="2"/>
  <c r="F107" i="3"/>
  <c r="D108" i="3"/>
  <c r="C108" i="4"/>
  <c r="AB107" i="3"/>
  <c r="E108" i="4" s="1"/>
  <c r="M114" i="2"/>
  <c r="J113" i="2"/>
  <c r="T110" i="2"/>
  <c r="G110" i="2"/>
  <c r="D111" i="2"/>
  <c r="L111" i="2"/>
  <c r="I110" i="2"/>
  <c r="F110" i="2" s="1"/>
  <c r="G108" i="4"/>
  <c r="L108" i="4" s="1"/>
  <c r="I108" i="4"/>
  <c r="M108" i="4" s="1"/>
  <c r="K108" i="4"/>
  <c r="N108" i="4" s="1"/>
  <c r="K116" i="2"/>
  <c r="H115" i="2"/>
  <c r="A109" i="4"/>
  <c r="G108" i="3"/>
  <c r="S108" i="3"/>
  <c r="Y108" i="3" s="1"/>
  <c r="Z108" i="3" s="1"/>
  <c r="AA108" i="3" s="1"/>
  <c r="H108" i="3"/>
  <c r="T108" i="3"/>
  <c r="J108" i="3"/>
  <c r="V108" i="3"/>
  <c r="M108" i="3"/>
  <c r="N108" i="3"/>
  <c r="C108" i="3"/>
  <c r="P108" i="3"/>
  <c r="E108" i="3"/>
  <c r="D109" i="4" l="1"/>
  <c r="C109" i="4"/>
  <c r="AB108" i="3"/>
  <c r="E109" i="4" s="1"/>
  <c r="D109" i="3"/>
  <c r="F108" i="3"/>
  <c r="O107" i="3"/>
  <c r="H108" i="4" s="1"/>
  <c r="I107" i="3"/>
  <c r="F108" i="4" s="1"/>
  <c r="U107" i="3"/>
  <c r="J108" i="4" s="1"/>
  <c r="C112" i="2"/>
  <c r="E111" i="2"/>
  <c r="F111" i="2"/>
  <c r="L112" i="2"/>
  <c r="I111" i="2"/>
  <c r="D112" i="2"/>
  <c r="T111" i="2"/>
  <c r="G111" i="2"/>
  <c r="G109" i="4"/>
  <c r="L109" i="4" s="1"/>
  <c r="I109" i="4"/>
  <c r="M109" i="4" s="1"/>
  <c r="K109" i="4"/>
  <c r="N109" i="4" s="1"/>
  <c r="A110" i="4"/>
  <c r="P109" i="3"/>
  <c r="E109" i="3"/>
  <c r="G109" i="3"/>
  <c r="S109" i="3"/>
  <c r="Y109" i="3" s="1"/>
  <c r="Z109" i="3" s="1"/>
  <c r="AA109" i="3" s="1"/>
  <c r="H109" i="3"/>
  <c r="T109" i="3"/>
  <c r="J109" i="3"/>
  <c r="V109" i="3"/>
  <c r="M109" i="3"/>
  <c r="C109" i="3"/>
  <c r="N109" i="3"/>
  <c r="K117" i="2"/>
  <c r="H116" i="2"/>
  <c r="M115" i="2"/>
  <c r="J114" i="2"/>
  <c r="D110" i="4" l="1"/>
  <c r="G110" i="4"/>
  <c r="L110" i="4" s="1"/>
  <c r="I110" i="4"/>
  <c r="M110" i="4" s="1"/>
  <c r="K110" i="4"/>
  <c r="N110" i="4" s="1"/>
  <c r="E112" i="2"/>
  <c r="C113" i="2"/>
  <c r="C110" i="4"/>
  <c r="AB109" i="3"/>
  <c r="E110" i="4" s="1"/>
  <c r="I108" i="3"/>
  <c r="F109" i="4" s="1"/>
  <c r="U108" i="3"/>
  <c r="J109" i="4" s="1"/>
  <c r="O108" i="3"/>
  <c r="H109" i="4" s="1"/>
  <c r="F109" i="3"/>
  <c r="D110" i="3"/>
  <c r="M116" i="2"/>
  <c r="J115" i="2"/>
  <c r="A111" i="4"/>
  <c r="M110" i="3"/>
  <c r="N110" i="3"/>
  <c r="C110" i="3"/>
  <c r="P110" i="3"/>
  <c r="E110" i="3"/>
  <c r="G110" i="3"/>
  <c r="S110" i="3"/>
  <c r="Y110" i="3" s="1"/>
  <c r="Z110" i="3" s="1"/>
  <c r="AA110" i="3" s="1"/>
  <c r="H110" i="3"/>
  <c r="T110" i="3"/>
  <c r="J110" i="3"/>
  <c r="V110" i="3"/>
  <c r="T112" i="2"/>
  <c r="G112" i="2"/>
  <c r="D113" i="2"/>
  <c r="K118" i="2"/>
  <c r="H117" i="2"/>
  <c r="L113" i="2"/>
  <c r="I112" i="2"/>
  <c r="F112" i="2" s="1"/>
  <c r="D111" i="4" l="1"/>
  <c r="C114" i="2"/>
  <c r="E113" i="2"/>
  <c r="D114" i="2"/>
  <c r="T113" i="2"/>
  <c r="G113" i="2"/>
  <c r="C111" i="4"/>
  <c r="AB110" i="3"/>
  <c r="E111" i="4" s="1"/>
  <c r="G111" i="4"/>
  <c r="L111" i="4" s="1"/>
  <c r="I111" i="4"/>
  <c r="M111" i="4" s="1"/>
  <c r="K111" i="4"/>
  <c r="N111" i="4" s="1"/>
  <c r="M117" i="2"/>
  <c r="J116" i="2"/>
  <c r="F110" i="3"/>
  <c r="D111" i="3"/>
  <c r="I109" i="3"/>
  <c r="F110" i="4" s="1"/>
  <c r="U109" i="3"/>
  <c r="J110" i="4" s="1"/>
  <c r="O109" i="3"/>
  <c r="H110" i="4" s="1"/>
  <c r="A112" i="4"/>
  <c r="J111" i="3"/>
  <c r="V111" i="3"/>
  <c r="M111" i="3"/>
  <c r="N111" i="3"/>
  <c r="C111" i="3"/>
  <c r="P111" i="3"/>
  <c r="E111" i="3"/>
  <c r="G111" i="3"/>
  <c r="S111" i="3"/>
  <c r="Y111" i="3" s="1"/>
  <c r="Z111" i="3" s="1"/>
  <c r="AA111" i="3" s="1"/>
  <c r="T111" i="3"/>
  <c r="H111" i="3"/>
  <c r="I113" i="2"/>
  <c r="F113" i="2" s="1"/>
  <c r="L114" i="2"/>
  <c r="K119" i="2"/>
  <c r="H118" i="2"/>
  <c r="D112" i="4" l="1"/>
  <c r="A113" i="4"/>
  <c r="G112" i="3"/>
  <c r="S112" i="3"/>
  <c r="Y112" i="3" s="1"/>
  <c r="Z112" i="3" s="1"/>
  <c r="AA112" i="3" s="1"/>
  <c r="H112" i="3"/>
  <c r="T112" i="3"/>
  <c r="J112" i="3"/>
  <c r="V112" i="3"/>
  <c r="M112" i="3"/>
  <c r="N112" i="3"/>
  <c r="C112" i="3"/>
  <c r="P112" i="3"/>
  <c r="E112" i="3"/>
  <c r="F111" i="3"/>
  <c r="D112" i="3"/>
  <c r="O110" i="3"/>
  <c r="H111" i="4" s="1"/>
  <c r="I110" i="3"/>
  <c r="F111" i="4" s="1"/>
  <c r="U110" i="3"/>
  <c r="J111" i="4" s="1"/>
  <c r="T114" i="2"/>
  <c r="G114" i="2"/>
  <c r="D115" i="2"/>
  <c r="M118" i="2"/>
  <c r="J117" i="2"/>
  <c r="K120" i="2"/>
  <c r="H119" i="2"/>
  <c r="C112" i="4"/>
  <c r="AB111" i="3"/>
  <c r="E112" i="4" s="1"/>
  <c r="E114" i="2"/>
  <c r="F114" i="2"/>
  <c r="C115" i="2"/>
  <c r="G112" i="4"/>
  <c r="L112" i="4" s="1"/>
  <c r="I112" i="4"/>
  <c r="M112" i="4" s="1"/>
  <c r="K112" i="4"/>
  <c r="N112" i="4" s="1"/>
  <c r="L115" i="2"/>
  <c r="I114" i="2"/>
  <c r="D113" i="4" l="1"/>
  <c r="G115" i="2"/>
  <c r="D116" i="2"/>
  <c r="T115" i="2"/>
  <c r="C113" i="4"/>
  <c r="AB112" i="3"/>
  <c r="E113" i="4" s="1"/>
  <c r="J118" i="2"/>
  <c r="M119" i="2"/>
  <c r="O111" i="3"/>
  <c r="H112" i="4" s="1"/>
  <c r="U111" i="3"/>
  <c r="J112" i="4" s="1"/>
  <c r="I111" i="3"/>
  <c r="F112" i="4" s="1"/>
  <c r="D113" i="3"/>
  <c r="F112" i="3"/>
  <c r="L116" i="2"/>
  <c r="I115" i="2"/>
  <c r="A114" i="4"/>
  <c r="P113" i="3"/>
  <c r="E113" i="3"/>
  <c r="G113" i="3"/>
  <c r="S113" i="3"/>
  <c r="Y113" i="3" s="1"/>
  <c r="Z113" i="3" s="1"/>
  <c r="AA113" i="3" s="1"/>
  <c r="H113" i="3"/>
  <c r="T113" i="3"/>
  <c r="J113" i="3"/>
  <c r="V113" i="3"/>
  <c r="M113" i="3"/>
  <c r="N113" i="3"/>
  <c r="C113" i="3"/>
  <c r="G113" i="4"/>
  <c r="L113" i="4" s="1"/>
  <c r="I113" i="4"/>
  <c r="M113" i="4" s="1"/>
  <c r="K113" i="4"/>
  <c r="N113" i="4" s="1"/>
  <c r="F115" i="2"/>
  <c r="C116" i="2"/>
  <c r="E115" i="2"/>
  <c r="H120" i="2"/>
  <c r="K121" i="2"/>
  <c r="D114" i="4" l="1"/>
  <c r="M120" i="2"/>
  <c r="J119" i="2"/>
  <c r="A115" i="4"/>
  <c r="M114" i="3"/>
  <c r="N114" i="3"/>
  <c r="C114" i="3"/>
  <c r="P114" i="3"/>
  <c r="E114" i="3"/>
  <c r="G114" i="3"/>
  <c r="S114" i="3"/>
  <c r="Y114" i="3" s="1"/>
  <c r="Z114" i="3" s="1"/>
  <c r="AA114" i="3" s="1"/>
  <c r="H114" i="3"/>
  <c r="T114" i="3"/>
  <c r="J114" i="3"/>
  <c r="V114" i="3"/>
  <c r="G114" i="4"/>
  <c r="L114" i="4" s="1"/>
  <c r="I114" i="4"/>
  <c r="M114" i="4" s="1"/>
  <c r="K114" i="4"/>
  <c r="N114" i="4" s="1"/>
  <c r="K122" i="2"/>
  <c r="H121" i="2"/>
  <c r="D117" i="2"/>
  <c r="T116" i="2"/>
  <c r="G116" i="2"/>
  <c r="C114" i="4"/>
  <c r="AB113" i="3"/>
  <c r="E114" i="4" s="1"/>
  <c r="L117" i="2"/>
  <c r="I116" i="2"/>
  <c r="F116" i="2" s="1"/>
  <c r="I112" i="3"/>
  <c r="F113" i="4" s="1"/>
  <c r="U112" i="3"/>
  <c r="J113" i="4" s="1"/>
  <c r="O112" i="3"/>
  <c r="H113" i="4" s="1"/>
  <c r="E116" i="2"/>
  <c r="C117" i="2"/>
  <c r="F113" i="3"/>
  <c r="D114" i="3"/>
  <c r="D115" i="4" l="1"/>
  <c r="A116" i="4"/>
  <c r="J115" i="3"/>
  <c r="V115" i="3"/>
  <c r="M115" i="3"/>
  <c r="N115" i="3"/>
  <c r="C115" i="3"/>
  <c r="P115" i="3"/>
  <c r="E115" i="3"/>
  <c r="G115" i="3"/>
  <c r="S115" i="3"/>
  <c r="Y115" i="3" s="1"/>
  <c r="Z115" i="3" s="1"/>
  <c r="AA115" i="3" s="1"/>
  <c r="H115" i="3"/>
  <c r="T115" i="3"/>
  <c r="K123" i="2"/>
  <c r="H122" i="2"/>
  <c r="C115" i="4"/>
  <c r="AB114" i="3"/>
  <c r="E115" i="4" s="1"/>
  <c r="K115" i="4"/>
  <c r="N115" i="4" s="1"/>
  <c r="G115" i="4"/>
  <c r="L115" i="4" s="1"/>
  <c r="I115" i="4"/>
  <c r="M115" i="4" s="1"/>
  <c r="F114" i="3"/>
  <c r="D115" i="3"/>
  <c r="I113" i="3"/>
  <c r="F114" i="4" s="1"/>
  <c r="U113" i="3"/>
  <c r="J114" i="4" s="1"/>
  <c r="O113" i="3"/>
  <c r="H114" i="4" s="1"/>
  <c r="M121" i="2"/>
  <c r="J120" i="2"/>
  <c r="L118" i="2"/>
  <c r="I117" i="2"/>
  <c r="E117" i="2"/>
  <c r="F117" i="2"/>
  <c r="C118" i="2"/>
  <c r="T117" i="2"/>
  <c r="G117" i="2"/>
  <c r="D118" i="2"/>
  <c r="D116" i="4" l="1"/>
  <c r="A117" i="4"/>
  <c r="G116" i="3"/>
  <c r="S116" i="3"/>
  <c r="Y116" i="3" s="1"/>
  <c r="Z116" i="3" s="1"/>
  <c r="AA116" i="3" s="1"/>
  <c r="H116" i="3"/>
  <c r="T116" i="3"/>
  <c r="J116" i="3"/>
  <c r="V116" i="3"/>
  <c r="M116" i="3"/>
  <c r="N116" i="3"/>
  <c r="C116" i="3"/>
  <c r="P116" i="3"/>
  <c r="E116" i="3"/>
  <c r="M122" i="2"/>
  <c r="J121" i="2"/>
  <c r="C116" i="4"/>
  <c r="AB115" i="3"/>
  <c r="E116" i="4" s="1"/>
  <c r="K124" i="2"/>
  <c r="H123" i="2"/>
  <c r="I118" i="2"/>
  <c r="F118" i="2" s="1"/>
  <c r="L119" i="2"/>
  <c r="D119" i="2"/>
  <c r="T118" i="2"/>
  <c r="G118" i="2"/>
  <c r="F115" i="3"/>
  <c r="D116" i="3"/>
  <c r="K116" i="4"/>
  <c r="N116" i="4" s="1"/>
  <c r="G116" i="4"/>
  <c r="L116" i="4" s="1"/>
  <c r="I116" i="4"/>
  <c r="M116" i="4" s="1"/>
  <c r="O114" i="3"/>
  <c r="H115" i="4" s="1"/>
  <c r="I114" i="3"/>
  <c r="F115" i="4" s="1"/>
  <c r="U114" i="3"/>
  <c r="J115" i="4" s="1"/>
  <c r="C119" i="2"/>
  <c r="E118" i="2"/>
  <c r="D117" i="4" l="1"/>
  <c r="L120" i="2"/>
  <c r="I119" i="2"/>
  <c r="C117" i="4"/>
  <c r="AB116" i="3"/>
  <c r="E117" i="4" s="1"/>
  <c r="T119" i="2"/>
  <c r="G119" i="2"/>
  <c r="D120" i="2"/>
  <c r="K125" i="2"/>
  <c r="H124" i="2"/>
  <c r="D117" i="3"/>
  <c r="F116" i="3"/>
  <c r="O115" i="3"/>
  <c r="H116" i="4" s="1"/>
  <c r="I115" i="3"/>
  <c r="F116" i="4" s="1"/>
  <c r="U115" i="3"/>
  <c r="J116" i="4" s="1"/>
  <c r="I117" i="4"/>
  <c r="M117" i="4" s="1"/>
  <c r="K117" i="4"/>
  <c r="N117" i="4" s="1"/>
  <c r="G117" i="4"/>
  <c r="L117" i="4" s="1"/>
  <c r="M123" i="2"/>
  <c r="J122" i="2"/>
  <c r="E119" i="2"/>
  <c r="F119" i="2"/>
  <c r="C120" i="2"/>
  <c r="A118" i="4"/>
  <c r="P117" i="3"/>
  <c r="E117" i="3"/>
  <c r="G117" i="3"/>
  <c r="S117" i="3"/>
  <c r="Y117" i="3" s="1"/>
  <c r="Z117" i="3" s="1"/>
  <c r="AA117" i="3" s="1"/>
  <c r="H117" i="3"/>
  <c r="T117" i="3"/>
  <c r="J117" i="3"/>
  <c r="V117" i="3"/>
  <c r="M117" i="3"/>
  <c r="C117" i="3"/>
  <c r="N117" i="3"/>
  <c r="D118" i="4" l="1"/>
  <c r="F117" i="3"/>
  <c r="D118" i="3"/>
  <c r="J123" i="2"/>
  <c r="M124" i="2"/>
  <c r="H125" i="2"/>
  <c r="K126" i="2"/>
  <c r="G120" i="2"/>
  <c r="D121" i="2"/>
  <c r="T120" i="2"/>
  <c r="A119" i="4"/>
  <c r="M118" i="3"/>
  <c r="N118" i="3"/>
  <c r="C118" i="3"/>
  <c r="P118" i="3"/>
  <c r="E118" i="3"/>
  <c r="G118" i="3"/>
  <c r="S118" i="3"/>
  <c r="Y118" i="3" s="1"/>
  <c r="Z118" i="3" s="1"/>
  <c r="AA118" i="3" s="1"/>
  <c r="H118" i="3"/>
  <c r="T118" i="3"/>
  <c r="J118" i="3"/>
  <c r="V118" i="3"/>
  <c r="I118" i="4"/>
  <c r="M118" i="4" s="1"/>
  <c r="K118" i="4"/>
  <c r="N118" i="4" s="1"/>
  <c r="G118" i="4"/>
  <c r="L118" i="4" s="1"/>
  <c r="C121" i="2"/>
  <c r="F120" i="2"/>
  <c r="E120" i="2"/>
  <c r="L121" i="2"/>
  <c r="I120" i="2"/>
  <c r="C118" i="4"/>
  <c r="AB117" i="3"/>
  <c r="E118" i="4" s="1"/>
  <c r="I116" i="3"/>
  <c r="F117" i="4" s="1"/>
  <c r="U116" i="3"/>
  <c r="J117" i="4" s="1"/>
  <c r="O116" i="3"/>
  <c r="H117" i="4" s="1"/>
  <c r="D119" i="4" l="1"/>
  <c r="G119" i="4"/>
  <c r="L119" i="4" s="1"/>
  <c r="I119" i="4"/>
  <c r="M119" i="4" s="1"/>
  <c r="K119" i="4"/>
  <c r="N119" i="4" s="1"/>
  <c r="T121" i="2"/>
  <c r="D122" i="2"/>
  <c r="G121" i="2"/>
  <c r="I121" i="2"/>
  <c r="L122" i="2"/>
  <c r="K127" i="2"/>
  <c r="H126" i="2"/>
  <c r="E121" i="2"/>
  <c r="F121" i="2"/>
  <c r="C122" i="2"/>
  <c r="A120" i="4"/>
  <c r="J119" i="3"/>
  <c r="V119" i="3"/>
  <c r="M119" i="3"/>
  <c r="N119" i="3"/>
  <c r="C119" i="3"/>
  <c r="P119" i="3"/>
  <c r="E119" i="3"/>
  <c r="G119" i="3"/>
  <c r="S119" i="3"/>
  <c r="Y119" i="3" s="1"/>
  <c r="Z119" i="3" s="1"/>
  <c r="AA119" i="3" s="1"/>
  <c r="T119" i="3"/>
  <c r="H119" i="3"/>
  <c r="M125" i="2"/>
  <c r="J124" i="2"/>
  <c r="F118" i="3"/>
  <c r="D119" i="3"/>
  <c r="I117" i="3"/>
  <c r="F118" i="4" s="1"/>
  <c r="U117" i="3"/>
  <c r="J118" i="4" s="1"/>
  <c r="O117" i="3"/>
  <c r="H118" i="4" s="1"/>
  <c r="C119" i="4"/>
  <c r="AB118" i="3"/>
  <c r="E119" i="4" s="1"/>
  <c r="D120" i="4" l="1"/>
  <c r="C120" i="4"/>
  <c r="AB119" i="3"/>
  <c r="E120" i="4" s="1"/>
  <c r="T122" i="2"/>
  <c r="G122" i="2"/>
  <c r="D123" i="2"/>
  <c r="O118" i="3"/>
  <c r="H119" i="4" s="1"/>
  <c r="U118" i="3"/>
  <c r="J119" i="4" s="1"/>
  <c r="I118" i="3"/>
  <c r="F119" i="4" s="1"/>
  <c r="M126" i="2"/>
  <c r="J125" i="2"/>
  <c r="G120" i="4"/>
  <c r="L120" i="4" s="1"/>
  <c r="I120" i="4"/>
  <c r="M120" i="4" s="1"/>
  <c r="K120" i="4"/>
  <c r="N120" i="4" s="1"/>
  <c r="D120" i="3"/>
  <c r="F119" i="3"/>
  <c r="E122" i="2"/>
  <c r="C123" i="2"/>
  <c r="A121" i="4"/>
  <c r="G120" i="3"/>
  <c r="S120" i="3"/>
  <c r="Y120" i="3" s="1"/>
  <c r="Z120" i="3" s="1"/>
  <c r="AA120" i="3" s="1"/>
  <c r="H120" i="3"/>
  <c r="T120" i="3"/>
  <c r="J120" i="3"/>
  <c r="V120" i="3"/>
  <c r="M120" i="3"/>
  <c r="N120" i="3"/>
  <c r="P120" i="3"/>
  <c r="C120" i="3"/>
  <c r="E120" i="3"/>
  <c r="K128" i="2"/>
  <c r="H127" i="2"/>
  <c r="L123" i="2"/>
  <c r="I122" i="2"/>
  <c r="F122" i="2" s="1"/>
  <c r="D121" i="4" l="1"/>
  <c r="G121" i="4"/>
  <c r="L121" i="4" s="1"/>
  <c r="I121" i="4"/>
  <c r="M121" i="4" s="1"/>
  <c r="K121" i="4"/>
  <c r="N121" i="4" s="1"/>
  <c r="C124" i="2"/>
  <c r="F123" i="2"/>
  <c r="E123" i="2"/>
  <c r="J126" i="2"/>
  <c r="M127" i="2"/>
  <c r="A122" i="4"/>
  <c r="P121" i="3"/>
  <c r="E121" i="3"/>
  <c r="G121" i="3"/>
  <c r="S121" i="3"/>
  <c r="Y121" i="3" s="1"/>
  <c r="Z121" i="3" s="1"/>
  <c r="AA121" i="3" s="1"/>
  <c r="H121" i="3"/>
  <c r="T121" i="3"/>
  <c r="J121" i="3"/>
  <c r="V121" i="3"/>
  <c r="M121" i="3"/>
  <c r="C121" i="3"/>
  <c r="N121" i="3"/>
  <c r="O119" i="3"/>
  <c r="H120" i="4" s="1"/>
  <c r="U119" i="3"/>
  <c r="J120" i="4" s="1"/>
  <c r="I119" i="3"/>
  <c r="F120" i="4" s="1"/>
  <c r="C121" i="4"/>
  <c r="AB120" i="3"/>
  <c r="E121" i="4" s="1"/>
  <c r="D121" i="3"/>
  <c r="F120" i="3"/>
  <c r="D124" i="2"/>
  <c r="G123" i="2"/>
  <c r="T123" i="2"/>
  <c r="L124" i="2"/>
  <c r="I123" i="2"/>
  <c r="H128" i="2"/>
  <c r="K129" i="2"/>
  <c r="D122" i="4" l="1"/>
  <c r="T124" i="2"/>
  <c r="G124" i="2"/>
  <c r="D125" i="2"/>
  <c r="I120" i="3"/>
  <c r="F121" i="4" s="1"/>
  <c r="U120" i="3"/>
  <c r="J121" i="4" s="1"/>
  <c r="O120" i="3"/>
  <c r="H121" i="4" s="1"/>
  <c r="E124" i="2"/>
  <c r="C125" i="2"/>
  <c r="C122" i="4"/>
  <c r="AB121" i="3"/>
  <c r="E122" i="4" s="1"/>
  <c r="A123" i="4"/>
  <c r="M122" i="3"/>
  <c r="N122" i="3"/>
  <c r="C122" i="3"/>
  <c r="P122" i="3"/>
  <c r="E122" i="3"/>
  <c r="G122" i="3"/>
  <c r="S122" i="3"/>
  <c r="Y122" i="3" s="1"/>
  <c r="Z122" i="3" s="1"/>
  <c r="AA122" i="3" s="1"/>
  <c r="H122" i="3"/>
  <c r="T122" i="3"/>
  <c r="J122" i="3"/>
  <c r="V122" i="3"/>
  <c r="K130" i="2"/>
  <c r="H129" i="2"/>
  <c r="F121" i="3"/>
  <c r="D122" i="3"/>
  <c r="G122" i="4"/>
  <c r="L122" i="4" s="1"/>
  <c r="I122" i="4"/>
  <c r="M122" i="4" s="1"/>
  <c r="K122" i="4"/>
  <c r="N122" i="4" s="1"/>
  <c r="L125" i="2"/>
  <c r="I124" i="2"/>
  <c r="F124" i="2" s="1"/>
  <c r="M128" i="2"/>
  <c r="J127" i="2"/>
  <c r="D123" i="4" l="1"/>
  <c r="C126" i="2"/>
  <c r="E125" i="2"/>
  <c r="A124" i="4"/>
  <c r="J123" i="3"/>
  <c r="V123" i="3"/>
  <c r="M123" i="3"/>
  <c r="N123" i="3"/>
  <c r="C123" i="3"/>
  <c r="P123" i="3"/>
  <c r="E123" i="3"/>
  <c r="G123" i="3"/>
  <c r="S123" i="3"/>
  <c r="Y123" i="3" s="1"/>
  <c r="Z123" i="3" s="1"/>
  <c r="AA123" i="3" s="1"/>
  <c r="T123" i="3"/>
  <c r="H123" i="3"/>
  <c r="F122" i="3"/>
  <c r="D123" i="3"/>
  <c r="I121" i="3"/>
  <c r="F122" i="4" s="1"/>
  <c r="U121" i="3"/>
  <c r="J122" i="4" s="1"/>
  <c r="O121" i="3"/>
  <c r="H122" i="4" s="1"/>
  <c r="D126" i="2"/>
  <c r="T125" i="2"/>
  <c r="G125" i="2"/>
  <c r="M129" i="2"/>
  <c r="J128" i="2"/>
  <c r="K131" i="2"/>
  <c r="H130" i="2"/>
  <c r="C123" i="4"/>
  <c r="AB122" i="3"/>
  <c r="E123" i="4" s="1"/>
  <c r="G123" i="4"/>
  <c r="L123" i="4" s="1"/>
  <c r="I123" i="4"/>
  <c r="M123" i="4" s="1"/>
  <c r="K123" i="4"/>
  <c r="N123" i="4" s="1"/>
  <c r="I125" i="2"/>
  <c r="F125" i="2" s="1"/>
  <c r="L126" i="2"/>
  <c r="D124" i="4" l="1"/>
  <c r="C124" i="4"/>
  <c r="AB123" i="3"/>
  <c r="E124" i="4" s="1"/>
  <c r="O122" i="3"/>
  <c r="H123" i="4" s="1"/>
  <c r="U122" i="3"/>
  <c r="J123" i="4" s="1"/>
  <c r="I122" i="3"/>
  <c r="F123" i="4" s="1"/>
  <c r="D124" i="3"/>
  <c r="F123" i="3"/>
  <c r="G124" i="4"/>
  <c r="L124" i="4" s="1"/>
  <c r="I124" i="4"/>
  <c r="M124" i="4" s="1"/>
  <c r="K124" i="4"/>
  <c r="N124" i="4" s="1"/>
  <c r="T126" i="2"/>
  <c r="G126" i="2"/>
  <c r="D127" i="2"/>
  <c r="K132" i="2"/>
  <c r="H131" i="2"/>
  <c r="M130" i="2"/>
  <c r="J129" i="2"/>
  <c r="E126" i="2"/>
  <c r="F126" i="2"/>
  <c r="C127" i="2"/>
  <c r="A125" i="4"/>
  <c r="G124" i="3"/>
  <c r="S124" i="3"/>
  <c r="Y124" i="3" s="1"/>
  <c r="Z124" i="3" s="1"/>
  <c r="AA124" i="3" s="1"/>
  <c r="H124" i="3"/>
  <c r="T124" i="3"/>
  <c r="J124" i="3"/>
  <c r="V124" i="3"/>
  <c r="M124" i="3"/>
  <c r="N124" i="3"/>
  <c r="P124" i="3"/>
  <c r="C124" i="3"/>
  <c r="E124" i="3"/>
  <c r="L127" i="2"/>
  <c r="I126" i="2"/>
  <c r="D125" i="4" l="1"/>
  <c r="C125" i="4"/>
  <c r="AB124" i="3"/>
  <c r="E125" i="4" s="1"/>
  <c r="J130" i="2"/>
  <c r="M131" i="2"/>
  <c r="O123" i="3"/>
  <c r="H124" i="4" s="1"/>
  <c r="U123" i="3"/>
  <c r="J124" i="4" s="1"/>
  <c r="I123" i="3"/>
  <c r="F124" i="4" s="1"/>
  <c r="D125" i="3"/>
  <c r="F124" i="3"/>
  <c r="H132" i="2"/>
  <c r="K133" i="2"/>
  <c r="G127" i="2"/>
  <c r="D128" i="2"/>
  <c r="T127" i="2"/>
  <c r="A126" i="4"/>
  <c r="P125" i="3"/>
  <c r="E125" i="3"/>
  <c r="G125" i="3"/>
  <c r="S125" i="3"/>
  <c r="Y125" i="3" s="1"/>
  <c r="Z125" i="3" s="1"/>
  <c r="AA125" i="3" s="1"/>
  <c r="H125" i="3"/>
  <c r="T125" i="3"/>
  <c r="J125" i="3"/>
  <c r="V125" i="3"/>
  <c r="M125" i="3"/>
  <c r="C125" i="3"/>
  <c r="N125" i="3"/>
  <c r="L128" i="2"/>
  <c r="I127" i="2"/>
  <c r="F127" i="2" s="1"/>
  <c r="G125" i="4"/>
  <c r="L125" i="4" s="1"/>
  <c r="I125" i="4"/>
  <c r="M125" i="4" s="1"/>
  <c r="K125" i="4"/>
  <c r="N125" i="4" s="1"/>
  <c r="C128" i="2"/>
  <c r="E127" i="2"/>
  <c r="D126" i="4" l="1"/>
  <c r="I124" i="3"/>
  <c r="F125" i="4" s="1"/>
  <c r="U124" i="3"/>
  <c r="J125" i="4" s="1"/>
  <c r="O124" i="3"/>
  <c r="H125" i="4" s="1"/>
  <c r="F125" i="3"/>
  <c r="D126" i="3"/>
  <c r="L129" i="2"/>
  <c r="I128" i="2"/>
  <c r="F128" i="2" s="1"/>
  <c r="M132" i="2"/>
  <c r="J131" i="2"/>
  <c r="I126" i="4"/>
  <c r="M126" i="4" s="1"/>
  <c r="K126" i="4"/>
  <c r="N126" i="4" s="1"/>
  <c r="G126" i="4"/>
  <c r="L126" i="4" s="1"/>
  <c r="E128" i="2"/>
  <c r="C129" i="2"/>
  <c r="C126" i="4"/>
  <c r="AB125" i="3"/>
  <c r="E126" i="4" s="1"/>
  <c r="D129" i="2"/>
  <c r="T128" i="2"/>
  <c r="G128" i="2"/>
  <c r="A127" i="4"/>
  <c r="M126" i="3"/>
  <c r="N126" i="3"/>
  <c r="C126" i="3"/>
  <c r="P126" i="3"/>
  <c r="E126" i="3"/>
  <c r="G126" i="3"/>
  <c r="S126" i="3"/>
  <c r="Y126" i="3" s="1"/>
  <c r="Z126" i="3" s="1"/>
  <c r="AA126" i="3" s="1"/>
  <c r="H126" i="3"/>
  <c r="T126" i="3"/>
  <c r="J126" i="3"/>
  <c r="V126" i="3"/>
  <c r="K134" i="2"/>
  <c r="H133" i="2"/>
  <c r="D127" i="4" l="1"/>
  <c r="M133" i="2"/>
  <c r="J132" i="2"/>
  <c r="A128" i="4"/>
  <c r="J127" i="3"/>
  <c r="V127" i="3"/>
  <c r="M127" i="3"/>
  <c r="N127" i="3"/>
  <c r="C127" i="3"/>
  <c r="P127" i="3"/>
  <c r="E127" i="3"/>
  <c r="G127" i="3"/>
  <c r="S127" i="3"/>
  <c r="Y127" i="3" s="1"/>
  <c r="Z127" i="3" s="1"/>
  <c r="AA127" i="3" s="1"/>
  <c r="T127" i="3"/>
  <c r="H127" i="3"/>
  <c r="I129" i="2"/>
  <c r="L130" i="2"/>
  <c r="T129" i="2"/>
  <c r="G129" i="2"/>
  <c r="D130" i="2"/>
  <c r="E129" i="2"/>
  <c r="F129" i="2"/>
  <c r="C130" i="2"/>
  <c r="F126" i="3"/>
  <c r="D127" i="3"/>
  <c r="I125" i="3"/>
  <c r="F126" i="4" s="1"/>
  <c r="U125" i="3"/>
  <c r="J126" i="4" s="1"/>
  <c r="O125" i="3"/>
  <c r="H126" i="4" s="1"/>
  <c r="C127" i="4"/>
  <c r="AB126" i="3"/>
  <c r="E127" i="4" s="1"/>
  <c r="K135" i="2"/>
  <c r="H134" i="2"/>
  <c r="K127" i="4"/>
  <c r="N127" i="4" s="1"/>
  <c r="G127" i="4"/>
  <c r="L127" i="4" s="1"/>
  <c r="I127" i="4"/>
  <c r="M127" i="4" s="1"/>
  <c r="D128" i="4" l="1"/>
  <c r="D131" i="2"/>
  <c r="T130" i="2"/>
  <c r="G130" i="2"/>
  <c r="K136" i="2"/>
  <c r="H135" i="2"/>
  <c r="C128" i="4"/>
  <c r="AB127" i="3"/>
  <c r="E128" i="4" s="1"/>
  <c r="I130" i="2"/>
  <c r="F130" i="2" s="1"/>
  <c r="L131" i="2"/>
  <c r="K128" i="4"/>
  <c r="N128" i="4" s="1"/>
  <c r="G128" i="4"/>
  <c r="L128" i="4" s="1"/>
  <c r="I128" i="4"/>
  <c r="M128" i="4" s="1"/>
  <c r="D128" i="3"/>
  <c r="F127" i="3"/>
  <c r="M134" i="2"/>
  <c r="J133" i="2"/>
  <c r="O126" i="3"/>
  <c r="H127" i="4" s="1"/>
  <c r="U126" i="3"/>
  <c r="J127" i="4" s="1"/>
  <c r="I126" i="3"/>
  <c r="F127" i="4" s="1"/>
  <c r="C131" i="2"/>
  <c r="E130" i="2"/>
  <c r="A129" i="4"/>
  <c r="G128" i="3"/>
  <c r="S128" i="3"/>
  <c r="Y128" i="3" s="1"/>
  <c r="Z128" i="3" s="1"/>
  <c r="AA128" i="3" s="1"/>
  <c r="H128" i="3"/>
  <c r="T128" i="3"/>
  <c r="J128" i="3"/>
  <c r="V128" i="3"/>
  <c r="M128" i="3"/>
  <c r="N128" i="3"/>
  <c r="P128" i="3"/>
  <c r="C128" i="3"/>
  <c r="E128" i="3"/>
  <c r="D129" i="4" l="1"/>
  <c r="J134" i="2"/>
  <c r="M135" i="2"/>
  <c r="O127" i="3"/>
  <c r="H128" i="4" s="1"/>
  <c r="U127" i="3"/>
  <c r="J128" i="4" s="1"/>
  <c r="I127" i="3"/>
  <c r="F128" i="4" s="1"/>
  <c r="C129" i="4"/>
  <c r="AB128" i="3"/>
  <c r="E129" i="4" s="1"/>
  <c r="D129" i="3"/>
  <c r="F128" i="3"/>
  <c r="H136" i="2"/>
  <c r="K137" i="2"/>
  <c r="I129" i="4"/>
  <c r="M129" i="4" s="1"/>
  <c r="K129" i="4"/>
  <c r="N129" i="4" s="1"/>
  <c r="G129" i="4"/>
  <c r="L129" i="4" s="1"/>
  <c r="G131" i="2"/>
  <c r="D132" i="2"/>
  <c r="T131" i="2"/>
  <c r="A130" i="4"/>
  <c r="P129" i="3"/>
  <c r="E129" i="3"/>
  <c r="G129" i="3"/>
  <c r="S129" i="3"/>
  <c r="Y129" i="3" s="1"/>
  <c r="Z129" i="3" s="1"/>
  <c r="AA129" i="3" s="1"/>
  <c r="H129" i="3"/>
  <c r="T129" i="3"/>
  <c r="J129" i="3"/>
  <c r="V129" i="3"/>
  <c r="M129" i="3"/>
  <c r="C129" i="3"/>
  <c r="N129" i="3"/>
  <c r="L132" i="2"/>
  <c r="I131" i="2"/>
  <c r="F131" i="2"/>
  <c r="C132" i="2"/>
  <c r="E131" i="2"/>
  <c r="D130" i="4" l="1"/>
  <c r="I130" i="4"/>
  <c r="M130" i="4" s="1"/>
  <c r="K130" i="4"/>
  <c r="N130" i="4" s="1"/>
  <c r="G130" i="4"/>
  <c r="L130" i="4" s="1"/>
  <c r="I128" i="3"/>
  <c r="F129" i="4" s="1"/>
  <c r="U128" i="3"/>
  <c r="J129" i="4" s="1"/>
  <c r="O128" i="3"/>
  <c r="H129" i="4" s="1"/>
  <c r="F129" i="3"/>
  <c r="D130" i="3"/>
  <c r="C130" i="4"/>
  <c r="AB129" i="3"/>
  <c r="E130" i="4" s="1"/>
  <c r="G132" i="2"/>
  <c r="D133" i="2"/>
  <c r="T132" i="2"/>
  <c r="L133" i="2"/>
  <c r="I132" i="2"/>
  <c r="J135" i="2"/>
  <c r="M136" i="2"/>
  <c r="F132" i="2"/>
  <c r="E132" i="2"/>
  <c r="C133" i="2"/>
  <c r="A131" i="4"/>
  <c r="M130" i="3"/>
  <c r="N130" i="3"/>
  <c r="C130" i="3"/>
  <c r="E130" i="3"/>
  <c r="G130" i="3"/>
  <c r="S130" i="3"/>
  <c r="Y130" i="3" s="1"/>
  <c r="Z130" i="3" s="1"/>
  <c r="AA130" i="3" s="1"/>
  <c r="H130" i="3"/>
  <c r="J130" i="3"/>
  <c r="V130" i="3"/>
  <c r="P130" i="3"/>
  <c r="T130" i="3"/>
  <c r="H137" i="2"/>
  <c r="K138" i="2"/>
  <c r="D131" i="4" l="1"/>
  <c r="I129" i="3"/>
  <c r="F130" i="4" s="1"/>
  <c r="U129" i="3"/>
  <c r="J130" i="4" s="1"/>
  <c r="O129" i="3"/>
  <c r="H130" i="4" s="1"/>
  <c r="M137" i="2"/>
  <c r="J136" i="2"/>
  <c r="A132" i="4"/>
  <c r="J131" i="3"/>
  <c r="V131" i="3"/>
  <c r="N131" i="3"/>
  <c r="C131" i="3"/>
  <c r="P131" i="3"/>
  <c r="G131" i="3"/>
  <c r="S131" i="3"/>
  <c r="Y131" i="3" s="1"/>
  <c r="Z131" i="3" s="1"/>
  <c r="AA131" i="3" s="1"/>
  <c r="H131" i="3"/>
  <c r="M131" i="3"/>
  <c r="T131" i="3"/>
  <c r="E131" i="3"/>
  <c r="I133" i="2"/>
  <c r="F133" i="2" s="1"/>
  <c r="L134" i="2"/>
  <c r="T133" i="2"/>
  <c r="D134" i="2"/>
  <c r="G133" i="2"/>
  <c r="K139" i="2"/>
  <c r="H138" i="2"/>
  <c r="G131" i="4"/>
  <c r="L131" i="4" s="1"/>
  <c r="I131" i="4"/>
  <c r="M131" i="4" s="1"/>
  <c r="K131" i="4"/>
  <c r="N131" i="4" s="1"/>
  <c r="C131" i="4"/>
  <c r="AB130" i="3"/>
  <c r="E131" i="4" s="1"/>
  <c r="E133" i="2"/>
  <c r="C134" i="2"/>
  <c r="F130" i="3"/>
  <c r="D131" i="3"/>
  <c r="D132" i="4" l="1"/>
  <c r="T134" i="2"/>
  <c r="G134" i="2"/>
  <c r="D135" i="2"/>
  <c r="A133" i="4"/>
  <c r="G132" i="3"/>
  <c r="S132" i="3"/>
  <c r="Y132" i="3" s="1"/>
  <c r="Z132" i="3" s="1"/>
  <c r="AA132" i="3" s="1"/>
  <c r="H132" i="3"/>
  <c r="T132" i="3"/>
  <c r="M132" i="3"/>
  <c r="E132" i="3"/>
  <c r="J132" i="3"/>
  <c r="N132" i="3"/>
  <c r="P132" i="3"/>
  <c r="C132" i="3"/>
  <c r="V132" i="3"/>
  <c r="G132" i="4"/>
  <c r="L132" i="4" s="1"/>
  <c r="I132" i="4"/>
  <c r="M132" i="4" s="1"/>
  <c r="K132" i="4"/>
  <c r="N132" i="4" s="1"/>
  <c r="M138" i="2"/>
  <c r="J137" i="2"/>
  <c r="C132" i="4"/>
  <c r="AB131" i="3"/>
  <c r="E132" i="4" s="1"/>
  <c r="E134" i="2"/>
  <c r="C135" i="2"/>
  <c r="K140" i="2"/>
  <c r="H139" i="2"/>
  <c r="L135" i="2"/>
  <c r="I134" i="2"/>
  <c r="F134" i="2" s="1"/>
  <c r="D132" i="3"/>
  <c r="F131" i="3"/>
  <c r="O130" i="3"/>
  <c r="H131" i="4" s="1"/>
  <c r="I130" i="3"/>
  <c r="F131" i="4" s="1"/>
  <c r="U130" i="3"/>
  <c r="J131" i="4" s="1"/>
  <c r="D133" i="4" l="1"/>
  <c r="D133" i="3"/>
  <c r="F132" i="3"/>
  <c r="G133" i="4"/>
  <c r="L133" i="4" s="1"/>
  <c r="I133" i="4"/>
  <c r="M133" i="4" s="1"/>
  <c r="K133" i="4"/>
  <c r="N133" i="4" s="1"/>
  <c r="C136" i="2"/>
  <c r="F135" i="2"/>
  <c r="E135" i="2"/>
  <c r="D136" i="2"/>
  <c r="G135" i="2"/>
  <c r="T135" i="2"/>
  <c r="L136" i="2"/>
  <c r="I135" i="2"/>
  <c r="C133" i="4"/>
  <c r="AB132" i="3"/>
  <c r="E133" i="4" s="1"/>
  <c r="A134" i="4"/>
  <c r="P133" i="3"/>
  <c r="E133" i="3"/>
  <c r="H133" i="3"/>
  <c r="J133" i="3"/>
  <c r="V133" i="3"/>
  <c r="S133" i="3"/>
  <c r="Y133" i="3" s="1"/>
  <c r="Z133" i="3" s="1"/>
  <c r="AA133" i="3" s="1"/>
  <c r="T133" i="3"/>
  <c r="C133" i="3"/>
  <c r="G133" i="3"/>
  <c r="M133" i="3"/>
  <c r="N133" i="3"/>
  <c r="H140" i="2"/>
  <c r="K141" i="2"/>
  <c r="O131" i="3"/>
  <c r="H132" i="4" s="1"/>
  <c r="I131" i="3"/>
  <c r="F132" i="4" s="1"/>
  <c r="U131" i="3"/>
  <c r="J132" i="4" s="1"/>
  <c r="J138" i="2"/>
  <c r="M139" i="2"/>
  <c r="D134" i="4" l="1"/>
  <c r="A135" i="4"/>
  <c r="M134" i="3"/>
  <c r="N134" i="3"/>
  <c r="C134" i="3"/>
  <c r="G134" i="3"/>
  <c r="S134" i="3"/>
  <c r="Y134" i="3" s="1"/>
  <c r="Z134" i="3" s="1"/>
  <c r="AA134" i="3" s="1"/>
  <c r="P134" i="3"/>
  <c r="T134" i="3"/>
  <c r="V134" i="3"/>
  <c r="E134" i="3"/>
  <c r="H134" i="3"/>
  <c r="J134" i="3"/>
  <c r="G134" i="4"/>
  <c r="L134" i="4" s="1"/>
  <c r="I134" i="4"/>
  <c r="M134" i="4" s="1"/>
  <c r="K134" i="4"/>
  <c r="N134" i="4" s="1"/>
  <c r="C134" i="4"/>
  <c r="AB133" i="3"/>
  <c r="E134" i="4" s="1"/>
  <c r="L137" i="2"/>
  <c r="I136" i="2"/>
  <c r="M140" i="2"/>
  <c r="J139" i="2"/>
  <c r="I132" i="3"/>
  <c r="F133" i="4" s="1"/>
  <c r="U132" i="3"/>
  <c r="J133" i="4" s="1"/>
  <c r="O132" i="3"/>
  <c r="H133" i="4" s="1"/>
  <c r="K142" i="2"/>
  <c r="H141" i="2"/>
  <c r="F133" i="3"/>
  <c r="D134" i="3"/>
  <c r="T136" i="2"/>
  <c r="G136" i="2"/>
  <c r="D137" i="2"/>
  <c r="E136" i="2"/>
  <c r="C137" i="2"/>
  <c r="F136" i="2"/>
  <c r="D135" i="4" l="1"/>
  <c r="F134" i="3"/>
  <c r="D135" i="3"/>
  <c r="I137" i="2"/>
  <c r="L138" i="2"/>
  <c r="C135" i="4"/>
  <c r="AB134" i="3"/>
  <c r="E135" i="4" s="1"/>
  <c r="G135" i="4"/>
  <c r="L135" i="4" s="1"/>
  <c r="I135" i="4"/>
  <c r="M135" i="4" s="1"/>
  <c r="K135" i="4"/>
  <c r="N135" i="4" s="1"/>
  <c r="C138" i="2"/>
  <c r="E137" i="2"/>
  <c r="F137" i="2"/>
  <c r="M141" i="2"/>
  <c r="J140" i="2"/>
  <c r="A136" i="4"/>
  <c r="J135" i="3"/>
  <c r="V135" i="3"/>
  <c r="C135" i="3"/>
  <c r="P135" i="3"/>
  <c r="G135" i="3"/>
  <c r="H135" i="3"/>
  <c r="M135" i="3"/>
  <c r="N135" i="3"/>
  <c r="S135" i="3"/>
  <c r="Y135" i="3" s="1"/>
  <c r="Z135" i="3" s="1"/>
  <c r="AA135" i="3" s="1"/>
  <c r="E135" i="3"/>
  <c r="T135" i="3"/>
  <c r="I133" i="3"/>
  <c r="F134" i="4" s="1"/>
  <c r="U133" i="3"/>
  <c r="J134" i="4" s="1"/>
  <c r="O133" i="3"/>
  <c r="H134" i="4" s="1"/>
  <c r="K143" i="2"/>
  <c r="H142" i="2"/>
  <c r="T137" i="2"/>
  <c r="G137" i="2"/>
  <c r="D138" i="2"/>
  <c r="D136" i="4" l="1"/>
  <c r="K136" i="4"/>
  <c r="N136" i="4" s="1"/>
  <c r="G136" i="4"/>
  <c r="L136" i="4" s="1"/>
  <c r="I136" i="4"/>
  <c r="M136" i="4" s="1"/>
  <c r="J141" i="2"/>
  <c r="M142" i="2"/>
  <c r="L139" i="2"/>
  <c r="I138" i="2"/>
  <c r="F138" i="2" s="1"/>
  <c r="T138" i="2"/>
  <c r="G138" i="2"/>
  <c r="D139" i="2"/>
  <c r="C136" i="4"/>
  <c r="AB135" i="3"/>
  <c r="E136" i="4" s="1"/>
  <c r="F135" i="3"/>
  <c r="D136" i="3"/>
  <c r="A137" i="4"/>
  <c r="G136" i="3"/>
  <c r="S136" i="3"/>
  <c r="Y136" i="3" s="1"/>
  <c r="Z136" i="3" s="1"/>
  <c r="AA136" i="3" s="1"/>
  <c r="H136" i="3"/>
  <c r="T136" i="3"/>
  <c r="M136" i="3"/>
  <c r="P136" i="3"/>
  <c r="V136" i="3"/>
  <c r="C136" i="3"/>
  <c r="E136" i="3"/>
  <c r="J136" i="3"/>
  <c r="N136" i="3"/>
  <c r="E138" i="2"/>
  <c r="C139" i="2"/>
  <c r="O134" i="3"/>
  <c r="H135" i="4" s="1"/>
  <c r="U134" i="3"/>
  <c r="J135" i="4" s="1"/>
  <c r="I134" i="3"/>
  <c r="F135" i="4" s="1"/>
  <c r="H143" i="2"/>
  <c r="K144" i="2"/>
  <c r="D137" i="4" l="1"/>
  <c r="L140" i="2"/>
  <c r="I139" i="2"/>
  <c r="F139" i="2" s="1"/>
  <c r="J142" i="2"/>
  <c r="M143" i="2"/>
  <c r="G137" i="4"/>
  <c r="L137" i="4" s="1"/>
  <c r="I137" i="4"/>
  <c r="M137" i="4" s="1"/>
  <c r="K137" i="4"/>
  <c r="N137" i="4" s="1"/>
  <c r="C140" i="2"/>
  <c r="E139" i="2"/>
  <c r="A138" i="4"/>
  <c r="P137" i="3"/>
  <c r="E137" i="3"/>
  <c r="J137" i="3"/>
  <c r="V137" i="3"/>
  <c r="M137" i="3"/>
  <c r="N137" i="3"/>
  <c r="S137" i="3"/>
  <c r="Y137" i="3" s="1"/>
  <c r="Z137" i="3" s="1"/>
  <c r="AA137" i="3" s="1"/>
  <c r="T137" i="3"/>
  <c r="C137" i="3"/>
  <c r="G137" i="3"/>
  <c r="H137" i="3"/>
  <c r="D137" i="3"/>
  <c r="F136" i="3"/>
  <c r="O135" i="3"/>
  <c r="H136" i="4" s="1"/>
  <c r="I135" i="3"/>
  <c r="F136" i="4" s="1"/>
  <c r="U135" i="3"/>
  <c r="J136" i="4" s="1"/>
  <c r="H144" i="2"/>
  <c r="K145" i="2"/>
  <c r="G139" i="2"/>
  <c r="T139" i="2"/>
  <c r="D140" i="2"/>
  <c r="C137" i="4"/>
  <c r="AB136" i="3"/>
  <c r="E137" i="4" s="1"/>
  <c r="D138" i="4" l="1"/>
  <c r="C138" i="4"/>
  <c r="AB137" i="3"/>
  <c r="E138" i="4" s="1"/>
  <c r="K146" i="2"/>
  <c r="H145" i="2"/>
  <c r="A139" i="4"/>
  <c r="M138" i="3"/>
  <c r="N138" i="3"/>
  <c r="C138" i="3"/>
  <c r="G138" i="3"/>
  <c r="S138" i="3"/>
  <c r="Y138" i="3" s="1"/>
  <c r="Z138" i="3" s="1"/>
  <c r="AA138" i="3" s="1"/>
  <c r="V138" i="3"/>
  <c r="E138" i="3"/>
  <c r="H138" i="3"/>
  <c r="J138" i="3"/>
  <c r="P138" i="3"/>
  <c r="T138" i="3"/>
  <c r="I136" i="3"/>
  <c r="F137" i="4" s="1"/>
  <c r="U136" i="3"/>
  <c r="J137" i="4" s="1"/>
  <c r="O136" i="3"/>
  <c r="H137" i="4" s="1"/>
  <c r="M144" i="2"/>
  <c r="J143" i="2"/>
  <c r="F137" i="3"/>
  <c r="D138" i="3"/>
  <c r="G138" i="4"/>
  <c r="L138" i="4" s="1"/>
  <c r="I138" i="4"/>
  <c r="M138" i="4" s="1"/>
  <c r="K138" i="4"/>
  <c r="N138" i="4" s="1"/>
  <c r="L141" i="2"/>
  <c r="I140" i="2"/>
  <c r="F140" i="2" s="1"/>
  <c r="D141" i="2"/>
  <c r="T140" i="2"/>
  <c r="G140" i="2"/>
  <c r="E140" i="2"/>
  <c r="C141" i="2"/>
  <c r="D139" i="4" l="1"/>
  <c r="T141" i="2"/>
  <c r="G141" i="2"/>
  <c r="D142" i="2"/>
  <c r="M145" i="2"/>
  <c r="J144" i="2"/>
  <c r="C139" i="4"/>
  <c r="AB138" i="3"/>
  <c r="E139" i="4" s="1"/>
  <c r="K139" i="4"/>
  <c r="N139" i="4" s="1"/>
  <c r="G139" i="4"/>
  <c r="L139" i="4" s="1"/>
  <c r="I139" i="4"/>
  <c r="M139" i="4" s="1"/>
  <c r="K147" i="2"/>
  <c r="H146" i="2"/>
  <c r="L142" i="2"/>
  <c r="I141" i="2"/>
  <c r="A140" i="4"/>
  <c r="J139" i="3"/>
  <c r="V139" i="3"/>
  <c r="C139" i="3"/>
  <c r="P139" i="3"/>
  <c r="N139" i="3"/>
  <c r="S139" i="3"/>
  <c r="Y139" i="3" s="1"/>
  <c r="Z139" i="3" s="1"/>
  <c r="AA139" i="3" s="1"/>
  <c r="T139" i="3"/>
  <c r="E139" i="3"/>
  <c r="G139" i="3"/>
  <c r="H139" i="3"/>
  <c r="M139" i="3"/>
  <c r="E141" i="2"/>
  <c r="F141" i="2"/>
  <c r="C142" i="2"/>
  <c r="F138" i="3"/>
  <c r="D139" i="3"/>
  <c r="I137" i="3"/>
  <c r="F138" i="4" s="1"/>
  <c r="U137" i="3"/>
  <c r="J138" i="4" s="1"/>
  <c r="O137" i="3"/>
  <c r="H138" i="4" s="1"/>
  <c r="D140" i="4" l="1"/>
  <c r="C140" i="4"/>
  <c r="AB139" i="3"/>
  <c r="E140" i="4" s="1"/>
  <c r="K140" i="4"/>
  <c r="N140" i="4" s="1"/>
  <c r="G140" i="4"/>
  <c r="L140" i="4" s="1"/>
  <c r="I140" i="4"/>
  <c r="M140" i="4" s="1"/>
  <c r="O138" i="3"/>
  <c r="H139" i="4" s="1"/>
  <c r="I138" i="3"/>
  <c r="F139" i="4" s="1"/>
  <c r="U138" i="3"/>
  <c r="J139" i="4" s="1"/>
  <c r="A141" i="4"/>
  <c r="G140" i="3"/>
  <c r="S140" i="3"/>
  <c r="Y140" i="3" s="1"/>
  <c r="Z140" i="3" s="1"/>
  <c r="AA140" i="3" s="1"/>
  <c r="H140" i="3"/>
  <c r="T140" i="3"/>
  <c r="M140" i="3"/>
  <c r="E140" i="3"/>
  <c r="J140" i="3"/>
  <c r="N140" i="3"/>
  <c r="P140" i="3"/>
  <c r="V140" i="3"/>
  <c r="C140" i="3"/>
  <c r="I142" i="2"/>
  <c r="L143" i="2"/>
  <c r="M146" i="2"/>
  <c r="J145" i="2"/>
  <c r="D143" i="2"/>
  <c r="G142" i="2"/>
  <c r="T142" i="2"/>
  <c r="C143" i="2"/>
  <c r="E142" i="2"/>
  <c r="F142" i="2"/>
  <c r="H147" i="2"/>
  <c r="K148" i="2"/>
  <c r="F139" i="3"/>
  <c r="D140" i="3"/>
  <c r="D141" i="4" l="1"/>
  <c r="C144" i="2"/>
  <c r="E143" i="2"/>
  <c r="A142" i="4"/>
  <c r="P141" i="3"/>
  <c r="E141" i="3"/>
  <c r="J141" i="3"/>
  <c r="V141" i="3"/>
  <c r="S141" i="3"/>
  <c r="Y141" i="3" s="1"/>
  <c r="Z141" i="3" s="1"/>
  <c r="AA141" i="3" s="1"/>
  <c r="T141" i="3"/>
  <c r="C141" i="3"/>
  <c r="G141" i="3"/>
  <c r="H141" i="3"/>
  <c r="M141" i="3"/>
  <c r="N141" i="3"/>
  <c r="C141" i="4"/>
  <c r="AB140" i="3"/>
  <c r="E141" i="4" s="1"/>
  <c r="I143" i="2"/>
  <c r="F143" i="2" s="1"/>
  <c r="L144" i="2"/>
  <c r="D141" i="3"/>
  <c r="F140" i="3"/>
  <c r="D144" i="2"/>
  <c r="T143" i="2"/>
  <c r="G143" i="2"/>
  <c r="M147" i="2"/>
  <c r="J146" i="2"/>
  <c r="O139" i="3"/>
  <c r="H140" i="4" s="1"/>
  <c r="U139" i="3"/>
  <c r="J140" i="4" s="1"/>
  <c r="I139" i="3"/>
  <c r="F140" i="4" s="1"/>
  <c r="H148" i="2"/>
  <c r="K149" i="2"/>
  <c r="I141" i="4"/>
  <c r="M141" i="4" s="1"/>
  <c r="K141" i="4"/>
  <c r="N141" i="4" s="1"/>
  <c r="G141" i="4"/>
  <c r="L141" i="4" s="1"/>
  <c r="D142" i="4" l="1"/>
  <c r="F141" i="3"/>
  <c r="D142" i="3"/>
  <c r="H149" i="2"/>
  <c r="K150" i="2"/>
  <c r="L145" i="2"/>
  <c r="I144" i="2"/>
  <c r="I140" i="3"/>
  <c r="F141" i="4" s="1"/>
  <c r="U140" i="3"/>
  <c r="J141" i="4" s="1"/>
  <c r="O140" i="3"/>
  <c r="H141" i="4" s="1"/>
  <c r="I142" i="4"/>
  <c r="M142" i="4" s="1"/>
  <c r="G142" i="4"/>
  <c r="L142" i="4" s="1"/>
  <c r="K142" i="4"/>
  <c r="N142" i="4" s="1"/>
  <c r="C142" i="4"/>
  <c r="AB141" i="3"/>
  <c r="E142" i="4" s="1"/>
  <c r="J147" i="2"/>
  <c r="M148" i="2"/>
  <c r="A143" i="4"/>
  <c r="M142" i="3"/>
  <c r="C142" i="3"/>
  <c r="G142" i="3"/>
  <c r="S142" i="3"/>
  <c r="Y142" i="3" s="1"/>
  <c r="Z142" i="3" s="1"/>
  <c r="AA142" i="3" s="1"/>
  <c r="J142" i="3"/>
  <c r="N142" i="3"/>
  <c r="P142" i="3"/>
  <c r="T142" i="3"/>
  <c r="V142" i="3"/>
  <c r="E142" i="3"/>
  <c r="H142" i="3"/>
  <c r="E144" i="2"/>
  <c r="C145" i="2"/>
  <c r="F144" i="2"/>
  <c r="G144" i="2"/>
  <c r="T144" i="2"/>
  <c r="D145" i="2"/>
  <c r="D143" i="4" l="1"/>
  <c r="C143" i="4"/>
  <c r="AB142" i="3"/>
  <c r="E143" i="4" s="1"/>
  <c r="J148" i="2"/>
  <c r="M149" i="2"/>
  <c r="I145" i="2"/>
  <c r="L146" i="2"/>
  <c r="K151" i="2"/>
  <c r="H150" i="2"/>
  <c r="F145" i="2"/>
  <c r="E145" i="2"/>
  <c r="C146" i="2"/>
  <c r="G145" i="2"/>
  <c r="T145" i="2"/>
  <c r="D146" i="2"/>
  <c r="A144" i="4"/>
  <c r="J143" i="3"/>
  <c r="V143" i="3"/>
  <c r="C143" i="3"/>
  <c r="P143" i="3"/>
  <c r="S143" i="3"/>
  <c r="Y143" i="3" s="1"/>
  <c r="Z143" i="3" s="1"/>
  <c r="AA143" i="3" s="1"/>
  <c r="T143" i="3"/>
  <c r="E143" i="3"/>
  <c r="G143" i="3"/>
  <c r="H143" i="3"/>
  <c r="M143" i="3"/>
  <c r="N143" i="3"/>
  <c r="F142" i="3"/>
  <c r="D143" i="3"/>
  <c r="I141" i="3"/>
  <c r="F142" i="4" s="1"/>
  <c r="U141" i="3"/>
  <c r="J142" i="4" s="1"/>
  <c r="O141" i="3"/>
  <c r="H142" i="4" s="1"/>
  <c r="G143" i="4"/>
  <c r="L143" i="4" s="1"/>
  <c r="I143" i="4"/>
  <c r="M143" i="4" s="1"/>
  <c r="K143" i="4"/>
  <c r="N143" i="4" s="1"/>
  <c r="D144" i="4" l="1"/>
  <c r="K152" i="2"/>
  <c r="H151" i="2"/>
  <c r="L147" i="2"/>
  <c r="I146" i="2"/>
  <c r="F143" i="3"/>
  <c r="D144" i="3"/>
  <c r="O142" i="3"/>
  <c r="H143" i="4" s="1"/>
  <c r="U142" i="3"/>
  <c r="J143" i="4" s="1"/>
  <c r="I142" i="3"/>
  <c r="F143" i="4" s="1"/>
  <c r="J149" i="2"/>
  <c r="M150" i="2"/>
  <c r="G144" i="4"/>
  <c r="L144" i="4" s="1"/>
  <c r="I144" i="4"/>
  <c r="M144" i="4" s="1"/>
  <c r="K144" i="4"/>
  <c r="N144" i="4" s="1"/>
  <c r="C144" i="4"/>
  <c r="AB143" i="3"/>
  <c r="E144" i="4" s="1"/>
  <c r="T146" i="2"/>
  <c r="G146" i="2"/>
  <c r="D147" i="2"/>
  <c r="A145" i="4"/>
  <c r="G144" i="3"/>
  <c r="S144" i="3"/>
  <c r="Y144" i="3" s="1"/>
  <c r="Z144" i="3" s="1"/>
  <c r="AA144" i="3" s="1"/>
  <c r="M144" i="3"/>
  <c r="J144" i="3"/>
  <c r="N144" i="3"/>
  <c r="P144" i="3"/>
  <c r="C144" i="3"/>
  <c r="T144" i="3"/>
  <c r="V144" i="3"/>
  <c r="E144" i="3"/>
  <c r="H144" i="3"/>
  <c r="E146" i="2"/>
  <c r="F146" i="2"/>
  <c r="C147" i="2"/>
  <c r="D145" i="4" l="1"/>
  <c r="D145" i="3"/>
  <c r="F144" i="3"/>
  <c r="O143" i="3"/>
  <c r="H144" i="4" s="1"/>
  <c r="U143" i="3"/>
  <c r="J144" i="4" s="1"/>
  <c r="I143" i="3"/>
  <c r="F144" i="4" s="1"/>
  <c r="A146" i="4"/>
  <c r="P145" i="3"/>
  <c r="J145" i="3"/>
  <c r="V145" i="3"/>
  <c r="S145" i="3"/>
  <c r="Y145" i="3" s="1"/>
  <c r="Z145" i="3" s="1"/>
  <c r="AA145" i="3" s="1"/>
  <c r="C145" i="3"/>
  <c r="T145" i="3"/>
  <c r="E145" i="3"/>
  <c r="G145" i="3"/>
  <c r="H145" i="3"/>
  <c r="M145" i="3"/>
  <c r="N145" i="3"/>
  <c r="L148" i="2"/>
  <c r="I147" i="2"/>
  <c r="F147" i="2" s="1"/>
  <c r="D148" i="2"/>
  <c r="G147" i="2"/>
  <c r="T147" i="2"/>
  <c r="C148" i="2"/>
  <c r="E147" i="2"/>
  <c r="C145" i="4"/>
  <c r="AB144" i="3"/>
  <c r="E145" i="4" s="1"/>
  <c r="K153" i="2"/>
  <c r="H152" i="2"/>
  <c r="K145" i="4"/>
  <c r="N145" i="4" s="1"/>
  <c r="G145" i="4"/>
  <c r="L145" i="4" s="1"/>
  <c r="I145" i="4"/>
  <c r="M145" i="4" s="1"/>
  <c r="J150" i="2"/>
  <c r="M151" i="2"/>
  <c r="D146" i="4" l="1"/>
  <c r="T148" i="2"/>
  <c r="D149" i="2"/>
  <c r="G148" i="2"/>
  <c r="I148" i="2"/>
  <c r="L149" i="2"/>
  <c r="K146" i="4"/>
  <c r="N146" i="4" s="1"/>
  <c r="G146" i="4"/>
  <c r="L146" i="4" s="1"/>
  <c r="I146" i="4"/>
  <c r="M146" i="4" s="1"/>
  <c r="H153" i="2"/>
  <c r="K154" i="2"/>
  <c r="A147" i="4"/>
  <c r="M146" i="3"/>
  <c r="C146" i="3"/>
  <c r="G146" i="3"/>
  <c r="S146" i="3"/>
  <c r="Y146" i="3" s="1"/>
  <c r="Z146" i="3" s="1"/>
  <c r="AA146" i="3" s="1"/>
  <c r="V146" i="3"/>
  <c r="H146" i="3"/>
  <c r="J146" i="3"/>
  <c r="N146" i="3"/>
  <c r="P146" i="3"/>
  <c r="E146" i="3"/>
  <c r="T146" i="3"/>
  <c r="C146" i="4"/>
  <c r="AB145" i="3"/>
  <c r="E146" i="4" s="1"/>
  <c r="I144" i="3"/>
  <c r="F145" i="4" s="1"/>
  <c r="U144" i="3"/>
  <c r="J145" i="4" s="1"/>
  <c r="O144" i="3"/>
  <c r="H145" i="4" s="1"/>
  <c r="J151" i="2"/>
  <c r="M152" i="2"/>
  <c r="F145" i="3"/>
  <c r="D146" i="3"/>
  <c r="E148" i="2"/>
  <c r="C149" i="2"/>
  <c r="F148" i="2"/>
  <c r="D147" i="4" l="1"/>
  <c r="I149" i="2"/>
  <c r="L150" i="2"/>
  <c r="U145" i="3"/>
  <c r="J146" i="4" s="1"/>
  <c r="I145" i="3"/>
  <c r="F146" i="4" s="1"/>
  <c r="O145" i="3"/>
  <c r="H146" i="4" s="1"/>
  <c r="C147" i="4"/>
  <c r="AB146" i="3"/>
  <c r="E147" i="4" s="1"/>
  <c r="I147" i="4"/>
  <c r="M147" i="4" s="1"/>
  <c r="K147" i="4"/>
  <c r="N147" i="4" s="1"/>
  <c r="G147" i="4"/>
  <c r="L147" i="4" s="1"/>
  <c r="T149" i="2"/>
  <c r="D150" i="2"/>
  <c r="G149" i="2"/>
  <c r="C150" i="2"/>
  <c r="E149" i="2"/>
  <c r="F149" i="2"/>
  <c r="K155" i="2"/>
  <c r="H154" i="2"/>
  <c r="A148" i="4"/>
  <c r="J147" i="3"/>
  <c r="V147" i="3"/>
  <c r="M147" i="3"/>
  <c r="N147" i="3"/>
  <c r="C147" i="3"/>
  <c r="P147" i="3"/>
  <c r="E147" i="3"/>
  <c r="S147" i="3"/>
  <c r="Y147" i="3" s="1"/>
  <c r="Z147" i="3" s="1"/>
  <c r="AA147" i="3" s="1"/>
  <c r="T147" i="3"/>
  <c r="H147" i="3"/>
  <c r="G147" i="3"/>
  <c r="M153" i="2"/>
  <c r="J152" i="2"/>
  <c r="F146" i="3"/>
  <c r="D147" i="3"/>
  <c r="D148" i="4" l="1"/>
  <c r="K156" i="2"/>
  <c r="H155" i="2"/>
  <c r="E150" i="2"/>
  <c r="C151" i="2"/>
  <c r="I148" i="4"/>
  <c r="M148" i="4" s="1"/>
  <c r="K148" i="4"/>
  <c r="N148" i="4" s="1"/>
  <c r="G148" i="4"/>
  <c r="L148" i="4" s="1"/>
  <c r="G150" i="2"/>
  <c r="T150" i="2"/>
  <c r="D151" i="2"/>
  <c r="A149" i="4"/>
  <c r="G148" i="3"/>
  <c r="S148" i="3"/>
  <c r="Y148" i="3" s="1"/>
  <c r="Z148" i="3" s="1"/>
  <c r="AA148" i="3" s="1"/>
  <c r="H148" i="3"/>
  <c r="T148" i="3"/>
  <c r="J148" i="3"/>
  <c r="V148" i="3"/>
  <c r="M148" i="3"/>
  <c r="N148" i="3"/>
  <c r="C148" i="3"/>
  <c r="P148" i="3"/>
  <c r="E148" i="3"/>
  <c r="F147" i="3"/>
  <c r="D148" i="3"/>
  <c r="L151" i="2"/>
  <c r="I150" i="2"/>
  <c r="F150" i="2" s="1"/>
  <c r="O146" i="3"/>
  <c r="H147" i="4" s="1"/>
  <c r="I146" i="3"/>
  <c r="F147" i="4" s="1"/>
  <c r="U146" i="3"/>
  <c r="J147" i="4" s="1"/>
  <c r="C148" i="4"/>
  <c r="AB147" i="3"/>
  <c r="E148" i="4" s="1"/>
  <c r="M154" i="2"/>
  <c r="J153" i="2"/>
  <c r="D149" i="4" l="1"/>
  <c r="C149" i="4"/>
  <c r="AB148" i="3"/>
  <c r="E149" i="4" s="1"/>
  <c r="E151" i="2"/>
  <c r="C152" i="2"/>
  <c r="A150" i="4"/>
  <c r="P149" i="3"/>
  <c r="E149" i="3"/>
  <c r="G149" i="3"/>
  <c r="S149" i="3"/>
  <c r="Y149" i="3" s="1"/>
  <c r="Z149" i="3" s="1"/>
  <c r="AA149" i="3" s="1"/>
  <c r="H149" i="3"/>
  <c r="T149" i="3"/>
  <c r="J149" i="3"/>
  <c r="V149" i="3"/>
  <c r="M149" i="3"/>
  <c r="C149" i="3"/>
  <c r="N149" i="3"/>
  <c r="G149" i="4"/>
  <c r="L149" i="4" s="1"/>
  <c r="I149" i="4"/>
  <c r="M149" i="4" s="1"/>
  <c r="K149" i="4"/>
  <c r="N149" i="4" s="1"/>
  <c r="D149" i="3"/>
  <c r="F148" i="3"/>
  <c r="D152" i="2"/>
  <c r="T151" i="2"/>
  <c r="G151" i="2"/>
  <c r="H156" i="2"/>
  <c r="K157" i="2"/>
  <c r="L152" i="2"/>
  <c r="I151" i="2"/>
  <c r="F151" i="2" s="1"/>
  <c r="I147" i="3"/>
  <c r="F148" i="4" s="1"/>
  <c r="O147" i="3"/>
  <c r="H148" i="4" s="1"/>
  <c r="U147" i="3"/>
  <c r="J148" i="4" s="1"/>
  <c r="J154" i="2"/>
  <c r="M155" i="2"/>
  <c r="D150" i="4" l="1"/>
  <c r="A151" i="4"/>
  <c r="M150" i="3"/>
  <c r="N150" i="3"/>
  <c r="C150" i="3"/>
  <c r="P150" i="3"/>
  <c r="E150" i="3"/>
  <c r="G150" i="3"/>
  <c r="S150" i="3"/>
  <c r="Y150" i="3" s="1"/>
  <c r="Z150" i="3" s="1"/>
  <c r="AA150" i="3" s="1"/>
  <c r="H150" i="3"/>
  <c r="T150" i="3"/>
  <c r="J150" i="3"/>
  <c r="V150" i="3"/>
  <c r="L153" i="2"/>
  <c r="I152" i="2"/>
  <c r="F152" i="2" s="1"/>
  <c r="G150" i="4"/>
  <c r="L150" i="4" s="1"/>
  <c r="I150" i="4"/>
  <c r="M150" i="4" s="1"/>
  <c r="K150" i="4"/>
  <c r="N150" i="4" s="1"/>
  <c r="E152" i="2"/>
  <c r="C153" i="2"/>
  <c r="C150" i="4"/>
  <c r="AB149" i="3"/>
  <c r="E150" i="4" s="1"/>
  <c r="K158" i="2"/>
  <c r="H157" i="2"/>
  <c r="D153" i="2"/>
  <c r="T152" i="2"/>
  <c r="G152" i="2"/>
  <c r="M156" i="2"/>
  <c r="J155" i="2"/>
  <c r="I148" i="3"/>
  <c r="F149" i="4" s="1"/>
  <c r="U148" i="3"/>
  <c r="J149" i="4" s="1"/>
  <c r="O148" i="3"/>
  <c r="H149" i="4" s="1"/>
  <c r="F149" i="3"/>
  <c r="D150" i="3"/>
  <c r="D151" i="4" l="1"/>
  <c r="M157" i="2"/>
  <c r="J156" i="2"/>
  <c r="A152" i="4"/>
  <c r="J151" i="3"/>
  <c r="V151" i="3"/>
  <c r="M151" i="3"/>
  <c r="N151" i="3"/>
  <c r="C151" i="3"/>
  <c r="P151" i="3"/>
  <c r="E151" i="3"/>
  <c r="G151" i="3"/>
  <c r="S151" i="3"/>
  <c r="Y151" i="3" s="1"/>
  <c r="Z151" i="3" s="1"/>
  <c r="AA151" i="3" s="1"/>
  <c r="H151" i="3"/>
  <c r="T151" i="3"/>
  <c r="T153" i="2"/>
  <c r="D154" i="2"/>
  <c r="G153" i="2"/>
  <c r="K159" i="2"/>
  <c r="H158" i="2"/>
  <c r="F150" i="3"/>
  <c r="D151" i="3"/>
  <c r="I153" i="2"/>
  <c r="L154" i="2"/>
  <c r="C151" i="4"/>
  <c r="AB150" i="3"/>
  <c r="E151" i="4" s="1"/>
  <c r="I149" i="3"/>
  <c r="F150" i="4" s="1"/>
  <c r="U149" i="3"/>
  <c r="J150" i="4" s="1"/>
  <c r="O149" i="3"/>
  <c r="H150" i="4" s="1"/>
  <c r="G151" i="4"/>
  <c r="L151" i="4" s="1"/>
  <c r="I151" i="4"/>
  <c r="M151" i="4" s="1"/>
  <c r="K151" i="4"/>
  <c r="N151" i="4" s="1"/>
  <c r="E153" i="2"/>
  <c r="C154" i="2"/>
  <c r="F153" i="2"/>
  <c r="D152" i="4" l="1"/>
  <c r="O150" i="3"/>
  <c r="H151" i="4" s="1"/>
  <c r="I150" i="3"/>
  <c r="F151" i="4" s="1"/>
  <c r="U150" i="3"/>
  <c r="J151" i="4" s="1"/>
  <c r="K160" i="2"/>
  <c r="H159" i="2"/>
  <c r="F151" i="3"/>
  <c r="D152" i="3"/>
  <c r="C152" i="4"/>
  <c r="AB151" i="3"/>
  <c r="E152" i="4" s="1"/>
  <c r="T154" i="2"/>
  <c r="G154" i="2"/>
  <c r="D155" i="2"/>
  <c r="G152" i="4"/>
  <c r="L152" i="4" s="1"/>
  <c r="I152" i="4"/>
  <c r="M152" i="4" s="1"/>
  <c r="K152" i="4"/>
  <c r="N152" i="4" s="1"/>
  <c r="M158" i="2"/>
  <c r="J157" i="2"/>
  <c r="C155" i="2"/>
  <c r="E154" i="2"/>
  <c r="I154" i="2"/>
  <c r="F154" i="2" s="1"/>
  <c r="L155" i="2"/>
  <c r="A153" i="4"/>
  <c r="G152" i="3"/>
  <c r="S152" i="3"/>
  <c r="Y152" i="3" s="1"/>
  <c r="Z152" i="3" s="1"/>
  <c r="AA152" i="3" s="1"/>
  <c r="H152" i="3"/>
  <c r="T152" i="3"/>
  <c r="J152" i="3"/>
  <c r="V152" i="3"/>
  <c r="M152" i="3"/>
  <c r="N152" i="3"/>
  <c r="C152" i="3"/>
  <c r="P152" i="3"/>
  <c r="E152" i="3"/>
  <c r="D153" i="4" l="1"/>
  <c r="C153" i="4"/>
  <c r="AB152" i="3"/>
  <c r="E153" i="4" s="1"/>
  <c r="C156" i="2"/>
  <c r="E155" i="2"/>
  <c r="J158" i="2"/>
  <c r="M159" i="2"/>
  <c r="D153" i="3"/>
  <c r="F152" i="3"/>
  <c r="O151" i="3"/>
  <c r="H152" i="4" s="1"/>
  <c r="I151" i="3"/>
  <c r="F152" i="4" s="1"/>
  <c r="U151" i="3"/>
  <c r="J152" i="4" s="1"/>
  <c r="H160" i="2"/>
  <c r="K161" i="2"/>
  <c r="A154" i="4"/>
  <c r="P153" i="3"/>
  <c r="E153" i="3"/>
  <c r="G153" i="3"/>
  <c r="S153" i="3"/>
  <c r="Y153" i="3" s="1"/>
  <c r="Z153" i="3" s="1"/>
  <c r="AA153" i="3" s="1"/>
  <c r="H153" i="3"/>
  <c r="T153" i="3"/>
  <c r="J153" i="3"/>
  <c r="V153" i="3"/>
  <c r="M153" i="3"/>
  <c r="C153" i="3"/>
  <c r="N153" i="3"/>
  <c r="L156" i="2"/>
  <c r="I155" i="2"/>
  <c r="F155" i="2" s="1"/>
  <c r="G153" i="4"/>
  <c r="L153" i="4" s="1"/>
  <c r="I153" i="4"/>
  <c r="M153" i="4" s="1"/>
  <c r="K153" i="4"/>
  <c r="N153" i="4" s="1"/>
  <c r="G155" i="2"/>
  <c r="D156" i="2"/>
  <c r="T155" i="2"/>
  <c r="D154" i="4" l="1"/>
  <c r="I152" i="3"/>
  <c r="F153" i="4" s="1"/>
  <c r="U152" i="3"/>
  <c r="J153" i="4" s="1"/>
  <c r="O152" i="3"/>
  <c r="H153" i="4" s="1"/>
  <c r="F153" i="3"/>
  <c r="D154" i="3"/>
  <c r="J159" i="2"/>
  <c r="M160" i="2"/>
  <c r="A155" i="4"/>
  <c r="M154" i="3"/>
  <c r="N154" i="3"/>
  <c r="C154" i="3"/>
  <c r="P154" i="3"/>
  <c r="E154" i="3"/>
  <c r="G154" i="3"/>
  <c r="S154" i="3"/>
  <c r="Y154" i="3" s="1"/>
  <c r="Z154" i="3" s="1"/>
  <c r="AA154" i="3" s="1"/>
  <c r="H154" i="3"/>
  <c r="T154" i="3"/>
  <c r="J154" i="3"/>
  <c r="V154" i="3"/>
  <c r="L157" i="2"/>
  <c r="I156" i="2"/>
  <c r="F156" i="2" s="1"/>
  <c r="E156" i="2"/>
  <c r="C157" i="2"/>
  <c r="G154" i="4"/>
  <c r="L154" i="4" s="1"/>
  <c r="I154" i="4"/>
  <c r="M154" i="4" s="1"/>
  <c r="K154" i="4"/>
  <c r="N154" i="4" s="1"/>
  <c r="H161" i="2"/>
  <c r="K162" i="2"/>
  <c r="G156" i="2"/>
  <c r="D157" i="2"/>
  <c r="T156" i="2"/>
  <c r="C154" i="4"/>
  <c r="AB153" i="3"/>
  <c r="E154" i="4" s="1"/>
  <c r="D155" i="4" l="1"/>
  <c r="K163" i="2"/>
  <c r="H162" i="2"/>
  <c r="L158" i="2"/>
  <c r="I157" i="2"/>
  <c r="C155" i="4"/>
  <c r="AB154" i="3"/>
  <c r="E155" i="4" s="1"/>
  <c r="G155" i="4"/>
  <c r="L155" i="4" s="1"/>
  <c r="I155" i="4"/>
  <c r="M155" i="4" s="1"/>
  <c r="K155" i="4"/>
  <c r="N155" i="4" s="1"/>
  <c r="M161" i="2"/>
  <c r="J160" i="2"/>
  <c r="F154" i="3"/>
  <c r="D155" i="3"/>
  <c r="I153" i="3"/>
  <c r="F154" i="4" s="1"/>
  <c r="U153" i="3"/>
  <c r="J154" i="4" s="1"/>
  <c r="O153" i="3"/>
  <c r="H154" i="4" s="1"/>
  <c r="A156" i="4"/>
  <c r="J155" i="3"/>
  <c r="V155" i="3"/>
  <c r="M155" i="3"/>
  <c r="N155" i="3"/>
  <c r="C155" i="3"/>
  <c r="P155" i="3"/>
  <c r="E155" i="3"/>
  <c r="G155" i="3"/>
  <c r="S155" i="3"/>
  <c r="Y155" i="3" s="1"/>
  <c r="Z155" i="3" s="1"/>
  <c r="AA155" i="3" s="1"/>
  <c r="H155" i="3"/>
  <c r="T155" i="3"/>
  <c r="E157" i="2"/>
  <c r="F157" i="2"/>
  <c r="C158" i="2"/>
  <c r="T157" i="2"/>
  <c r="G157" i="2"/>
  <c r="D158" i="2"/>
  <c r="D156" i="4" l="1"/>
  <c r="G156" i="4"/>
  <c r="L156" i="4" s="1"/>
  <c r="I156" i="4"/>
  <c r="M156" i="4" s="1"/>
  <c r="K156" i="4"/>
  <c r="N156" i="4" s="1"/>
  <c r="A157" i="4"/>
  <c r="G156" i="3"/>
  <c r="S156" i="3"/>
  <c r="Y156" i="3" s="1"/>
  <c r="Z156" i="3" s="1"/>
  <c r="AA156" i="3" s="1"/>
  <c r="H156" i="3"/>
  <c r="T156" i="3"/>
  <c r="J156" i="3"/>
  <c r="V156" i="3"/>
  <c r="M156" i="3"/>
  <c r="N156" i="3"/>
  <c r="C156" i="3"/>
  <c r="P156" i="3"/>
  <c r="E156" i="3"/>
  <c r="F155" i="3"/>
  <c r="D156" i="3"/>
  <c r="O154" i="3"/>
  <c r="H155" i="4" s="1"/>
  <c r="I154" i="3"/>
  <c r="F155" i="4" s="1"/>
  <c r="U154" i="3"/>
  <c r="J155" i="4" s="1"/>
  <c r="I158" i="2"/>
  <c r="F158" i="2" s="1"/>
  <c r="L159" i="2"/>
  <c r="T158" i="2"/>
  <c r="D159" i="2"/>
  <c r="G158" i="2"/>
  <c r="M162" i="2"/>
  <c r="J161" i="2"/>
  <c r="K164" i="2"/>
  <c r="H163" i="2"/>
  <c r="E158" i="2"/>
  <c r="C159" i="2"/>
  <c r="C156" i="4"/>
  <c r="AB155" i="3"/>
  <c r="E156" i="4" s="1"/>
  <c r="D157" i="4" l="1"/>
  <c r="D157" i="3"/>
  <c r="F156" i="3"/>
  <c r="K165" i="2"/>
  <c r="H164" i="2"/>
  <c r="O155" i="3"/>
  <c r="H156" i="4" s="1"/>
  <c r="I155" i="3"/>
  <c r="F156" i="4" s="1"/>
  <c r="U155" i="3"/>
  <c r="J156" i="4" s="1"/>
  <c r="K157" i="4"/>
  <c r="N157" i="4" s="1"/>
  <c r="G157" i="4"/>
  <c r="L157" i="4" s="1"/>
  <c r="I157" i="4"/>
  <c r="M157" i="4" s="1"/>
  <c r="M163" i="2"/>
  <c r="J162" i="2"/>
  <c r="A158" i="4"/>
  <c r="P157" i="3"/>
  <c r="E157" i="3"/>
  <c r="G157" i="3"/>
  <c r="S157" i="3"/>
  <c r="Y157" i="3" s="1"/>
  <c r="Z157" i="3" s="1"/>
  <c r="AA157" i="3" s="1"/>
  <c r="H157" i="3"/>
  <c r="T157" i="3"/>
  <c r="J157" i="3"/>
  <c r="V157" i="3"/>
  <c r="M157" i="3"/>
  <c r="C157" i="3"/>
  <c r="N157" i="3"/>
  <c r="D160" i="2"/>
  <c r="T159" i="2"/>
  <c r="G159" i="2"/>
  <c r="L160" i="2"/>
  <c r="I159" i="2"/>
  <c r="F159" i="2" s="1"/>
  <c r="C157" i="4"/>
  <c r="AB156" i="3"/>
  <c r="E157" i="4" s="1"/>
  <c r="C160" i="2"/>
  <c r="E159" i="2"/>
  <c r="D158" i="4" l="1"/>
  <c r="A159" i="4"/>
  <c r="M158" i="3"/>
  <c r="N158" i="3"/>
  <c r="C158" i="3"/>
  <c r="P158" i="3"/>
  <c r="E158" i="3"/>
  <c r="G158" i="3"/>
  <c r="S158" i="3"/>
  <c r="Y158" i="3" s="1"/>
  <c r="Z158" i="3" s="1"/>
  <c r="AA158" i="3" s="1"/>
  <c r="H158" i="3"/>
  <c r="T158" i="3"/>
  <c r="J158" i="3"/>
  <c r="V158" i="3"/>
  <c r="G160" i="2"/>
  <c r="D161" i="2"/>
  <c r="T160" i="2"/>
  <c r="K158" i="4"/>
  <c r="N158" i="4" s="1"/>
  <c r="G158" i="4"/>
  <c r="L158" i="4" s="1"/>
  <c r="I158" i="4"/>
  <c r="M158" i="4" s="1"/>
  <c r="H165" i="2"/>
  <c r="K166" i="2"/>
  <c r="C158" i="4"/>
  <c r="AB157" i="3"/>
  <c r="E158" i="4" s="1"/>
  <c r="J163" i="2"/>
  <c r="M164" i="2"/>
  <c r="I156" i="3"/>
  <c r="F157" i="4" s="1"/>
  <c r="U156" i="3"/>
  <c r="J157" i="4" s="1"/>
  <c r="O156" i="3"/>
  <c r="H157" i="4" s="1"/>
  <c r="F157" i="3"/>
  <c r="D158" i="3"/>
  <c r="C161" i="2"/>
  <c r="E160" i="2"/>
  <c r="L161" i="2"/>
  <c r="I160" i="2"/>
  <c r="F160" i="2" s="1"/>
  <c r="D159" i="4" l="1"/>
  <c r="A160" i="4"/>
  <c r="J159" i="3"/>
  <c r="V159" i="3"/>
  <c r="M159" i="3"/>
  <c r="N159" i="3"/>
  <c r="C159" i="3"/>
  <c r="P159" i="3"/>
  <c r="E159" i="3"/>
  <c r="G159" i="3"/>
  <c r="S159" i="3"/>
  <c r="Y159" i="3" s="1"/>
  <c r="Z159" i="3" s="1"/>
  <c r="AA159" i="3" s="1"/>
  <c r="H159" i="3"/>
  <c r="T159" i="3"/>
  <c r="E161" i="2"/>
  <c r="F161" i="2"/>
  <c r="C162" i="2"/>
  <c r="M165" i="2"/>
  <c r="J164" i="2"/>
  <c r="I157" i="3"/>
  <c r="F158" i="4" s="1"/>
  <c r="U157" i="3"/>
  <c r="J158" i="4" s="1"/>
  <c r="O157" i="3"/>
  <c r="H158" i="4" s="1"/>
  <c r="T161" i="2"/>
  <c r="G161" i="2"/>
  <c r="D162" i="2"/>
  <c r="F158" i="3"/>
  <c r="D159" i="3"/>
  <c r="C159" i="4"/>
  <c r="AB158" i="3"/>
  <c r="E159" i="4" s="1"/>
  <c r="I161" i="2"/>
  <c r="L162" i="2"/>
  <c r="I159" i="4"/>
  <c r="M159" i="4" s="1"/>
  <c r="K159" i="4"/>
  <c r="N159" i="4" s="1"/>
  <c r="G159" i="4"/>
  <c r="L159" i="4" s="1"/>
  <c r="K167" i="2"/>
  <c r="H166" i="2"/>
  <c r="D160" i="4" l="1"/>
  <c r="A161" i="4"/>
  <c r="G160" i="3"/>
  <c r="S160" i="3"/>
  <c r="Y160" i="3" s="1"/>
  <c r="Z160" i="3" s="1"/>
  <c r="AA160" i="3" s="1"/>
  <c r="H160" i="3"/>
  <c r="T160" i="3"/>
  <c r="J160" i="3"/>
  <c r="V160" i="3"/>
  <c r="M160" i="3"/>
  <c r="N160" i="3"/>
  <c r="C160" i="3"/>
  <c r="P160" i="3"/>
  <c r="E160" i="3"/>
  <c r="L163" i="2"/>
  <c r="I162" i="2"/>
  <c r="M166" i="2"/>
  <c r="J165" i="2"/>
  <c r="E162" i="2"/>
  <c r="F162" i="2"/>
  <c r="C163" i="2"/>
  <c r="C160" i="4"/>
  <c r="AB159" i="3"/>
  <c r="E160" i="4" s="1"/>
  <c r="F159" i="3"/>
  <c r="D160" i="3"/>
  <c r="K168" i="2"/>
  <c r="H167" i="2"/>
  <c r="O158" i="3"/>
  <c r="H159" i="4" s="1"/>
  <c r="I158" i="3"/>
  <c r="F159" i="4" s="1"/>
  <c r="U158" i="3"/>
  <c r="J159" i="4" s="1"/>
  <c r="I160" i="4"/>
  <c r="M160" i="4" s="1"/>
  <c r="K160" i="4"/>
  <c r="N160" i="4" s="1"/>
  <c r="G160" i="4"/>
  <c r="L160" i="4" s="1"/>
  <c r="T162" i="2"/>
  <c r="G162" i="2"/>
  <c r="D163" i="2"/>
  <c r="D161" i="4" l="1"/>
  <c r="C164" i="2"/>
  <c r="E163" i="2"/>
  <c r="C161" i="4"/>
  <c r="AB160" i="3"/>
  <c r="E161" i="4" s="1"/>
  <c r="G163" i="2"/>
  <c r="D164" i="2"/>
  <c r="T163" i="2"/>
  <c r="L164" i="2"/>
  <c r="I163" i="2"/>
  <c r="F163" i="2" s="1"/>
  <c r="H168" i="2"/>
  <c r="K169" i="2"/>
  <c r="A162" i="4"/>
  <c r="P161" i="3"/>
  <c r="E161" i="3"/>
  <c r="G161" i="3"/>
  <c r="S161" i="3"/>
  <c r="Y161" i="3" s="1"/>
  <c r="Z161" i="3" s="1"/>
  <c r="AA161" i="3" s="1"/>
  <c r="H161" i="3"/>
  <c r="T161" i="3"/>
  <c r="J161" i="3"/>
  <c r="V161" i="3"/>
  <c r="M161" i="3"/>
  <c r="N161" i="3"/>
  <c r="C161" i="3"/>
  <c r="G161" i="4"/>
  <c r="L161" i="4" s="1"/>
  <c r="I161" i="4"/>
  <c r="M161" i="4" s="1"/>
  <c r="K161" i="4"/>
  <c r="N161" i="4" s="1"/>
  <c r="J166" i="2"/>
  <c r="M167" i="2"/>
  <c r="D161" i="3"/>
  <c r="F160" i="3"/>
  <c r="O159" i="3"/>
  <c r="H160" i="4" s="1"/>
  <c r="U159" i="3"/>
  <c r="J160" i="4" s="1"/>
  <c r="I159" i="3"/>
  <c r="F160" i="4" s="1"/>
  <c r="D162" i="4" l="1"/>
  <c r="F161" i="3"/>
  <c r="D162" i="3"/>
  <c r="L165" i="2"/>
  <c r="I164" i="2"/>
  <c r="M168" i="2"/>
  <c r="J167" i="2"/>
  <c r="D165" i="2"/>
  <c r="T164" i="2"/>
  <c r="G164" i="2"/>
  <c r="A163" i="4"/>
  <c r="M162" i="3"/>
  <c r="N162" i="3"/>
  <c r="C162" i="3"/>
  <c r="P162" i="3"/>
  <c r="E162" i="3"/>
  <c r="G162" i="3"/>
  <c r="S162" i="3"/>
  <c r="Y162" i="3" s="1"/>
  <c r="Z162" i="3" s="1"/>
  <c r="AA162" i="3" s="1"/>
  <c r="H162" i="3"/>
  <c r="T162" i="3"/>
  <c r="J162" i="3"/>
  <c r="V162" i="3"/>
  <c r="E164" i="2"/>
  <c r="F164" i="2"/>
  <c r="C165" i="2"/>
  <c r="G162" i="4"/>
  <c r="L162" i="4" s="1"/>
  <c r="I162" i="4"/>
  <c r="M162" i="4" s="1"/>
  <c r="K162" i="4"/>
  <c r="N162" i="4" s="1"/>
  <c r="K170" i="2"/>
  <c r="H169" i="2"/>
  <c r="I160" i="3"/>
  <c r="F161" i="4" s="1"/>
  <c r="U160" i="3"/>
  <c r="J161" i="4" s="1"/>
  <c r="O160" i="3"/>
  <c r="H161" i="4" s="1"/>
  <c r="C162" i="4"/>
  <c r="AB161" i="3"/>
  <c r="E162" i="4" s="1"/>
  <c r="D163" i="4" l="1"/>
  <c r="G163" i="4"/>
  <c r="L163" i="4" s="1"/>
  <c r="I163" i="4"/>
  <c r="M163" i="4" s="1"/>
  <c r="K163" i="4"/>
  <c r="N163" i="4" s="1"/>
  <c r="K171" i="2"/>
  <c r="H170" i="2"/>
  <c r="T165" i="2"/>
  <c r="D166" i="2"/>
  <c r="G165" i="2"/>
  <c r="M169" i="2"/>
  <c r="J168" i="2"/>
  <c r="A164" i="4"/>
  <c r="J163" i="3"/>
  <c r="V163" i="3"/>
  <c r="M163" i="3"/>
  <c r="N163" i="3"/>
  <c r="C163" i="3"/>
  <c r="P163" i="3"/>
  <c r="E163" i="3"/>
  <c r="G163" i="3"/>
  <c r="S163" i="3"/>
  <c r="Y163" i="3" s="1"/>
  <c r="Z163" i="3" s="1"/>
  <c r="AA163" i="3" s="1"/>
  <c r="T163" i="3"/>
  <c r="H163" i="3"/>
  <c r="I165" i="2"/>
  <c r="L166" i="2"/>
  <c r="F162" i="3"/>
  <c r="D163" i="3"/>
  <c r="E165" i="2"/>
  <c r="C166" i="2"/>
  <c r="F165" i="2"/>
  <c r="I161" i="3"/>
  <c r="F162" i="4" s="1"/>
  <c r="U161" i="3"/>
  <c r="J162" i="4" s="1"/>
  <c r="O161" i="3"/>
  <c r="H162" i="4" s="1"/>
  <c r="C163" i="4"/>
  <c r="AB162" i="3"/>
  <c r="E163" i="4" s="1"/>
  <c r="D164" i="4" l="1"/>
  <c r="A165" i="4"/>
  <c r="G164" i="3"/>
  <c r="S164" i="3"/>
  <c r="Y164" i="3" s="1"/>
  <c r="Z164" i="3" s="1"/>
  <c r="AA164" i="3" s="1"/>
  <c r="H164" i="3"/>
  <c r="T164" i="3"/>
  <c r="J164" i="3"/>
  <c r="V164" i="3"/>
  <c r="M164" i="3"/>
  <c r="N164" i="3"/>
  <c r="C164" i="3"/>
  <c r="P164" i="3"/>
  <c r="E164" i="3"/>
  <c r="T166" i="2"/>
  <c r="G166" i="2"/>
  <c r="D167" i="2"/>
  <c r="C167" i="2"/>
  <c r="E166" i="2"/>
  <c r="K172" i="2"/>
  <c r="H171" i="2"/>
  <c r="O162" i="3"/>
  <c r="H163" i="4" s="1"/>
  <c r="I162" i="3"/>
  <c r="F163" i="4" s="1"/>
  <c r="U162" i="3"/>
  <c r="J163" i="4" s="1"/>
  <c r="C164" i="4"/>
  <c r="AB163" i="3"/>
  <c r="E164" i="4" s="1"/>
  <c r="G164" i="4"/>
  <c r="L164" i="4" s="1"/>
  <c r="I164" i="4"/>
  <c r="M164" i="4" s="1"/>
  <c r="K164" i="4"/>
  <c r="N164" i="4" s="1"/>
  <c r="I166" i="2"/>
  <c r="F166" i="2" s="1"/>
  <c r="L167" i="2"/>
  <c r="F163" i="3"/>
  <c r="D164" i="3"/>
  <c r="M170" i="2"/>
  <c r="J169" i="2"/>
  <c r="D165" i="4" l="1"/>
  <c r="H172" i="2"/>
  <c r="K173" i="2"/>
  <c r="C165" i="4"/>
  <c r="AB164" i="3"/>
  <c r="E165" i="4" s="1"/>
  <c r="F167" i="2"/>
  <c r="C168" i="2"/>
  <c r="E167" i="2"/>
  <c r="G167" i="2"/>
  <c r="D168" i="2"/>
  <c r="T167" i="2"/>
  <c r="L168" i="2"/>
  <c r="I167" i="2"/>
  <c r="J170" i="2"/>
  <c r="M171" i="2"/>
  <c r="A166" i="4"/>
  <c r="P165" i="3"/>
  <c r="E165" i="3"/>
  <c r="G165" i="3"/>
  <c r="S165" i="3"/>
  <c r="Y165" i="3" s="1"/>
  <c r="Z165" i="3" s="1"/>
  <c r="AA165" i="3" s="1"/>
  <c r="H165" i="3"/>
  <c r="T165" i="3"/>
  <c r="J165" i="3"/>
  <c r="V165" i="3"/>
  <c r="M165" i="3"/>
  <c r="C165" i="3"/>
  <c r="N165" i="3"/>
  <c r="G165" i="4"/>
  <c r="L165" i="4" s="1"/>
  <c r="I165" i="4"/>
  <c r="M165" i="4" s="1"/>
  <c r="K165" i="4"/>
  <c r="N165" i="4" s="1"/>
  <c r="D165" i="3"/>
  <c r="F164" i="3"/>
  <c r="O163" i="3"/>
  <c r="H164" i="4" s="1"/>
  <c r="U163" i="3"/>
  <c r="J164" i="4" s="1"/>
  <c r="I163" i="3"/>
  <c r="F164" i="4" s="1"/>
  <c r="D166" i="4" l="1"/>
  <c r="G168" i="2"/>
  <c r="D169" i="2"/>
  <c r="T168" i="2"/>
  <c r="A167" i="4"/>
  <c r="M166" i="3"/>
  <c r="N166" i="3"/>
  <c r="C166" i="3"/>
  <c r="P166" i="3"/>
  <c r="E166" i="3"/>
  <c r="G166" i="3"/>
  <c r="S166" i="3"/>
  <c r="Y166" i="3" s="1"/>
  <c r="Z166" i="3" s="1"/>
  <c r="AA166" i="3" s="1"/>
  <c r="H166" i="3"/>
  <c r="T166" i="3"/>
  <c r="J166" i="3"/>
  <c r="V166" i="3"/>
  <c r="E168" i="2"/>
  <c r="C169" i="2"/>
  <c r="F165" i="3"/>
  <c r="D166" i="3"/>
  <c r="G166" i="4"/>
  <c r="L166" i="4" s="1"/>
  <c r="I166" i="4"/>
  <c r="M166" i="4" s="1"/>
  <c r="K166" i="4"/>
  <c r="N166" i="4" s="1"/>
  <c r="J171" i="2"/>
  <c r="M172" i="2"/>
  <c r="H173" i="2"/>
  <c r="K174" i="2"/>
  <c r="C166" i="4"/>
  <c r="AB165" i="3"/>
  <c r="E166" i="4" s="1"/>
  <c r="I164" i="3"/>
  <c r="F165" i="4" s="1"/>
  <c r="U164" i="3"/>
  <c r="J165" i="4" s="1"/>
  <c r="O164" i="3"/>
  <c r="H165" i="4" s="1"/>
  <c r="L169" i="2"/>
  <c r="I168" i="2"/>
  <c r="F168" i="2" s="1"/>
  <c r="D167" i="4" l="1"/>
  <c r="F166" i="3"/>
  <c r="D167" i="3"/>
  <c r="I165" i="3"/>
  <c r="F166" i="4" s="1"/>
  <c r="U165" i="3"/>
  <c r="J166" i="4" s="1"/>
  <c r="O165" i="3"/>
  <c r="H166" i="4" s="1"/>
  <c r="K175" i="2"/>
  <c r="H174" i="2"/>
  <c r="E169" i="2"/>
  <c r="C170" i="2"/>
  <c r="C167" i="4"/>
  <c r="AB166" i="3"/>
  <c r="E167" i="4" s="1"/>
  <c r="M173" i="2"/>
  <c r="J172" i="2"/>
  <c r="G167" i="4"/>
  <c r="L167" i="4" s="1"/>
  <c r="I167" i="4"/>
  <c r="M167" i="4" s="1"/>
  <c r="K167" i="4"/>
  <c r="N167" i="4" s="1"/>
  <c r="T169" i="2"/>
  <c r="D170" i="2"/>
  <c r="G169" i="2"/>
  <c r="A168" i="4"/>
  <c r="J167" i="3"/>
  <c r="V167" i="3"/>
  <c r="M167" i="3"/>
  <c r="N167" i="3"/>
  <c r="C167" i="3"/>
  <c r="P167" i="3"/>
  <c r="E167" i="3"/>
  <c r="G167" i="3"/>
  <c r="S167" i="3"/>
  <c r="Y167" i="3" s="1"/>
  <c r="Z167" i="3" s="1"/>
  <c r="AA167" i="3" s="1"/>
  <c r="H167" i="3"/>
  <c r="T167" i="3"/>
  <c r="I169" i="2"/>
  <c r="F169" i="2" s="1"/>
  <c r="L170" i="2"/>
  <c r="D168" i="4" l="1"/>
  <c r="T170" i="2"/>
  <c r="D171" i="2"/>
  <c r="G170" i="2"/>
  <c r="E170" i="2"/>
  <c r="C171" i="2"/>
  <c r="A169" i="4"/>
  <c r="G168" i="3"/>
  <c r="S168" i="3"/>
  <c r="Y168" i="3" s="1"/>
  <c r="Z168" i="3" s="1"/>
  <c r="AA168" i="3" s="1"/>
  <c r="H168" i="3"/>
  <c r="T168" i="3"/>
  <c r="J168" i="3"/>
  <c r="V168" i="3"/>
  <c r="M168" i="3"/>
  <c r="N168" i="3"/>
  <c r="C168" i="3"/>
  <c r="P168" i="3"/>
  <c r="E168" i="3"/>
  <c r="K176" i="2"/>
  <c r="H175" i="2"/>
  <c r="I170" i="2"/>
  <c r="F170" i="2" s="1"/>
  <c r="L171" i="2"/>
  <c r="F167" i="3"/>
  <c r="D168" i="3"/>
  <c r="M174" i="2"/>
  <c r="J173" i="2"/>
  <c r="O166" i="3"/>
  <c r="H167" i="4" s="1"/>
  <c r="I166" i="3"/>
  <c r="F167" i="4" s="1"/>
  <c r="U166" i="3"/>
  <c r="J167" i="4" s="1"/>
  <c r="G168" i="4"/>
  <c r="L168" i="4" s="1"/>
  <c r="I168" i="4"/>
  <c r="M168" i="4" s="1"/>
  <c r="K168" i="4"/>
  <c r="N168" i="4" s="1"/>
  <c r="C168" i="4"/>
  <c r="AB167" i="3"/>
  <c r="E168" i="4" s="1"/>
  <c r="D169" i="4" l="1"/>
  <c r="K169" i="4"/>
  <c r="N169" i="4" s="1"/>
  <c r="G169" i="4"/>
  <c r="L169" i="4" s="1"/>
  <c r="I169" i="4"/>
  <c r="M169" i="4" s="1"/>
  <c r="A170" i="4"/>
  <c r="P169" i="3"/>
  <c r="E169" i="3"/>
  <c r="G169" i="3"/>
  <c r="S169" i="3"/>
  <c r="Y169" i="3" s="1"/>
  <c r="Z169" i="3" s="1"/>
  <c r="AA169" i="3" s="1"/>
  <c r="H169" i="3"/>
  <c r="T169" i="3"/>
  <c r="J169" i="3"/>
  <c r="V169" i="3"/>
  <c r="M169" i="3"/>
  <c r="C169" i="3"/>
  <c r="N169" i="3"/>
  <c r="C172" i="2"/>
  <c r="F171" i="2"/>
  <c r="E171" i="2"/>
  <c r="J174" i="2"/>
  <c r="M175" i="2"/>
  <c r="C169" i="4"/>
  <c r="AB168" i="3"/>
  <c r="E169" i="4" s="1"/>
  <c r="D172" i="2"/>
  <c r="G171" i="2"/>
  <c r="T171" i="2"/>
  <c r="D169" i="3"/>
  <c r="F168" i="3"/>
  <c r="H176" i="2"/>
  <c r="K177" i="2"/>
  <c r="O167" i="3"/>
  <c r="H168" i="4" s="1"/>
  <c r="I167" i="3"/>
  <c r="F168" i="4" s="1"/>
  <c r="U167" i="3"/>
  <c r="J168" i="4" s="1"/>
  <c r="L172" i="2"/>
  <c r="I171" i="2"/>
  <c r="D170" i="4" l="1"/>
  <c r="H177" i="2"/>
  <c r="K178" i="2"/>
  <c r="E172" i="2"/>
  <c r="C173" i="2"/>
  <c r="K170" i="4"/>
  <c r="N170" i="4" s="1"/>
  <c r="G170" i="4"/>
  <c r="L170" i="4" s="1"/>
  <c r="I170" i="4"/>
  <c r="M170" i="4" s="1"/>
  <c r="A171" i="4"/>
  <c r="M170" i="3"/>
  <c r="N170" i="3"/>
  <c r="C170" i="3"/>
  <c r="P170" i="3"/>
  <c r="E170" i="3"/>
  <c r="G170" i="3"/>
  <c r="S170" i="3"/>
  <c r="Y170" i="3" s="1"/>
  <c r="Z170" i="3" s="1"/>
  <c r="AA170" i="3" s="1"/>
  <c r="H170" i="3"/>
  <c r="T170" i="3"/>
  <c r="J170" i="3"/>
  <c r="V170" i="3"/>
  <c r="I168" i="3"/>
  <c r="F169" i="4" s="1"/>
  <c r="U168" i="3"/>
  <c r="J169" i="4" s="1"/>
  <c r="O168" i="3"/>
  <c r="H169" i="4" s="1"/>
  <c r="F169" i="3"/>
  <c r="D170" i="3"/>
  <c r="C170" i="4"/>
  <c r="AB169" i="3"/>
  <c r="E170" i="4" s="1"/>
  <c r="G172" i="2"/>
  <c r="D173" i="2"/>
  <c r="T172" i="2"/>
  <c r="L173" i="2"/>
  <c r="I172" i="2"/>
  <c r="F172" i="2" s="1"/>
  <c r="J175" i="2"/>
  <c r="M176" i="2"/>
  <c r="D171" i="4" l="1"/>
  <c r="A172" i="4"/>
  <c r="J171" i="3"/>
  <c r="V171" i="3"/>
  <c r="M171" i="3"/>
  <c r="N171" i="3"/>
  <c r="C171" i="3"/>
  <c r="P171" i="3"/>
  <c r="E171" i="3"/>
  <c r="G171" i="3"/>
  <c r="S171" i="3"/>
  <c r="Y171" i="3" s="1"/>
  <c r="Z171" i="3" s="1"/>
  <c r="AA171" i="3" s="1"/>
  <c r="H171" i="3"/>
  <c r="T171" i="3"/>
  <c r="F170" i="3"/>
  <c r="D171" i="3"/>
  <c r="E173" i="2"/>
  <c r="F173" i="2"/>
  <c r="C174" i="2"/>
  <c r="I169" i="3"/>
  <c r="F170" i="4" s="1"/>
  <c r="U169" i="3"/>
  <c r="J170" i="4" s="1"/>
  <c r="O169" i="3"/>
  <c r="H170" i="4" s="1"/>
  <c r="T173" i="2"/>
  <c r="G173" i="2"/>
  <c r="D174" i="2"/>
  <c r="K179" i="2"/>
  <c r="H178" i="2"/>
  <c r="C171" i="4"/>
  <c r="AB170" i="3"/>
  <c r="E171" i="4" s="1"/>
  <c r="M177" i="2"/>
  <c r="J176" i="2"/>
  <c r="I171" i="4"/>
  <c r="M171" i="4" s="1"/>
  <c r="K171" i="4"/>
  <c r="N171" i="4" s="1"/>
  <c r="G171" i="4"/>
  <c r="L171" i="4" s="1"/>
  <c r="I173" i="2"/>
  <c r="L174" i="2"/>
  <c r="D172" i="4" l="1"/>
  <c r="A173" i="4"/>
  <c r="G172" i="3"/>
  <c r="S172" i="3"/>
  <c r="Y172" i="3" s="1"/>
  <c r="Z172" i="3" s="1"/>
  <c r="AA172" i="3" s="1"/>
  <c r="H172" i="3"/>
  <c r="T172" i="3"/>
  <c r="J172" i="3"/>
  <c r="V172" i="3"/>
  <c r="M172" i="3"/>
  <c r="N172" i="3"/>
  <c r="C172" i="3"/>
  <c r="P172" i="3"/>
  <c r="E172" i="3"/>
  <c r="E174" i="2"/>
  <c r="F174" i="2"/>
  <c r="C175" i="2"/>
  <c r="M178" i="2"/>
  <c r="J177" i="2"/>
  <c r="C172" i="4"/>
  <c r="AB171" i="3"/>
  <c r="E172" i="4" s="1"/>
  <c r="F171" i="3"/>
  <c r="D172" i="3"/>
  <c r="L175" i="2"/>
  <c r="I174" i="2"/>
  <c r="O170" i="3"/>
  <c r="H171" i="4" s="1"/>
  <c r="I170" i="3"/>
  <c r="F171" i="4" s="1"/>
  <c r="U170" i="3"/>
  <c r="J171" i="4" s="1"/>
  <c r="K180" i="2"/>
  <c r="H179" i="2"/>
  <c r="I172" i="4"/>
  <c r="M172" i="4" s="1"/>
  <c r="K172" i="4"/>
  <c r="N172" i="4" s="1"/>
  <c r="G172" i="4"/>
  <c r="L172" i="4" s="1"/>
  <c r="T174" i="2"/>
  <c r="G174" i="2"/>
  <c r="D175" i="2"/>
  <c r="D173" i="4" l="1"/>
  <c r="C173" i="4"/>
  <c r="AB172" i="3"/>
  <c r="E173" i="4" s="1"/>
  <c r="J178" i="2"/>
  <c r="M179" i="2"/>
  <c r="H180" i="2"/>
  <c r="K181" i="2"/>
  <c r="F175" i="2"/>
  <c r="C176" i="2"/>
  <c r="E175" i="2"/>
  <c r="O171" i="3"/>
  <c r="H172" i="4" s="1"/>
  <c r="I171" i="3"/>
  <c r="F172" i="4" s="1"/>
  <c r="U171" i="3"/>
  <c r="J172" i="4" s="1"/>
  <c r="D173" i="3"/>
  <c r="F172" i="3"/>
  <c r="G173" i="4"/>
  <c r="L173" i="4" s="1"/>
  <c r="I173" i="4"/>
  <c r="M173" i="4" s="1"/>
  <c r="K173" i="4"/>
  <c r="N173" i="4" s="1"/>
  <c r="G175" i="2"/>
  <c r="D176" i="2"/>
  <c r="T175" i="2"/>
  <c r="A174" i="4"/>
  <c r="P173" i="3"/>
  <c r="E173" i="3"/>
  <c r="G173" i="3"/>
  <c r="S173" i="3"/>
  <c r="Y173" i="3" s="1"/>
  <c r="Z173" i="3" s="1"/>
  <c r="AA173" i="3" s="1"/>
  <c r="H173" i="3"/>
  <c r="T173" i="3"/>
  <c r="J173" i="3"/>
  <c r="V173" i="3"/>
  <c r="M173" i="3"/>
  <c r="C173" i="3"/>
  <c r="N173" i="3"/>
  <c r="L176" i="2"/>
  <c r="I175" i="2"/>
  <c r="D174" i="4" l="1"/>
  <c r="E176" i="2"/>
  <c r="C177" i="2"/>
  <c r="K182" i="2"/>
  <c r="H181" i="2"/>
  <c r="M180" i="2"/>
  <c r="J179" i="2"/>
  <c r="C174" i="4"/>
  <c r="AB173" i="3"/>
  <c r="E174" i="4" s="1"/>
  <c r="D177" i="2"/>
  <c r="T176" i="2"/>
  <c r="G176" i="2"/>
  <c r="A175" i="4"/>
  <c r="M174" i="3"/>
  <c r="N174" i="3"/>
  <c r="C174" i="3"/>
  <c r="P174" i="3"/>
  <c r="E174" i="3"/>
  <c r="G174" i="3"/>
  <c r="S174" i="3"/>
  <c r="Y174" i="3" s="1"/>
  <c r="Z174" i="3" s="1"/>
  <c r="AA174" i="3" s="1"/>
  <c r="H174" i="3"/>
  <c r="T174" i="3"/>
  <c r="J174" i="3"/>
  <c r="V174" i="3"/>
  <c r="I172" i="3"/>
  <c r="F173" i="4" s="1"/>
  <c r="U172" i="3"/>
  <c r="J173" i="4" s="1"/>
  <c r="O172" i="3"/>
  <c r="H173" i="4" s="1"/>
  <c r="L177" i="2"/>
  <c r="I176" i="2"/>
  <c r="F176" i="2" s="1"/>
  <c r="F173" i="3"/>
  <c r="D174" i="3"/>
  <c r="G174" i="4"/>
  <c r="L174" i="4" s="1"/>
  <c r="I174" i="4"/>
  <c r="M174" i="4" s="1"/>
  <c r="K174" i="4"/>
  <c r="N174" i="4" s="1"/>
  <c r="D175" i="4" l="1"/>
  <c r="T177" i="2"/>
  <c r="G177" i="2"/>
  <c r="D178" i="2"/>
  <c r="F174" i="3"/>
  <c r="D175" i="3"/>
  <c r="I173" i="3"/>
  <c r="F174" i="4" s="1"/>
  <c r="U173" i="3"/>
  <c r="J174" i="4" s="1"/>
  <c r="O173" i="3"/>
  <c r="H174" i="4" s="1"/>
  <c r="A176" i="4"/>
  <c r="J175" i="3"/>
  <c r="V175" i="3"/>
  <c r="M175" i="3"/>
  <c r="N175" i="3"/>
  <c r="C175" i="3"/>
  <c r="P175" i="3"/>
  <c r="E175" i="3"/>
  <c r="G175" i="3"/>
  <c r="S175" i="3"/>
  <c r="Y175" i="3" s="1"/>
  <c r="Z175" i="3" s="1"/>
  <c r="AA175" i="3" s="1"/>
  <c r="H175" i="3"/>
  <c r="T175" i="3"/>
  <c r="M181" i="2"/>
  <c r="J180" i="2"/>
  <c r="I177" i="2"/>
  <c r="L178" i="2"/>
  <c r="K183" i="2"/>
  <c r="H182" i="2"/>
  <c r="C175" i="4"/>
  <c r="AB174" i="3"/>
  <c r="E175" i="4" s="1"/>
  <c r="E177" i="2"/>
  <c r="C178" i="2"/>
  <c r="F177" i="2"/>
  <c r="G175" i="4"/>
  <c r="L175" i="4" s="1"/>
  <c r="I175" i="4"/>
  <c r="M175" i="4" s="1"/>
  <c r="K175" i="4"/>
  <c r="N175" i="4" s="1"/>
  <c r="D176" i="4" l="1"/>
  <c r="G176" i="4"/>
  <c r="L176" i="4" s="1"/>
  <c r="I176" i="4"/>
  <c r="M176" i="4" s="1"/>
  <c r="K176" i="4"/>
  <c r="N176" i="4" s="1"/>
  <c r="A177" i="4"/>
  <c r="G176" i="3"/>
  <c r="S176" i="3"/>
  <c r="Y176" i="3" s="1"/>
  <c r="Z176" i="3" s="1"/>
  <c r="AA176" i="3" s="1"/>
  <c r="H176" i="3"/>
  <c r="T176" i="3"/>
  <c r="J176" i="3"/>
  <c r="V176" i="3"/>
  <c r="M176" i="3"/>
  <c r="N176" i="3"/>
  <c r="C176" i="3"/>
  <c r="P176" i="3"/>
  <c r="E176" i="3"/>
  <c r="F175" i="3"/>
  <c r="D176" i="3"/>
  <c r="C179" i="2"/>
  <c r="E178" i="2"/>
  <c r="O174" i="3"/>
  <c r="H175" i="4" s="1"/>
  <c r="I174" i="3"/>
  <c r="F175" i="4" s="1"/>
  <c r="U174" i="3"/>
  <c r="J175" i="4" s="1"/>
  <c r="T178" i="2"/>
  <c r="G178" i="2"/>
  <c r="D179" i="2"/>
  <c r="K184" i="2"/>
  <c r="H183" i="2"/>
  <c r="I178" i="2"/>
  <c r="F178" i="2" s="1"/>
  <c r="L179" i="2"/>
  <c r="C176" i="4"/>
  <c r="AB175" i="3"/>
  <c r="E176" i="4" s="1"/>
  <c r="M182" i="2"/>
  <c r="J181" i="2"/>
  <c r="D177" i="4" l="1"/>
  <c r="L180" i="2"/>
  <c r="I179" i="2"/>
  <c r="F179" i="2"/>
  <c r="C180" i="2"/>
  <c r="E179" i="2"/>
  <c r="D177" i="3"/>
  <c r="F176" i="3"/>
  <c r="O175" i="3"/>
  <c r="H176" i="4" s="1"/>
  <c r="U175" i="3"/>
  <c r="J176" i="4" s="1"/>
  <c r="I175" i="3"/>
  <c r="F176" i="4" s="1"/>
  <c r="H184" i="2"/>
  <c r="K185" i="2"/>
  <c r="A178" i="4"/>
  <c r="P177" i="3"/>
  <c r="E177" i="3"/>
  <c r="G177" i="3"/>
  <c r="S177" i="3"/>
  <c r="Y177" i="3" s="1"/>
  <c r="Z177" i="3" s="1"/>
  <c r="AA177" i="3" s="1"/>
  <c r="H177" i="3"/>
  <c r="T177" i="3"/>
  <c r="J177" i="3"/>
  <c r="V177" i="3"/>
  <c r="M177" i="3"/>
  <c r="N177" i="3"/>
  <c r="C177" i="3"/>
  <c r="G177" i="4"/>
  <c r="L177" i="4" s="1"/>
  <c r="I177" i="4"/>
  <c r="M177" i="4" s="1"/>
  <c r="K177" i="4"/>
  <c r="N177" i="4" s="1"/>
  <c r="G179" i="2"/>
  <c r="D180" i="2"/>
  <c r="T179" i="2"/>
  <c r="C177" i="4"/>
  <c r="AB176" i="3"/>
  <c r="E177" i="4" s="1"/>
  <c r="J182" i="2"/>
  <c r="M183" i="2"/>
  <c r="D178" i="4" l="1"/>
  <c r="I176" i="3"/>
  <c r="F177" i="4" s="1"/>
  <c r="U176" i="3"/>
  <c r="J177" i="4" s="1"/>
  <c r="O176" i="3"/>
  <c r="H177" i="4" s="1"/>
  <c r="F177" i="3"/>
  <c r="D178" i="3"/>
  <c r="G180" i="2"/>
  <c r="D181" i="2"/>
  <c r="T180" i="2"/>
  <c r="A179" i="4"/>
  <c r="M178" i="3"/>
  <c r="N178" i="3"/>
  <c r="C178" i="3"/>
  <c r="P178" i="3"/>
  <c r="E178" i="3"/>
  <c r="G178" i="3"/>
  <c r="S178" i="3"/>
  <c r="Y178" i="3" s="1"/>
  <c r="Z178" i="3" s="1"/>
  <c r="AA178" i="3" s="1"/>
  <c r="H178" i="3"/>
  <c r="T178" i="3"/>
  <c r="J178" i="3"/>
  <c r="V178" i="3"/>
  <c r="E180" i="2"/>
  <c r="C181" i="2"/>
  <c r="J183" i="2"/>
  <c r="M184" i="2"/>
  <c r="G178" i="4"/>
  <c r="L178" i="4" s="1"/>
  <c r="K178" i="4"/>
  <c r="N178" i="4" s="1"/>
  <c r="I178" i="4"/>
  <c r="M178" i="4" s="1"/>
  <c r="L181" i="2"/>
  <c r="I180" i="2"/>
  <c r="F180" i="2" s="1"/>
  <c r="H185" i="2"/>
  <c r="K186" i="2"/>
  <c r="C178" i="4"/>
  <c r="AB177" i="3"/>
  <c r="E178" i="4" s="1"/>
  <c r="D179" i="4" l="1"/>
  <c r="I181" i="2"/>
  <c r="L182" i="2"/>
  <c r="G179" i="4"/>
  <c r="L179" i="4" s="1"/>
  <c r="I179" i="4"/>
  <c r="M179" i="4" s="1"/>
  <c r="K179" i="4"/>
  <c r="N179" i="4" s="1"/>
  <c r="T181" i="2"/>
  <c r="D182" i="2"/>
  <c r="G181" i="2"/>
  <c r="C179" i="4"/>
  <c r="AB178" i="3"/>
  <c r="E179" i="4" s="1"/>
  <c r="F178" i="3"/>
  <c r="D179" i="3"/>
  <c r="I177" i="3"/>
  <c r="F178" i="4" s="1"/>
  <c r="U177" i="3"/>
  <c r="J178" i="4" s="1"/>
  <c r="O177" i="3"/>
  <c r="H178" i="4" s="1"/>
  <c r="A180" i="4"/>
  <c r="J179" i="3"/>
  <c r="V179" i="3"/>
  <c r="M179" i="3"/>
  <c r="N179" i="3"/>
  <c r="C179" i="3"/>
  <c r="P179" i="3"/>
  <c r="E179" i="3"/>
  <c r="G179" i="3"/>
  <c r="S179" i="3"/>
  <c r="Y179" i="3" s="1"/>
  <c r="Z179" i="3" s="1"/>
  <c r="AA179" i="3" s="1"/>
  <c r="T179" i="3"/>
  <c r="H179" i="3"/>
  <c r="K187" i="2"/>
  <c r="H186" i="2"/>
  <c r="E181" i="2"/>
  <c r="F181" i="2"/>
  <c r="C182" i="2"/>
  <c r="M185" i="2"/>
  <c r="J184" i="2"/>
  <c r="D180" i="4" l="1"/>
  <c r="C180" i="4"/>
  <c r="AB179" i="3"/>
  <c r="E180" i="4" s="1"/>
  <c r="T182" i="2"/>
  <c r="D183" i="2"/>
  <c r="G182" i="2"/>
  <c r="K188" i="2"/>
  <c r="H187" i="2"/>
  <c r="I180" i="4"/>
  <c r="M180" i="4" s="1"/>
  <c r="G180" i="4"/>
  <c r="L180" i="4" s="1"/>
  <c r="K180" i="4"/>
  <c r="N180" i="4" s="1"/>
  <c r="F179" i="3"/>
  <c r="D180" i="3"/>
  <c r="O178" i="3"/>
  <c r="H179" i="4" s="1"/>
  <c r="I178" i="3"/>
  <c r="F179" i="4" s="1"/>
  <c r="U178" i="3"/>
  <c r="J179" i="4" s="1"/>
  <c r="I182" i="2"/>
  <c r="L183" i="2"/>
  <c r="A181" i="4"/>
  <c r="G180" i="3"/>
  <c r="S180" i="3"/>
  <c r="Y180" i="3" s="1"/>
  <c r="Z180" i="3" s="1"/>
  <c r="AA180" i="3" s="1"/>
  <c r="H180" i="3"/>
  <c r="T180" i="3"/>
  <c r="J180" i="3"/>
  <c r="V180" i="3"/>
  <c r="M180" i="3"/>
  <c r="N180" i="3"/>
  <c r="C180" i="3"/>
  <c r="P180" i="3"/>
  <c r="E180" i="3"/>
  <c r="M186" i="2"/>
  <c r="J185" i="2"/>
  <c r="E182" i="2"/>
  <c r="F182" i="2"/>
  <c r="C183" i="2"/>
  <c r="D181" i="4" l="1"/>
  <c r="A182" i="4"/>
  <c r="P181" i="3"/>
  <c r="E181" i="3"/>
  <c r="G181" i="3"/>
  <c r="S181" i="3"/>
  <c r="Y181" i="3" s="1"/>
  <c r="Z181" i="3" s="1"/>
  <c r="AA181" i="3" s="1"/>
  <c r="H181" i="3"/>
  <c r="T181" i="3"/>
  <c r="J181" i="3"/>
  <c r="V181" i="3"/>
  <c r="C181" i="3"/>
  <c r="M181" i="3"/>
  <c r="N181" i="3"/>
  <c r="K181" i="4"/>
  <c r="N181" i="4" s="1"/>
  <c r="G181" i="4"/>
  <c r="L181" i="4" s="1"/>
  <c r="I181" i="4"/>
  <c r="M181" i="4" s="1"/>
  <c r="L184" i="2"/>
  <c r="I183" i="2"/>
  <c r="F183" i="2" s="1"/>
  <c r="H188" i="2"/>
  <c r="K189" i="2"/>
  <c r="C181" i="4"/>
  <c r="AB180" i="3"/>
  <c r="E181" i="4" s="1"/>
  <c r="D184" i="2"/>
  <c r="G183" i="2"/>
  <c r="T183" i="2"/>
  <c r="D181" i="3"/>
  <c r="F180" i="3"/>
  <c r="C184" i="2"/>
  <c r="E183" i="2"/>
  <c r="O179" i="3"/>
  <c r="H180" i="4" s="1"/>
  <c r="U179" i="3"/>
  <c r="J180" i="4" s="1"/>
  <c r="I179" i="3"/>
  <c r="F180" i="4" s="1"/>
  <c r="J186" i="2"/>
  <c r="M187" i="2"/>
  <c r="D182" i="4" l="1"/>
  <c r="L185" i="2"/>
  <c r="I184" i="2"/>
  <c r="F181" i="3"/>
  <c r="D182" i="3"/>
  <c r="A183" i="4"/>
  <c r="M182" i="3"/>
  <c r="N182" i="3"/>
  <c r="C182" i="3"/>
  <c r="P182" i="3"/>
  <c r="E182" i="3"/>
  <c r="G182" i="3"/>
  <c r="S182" i="3"/>
  <c r="Y182" i="3" s="1"/>
  <c r="Z182" i="3" s="1"/>
  <c r="AA182" i="3" s="1"/>
  <c r="H182" i="3"/>
  <c r="T182" i="3"/>
  <c r="V182" i="3"/>
  <c r="J182" i="3"/>
  <c r="E184" i="2"/>
  <c r="F184" i="2"/>
  <c r="C185" i="2"/>
  <c r="I180" i="3"/>
  <c r="F181" i="4" s="1"/>
  <c r="U180" i="3"/>
  <c r="J181" i="4" s="1"/>
  <c r="O180" i="3"/>
  <c r="H181" i="4" s="1"/>
  <c r="G184" i="2"/>
  <c r="D185" i="2"/>
  <c r="T184" i="2"/>
  <c r="K182" i="4"/>
  <c r="N182" i="4" s="1"/>
  <c r="G182" i="4"/>
  <c r="L182" i="4" s="1"/>
  <c r="I182" i="4"/>
  <c r="M182" i="4" s="1"/>
  <c r="C182" i="4"/>
  <c r="AB181" i="3"/>
  <c r="E182" i="4" s="1"/>
  <c r="J187" i="2"/>
  <c r="M188" i="2"/>
  <c r="H189" i="2"/>
  <c r="K190" i="2"/>
  <c r="D183" i="4" l="1"/>
  <c r="E185" i="2"/>
  <c r="C186" i="2"/>
  <c r="C183" i="4"/>
  <c r="AB182" i="3"/>
  <c r="E183" i="4" s="1"/>
  <c r="I183" i="4"/>
  <c r="M183" i="4" s="1"/>
  <c r="K183" i="4"/>
  <c r="N183" i="4" s="1"/>
  <c r="G183" i="4"/>
  <c r="L183" i="4" s="1"/>
  <c r="F182" i="3"/>
  <c r="D183" i="3"/>
  <c r="I181" i="3"/>
  <c r="F182" i="4" s="1"/>
  <c r="U181" i="3"/>
  <c r="J182" i="4" s="1"/>
  <c r="O181" i="3"/>
  <c r="H182" i="4" s="1"/>
  <c r="K191" i="2"/>
  <c r="H190" i="2"/>
  <c r="T185" i="2"/>
  <c r="G185" i="2"/>
  <c r="D186" i="2"/>
  <c r="I185" i="2"/>
  <c r="F185" i="2" s="1"/>
  <c r="L186" i="2"/>
  <c r="M189" i="2"/>
  <c r="J188" i="2"/>
  <c r="A184" i="4"/>
  <c r="J183" i="3"/>
  <c r="V183" i="3"/>
  <c r="M183" i="3"/>
  <c r="N183" i="3"/>
  <c r="C183" i="3"/>
  <c r="P183" i="3"/>
  <c r="E183" i="3"/>
  <c r="G183" i="3"/>
  <c r="H183" i="3"/>
  <c r="T183" i="3"/>
  <c r="S183" i="3"/>
  <c r="Y183" i="3" s="1"/>
  <c r="Z183" i="3" s="1"/>
  <c r="AA183" i="3" s="1"/>
  <c r="D184" i="4" l="1"/>
  <c r="T186" i="2"/>
  <c r="G186" i="2"/>
  <c r="D187" i="2"/>
  <c r="C184" i="4"/>
  <c r="AB183" i="3"/>
  <c r="E184" i="4" s="1"/>
  <c r="K192" i="2"/>
  <c r="H191" i="2"/>
  <c r="E186" i="2"/>
  <c r="C187" i="2"/>
  <c r="I184" i="4"/>
  <c r="M184" i="4" s="1"/>
  <c r="K184" i="4"/>
  <c r="N184" i="4" s="1"/>
  <c r="G184" i="4"/>
  <c r="L184" i="4" s="1"/>
  <c r="A185" i="4"/>
  <c r="G184" i="3"/>
  <c r="S184" i="3"/>
  <c r="Y184" i="3" s="1"/>
  <c r="Z184" i="3" s="1"/>
  <c r="AA184" i="3" s="1"/>
  <c r="H184" i="3"/>
  <c r="T184" i="3"/>
  <c r="J184" i="3"/>
  <c r="V184" i="3"/>
  <c r="M184" i="3"/>
  <c r="N184" i="3"/>
  <c r="C184" i="3"/>
  <c r="E184" i="3"/>
  <c r="P184" i="3"/>
  <c r="F183" i="3"/>
  <c r="D184" i="3"/>
  <c r="M190" i="2"/>
  <c r="J189" i="2"/>
  <c r="O182" i="3"/>
  <c r="H183" i="4" s="1"/>
  <c r="I182" i="3"/>
  <c r="F183" i="4" s="1"/>
  <c r="U182" i="3"/>
  <c r="J183" i="4" s="1"/>
  <c r="L187" i="2"/>
  <c r="I186" i="2"/>
  <c r="F186" i="2" s="1"/>
  <c r="D185" i="4" l="1"/>
  <c r="H192" i="2"/>
  <c r="K193" i="2"/>
  <c r="C188" i="2"/>
  <c r="E187" i="2"/>
  <c r="J190" i="2"/>
  <c r="M191" i="2"/>
  <c r="D185" i="3"/>
  <c r="F184" i="3"/>
  <c r="O183" i="3"/>
  <c r="H184" i="4" s="1"/>
  <c r="U183" i="3"/>
  <c r="J184" i="4" s="1"/>
  <c r="I183" i="3"/>
  <c r="F184" i="4" s="1"/>
  <c r="A186" i="4"/>
  <c r="P185" i="3"/>
  <c r="E185" i="3"/>
  <c r="G185" i="3"/>
  <c r="S185" i="3"/>
  <c r="Y185" i="3" s="1"/>
  <c r="Z185" i="3" s="1"/>
  <c r="AA185" i="3" s="1"/>
  <c r="H185" i="3"/>
  <c r="T185" i="3"/>
  <c r="J185" i="3"/>
  <c r="V185" i="3"/>
  <c r="C185" i="3"/>
  <c r="M185" i="3"/>
  <c r="N185" i="3"/>
  <c r="G185" i="4"/>
  <c r="L185" i="4" s="1"/>
  <c r="I185" i="4"/>
  <c r="M185" i="4" s="1"/>
  <c r="K185" i="4"/>
  <c r="N185" i="4" s="1"/>
  <c r="G187" i="2"/>
  <c r="D188" i="2"/>
  <c r="T187" i="2"/>
  <c r="L188" i="2"/>
  <c r="I187" i="2"/>
  <c r="F187" i="2" s="1"/>
  <c r="C185" i="4"/>
  <c r="AB184" i="3"/>
  <c r="E185" i="4" s="1"/>
  <c r="D186" i="4" l="1"/>
  <c r="D189" i="2"/>
  <c r="T188" i="2"/>
  <c r="G188" i="2"/>
  <c r="I184" i="3"/>
  <c r="F185" i="4" s="1"/>
  <c r="U184" i="3"/>
  <c r="J185" i="4" s="1"/>
  <c r="O184" i="3"/>
  <c r="H185" i="4" s="1"/>
  <c r="F185" i="3"/>
  <c r="D186" i="3"/>
  <c r="M192" i="2"/>
  <c r="J191" i="2"/>
  <c r="A187" i="4"/>
  <c r="M186" i="3"/>
  <c r="N186" i="3"/>
  <c r="C186" i="3"/>
  <c r="P186" i="3"/>
  <c r="E186" i="3"/>
  <c r="G186" i="3"/>
  <c r="S186" i="3"/>
  <c r="Y186" i="3" s="1"/>
  <c r="Z186" i="3" s="1"/>
  <c r="AA186" i="3" s="1"/>
  <c r="H186" i="3"/>
  <c r="T186" i="3"/>
  <c r="V186" i="3"/>
  <c r="J186" i="3"/>
  <c r="E188" i="2"/>
  <c r="C189" i="2"/>
  <c r="K194" i="2"/>
  <c r="H193" i="2"/>
  <c r="G186" i="4"/>
  <c r="L186" i="4" s="1"/>
  <c r="I186" i="4"/>
  <c r="M186" i="4" s="1"/>
  <c r="K186" i="4"/>
  <c r="N186" i="4" s="1"/>
  <c r="C186" i="4"/>
  <c r="AB185" i="3"/>
  <c r="E186" i="4" s="1"/>
  <c r="L189" i="2"/>
  <c r="I188" i="2"/>
  <c r="F188" i="2" s="1"/>
  <c r="D187" i="4" l="1"/>
  <c r="M193" i="2"/>
  <c r="J192" i="2"/>
  <c r="F186" i="3"/>
  <c r="D187" i="3"/>
  <c r="I185" i="3"/>
  <c r="F186" i="4" s="1"/>
  <c r="U185" i="3"/>
  <c r="J186" i="4" s="1"/>
  <c r="O185" i="3"/>
  <c r="H186" i="4" s="1"/>
  <c r="K195" i="2"/>
  <c r="H194" i="2"/>
  <c r="A188" i="4"/>
  <c r="J187" i="3"/>
  <c r="V187" i="3"/>
  <c r="M187" i="3"/>
  <c r="N187" i="3"/>
  <c r="C187" i="3"/>
  <c r="P187" i="3"/>
  <c r="E187" i="3"/>
  <c r="G187" i="3"/>
  <c r="H187" i="3"/>
  <c r="T187" i="3"/>
  <c r="S187" i="3"/>
  <c r="Y187" i="3" s="1"/>
  <c r="Z187" i="3" s="1"/>
  <c r="AA187" i="3" s="1"/>
  <c r="I189" i="2"/>
  <c r="F189" i="2" s="1"/>
  <c r="L190" i="2"/>
  <c r="E189" i="2"/>
  <c r="C190" i="2"/>
  <c r="T189" i="2"/>
  <c r="D190" i="2"/>
  <c r="G189" i="2"/>
  <c r="C187" i="4"/>
  <c r="AB186" i="3"/>
  <c r="E187" i="4" s="1"/>
  <c r="G187" i="4"/>
  <c r="L187" i="4" s="1"/>
  <c r="I187" i="4"/>
  <c r="M187" i="4" s="1"/>
  <c r="K187" i="4"/>
  <c r="N187" i="4" s="1"/>
  <c r="D188" i="4" l="1"/>
  <c r="K196" i="2"/>
  <c r="H195" i="2"/>
  <c r="T190" i="2"/>
  <c r="G190" i="2"/>
  <c r="D191" i="2"/>
  <c r="G188" i="4"/>
  <c r="L188" i="4" s="1"/>
  <c r="I188" i="4"/>
  <c r="M188" i="4" s="1"/>
  <c r="K188" i="4"/>
  <c r="N188" i="4" s="1"/>
  <c r="A189" i="4"/>
  <c r="G188" i="3"/>
  <c r="S188" i="3"/>
  <c r="Y188" i="3" s="1"/>
  <c r="Z188" i="3" s="1"/>
  <c r="AA188" i="3" s="1"/>
  <c r="M188" i="3"/>
  <c r="C188" i="3"/>
  <c r="T188" i="3"/>
  <c r="V188" i="3"/>
  <c r="E188" i="3"/>
  <c r="H188" i="3"/>
  <c r="J188" i="3"/>
  <c r="P188" i="3"/>
  <c r="N188" i="3"/>
  <c r="F187" i="3"/>
  <c r="D188" i="3"/>
  <c r="O186" i="3"/>
  <c r="H187" i="4" s="1"/>
  <c r="I186" i="3"/>
  <c r="F187" i="4" s="1"/>
  <c r="U186" i="3"/>
  <c r="J187" i="4" s="1"/>
  <c r="C191" i="2"/>
  <c r="E190" i="2"/>
  <c r="F190" i="2"/>
  <c r="C188" i="4"/>
  <c r="AB187" i="3"/>
  <c r="E188" i="4" s="1"/>
  <c r="M194" i="2"/>
  <c r="J193" i="2"/>
  <c r="I190" i="2"/>
  <c r="L191" i="2"/>
  <c r="D189" i="4" l="1"/>
  <c r="A190" i="4"/>
  <c r="P189" i="3"/>
  <c r="H189" i="3"/>
  <c r="T189" i="3"/>
  <c r="J189" i="3"/>
  <c r="V189" i="3"/>
  <c r="M189" i="3"/>
  <c r="N189" i="3"/>
  <c r="S189" i="3"/>
  <c r="Y189" i="3" s="1"/>
  <c r="Z189" i="3" s="1"/>
  <c r="AA189" i="3" s="1"/>
  <c r="G189" i="3"/>
  <c r="C189" i="3"/>
  <c r="E189" i="3"/>
  <c r="G191" i="2"/>
  <c r="D192" i="2"/>
  <c r="T191" i="2"/>
  <c r="C189" i="4"/>
  <c r="AB188" i="3"/>
  <c r="E189" i="4" s="1"/>
  <c r="L192" i="2"/>
  <c r="I191" i="2"/>
  <c r="F191" i="2" s="1"/>
  <c r="D189" i="3"/>
  <c r="F188" i="3"/>
  <c r="C192" i="2"/>
  <c r="E191" i="2"/>
  <c r="O187" i="3"/>
  <c r="H188" i="4" s="1"/>
  <c r="U187" i="3"/>
  <c r="J188" i="4" s="1"/>
  <c r="I187" i="3"/>
  <c r="F188" i="4" s="1"/>
  <c r="H196" i="2"/>
  <c r="K197" i="2"/>
  <c r="G189" i="4"/>
  <c r="L189" i="4" s="1"/>
  <c r="I189" i="4"/>
  <c r="M189" i="4" s="1"/>
  <c r="K189" i="4"/>
  <c r="N189" i="4" s="1"/>
  <c r="J194" i="2"/>
  <c r="M195" i="2"/>
  <c r="D190" i="4" l="1"/>
  <c r="I188" i="3"/>
  <c r="F189" i="4" s="1"/>
  <c r="U188" i="3"/>
  <c r="J189" i="4" s="1"/>
  <c r="O188" i="3"/>
  <c r="H189" i="4" s="1"/>
  <c r="C190" i="4"/>
  <c r="AB189" i="3"/>
  <c r="E190" i="4" s="1"/>
  <c r="F189" i="3"/>
  <c r="D190" i="3"/>
  <c r="L193" i="2"/>
  <c r="I192" i="2"/>
  <c r="F192" i="2" s="1"/>
  <c r="A191" i="4"/>
  <c r="M190" i="3"/>
  <c r="C190" i="3"/>
  <c r="E190" i="3"/>
  <c r="G190" i="3"/>
  <c r="S190" i="3"/>
  <c r="Y190" i="3" s="1"/>
  <c r="Z190" i="3" s="1"/>
  <c r="AA190" i="3" s="1"/>
  <c r="V190" i="3"/>
  <c r="H190" i="3"/>
  <c r="J190" i="3"/>
  <c r="N190" i="3"/>
  <c r="P190" i="3"/>
  <c r="T190" i="3"/>
  <c r="G192" i="2"/>
  <c r="D193" i="2"/>
  <c r="T192" i="2"/>
  <c r="H197" i="2"/>
  <c r="K198" i="2"/>
  <c r="J195" i="2"/>
  <c r="M196" i="2"/>
  <c r="G190" i="4"/>
  <c r="L190" i="4" s="1"/>
  <c r="I190" i="4"/>
  <c r="M190" i="4" s="1"/>
  <c r="K190" i="4"/>
  <c r="N190" i="4" s="1"/>
  <c r="E192" i="2"/>
  <c r="C193" i="2"/>
  <c r="D191" i="4" l="1"/>
  <c r="G191" i="4"/>
  <c r="L191" i="4" s="1"/>
  <c r="I191" i="4"/>
  <c r="M191" i="4" s="1"/>
  <c r="K191" i="4"/>
  <c r="N191" i="4" s="1"/>
  <c r="I193" i="2"/>
  <c r="L194" i="2"/>
  <c r="D191" i="3"/>
  <c r="F190" i="3"/>
  <c r="I189" i="3"/>
  <c r="F190" i="4" s="1"/>
  <c r="O189" i="3"/>
  <c r="H190" i="4" s="1"/>
  <c r="U189" i="3"/>
  <c r="J190" i="4" s="1"/>
  <c r="K199" i="2"/>
  <c r="H198" i="2"/>
  <c r="A192" i="4"/>
  <c r="J191" i="3"/>
  <c r="V191" i="3"/>
  <c r="N191" i="3"/>
  <c r="P191" i="3"/>
  <c r="S191" i="3"/>
  <c r="Y191" i="3" s="1"/>
  <c r="Z191" i="3" s="1"/>
  <c r="AA191" i="3" s="1"/>
  <c r="T191" i="3"/>
  <c r="C191" i="3"/>
  <c r="E191" i="3"/>
  <c r="G191" i="3"/>
  <c r="H191" i="3"/>
  <c r="M191" i="3"/>
  <c r="M197" i="2"/>
  <c r="J196" i="2"/>
  <c r="E193" i="2"/>
  <c r="F193" i="2"/>
  <c r="C194" i="2"/>
  <c r="T193" i="2"/>
  <c r="D194" i="2"/>
  <c r="G193" i="2"/>
  <c r="C191" i="4"/>
  <c r="AB190" i="3"/>
  <c r="E191" i="4" s="1"/>
  <c r="D192" i="4" l="1"/>
  <c r="O190" i="3"/>
  <c r="H191" i="4" s="1"/>
  <c r="I190" i="3"/>
  <c r="F191" i="4" s="1"/>
  <c r="U190" i="3"/>
  <c r="J191" i="4" s="1"/>
  <c r="E194" i="2"/>
  <c r="C195" i="2"/>
  <c r="F191" i="3"/>
  <c r="D192" i="3"/>
  <c r="I194" i="2"/>
  <c r="F194" i="2" s="1"/>
  <c r="L195" i="2"/>
  <c r="M198" i="2"/>
  <c r="J197" i="2"/>
  <c r="C192" i="4"/>
  <c r="AB191" i="3"/>
  <c r="E192" i="4" s="1"/>
  <c r="K192" i="4"/>
  <c r="N192" i="4" s="1"/>
  <c r="G192" i="4"/>
  <c r="L192" i="4" s="1"/>
  <c r="I192" i="4"/>
  <c r="M192" i="4" s="1"/>
  <c r="A193" i="4"/>
  <c r="G192" i="3"/>
  <c r="S192" i="3"/>
  <c r="Y192" i="3" s="1"/>
  <c r="Z192" i="3" s="1"/>
  <c r="AA192" i="3" s="1"/>
  <c r="M192" i="3"/>
  <c r="C192" i="3"/>
  <c r="H192" i="3"/>
  <c r="J192" i="3"/>
  <c r="N192" i="3"/>
  <c r="P192" i="3"/>
  <c r="T192" i="3"/>
  <c r="E192" i="3"/>
  <c r="V192" i="3"/>
  <c r="K200" i="2"/>
  <c r="H199" i="2"/>
  <c r="T194" i="2"/>
  <c r="D195" i="2"/>
  <c r="G194" i="2"/>
  <c r="D193" i="4" l="1"/>
  <c r="I195" i="2"/>
  <c r="L196" i="2"/>
  <c r="K193" i="4"/>
  <c r="N193" i="4" s="1"/>
  <c r="G193" i="4"/>
  <c r="L193" i="4" s="1"/>
  <c r="I193" i="4"/>
  <c r="M193" i="4" s="1"/>
  <c r="D193" i="3"/>
  <c r="F192" i="3"/>
  <c r="O191" i="3"/>
  <c r="H192" i="4" s="1"/>
  <c r="U191" i="3"/>
  <c r="J192" i="4" s="1"/>
  <c r="I191" i="3"/>
  <c r="F192" i="4" s="1"/>
  <c r="C196" i="2"/>
  <c r="F195" i="2"/>
  <c r="E195" i="2"/>
  <c r="A194" i="4"/>
  <c r="P193" i="3"/>
  <c r="H193" i="3"/>
  <c r="T193" i="3"/>
  <c r="J193" i="3"/>
  <c r="V193" i="3"/>
  <c r="S193" i="3"/>
  <c r="Y193" i="3" s="1"/>
  <c r="Z193" i="3" s="1"/>
  <c r="AA193" i="3" s="1"/>
  <c r="C193" i="3"/>
  <c r="E193" i="3"/>
  <c r="G193" i="3"/>
  <c r="M193" i="3"/>
  <c r="N193" i="3"/>
  <c r="K201" i="2"/>
  <c r="H200" i="2"/>
  <c r="D196" i="2"/>
  <c r="G195" i="2"/>
  <c r="T195" i="2"/>
  <c r="C193" i="4"/>
  <c r="AB192" i="3"/>
  <c r="E193" i="4" s="1"/>
  <c r="M199" i="2"/>
  <c r="J198" i="2"/>
  <c r="D194" i="4" l="1"/>
  <c r="F193" i="3"/>
  <c r="D194" i="3"/>
  <c r="I192" i="3"/>
  <c r="F193" i="4" s="1"/>
  <c r="U192" i="3"/>
  <c r="J193" i="4" s="1"/>
  <c r="O192" i="3"/>
  <c r="H193" i="4" s="1"/>
  <c r="K194" i="4"/>
  <c r="N194" i="4" s="1"/>
  <c r="G194" i="4"/>
  <c r="L194" i="4" s="1"/>
  <c r="I194" i="4"/>
  <c r="M194" i="4" s="1"/>
  <c r="C194" i="4"/>
  <c r="AB193" i="3"/>
  <c r="E194" i="4" s="1"/>
  <c r="A195" i="4"/>
  <c r="M194" i="3"/>
  <c r="C194" i="3"/>
  <c r="E194" i="3"/>
  <c r="G194" i="3"/>
  <c r="S194" i="3"/>
  <c r="Y194" i="3" s="1"/>
  <c r="Z194" i="3" s="1"/>
  <c r="AA194" i="3" s="1"/>
  <c r="N194" i="3"/>
  <c r="P194" i="3"/>
  <c r="T194" i="3"/>
  <c r="V194" i="3"/>
  <c r="J194" i="3"/>
  <c r="H194" i="3"/>
  <c r="C197" i="2"/>
  <c r="E196" i="2"/>
  <c r="L197" i="2"/>
  <c r="I196" i="2"/>
  <c r="F196" i="2" s="1"/>
  <c r="G196" i="2"/>
  <c r="D197" i="2"/>
  <c r="T196" i="2"/>
  <c r="H201" i="2"/>
  <c r="K202" i="2"/>
  <c r="J199" i="2"/>
  <c r="M200" i="2"/>
  <c r="D195" i="4" l="1"/>
  <c r="I197" i="2"/>
  <c r="L198" i="2"/>
  <c r="C195" i="4"/>
  <c r="AB194" i="3"/>
  <c r="E195" i="4" s="1"/>
  <c r="M201" i="2"/>
  <c r="J200" i="2"/>
  <c r="I195" i="4"/>
  <c r="M195" i="4" s="1"/>
  <c r="K195" i="4"/>
  <c r="N195" i="4" s="1"/>
  <c r="G195" i="4"/>
  <c r="L195" i="4" s="1"/>
  <c r="D195" i="3"/>
  <c r="F194" i="3"/>
  <c r="G197" i="2"/>
  <c r="T197" i="2"/>
  <c r="D198" i="2"/>
  <c r="E197" i="2"/>
  <c r="F197" i="2"/>
  <c r="C198" i="2"/>
  <c r="U193" i="3"/>
  <c r="J194" i="4" s="1"/>
  <c r="I193" i="3"/>
  <c r="F194" i="4" s="1"/>
  <c r="O193" i="3"/>
  <c r="H194" i="4" s="1"/>
  <c r="K203" i="2"/>
  <c r="H202" i="2"/>
  <c r="A196" i="4"/>
  <c r="J195" i="3"/>
  <c r="V195" i="3"/>
  <c r="N195" i="3"/>
  <c r="P195" i="3"/>
  <c r="E195" i="3"/>
  <c r="G195" i="3"/>
  <c r="H195" i="3"/>
  <c r="M195" i="3"/>
  <c r="C195" i="3"/>
  <c r="S195" i="3"/>
  <c r="Y195" i="3" s="1"/>
  <c r="Z195" i="3" s="1"/>
  <c r="AA195" i="3" s="1"/>
  <c r="T195" i="3"/>
  <c r="D196" i="4" l="1"/>
  <c r="E198" i="2"/>
  <c r="C199" i="2"/>
  <c r="T198" i="2"/>
  <c r="G198" i="2"/>
  <c r="D199" i="2"/>
  <c r="M202" i="2"/>
  <c r="J201" i="2"/>
  <c r="I196" i="4"/>
  <c r="M196" i="4" s="1"/>
  <c r="G196" i="4"/>
  <c r="L196" i="4" s="1"/>
  <c r="K196" i="4"/>
  <c r="N196" i="4" s="1"/>
  <c r="O194" i="3"/>
  <c r="H195" i="4" s="1"/>
  <c r="I194" i="3"/>
  <c r="F195" i="4" s="1"/>
  <c r="U194" i="3"/>
  <c r="J195" i="4" s="1"/>
  <c r="L199" i="2"/>
  <c r="I198" i="2"/>
  <c r="F198" i="2" s="1"/>
  <c r="F195" i="3"/>
  <c r="D196" i="3"/>
  <c r="A197" i="4"/>
  <c r="G196" i="3"/>
  <c r="S196" i="3"/>
  <c r="Y196" i="3" s="1"/>
  <c r="Z196" i="3" s="1"/>
  <c r="AA196" i="3" s="1"/>
  <c r="M196" i="3"/>
  <c r="C196" i="3"/>
  <c r="N196" i="3"/>
  <c r="P196" i="3"/>
  <c r="T196" i="3"/>
  <c r="E196" i="3"/>
  <c r="V196" i="3"/>
  <c r="H196" i="3"/>
  <c r="J196" i="3"/>
  <c r="K204" i="2"/>
  <c r="H203" i="2"/>
  <c r="C196" i="4"/>
  <c r="AB195" i="3"/>
  <c r="E196" i="4" s="1"/>
  <c r="D197" i="4" l="1"/>
  <c r="D197" i="3"/>
  <c r="F196" i="3"/>
  <c r="I195" i="3"/>
  <c r="F196" i="4" s="1"/>
  <c r="O195" i="3"/>
  <c r="H196" i="4" s="1"/>
  <c r="U195" i="3"/>
  <c r="J196" i="4" s="1"/>
  <c r="J202" i="2"/>
  <c r="M203" i="2"/>
  <c r="L200" i="2"/>
  <c r="I199" i="2"/>
  <c r="F199" i="2" s="1"/>
  <c r="G199" i="2"/>
  <c r="D200" i="2"/>
  <c r="T199" i="2"/>
  <c r="A198" i="4"/>
  <c r="P197" i="3"/>
  <c r="H197" i="3"/>
  <c r="T197" i="3"/>
  <c r="J197" i="3"/>
  <c r="V197" i="3"/>
  <c r="S197" i="3"/>
  <c r="Y197" i="3" s="1"/>
  <c r="Z197" i="3" s="1"/>
  <c r="AA197" i="3" s="1"/>
  <c r="C197" i="3"/>
  <c r="E197" i="3"/>
  <c r="G197" i="3"/>
  <c r="M197" i="3"/>
  <c r="N197" i="3"/>
  <c r="C200" i="2"/>
  <c r="E199" i="2"/>
  <c r="C197" i="4"/>
  <c r="AB196" i="3"/>
  <c r="E197" i="4" s="1"/>
  <c r="G197" i="4"/>
  <c r="L197" i="4" s="1"/>
  <c r="I197" i="4"/>
  <c r="M197" i="4" s="1"/>
  <c r="K197" i="4"/>
  <c r="N197" i="4" s="1"/>
  <c r="H204" i="2"/>
  <c r="K205" i="2"/>
  <c r="D198" i="4" l="1"/>
  <c r="L201" i="2"/>
  <c r="I200" i="2"/>
  <c r="M204" i="2"/>
  <c r="J203" i="2"/>
  <c r="E200" i="2"/>
  <c r="C201" i="2"/>
  <c r="F200" i="2"/>
  <c r="K206" i="2"/>
  <c r="H205" i="2"/>
  <c r="O196" i="3"/>
  <c r="H197" i="4" s="1"/>
  <c r="U196" i="3"/>
  <c r="J197" i="4" s="1"/>
  <c r="I196" i="3"/>
  <c r="F197" i="4" s="1"/>
  <c r="G198" i="4"/>
  <c r="L198" i="4" s="1"/>
  <c r="I198" i="4"/>
  <c r="M198" i="4" s="1"/>
  <c r="K198" i="4"/>
  <c r="N198" i="4" s="1"/>
  <c r="F197" i="3"/>
  <c r="D198" i="3"/>
  <c r="C198" i="4"/>
  <c r="AB197" i="3"/>
  <c r="E198" i="4" s="1"/>
  <c r="A199" i="4"/>
  <c r="M198" i="3"/>
  <c r="E198" i="3"/>
  <c r="G198" i="3"/>
  <c r="S198" i="3"/>
  <c r="Y198" i="3" s="1"/>
  <c r="Z198" i="3" s="1"/>
  <c r="AA198" i="3" s="1"/>
  <c r="N198" i="3"/>
  <c r="P198" i="3"/>
  <c r="C198" i="3"/>
  <c r="T198" i="3"/>
  <c r="V198" i="3"/>
  <c r="J198" i="3"/>
  <c r="H198" i="3"/>
  <c r="D201" i="2"/>
  <c r="T200" i="2"/>
  <c r="G200" i="2"/>
  <c r="D199" i="4" l="1"/>
  <c r="D199" i="3"/>
  <c r="F198" i="3"/>
  <c r="K207" i="2"/>
  <c r="H206" i="2"/>
  <c r="U197" i="3"/>
  <c r="J198" i="4" s="1"/>
  <c r="I197" i="3"/>
  <c r="F198" i="4" s="1"/>
  <c r="O197" i="3"/>
  <c r="H198" i="4" s="1"/>
  <c r="E201" i="2"/>
  <c r="C202" i="2"/>
  <c r="F201" i="2"/>
  <c r="M205" i="2"/>
  <c r="J204" i="2"/>
  <c r="A200" i="4"/>
  <c r="J199" i="3"/>
  <c r="V199" i="3"/>
  <c r="N199" i="3"/>
  <c r="P199" i="3"/>
  <c r="S199" i="3"/>
  <c r="Y199" i="3" s="1"/>
  <c r="Z199" i="3" s="1"/>
  <c r="AA199" i="3" s="1"/>
  <c r="T199" i="3"/>
  <c r="C199" i="3"/>
  <c r="E199" i="3"/>
  <c r="G199" i="3"/>
  <c r="H199" i="3"/>
  <c r="M199" i="3"/>
  <c r="I201" i="2"/>
  <c r="L202" i="2"/>
  <c r="T201" i="2"/>
  <c r="D202" i="2"/>
  <c r="G201" i="2"/>
  <c r="C199" i="4"/>
  <c r="AB198" i="3"/>
  <c r="E199" i="4" s="1"/>
  <c r="G199" i="4"/>
  <c r="L199" i="4" s="1"/>
  <c r="I199" i="4"/>
  <c r="M199" i="4" s="1"/>
  <c r="K199" i="4"/>
  <c r="N199" i="4" s="1"/>
  <c r="D200" i="4" l="1"/>
  <c r="C203" i="2"/>
  <c r="E202" i="2"/>
  <c r="T202" i="2"/>
  <c r="G202" i="2"/>
  <c r="D203" i="2"/>
  <c r="I202" i="2"/>
  <c r="F202" i="2" s="1"/>
  <c r="L203" i="2"/>
  <c r="K208" i="2"/>
  <c r="H207" i="2"/>
  <c r="I198" i="3"/>
  <c r="F199" i="4" s="1"/>
  <c r="U198" i="3"/>
  <c r="J199" i="4" s="1"/>
  <c r="O198" i="3"/>
  <c r="H199" i="4" s="1"/>
  <c r="C200" i="4"/>
  <c r="AB199" i="3"/>
  <c r="E200" i="4" s="1"/>
  <c r="G200" i="4"/>
  <c r="L200" i="4" s="1"/>
  <c r="I200" i="4"/>
  <c r="M200" i="4" s="1"/>
  <c r="K200" i="4"/>
  <c r="N200" i="4" s="1"/>
  <c r="F199" i="3"/>
  <c r="D200" i="3"/>
  <c r="A201" i="4"/>
  <c r="G200" i="3"/>
  <c r="S200" i="3"/>
  <c r="Y200" i="3" s="1"/>
  <c r="Z200" i="3" s="1"/>
  <c r="AA200" i="3" s="1"/>
  <c r="M200" i="3"/>
  <c r="C200" i="3"/>
  <c r="J200" i="3"/>
  <c r="N200" i="3"/>
  <c r="P200" i="3"/>
  <c r="H200" i="3"/>
  <c r="V200" i="3"/>
  <c r="T200" i="3"/>
  <c r="E200" i="3"/>
  <c r="M206" i="2"/>
  <c r="J205" i="2"/>
  <c r="D201" i="4" l="1"/>
  <c r="H208" i="2"/>
  <c r="K209" i="2"/>
  <c r="L204" i="2"/>
  <c r="I203" i="2"/>
  <c r="A202" i="4"/>
  <c r="P201" i="3"/>
  <c r="H201" i="3"/>
  <c r="T201" i="3"/>
  <c r="J201" i="3"/>
  <c r="V201" i="3"/>
  <c r="M201" i="3"/>
  <c r="N201" i="3"/>
  <c r="C201" i="3"/>
  <c r="S201" i="3"/>
  <c r="Y201" i="3" s="1"/>
  <c r="Z201" i="3" s="1"/>
  <c r="AA201" i="3" s="1"/>
  <c r="E201" i="3"/>
  <c r="G201" i="3"/>
  <c r="G203" i="2"/>
  <c r="T203" i="2"/>
  <c r="D204" i="2"/>
  <c r="C201" i="4"/>
  <c r="AB200" i="3"/>
  <c r="E201" i="4" s="1"/>
  <c r="F203" i="2"/>
  <c r="C204" i="2"/>
  <c r="E203" i="2"/>
  <c r="U199" i="3"/>
  <c r="J200" i="4" s="1"/>
  <c r="I199" i="3"/>
  <c r="F200" i="4" s="1"/>
  <c r="O199" i="3"/>
  <c r="H200" i="4" s="1"/>
  <c r="J206" i="2"/>
  <c r="M207" i="2"/>
  <c r="G201" i="4"/>
  <c r="L201" i="4" s="1"/>
  <c r="I201" i="4"/>
  <c r="M201" i="4" s="1"/>
  <c r="K201" i="4"/>
  <c r="N201" i="4" s="1"/>
  <c r="D201" i="3"/>
  <c r="F200" i="3"/>
  <c r="D202" i="4" l="1"/>
  <c r="G204" i="2"/>
  <c r="D205" i="2"/>
  <c r="T204" i="2"/>
  <c r="J207" i="2"/>
  <c r="M208" i="2"/>
  <c r="G202" i="4"/>
  <c r="L202" i="4" s="1"/>
  <c r="I202" i="4"/>
  <c r="M202" i="4" s="1"/>
  <c r="K202" i="4"/>
  <c r="N202" i="4" s="1"/>
  <c r="L205" i="2"/>
  <c r="I204" i="2"/>
  <c r="H209" i="2"/>
  <c r="K210" i="2"/>
  <c r="D202" i="3"/>
  <c r="F201" i="3"/>
  <c r="I200" i="3"/>
  <c r="F201" i="4" s="1"/>
  <c r="O200" i="3"/>
  <c r="H201" i="4" s="1"/>
  <c r="U200" i="3"/>
  <c r="J201" i="4" s="1"/>
  <c r="C205" i="2"/>
  <c r="E204" i="2"/>
  <c r="F204" i="2"/>
  <c r="A203" i="4"/>
  <c r="M202" i="3"/>
  <c r="E202" i="3"/>
  <c r="G202" i="3"/>
  <c r="S202" i="3"/>
  <c r="Y202" i="3" s="1"/>
  <c r="Z202" i="3" s="1"/>
  <c r="AA202" i="3" s="1"/>
  <c r="P202" i="3"/>
  <c r="C202" i="3"/>
  <c r="T202" i="3"/>
  <c r="H202" i="3"/>
  <c r="V202" i="3"/>
  <c r="J202" i="3"/>
  <c r="N202" i="3"/>
  <c r="C202" i="4"/>
  <c r="AB201" i="3"/>
  <c r="E202" i="4" s="1"/>
  <c r="D203" i="4" l="1"/>
  <c r="O201" i="3"/>
  <c r="H202" i="4" s="1"/>
  <c r="U201" i="3"/>
  <c r="J202" i="4" s="1"/>
  <c r="I201" i="3"/>
  <c r="F202" i="4" s="1"/>
  <c r="M209" i="2"/>
  <c r="J208" i="2"/>
  <c r="D203" i="3"/>
  <c r="F202" i="3"/>
  <c r="A204" i="4"/>
  <c r="J203" i="3"/>
  <c r="V203" i="3"/>
  <c r="N203" i="3"/>
  <c r="P203" i="3"/>
  <c r="E203" i="3"/>
  <c r="T203" i="3"/>
  <c r="G203" i="3"/>
  <c r="H203" i="3"/>
  <c r="M203" i="3"/>
  <c r="C203" i="3"/>
  <c r="S203" i="3"/>
  <c r="Y203" i="3" s="1"/>
  <c r="Z203" i="3" s="1"/>
  <c r="AA203" i="3" s="1"/>
  <c r="K211" i="2"/>
  <c r="H210" i="2"/>
  <c r="T205" i="2"/>
  <c r="D206" i="2"/>
  <c r="G205" i="2"/>
  <c r="C203" i="4"/>
  <c r="AB202" i="3"/>
  <c r="E203" i="4" s="1"/>
  <c r="G203" i="4"/>
  <c r="L203" i="4" s="1"/>
  <c r="I203" i="4"/>
  <c r="M203" i="4" s="1"/>
  <c r="K203" i="4"/>
  <c r="N203" i="4" s="1"/>
  <c r="L206" i="2"/>
  <c r="I205" i="2"/>
  <c r="E205" i="2"/>
  <c r="F205" i="2"/>
  <c r="C206" i="2"/>
  <c r="D204" i="4" l="1"/>
  <c r="I206" i="2"/>
  <c r="L207" i="2"/>
  <c r="G204" i="4"/>
  <c r="L204" i="4" s="1"/>
  <c r="I204" i="4"/>
  <c r="M204" i="4" s="1"/>
  <c r="K204" i="4"/>
  <c r="N204" i="4" s="1"/>
  <c r="K212" i="2"/>
  <c r="H211" i="2"/>
  <c r="U202" i="3"/>
  <c r="J203" i="4" s="1"/>
  <c r="I202" i="3"/>
  <c r="F203" i="4" s="1"/>
  <c r="O202" i="3"/>
  <c r="H203" i="4" s="1"/>
  <c r="C204" i="4"/>
  <c r="AB203" i="3"/>
  <c r="E204" i="4" s="1"/>
  <c r="F203" i="3"/>
  <c r="D204" i="3"/>
  <c r="A205" i="4"/>
  <c r="G204" i="3"/>
  <c r="S204" i="3"/>
  <c r="Y204" i="3" s="1"/>
  <c r="Z204" i="3" s="1"/>
  <c r="AA204" i="3" s="1"/>
  <c r="M204" i="3"/>
  <c r="J204" i="3"/>
  <c r="N204" i="3"/>
  <c r="P204" i="3"/>
  <c r="C204" i="3"/>
  <c r="H204" i="3"/>
  <c r="V204" i="3"/>
  <c r="T204" i="3"/>
  <c r="E204" i="3"/>
  <c r="M210" i="2"/>
  <c r="J209" i="2"/>
  <c r="T206" i="2"/>
  <c r="D207" i="2"/>
  <c r="G206" i="2"/>
  <c r="E206" i="2"/>
  <c r="F206" i="2"/>
  <c r="C207" i="2"/>
  <c r="D205" i="4" l="1"/>
  <c r="C205" i="4"/>
  <c r="AB204" i="3"/>
  <c r="E205" i="4" s="1"/>
  <c r="H212" i="2"/>
  <c r="K213" i="2"/>
  <c r="D205" i="3"/>
  <c r="F204" i="3"/>
  <c r="D208" i="2"/>
  <c r="G207" i="2"/>
  <c r="T207" i="2"/>
  <c r="J210" i="2"/>
  <c r="M211" i="2"/>
  <c r="U203" i="3"/>
  <c r="J204" i="4" s="1"/>
  <c r="I203" i="3"/>
  <c r="F204" i="4" s="1"/>
  <c r="O203" i="3"/>
  <c r="H204" i="4" s="1"/>
  <c r="G205" i="4"/>
  <c r="L205" i="4" s="1"/>
  <c r="I205" i="4"/>
  <c r="M205" i="4" s="1"/>
  <c r="K205" i="4"/>
  <c r="N205" i="4" s="1"/>
  <c r="C208" i="2"/>
  <c r="F207" i="2"/>
  <c r="E207" i="2"/>
  <c r="L208" i="2"/>
  <c r="I207" i="2"/>
  <c r="A206" i="4"/>
  <c r="P205" i="3"/>
  <c r="H205" i="3"/>
  <c r="J205" i="3"/>
  <c r="V205" i="3"/>
  <c r="M205" i="3"/>
  <c r="N205" i="3"/>
  <c r="C205" i="3"/>
  <c r="S205" i="3"/>
  <c r="Y205" i="3" s="1"/>
  <c r="Z205" i="3" s="1"/>
  <c r="AA205" i="3" s="1"/>
  <c r="E205" i="3"/>
  <c r="T205" i="3"/>
  <c r="G205" i="3"/>
  <c r="D206" i="4" l="1"/>
  <c r="A207" i="4"/>
  <c r="M206" i="3"/>
  <c r="G206" i="3"/>
  <c r="S206" i="3"/>
  <c r="Y206" i="3" s="1"/>
  <c r="Z206" i="3" s="1"/>
  <c r="AA206" i="3" s="1"/>
  <c r="N206" i="3"/>
  <c r="P206" i="3"/>
  <c r="C206" i="3"/>
  <c r="E206" i="3"/>
  <c r="T206" i="3"/>
  <c r="H206" i="3"/>
  <c r="V206" i="3"/>
  <c r="J206" i="3"/>
  <c r="C209" i="2"/>
  <c r="E208" i="2"/>
  <c r="C206" i="4"/>
  <c r="AB205" i="3"/>
  <c r="E206" i="4" s="1"/>
  <c r="G208" i="2"/>
  <c r="D209" i="2"/>
  <c r="T208" i="2"/>
  <c r="I204" i="3"/>
  <c r="F205" i="4" s="1"/>
  <c r="O204" i="3"/>
  <c r="H205" i="4" s="1"/>
  <c r="U204" i="3"/>
  <c r="J205" i="4" s="1"/>
  <c r="D206" i="3"/>
  <c r="F205" i="3"/>
  <c r="H213" i="2"/>
  <c r="K214" i="2"/>
  <c r="G206" i="4"/>
  <c r="L206" i="4" s="1"/>
  <c r="I206" i="4"/>
  <c r="M206" i="4" s="1"/>
  <c r="K206" i="4"/>
  <c r="N206" i="4" s="1"/>
  <c r="L209" i="2"/>
  <c r="I208" i="2"/>
  <c r="F208" i="2" s="1"/>
  <c r="J211" i="2"/>
  <c r="M212" i="2"/>
  <c r="D207" i="4" l="1"/>
  <c r="T209" i="2"/>
  <c r="D210" i="2"/>
  <c r="G209" i="2"/>
  <c r="A208" i="4"/>
  <c r="J207" i="3"/>
  <c r="V207" i="3"/>
  <c r="P207" i="3"/>
  <c r="C207" i="3"/>
  <c r="E207" i="3"/>
  <c r="S207" i="3"/>
  <c r="Y207" i="3" s="1"/>
  <c r="Z207" i="3" s="1"/>
  <c r="AA207" i="3" s="1"/>
  <c r="T207" i="3"/>
  <c r="G207" i="3"/>
  <c r="H207" i="3"/>
  <c r="N207" i="3"/>
  <c r="M207" i="3"/>
  <c r="J212" i="2"/>
  <c r="M213" i="2"/>
  <c r="O205" i="3"/>
  <c r="H206" i="4" s="1"/>
  <c r="U205" i="3"/>
  <c r="J206" i="4" s="1"/>
  <c r="I205" i="3"/>
  <c r="F206" i="4" s="1"/>
  <c r="C210" i="2"/>
  <c r="E209" i="2"/>
  <c r="C207" i="4"/>
  <c r="AB206" i="3"/>
  <c r="E207" i="4" s="1"/>
  <c r="H214" i="2"/>
  <c r="K215" i="2"/>
  <c r="D207" i="3"/>
  <c r="F206" i="3"/>
  <c r="K207" i="4"/>
  <c r="N207" i="4" s="1"/>
  <c r="G207" i="4"/>
  <c r="L207" i="4" s="1"/>
  <c r="I207" i="4"/>
  <c r="M207" i="4" s="1"/>
  <c r="I209" i="2"/>
  <c r="F209" i="2" s="1"/>
  <c r="L210" i="2"/>
  <c r="D208" i="4" l="1"/>
  <c r="C211" i="2"/>
  <c r="E210" i="2"/>
  <c r="C208" i="4"/>
  <c r="AB207" i="3"/>
  <c r="E208" i="4" s="1"/>
  <c r="K208" i="4"/>
  <c r="N208" i="4" s="1"/>
  <c r="G208" i="4"/>
  <c r="L208" i="4" s="1"/>
  <c r="I208" i="4"/>
  <c r="M208" i="4" s="1"/>
  <c r="O206" i="3"/>
  <c r="H207" i="4" s="1"/>
  <c r="U206" i="3"/>
  <c r="J207" i="4" s="1"/>
  <c r="I206" i="3"/>
  <c r="F207" i="4" s="1"/>
  <c r="D208" i="3"/>
  <c r="F207" i="3"/>
  <c r="H215" i="2"/>
  <c r="K216" i="2"/>
  <c r="A209" i="4"/>
  <c r="G208" i="3"/>
  <c r="S208" i="3"/>
  <c r="Y208" i="3" s="1"/>
  <c r="Z208" i="3" s="1"/>
  <c r="AA208" i="3" s="1"/>
  <c r="M208" i="3"/>
  <c r="C208" i="3"/>
  <c r="E208" i="3"/>
  <c r="T208" i="3"/>
  <c r="H208" i="3"/>
  <c r="V208" i="3"/>
  <c r="J208" i="3"/>
  <c r="P208" i="3"/>
  <c r="N208" i="3"/>
  <c r="J213" i="2"/>
  <c r="M214" i="2"/>
  <c r="L211" i="2"/>
  <c r="I210" i="2"/>
  <c r="F210" i="2" s="1"/>
  <c r="G210" i="2"/>
  <c r="T210" i="2"/>
  <c r="D211" i="2"/>
  <c r="D209" i="4" l="1"/>
  <c r="C209" i="4"/>
  <c r="AB208" i="3"/>
  <c r="E209" i="4" s="1"/>
  <c r="A210" i="4"/>
  <c r="P209" i="3"/>
  <c r="J209" i="3"/>
  <c r="V209" i="3"/>
  <c r="E209" i="3"/>
  <c r="S209" i="3"/>
  <c r="Y209" i="3" s="1"/>
  <c r="Z209" i="3" s="1"/>
  <c r="AA209" i="3" s="1"/>
  <c r="T209" i="3"/>
  <c r="G209" i="3"/>
  <c r="H209" i="3"/>
  <c r="M209" i="3"/>
  <c r="N209" i="3"/>
  <c r="C209" i="3"/>
  <c r="I209" i="4"/>
  <c r="M209" i="4" s="1"/>
  <c r="K209" i="4"/>
  <c r="N209" i="4" s="1"/>
  <c r="G209" i="4"/>
  <c r="L209" i="4" s="1"/>
  <c r="L212" i="2"/>
  <c r="I211" i="2"/>
  <c r="J214" i="2"/>
  <c r="M215" i="2"/>
  <c r="O207" i="3"/>
  <c r="H208" i="4" s="1"/>
  <c r="U207" i="3"/>
  <c r="J208" i="4" s="1"/>
  <c r="I207" i="3"/>
  <c r="F208" i="4" s="1"/>
  <c r="H216" i="2"/>
  <c r="K217" i="2"/>
  <c r="D209" i="3"/>
  <c r="F208" i="3"/>
  <c r="F211" i="2"/>
  <c r="C212" i="2"/>
  <c r="E211" i="2"/>
  <c r="G211" i="2"/>
  <c r="D212" i="2"/>
  <c r="T211" i="2"/>
  <c r="D210" i="4" l="1"/>
  <c r="L213" i="2"/>
  <c r="I212" i="2"/>
  <c r="E212" i="2"/>
  <c r="C213" i="2"/>
  <c r="F212" i="2"/>
  <c r="U208" i="3"/>
  <c r="J209" i="4" s="1"/>
  <c r="I208" i="3"/>
  <c r="F209" i="4" s="1"/>
  <c r="O208" i="3"/>
  <c r="H209" i="4" s="1"/>
  <c r="I210" i="4"/>
  <c r="M210" i="4" s="1"/>
  <c r="K210" i="4"/>
  <c r="N210" i="4" s="1"/>
  <c r="G210" i="4"/>
  <c r="L210" i="4" s="1"/>
  <c r="K218" i="2"/>
  <c r="H217" i="2"/>
  <c r="A211" i="4"/>
  <c r="M210" i="3"/>
  <c r="G210" i="3"/>
  <c r="S210" i="3"/>
  <c r="Y210" i="3" s="1"/>
  <c r="Z210" i="3" s="1"/>
  <c r="AA210" i="3" s="1"/>
  <c r="H210" i="3"/>
  <c r="V210" i="3"/>
  <c r="J210" i="3"/>
  <c r="N210" i="3"/>
  <c r="P210" i="3"/>
  <c r="E210" i="3"/>
  <c r="T210" i="3"/>
  <c r="C210" i="3"/>
  <c r="D213" i="2"/>
  <c r="T212" i="2"/>
  <c r="G212" i="2"/>
  <c r="M216" i="2"/>
  <c r="J215" i="2"/>
  <c r="F209" i="3"/>
  <c r="D210" i="3"/>
  <c r="C210" i="4"/>
  <c r="AB209" i="3"/>
  <c r="E210" i="4" s="1"/>
  <c r="D211" i="4" l="1"/>
  <c r="C211" i="4"/>
  <c r="AB210" i="3"/>
  <c r="E211" i="4" s="1"/>
  <c r="G211" i="4"/>
  <c r="L211" i="4" s="1"/>
  <c r="I211" i="4"/>
  <c r="M211" i="4" s="1"/>
  <c r="K211" i="4"/>
  <c r="N211" i="4" s="1"/>
  <c r="M217" i="2"/>
  <c r="J216" i="2"/>
  <c r="E213" i="2"/>
  <c r="C214" i="2"/>
  <c r="T213" i="2"/>
  <c r="D214" i="2"/>
  <c r="G213" i="2"/>
  <c r="K219" i="2"/>
  <c r="H218" i="2"/>
  <c r="A212" i="4"/>
  <c r="J211" i="3"/>
  <c r="V211" i="3"/>
  <c r="P211" i="3"/>
  <c r="H211" i="3"/>
  <c r="M211" i="3"/>
  <c r="N211" i="3"/>
  <c r="C211" i="3"/>
  <c r="G211" i="3"/>
  <c r="E211" i="3"/>
  <c r="S211" i="3"/>
  <c r="Y211" i="3" s="1"/>
  <c r="Z211" i="3" s="1"/>
  <c r="AA211" i="3" s="1"/>
  <c r="T211" i="3"/>
  <c r="I213" i="2"/>
  <c r="F213" i="2" s="1"/>
  <c r="L214" i="2"/>
  <c r="D211" i="3"/>
  <c r="F210" i="3"/>
  <c r="U209" i="3"/>
  <c r="J210" i="4" s="1"/>
  <c r="I209" i="3"/>
  <c r="F210" i="4" s="1"/>
  <c r="O209" i="3"/>
  <c r="H210" i="4" s="1"/>
  <c r="D212" i="4" l="1"/>
  <c r="I214" i="2"/>
  <c r="L215" i="2"/>
  <c r="M218" i="2"/>
  <c r="J217" i="2"/>
  <c r="G212" i="4"/>
  <c r="L212" i="4" s="1"/>
  <c r="I212" i="4"/>
  <c r="M212" i="4" s="1"/>
  <c r="K212" i="4"/>
  <c r="N212" i="4" s="1"/>
  <c r="K220" i="2"/>
  <c r="H219" i="2"/>
  <c r="T214" i="2"/>
  <c r="D215" i="2"/>
  <c r="G214" i="2"/>
  <c r="D212" i="3"/>
  <c r="F211" i="3"/>
  <c r="A213" i="4"/>
  <c r="G212" i="3"/>
  <c r="S212" i="3"/>
  <c r="Y212" i="3" s="1"/>
  <c r="Z212" i="3" s="1"/>
  <c r="AA212" i="3" s="1"/>
  <c r="M212" i="3"/>
  <c r="J212" i="3"/>
  <c r="N212" i="3"/>
  <c r="P212" i="3"/>
  <c r="C212" i="3"/>
  <c r="E212" i="3"/>
  <c r="T212" i="3"/>
  <c r="H212" i="3"/>
  <c r="V212" i="3"/>
  <c r="C212" i="4"/>
  <c r="AB211" i="3"/>
  <c r="E212" i="4" s="1"/>
  <c r="C215" i="2"/>
  <c r="E214" i="2"/>
  <c r="F214" i="2"/>
  <c r="U210" i="3"/>
  <c r="J211" i="4" s="1"/>
  <c r="I210" i="3"/>
  <c r="F211" i="4" s="1"/>
  <c r="O210" i="3"/>
  <c r="H211" i="4" s="1"/>
  <c r="D213" i="4" l="1"/>
  <c r="C213" i="4"/>
  <c r="AB212" i="3"/>
  <c r="E213" i="4" s="1"/>
  <c r="I211" i="3"/>
  <c r="F212" i="4" s="1"/>
  <c r="O211" i="3"/>
  <c r="H212" i="4" s="1"/>
  <c r="U211" i="3"/>
  <c r="J212" i="4" s="1"/>
  <c r="D213" i="3"/>
  <c r="F212" i="3"/>
  <c r="G213" i="4"/>
  <c r="L213" i="4" s="1"/>
  <c r="I213" i="4"/>
  <c r="M213" i="4" s="1"/>
  <c r="K213" i="4"/>
  <c r="N213" i="4" s="1"/>
  <c r="J218" i="2"/>
  <c r="M219" i="2"/>
  <c r="C216" i="2"/>
  <c r="E215" i="2"/>
  <c r="F215" i="2"/>
  <c r="G215" i="2"/>
  <c r="T215" i="2"/>
  <c r="D216" i="2"/>
  <c r="L216" i="2"/>
  <c r="I215" i="2"/>
  <c r="A214" i="4"/>
  <c r="P213" i="3"/>
  <c r="J213" i="3"/>
  <c r="V213" i="3"/>
  <c r="M213" i="3"/>
  <c r="N213" i="3"/>
  <c r="C213" i="3"/>
  <c r="E213" i="3"/>
  <c r="S213" i="3"/>
  <c r="Y213" i="3" s="1"/>
  <c r="Z213" i="3" s="1"/>
  <c r="AA213" i="3" s="1"/>
  <c r="T213" i="3"/>
  <c r="G213" i="3"/>
  <c r="H213" i="3"/>
  <c r="H220" i="2"/>
  <c r="K221" i="2"/>
  <c r="D214" i="4" l="1"/>
  <c r="G216" i="2"/>
  <c r="T216" i="2"/>
  <c r="D217" i="2"/>
  <c r="O212" i="3"/>
  <c r="H213" i="4" s="1"/>
  <c r="I212" i="3"/>
  <c r="F213" i="4" s="1"/>
  <c r="U212" i="3"/>
  <c r="J213" i="4" s="1"/>
  <c r="A215" i="4"/>
  <c r="M214" i="3"/>
  <c r="G214" i="3"/>
  <c r="S214" i="3"/>
  <c r="Y214" i="3" s="1"/>
  <c r="Z214" i="3" s="1"/>
  <c r="AA214" i="3" s="1"/>
  <c r="N214" i="3"/>
  <c r="P214" i="3"/>
  <c r="C214" i="3"/>
  <c r="E214" i="3"/>
  <c r="T214" i="3"/>
  <c r="H214" i="3"/>
  <c r="V214" i="3"/>
  <c r="J214" i="3"/>
  <c r="D214" i="3"/>
  <c r="F213" i="3"/>
  <c r="C214" i="4"/>
  <c r="AB213" i="3"/>
  <c r="E214" i="4" s="1"/>
  <c r="E216" i="2"/>
  <c r="C217" i="2"/>
  <c r="J219" i="2"/>
  <c r="M220" i="2"/>
  <c r="H221" i="2"/>
  <c r="K222" i="2"/>
  <c r="L217" i="2"/>
  <c r="I216" i="2"/>
  <c r="F216" i="2" s="1"/>
  <c r="G214" i="4"/>
  <c r="L214" i="4" s="1"/>
  <c r="I214" i="4"/>
  <c r="M214" i="4" s="1"/>
  <c r="K214" i="4"/>
  <c r="N214" i="4" s="1"/>
  <c r="D215" i="4" l="1"/>
  <c r="O213" i="3"/>
  <c r="H214" i="4" s="1"/>
  <c r="U213" i="3"/>
  <c r="J214" i="4" s="1"/>
  <c r="I213" i="3"/>
  <c r="F214" i="4" s="1"/>
  <c r="D215" i="3"/>
  <c r="F214" i="3"/>
  <c r="C215" i="4"/>
  <c r="AB214" i="3"/>
  <c r="E215" i="4" s="1"/>
  <c r="I217" i="2"/>
  <c r="L218" i="2"/>
  <c r="G215" i="4"/>
  <c r="L215" i="4" s="1"/>
  <c r="I215" i="4"/>
  <c r="M215" i="4" s="1"/>
  <c r="K215" i="4"/>
  <c r="N215" i="4" s="1"/>
  <c r="K223" i="2"/>
  <c r="H222" i="2"/>
  <c r="M221" i="2"/>
  <c r="J220" i="2"/>
  <c r="T217" i="2"/>
  <c r="G217" i="2"/>
  <c r="D218" i="2"/>
  <c r="E217" i="2"/>
  <c r="F217" i="2"/>
  <c r="C218" i="2"/>
  <c r="A216" i="4"/>
  <c r="J215" i="3"/>
  <c r="V215" i="3"/>
  <c r="P215" i="3"/>
  <c r="C215" i="3"/>
  <c r="E215" i="3"/>
  <c r="S215" i="3"/>
  <c r="Y215" i="3" s="1"/>
  <c r="Z215" i="3" s="1"/>
  <c r="AA215" i="3" s="1"/>
  <c r="T215" i="3"/>
  <c r="G215" i="3"/>
  <c r="H215" i="3"/>
  <c r="N215" i="3"/>
  <c r="M215" i="3"/>
  <c r="D216" i="4" l="1"/>
  <c r="I218" i="2"/>
  <c r="L219" i="2"/>
  <c r="M222" i="2"/>
  <c r="J221" i="2"/>
  <c r="T218" i="2"/>
  <c r="D219" i="2"/>
  <c r="G218" i="2"/>
  <c r="O214" i="3"/>
  <c r="H215" i="4" s="1"/>
  <c r="U214" i="3"/>
  <c r="J215" i="4" s="1"/>
  <c r="I214" i="3"/>
  <c r="F215" i="4" s="1"/>
  <c r="K224" i="2"/>
  <c r="H223" i="2"/>
  <c r="D216" i="3"/>
  <c r="F215" i="3"/>
  <c r="C216" i="4"/>
  <c r="AB215" i="3"/>
  <c r="E216" i="4" s="1"/>
  <c r="G216" i="4"/>
  <c r="L216" i="4" s="1"/>
  <c r="I216" i="4"/>
  <c r="M216" i="4" s="1"/>
  <c r="K216" i="4"/>
  <c r="N216" i="4" s="1"/>
  <c r="A217" i="4"/>
  <c r="G216" i="3"/>
  <c r="S216" i="3"/>
  <c r="Y216" i="3" s="1"/>
  <c r="Z216" i="3" s="1"/>
  <c r="AA216" i="3" s="1"/>
  <c r="M216" i="3"/>
  <c r="C216" i="3"/>
  <c r="E216" i="3"/>
  <c r="T216" i="3"/>
  <c r="H216" i="3"/>
  <c r="V216" i="3"/>
  <c r="J216" i="3"/>
  <c r="P216" i="3"/>
  <c r="N216" i="3"/>
  <c r="E218" i="2"/>
  <c r="F218" i="2"/>
  <c r="C219" i="2"/>
  <c r="D217" i="4" l="1"/>
  <c r="D220" i="2"/>
  <c r="T219" i="2"/>
  <c r="G219" i="2"/>
  <c r="M223" i="2"/>
  <c r="J222" i="2"/>
  <c r="C217" i="4"/>
  <c r="AB216" i="3"/>
  <c r="E217" i="4" s="1"/>
  <c r="O215" i="3"/>
  <c r="H216" i="4" s="1"/>
  <c r="U215" i="3"/>
  <c r="J216" i="4" s="1"/>
  <c r="I215" i="3"/>
  <c r="F216" i="4" s="1"/>
  <c r="I219" i="2"/>
  <c r="L220" i="2"/>
  <c r="D217" i="3"/>
  <c r="F216" i="3"/>
  <c r="C220" i="2"/>
  <c r="F219" i="2"/>
  <c r="E219" i="2"/>
  <c r="A218" i="4"/>
  <c r="P217" i="3"/>
  <c r="J217" i="3"/>
  <c r="V217" i="3"/>
  <c r="E217" i="3"/>
  <c r="S217" i="3"/>
  <c r="Y217" i="3" s="1"/>
  <c r="Z217" i="3" s="1"/>
  <c r="AA217" i="3" s="1"/>
  <c r="T217" i="3"/>
  <c r="G217" i="3"/>
  <c r="H217" i="3"/>
  <c r="M217" i="3"/>
  <c r="N217" i="3"/>
  <c r="C217" i="3"/>
  <c r="G217" i="4"/>
  <c r="L217" i="4" s="1"/>
  <c r="I217" i="4"/>
  <c r="M217" i="4" s="1"/>
  <c r="K217" i="4"/>
  <c r="N217" i="4" s="1"/>
  <c r="H224" i="2"/>
  <c r="K225" i="2"/>
  <c r="D218" i="4" l="1"/>
  <c r="G218" i="4"/>
  <c r="L218" i="4" s="1"/>
  <c r="I218" i="4"/>
  <c r="M218" i="4" s="1"/>
  <c r="K218" i="4"/>
  <c r="N218" i="4" s="1"/>
  <c r="A219" i="4"/>
  <c r="M218" i="3"/>
  <c r="G218" i="3"/>
  <c r="T218" i="3"/>
  <c r="H218" i="3"/>
  <c r="V218" i="3"/>
  <c r="J218" i="3"/>
  <c r="N218" i="3"/>
  <c r="P218" i="3"/>
  <c r="E218" i="3"/>
  <c r="S218" i="3"/>
  <c r="Y218" i="3" s="1"/>
  <c r="Z218" i="3" s="1"/>
  <c r="AA218" i="3" s="1"/>
  <c r="C218" i="3"/>
  <c r="M224" i="2"/>
  <c r="J223" i="2"/>
  <c r="C218" i="4"/>
  <c r="AB217" i="3"/>
  <c r="E218" i="4" s="1"/>
  <c r="C221" i="2"/>
  <c r="E220" i="2"/>
  <c r="F220" i="2"/>
  <c r="H225" i="2"/>
  <c r="K226" i="2"/>
  <c r="U216" i="3"/>
  <c r="J217" i="4" s="1"/>
  <c r="I216" i="3"/>
  <c r="F217" i="4" s="1"/>
  <c r="O216" i="3"/>
  <c r="H217" i="4" s="1"/>
  <c r="F217" i="3"/>
  <c r="D218" i="3"/>
  <c r="D221" i="2"/>
  <c r="T220" i="2"/>
  <c r="G220" i="2"/>
  <c r="I220" i="2"/>
  <c r="L221" i="2"/>
  <c r="D219" i="4" l="1"/>
  <c r="F218" i="3"/>
  <c r="D219" i="3"/>
  <c r="U217" i="3"/>
  <c r="J218" i="4" s="1"/>
  <c r="I217" i="3"/>
  <c r="F218" i="4" s="1"/>
  <c r="O217" i="3"/>
  <c r="H218" i="4" s="1"/>
  <c r="J224" i="2"/>
  <c r="M225" i="2"/>
  <c r="C219" i="4"/>
  <c r="AB218" i="3"/>
  <c r="E219" i="4" s="1"/>
  <c r="A220" i="4"/>
  <c r="E219" i="3"/>
  <c r="G219" i="3"/>
  <c r="S219" i="3"/>
  <c r="Y219" i="3" s="1"/>
  <c r="Z219" i="3" s="1"/>
  <c r="AA219" i="3" s="1"/>
  <c r="H219" i="3"/>
  <c r="T219" i="3"/>
  <c r="J219" i="3"/>
  <c r="V219" i="3"/>
  <c r="M219" i="3"/>
  <c r="P219" i="3"/>
  <c r="N219" i="3"/>
  <c r="C219" i="3"/>
  <c r="K219" i="4"/>
  <c r="N219" i="4" s="1"/>
  <c r="G219" i="4"/>
  <c r="L219" i="4" s="1"/>
  <c r="I219" i="4"/>
  <c r="M219" i="4" s="1"/>
  <c r="H226" i="2"/>
  <c r="K227" i="2"/>
  <c r="T221" i="2"/>
  <c r="D222" i="2"/>
  <c r="G221" i="2"/>
  <c r="I221" i="2"/>
  <c r="F221" i="2" s="1"/>
  <c r="L222" i="2"/>
  <c r="C222" i="2"/>
  <c r="E221" i="2"/>
  <c r="D220" i="4" l="1"/>
  <c r="K220" i="4"/>
  <c r="N220" i="4" s="1"/>
  <c r="G220" i="4"/>
  <c r="L220" i="4" s="1"/>
  <c r="I220" i="4"/>
  <c r="M220" i="4" s="1"/>
  <c r="G222" i="2"/>
  <c r="T222" i="2"/>
  <c r="D223" i="2"/>
  <c r="C220" i="4"/>
  <c r="AB219" i="3"/>
  <c r="E220" i="4" s="1"/>
  <c r="J225" i="2"/>
  <c r="M226" i="2"/>
  <c r="H227" i="2"/>
  <c r="K228" i="2"/>
  <c r="F219" i="3"/>
  <c r="D220" i="3"/>
  <c r="U218" i="3"/>
  <c r="J219" i="4" s="1"/>
  <c r="I218" i="3"/>
  <c r="F219" i="4" s="1"/>
  <c r="O218" i="3"/>
  <c r="H219" i="4" s="1"/>
  <c r="C223" i="2"/>
  <c r="E222" i="2"/>
  <c r="A221" i="4"/>
  <c r="N220" i="3"/>
  <c r="C220" i="3"/>
  <c r="P220" i="3"/>
  <c r="E220" i="3"/>
  <c r="G220" i="3"/>
  <c r="S220" i="3"/>
  <c r="Y220" i="3" s="1"/>
  <c r="Z220" i="3" s="1"/>
  <c r="AA220" i="3" s="1"/>
  <c r="H220" i="3"/>
  <c r="T220" i="3"/>
  <c r="J220" i="3"/>
  <c r="V220" i="3"/>
  <c r="M220" i="3"/>
  <c r="L223" i="2"/>
  <c r="I222" i="2"/>
  <c r="F222" i="2" s="1"/>
  <c r="D221" i="4" l="1"/>
  <c r="G223" i="2"/>
  <c r="D224" i="2"/>
  <c r="T223" i="2"/>
  <c r="A222" i="4"/>
  <c r="M221" i="3"/>
  <c r="N221" i="3"/>
  <c r="C221" i="3"/>
  <c r="P221" i="3"/>
  <c r="E221" i="3"/>
  <c r="G221" i="3"/>
  <c r="S221" i="3"/>
  <c r="Y221" i="3" s="1"/>
  <c r="Z221" i="3" s="1"/>
  <c r="AA221" i="3" s="1"/>
  <c r="J221" i="3"/>
  <c r="V221" i="3"/>
  <c r="T221" i="3"/>
  <c r="H221" i="3"/>
  <c r="F220" i="3"/>
  <c r="D221" i="3"/>
  <c r="I219" i="3"/>
  <c r="F220" i="4" s="1"/>
  <c r="U219" i="3"/>
  <c r="J220" i="4" s="1"/>
  <c r="O219" i="3"/>
  <c r="H220" i="4" s="1"/>
  <c r="H228" i="2"/>
  <c r="K229" i="2"/>
  <c r="J226" i="2"/>
  <c r="M227" i="2"/>
  <c r="C224" i="2"/>
  <c r="E223" i="2"/>
  <c r="L224" i="2"/>
  <c r="I223" i="2"/>
  <c r="F223" i="2" s="1"/>
  <c r="C221" i="4"/>
  <c r="AB220" i="3"/>
  <c r="E221" i="4" s="1"/>
  <c r="I221" i="4"/>
  <c r="M221" i="4" s="1"/>
  <c r="K221" i="4"/>
  <c r="N221" i="4" s="1"/>
  <c r="G221" i="4"/>
  <c r="L221" i="4" s="1"/>
  <c r="D222" i="4" l="1"/>
  <c r="F221" i="3"/>
  <c r="D222" i="3"/>
  <c r="L225" i="2"/>
  <c r="I224" i="2"/>
  <c r="O220" i="3"/>
  <c r="H221" i="4" s="1"/>
  <c r="I220" i="3"/>
  <c r="F221" i="4" s="1"/>
  <c r="U220" i="3"/>
  <c r="J221" i="4" s="1"/>
  <c r="C222" i="4"/>
  <c r="AB221" i="3"/>
  <c r="E222" i="4" s="1"/>
  <c r="I222" i="4"/>
  <c r="M222" i="4" s="1"/>
  <c r="K222" i="4"/>
  <c r="N222" i="4" s="1"/>
  <c r="G222" i="4"/>
  <c r="L222" i="4" s="1"/>
  <c r="A223" i="4"/>
  <c r="H222" i="3"/>
  <c r="T222" i="3"/>
  <c r="J222" i="3"/>
  <c r="V222" i="3"/>
  <c r="M222" i="3"/>
  <c r="N222" i="3"/>
  <c r="C222" i="3"/>
  <c r="P222" i="3"/>
  <c r="G222" i="3"/>
  <c r="S222" i="3"/>
  <c r="Y222" i="3" s="1"/>
  <c r="Z222" i="3" s="1"/>
  <c r="AA222" i="3" s="1"/>
  <c r="E222" i="3"/>
  <c r="E224" i="2"/>
  <c r="C225" i="2"/>
  <c r="F224" i="2"/>
  <c r="D225" i="2"/>
  <c r="T224" i="2"/>
  <c r="G224" i="2"/>
  <c r="M228" i="2"/>
  <c r="J227" i="2"/>
  <c r="K230" i="2"/>
  <c r="H229" i="2"/>
  <c r="D223" i="4" l="1"/>
  <c r="C223" i="4"/>
  <c r="AB222" i="3"/>
  <c r="E223" i="4" s="1"/>
  <c r="T225" i="2"/>
  <c r="D226" i="2"/>
  <c r="G225" i="2"/>
  <c r="A224" i="4"/>
  <c r="E223" i="3"/>
  <c r="G223" i="3"/>
  <c r="S223" i="3"/>
  <c r="Y223" i="3" s="1"/>
  <c r="Z223" i="3" s="1"/>
  <c r="AA223" i="3" s="1"/>
  <c r="J223" i="3"/>
  <c r="V223" i="3"/>
  <c r="M223" i="3"/>
  <c r="P223" i="3"/>
  <c r="H223" i="3"/>
  <c r="N223" i="3"/>
  <c r="T223" i="3"/>
  <c r="C223" i="3"/>
  <c r="G223" i="4"/>
  <c r="L223" i="4" s="1"/>
  <c r="I223" i="4"/>
  <c r="M223" i="4" s="1"/>
  <c r="K223" i="4"/>
  <c r="N223" i="4" s="1"/>
  <c r="I225" i="2"/>
  <c r="L226" i="2"/>
  <c r="D223" i="3"/>
  <c r="F222" i="3"/>
  <c r="O221" i="3"/>
  <c r="H222" i="4" s="1"/>
  <c r="U221" i="3"/>
  <c r="J222" i="4" s="1"/>
  <c r="I221" i="3"/>
  <c r="F222" i="4" s="1"/>
  <c r="E225" i="2"/>
  <c r="C226" i="2"/>
  <c r="F225" i="2"/>
  <c r="K231" i="2"/>
  <c r="H230" i="2"/>
  <c r="M229" i="2"/>
  <c r="J228" i="2"/>
  <c r="D224" i="4" l="1"/>
  <c r="A225" i="4"/>
  <c r="N224" i="3"/>
  <c r="C224" i="3"/>
  <c r="P224" i="3"/>
  <c r="G224" i="3"/>
  <c r="S224" i="3"/>
  <c r="Y224" i="3" s="1"/>
  <c r="Z224" i="3" s="1"/>
  <c r="AA224" i="3" s="1"/>
  <c r="H224" i="3"/>
  <c r="T224" i="3"/>
  <c r="J224" i="3"/>
  <c r="V224" i="3"/>
  <c r="M224" i="3"/>
  <c r="E224" i="3"/>
  <c r="G224" i="4"/>
  <c r="L224" i="4" s="1"/>
  <c r="I224" i="4"/>
  <c r="M224" i="4" s="1"/>
  <c r="K224" i="4"/>
  <c r="N224" i="4" s="1"/>
  <c r="I222" i="3"/>
  <c r="F223" i="4" s="1"/>
  <c r="U222" i="3"/>
  <c r="J223" i="4" s="1"/>
  <c r="O222" i="3"/>
  <c r="H223" i="4" s="1"/>
  <c r="T226" i="2"/>
  <c r="D227" i="2"/>
  <c r="G226" i="2"/>
  <c r="F223" i="3"/>
  <c r="D224" i="3"/>
  <c r="I226" i="2"/>
  <c r="L227" i="2"/>
  <c r="K232" i="2"/>
  <c r="H231" i="2"/>
  <c r="C227" i="2"/>
  <c r="E226" i="2"/>
  <c r="F226" i="2"/>
  <c r="M230" i="2"/>
  <c r="J229" i="2"/>
  <c r="C224" i="4"/>
  <c r="AB223" i="3"/>
  <c r="E224" i="4" s="1"/>
  <c r="D225" i="4" l="1"/>
  <c r="H232" i="2"/>
  <c r="K233" i="2"/>
  <c r="G225" i="4"/>
  <c r="L225" i="4" s="1"/>
  <c r="I225" i="4"/>
  <c r="M225" i="4" s="1"/>
  <c r="K225" i="4"/>
  <c r="N225" i="4" s="1"/>
  <c r="C228" i="2"/>
  <c r="E227" i="2"/>
  <c r="L228" i="2"/>
  <c r="I227" i="2"/>
  <c r="F227" i="2" s="1"/>
  <c r="F224" i="3"/>
  <c r="D225" i="3"/>
  <c r="I223" i="3"/>
  <c r="F224" i="4" s="1"/>
  <c r="U223" i="3"/>
  <c r="J224" i="4" s="1"/>
  <c r="O223" i="3"/>
  <c r="H224" i="4" s="1"/>
  <c r="G227" i="2"/>
  <c r="D228" i="2"/>
  <c r="T227" i="2"/>
  <c r="A226" i="4"/>
  <c r="M225" i="3"/>
  <c r="C225" i="3"/>
  <c r="P225" i="3"/>
  <c r="E225" i="3"/>
  <c r="G225" i="3"/>
  <c r="S225" i="3"/>
  <c r="Y225" i="3" s="1"/>
  <c r="Z225" i="3" s="1"/>
  <c r="AA225" i="3" s="1"/>
  <c r="T225" i="3"/>
  <c r="V225" i="3"/>
  <c r="H225" i="3"/>
  <c r="J225" i="3"/>
  <c r="N225" i="3"/>
  <c r="J230" i="2"/>
  <c r="M231" i="2"/>
  <c r="C225" i="4"/>
  <c r="AB224" i="3"/>
  <c r="E225" i="4" s="1"/>
  <c r="D226" i="4" l="1"/>
  <c r="G226" i="4"/>
  <c r="L226" i="4" s="1"/>
  <c r="I226" i="4"/>
  <c r="M226" i="4" s="1"/>
  <c r="K226" i="4"/>
  <c r="N226" i="4" s="1"/>
  <c r="G228" i="2"/>
  <c r="D229" i="2"/>
  <c r="T228" i="2"/>
  <c r="E228" i="2"/>
  <c r="C229" i="2"/>
  <c r="A227" i="4"/>
  <c r="H226" i="3"/>
  <c r="T226" i="3"/>
  <c r="J226" i="3"/>
  <c r="V226" i="3"/>
  <c r="M226" i="3"/>
  <c r="N226" i="3"/>
  <c r="C226" i="3"/>
  <c r="P226" i="3"/>
  <c r="E226" i="3"/>
  <c r="G226" i="3"/>
  <c r="S226" i="3"/>
  <c r="Y226" i="3" s="1"/>
  <c r="Z226" i="3" s="1"/>
  <c r="AA226" i="3" s="1"/>
  <c r="O224" i="3"/>
  <c r="H225" i="4" s="1"/>
  <c r="I224" i="3"/>
  <c r="F225" i="4" s="1"/>
  <c r="U224" i="3"/>
  <c r="J225" i="4" s="1"/>
  <c r="H233" i="2"/>
  <c r="K234" i="2"/>
  <c r="F225" i="3"/>
  <c r="D226" i="3"/>
  <c r="J231" i="2"/>
  <c r="M232" i="2"/>
  <c r="L229" i="2"/>
  <c r="I228" i="2"/>
  <c r="F228" i="2" s="1"/>
  <c r="C226" i="4"/>
  <c r="AB225" i="3"/>
  <c r="E226" i="4" s="1"/>
  <c r="D227" i="4" l="1"/>
  <c r="K235" i="2"/>
  <c r="H234" i="2"/>
  <c r="M233" i="2"/>
  <c r="J232" i="2"/>
  <c r="A228" i="4"/>
  <c r="E227" i="3"/>
  <c r="G227" i="3"/>
  <c r="S227" i="3"/>
  <c r="Y227" i="3" s="1"/>
  <c r="Z227" i="3" s="1"/>
  <c r="AA227" i="3" s="1"/>
  <c r="J227" i="3"/>
  <c r="M227" i="3"/>
  <c r="T227" i="3"/>
  <c r="V227" i="3"/>
  <c r="C227" i="3"/>
  <c r="H227" i="3"/>
  <c r="P227" i="3"/>
  <c r="N227" i="3"/>
  <c r="D227" i="3"/>
  <c r="F226" i="3"/>
  <c r="T229" i="2"/>
  <c r="G229" i="2"/>
  <c r="D230" i="2"/>
  <c r="O225" i="3"/>
  <c r="H226" i="4" s="1"/>
  <c r="U225" i="3"/>
  <c r="J226" i="4" s="1"/>
  <c r="I225" i="3"/>
  <c r="F226" i="4" s="1"/>
  <c r="C227" i="4"/>
  <c r="AB226" i="3"/>
  <c r="E227" i="4" s="1"/>
  <c r="E229" i="2"/>
  <c r="C230" i="2"/>
  <c r="G227" i="4"/>
  <c r="L227" i="4" s="1"/>
  <c r="I227" i="4"/>
  <c r="M227" i="4" s="1"/>
  <c r="K227" i="4"/>
  <c r="N227" i="4" s="1"/>
  <c r="I229" i="2"/>
  <c r="F229" i="2" s="1"/>
  <c r="L230" i="2"/>
  <c r="D228" i="4" l="1"/>
  <c r="I226" i="3"/>
  <c r="F227" i="4" s="1"/>
  <c r="U226" i="3"/>
  <c r="J227" i="4" s="1"/>
  <c r="O226" i="3"/>
  <c r="H227" i="4" s="1"/>
  <c r="A229" i="4"/>
  <c r="N228" i="3"/>
  <c r="C228" i="3"/>
  <c r="P228" i="3"/>
  <c r="H228" i="3"/>
  <c r="T228" i="3"/>
  <c r="J228" i="3"/>
  <c r="V228" i="3"/>
  <c r="M228" i="3"/>
  <c r="S228" i="3"/>
  <c r="Y228" i="3" s="1"/>
  <c r="Z228" i="3" s="1"/>
  <c r="AA228" i="3" s="1"/>
  <c r="E228" i="3"/>
  <c r="G228" i="3"/>
  <c r="E230" i="2"/>
  <c r="C231" i="2"/>
  <c r="F227" i="3"/>
  <c r="D228" i="3"/>
  <c r="T230" i="2"/>
  <c r="D231" i="2"/>
  <c r="G230" i="2"/>
  <c r="G228" i="4"/>
  <c r="L228" i="4" s="1"/>
  <c r="I228" i="4"/>
  <c r="M228" i="4" s="1"/>
  <c r="K228" i="4"/>
  <c r="N228" i="4" s="1"/>
  <c r="M234" i="2"/>
  <c r="J233" i="2"/>
  <c r="I230" i="2"/>
  <c r="F230" i="2" s="1"/>
  <c r="L231" i="2"/>
  <c r="K236" i="2"/>
  <c r="H235" i="2"/>
  <c r="C228" i="4"/>
  <c r="AB227" i="3"/>
  <c r="E228" i="4" s="1"/>
  <c r="D229" i="4" l="1"/>
  <c r="F228" i="3"/>
  <c r="D229" i="3"/>
  <c r="I231" i="2"/>
  <c r="F231" i="2" s="1"/>
  <c r="L232" i="2"/>
  <c r="I227" i="3"/>
  <c r="F228" i="4" s="1"/>
  <c r="U227" i="3"/>
  <c r="J228" i="4" s="1"/>
  <c r="O227" i="3"/>
  <c r="H228" i="4" s="1"/>
  <c r="M235" i="2"/>
  <c r="J234" i="2"/>
  <c r="C232" i="2"/>
  <c r="E231" i="2"/>
  <c r="G229" i="4"/>
  <c r="L229" i="4" s="1"/>
  <c r="I229" i="4"/>
  <c r="M229" i="4" s="1"/>
  <c r="K229" i="4"/>
  <c r="N229" i="4" s="1"/>
  <c r="A230" i="4"/>
  <c r="M229" i="3"/>
  <c r="C229" i="3"/>
  <c r="E229" i="3"/>
  <c r="G229" i="3"/>
  <c r="S229" i="3"/>
  <c r="Y229" i="3" s="1"/>
  <c r="Z229" i="3" s="1"/>
  <c r="AA229" i="3" s="1"/>
  <c r="J229" i="3"/>
  <c r="N229" i="3"/>
  <c r="P229" i="3"/>
  <c r="T229" i="3"/>
  <c r="V229" i="3"/>
  <c r="H229" i="3"/>
  <c r="C229" i="4"/>
  <c r="AB228" i="3"/>
  <c r="E229" i="4" s="1"/>
  <c r="H236" i="2"/>
  <c r="K237" i="2"/>
  <c r="D232" i="2"/>
  <c r="T231" i="2"/>
  <c r="G231" i="2"/>
  <c r="D230" i="4" l="1"/>
  <c r="C233" i="2"/>
  <c r="E232" i="2"/>
  <c r="F232" i="2"/>
  <c r="C230" i="4"/>
  <c r="AB229" i="3"/>
  <c r="E230" i="4" s="1"/>
  <c r="M236" i="2"/>
  <c r="J235" i="2"/>
  <c r="G230" i="4"/>
  <c r="L230" i="4" s="1"/>
  <c r="I230" i="4"/>
  <c r="M230" i="4" s="1"/>
  <c r="K230" i="4"/>
  <c r="N230" i="4" s="1"/>
  <c r="I232" i="2"/>
  <c r="L233" i="2"/>
  <c r="D230" i="3"/>
  <c r="F229" i="3"/>
  <c r="O228" i="3"/>
  <c r="H229" i="4" s="1"/>
  <c r="U228" i="3"/>
  <c r="J229" i="4" s="1"/>
  <c r="I228" i="3"/>
  <c r="F229" i="4" s="1"/>
  <c r="D233" i="2"/>
  <c r="T232" i="2"/>
  <c r="G232" i="2"/>
  <c r="H237" i="2"/>
  <c r="K238" i="2"/>
  <c r="A231" i="4"/>
  <c r="H230" i="3"/>
  <c r="T230" i="3"/>
  <c r="J230" i="3"/>
  <c r="V230" i="3"/>
  <c r="N230" i="3"/>
  <c r="C230" i="3"/>
  <c r="E230" i="3"/>
  <c r="G230" i="3"/>
  <c r="M230" i="3"/>
  <c r="P230" i="3"/>
  <c r="S230" i="3"/>
  <c r="Y230" i="3" s="1"/>
  <c r="Z230" i="3" s="1"/>
  <c r="AA230" i="3" s="1"/>
  <c r="D231" i="4" l="1"/>
  <c r="M237" i="2"/>
  <c r="J236" i="2"/>
  <c r="O229" i="3"/>
  <c r="H230" i="4" s="1"/>
  <c r="U229" i="3"/>
  <c r="J230" i="4" s="1"/>
  <c r="I229" i="3"/>
  <c r="F230" i="4" s="1"/>
  <c r="F230" i="3"/>
  <c r="D231" i="3"/>
  <c r="T233" i="2"/>
  <c r="D234" i="2"/>
  <c r="G233" i="2"/>
  <c r="I233" i="2"/>
  <c r="L234" i="2"/>
  <c r="K231" i="4"/>
  <c r="N231" i="4" s="1"/>
  <c r="G231" i="4"/>
  <c r="L231" i="4" s="1"/>
  <c r="I231" i="4"/>
  <c r="M231" i="4" s="1"/>
  <c r="H238" i="2"/>
  <c r="K239" i="2"/>
  <c r="C234" i="2"/>
  <c r="E233" i="2"/>
  <c r="F233" i="2"/>
  <c r="C231" i="4"/>
  <c r="AB230" i="3"/>
  <c r="E231" i="4" s="1"/>
  <c r="A232" i="4"/>
  <c r="E231" i="3"/>
  <c r="G231" i="3"/>
  <c r="S231" i="3"/>
  <c r="Y231" i="3" s="1"/>
  <c r="Z231" i="3" s="1"/>
  <c r="AA231" i="3" s="1"/>
  <c r="P231" i="3"/>
  <c r="T231" i="3"/>
  <c r="C231" i="3"/>
  <c r="V231" i="3"/>
  <c r="H231" i="3"/>
  <c r="J231" i="3"/>
  <c r="N231" i="3"/>
  <c r="M231" i="3"/>
  <c r="D232" i="4" l="1"/>
  <c r="C235" i="2"/>
  <c r="E234" i="2"/>
  <c r="G234" i="2"/>
  <c r="T234" i="2"/>
  <c r="D235" i="2"/>
  <c r="H239" i="2"/>
  <c r="K240" i="2"/>
  <c r="F231" i="3"/>
  <c r="D232" i="3"/>
  <c r="I230" i="3"/>
  <c r="F231" i="4" s="1"/>
  <c r="U230" i="3"/>
  <c r="J231" i="4" s="1"/>
  <c r="O230" i="3"/>
  <c r="H231" i="4" s="1"/>
  <c r="C232" i="4"/>
  <c r="AB231" i="3"/>
  <c r="E232" i="4" s="1"/>
  <c r="K232" i="4"/>
  <c r="N232" i="4" s="1"/>
  <c r="G232" i="4"/>
  <c r="L232" i="4" s="1"/>
  <c r="I232" i="4"/>
  <c r="M232" i="4" s="1"/>
  <c r="J237" i="2"/>
  <c r="M238" i="2"/>
  <c r="L235" i="2"/>
  <c r="I234" i="2"/>
  <c r="F234" i="2" s="1"/>
  <c r="A233" i="4"/>
  <c r="N232" i="3"/>
  <c r="C232" i="3"/>
  <c r="P232" i="3"/>
  <c r="H232" i="3"/>
  <c r="T232" i="3"/>
  <c r="G232" i="3"/>
  <c r="J232" i="3"/>
  <c r="M232" i="3"/>
  <c r="S232" i="3"/>
  <c r="Y232" i="3" s="1"/>
  <c r="Z232" i="3" s="1"/>
  <c r="AA232" i="3" s="1"/>
  <c r="E232" i="3"/>
  <c r="V232" i="3"/>
  <c r="D233" i="4" l="1"/>
  <c r="A234" i="4"/>
  <c r="M233" i="3"/>
  <c r="C233" i="3"/>
  <c r="E233" i="3"/>
  <c r="S233" i="3"/>
  <c r="Y233" i="3" s="1"/>
  <c r="Z233" i="3" s="1"/>
  <c r="AA233" i="3" s="1"/>
  <c r="T233" i="3"/>
  <c r="G233" i="3"/>
  <c r="V233" i="3"/>
  <c r="H233" i="3"/>
  <c r="J233" i="3"/>
  <c r="N233" i="3"/>
  <c r="P233" i="3"/>
  <c r="I231" i="3"/>
  <c r="F232" i="4" s="1"/>
  <c r="U231" i="3"/>
  <c r="J232" i="4" s="1"/>
  <c r="O231" i="3"/>
  <c r="H232" i="4" s="1"/>
  <c r="H240" i="2"/>
  <c r="K241" i="2"/>
  <c r="F232" i="3"/>
  <c r="D233" i="3"/>
  <c r="G235" i="2"/>
  <c r="D236" i="2"/>
  <c r="T235" i="2"/>
  <c r="I233" i="4"/>
  <c r="M233" i="4" s="1"/>
  <c r="K233" i="4"/>
  <c r="N233" i="4" s="1"/>
  <c r="G233" i="4"/>
  <c r="L233" i="4" s="1"/>
  <c r="C236" i="2"/>
  <c r="E235" i="2"/>
  <c r="L236" i="2"/>
  <c r="I235" i="2"/>
  <c r="F235" i="2" s="1"/>
  <c r="C233" i="4"/>
  <c r="AB232" i="3"/>
  <c r="E233" i="4" s="1"/>
  <c r="J238" i="2"/>
  <c r="M239" i="2"/>
  <c r="D234" i="4" l="1"/>
  <c r="D237" i="2"/>
  <c r="T236" i="2"/>
  <c r="G236" i="2"/>
  <c r="F233" i="3"/>
  <c r="D234" i="3"/>
  <c r="L237" i="2"/>
  <c r="I236" i="2"/>
  <c r="E236" i="2"/>
  <c r="C237" i="2"/>
  <c r="F236" i="2"/>
  <c r="O232" i="3"/>
  <c r="H233" i="4" s="1"/>
  <c r="I232" i="3"/>
  <c r="F233" i="4" s="1"/>
  <c r="U232" i="3"/>
  <c r="J233" i="4" s="1"/>
  <c r="K242" i="2"/>
  <c r="H241" i="2"/>
  <c r="M240" i="2"/>
  <c r="J239" i="2"/>
  <c r="C234" i="4"/>
  <c r="AB233" i="3"/>
  <c r="E234" i="4" s="1"/>
  <c r="A235" i="4"/>
  <c r="H234" i="3"/>
  <c r="T234" i="3"/>
  <c r="J234" i="3"/>
  <c r="V234" i="3"/>
  <c r="G234" i="3"/>
  <c r="M234" i="3"/>
  <c r="N234" i="3"/>
  <c r="P234" i="3"/>
  <c r="E234" i="3"/>
  <c r="C234" i="3"/>
  <c r="S234" i="3"/>
  <c r="Y234" i="3" s="1"/>
  <c r="Z234" i="3" s="1"/>
  <c r="AA234" i="3" s="1"/>
  <c r="I234" i="4"/>
  <c r="M234" i="4" s="1"/>
  <c r="K234" i="4"/>
  <c r="N234" i="4" s="1"/>
  <c r="G234" i="4"/>
  <c r="L234" i="4" s="1"/>
  <c r="D235" i="4" l="1"/>
  <c r="E237" i="2"/>
  <c r="C238" i="2"/>
  <c r="G235" i="4"/>
  <c r="L235" i="4" s="1"/>
  <c r="I235" i="4"/>
  <c r="M235" i="4" s="1"/>
  <c r="K235" i="4"/>
  <c r="N235" i="4" s="1"/>
  <c r="I237" i="2"/>
  <c r="F237" i="2" s="1"/>
  <c r="L238" i="2"/>
  <c r="F234" i="3"/>
  <c r="D235" i="3"/>
  <c r="M241" i="2"/>
  <c r="J240" i="2"/>
  <c r="O233" i="3"/>
  <c r="H234" i="4" s="1"/>
  <c r="U233" i="3"/>
  <c r="J234" i="4" s="1"/>
  <c r="I233" i="3"/>
  <c r="F234" i="4" s="1"/>
  <c r="A236" i="4"/>
  <c r="E235" i="3"/>
  <c r="G235" i="3"/>
  <c r="S235" i="3"/>
  <c r="Y235" i="3" s="1"/>
  <c r="Z235" i="3" s="1"/>
  <c r="AA235" i="3" s="1"/>
  <c r="P235" i="3"/>
  <c r="T235" i="3"/>
  <c r="C235" i="3"/>
  <c r="V235" i="3"/>
  <c r="H235" i="3"/>
  <c r="J235" i="3"/>
  <c r="N235" i="3"/>
  <c r="M235" i="3"/>
  <c r="C235" i="4"/>
  <c r="AB234" i="3"/>
  <c r="E235" i="4" s="1"/>
  <c r="K243" i="2"/>
  <c r="H242" i="2"/>
  <c r="T237" i="2"/>
  <c r="D238" i="2"/>
  <c r="G237" i="2"/>
  <c r="D236" i="4" l="1"/>
  <c r="H243" i="2"/>
  <c r="K244" i="2"/>
  <c r="A237" i="4"/>
  <c r="N236" i="3"/>
  <c r="C236" i="3"/>
  <c r="P236" i="3"/>
  <c r="G236" i="3"/>
  <c r="H236" i="3"/>
  <c r="J236" i="3"/>
  <c r="M236" i="3"/>
  <c r="E236" i="3"/>
  <c r="V236" i="3"/>
  <c r="T236" i="3"/>
  <c r="S236" i="3"/>
  <c r="Y236" i="3" s="1"/>
  <c r="Z236" i="3" s="1"/>
  <c r="AA236" i="3" s="1"/>
  <c r="C236" i="4"/>
  <c r="AB235" i="3"/>
  <c r="E236" i="4" s="1"/>
  <c r="G236" i="4"/>
  <c r="L236" i="4" s="1"/>
  <c r="I236" i="4"/>
  <c r="M236" i="4" s="1"/>
  <c r="K236" i="4"/>
  <c r="N236" i="4" s="1"/>
  <c r="M242" i="2"/>
  <c r="J241" i="2"/>
  <c r="C239" i="2"/>
  <c r="E238" i="2"/>
  <c r="F238" i="2"/>
  <c r="T238" i="2"/>
  <c r="D239" i="2"/>
  <c r="G238" i="2"/>
  <c r="F235" i="3"/>
  <c r="D236" i="3"/>
  <c r="I234" i="3"/>
  <c r="F235" i="4" s="1"/>
  <c r="U234" i="3"/>
  <c r="J235" i="4" s="1"/>
  <c r="O234" i="3"/>
  <c r="H235" i="4" s="1"/>
  <c r="I238" i="2"/>
  <c r="L239" i="2"/>
  <c r="D237" i="4" l="1"/>
  <c r="A238" i="4"/>
  <c r="M237" i="3"/>
  <c r="C237" i="3"/>
  <c r="N237" i="3"/>
  <c r="P237" i="3"/>
  <c r="S237" i="3"/>
  <c r="Y237" i="3" s="1"/>
  <c r="Z237" i="3" s="1"/>
  <c r="AA237" i="3" s="1"/>
  <c r="E237" i="3"/>
  <c r="T237" i="3"/>
  <c r="G237" i="3"/>
  <c r="V237" i="3"/>
  <c r="H237" i="3"/>
  <c r="J237" i="3"/>
  <c r="G239" i="2"/>
  <c r="D240" i="2"/>
  <c r="T239" i="2"/>
  <c r="G237" i="4"/>
  <c r="L237" i="4" s="1"/>
  <c r="I237" i="4"/>
  <c r="M237" i="4" s="1"/>
  <c r="K237" i="4"/>
  <c r="N237" i="4" s="1"/>
  <c r="I235" i="3"/>
  <c r="F236" i="4" s="1"/>
  <c r="U235" i="3"/>
  <c r="J236" i="4" s="1"/>
  <c r="O235" i="3"/>
  <c r="H236" i="4" s="1"/>
  <c r="C240" i="2"/>
  <c r="E239" i="2"/>
  <c r="H244" i="2"/>
  <c r="K245" i="2"/>
  <c r="F236" i="3"/>
  <c r="D237" i="3"/>
  <c r="L240" i="2"/>
  <c r="I239" i="2"/>
  <c r="F239" i="2" s="1"/>
  <c r="J242" i="2"/>
  <c r="M243" i="2"/>
  <c r="C237" i="4"/>
  <c r="AB236" i="3"/>
  <c r="E237" i="4" s="1"/>
  <c r="D238" i="4" l="1"/>
  <c r="L241" i="2"/>
  <c r="I240" i="2"/>
  <c r="H245" i="2"/>
  <c r="K246" i="2"/>
  <c r="D238" i="3"/>
  <c r="F237" i="3"/>
  <c r="G240" i="2"/>
  <c r="D241" i="2"/>
  <c r="T240" i="2"/>
  <c r="C241" i="2"/>
  <c r="E240" i="2"/>
  <c r="F240" i="2"/>
  <c r="C238" i="4"/>
  <c r="AB237" i="3"/>
  <c r="E238" i="4" s="1"/>
  <c r="G238" i="4"/>
  <c r="L238" i="4" s="1"/>
  <c r="I238" i="4"/>
  <c r="M238" i="4" s="1"/>
  <c r="K238" i="4"/>
  <c r="N238" i="4" s="1"/>
  <c r="O236" i="3"/>
  <c r="H237" i="4" s="1"/>
  <c r="I236" i="3"/>
  <c r="F237" i="4" s="1"/>
  <c r="U236" i="3"/>
  <c r="J237" i="4" s="1"/>
  <c r="J243" i="2"/>
  <c r="M244" i="2"/>
  <c r="A239" i="4"/>
  <c r="H238" i="3"/>
  <c r="T238" i="3"/>
  <c r="J238" i="3"/>
  <c r="V238" i="3"/>
  <c r="C238" i="3"/>
  <c r="S238" i="3"/>
  <c r="Y238" i="3" s="1"/>
  <c r="Z238" i="3" s="1"/>
  <c r="AA238" i="3" s="1"/>
  <c r="E238" i="3"/>
  <c r="G238" i="3"/>
  <c r="M238" i="3"/>
  <c r="N238" i="3"/>
  <c r="P238" i="3"/>
  <c r="D239" i="4" l="1"/>
  <c r="E241" i="2"/>
  <c r="C242" i="2"/>
  <c r="T241" i="2"/>
  <c r="D242" i="2"/>
  <c r="G241" i="2"/>
  <c r="O237" i="3"/>
  <c r="H238" i="4" s="1"/>
  <c r="U237" i="3"/>
  <c r="J238" i="4" s="1"/>
  <c r="I237" i="3"/>
  <c r="F238" i="4" s="1"/>
  <c r="F238" i="3"/>
  <c r="D239" i="3"/>
  <c r="K247" i="2"/>
  <c r="H246" i="2"/>
  <c r="G239" i="4"/>
  <c r="L239" i="4" s="1"/>
  <c r="I239" i="4"/>
  <c r="M239" i="4" s="1"/>
  <c r="K239" i="4"/>
  <c r="N239" i="4" s="1"/>
  <c r="M245" i="2"/>
  <c r="J244" i="2"/>
  <c r="I241" i="2"/>
  <c r="F241" i="2" s="1"/>
  <c r="L242" i="2"/>
  <c r="A240" i="4"/>
  <c r="E239" i="3"/>
  <c r="G239" i="3"/>
  <c r="S239" i="3"/>
  <c r="Y239" i="3" s="1"/>
  <c r="Z239" i="3" s="1"/>
  <c r="AA239" i="3" s="1"/>
  <c r="M239" i="3"/>
  <c r="N239" i="3"/>
  <c r="P239" i="3"/>
  <c r="T239" i="3"/>
  <c r="C239" i="3"/>
  <c r="V239" i="3"/>
  <c r="H239" i="3"/>
  <c r="J239" i="3"/>
  <c r="C239" i="4"/>
  <c r="AB238" i="3"/>
  <c r="E239" i="4" s="1"/>
  <c r="D240" i="4" l="1"/>
  <c r="M246" i="2"/>
  <c r="J245" i="2"/>
  <c r="I238" i="3"/>
  <c r="F239" i="4" s="1"/>
  <c r="U238" i="3"/>
  <c r="J239" i="4" s="1"/>
  <c r="O238" i="3"/>
  <c r="H239" i="4" s="1"/>
  <c r="A241" i="4"/>
  <c r="C240" i="3"/>
  <c r="P240" i="3"/>
  <c r="S240" i="3"/>
  <c r="Y240" i="3" s="1"/>
  <c r="Z240" i="3" s="1"/>
  <c r="AA240" i="3" s="1"/>
  <c r="T240" i="3"/>
  <c r="E240" i="3"/>
  <c r="G240" i="3"/>
  <c r="V240" i="3"/>
  <c r="H240" i="3"/>
  <c r="J240" i="3"/>
  <c r="N240" i="3"/>
  <c r="M240" i="3"/>
  <c r="T242" i="2"/>
  <c r="D243" i="2"/>
  <c r="G242" i="2"/>
  <c r="C240" i="4"/>
  <c r="AB239" i="3"/>
  <c r="E240" i="4" s="1"/>
  <c r="E242" i="2"/>
  <c r="F242" i="2"/>
  <c r="C243" i="2"/>
  <c r="G240" i="4"/>
  <c r="L240" i="4" s="1"/>
  <c r="I240" i="4"/>
  <c r="M240" i="4" s="1"/>
  <c r="K240" i="4"/>
  <c r="N240" i="4" s="1"/>
  <c r="K248" i="2"/>
  <c r="H247" i="2"/>
  <c r="I242" i="2"/>
  <c r="L243" i="2"/>
  <c r="F239" i="3"/>
  <c r="D240" i="3"/>
  <c r="D241" i="4" l="1"/>
  <c r="H248" i="2"/>
  <c r="K249" i="2"/>
  <c r="D244" i="2"/>
  <c r="G243" i="2"/>
  <c r="T243" i="2"/>
  <c r="A242" i="4"/>
  <c r="C241" i="3"/>
  <c r="T241" i="3"/>
  <c r="G241" i="3"/>
  <c r="H241" i="3"/>
  <c r="V241" i="3"/>
  <c r="J241" i="3"/>
  <c r="M241" i="3"/>
  <c r="N241" i="3"/>
  <c r="E241" i="3"/>
  <c r="S241" i="3"/>
  <c r="Y241" i="3" s="1"/>
  <c r="Z241" i="3" s="1"/>
  <c r="AA241" i="3" s="1"/>
  <c r="P241" i="3"/>
  <c r="G241" i="4"/>
  <c r="L241" i="4" s="1"/>
  <c r="I241" i="4"/>
  <c r="M241" i="4" s="1"/>
  <c r="K241" i="4"/>
  <c r="N241" i="4" s="1"/>
  <c r="C241" i="4"/>
  <c r="AB240" i="3"/>
  <c r="E241" i="4" s="1"/>
  <c r="F240" i="3"/>
  <c r="D241" i="3"/>
  <c r="C244" i="2"/>
  <c r="F243" i="2"/>
  <c r="E243" i="2"/>
  <c r="I239" i="3"/>
  <c r="F240" i="4" s="1"/>
  <c r="U239" i="3"/>
  <c r="J240" i="4" s="1"/>
  <c r="O239" i="3"/>
  <c r="H240" i="4" s="1"/>
  <c r="M247" i="2"/>
  <c r="J246" i="2"/>
  <c r="I243" i="2"/>
  <c r="L244" i="2"/>
  <c r="D242" i="4" l="1"/>
  <c r="G242" i="4"/>
  <c r="L242" i="4" s="1"/>
  <c r="I242" i="4"/>
  <c r="M242" i="4" s="1"/>
  <c r="K242" i="4"/>
  <c r="N242" i="4" s="1"/>
  <c r="F241" i="3"/>
  <c r="D242" i="3"/>
  <c r="E244" i="2"/>
  <c r="F244" i="2"/>
  <c r="C245" i="2"/>
  <c r="O240" i="3"/>
  <c r="H241" i="4" s="1"/>
  <c r="U240" i="3"/>
  <c r="J241" i="4" s="1"/>
  <c r="I240" i="3"/>
  <c r="F241" i="4" s="1"/>
  <c r="A243" i="4"/>
  <c r="G242" i="3"/>
  <c r="V242" i="3"/>
  <c r="H242" i="3"/>
  <c r="J242" i="3"/>
  <c r="M242" i="3"/>
  <c r="N242" i="3"/>
  <c r="P242" i="3"/>
  <c r="T242" i="3"/>
  <c r="C242" i="3"/>
  <c r="E242" i="3"/>
  <c r="S242" i="3"/>
  <c r="Y242" i="3" s="1"/>
  <c r="Z242" i="3" s="1"/>
  <c r="AA242" i="3" s="1"/>
  <c r="G244" i="2"/>
  <c r="D245" i="2"/>
  <c r="T244" i="2"/>
  <c r="K250" i="2"/>
  <c r="H249" i="2"/>
  <c r="I244" i="2"/>
  <c r="L245" i="2"/>
  <c r="C242" i="4"/>
  <c r="AB241" i="3"/>
  <c r="E242" i="4" s="1"/>
  <c r="J247" i="2"/>
  <c r="M248" i="2"/>
  <c r="D243" i="4" l="1"/>
  <c r="I245" i="2"/>
  <c r="L246" i="2"/>
  <c r="C243" i="4"/>
  <c r="AB242" i="3"/>
  <c r="E243" i="4" s="1"/>
  <c r="F242" i="3"/>
  <c r="D243" i="3"/>
  <c r="A244" i="4"/>
  <c r="J243" i="3"/>
  <c r="M243" i="3"/>
  <c r="N243" i="3"/>
  <c r="P243" i="3"/>
  <c r="C243" i="3"/>
  <c r="H243" i="3"/>
  <c r="S243" i="3"/>
  <c r="Y243" i="3" s="1"/>
  <c r="Z243" i="3" s="1"/>
  <c r="AA243" i="3" s="1"/>
  <c r="T243" i="3"/>
  <c r="V243" i="3"/>
  <c r="E243" i="3"/>
  <c r="G243" i="3"/>
  <c r="K251" i="2"/>
  <c r="H250" i="2"/>
  <c r="O241" i="3"/>
  <c r="H242" i="4" s="1"/>
  <c r="U241" i="3"/>
  <c r="J242" i="4" s="1"/>
  <c r="I241" i="3"/>
  <c r="F242" i="4" s="1"/>
  <c r="T245" i="2"/>
  <c r="D246" i="2"/>
  <c r="G245" i="2"/>
  <c r="K243" i="4"/>
  <c r="N243" i="4" s="1"/>
  <c r="G243" i="4"/>
  <c r="L243" i="4" s="1"/>
  <c r="I243" i="4"/>
  <c r="M243" i="4" s="1"/>
  <c r="J248" i="2"/>
  <c r="M249" i="2"/>
  <c r="E245" i="2"/>
  <c r="C246" i="2"/>
  <c r="F245" i="2"/>
  <c r="D244" i="4" l="1"/>
  <c r="C244" i="4"/>
  <c r="AB243" i="3"/>
  <c r="E244" i="4" s="1"/>
  <c r="K244" i="4"/>
  <c r="N244" i="4" s="1"/>
  <c r="G244" i="4"/>
  <c r="L244" i="4" s="1"/>
  <c r="I244" i="4"/>
  <c r="M244" i="4" s="1"/>
  <c r="F243" i="3"/>
  <c r="D244" i="3"/>
  <c r="I242" i="3"/>
  <c r="F243" i="4" s="1"/>
  <c r="U242" i="3"/>
  <c r="J243" i="4" s="1"/>
  <c r="O242" i="3"/>
  <c r="H243" i="4" s="1"/>
  <c r="H251" i="2"/>
  <c r="K252" i="2"/>
  <c r="L247" i="2"/>
  <c r="I246" i="2"/>
  <c r="F246" i="2" s="1"/>
  <c r="T246" i="2"/>
  <c r="G246" i="2"/>
  <c r="D247" i="2"/>
  <c r="E246" i="2"/>
  <c r="C247" i="2"/>
  <c r="M250" i="2"/>
  <c r="J249" i="2"/>
  <c r="A245" i="4"/>
  <c r="C244" i="3"/>
  <c r="M244" i="3"/>
  <c r="N244" i="3"/>
  <c r="P244" i="3"/>
  <c r="E244" i="3"/>
  <c r="J244" i="3"/>
  <c r="V244" i="3"/>
  <c r="G244" i="3"/>
  <c r="H244" i="3"/>
  <c r="T244" i="3"/>
  <c r="S244" i="3"/>
  <c r="Y244" i="3" s="1"/>
  <c r="Z244" i="3" s="1"/>
  <c r="AA244" i="3" s="1"/>
  <c r="D245" i="4" l="1"/>
  <c r="I243" i="3"/>
  <c r="F244" i="4" s="1"/>
  <c r="U243" i="3"/>
  <c r="J244" i="4" s="1"/>
  <c r="O243" i="3"/>
  <c r="H244" i="4" s="1"/>
  <c r="F244" i="3"/>
  <c r="D245" i="3"/>
  <c r="D248" i="2"/>
  <c r="T247" i="2"/>
  <c r="G247" i="2"/>
  <c r="A246" i="4"/>
  <c r="H245" i="3"/>
  <c r="T245" i="3"/>
  <c r="J245" i="3"/>
  <c r="V245" i="3"/>
  <c r="M245" i="3"/>
  <c r="N245" i="3"/>
  <c r="C245" i="3"/>
  <c r="G245" i="3"/>
  <c r="S245" i="3"/>
  <c r="Y245" i="3" s="1"/>
  <c r="Z245" i="3" s="1"/>
  <c r="AA245" i="3" s="1"/>
  <c r="E245" i="3"/>
  <c r="P245" i="3"/>
  <c r="C245" i="4"/>
  <c r="AB244" i="3"/>
  <c r="E245" i="4" s="1"/>
  <c r="L248" i="2"/>
  <c r="I247" i="2"/>
  <c r="F247" i="2" s="1"/>
  <c r="K253" i="2"/>
  <c r="H252" i="2"/>
  <c r="I245" i="4"/>
  <c r="M245" i="4" s="1"/>
  <c r="K245" i="4"/>
  <c r="N245" i="4" s="1"/>
  <c r="G245" i="4"/>
  <c r="L245" i="4" s="1"/>
  <c r="M251" i="2"/>
  <c r="J250" i="2"/>
  <c r="E247" i="2"/>
  <c r="C248" i="2"/>
  <c r="D246" i="4" l="1"/>
  <c r="A247" i="4"/>
  <c r="E246" i="3"/>
  <c r="G246" i="3"/>
  <c r="S246" i="3"/>
  <c r="Y246" i="3" s="1"/>
  <c r="Z246" i="3" s="1"/>
  <c r="AA246" i="3" s="1"/>
  <c r="H246" i="3"/>
  <c r="T246" i="3"/>
  <c r="J246" i="3"/>
  <c r="V246" i="3"/>
  <c r="P246" i="3"/>
  <c r="C246" i="3"/>
  <c r="M246" i="3"/>
  <c r="N246" i="3"/>
  <c r="I246" i="4"/>
  <c r="M246" i="4" s="1"/>
  <c r="K246" i="4"/>
  <c r="N246" i="4" s="1"/>
  <c r="G246" i="4"/>
  <c r="L246" i="4" s="1"/>
  <c r="D249" i="2"/>
  <c r="G248" i="2"/>
  <c r="T248" i="2"/>
  <c r="D246" i="3"/>
  <c r="F245" i="3"/>
  <c r="O244" i="3"/>
  <c r="H245" i="4" s="1"/>
  <c r="U244" i="3"/>
  <c r="J245" i="4" s="1"/>
  <c r="I244" i="3"/>
  <c r="F245" i="4" s="1"/>
  <c r="C246" i="4"/>
  <c r="AB245" i="3"/>
  <c r="E246" i="4" s="1"/>
  <c r="F248" i="2"/>
  <c r="C249" i="2"/>
  <c r="E248" i="2"/>
  <c r="I248" i="2"/>
  <c r="L249" i="2"/>
  <c r="J251" i="2"/>
  <c r="M252" i="2"/>
  <c r="K254" i="2"/>
  <c r="H253" i="2"/>
  <c r="D247" i="4" l="1"/>
  <c r="I249" i="2"/>
  <c r="L250" i="2"/>
  <c r="T249" i="2"/>
  <c r="G249" i="2"/>
  <c r="D250" i="2"/>
  <c r="A248" i="4"/>
  <c r="N247" i="3"/>
  <c r="C247" i="3"/>
  <c r="P247" i="3"/>
  <c r="E247" i="3"/>
  <c r="G247" i="3"/>
  <c r="S247" i="3"/>
  <c r="Y247" i="3" s="1"/>
  <c r="Z247" i="3" s="1"/>
  <c r="AA247" i="3" s="1"/>
  <c r="H247" i="3"/>
  <c r="T247" i="3"/>
  <c r="M247" i="3"/>
  <c r="V247" i="3"/>
  <c r="J247" i="3"/>
  <c r="E249" i="2"/>
  <c r="F249" i="2"/>
  <c r="C250" i="2"/>
  <c r="K255" i="2"/>
  <c r="H254" i="2"/>
  <c r="G247" i="4"/>
  <c r="L247" i="4" s="1"/>
  <c r="I247" i="4"/>
  <c r="M247" i="4" s="1"/>
  <c r="K247" i="4"/>
  <c r="N247" i="4" s="1"/>
  <c r="C247" i="4"/>
  <c r="AB246" i="3"/>
  <c r="E247" i="4" s="1"/>
  <c r="J252" i="2"/>
  <c r="M253" i="2"/>
  <c r="I245" i="3"/>
  <c r="F246" i="4" s="1"/>
  <c r="U245" i="3"/>
  <c r="J246" i="4" s="1"/>
  <c r="O245" i="3"/>
  <c r="H246" i="4" s="1"/>
  <c r="F246" i="3"/>
  <c r="D247" i="3"/>
  <c r="D248" i="4" l="1"/>
  <c r="H255" i="2"/>
  <c r="K256" i="2"/>
  <c r="M254" i="2"/>
  <c r="J253" i="2"/>
  <c r="E250" i="2"/>
  <c r="C251" i="2"/>
  <c r="G248" i="4"/>
  <c r="L248" i="4" s="1"/>
  <c r="I248" i="4"/>
  <c r="M248" i="4" s="1"/>
  <c r="K248" i="4"/>
  <c r="N248" i="4" s="1"/>
  <c r="T250" i="2"/>
  <c r="G250" i="2"/>
  <c r="D251" i="2"/>
  <c r="C248" i="4"/>
  <c r="AB247" i="3"/>
  <c r="E248" i="4" s="1"/>
  <c r="F247" i="3"/>
  <c r="D248" i="3"/>
  <c r="I250" i="2"/>
  <c r="F250" i="2" s="1"/>
  <c r="L251" i="2"/>
  <c r="I246" i="3"/>
  <c r="F247" i="4" s="1"/>
  <c r="U246" i="3"/>
  <c r="J247" i="4" s="1"/>
  <c r="O246" i="3"/>
  <c r="H247" i="4" s="1"/>
  <c r="A249" i="4"/>
  <c r="M248" i="3"/>
  <c r="N248" i="3"/>
  <c r="C248" i="3"/>
  <c r="P248" i="3"/>
  <c r="E248" i="3"/>
  <c r="J248" i="3"/>
  <c r="V248" i="3"/>
  <c r="G248" i="3"/>
  <c r="H248" i="3"/>
  <c r="T248" i="3"/>
  <c r="S248" i="3"/>
  <c r="Y248" i="3" s="1"/>
  <c r="Z248" i="3" s="1"/>
  <c r="AA248" i="3" s="1"/>
  <c r="D249" i="4" l="1"/>
  <c r="O247" i="3"/>
  <c r="H248" i="4" s="1"/>
  <c r="I247" i="3"/>
  <c r="F248" i="4" s="1"/>
  <c r="U247" i="3"/>
  <c r="J248" i="4" s="1"/>
  <c r="E251" i="2"/>
  <c r="C252" i="2"/>
  <c r="G251" i="2"/>
  <c r="D252" i="2"/>
  <c r="T251" i="2"/>
  <c r="F248" i="3"/>
  <c r="D249" i="3"/>
  <c r="C249" i="4"/>
  <c r="AB248" i="3"/>
  <c r="E249" i="4" s="1"/>
  <c r="J254" i="2"/>
  <c r="M255" i="2"/>
  <c r="L252" i="2"/>
  <c r="I251" i="2"/>
  <c r="F251" i="2" s="1"/>
  <c r="A250" i="4"/>
  <c r="H249" i="3"/>
  <c r="T249" i="3"/>
  <c r="J249" i="3"/>
  <c r="V249" i="3"/>
  <c r="M249" i="3"/>
  <c r="N249" i="3"/>
  <c r="C249" i="3"/>
  <c r="G249" i="3"/>
  <c r="S249" i="3"/>
  <c r="Y249" i="3" s="1"/>
  <c r="Z249" i="3" s="1"/>
  <c r="AA249" i="3" s="1"/>
  <c r="E249" i="3"/>
  <c r="P249" i="3"/>
  <c r="G249" i="4"/>
  <c r="L249" i="4" s="1"/>
  <c r="I249" i="4"/>
  <c r="M249" i="4" s="1"/>
  <c r="K249" i="4"/>
  <c r="N249" i="4" s="1"/>
  <c r="H256" i="2"/>
  <c r="K257" i="2"/>
  <c r="D250" i="4" l="1"/>
  <c r="G252" i="2"/>
  <c r="D253" i="2"/>
  <c r="T252" i="2"/>
  <c r="O248" i="3"/>
  <c r="H249" i="4" s="1"/>
  <c r="U248" i="3"/>
  <c r="J249" i="4" s="1"/>
  <c r="I248" i="3"/>
  <c r="F249" i="4" s="1"/>
  <c r="G250" i="4"/>
  <c r="L250" i="4" s="1"/>
  <c r="I250" i="4"/>
  <c r="M250" i="4" s="1"/>
  <c r="K250" i="4"/>
  <c r="N250" i="4" s="1"/>
  <c r="E252" i="2"/>
  <c r="C253" i="2"/>
  <c r="A251" i="4"/>
  <c r="E250" i="3"/>
  <c r="G250" i="3"/>
  <c r="S250" i="3"/>
  <c r="Y250" i="3" s="1"/>
  <c r="Z250" i="3" s="1"/>
  <c r="AA250" i="3" s="1"/>
  <c r="H250" i="3"/>
  <c r="T250" i="3"/>
  <c r="J250" i="3"/>
  <c r="V250" i="3"/>
  <c r="P250" i="3"/>
  <c r="C250" i="3"/>
  <c r="M250" i="3"/>
  <c r="N250" i="3"/>
  <c r="L253" i="2"/>
  <c r="I252" i="2"/>
  <c r="F252" i="2" s="1"/>
  <c r="J255" i="2"/>
  <c r="M256" i="2"/>
  <c r="H257" i="2"/>
  <c r="K258" i="2"/>
  <c r="C250" i="4"/>
  <c r="AB249" i="3"/>
  <c r="E250" i="4" s="1"/>
  <c r="D250" i="3"/>
  <c r="F249" i="3"/>
  <c r="D251" i="4" l="1"/>
  <c r="L254" i="2"/>
  <c r="I253" i="2"/>
  <c r="A252" i="4"/>
  <c r="N251" i="3"/>
  <c r="C251" i="3"/>
  <c r="P251" i="3"/>
  <c r="E251" i="3"/>
  <c r="G251" i="3"/>
  <c r="S251" i="3"/>
  <c r="Y251" i="3" s="1"/>
  <c r="Z251" i="3" s="1"/>
  <c r="AA251" i="3" s="1"/>
  <c r="H251" i="3"/>
  <c r="T251" i="3"/>
  <c r="M251" i="3"/>
  <c r="V251" i="3"/>
  <c r="J251" i="3"/>
  <c r="M257" i="2"/>
  <c r="J256" i="2"/>
  <c r="C251" i="4"/>
  <c r="AB250" i="3"/>
  <c r="E251" i="4" s="1"/>
  <c r="E253" i="2"/>
  <c r="F253" i="2"/>
  <c r="C254" i="2"/>
  <c r="K259" i="2"/>
  <c r="H258" i="2"/>
  <c r="G251" i="4"/>
  <c r="L251" i="4" s="1"/>
  <c r="I251" i="4"/>
  <c r="M251" i="4" s="1"/>
  <c r="K251" i="4"/>
  <c r="N251" i="4" s="1"/>
  <c r="I249" i="3"/>
  <c r="F250" i="4" s="1"/>
  <c r="U249" i="3"/>
  <c r="J250" i="4" s="1"/>
  <c r="O249" i="3"/>
  <c r="H250" i="4" s="1"/>
  <c r="T253" i="2"/>
  <c r="G253" i="2"/>
  <c r="D254" i="2"/>
  <c r="F250" i="3"/>
  <c r="D251" i="3"/>
  <c r="D252" i="4" l="1"/>
  <c r="A253" i="4"/>
  <c r="M252" i="3"/>
  <c r="N252" i="3"/>
  <c r="C252" i="3"/>
  <c r="P252" i="3"/>
  <c r="E252" i="3"/>
  <c r="J252" i="3"/>
  <c r="V252" i="3"/>
  <c r="G252" i="3"/>
  <c r="H252" i="3"/>
  <c r="T252" i="3"/>
  <c r="S252" i="3"/>
  <c r="Y252" i="3" s="1"/>
  <c r="Z252" i="3" s="1"/>
  <c r="AA252" i="3" s="1"/>
  <c r="M258" i="2"/>
  <c r="J257" i="2"/>
  <c r="G252" i="4"/>
  <c r="L252" i="4" s="1"/>
  <c r="I252" i="4"/>
  <c r="M252" i="4" s="1"/>
  <c r="K252" i="4"/>
  <c r="N252" i="4" s="1"/>
  <c r="C252" i="4"/>
  <c r="AB251" i="3"/>
  <c r="E252" i="4" s="1"/>
  <c r="I254" i="2"/>
  <c r="L255" i="2"/>
  <c r="E254" i="2"/>
  <c r="C255" i="2"/>
  <c r="F254" i="2"/>
  <c r="F251" i="3"/>
  <c r="D252" i="3"/>
  <c r="T254" i="2"/>
  <c r="G254" i="2"/>
  <c r="D255" i="2"/>
  <c r="I250" i="3"/>
  <c r="F251" i="4" s="1"/>
  <c r="U250" i="3"/>
  <c r="J251" i="4" s="1"/>
  <c r="O250" i="3"/>
  <c r="H251" i="4" s="1"/>
  <c r="K260" i="2"/>
  <c r="H259" i="2"/>
  <c r="D253" i="4" l="1"/>
  <c r="A254" i="4"/>
  <c r="H253" i="3"/>
  <c r="T253" i="3"/>
  <c r="J253" i="3"/>
  <c r="V253" i="3"/>
  <c r="M253" i="3"/>
  <c r="N253" i="3"/>
  <c r="C253" i="3"/>
  <c r="G253" i="3"/>
  <c r="S253" i="3"/>
  <c r="Y253" i="3" s="1"/>
  <c r="Z253" i="3" s="1"/>
  <c r="AA253" i="3" s="1"/>
  <c r="E253" i="3"/>
  <c r="P253" i="3"/>
  <c r="T255" i="2"/>
  <c r="G255" i="2"/>
  <c r="D256" i="2"/>
  <c r="C256" i="2"/>
  <c r="E255" i="2"/>
  <c r="O251" i="3"/>
  <c r="H252" i="4" s="1"/>
  <c r="I251" i="3"/>
  <c r="F252" i="4" s="1"/>
  <c r="U251" i="3"/>
  <c r="J252" i="4" s="1"/>
  <c r="M259" i="2"/>
  <c r="J258" i="2"/>
  <c r="C253" i="4"/>
  <c r="AB252" i="3"/>
  <c r="E253" i="4" s="1"/>
  <c r="F252" i="3"/>
  <c r="D253" i="3"/>
  <c r="H260" i="2"/>
  <c r="K261" i="2"/>
  <c r="L256" i="2"/>
  <c r="I255" i="2"/>
  <c r="F255" i="2" s="1"/>
  <c r="G253" i="4"/>
  <c r="L253" i="4" s="1"/>
  <c r="I253" i="4"/>
  <c r="M253" i="4" s="1"/>
  <c r="K253" i="4"/>
  <c r="N253" i="4" s="1"/>
  <c r="D254" i="4" l="1"/>
  <c r="L257" i="2"/>
  <c r="I256" i="2"/>
  <c r="H261" i="2"/>
  <c r="K262" i="2"/>
  <c r="C254" i="4"/>
  <c r="AB253" i="3"/>
  <c r="E254" i="4" s="1"/>
  <c r="E256" i="2"/>
  <c r="F256" i="2"/>
  <c r="C257" i="2"/>
  <c r="D254" i="3"/>
  <c r="F253" i="3"/>
  <c r="T256" i="2"/>
  <c r="G256" i="2"/>
  <c r="D257" i="2"/>
  <c r="O252" i="3"/>
  <c r="H253" i="4" s="1"/>
  <c r="U252" i="3"/>
  <c r="J253" i="4" s="1"/>
  <c r="I252" i="3"/>
  <c r="F253" i="4" s="1"/>
  <c r="A255" i="4"/>
  <c r="E254" i="3"/>
  <c r="G254" i="3"/>
  <c r="S254" i="3"/>
  <c r="Y254" i="3" s="1"/>
  <c r="Z254" i="3" s="1"/>
  <c r="AA254" i="3" s="1"/>
  <c r="H254" i="3"/>
  <c r="T254" i="3"/>
  <c r="J254" i="3"/>
  <c r="V254" i="3"/>
  <c r="P254" i="3"/>
  <c r="C254" i="3"/>
  <c r="M254" i="3"/>
  <c r="N254" i="3"/>
  <c r="G254" i="4"/>
  <c r="L254" i="4" s="1"/>
  <c r="I254" i="4"/>
  <c r="M254" i="4" s="1"/>
  <c r="K254" i="4"/>
  <c r="N254" i="4" s="1"/>
  <c r="M260" i="2"/>
  <c r="J259" i="2"/>
  <c r="D255" i="4" l="1"/>
  <c r="C258" i="2"/>
  <c r="E257" i="2"/>
  <c r="A256" i="4"/>
  <c r="N255" i="3"/>
  <c r="C255" i="3"/>
  <c r="P255" i="3"/>
  <c r="E255" i="3"/>
  <c r="G255" i="3"/>
  <c r="S255" i="3"/>
  <c r="Y255" i="3" s="1"/>
  <c r="Z255" i="3" s="1"/>
  <c r="AA255" i="3" s="1"/>
  <c r="H255" i="3"/>
  <c r="T255" i="3"/>
  <c r="M255" i="3"/>
  <c r="V255" i="3"/>
  <c r="J255" i="3"/>
  <c r="K255" i="4"/>
  <c r="N255" i="4" s="1"/>
  <c r="G255" i="4"/>
  <c r="L255" i="4" s="1"/>
  <c r="I255" i="4"/>
  <c r="M255" i="4" s="1"/>
  <c r="C255" i="4"/>
  <c r="AB254" i="3"/>
  <c r="E255" i="4" s="1"/>
  <c r="F254" i="3"/>
  <c r="D255" i="3"/>
  <c r="K263" i="2"/>
  <c r="H262" i="2"/>
  <c r="G257" i="2"/>
  <c r="T257" i="2"/>
  <c r="D258" i="2"/>
  <c r="J260" i="2"/>
  <c r="M261" i="2"/>
  <c r="L258" i="2"/>
  <c r="I257" i="2"/>
  <c r="F257" i="2" s="1"/>
  <c r="I253" i="3"/>
  <c r="F254" i="4" s="1"/>
  <c r="U253" i="3"/>
  <c r="J254" i="4" s="1"/>
  <c r="O253" i="3"/>
  <c r="H254" i="4" s="1"/>
  <c r="D256" i="4" l="1"/>
  <c r="M262" i="2"/>
  <c r="J261" i="2"/>
  <c r="A257" i="4"/>
  <c r="M256" i="3"/>
  <c r="N256" i="3"/>
  <c r="C256" i="3"/>
  <c r="P256" i="3"/>
  <c r="E256" i="3"/>
  <c r="J256" i="3"/>
  <c r="V256" i="3"/>
  <c r="G256" i="3"/>
  <c r="H256" i="3"/>
  <c r="T256" i="3"/>
  <c r="S256" i="3"/>
  <c r="Y256" i="3" s="1"/>
  <c r="Z256" i="3" s="1"/>
  <c r="AA256" i="3" s="1"/>
  <c r="I258" i="2"/>
  <c r="L259" i="2"/>
  <c r="K256" i="4"/>
  <c r="N256" i="4" s="1"/>
  <c r="G256" i="4"/>
  <c r="L256" i="4" s="1"/>
  <c r="I256" i="4"/>
  <c r="M256" i="4" s="1"/>
  <c r="K264" i="2"/>
  <c r="H263" i="2"/>
  <c r="F255" i="3"/>
  <c r="D256" i="3"/>
  <c r="C256" i="4"/>
  <c r="AB255" i="3"/>
  <c r="E256" i="4" s="1"/>
  <c r="I254" i="3"/>
  <c r="F255" i="4" s="1"/>
  <c r="U254" i="3"/>
  <c r="J255" i="4" s="1"/>
  <c r="O254" i="3"/>
  <c r="H255" i="4" s="1"/>
  <c r="F258" i="2"/>
  <c r="E258" i="2"/>
  <c r="C259" i="2"/>
  <c r="T258" i="2"/>
  <c r="G258" i="2"/>
  <c r="D259" i="2"/>
  <c r="D257" i="4" l="1"/>
  <c r="A258" i="4"/>
  <c r="H257" i="3"/>
  <c r="T257" i="3"/>
  <c r="J257" i="3"/>
  <c r="V257" i="3"/>
  <c r="M257" i="3"/>
  <c r="N257" i="3"/>
  <c r="C257" i="3"/>
  <c r="G257" i="3"/>
  <c r="S257" i="3"/>
  <c r="Y257" i="3" s="1"/>
  <c r="Z257" i="3" s="1"/>
  <c r="AA257" i="3" s="1"/>
  <c r="E257" i="3"/>
  <c r="P257" i="3"/>
  <c r="L260" i="2"/>
  <c r="I259" i="2"/>
  <c r="C257" i="4"/>
  <c r="AB256" i="3"/>
  <c r="E257" i="4" s="1"/>
  <c r="F256" i="3"/>
  <c r="D257" i="3"/>
  <c r="I257" i="4"/>
  <c r="M257" i="4" s="1"/>
  <c r="K257" i="4"/>
  <c r="N257" i="4" s="1"/>
  <c r="G257" i="4"/>
  <c r="L257" i="4" s="1"/>
  <c r="D260" i="2"/>
  <c r="T259" i="2"/>
  <c r="G259" i="2"/>
  <c r="O255" i="3"/>
  <c r="H256" i="4" s="1"/>
  <c r="I255" i="3"/>
  <c r="F256" i="4" s="1"/>
  <c r="U255" i="3"/>
  <c r="J256" i="4" s="1"/>
  <c r="J262" i="2"/>
  <c r="M263" i="2"/>
  <c r="H264" i="2"/>
  <c r="K265" i="2"/>
  <c r="F259" i="2"/>
  <c r="E259" i="2"/>
  <c r="C260" i="2"/>
  <c r="D258" i="4" l="1"/>
  <c r="D258" i="3"/>
  <c r="F257" i="3"/>
  <c r="O256" i="3"/>
  <c r="H257" i="4" s="1"/>
  <c r="U256" i="3"/>
  <c r="J257" i="4" s="1"/>
  <c r="I256" i="3"/>
  <c r="F257" i="4" s="1"/>
  <c r="C258" i="4"/>
  <c r="AB257" i="3"/>
  <c r="E258" i="4" s="1"/>
  <c r="M264" i="2"/>
  <c r="J263" i="2"/>
  <c r="C261" i="2"/>
  <c r="E260" i="2"/>
  <c r="D261" i="2"/>
  <c r="T260" i="2"/>
  <c r="G260" i="2"/>
  <c r="L261" i="2"/>
  <c r="I260" i="2"/>
  <c r="F260" i="2" s="1"/>
  <c r="A259" i="4"/>
  <c r="E258" i="3"/>
  <c r="G258" i="3"/>
  <c r="S258" i="3"/>
  <c r="Y258" i="3" s="1"/>
  <c r="Z258" i="3" s="1"/>
  <c r="AA258" i="3" s="1"/>
  <c r="H258" i="3"/>
  <c r="T258" i="3"/>
  <c r="J258" i="3"/>
  <c r="V258" i="3"/>
  <c r="P258" i="3"/>
  <c r="C258" i="3"/>
  <c r="M258" i="3"/>
  <c r="N258" i="3"/>
  <c r="I258" i="4"/>
  <c r="M258" i="4" s="1"/>
  <c r="G258" i="4"/>
  <c r="L258" i="4" s="1"/>
  <c r="K258" i="4"/>
  <c r="N258" i="4" s="1"/>
  <c r="K266" i="2"/>
  <c r="H265" i="2"/>
  <c r="D259" i="4" l="1"/>
  <c r="A260" i="4"/>
  <c r="N259" i="3"/>
  <c r="C259" i="3"/>
  <c r="P259" i="3"/>
  <c r="E259" i="3"/>
  <c r="G259" i="3"/>
  <c r="S259" i="3"/>
  <c r="Y259" i="3" s="1"/>
  <c r="Z259" i="3" s="1"/>
  <c r="AA259" i="3" s="1"/>
  <c r="H259" i="3"/>
  <c r="T259" i="3"/>
  <c r="M259" i="3"/>
  <c r="V259" i="3"/>
  <c r="J259" i="3"/>
  <c r="M265" i="2"/>
  <c r="J264" i="2"/>
  <c r="G259" i="4"/>
  <c r="L259" i="4" s="1"/>
  <c r="I259" i="4"/>
  <c r="M259" i="4" s="1"/>
  <c r="K259" i="4"/>
  <c r="N259" i="4" s="1"/>
  <c r="C259" i="4"/>
  <c r="AB258" i="3"/>
  <c r="E259" i="4" s="1"/>
  <c r="L262" i="2"/>
  <c r="I261" i="2"/>
  <c r="F261" i="2"/>
  <c r="C262" i="2"/>
  <c r="E261" i="2"/>
  <c r="I257" i="3"/>
  <c r="F258" i="4" s="1"/>
  <c r="U257" i="3"/>
  <c r="J258" i="4" s="1"/>
  <c r="O257" i="3"/>
  <c r="H258" i="4" s="1"/>
  <c r="K267" i="2"/>
  <c r="H266" i="2"/>
  <c r="T261" i="2"/>
  <c r="G261" i="2"/>
  <c r="D262" i="2"/>
  <c r="F258" i="3"/>
  <c r="D259" i="3"/>
  <c r="D260" i="4" l="1"/>
  <c r="K268" i="2"/>
  <c r="H267" i="2"/>
  <c r="A261" i="4"/>
  <c r="M260" i="3"/>
  <c r="N260" i="3"/>
  <c r="C260" i="3"/>
  <c r="P260" i="3"/>
  <c r="E260" i="3"/>
  <c r="J260" i="3"/>
  <c r="V260" i="3"/>
  <c r="G260" i="3"/>
  <c r="H260" i="3"/>
  <c r="T260" i="3"/>
  <c r="S260" i="3"/>
  <c r="Y260" i="3" s="1"/>
  <c r="Z260" i="3" s="1"/>
  <c r="AA260" i="3" s="1"/>
  <c r="C263" i="2"/>
  <c r="E262" i="2"/>
  <c r="F259" i="3"/>
  <c r="D260" i="3"/>
  <c r="M266" i="2"/>
  <c r="J265" i="2"/>
  <c r="I258" i="3"/>
  <c r="F259" i="4" s="1"/>
  <c r="U258" i="3"/>
  <c r="J259" i="4" s="1"/>
  <c r="O258" i="3"/>
  <c r="H259" i="4" s="1"/>
  <c r="G260" i="4"/>
  <c r="L260" i="4" s="1"/>
  <c r="I260" i="4"/>
  <c r="M260" i="4" s="1"/>
  <c r="K260" i="4"/>
  <c r="N260" i="4" s="1"/>
  <c r="T262" i="2"/>
  <c r="G262" i="2"/>
  <c r="D263" i="2"/>
  <c r="I262" i="2"/>
  <c r="F262" i="2" s="1"/>
  <c r="L263" i="2"/>
  <c r="C260" i="4"/>
  <c r="AB259" i="3"/>
  <c r="E260" i="4" s="1"/>
  <c r="D261" i="4" l="1"/>
  <c r="M267" i="2"/>
  <c r="J266" i="2"/>
  <c r="A262" i="4"/>
  <c r="H261" i="3"/>
  <c r="T261" i="3"/>
  <c r="J261" i="3"/>
  <c r="V261" i="3"/>
  <c r="M261" i="3"/>
  <c r="N261" i="3"/>
  <c r="C261" i="3"/>
  <c r="G261" i="3"/>
  <c r="S261" i="3"/>
  <c r="Y261" i="3" s="1"/>
  <c r="Z261" i="3" s="1"/>
  <c r="AA261" i="3" s="1"/>
  <c r="E261" i="3"/>
  <c r="P261" i="3"/>
  <c r="L264" i="2"/>
  <c r="I263" i="2"/>
  <c r="F263" i="2" s="1"/>
  <c r="T263" i="2"/>
  <c r="G263" i="2"/>
  <c r="D264" i="2"/>
  <c r="F260" i="3"/>
  <c r="D261" i="3"/>
  <c r="O259" i="3"/>
  <c r="H260" i="4" s="1"/>
  <c r="I259" i="3"/>
  <c r="F260" i="4" s="1"/>
  <c r="U259" i="3"/>
  <c r="J260" i="4" s="1"/>
  <c r="E263" i="2"/>
  <c r="C264" i="2"/>
  <c r="C261" i="4"/>
  <c r="AB260" i="3"/>
  <c r="E261" i="4" s="1"/>
  <c r="G261" i="4"/>
  <c r="L261" i="4" s="1"/>
  <c r="I261" i="4"/>
  <c r="M261" i="4" s="1"/>
  <c r="K261" i="4"/>
  <c r="N261" i="4" s="1"/>
  <c r="K269" i="2"/>
  <c r="H268" i="2"/>
  <c r="D262" i="4" l="1"/>
  <c r="O260" i="3"/>
  <c r="H261" i="4" s="1"/>
  <c r="U260" i="3"/>
  <c r="J261" i="4" s="1"/>
  <c r="I260" i="3"/>
  <c r="F261" i="4" s="1"/>
  <c r="D265" i="2"/>
  <c r="G264" i="2"/>
  <c r="T264" i="2"/>
  <c r="C262" i="4"/>
  <c r="AB261" i="3"/>
  <c r="E262" i="4" s="1"/>
  <c r="C265" i="2"/>
  <c r="E264" i="2"/>
  <c r="L265" i="2"/>
  <c r="I264" i="2"/>
  <c r="F264" i="2" s="1"/>
  <c r="A263" i="4"/>
  <c r="E262" i="3"/>
  <c r="G262" i="3"/>
  <c r="S262" i="3"/>
  <c r="Y262" i="3" s="1"/>
  <c r="Z262" i="3" s="1"/>
  <c r="AA262" i="3" s="1"/>
  <c r="H262" i="3"/>
  <c r="T262" i="3"/>
  <c r="J262" i="3"/>
  <c r="V262" i="3"/>
  <c r="P262" i="3"/>
  <c r="C262" i="3"/>
  <c r="M262" i="3"/>
  <c r="N262" i="3"/>
  <c r="G262" i="4"/>
  <c r="L262" i="4" s="1"/>
  <c r="I262" i="4"/>
  <c r="M262" i="4" s="1"/>
  <c r="K262" i="4"/>
  <c r="N262" i="4" s="1"/>
  <c r="D262" i="3"/>
  <c r="F261" i="3"/>
  <c r="H269" i="2"/>
  <c r="K270" i="2"/>
  <c r="J267" i="2"/>
  <c r="M268" i="2"/>
  <c r="D263" i="4" l="1"/>
  <c r="E265" i="2"/>
  <c r="C266" i="2"/>
  <c r="A264" i="4"/>
  <c r="N263" i="3"/>
  <c r="C263" i="3"/>
  <c r="P263" i="3"/>
  <c r="E263" i="3"/>
  <c r="G263" i="3"/>
  <c r="S263" i="3"/>
  <c r="Y263" i="3" s="1"/>
  <c r="Z263" i="3" s="1"/>
  <c r="AA263" i="3" s="1"/>
  <c r="H263" i="3"/>
  <c r="T263" i="3"/>
  <c r="M263" i="3"/>
  <c r="V263" i="3"/>
  <c r="J263" i="3"/>
  <c r="T265" i="2"/>
  <c r="G265" i="2"/>
  <c r="D266" i="2"/>
  <c r="I261" i="3"/>
  <c r="F262" i="4" s="1"/>
  <c r="U261" i="3"/>
  <c r="J262" i="4" s="1"/>
  <c r="O261" i="3"/>
  <c r="H262" i="4" s="1"/>
  <c r="F262" i="3"/>
  <c r="D263" i="3"/>
  <c r="G263" i="4"/>
  <c r="L263" i="4" s="1"/>
  <c r="I263" i="4"/>
  <c r="M263" i="4" s="1"/>
  <c r="K263" i="4"/>
  <c r="N263" i="4" s="1"/>
  <c r="C263" i="4"/>
  <c r="AB262" i="3"/>
  <c r="E263" i="4" s="1"/>
  <c r="K271" i="2"/>
  <c r="H270" i="2"/>
  <c r="L266" i="2"/>
  <c r="I265" i="2"/>
  <c r="F265" i="2" s="1"/>
  <c r="M269" i="2"/>
  <c r="J268" i="2"/>
  <c r="D264" i="4" l="1"/>
  <c r="K272" i="2"/>
  <c r="H271" i="2"/>
  <c r="A265" i="4"/>
  <c r="M264" i="3"/>
  <c r="N264" i="3"/>
  <c r="C264" i="3"/>
  <c r="P264" i="3"/>
  <c r="E264" i="3"/>
  <c r="J264" i="3"/>
  <c r="V264" i="3"/>
  <c r="G264" i="3"/>
  <c r="H264" i="3"/>
  <c r="T264" i="3"/>
  <c r="S264" i="3"/>
  <c r="Y264" i="3" s="1"/>
  <c r="Z264" i="3" s="1"/>
  <c r="AA264" i="3" s="1"/>
  <c r="D267" i="2"/>
  <c r="T266" i="2"/>
  <c r="G266" i="2"/>
  <c r="G264" i="4"/>
  <c r="L264" i="4" s="1"/>
  <c r="I264" i="4"/>
  <c r="M264" i="4" s="1"/>
  <c r="K264" i="4"/>
  <c r="N264" i="4" s="1"/>
  <c r="C267" i="2"/>
  <c r="E266" i="2"/>
  <c r="C264" i="4"/>
  <c r="AB263" i="3"/>
  <c r="E264" i="4" s="1"/>
  <c r="M270" i="2"/>
  <c r="J269" i="2"/>
  <c r="F263" i="3"/>
  <c r="D264" i="3"/>
  <c r="I266" i="2"/>
  <c r="F266" i="2" s="1"/>
  <c r="L267" i="2"/>
  <c r="I262" i="3"/>
  <c r="F263" i="4" s="1"/>
  <c r="U262" i="3"/>
  <c r="J263" i="4" s="1"/>
  <c r="O262" i="3"/>
  <c r="H263" i="4" s="1"/>
  <c r="D265" i="4" l="1"/>
  <c r="O263" i="3"/>
  <c r="H264" i="4" s="1"/>
  <c r="I263" i="3"/>
  <c r="F264" i="4" s="1"/>
  <c r="U263" i="3"/>
  <c r="J264" i="4" s="1"/>
  <c r="M271" i="2"/>
  <c r="J270" i="2"/>
  <c r="A266" i="4"/>
  <c r="H265" i="3"/>
  <c r="T265" i="3"/>
  <c r="J265" i="3"/>
  <c r="V265" i="3"/>
  <c r="M265" i="3"/>
  <c r="N265" i="3"/>
  <c r="C265" i="3"/>
  <c r="G265" i="3"/>
  <c r="S265" i="3"/>
  <c r="Y265" i="3" s="1"/>
  <c r="Z265" i="3" s="1"/>
  <c r="AA265" i="3" s="1"/>
  <c r="E265" i="3"/>
  <c r="P265" i="3"/>
  <c r="F264" i="3"/>
  <c r="D265" i="3"/>
  <c r="D268" i="2"/>
  <c r="T267" i="2"/>
  <c r="G267" i="2"/>
  <c r="C265" i="4"/>
  <c r="AB264" i="3"/>
  <c r="E265" i="4" s="1"/>
  <c r="G265" i="4"/>
  <c r="L265" i="4" s="1"/>
  <c r="I265" i="4"/>
  <c r="M265" i="4" s="1"/>
  <c r="K265" i="4"/>
  <c r="N265" i="4" s="1"/>
  <c r="E267" i="2"/>
  <c r="F267" i="2"/>
  <c r="C268" i="2"/>
  <c r="K273" i="2"/>
  <c r="H272" i="2"/>
  <c r="L268" i="2"/>
  <c r="I267" i="2"/>
  <c r="D266" i="4" l="1"/>
  <c r="D266" i="3"/>
  <c r="F265" i="3"/>
  <c r="O264" i="3"/>
  <c r="H265" i="4" s="1"/>
  <c r="U264" i="3"/>
  <c r="J265" i="4" s="1"/>
  <c r="I264" i="3"/>
  <c r="F265" i="4" s="1"/>
  <c r="A267" i="4"/>
  <c r="E266" i="3"/>
  <c r="G266" i="3"/>
  <c r="S266" i="3"/>
  <c r="Y266" i="3" s="1"/>
  <c r="Z266" i="3" s="1"/>
  <c r="AA266" i="3" s="1"/>
  <c r="H266" i="3"/>
  <c r="T266" i="3"/>
  <c r="J266" i="3"/>
  <c r="V266" i="3"/>
  <c r="P266" i="3"/>
  <c r="C266" i="3"/>
  <c r="M266" i="3"/>
  <c r="N266" i="3"/>
  <c r="G266" i="4"/>
  <c r="L266" i="4" s="1"/>
  <c r="I266" i="4"/>
  <c r="M266" i="4" s="1"/>
  <c r="K266" i="4"/>
  <c r="N266" i="4" s="1"/>
  <c r="G268" i="2"/>
  <c r="D269" i="2"/>
  <c r="T268" i="2"/>
  <c r="J271" i="2"/>
  <c r="M272" i="2"/>
  <c r="L269" i="2"/>
  <c r="I268" i="2"/>
  <c r="F268" i="2"/>
  <c r="C269" i="2"/>
  <c r="E268" i="2"/>
  <c r="H273" i="2"/>
  <c r="K274" i="2"/>
  <c r="C266" i="4"/>
  <c r="AB265" i="3"/>
  <c r="E266" i="4" s="1"/>
  <c r="D267" i="4" l="1"/>
  <c r="A268" i="4"/>
  <c r="N267" i="3"/>
  <c r="C267" i="3"/>
  <c r="P267" i="3"/>
  <c r="E267" i="3"/>
  <c r="G267" i="3"/>
  <c r="S267" i="3"/>
  <c r="Y267" i="3" s="1"/>
  <c r="Z267" i="3" s="1"/>
  <c r="AA267" i="3" s="1"/>
  <c r="H267" i="3"/>
  <c r="T267" i="3"/>
  <c r="M267" i="3"/>
  <c r="V267" i="3"/>
  <c r="J267" i="3"/>
  <c r="I269" i="2"/>
  <c r="L270" i="2"/>
  <c r="G267" i="4"/>
  <c r="L267" i="4" s="1"/>
  <c r="I267" i="4"/>
  <c r="M267" i="4" s="1"/>
  <c r="K267" i="4"/>
  <c r="N267" i="4" s="1"/>
  <c r="C267" i="4"/>
  <c r="AB266" i="3"/>
  <c r="E267" i="4" s="1"/>
  <c r="M273" i="2"/>
  <c r="J272" i="2"/>
  <c r="D270" i="2"/>
  <c r="T269" i="2"/>
  <c r="G269" i="2"/>
  <c r="I265" i="3"/>
  <c r="F266" i="4" s="1"/>
  <c r="U265" i="3"/>
  <c r="J266" i="4" s="1"/>
  <c r="O265" i="3"/>
  <c r="H266" i="4" s="1"/>
  <c r="E269" i="2"/>
  <c r="F269" i="2"/>
  <c r="C270" i="2"/>
  <c r="F266" i="3"/>
  <c r="D267" i="3"/>
  <c r="K275" i="2"/>
  <c r="H274" i="2"/>
  <c r="D268" i="4" l="1"/>
  <c r="E270" i="2"/>
  <c r="C271" i="2"/>
  <c r="A269" i="4"/>
  <c r="M268" i="3"/>
  <c r="N268" i="3"/>
  <c r="C268" i="3"/>
  <c r="P268" i="3"/>
  <c r="E268" i="3"/>
  <c r="J268" i="3"/>
  <c r="V268" i="3"/>
  <c r="G268" i="3"/>
  <c r="H268" i="3"/>
  <c r="T268" i="3"/>
  <c r="S268" i="3"/>
  <c r="Y268" i="3" s="1"/>
  <c r="Z268" i="3" s="1"/>
  <c r="AA268" i="3" s="1"/>
  <c r="L271" i="2"/>
  <c r="I270" i="2"/>
  <c r="F270" i="2" s="1"/>
  <c r="T270" i="2"/>
  <c r="G270" i="2"/>
  <c r="D271" i="2"/>
  <c r="K276" i="2"/>
  <c r="H275" i="2"/>
  <c r="G268" i="4"/>
  <c r="L268" i="4" s="1"/>
  <c r="I268" i="4"/>
  <c r="M268" i="4" s="1"/>
  <c r="K268" i="4"/>
  <c r="N268" i="4" s="1"/>
  <c r="F267" i="3"/>
  <c r="D268" i="3"/>
  <c r="M274" i="2"/>
  <c r="J273" i="2"/>
  <c r="I266" i="3"/>
  <c r="F267" i="4" s="1"/>
  <c r="U266" i="3"/>
  <c r="J267" i="4" s="1"/>
  <c r="O266" i="3"/>
  <c r="H267" i="4" s="1"/>
  <c r="C268" i="4"/>
  <c r="AB267" i="3"/>
  <c r="E268" i="4" s="1"/>
  <c r="D269" i="4" l="1"/>
  <c r="H276" i="2"/>
  <c r="K277" i="2"/>
  <c r="A270" i="4"/>
  <c r="H269" i="3"/>
  <c r="T269" i="3"/>
  <c r="J269" i="3"/>
  <c r="V269" i="3"/>
  <c r="M269" i="3"/>
  <c r="N269" i="3"/>
  <c r="C269" i="3"/>
  <c r="G269" i="3"/>
  <c r="S269" i="3"/>
  <c r="Y269" i="3" s="1"/>
  <c r="Z269" i="3" s="1"/>
  <c r="AA269" i="3" s="1"/>
  <c r="E269" i="3"/>
  <c r="P269" i="3"/>
  <c r="G271" i="2"/>
  <c r="D272" i="2"/>
  <c r="T271" i="2"/>
  <c r="J274" i="2"/>
  <c r="M275" i="2"/>
  <c r="F268" i="3"/>
  <c r="D269" i="3"/>
  <c r="O267" i="3"/>
  <c r="H268" i="4" s="1"/>
  <c r="I267" i="3"/>
  <c r="F268" i="4" s="1"/>
  <c r="U267" i="3"/>
  <c r="J268" i="4" s="1"/>
  <c r="L272" i="2"/>
  <c r="I271" i="2"/>
  <c r="C269" i="4"/>
  <c r="AB268" i="3"/>
  <c r="E269" i="4" s="1"/>
  <c r="G269" i="4"/>
  <c r="L269" i="4" s="1"/>
  <c r="I269" i="4"/>
  <c r="M269" i="4" s="1"/>
  <c r="K269" i="4"/>
  <c r="N269" i="4" s="1"/>
  <c r="C272" i="2"/>
  <c r="F271" i="2"/>
  <c r="E271" i="2"/>
  <c r="D270" i="4" l="1"/>
  <c r="O268" i="3"/>
  <c r="H269" i="4" s="1"/>
  <c r="U268" i="3"/>
  <c r="J269" i="4" s="1"/>
  <c r="I268" i="3"/>
  <c r="F269" i="4" s="1"/>
  <c r="M276" i="2"/>
  <c r="J275" i="2"/>
  <c r="C270" i="4"/>
  <c r="AB269" i="3"/>
  <c r="E270" i="4" s="1"/>
  <c r="D270" i="3"/>
  <c r="F269" i="3"/>
  <c r="T272" i="2"/>
  <c r="G272" i="2"/>
  <c r="D273" i="2"/>
  <c r="A271" i="4"/>
  <c r="E270" i="3"/>
  <c r="G270" i="3"/>
  <c r="S270" i="3"/>
  <c r="Y270" i="3" s="1"/>
  <c r="Z270" i="3" s="1"/>
  <c r="AA270" i="3" s="1"/>
  <c r="H270" i="3"/>
  <c r="T270" i="3"/>
  <c r="J270" i="3"/>
  <c r="V270" i="3"/>
  <c r="P270" i="3"/>
  <c r="C270" i="3"/>
  <c r="M270" i="3"/>
  <c r="N270" i="3"/>
  <c r="G270" i="4"/>
  <c r="L270" i="4" s="1"/>
  <c r="I270" i="4"/>
  <c r="M270" i="4" s="1"/>
  <c r="K270" i="4"/>
  <c r="N270" i="4" s="1"/>
  <c r="L273" i="2"/>
  <c r="I272" i="2"/>
  <c r="F272" i="2" s="1"/>
  <c r="K278" i="2"/>
  <c r="H277" i="2"/>
  <c r="E272" i="2"/>
  <c r="C273" i="2"/>
  <c r="D271" i="4" l="1"/>
  <c r="I269" i="3"/>
  <c r="F270" i="4" s="1"/>
  <c r="U269" i="3"/>
  <c r="J270" i="4" s="1"/>
  <c r="O269" i="3"/>
  <c r="H270" i="4" s="1"/>
  <c r="L274" i="2"/>
  <c r="I273" i="2"/>
  <c r="F270" i="3"/>
  <c r="D271" i="3"/>
  <c r="M277" i="2"/>
  <c r="J276" i="2"/>
  <c r="A272" i="4"/>
  <c r="N271" i="3"/>
  <c r="C271" i="3"/>
  <c r="P271" i="3"/>
  <c r="E271" i="3"/>
  <c r="G271" i="3"/>
  <c r="S271" i="3"/>
  <c r="Y271" i="3" s="1"/>
  <c r="Z271" i="3" s="1"/>
  <c r="AA271" i="3" s="1"/>
  <c r="H271" i="3"/>
  <c r="T271" i="3"/>
  <c r="M271" i="3"/>
  <c r="V271" i="3"/>
  <c r="J271" i="3"/>
  <c r="K279" i="2"/>
  <c r="H278" i="2"/>
  <c r="E273" i="2"/>
  <c r="C274" i="2"/>
  <c r="F273" i="2"/>
  <c r="C271" i="4"/>
  <c r="AB270" i="3"/>
  <c r="E271" i="4" s="1"/>
  <c r="T273" i="2"/>
  <c r="G273" i="2"/>
  <c r="D274" i="2"/>
  <c r="K271" i="4"/>
  <c r="N271" i="4" s="1"/>
  <c r="G271" i="4"/>
  <c r="L271" i="4" s="1"/>
  <c r="I271" i="4"/>
  <c r="M271" i="4" s="1"/>
  <c r="D272" i="4" l="1"/>
  <c r="T274" i="2"/>
  <c r="G274" i="2"/>
  <c r="D275" i="2"/>
  <c r="C272" i="4"/>
  <c r="AB271" i="3"/>
  <c r="E272" i="4" s="1"/>
  <c r="M278" i="2"/>
  <c r="J277" i="2"/>
  <c r="F271" i="3"/>
  <c r="D272" i="3"/>
  <c r="I270" i="3"/>
  <c r="F271" i="4" s="1"/>
  <c r="U270" i="3"/>
  <c r="J271" i="4" s="1"/>
  <c r="O270" i="3"/>
  <c r="H271" i="4" s="1"/>
  <c r="I274" i="2"/>
  <c r="L275" i="2"/>
  <c r="K272" i="4"/>
  <c r="N272" i="4" s="1"/>
  <c r="G272" i="4"/>
  <c r="L272" i="4" s="1"/>
  <c r="I272" i="4"/>
  <c r="M272" i="4" s="1"/>
  <c r="A273" i="4"/>
  <c r="M272" i="3"/>
  <c r="N272" i="3"/>
  <c r="C272" i="3"/>
  <c r="P272" i="3"/>
  <c r="E272" i="3"/>
  <c r="J272" i="3"/>
  <c r="V272" i="3"/>
  <c r="G272" i="3"/>
  <c r="H272" i="3"/>
  <c r="T272" i="3"/>
  <c r="S272" i="3"/>
  <c r="Y272" i="3" s="1"/>
  <c r="Z272" i="3" s="1"/>
  <c r="AA272" i="3" s="1"/>
  <c r="C275" i="2"/>
  <c r="E274" i="2"/>
  <c r="F274" i="2"/>
  <c r="K280" i="2"/>
  <c r="H279" i="2"/>
  <c r="D273" i="4" l="1"/>
  <c r="I273" i="4"/>
  <c r="M273" i="4" s="1"/>
  <c r="K273" i="4"/>
  <c r="N273" i="4" s="1"/>
  <c r="G273" i="4"/>
  <c r="L273" i="4" s="1"/>
  <c r="F272" i="3"/>
  <c r="D273" i="3"/>
  <c r="O271" i="3"/>
  <c r="H272" i="4" s="1"/>
  <c r="I271" i="3"/>
  <c r="F272" i="4" s="1"/>
  <c r="U271" i="3"/>
  <c r="J272" i="4" s="1"/>
  <c r="M279" i="2"/>
  <c r="J278" i="2"/>
  <c r="T275" i="2"/>
  <c r="G275" i="2"/>
  <c r="D276" i="2"/>
  <c r="E275" i="2"/>
  <c r="C276" i="2"/>
  <c r="A274" i="4"/>
  <c r="H273" i="3"/>
  <c r="T273" i="3"/>
  <c r="J273" i="3"/>
  <c r="V273" i="3"/>
  <c r="M273" i="3"/>
  <c r="N273" i="3"/>
  <c r="C273" i="3"/>
  <c r="G273" i="3"/>
  <c r="S273" i="3"/>
  <c r="Y273" i="3" s="1"/>
  <c r="Z273" i="3" s="1"/>
  <c r="AA273" i="3" s="1"/>
  <c r="E273" i="3"/>
  <c r="P273" i="3"/>
  <c r="L276" i="2"/>
  <c r="I275" i="2"/>
  <c r="F275" i="2" s="1"/>
  <c r="K281" i="2"/>
  <c r="H280" i="2"/>
  <c r="C273" i="4"/>
  <c r="AB272" i="3"/>
  <c r="E273" i="4" s="1"/>
  <c r="D274" i="4" l="1"/>
  <c r="L277" i="2"/>
  <c r="I276" i="2"/>
  <c r="A275" i="4"/>
  <c r="E274" i="3"/>
  <c r="G274" i="3"/>
  <c r="S274" i="3"/>
  <c r="Y274" i="3" s="1"/>
  <c r="Z274" i="3" s="1"/>
  <c r="AA274" i="3" s="1"/>
  <c r="H274" i="3"/>
  <c r="T274" i="3"/>
  <c r="J274" i="3"/>
  <c r="V274" i="3"/>
  <c r="P274" i="3"/>
  <c r="C274" i="3"/>
  <c r="M274" i="3"/>
  <c r="N274" i="3"/>
  <c r="G274" i="4"/>
  <c r="L274" i="4" s="1"/>
  <c r="I274" i="4"/>
  <c r="M274" i="4" s="1"/>
  <c r="K274" i="4"/>
  <c r="N274" i="4" s="1"/>
  <c r="D274" i="3"/>
  <c r="F273" i="3"/>
  <c r="C277" i="2"/>
  <c r="E276" i="2"/>
  <c r="F276" i="2"/>
  <c r="O272" i="3"/>
  <c r="H273" i="4" s="1"/>
  <c r="U272" i="3"/>
  <c r="J273" i="4" s="1"/>
  <c r="I272" i="3"/>
  <c r="F273" i="4" s="1"/>
  <c r="D277" i="2"/>
  <c r="G276" i="2"/>
  <c r="T276" i="2"/>
  <c r="C274" i="4"/>
  <c r="AB273" i="3"/>
  <c r="E274" i="4" s="1"/>
  <c r="J279" i="2"/>
  <c r="M280" i="2"/>
  <c r="H281" i="2"/>
  <c r="K282" i="2"/>
  <c r="D275" i="4" l="1"/>
  <c r="A276" i="4"/>
  <c r="N275" i="3"/>
  <c r="C275" i="3"/>
  <c r="P275" i="3"/>
  <c r="E275" i="3"/>
  <c r="G275" i="3"/>
  <c r="S275" i="3"/>
  <c r="Y275" i="3" s="1"/>
  <c r="Z275" i="3" s="1"/>
  <c r="AA275" i="3" s="1"/>
  <c r="H275" i="3"/>
  <c r="T275" i="3"/>
  <c r="M275" i="3"/>
  <c r="V275" i="3"/>
  <c r="J275" i="3"/>
  <c r="T277" i="2"/>
  <c r="G277" i="2"/>
  <c r="D278" i="2"/>
  <c r="F274" i="3"/>
  <c r="D275" i="3"/>
  <c r="G275" i="4"/>
  <c r="L275" i="4" s="1"/>
  <c r="I275" i="4"/>
  <c r="M275" i="4" s="1"/>
  <c r="K275" i="4"/>
  <c r="N275" i="4" s="1"/>
  <c r="C275" i="4"/>
  <c r="AB274" i="3"/>
  <c r="E275" i="4" s="1"/>
  <c r="K283" i="2"/>
  <c r="H282" i="2"/>
  <c r="L278" i="2"/>
  <c r="I277" i="2"/>
  <c r="M281" i="2"/>
  <c r="J280" i="2"/>
  <c r="E277" i="2"/>
  <c r="F277" i="2"/>
  <c r="C278" i="2"/>
  <c r="I273" i="3"/>
  <c r="F274" i="4" s="1"/>
  <c r="U273" i="3"/>
  <c r="J274" i="4" s="1"/>
  <c r="O273" i="3"/>
  <c r="H274" i="4" s="1"/>
  <c r="D276" i="4" l="1"/>
  <c r="C279" i="2"/>
  <c r="E278" i="2"/>
  <c r="F275" i="3"/>
  <c r="D276" i="3"/>
  <c r="A277" i="4"/>
  <c r="M276" i="3"/>
  <c r="N276" i="3"/>
  <c r="C276" i="3"/>
  <c r="P276" i="3"/>
  <c r="E276" i="3"/>
  <c r="J276" i="3"/>
  <c r="V276" i="3"/>
  <c r="G276" i="3"/>
  <c r="H276" i="3"/>
  <c r="T276" i="3"/>
  <c r="S276" i="3"/>
  <c r="Y276" i="3" s="1"/>
  <c r="Z276" i="3" s="1"/>
  <c r="AA276" i="3" s="1"/>
  <c r="M282" i="2"/>
  <c r="J281" i="2"/>
  <c r="I278" i="2"/>
  <c r="F278" i="2" s="1"/>
  <c r="L279" i="2"/>
  <c r="I274" i="3"/>
  <c r="F275" i="4" s="1"/>
  <c r="U274" i="3"/>
  <c r="J275" i="4" s="1"/>
  <c r="O274" i="3"/>
  <c r="H275" i="4" s="1"/>
  <c r="D279" i="2"/>
  <c r="T278" i="2"/>
  <c r="G278" i="2"/>
  <c r="K284" i="2"/>
  <c r="H283" i="2"/>
  <c r="G276" i="4"/>
  <c r="L276" i="4" s="1"/>
  <c r="I276" i="4"/>
  <c r="M276" i="4" s="1"/>
  <c r="K276" i="4"/>
  <c r="N276" i="4" s="1"/>
  <c r="C276" i="4"/>
  <c r="AB275" i="3"/>
  <c r="E276" i="4" s="1"/>
  <c r="D277" i="4" l="1"/>
  <c r="M283" i="2"/>
  <c r="J282" i="2"/>
  <c r="C277" i="4"/>
  <c r="AB276" i="3"/>
  <c r="E277" i="4" s="1"/>
  <c r="G277" i="4"/>
  <c r="L277" i="4" s="1"/>
  <c r="I277" i="4"/>
  <c r="M277" i="4" s="1"/>
  <c r="K277" i="4"/>
  <c r="N277" i="4" s="1"/>
  <c r="K285" i="2"/>
  <c r="H284" i="2"/>
  <c r="F276" i="3"/>
  <c r="D277" i="3"/>
  <c r="O275" i="3"/>
  <c r="H276" i="4" s="1"/>
  <c r="I275" i="3"/>
  <c r="F276" i="4" s="1"/>
  <c r="U275" i="3"/>
  <c r="J276" i="4" s="1"/>
  <c r="L280" i="2"/>
  <c r="I279" i="2"/>
  <c r="F279" i="2" s="1"/>
  <c r="D280" i="2"/>
  <c r="T279" i="2"/>
  <c r="G279" i="2"/>
  <c r="E279" i="2"/>
  <c r="C280" i="2"/>
  <c r="A278" i="4"/>
  <c r="H277" i="3"/>
  <c r="T277" i="3"/>
  <c r="J277" i="3"/>
  <c r="V277" i="3"/>
  <c r="M277" i="3"/>
  <c r="N277" i="3"/>
  <c r="C277" i="3"/>
  <c r="G277" i="3"/>
  <c r="S277" i="3"/>
  <c r="Y277" i="3" s="1"/>
  <c r="Z277" i="3" s="1"/>
  <c r="AA277" i="3" s="1"/>
  <c r="E277" i="3"/>
  <c r="P277" i="3"/>
  <c r="D278" i="4" l="1"/>
  <c r="G280" i="2"/>
  <c r="D281" i="2"/>
  <c r="T280" i="2"/>
  <c r="C278" i="4"/>
  <c r="AB277" i="3"/>
  <c r="E278" i="4" s="1"/>
  <c r="L281" i="2"/>
  <c r="I280" i="2"/>
  <c r="A279" i="4"/>
  <c r="E278" i="3"/>
  <c r="G278" i="3"/>
  <c r="S278" i="3"/>
  <c r="Y278" i="3" s="1"/>
  <c r="Z278" i="3" s="1"/>
  <c r="AA278" i="3" s="1"/>
  <c r="H278" i="3"/>
  <c r="J278" i="3"/>
  <c r="V278" i="3"/>
  <c r="P278" i="3"/>
  <c r="C278" i="3"/>
  <c r="M278" i="3"/>
  <c r="N278" i="3"/>
  <c r="T278" i="3"/>
  <c r="K278" i="4"/>
  <c r="N278" i="4" s="1"/>
  <c r="G278" i="4"/>
  <c r="L278" i="4" s="1"/>
  <c r="I278" i="4"/>
  <c r="M278" i="4" s="1"/>
  <c r="D278" i="3"/>
  <c r="F277" i="3"/>
  <c r="F280" i="2"/>
  <c r="C281" i="2"/>
  <c r="E280" i="2"/>
  <c r="O276" i="3"/>
  <c r="H277" i="4" s="1"/>
  <c r="U276" i="3"/>
  <c r="J277" i="4" s="1"/>
  <c r="I276" i="3"/>
  <c r="F277" i="4" s="1"/>
  <c r="J283" i="2"/>
  <c r="M284" i="2"/>
  <c r="H285" i="2"/>
  <c r="K286" i="2"/>
  <c r="D279" i="4" l="1"/>
  <c r="I279" i="4"/>
  <c r="M279" i="4" s="1"/>
  <c r="K279" i="4"/>
  <c r="N279" i="4" s="1"/>
  <c r="G279" i="4"/>
  <c r="L279" i="4" s="1"/>
  <c r="C279" i="4"/>
  <c r="AB278" i="3"/>
  <c r="E279" i="4" s="1"/>
  <c r="I281" i="2"/>
  <c r="F281" i="2" s="1"/>
  <c r="L282" i="2"/>
  <c r="E281" i="2"/>
  <c r="C282" i="2"/>
  <c r="I277" i="3"/>
  <c r="F278" i="4" s="1"/>
  <c r="U277" i="3"/>
  <c r="J278" i="4" s="1"/>
  <c r="O277" i="3"/>
  <c r="H278" i="4" s="1"/>
  <c r="A280" i="4"/>
  <c r="N279" i="3"/>
  <c r="C279" i="3"/>
  <c r="P279" i="3"/>
  <c r="G279" i="3"/>
  <c r="S279" i="3"/>
  <c r="Y279" i="3" s="1"/>
  <c r="Z279" i="3" s="1"/>
  <c r="AA279" i="3" s="1"/>
  <c r="H279" i="3"/>
  <c r="T279" i="3"/>
  <c r="M279" i="3"/>
  <c r="J279" i="3"/>
  <c r="V279" i="3"/>
  <c r="E279" i="3"/>
  <c r="F278" i="3"/>
  <c r="D279" i="3"/>
  <c r="D282" i="2"/>
  <c r="T281" i="2"/>
  <c r="G281" i="2"/>
  <c r="K287" i="2"/>
  <c r="H286" i="2"/>
  <c r="M285" i="2"/>
  <c r="J284" i="2"/>
  <c r="D280" i="4" l="1"/>
  <c r="L283" i="2"/>
  <c r="I282" i="2"/>
  <c r="T282" i="2"/>
  <c r="G282" i="2"/>
  <c r="D283" i="2"/>
  <c r="F279" i="3"/>
  <c r="D280" i="3"/>
  <c r="I278" i="3"/>
  <c r="F279" i="4" s="1"/>
  <c r="U278" i="3"/>
  <c r="J279" i="4" s="1"/>
  <c r="O278" i="3"/>
  <c r="H279" i="4" s="1"/>
  <c r="G280" i="4"/>
  <c r="L280" i="4" s="1"/>
  <c r="I280" i="4"/>
  <c r="M280" i="4" s="1"/>
  <c r="K280" i="4"/>
  <c r="N280" i="4" s="1"/>
  <c r="A281" i="4"/>
  <c r="M280" i="3"/>
  <c r="C280" i="3"/>
  <c r="P280" i="3"/>
  <c r="E280" i="3"/>
  <c r="J280" i="3"/>
  <c r="V280" i="3"/>
  <c r="N280" i="3"/>
  <c r="S280" i="3"/>
  <c r="Y280" i="3" s="1"/>
  <c r="Z280" i="3" s="1"/>
  <c r="AA280" i="3" s="1"/>
  <c r="T280" i="3"/>
  <c r="H280" i="3"/>
  <c r="G280" i="3"/>
  <c r="C280" i="4"/>
  <c r="AB279" i="3"/>
  <c r="E280" i="4" s="1"/>
  <c r="M286" i="2"/>
  <c r="J285" i="2"/>
  <c r="E282" i="2"/>
  <c r="F282" i="2"/>
  <c r="C283" i="2"/>
  <c r="K288" i="2"/>
  <c r="H287" i="2"/>
  <c r="D281" i="4" l="1"/>
  <c r="F280" i="3"/>
  <c r="D281" i="3"/>
  <c r="C281" i="4"/>
  <c r="AB280" i="3"/>
  <c r="E281" i="4" s="1"/>
  <c r="O279" i="3"/>
  <c r="H280" i="4" s="1"/>
  <c r="I279" i="3"/>
  <c r="F280" i="4" s="1"/>
  <c r="U279" i="3"/>
  <c r="J280" i="4" s="1"/>
  <c r="A282" i="4"/>
  <c r="H281" i="3"/>
  <c r="T281" i="3"/>
  <c r="J281" i="3"/>
  <c r="V281" i="3"/>
  <c r="M281" i="3"/>
  <c r="N281" i="3"/>
  <c r="C281" i="3"/>
  <c r="G281" i="3"/>
  <c r="S281" i="3"/>
  <c r="Y281" i="3" s="1"/>
  <c r="Z281" i="3" s="1"/>
  <c r="AA281" i="3" s="1"/>
  <c r="P281" i="3"/>
  <c r="E281" i="3"/>
  <c r="J286" i="2"/>
  <c r="M287" i="2"/>
  <c r="G281" i="4"/>
  <c r="L281" i="4" s="1"/>
  <c r="I281" i="4"/>
  <c r="M281" i="4" s="1"/>
  <c r="K281" i="4"/>
  <c r="N281" i="4" s="1"/>
  <c r="G283" i="2"/>
  <c r="D284" i="2"/>
  <c r="T283" i="2"/>
  <c r="L284" i="2"/>
  <c r="I283" i="2"/>
  <c r="F283" i="2" s="1"/>
  <c r="H288" i="2"/>
  <c r="K289" i="2"/>
  <c r="C284" i="2"/>
  <c r="E283" i="2"/>
  <c r="D282" i="4" l="1"/>
  <c r="M288" i="2"/>
  <c r="J287" i="2"/>
  <c r="L285" i="2"/>
  <c r="I284" i="2"/>
  <c r="G282" i="4"/>
  <c r="L282" i="4" s="1"/>
  <c r="I282" i="4"/>
  <c r="M282" i="4" s="1"/>
  <c r="K282" i="4"/>
  <c r="N282" i="4" s="1"/>
  <c r="T284" i="2"/>
  <c r="G284" i="2"/>
  <c r="D285" i="2"/>
  <c r="A283" i="4"/>
  <c r="E282" i="3"/>
  <c r="G282" i="3"/>
  <c r="S282" i="3"/>
  <c r="Y282" i="3" s="1"/>
  <c r="Z282" i="3" s="1"/>
  <c r="AA282" i="3" s="1"/>
  <c r="J282" i="3"/>
  <c r="V282" i="3"/>
  <c r="P282" i="3"/>
  <c r="T282" i="3"/>
  <c r="C282" i="3"/>
  <c r="H282" i="3"/>
  <c r="N282" i="3"/>
  <c r="M282" i="3"/>
  <c r="D282" i="3"/>
  <c r="F281" i="3"/>
  <c r="C282" i="4"/>
  <c r="AB281" i="3"/>
  <c r="E282" i="4" s="1"/>
  <c r="O280" i="3"/>
  <c r="H281" i="4" s="1"/>
  <c r="U280" i="3"/>
  <c r="J281" i="4" s="1"/>
  <c r="I280" i="3"/>
  <c r="F281" i="4" s="1"/>
  <c r="E284" i="2"/>
  <c r="F284" i="2"/>
  <c r="C285" i="2"/>
  <c r="K290" i="2"/>
  <c r="H289" i="2"/>
  <c r="D283" i="4" l="1"/>
  <c r="I281" i="3"/>
  <c r="F282" i="4" s="1"/>
  <c r="U281" i="3"/>
  <c r="J282" i="4" s="1"/>
  <c r="O281" i="3"/>
  <c r="H282" i="4" s="1"/>
  <c r="A284" i="4"/>
  <c r="N283" i="3"/>
  <c r="C283" i="3"/>
  <c r="P283" i="3"/>
  <c r="G283" i="3"/>
  <c r="S283" i="3"/>
  <c r="Y283" i="3" s="1"/>
  <c r="Z283" i="3" s="1"/>
  <c r="AA283" i="3" s="1"/>
  <c r="H283" i="3"/>
  <c r="T283" i="3"/>
  <c r="M283" i="3"/>
  <c r="E283" i="3"/>
  <c r="J283" i="3"/>
  <c r="V283" i="3"/>
  <c r="F282" i="3"/>
  <c r="D283" i="3"/>
  <c r="L286" i="2"/>
  <c r="I285" i="2"/>
  <c r="C283" i="4"/>
  <c r="AB282" i="3"/>
  <c r="E283" i="4" s="1"/>
  <c r="G283" i="4"/>
  <c r="L283" i="4" s="1"/>
  <c r="I283" i="4"/>
  <c r="M283" i="4" s="1"/>
  <c r="K283" i="4"/>
  <c r="N283" i="4" s="1"/>
  <c r="T285" i="2"/>
  <c r="G285" i="2"/>
  <c r="D286" i="2"/>
  <c r="M289" i="2"/>
  <c r="J288" i="2"/>
  <c r="K291" i="2"/>
  <c r="H290" i="2"/>
  <c r="E285" i="2"/>
  <c r="C286" i="2"/>
  <c r="F285" i="2"/>
  <c r="D284" i="4" l="1"/>
  <c r="K292" i="2"/>
  <c r="H291" i="2"/>
  <c r="M290" i="2"/>
  <c r="J289" i="2"/>
  <c r="T286" i="2"/>
  <c r="D287" i="2"/>
  <c r="G286" i="2"/>
  <c r="I286" i="2"/>
  <c r="F286" i="2" s="1"/>
  <c r="L287" i="2"/>
  <c r="F283" i="3"/>
  <c r="D284" i="3"/>
  <c r="I282" i="3"/>
  <c r="F283" i="4" s="1"/>
  <c r="U282" i="3"/>
  <c r="J283" i="4" s="1"/>
  <c r="O282" i="3"/>
  <c r="H283" i="4" s="1"/>
  <c r="K284" i="4"/>
  <c r="N284" i="4" s="1"/>
  <c r="G284" i="4"/>
  <c r="L284" i="4" s="1"/>
  <c r="I284" i="4"/>
  <c r="M284" i="4" s="1"/>
  <c r="C287" i="2"/>
  <c r="E286" i="2"/>
  <c r="A285" i="4"/>
  <c r="M284" i="3"/>
  <c r="C284" i="3"/>
  <c r="P284" i="3"/>
  <c r="E284" i="3"/>
  <c r="J284" i="3"/>
  <c r="V284" i="3"/>
  <c r="G284" i="3"/>
  <c r="H284" i="3"/>
  <c r="N284" i="3"/>
  <c r="T284" i="3"/>
  <c r="S284" i="3"/>
  <c r="Y284" i="3" s="1"/>
  <c r="Z284" i="3" s="1"/>
  <c r="AA284" i="3" s="1"/>
  <c r="C284" i="4"/>
  <c r="AB283" i="3"/>
  <c r="E284" i="4" s="1"/>
  <c r="D285" i="4" l="1"/>
  <c r="E287" i="2"/>
  <c r="C288" i="2"/>
  <c r="L288" i="2"/>
  <c r="I287" i="2"/>
  <c r="F287" i="2" s="1"/>
  <c r="T287" i="2"/>
  <c r="G287" i="2"/>
  <c r="D288" i="2"/>
  <c r="A286" i="4"/>
  <c r="H285" i="3"/>
  <c r="T285" i="3"/>
  <c r="J285" i="3"/>
  <c r="V285" i="3"/>
  <c r="M285" i="3"/>
  <c r="N285" i="3"/>
  <c r="C285" i="3"/>
  <c r="G285" i="3"/>
  <c r="S285" i="3"/>
  <c r="Y285" i="3" s="1"/>
  <c r="Z285" i="3" s="1"/>
  <c r="AA285" i="3" s="1"/>
  <c r="E285" i="3"/>
  <c r="P285" i="3"/>
  <c r="M291" i="2"/>
  <c r="J290" i="2"/>
  <c r="O283" i="3"/>
  <c r="H284" i="4" s="1"/>
  <c r="I283" i="3"/>
  <c r="F284" i="4" s="1"/>
  <c r="U283" i="3"/>
  <c r="J284" i="4" s="1"/>
  <c r="C285" i="4"/>
  <c r="AB284" i="3"/>
  <c r="E285" i="4" s="1"/>
  <c r="K293" i="2"/>
  <c r="H292" i="2"/>
  <c r="I285" i="4"/>
  <c r="M285" i="4" s="1"/>
  <c r="K285" i="4"/>
  <c r="N285" i="4" s="1"/>
  <c r="G285" i="4"/>
  <c r="L285" i="4" s="1"/>
  <c r="F284" i="3"/>
  <c r="D285" i="3"/>
  <c r="D286" i="4" l="1"/>
  <c r="A287" i="4"/>
  <c r="E286" i="3"/>
  <c r="G286" i="3"/>
  <c r="S286" i="3"/>
  <c r="Y286" i="3" s="1"/>
  <c r="Z286" i="3" s="1"/>
  <c r="AA286" i="3" s="1"/>
  <c r="J286" i="3"/>
  <c r="V286" i="3"/>
  <c r="P286" i="3"/>
  <c r="H286" i="3"/>
  <c r="M286" i="3"/>
  <c r="N286" i="3"/>
  <c r="T286" i="3"/>
  <c r="C286" i="3"/>
  <c r="G286" i="4"/>
  <c r="L286" i="4" s="1"/>
  <c r="I286" i="4"/>
  <c r="M286" i="4" s="1"/>
  <c r="K286" i="4"/>
  <c r="N286" i="4" s="1"/>
  <c r="D289" i="2"/>
  <c r="G288" i="2"/>
  <c r="T288" i="2"/>
  <c r="H293" i="2"/>
  <c r="K294" i="2"/>
  <c r="L289" i="2"/>
  <c r="I288" i="2"/>
  <c r="J291" i="2"/>
  <c r="M292" i="2"/>
  <c r="C289" i="2"/>
  <c r="E288" i="2"/>
  <c r="F288" i="2"/>
  <c r="D286" i="3"/>
  <c r="F285" i="3"/>
  <c r="C286" i="4"/>
  <c r="AB285" i="3"/>
  <c r="E286" i="4" s="1"/>
  <c r="O284" i="3"/>
  <c r="H285" i="4" s="1"/>
  <c r="I284" i="3"/>
  <c r="F285" i="4" s="1"/>
  <c r="U284" i="3"/>
  <c r="J285" i="4" s="1"/>
  <c r="D287" i="4" l="1"/>
  <c r="C287" i="4"/>
  <c r="AB286" i="3"/>
  <c r="E287" i="4" s="1"/>
  <c r="F286" i="3"/>
  <c r="D287" i="3"/>
  <c r="T289" i="2"/>
  <c r="G289" i="2"/>
  <c r="D290" i="2"/>
  <c r="I285" i="3"/>
  <c r="F286" i="4" s="1"/>
  <c r="U285" i="3"/>
  <c r="J286" i="4" s="1"/>
  <c r="O285" i="3"/>
  <c r="H286" i="4" s="1"/>
  <c r="A288" i="4"/>
  <c r="N287" i="3"/>
  <c r="C287" i="3"/>
  <c r="P287" i="3"/>
  <c r="G287" i="3"/>
  <c r="S287" i="3"/>
  <c r="Y287" i="3" s="1"/>
  <c r="Z287" i="3" s="1"/>
  <c r="AA287" i="3" s="1"/>
  <c r="H287" i="3"/>
  <c r="T287" i="3"/>
  <c r="M287" i="3"/>
  <c r="J287" i="3"/>
  <c r="V287" i="3"/>
  <c r="E287" i="3"/>
  <c r="M293" i="2"/>
  <c r="J292" i="2"/>
  <c r="L290" i="2"/>
  <c r="I289" i="2"/>
  <c r="F289" i="2" s="1"/>
  <c r="G287" i="4"/>
  <c r="L287" i="4" s="1"/>
  <c r="I287" i="4"/>
  <c r="M287" i="4" s="1"/>
  <c r="K287" i="4"/>
  <c r="N287" i="4" s="1"/>
  <c r="K295" i="2"/>
  <c r="H294" i="2"/>
  <c r="E289" i="2"/>
  <c r="C290" i="2"/>
  <c r="D288" i="4" l="1"/>
  <c r="K296" i="2"/>
  <c r="H295" i="2"/>
  <c r="C288" i="4"/>
  <c r="AB287" i="3"/>
  <c r="E288" i="4" s="1"/>
  <c r="D291" i="2"/>
  <c r="T290" i="2"/>
  <c r="G290" i="2"/>
  <c r="F287" i="3"/>
  <c r="D288" i="3"/>
  <c r="I286" i="3"/>
  <c r="F287" i="4" s="1"/>
  <c r="U286" i="3"/>
  <c r="J287" i="4" s="1"/>
  <c r="O286" i="3"/>
  <c r="H287" i="4" s="1"/>
  <c r="C291" i="2"/>
  <c r="E290" i="2"/>
  <c r="I290" i="2"/>
  <c r="F290" i="2" s="1"/>
  <c r="L291" i="2"/>
  <c r="A289" i="4"/>
  <c r="M288" i="3"/>
  <c r="C288" i="3"/>
  <c r="P288" i="3"/>
  <c r="E288" i="3"/>
  <c r="J288" i="3"/>
  <c r="V288" i="3"/>
  <c r="N288" i="3"/>
  <c r="S288" i="3"/>
  <c r="Y288" i="3" s="1"/>
  <c r="Z288" i="3" s="1"/>
  <c r="AA288" i="3" s="1"/>
  <c r="T288" i="3"/>
  <c r="H288" i="3"/>
  <c r="G288" i="3"/>
  <c r="M294" i="2"/>
  <c r="J293" i="2"/>
  <c r="G288" i="4"/>
  <c r="L288" i="4" s="1"/>
  <c r="I288" i="4"/>
  <c r="M288" i="4" s="1"/>
  <c r="K288" i="4"/>
  <c r="N288" i="4" s="1"/>
  <c r="D289" i="4" l="1"/>
  <c r="F288" i="3"/>
  <c r="D289" i="3"/>
  <c r="O287" i="3"/>
  <c r="H288" i="4" s="1"/>
  <c r="I287" i="3"/>
  <c r="F288" i="4" s="1"/>
  <c r="U287" i="3"/>
  <c r="J288" i="4" s="1"/>
  <c r="C289" i="4"/>
  <c r="AB288" i="3"/>
  <c r="E289" i="4" s="1"/>
  <c r="G289" i="4"/>
  <c r="L289" i="4" s="1"/>
  <c r="I289" i="4"/>
  <c r="M289" i="4" s="1"/>
  <c r="K289" i="4"/>
  <c r="N289" i="4" s="1"/>
  <c r="M295" i="2"/>
  <c r="J294" i="2"/>
  <c r="L292" i="2"/>
  <c r="I291" i="2"/>
  <c r="D292" i="2"/>
  <c r="T291" i="2"/>
  <c r="G291" i="2"/>
  <c r="E291" i="2"/>
  <c r="F291" i="2"/>
  <c r="C292" i="2"/>
  <c r="K297" i="2"/>
  <c r="H296" i="2"/>
  <c r="A290" i="4"/>
  <c r="H289" i="3"/>
  <c r="T289" i="3"/>
  <c r="J289" i="3"/>
  <c r="V289" i="3"/>
  <c r="M289" i="3"/>
  <c r="N289" i="3"/>
  <c r="C289" i="3"/>
  <c r="G289" i="3"/>
  <c r="S289" i="3"/>
  <c r="Y289" i="3" s="1"/>
  <c r="Z289" i="3" s="1"/>
  <c r="AA289" i="3" s="1"/>
  <c r="P289" i="3"/>
  <c r="E289" i="3"/>
  <c r="D290" i="4" l="1"/>
  <c r="C290" i="4"/>
  <c r="AB289" i="3"/>
  <c r="E290" i="4" s="1"/>
  <c r="G292" i="2"/>
  <c r="D293" i="2"/>
  <c r="T292" i="2"/>
  <c r="L293" i="2"/>
  <c r="I292" i="2"/>
  <c r="K290" i="4"/>
  <c r="N290" i="4" s="1"/>
  <c r="G290" i="4"/>
  <c r="L290" i="4" s="1"/>
  <c r="I290" i="4"/>
  <c r="M290" i="4" s="1"/>
  <c r="J295" i="2"/>
  <c r="M296" i="2"/>
  <c r="D290" i="3"/>
  <c r="F289" i="3"/>
  <c r="O288" i="3"/>
  <c r="H289" i="4" s="1"/>
  <c r="U288" i="3"/>
  <c r="J289" i="4" s="1"/>
  <c r="I288" i="3"/>
  <c r="F289" i="4" s="1"/>
  <c r="A291" i="4"/>
  <c r="E290" i="3"/>
  <c r="G290" i="3"/>
  <c r="S290" i="3"/>
  <c r="Y290" i="3" s="1"/>
  <c r="Z290" i="3" s="1"/>
  <c r="AA290" i="3" s="1"/>
  <c r="J290" i="3"/>
  <c r="V290" i="3"/>
  <c r="P290" i="3"/>
  <c r="T290" i="3"/>
  <c r="C290" i="3"/>
  <c r="H290" i="3"/>
  <c r="N290" i="3"/>
  <c r="M290" i="3"/>
  <c r="K298" i="2"/>
  <c r="H297" i="2"/>
  <c r="F292" i="2"/>
  <c r="C293" i="2"/>
  <c r="E292" i="2"/>
  <c r="D291" i="4" l="1"/>
  <c r="C291" i="4"/>
  <c r="AB290" i="3"/>
  <c r="E291" i="4" s="1"/>
  <c r="I291" i="4"/>
  <c r="M291" i="4" s="1"/>
  <c r="K291" i="4"/>
  <c r="N291" i="4" s="1"/>
  <c r="G291" i="4"/>
  <c r="L291" i="4" s="1"/>
  <c r="I293" i="2"/>
  <c r="F293" i="2" s="1"/>
  <c r="L294" i="2"/>
  <c r="I289" i="3"/>
  <c r="F290" i="4" s="1"/>
  <c r="U289" i="3"/>
  <c r="J290" i="4" s="1"/>
  <c r="O289" i="3"/>
  <c r="H290" i="4" s="1"/>
  <c r="F290" i="3"/>
  <c r="D291" i="3"/>
  <c r="D294" i="2"/>
  <c r="T293" i="2"/>
  <c r="G293" i="2"/>
  <c r="M297" i="2"/>
  <c r="J296" i="2"/>
  <c r="H298" i="2"/>
  <c r="K299" i="2"/>
  <c r="E293" i="2"/>
  <c r="C294" i="2"/>
  <c r="A292" i="4"/>
  <c r="N291" i="3"/>
  <c r="C291" i="3"/>
  <c r="P291" i="3"/>
  <c r="G291" i="3"/>
  <c r="S291" i="3"/>
  <c r="Y291" i="3" s="1"/>
  <c r="Z291" i="3" s="1"/>
  <c r="AA291" i="3" s="1"/>
  <c r="H291" i="3"/>
  <c r="M291" i="3"/>
  <c r="E291" i="3"/>
  <c r="J291" i="3"/>
  <c r="V291" i="3"/>
  <c r="T291" i="3"/>
  <c r="D292" i="4" l="1"/>
  <c r="A293" i="4"/>
  <c r="M292" i="3"/>
  <c r="C292" i="3"/>
  <c r="P292" i="3"/>
  <c r="J292" i="3"/>
  <c r="V292" i="3"/>
  <c r="E292" i="3"/>
  <c r="G292" i="3"/>
  <c r="H292" i="3"/>
  <c r="T292" i="3"/>
  <c r="N292" i="3"/>
  <c r="S292" i="3"/>
  <c r="Y292" i="3" s="1"/>
  <c r="Z292" i="3" s="1"/>
  <c r="AA292" i="3" s="1"/>
  <c r="K300" i="2"/>
  <c r="H299" i="2"/>
  <c r="L295" i="2"/>
  <c r="I294" i="2"/>
  <c r="M298" i="2"/>
  <c r="J297" i="2"/>
  <c r="T294" i="2"/>
  <c r="G294" i="2"/>
  <c r="D295" i="2"/>
  <c r="F291" i="3"/>
  <c r="D292" i="3"/>
  <c r="G292" i="4"/>
  <c r="L292" i="4" s="1"/>
  <c r="I292" i="4"/>
  <c r="M292" i="4" s="1"/>
  <c r="K292" i="4"/>
  <c r="N292" i="4" s="1"/>
  <c r="I290" i="3"/>
  <c r="F291" i="4" s="1"/>
  <c r="U290" i="3"/>
  <c r="J291" i="4" s="1"/>
  <c r="O290" i="3"/>
  <c r="H291" i="4" s="1"/>
  <c r="C292" i="4"/>
  <c r="AB291" i="3"/>
  <c r="E292" i="4" s="1"/>
  <c r="E294" i="2"/>
  <c r="F294" i="2"/>
  <c r="C295" i="2"/>
  <c r="D293" i="4" l="1"/>
  <c r="G295" i="2"/>
  <c r="D296" i="2"/>
  <c r="T295" i="2"/>
  <c r="M299" i="2"/>
  <c r="J298" i="2"/>
  <c r="L296" i="2"/>
  <c r="I295" i="2"/>
  <c r="A294" i="4"/>
  <c r="J293" i="3"/>
  <c r="V293" i="3"/>
  <c r="C293" i="3"/>
  <c r="N293" i="3"/>
  <c r="P293" i="3"/>
  <c r="S293" i="3"/>
  <c r="Y293" i="3" s="1"/>
  <c r="Z293" i="3" s="1"/>
  <c r="AA293" i="3" s="1"/>
  <c r="T293" i="3"/>
  <c r="E293" i="3"/>
  <c r="H293" i="3"/>
  <c r="M293" i="3"/>
  <c r="G293" i="3"/>
  <c r="H300" i="2"/>
  <c r="K301" i="2"/>
  <c r="C293" i="4"/>
  <c r="AB292" i="3"/>
  <c r="E293" i="4" s="1"/>
  <c r="G293" i="4"/>
  <c r="L293" i="4" s="1"/>
  <c r="I293" i="4"/>
  <c r="M293" i="4" s="1"/>
  <c r="K293" i="4"/>
  <c r="N293" i="4" s="1"/>
  <c r="C296" i="2"/>
  <c r="F295" i="2"/>
  <c r="E295" i="2"/>
  <c r="F292" i="3"/>
  <c r="D293" i="3"/>
  <c r="O291" i="3"/>
  <c r="H292" i="4" s="1"/>
  <c r="I291" i="3"/>
  <c r="F292" i="4" s="1"/>
  <c r="U291" i="3"/>
  <c r="J292" i="4" s="1"/>
  <c r="D294" i="4" l="1"/>
  <c r="O292" i="3"/>
  <c r="H293" i="4" s="1"/>
  <c r="U292" i="3"/>
  <c r="J293" i="4" s="1"/>
  <c r="I292" i="3"/>
  <c r="F293" i="4" s="1"/>
  <c r="H301" i="2"/>
  <c r="K302" i="2"/>
  <c r="A295" i="4"/>
  <c r="T294" i="3"/>
  <c r="E294" i="3"/>
  <c r="V294" i="3"/>
  <c r="G294" i="3"/>
  <c r="H294" i="3"/>
  <c r="J294" i="3"/>
  <c r="M294" i="3"/>
  <c r="N294" i="3"/>
  <c r="P294" i="3"/>
  <c r="C294" i="3"/>
  <c r="S294" i="3"/>
  <c r="Y294" i="3" s="1"/>
  <c r="Z294" i="3" s="1"/>
  <c r="AA294" i="3" s="1"/>
  <c r="G294" i="4"/>
  <c r="L294" i="4" s="1"/>
  <c r="I294" i="4"/>
  <c r="M294" i="4" s="1"/>
  <c r="K294" i="4"/>
  <c r="N294" i="4" s="1"/>
  <c r="E296" i="2"/>
  <c r="F296" i="2"/>
  <c r="C297" i="2"/>
  <c r="C294" i="4"/>
  <c r="AB293" i="3"/>
  <c r="E294" i="4" s="1"/>
  <c r="L297" i="2"/>
  <c r="I296" i="2"/>
  <c r="M300" i="2"/>
  <c r="J299" i="2"/>
  <c r="T296" i="2"/>
  <c r="G296" i="2"/>
  <c r="D297" i="2"/>
  <c r="D294" i="3"/>
  <c r="F293" i="3"/>
  <c r="D295" i="4" l="1"/>
  <c r="M301" i="2"/>
  <c r="J300" i="2"/>
  <c r="G295" i="4"/>
  <c r="L295" i="4" s="1"/>
  <c r="I295" i="4"/>
  <c r="M295" i="4" s="1"/>
  <c r="K295" i="4"/>
  <c r="N295" i="4" s="1"/>
  <c r="L298" i="2"/>
  <c r="I297" i="2"/>
  <c r="F297" i="2" s="1"/>
  <c r="K303" i="2"/>
  <c r="H302" i="2"/>
  <c r="F294" i="3"/>
  <c r="D295" i="3"/>
  <c r="E297" i="2"/>
  <c r="C298" i="2"/>
  <c r="A296" i="4"/>
  <c r="C295" i="3"/>
  <c r="J295" i="3"/>
  <c r="M295" i="3"/>
  <c r="N295" i="3"/>
  <c r="P295" i="3"/>
  <c r="S295" i="3"/>
  <c r="Y295" i="3" s="1"/>
  <c r="Z295" i="3" s="1"/>
  <c r="AA295" i="3" s="1"/>
  <c r="E295" i="3"/>
  <c r="H295" i="3"/>
  <c r="G295" i="3"/>
  <c r="T295" i="3"/>
  <c r="V295" i="3"/>
  <c r="I293" i="3"/>
  <c r="F294" i="4" s="1"/>
  <c r="U293" i="3"/>
  <c r="J294" i="4" s="1"/>
  <c r="O293" i="3"/>
  <c r="H294" i="4" s="1"/>
  <c r="C295" i="4"/>
  <c r="AB294" i="3"/>
  <c r="E295" i="4" s="1"/>
  <c r="T297" i="2"/>
  <c r="G297" i="2"/>
  <c r="D298" i="2"/>
  <c r="D296" i="4" l="1"/>
  <c r="C296" i="4"/>
  <c r="AB295" i="3"/>
  <c r="E296" i="4" s="1"/>
  <c r="I298" i="2"/>
  <c r="L299" i="2"/>
  <c r="D299" i="2"/>
  <c r="T298" i="2"/>
  <c r="G298" i="2"/>
  <c r="F295" i="3"/>
  <c r="D296" i="3"/>
  <c r="I294" i="3"/>
  <c r="F295" i="4" s="1"/>
  <c r="U294" i="3"/>
  <c r="J295" i="4" s="1"/>
  <c r="O294" i="3"/>
  <c r="H295" i="4" s="1"/>
  <c r="M302" i="2"/>
  <c r="J301" i="2"/>
  <c r="K296" i="4"/>
  <c r="N296" i="4" s="1"/>
  <c r="G296" i="4"/>
  <c r="L296" i="4" s="1"/>
  <c r="I296" i="4"/>
  <c r="M296" i="4" s="1"/>
  <c r="E298" i="2"/>
  <c r="C299" i="2"/>
  <c r="F298" i="2"/>
  <c r="A297" i="4"/>
  <c r="C296" i="3"/>
  <c r="M296" i="3"/>
  <c r="N296" i="3"/>
  <c r="P296" i="3"/>
  <c r="E296" i="3"/>
  <c r="S296" i="3"/>
  <c r="Y296" i="3" s="1"/>
  <c r="Z296" i="3" s="1"/>
  <c r="AA296" i="3" s="1"/>
  <c r="T296" i="3"/>
  <c r="H296" i="3"/>
  <c r="V296" i="3"/>
  <c r="J296" i="3"/>
  <c r="G296" i="3"/>
  <c r="H303" i="2"/>
  <c r="K304" i="2"/>
  <c r="D297" i="4" l="1"/>
  <c r="D297" i="3"/>
  <c r="F296" i="3"/>
  <c r="O295" i="3"/>
  <c r="H296" i="4" s="1"/>
  <c r="I295" i="3"/>
  <c r="F296" i="4" s="1"/>
  <c r="U295" i="3"/>
  <c r="J296" i="4" s="1"/>
  <c r="T299" i="2"/>
  <c r="G299" i="2"/>
  <c r="D300" i="2"/>
  <c r="A298" i="4"/>
  <c r="N297" i="3"/>
  <c r="P297" i="3"/>
  <c r="C297" i="3"/>
  <c r="E297" i="3"/>
  <c r="S297" i="3"/>
  <c r="Y297" i="3" s="1"/>
  <c r="Z297" i="3" s="1"/>
  <c r="AA297" i="3" s="1"/>
  <c r="T297" i="3"/>
  <c r="G297" i="3"/>
  <c r="V297" i="3"/>
  <c r="J297" i="3"/>
  <c r="M297" i="3"/>
  <c r="H297" i="3"/>
  <c r="L300" i="2"/>
  <c r="I299" i="2"/>
  <c r="F299" i="2" s="1"/>
  <c r="E299" i="2"/>
  <c r="C300" i="2"/>
  <c r="H304" i="2"/>
  <c r="K305" i="2"/>
  <c r="C297" i="4"/>
  <c r="AB296" i="3"/>
  <c r="E297" i="4" s="1"/>
  <c r="M303" i="2"/>
  <c r="J302" i="2"/>
  <c r="I297" i="4"/>
  <c r="M297" i="4" s="1"/>
  <c r="K297" i="4"/>
  <c r="N297" i="4" s="1"/>
  <c r="G297" i="4"/>
  <c r="L297" i="4" s="1"/>
  <c r="D298" i="4" l="1"/>
  <c r="G298" i="4"/>
  <c r="L298" i="4" s="1"/>
  <c r="I298" i="4"/>
  <c r="M298" i="4" s="1"/>
  <c r="K298" i="4"/>
  <c r="N298" i="4" s="1"/>
  <c r="C298" i="4"/>
  <c r="AB297" i="3"/>
  <c r="E298" i="4" s="1"/>
  <c r="T300" i="2"/>
  <c r="D301" i="2"/>
  <c r="G300" i="2"/>
  <c r="L301" i="2"/>
  <c r="I300" i="2"/>
  <c r="M304" i="2"/>
  <c r="J303" i="2"/>
  <c r="E300" i="2"/>
  <c r="C301" i="2"/>
  <c r="F300" i="2"/>
  <c r="O296" i="3"/>
  <c r="H297" i="4" s="1"/>
  <c r="U296" i="3"/>
  <c r="J297" i="4" s="1"/>
  <c r="I296" i="3"/>
  <c r="F297" i="4" s="1"/>
  <c r="D298" i="3"/>
  <c r="F297" i="3"/>
  <c r="K306" i="2"/>
  <c r="H305" i="2"/>
  <c r="A299" i="4"/>
  <c r="P298" i="3"/>
  <c r="C298" i="3"/>
  <c r="S298" i="3"/>
  <c r="Y298" i="3" s="1"/>
  <c r="Z298" i="3" s="1"/>
  <c r="AA298" i="3" s="1"/>
  <c r="E298" i="3"/>
  <c r="T298" i="3"/>
  <c r="G298" i="3"/>
  <c r="V298" i="3"/>
  <c r="H298" i="3"/>
  <c r="J298" i="3"/>
  <c r="N298" i="3"/>
  <c r="M298" i="3"/>
  <c r="D299" i="4" l="1"/>
  <c r="D302" i="2"/>
  <c r="T301" i="2"/>
  <c r="G301" i="2"/>
  <c r="F298" i="3"/>
  <c r="D299" i="3"/>
  <c r="E301" i="2"/>
  <c r="C302" i="2"/>
  <c r="A300" i="4"/>
  <c r="C299" i="3"/>
  <c r="S299" i="3"/>
  <c r="Y299" i="3" s="1"/>
  <c r="Z299" i="3" s="1"/>
  <c r="AA299" i="3" s="1"/>
  <c r="E299" i="3"/>
  <c r="T299" i="3"/>
  <c r="G299" i="3"/>
  <c r="H299" i="3"/>
  <c r="V299" i="3"/>
  <c r="J299" i="3"/>
  <c r="M299" i="3"/>
  <c r="P299" i="3"/>
  <c r="N299" i="3"/>
  <c r="C299" i="4"/>
  <c r="AB298" i="3"/>
  <c r="E299" i="4" s="1"/>
  <c r="G299" i="4"/>
  <c r="L299" i="4" s="1"/>
  <c r="I299" i="4"/>
  <c r="M299" i="4" s="1"/>
  <c r="K299" i="4"/>
  <c r="N299" i="4" s="1"/>
  <c r="M305" i="2"/>
  <c r="J304" i="2"/>
  <c r="H306" i="2"/>
  <c r="K307" i="2"/>
  <c r="I301" i="2"/>
  <c r="F301" i="2" s="1"/>
  <c r="L302" i="2"/>
  <c r="I297" i="3"/>
  <c r="F298" i="4" s="1"/>
  <c r="U297" i="3"/>
  <c r="J298" i="4" s="1"/>
  <c r="O297" i="3"/>
  <c r="H298" i="4" s="1"/>
  <c r="D300" i="4" l="1"/>
  <c r="G300" i="4"/>
  <c r="L300" i="4" s="1"/>
  <c r="I300" i="4"/>
  <c r="M300" i="4" s="1"/>
  <c r="K300" i="4"/>
  <c r="N300" i="4" s="1"/>
  <c r="H307" i="2"/>
  <c r="K308" i="2"/>
  <c r="A301" i="4"/>
  <c r="C300" i="3"/>
  <c r="P300" i="3"/>
  <c r="E300" i="3"/>
  <c r="G300" i="3"/>
  <c r="S300" i="3"/>
  <c r="Y300" i="3" s="1"/>
  <c r="Z300" i="3" s="1"/>
  <c r="AA300" i="3" s="1"/>
  <c r="H300" i="3"/>
  <c r="T300" i="3"/>
  <c r="J300" i="3"/>
  <c r="V300" i="3"/>
  <c r="N300" i="3"/>
  <c r="M300" i="3"/>
  <c r="E302" i="2"/>
  <c r="C303" i="2"/>
  <c r="M306" i="2"/>
  <c r="J305" i="2"/>
  <c r="C300" i="4"/>
  <c r="AB299" i="3"/>
  <c r="E300" i="4" s="1"/>
  <c r="F299" i="3"/>
  <c r="D300" i="3"/>
  <c r="I298" i="3"/>
  <c r="F299" i="4" s="1"/>
  <c r="U298" i="3"/>
  <c r="J299" i="4" s="1"/>
  <c r="O298" i="3"/>
  <c r="H299" i="4" s="1"/>
  <c r="T302" i="2"/>
  <c r="G302" i="2"/>
  <c r="D303" i="2"/>
  <c r="L303" i="2"/>
  <c r="I302" i="2"/>
  <c r="F302" i="2" s="1"/>
  <c r="D301" i="4" l="1"/>
  <c r="C301" i="4"/>
  <c r="AB300" i="3"/>
  <c r="E301" i="4" s="1"/>
  <c r="G301" i="4"/>
  <c r="L301" i="4" s="1"/>
  <c r="I301" i="4"/>
  <c r="M301" i="4" s="1"/>
  <c r="K301" i="4"/>
  <c r="N301" i="4" s="1"/>
  <c r="K309" i="2"/>
  <c r="H308" i="2"/>
  <c r="F300" i="3"/>
  <c r="D301" i="3"/>
  <c r="L304" i="2"/>
  <c r="I303" i="2"/>
  <c r="F303" i="2" s="1"/>
  <c r="M307" i="2"/>
  <c r="J306" i="2"/>
  <c r="A302" i="4"/>
  <c r="M301" i="3"/>
  <c r="N301" i="3"/>
  <c r="C301" i="3"/>
  <c r="P301" i="3"/>
  <c r="E301" i="3"/>
  <c r="G301" i="3"/>
  <c r="S301" i="3"/>
  <c r="Y301" i="3" s="1"/>
  <c r="Z301" i="3" s="1"/>
  <c r="AA301" i="3" s="1"/>
  <c r="H301" i="3"/>
  <c r="J301" i="3"/>
  <c r="T301" i="3"/>
  <c r="V301" i="3"/>
  <c r="T303" i="2"/>
  <c r="D304" i="2"/>
  <c r="G303" i="2"/>
  <c r="E303" i="2"/>
  <c r="C304" i="2"/>
  <c r="O299" i="3"/>
  <c r="H300" i="4" s="1"/>
  <c r="U299" i="3"/>
  <c r="J300" i="4" s="1"/>
  <c r="I299" i="3"/>
  <c r="F300" i="4" s="1"/>
  <c r="D302" i="4" l="1"/>
  <c r="H309" i="2"/>
  <c r="K310" i="2"/>
  <c r="K302" i="4"/>
  <c r="N302" i="4" s="1"/>
  <c r="G302" i="4"/>
  <c r="L302" i="4" s="1"/>
  <c r="I302" i="4"/>
  <c r="M302" i="4" s="1"/>
  <c r="M308" i="2"/>
  <c r="J307" i="2"/>
  <c r="E304" i="2"/>
  <c r="C305" i="2"/>
  <c r="D305" i="2"/>
  <c r="T304" i="2"/>
  <c r="G304" i="2"/>
  <c r="I304" i="2"/>
  <c r="F304" i="2" s="1"/>
  <c r="L305" i="2"/>
  <c r="F301" i="3"/>
  <c r="D302" i="3"/>
  <c r="C302" i="4"/>
  <c r="AB301" i="3"/>
  <c r="E302" i="4" s="1"/>
  <c r="A303" i="4"/>
  <c r="J302" i="3"/>
  <c r="V302" i="3"/>
  <c r="M302" i="3"/>
  <c r="N302" i="3"/>
  <c r="C302" i="3"/>
  <c r="P302" i="3"/>
  <c r="H302" i="3"/>
  <c r="T302" i="3"/>
  <c r="S302" i="3"/>
  <c r="Y302" i="3" s="1"/>
  <c r="Z302" i="3" s="1"/>
  <c r="AA302" i="3" s="1"/>
  <c r="E302" i="3"/>
  <c r="G302" i="3"/>
  <c r="O300" i="3"/>
  <c r="H301" i="4" s="1"/>
  <c r="I300" i="3"/>
  <c r="F301" i="4" s="1"/>
  <c r="U300" i="3"/>
  <c r="J301" i="4" s="1"/>
  <c r="D303" i="4" l="1"/>
  <c r="A304" i="4"/>
  <c r="G303" i="3"/>
  <c r="S303" i="3"/>
  <c r="Y303" i="3" s="1"/>
  <c r="Z303" i="3" s="1"/>
  <c r="AA303" i="3" s="1"/>
  <c r="H303" i="3"/>
  <c r="T303" i="3"/>
  <c r="J303" i="3"/>
  <c r="V303" i="3"/>
  <c r="M303" i="3"/>
  <c r="C303" i="3"/>
  <c r="E303" i="3"/>
  <c r="N303" i="3"/>
  <c r="P303" i="3"/>
  <c r="M309" i="2"/>
  <c r="J308" i="2"/>
  <c r="F302" i="3"/>
  <c r="D303" i="3"/>
  <c r="O301" i="3"/>
  <c r="H302" i="4" s="1"/>
  <c r="I301" i="3"/>
  <c r="F302" i="4" s="1"/>
  <c r="U301" i="3"/>
  <c r="J302" i="4" s="1"/>
  <c r="L306" i="2"/>
  <c r="I305" i="2"/>
  <c r="F305" i="2" s="1"/>
  <c r="C303" i="4"/>
  <c r="AB302" i="3"/>
  <c r="E303" i="4" s="1"/>
  <c r="T305" i="2"/>
  <c r="G305" i="2"/>
  <c r="D306" i="2"/>
  <c r="H310" i="2"/>
  <c r="K311" i="2"/>
  <c r="E305" i="2"/>
  <c r="C306" i="2"/>
  <c r="I303" i="4"/>
  <c r="M303" i="4" s="1"/>
  <c r="K303" i="4"/>
  <c r="N303" i="4" s="1"/>
  <c r="G303" i="4"/>
  <c r="L303" i="4" s="1"/>
  <c r="D304" i="4" l="1"/>
  <c r="L307" i="2"/>
  <c r="I306" i="2"/>
  <c r="C304" i="4"/>
  <c r="AB303" i="3"/>
  <c r="E304" i="4" s="1"/>
  <c r="K312" i="2"/>
  <c r="H311" i="2"/>
  <c r="F303" i="3"/>
  <c r="D304" i="3"/>
  <c r="I302" i="3"/>
  <c r="F303" i="4" s="1"/>
  <c r="U302" i="3"/>
  <c r="J303" i="4" s="1"/>
  <c r="O302" i="3"/>
  <c r="H303" i="4" s="1"/>
  <c r="E306" i="2"/>
  <c r="C307" i="2"/>
  <c r="F306" i="2"/>
  <c r="T306" i="2"/>
  <c r="D307" i="2"/>
  <c r="G306" i="2"/>
  <c r="M310" i="2"/>
  <c r="J309" i="2"/>
  <c r="G304" i="4"/>
  <c r="L304" i="4" s="1"/>
  <c r="I304" i="4"/>
  <c r="M304" i="4" s="1"/>
  <c r="K304" i="4"/>
  <c r="N304" i="4" s="1"/>
  <c r="A305" i="4"/>
  <c r="C304" i="3"/>
  <c r="P304" i="3"/>
  <c r="E304" i="3"/>
  <c r="G304" i="3"/>
  <c r="S304" i="3"/>
  <c r="Y304" i="3" s="1"/>
  <c r="Z304" i="3" s="1"/>
  <c r="AA304" i="3" s="1"/>
  <c r="H304" i="3"/>
  <c r="T304" i="3"/>
  <c r="J304" i="3"/>
  <c r="V304" i="3"/>
  <c r="N304" i="3"/>
  <c r="M304" i="3"/>
  <c r="D305" i="4" l="1"/>
  <c r="F304" i="3"/>
  <c r="D305" i="3"/>
  <c r="I303" i="3"/>
  <c r="F304" i="4" s="1"/>
  <c r="U303" i="3"/>
  <c r="J304" i="4" s="1"/>
  <c r="O303" i="3"/>
  <c r="H304" i="4" s="1"/>
  <c r="A306" i="4"/>
  <c r="M305" i="3"/>
  <c r="N305" i="3"/>
  <c r="C305" i="3"/>
  <c r="P305" i="3"/>
  <c r="E305" i="3"/>
  <c r="G305" i="3"/>
  <c r="S305" i="3"/>
  <c r="Y305" i="3" s="1"/>
  <c r="Z305" i="3" s="1"/>
  <c r="AA305" i="3" s="1"/>
  <c r="H305" i="3"/>
  <c r="J305" i="3"/>
  <c r="T305" i="3"/>
  <c r="V305" i="3"/>
  <c r="M311" i="2"/>
  <c r="J310" i="2"/>
  <c r="H312" i="2"/>
  <c r="K313" i="2"/>
  <c r="D308" i="2"/>
  <c r="T307" i="2"/>
  <c r="G307" i="2"/>
  <c r="C305" i="4"/>
  <c r="AB304" i="3"/>
  <c r="E305" i="4" s="1"/>
  <c r="G305" i="4"/>
  <c r="L305" i="4" s="1"/>
  <c r="I305" i="4"/>
  <c r="M305" i="4" s="1"/>
  <c r="K305" i="4"/>
  <c r="N305" i="4" s="1"/>
  <c r="E307" i="2"/>
  <c r="C308" i="2"/>
  <c r="I307" i="2"/>
  <c r="F307" i="2" s="1"/>
  <c r="L308" i="2"/>
  <c r="D306" i="4" l="1"/>
  <c r="M312" i="2"/>
  <c r="J311" i="2"/>
  <c r="C306" i="4"/>
  <c r="AB305" i="3"/>
  <c r="E306" i="4" s="1"/>
  <c r="G306" i="4"/>
  <c r="L306" i="4" s="1"/>
  <c r="I306" i="4"/>
  <c r="M306" i="4" s="1"/>
  <c r="K306" i="4"/>
  <c r="N306" i="4" s="1"/>
  <c r="H313" i="2"/>
  <c r="K314" i="2"/>
  <c r="F305" i="3"/>
  <c r="D306" i="3"/>
  <c r="O304" i="3"/>
  <c r="H305" i="4" s="1"/>
  <c r="I304" i="3"/>
  <c r="F305" i="4" s="1"/>
  <c r="U304" i="3"/>
  <c r="J305" i="4" s="1"/>
  <c r="A307" i="4"/>
  <c r="J306" i="3"/>
  <c r="V306" i="3"/>
  <c r="M306" i="3"/>
  <c r="N306" i="3"/>
  <c r="C306" i="3"/>
  <c r="P306" i="3"/>
  <c r="H306" i="3"/>
  <c r="T306" i="3"/>
  <c r="E306" i="3"/>
  <c r="G306" i="3"/>
  <c r="S306" i="3"/>
  <c r="Y306" i="3" s="1"/>
  <c r="Z306" i="3" s="1"/>
  <c r="AA306" i="3" s="1"/>
  <c r="L309" i="2"/>
  <c r="I308" i="2"/>
  <c r="E308" i="2"/>
  <c r="F308" i="2"/>
  <c r="C309" i="2"/>
  <c r="T308" i="2"/>
  <c r="G308" i="2"/>
  <c r="D309" i="2"/>
  <c r="D307" i="4" l="1"/>
  <c r="C307" i="4"/>
  <c r="AB306" i="3"/>
  <c r="E307" i="4" s="1"/>
  <c r="L310" i="2"/>
  <c r="I309" i="2"/>
  <c r="F306" i="3"/>
  <c r="D307" i="3"/>
  <c r="A308" i="4"/>
  <c r="G307" i="3"/>
  <c r="S307" i="3"/>
  <c r="Y307" i="3" s="1"/>
  <c r="Z307" i="3" s="1"/>
  <c r="AA307" i="3" s="1"/>
  <c r="H307" i="3"/>
  <c r="T307" i="3"/>
  <c r="J307" i="3"/>
  <c r="V307" i="3"/>
  <c r="M307" i="3"/>
  <c r="C307" i="3"/>
  <c r="E307" i="3"/>
  <c r="N307" i="3"/>
  <c r="P307" i="3"/>
  <c r="O305" i="3"/>
  <c r="H306" i="4" s="1"/>
  <c r="I305" i="3"/>
  <c r="F306" i="4" s="1"/>
  <c r="U305" i="3"/>
  <c r="J306" i="4" s="1"/>
  <c r="J312" i="2"/>
  <c r="M313" i="2"/>
  <c r="G307" i="4"/>
  <c r="L307" i="4" s="1"/>
  <c r="I307" i="4"/>
  <c r="M307" i="4" s="1"/>
  <c r="K307" i="4"/>
  <c r="N307" i="4" s="1"/>
  <c r="K315" i="2"/>
  <c r="H314" i="2"/>
  <c r="T309" i="2"/>
  <c r="D310" i="2"/>
  <c r="G309" i="2"/>
  <c r="E309" i="2"/>
  <c r="C310" i="2"/>
  <c r="F309" i="2"/>
  <c r="D308" i="4" l="1"/>
  <c r="K308" i="4"/>
  <c r="N308" i="4" s="1"/>
  <c r="G308" i="4"/>
  <c r="L308" i="4" s="1"/>
  <c r="I308" i="4"/>
  <c r="M308" i="4" s="1"/>
  <c r="F307" i="3"/>
  <c r="D308" i="3"/>
  <c r="A309" i="4"/>
  <c r="C308" i="3"/>
  <c r="P308" i="3"/>
  <c r="E308" i="3"/>
  <c r="G308" i="3"/>
  <c r="S308" i="3"/>
  <c r="Y308" i="3" s="1"/>
  <c r="Z308" i="3" s="1"/>
  <c r="AA308" i="3" s="1"/>
  <c r="H308" i="3"/>
  <c r="T308" i="3"/>
  <c r="J308" i="3"/>
  <c r="V308" i="3"/>
  <c r="N308" i="3"/>
  <c r="M308" i="3"/>
  <c r="I306" i="3"/>
  <c r="F307" i="4" s="1"/>
  <c r="U306" i="3"/>
  <c r="J307" i="4" s="1"/>
  <c r="O306" i="3"/>
  <c r="H307" i="4" s="1"/>
  <c r="I310" i="2"/>
  <c r="L311" i="2"/>
  <c r="D311" i="2"/>
  <c r="T310" i="2"/>
  <c r="G310" i="2"/>
  <c r="H315" i="2"/>
  <c r="K316" i="2"/>
  <c r="C308" i="4"/>
  <c r="AB307" i="3"/>
  <c r="E308" i="4" s="1"/>
  <c r="E310" i="2"/>
  <c r="F310" i="2"/>
  <c r="C311" i="2"/>
  <c r="M314" i="2"/>
  <c r="J313" i="2"/>
  <c r="D309" i="4" l="1"/>
  <c r="F308" i="3"/>
  <c r="D309" i="3"/>
  <c r="H316" i="2"/>
  <c r="K317" i="2"/>
  <c r="I307" i="3"/>
  <c r="F308" i="4" s="1"/>
  <c r="U307" i="3"/>
  <c r="J308" i="4" s="1"/>
  <c r="O307" i="3"/>
  <c r="H308" i="4" s="1"/>
  <c r="I309" i="4"/>
  <c r="M309" i="4" s="1"/>
  <c r="K309" i="4"/>
  <c r="N309" i="4" s="1"/>
  <c r="G309" i="4"/>
  <c r="L309" i="4" s="1"/>
  <c r="L312" i="2"/>
  <c r="I311" i="2"/>
  <c r="M315" i="2"/>
  <c r="J314" i="2"/>
  <c r="A310" i="4"/>
  <c r="M309" i="3"/>
  <c r="N309" i="3"/>
  <c r="C309" i="3"/>
  <c r="P309" i="3"/>
  <c r="E309" i="3"/>
  <c r="G309" i="3"/>
  <c r="S309" i="3"/>
  <c r="Y309" i="3" s="1"/>
  <c r="Z309" i="3" s="1"/>
  <c r="AA309" i="3" s="1"/>
  <c r="T309" i="3"/>
  <c r="V309" i="3"/>
  <c r="J309" i="3"/>
  <c r="H309" i="3"/>
  <c r="G311" i="2"/>
  <c r="D312" i="2"/>
  <c r="T311" i="2"/>
  <c r="E311" i="2"/>
  <c r="F311" i="2"/>
  <c r="C312" i="2"/>
  <c r="C309" i="4"/>
  <c r="AB308" i="3"/>
  <c r="E309" i="4" s="1"/>
  <c r="D310" i="4" l="1"/>
  <c r="C310" i="4"/>
  <c r="AB309" i="3"/>
  <c r="E310" i="4" s="1"/>
  <c r="G310" i="4"/>
  <c r="L310" i="4" s="1"/>
  <c r="I310" i="4"/>
  <c r="M310" i="4" s="1"/>
  <c r="K310" i="4"/>
  <c r="N310" i="4" s="1"/>
  <c r="J315" i="2"/>
  <c r="M316" i="2"/>
  <c r="K318" i="2"/>
  <c r="H317" i="2"/>
  <c r="L313" i="2"/>
  <c r="I312" i="2"/>
  <c r="F309" i="3"/>
  <c r="D310" i="3"/>
  <c r="O308" i="3"/>
  <c r="H309" i="4" s="1"/>
  <c r="I308" i="3"/>
  <c r="F309" i="4" s="1"/>
  <c r="U308" i="3"/>
  <c r="J309" i="4" s="1"/>
  <c r="T312" i="2"/>
  <c r="D313" i="2"/>
  <c r="G312" i="2"/>
  <c r="E312" i="2"/>
  <c r="C313" i="2"/>
  <c r="F312" i="2"/>
  <c r="A311" i="4"/>
  <c r="J310" i="3"/>
  <c r="V310" i="3"/>
  <c r="M310" i="3"/>
  <c r="N310" i="3"/>
  <c r="C310" i="3"/>
  <c r="P310" i="3"/>
  <c r="H310" i="3"/>
  <c r="T310" i="3"/>
  <c r="E310" i="3"/>
  <c r="G310" i="3"/>
  <c r="S310" i="3"/>
  <c r="Y310" i="3" s="1"/>
  <c r="Z310" i="3" s="1"/>
  <c r="AA310" i="3" s="1"/>
  <c r="D311" i="4" l="1"/>
  <c r="M317" i="2"/>
  <c r="J316" i="2"/>
  <c r="C311" i="4"/>
  <c r="AB310" i="3"/>
  <c r="E311" i="4" s="1"/>
  <c r="T313" i="2"/>
  <c r="G313" i="2"/>
  <c r="D314" i="2"/>
  <c r="A312" i="4"/>
  <c r="G311" i="3"/>
  <c r="S311" i="3"/>
  <c r="Y311" i="3" s="1"/>
  <c r="Z311" i="3" s="1"/>
  <c r="AA311" i="3" s="1"/>
  <c r="H311" i="3"/>
  <c r="T311" i="3"/>
  <c r="J311" i="3"/>
  <c r="V311" i="3"/>
  <c r="M311" i="3"/>
  <c r="C311" i="3"/>
  <c r="E311" i="3"/>
  <c r="N311" i="3"/>
  <c r="P311" i="3"/>
  <c r="G311" i="4"/>
  <c r="L311" i="4" s="1"/>
  <c r="I311" i="4"/>
  <c r="M311" i="4" s="1"/>
  <c r="K311" i="4"/>
  <c r="N311" i="4" s="1"/>
  <c r="I313" i="2"/>
  <c r="F313" i="2" s="1"/>
  <c r="L314" i="2"/>
  <c r="E313" i="2"/>
  <c r="C314" i="2"/>
  <c r="F310" i="3"/>
  <c r="D311" i="3"/>
  <c r="O309" i="3"/>
  <c r="H310" i="4" s="1"/>
  <c r="I309" i="3"/>
  <c r="F310" i="4" s="1"/>
  <c r="U309" i="3"/>
  <c r="J310" i="4" s="1"/>
  <c r="K319" i="2"/>
  <c r="H318" i="2"/>
  <c r="D312" i="4" l="1"/>
  <c r="G312" i="4"/>
  <c r="L312" i="4" s="1"/>
  <c r="I312" i="4"/>
  <c r="M312" i="4" s="1"/>
  <c r="K312" i="4"/>
  <c r="N312" i="4" s="1"/>
  <c r="G314" i="2"/>
  <c r="D315" i="2"/>
  <c r="T314" i="2"/>
  <c r="F314" i="2"/>
  <c r="E314" i="2"/>
  <c r="C315" i="2"/>
  <c r="A313" i="4"/>
  <c r="C312" i="3"/>
  <c r="P312" i="3"/>
  <c r="E312" i="3"/>
  <c r="G312" i="3"/>
  <c r="S312" i="3"/>
  <c r="Y312" i="3" s="1"/>
  <c r="Z312" i="3" s="1"/>
  <c r="AA312" i="3" s="1"/>
  <c r="H312" i="3"/>
  <c r="T312" i="3"/>
  <c r="J312" i="3"/>
  <c r="V312" i="3"/>
  <c r="N312" i="3"/>
  <c r="M312" i="3"/>
  <c r="F311" i="3"/>
  <c r="D312" i="3"/>
  <c r="I310" i="3"/>
  <c r="F311" i="4" s="1"/>
  <c r="U310" i="3"/>
  <c r="J311" i="4" s="1"/>
  <c r="O310" i="3"/>
  <c r="H311" i="4" s="1"/>
  <c r="L315" i="2"/>
  <c r="I314" i="2"/>
  <c r="C312" i="4"/>
  <c r="AB311" i="3"/>
  <c r="E312" i="4" s="1"/>
  <c r="H319" i="2"/>
  <c r="K320" i="2"/>
  <c r="M318" i="2"/>
  <c r="J317" i="2"/>
  <c r="D313" i="4" l="1"/>
  <c r="T315" i="2"/>
  <c r="D316" i="2"/>
  <c r="G315" i="2"/>
  <c r="A314" i="4"/>
  <c r="M313" i="3"/>
  <c r="N313" i="3"/>
  <c r="C313" i="3"/>
  <c r="P313" i="3"/>
  <c r="E313" i="3"/>
  <c r="G313" i="3"/>
  <c r="S313" i="3"/>
  <c r="Y313" i="3" s="1"/>
  <c r="Z313" i="3" s="1"/>
  <c r="AA313" i="3" s="1"/>
  <c r="J313" i="3"/>
  <c r="T313" i="3"/>
  <c r="V313" i="3"/>
  <c r="H313" i="3"/>
  <c r="I315" i="2"/>
  <c r="L316" i="2"/>
  <c r="F312" i="3"/>
  <c r="D313" i="3"/>
  <c r="I311" i="3"/>
  <c r="F312" i="4" s="1"/>
  <c r="U311" i="3"/>
  <c r="J312" i="4" s="1"/>
  <c r="O311" i="3"/>
  <c r="H312" i="4" s="1"/>
  <c r="C313" i="4"/>
  <c r="AB312" i="3"/>
  <c r="E313" i="4" s="1"/>
  <c r="G313" i="4"/>
  <c r="L313" i="4" s="1"/>
  <c r="I313" i="4"/>
  <c r="M313" i="4" s="1"/>
  <c r="K313" i="4"/>
  <c r="N313" i="4" s="1"/>
  <c r="J318" i="2"/>
  <c r="M319" i="2"/>
  <c r="K321" i="2"/>
  <c r="H320" i="2"/>
  <c r="E315" i="2"/>
  <c r="C316" i="2"/>
  <c r="F315" i="2"/>
  <c r="D314" i="4" l="1"/>
  <c r="H321" i="2"/>
  <c r="K322" i="2"/>
  <c r="A315" i="4"/>
  <c r="J314" i="3"/>
  <c r="V314" i="3"/>
  <c r="M314" i="3"/>
  <c r="N314" i="3"/>
  <c r="C314" i="3"/>
  <c r="P314" i="3"/>
  <c r="H314" i="3"/>
  <c r="T314" i="3"/>
  <c r="E314" i="3"/>
  <c r="G314" i="3"/>
  <c r="S314" i="3"/>
  <c r="Y314" i="3" s="1"/>
  <c r="Z314" i="3" s="1"/>
  <c r="AA314" i="3" s="1"/>
  <c r="F313" i="3"/>
  <c r="D314" i="3"/>
  <c r="C314" i="4"/>
  <c r="AB313" i="3"/>
  <c r="E314" i="4" s="1"/>
  <c r="K314" i="4"/>
  <c r="N314" i="4" s="1"/>
  <c r="G314" i="4"/>
  <c r="L314" i="4" s="1"/>
  <c r="I314" i="4"/>
  <c r="M314" i="4" s="1"/>
  <c r="M320" i="2"/>
  <c r="J319" i="2"/>
  <c r="T316" i="2"/>
  <c r="D317" i="2"/>
  <c r="G316" i="2"/>
  <c r="I316" i="2"/>
  <c r="F316" i="2" s="1"/>
  <c r="L317" i="2"/>
  <c r="E316" i="2"/>
  <c r="C317" i="2"/>
  <c r="O312" i="3"/>
  <c r="H313" i="4" s="1"/>
  <c r="I312" i="3"/>
  <c r="F313" i="4" s="1"/>
  <c r="U312" i="3"/>
  <c r="J313" i="4" s="1"/>
  <c r="D315" i="4" l="1"/>
  <c r="C315" i="4"/>
  <c r="AB314" i="3"/>
  <c r="E315" i="4" s="1"/>
  <c r="G317" i="2"/>
  <c r="D318" i="2"/>
  <c r="T317" i="2"/>
  <c r="F314" i="3"/>
  <c r="D315" i="3"/>
  <c r="O313" i="3"/>
  <c r="H314" i="4" s="1"/>
  <c r="I313" i="3"/>
  <c r="F314" i="4" s="1"/>
  <c r="U313" i="3"/>
  <c r="J314" i="4" s="1"/>
  <c r="I315" i="4"/>
  <c r="M315" i="4" s="1"/>
  <c r="K315" i="4"/>
  <c r="N315" i="4" s="1"/>
  <c r="G315" i="4"/>
  <c r="L315" i="4" s="1"/>
  <c r="M321" i="2"/>
  <c r="J320" i="2"/>
  <c r="H322" i="2"/>
  <c r="K323" i="2"/>
  <c r="F317" i="2"/>
  <c r="C318" i="2"/>
  <c r="E317" i="2"/>
  <c r="L318" i="2"/>
  <c r="I317" i="2"/>
  <c r="A316" i="4"/>
  <c r="G315" i="3"/>
  <c r="S315" i="3"/>
  <c r="Y315" i="3" s="1"/>
  <c r="Z315" i="3" s="1"/>
  <c r="AA315" i="3" s="1"/>
  <c r="H315" i="3"/>
  <c r="T315" i="3"/>
  <c r="J315" i="3"/>
  <c r="V315" i="3"/>
  <c r="M315" i="3"/>
  <c r="C315" i="3"/>
  <c r="E315" i="3"/>
  <c r="N315" i="3"/>
  <c r="P315" i="3"/>
  <c r="D316" i="4" l="1"/>
  <c r="K324" i="2"/>
  <c r="H323" i="2"/>
  <c r="C316" i="4"/>
  <c r="AB315" i="3"/>
  <c r="E316" i="4" s="1"/>
  <c r="I314" i="3"/>
  <c r="F315" i="4" s="1"/>
  <c r="U314" i="3"/>
  <c r="J315" i="4" s="1"/>
  <c r="O314" i="3"/>
  <c r="H315" i="4" s="1"/>
  <c r="J321" i="2"/>
  <c r="M322" i="2"/>
  <c r="T318" i="2"/>
  <c r="D319" i="2"/>
  <c r="G318" i="2"/>
  <c r="G316" i="4"/>
  <c r="L316" i="4" s="1"/>
  <c r="I316" i="4"/>
  <c r="M316" i="4" s="1"/>
  <c r="K316" i="4"/>
  <c r="N316" i="4" s="1"/>
  <c r="E318" i="2"/>
  <c r="C319" i="2"/>
  <c r="F318" i="2"/>
  <c r="F315" i="3"/>
  <c r="D316" i="3"/>
  <c r="A317" i="4"/>
  <c r="C316" i="3"/>
  <c r="P316" i="3"/>
  <c r="E316" i="3"/>
  <c r="G316" i="3"/>
  <c r="S316" i="3"/>
  <c r="Y316" i="3" s="1"/>
  <c r="Z316" i="3" s="1"/>
  <c r="AA316" i="3" s="1"/>
  <c r="H316" i="3"/>
  <c r="T316" i="3"/>
  <c r="J316" i="3"/>
  <c r="V316" i="3"/>
  <c r="N316" i="3"/>
  <c r="M316" i="3"/>
  <c r="L319" i="2"/>
  <c r="I318" i="2"/>
  <c r="D317" i="4" l="1"/>
  <c r="E319" i="2"/>
  <c r="C320" i="2"/>
  <c r="I315" i="3"/>
  <c r="F316" i="4" s="1"/>
  <c r="U315" i="3"/>
  <c r="J316" i="4" s="1"/>
  <c r="O315" i="3"/>
  <c r="H316" i="4" s="1"/>
  <c r="M323" i="2"/>
  <c r="J322" i="2"/>
  <c r="A318" i="4"/>
  <c r="M317" i="3"/>
  <c r="N317" i="3"/>
  <c r="C317" i="3"/>
  <c r="P317" i="3"/>
  <c r="E317" i="3"/>
  <c r="G317" i="3"/>
  <c r="S317" i="3"/>
  <c r="Y317" i="3" s="1"/>
  <c r="Z317" i="3" s="1"/>
  <c r="AA317" i="3" s="1"/>
  <c r="H317" i="3"/>
  <c r="J317" i="3"/>
  <c r="T317" i="3"/>
  <c r="V317" i="3"/>
  <c r="K325" i="2"/>
  <c r="H324" i="2"/>
  <c r="C317" i="4"/>
  <c r="AB316" i="3"/>
  <c r="E317" i="4" s="1"/>
  <c r="G317" i="4"/>
  <c r="L317" i="4" s="1"/>
  <c r="I317" i="4"/>
  <c r="M317" i="4" s="1"/>
  <c r="K317" i="4"/>
  <c r="N317" i="4" s="1"/>
  <c r="I319" i="2"/>
  <c r="F319" i="2" s="1"/>
  <c r="L320" i="2"/>
  <c r="F316" i="3"/>
  <c r="D317" i="3"/>
  <c r="T319" i="2"/>
  <c r="G319" i="2"/>
  <c r="D320" i="2"/>
  <c r="D318" i="4" l="1"/>
  <c r="H325" i="2"/>
  <c r="K326" i="2"/>
  <c r="C318" i="4"/>
  <c r="AB317" i="3"/>
  <c r="E318" i="4" s="1"/>
  <c r="M324" i="2"/>
  <c r="J323" i="2"/>
  <c r="O316" i="3"/>
  <c r="H317" i="4" s="1"/>
  <c r="I316" i="3"/>
  <c r="F317" i="4" s="1"/>
  <c r="U316" i="3"/>
  <c r="J317" i="4" s="1"/>
  <c r="G318" i="4"/>
  <c r="L318" i="4" s="1"/>
  <c r="I318" i="4"/>
  <c r="M318" i="4" s="1"/>
  <c r="K318" i="4"/>
  <c r="N318" i="4" s="1"/>
  <c r="L321" i="2"/>
  <c r="I320" i="2"/>
  <c r="A319" i="4"/>
  <c r="J318" i="3"/>
  <c r="V318" i="3"/>
  <c r="M318" i="3"/>
  <c r="N318" i="3"/>
  <c r="C318" i="3"/>
  <c r="P318" i="3"/>
  <c r="H318" i="3"/>
  <c r="T318" i="3"/>
  <c r="S318" i="3"/>
  <c r="Y318" i="3" s="1"/>
  <c r="Z318" i="3" s="1"/>
  <c r="AA318" i="3" s="1"/>
  <c r="E318" i="3"/>
  <c r="G318" i="3"/>
  <c r="F320" i="2"/>
  <c r="E320" i="2"/>
  <c r="C321" i="2"/>
  <c r="G320" i="2"/>
  <c r="D321" i="2"/>
  <c r="T320" i="2"/>
  <c r="F317" i="3"/>
  <c r="D318" i="3"/>
  <c r="D319" i="4" l="1"/>
  <c r="E321" i="2"/>
  <c r="C322" i="2"/>
  <c r="I319" i="4"/>
  <c r="M319" i="4" s="1"/>
  <c r="K319" i="4"/>
  <c r="N319" i="4" s="1"/>
  <c r="G319" i="4"/>
  <c r="L319" i="4" s="1"/>
  <c r="M325" i="2"/>
  <c r="J324" i="2"/>
  <c r="A320" i="4"/>
  <c r="G319" i="3"/>
  <c r="S319" i="3"/>
  <c r="Y319" i="3" s="1"/>
  <c r="Z319" i="3" s="1"/>
  <c r="AA319" i="3" s="1"/>
  <c r="H319" i="3"/>
  <c r="T319" i="3"/>
  <c r="J319" i="3"/>
  <c r="V319" i="3"/>
  <c r="M319" i="3"/>
  <c r="C319" i="3"/>
  <c r="E319" i="3"/>
  <c r="N319" i="3"/>
  <c r="P319" i="3"/>
  <c r="I321" i="2"/>
  <c r="F321" i="2" s="1"/>
  <c r="L322" i="2"/>
  <c r="K327" i="2"/>
  <c r="H326" i="2"/>
  <c r="C319" i="4"/>
  <c r="AB318" i="3"/>
  <c r="E319" i="4" s="1"/>
  <c r="F318" i="3"/>
  <c r="D319" i="3"/>
  <c r="O317" i="3"/>
  <c r="H318" i="4" s="1"/>
  <c r="I317" i="3"/>
  <c r="F318" i="4" s="1"/>
  <c r="U317" i="3"/>
  <c r="J318" i="4" s="1"/>
  <c r="T321" i="2"/>
  <c r="D322" i="2"/>
  <c r="G321" i="2"/>
  <c r="D320" i="4" l="1"/>
  <c r="A321" i="4"/>
  <c r="C320" i="3"/>
  <c r="P320" i="3"/>
  <c r="E320" i="3"/>
  <c r="G320" i="3"/>
  <c r="S320" i="3"/>
  <c r="Y320" i="3" s="1"/>
  <c r="Z320" i="3" s="1"/>
  <c r="AA320" i="3" s="1"/>
  <c r="H320" i="3"/>
  <c r="T320" i="3"/>
  <c r="J320" i="3"/>
  <c r="V320" i="3"/>
  <c r="N320" i="3"/>
  <c r="M320" i="3"/>
  <c r="M326" i="2"/>
  <c r="J325" i="2"/>
  <c r="C320" i="4"/>
  <c r="AB319" i="3"/>
  <c r="E320" i="4" s="1"/>
  <c r="I318" i="3"/>
  <c r="F319" i="4" s="1"/>
  <c r="U318" i="3"/>
  <c r="J319" i="4" s="1"/>
  <c r="O318" i="3"/>
  <c r="H319" i="4" s="1"/>
  <c r="H327" i="2"/>
  <c r="K328" i="2"/>
  <c r="F319" i="3"/>
  <c r="D320" i="3"/>
  <c r="I322" i="2"/>
  <c r="F322" i="2" s="1"/>
  <c r="L323" i="2"/>
  <c r="E322" i="2"/>
  <c r="C323" i="2"/>
  <c r="T322" i="2"/>
  <c r="D323" i="2"/>
  <c r="G322" i="2"/>
  <c r="G320" i="4"/>
  <c r="L320" i="4" s="1"/>
  <c r="I320" i="4"/>
  <c r="M320" i="4" s="1"/>
  <c r="K320" i="4"/>
  <c r="N320" i="4" s="1"/>
  <c r="D321" i="4" l="1"/>
  <c r="H328" i="2"/>
  <c r="K329" i="2"/>
  <c r="G323" i="2"/>
  <c r="D324" i="2"/>
  <c r="T323" i="2"/>
  <c r="A322" i="4"/>
  <c r="M321" i="3"/>
  <c r="N321" i="3"/>
  <c r="C321" i="3"/>
  <c r="P321" i="3"/>
  <c r="E321" i="3"/>
  <c r="G321" i="3"/>
  <c r="S321" i="3"/>
  <c r="Y321" i="3" s="1"/>
  <c r="Z321" i="3" s="1"/>
  <c r="AA321" i="3" s="1"/>
  <c r="H321" i="3"/>
  <c r="J321" i="3"/>
  <c r="T321" i="3"/>
  <c r="V321" i="3"/>
  <c r="E323" i="2"/>
  <c r="C324" i="2"/>
  <c r="I323" i="2"/>
  <c r="F323" i="2" s="1"/>
  <c r="L324" i="2"/>
  <c r="J326" i="2"/>
  <c r="M327" i="2"/>
  <c r="C321" i="4"/>
  <c r="AB320" i="3"/>
  <c r="E321" i="4" s="1"/>
  <c r="K321" i="4"/>
  <c r="N321" i="4" s="1"/>
  <c r="G321" i="4"/>
  <c r="L321" i="4" s="1"/>
  <c r="I321" i="4"/>
  <c r="M321" i="4" s="1"/>
  <c r="F320" i="3"/>
  <c r="D321" i="3"/>
  <c r="I319" i="3"/>
  <c r="F320" i="4" s="1"/>
  <c r="U319" i="3"/>
  <c r="J320" i="4" s="1"/>
  <c r="O319" i="3"/>
  <c r="H320" i="4" s="1"/>
  <c r="D322" i="4" l="1"/>
  <c r="O320" i="3"/>
  <c r="H321" i="4" s="1"/>
  <c r="I320" i="3"/>
  <c r="F321" i="4" s="1"/>
  <c r="U320" i="3"/>
  <c r="J321" i="4" s="1"/>
  <c r="C322" i="4"/>
  <c r="AB321" i="3"/>
  <c r="E322" i="4" s="1"/>
  <c r="G322" i="4"/>
  <c r="L322" i="4" s="1"/>
  <c r="I322" i="4"/>
  <c r="M322" i="4" s="1"/>
  <c r="K322" i="4"/>
  <c r="N322" i="4" s="1"/>
  <c r="T324" i="2"/>
  <c r="G324" i="2"/>
  <c r="D325" i="2"/>
  <c r="E324" i="2"/>
  <c r="C325" i="2"/>
  <c r="K330" i="2"/>
  <c r="H329" i="2"/>
  <c r="A323" i="4"/>
  <c r="J322" i="3"/>
  <c r="V322" i="3"/>
  <c r="M322" i="3"/>
  <c r="N322" i="3"/>
  <c r="C322" i="3"/>
  <c r="P322" i="3"/>
  <c r="H322" i="3"/>
  <c r="T322" i="3"/>
  <c r="E322" i="3"/>
  <c r="G322" i="3"/>
  <c r="S322" i="3"/>
  <c r="Y322" i="3" s="1"/>
  <c r="Z322" i="3" s="1"/>
  <c r="AA322" i="3" s="1"/>
  <c r="M328" i="2"/>
  <c r="J327" i="2"/>
  <c r="F321" i="3"/>
  <c r="D322" i="3"/>
  <c r="L325" i="2"/>
  <c r="I324" i="2"/>
  <c r="F324" i="2" s="1"/>
  <c r="D323" i="4" l="1"/>
  <c r="M329" i="2"/>
  <c r="J328" i="2"/>
  <c r="A324" i="4"/>
  <c r="G323" i="3"/>
  <c r="S323" i="3"/>
  <c r="Y323" i="3" s="1"/>
  <c r="Z323" i="3" s="1"/>
  <c r="AA323" i="3" s="1"/>
  <c r="H323" i="3"/>
  <c r="T323" i="3"/>
  <c r="J323" i="3"/>
  <c r="V323" i="3"/>
  <c r="M323" i="3"/>
  <c r="C323" i="3"/>
  <c r="E323" i="3"/>
  <c r="N323" i="3"/>
  <c r="P323" i="3"/>
  <c r="K323" i="4"/>
  <c r="N323" i="4" s="1"/>
  <c r="G323" i="4"/>
  <c r="L323" i="4" s="1"/>
  <c r="I323" i="4"/>
  <c r="M323" i="4" s="1"/>
  <c r="H330" i="2"/>
  <c r="K331" i="2"/>
  <c r="C326" i="2"/>
  <c r="E325" i="2"/>
  <c r="G325" i="2"/>
  <c r="D326" i="2"/>
  <c r="T325" i="2"/>
  <c r="I325" i="2"/>
  <c r="F325" i="2" s="1"/>
  <c r="L326" i="2"/>
  <c r="F322" i="3"/>
  <c r="D323" i="3"/>
  <c r="O321" i="3"/>
  <c r="H322" i="4" s="1"/>
  <c r="I321" i="3"/>
  <c r="F322" i="4" s="1"/>
  <c r="U321" i="3"/>
  <c r="J322" i="4" s="1"/>
  <c r="C323" i="4"/>
  <c r="AB322" i="3"/>
  <c r="E323" i="4" s="1"/>
  <c r="D324" i="4" l="1"/>
  <c r="C324" i="4"/>
  <c r="AB323" i="3"/>
  <c r="E324" i="4" s="1"/>
  <c r="F323" i="3"/>
  <c r="D324" i="3"/>
  <c r="I324" i="4"/>
  <c r="M324" i="4" s="1"/>
  <c r="K324" i="4"/>
  <c r="N324" i="4" s="1"/>
  <c r="G324" i="4"/>
  <c r="L324" i="4" s="1"/>
  <c r="I322" i="3"/>
  <c r="F323" i="4" s="1"/>
  <c r="U322" i="3"/>
  <c r="J323" i="4" s="1"/>
  <c r="O322" i="3"/>
  <c r="H323" i="4" s="1"/>
  <c r="I326" i="2"/>
  <c r="L327" i="2"/>
  <c r="G326" i="2"/>
  <c r="D327" i="2"/>
  <c r="T326" i="2"/>
  <c r="E326" i="2"/>
  <c r="F326" i="2"/>
  <c r="C327" i="2"/>
  <c r="A325" i="4"/>
  <c r="C324" i="3"/>
  <c r="P324" i="3"/>
  <c r="E324" i="3"/>
  <c r="G324" i="3"/>
  <c r="S324" i="3"/>
  <c r="Y324" i="3" s="1"/>
  <c r="Z324" i="3" s="1"/>
  <c r="AA324" i="3" s="1"/>
  <c r="H324" i="3"/>
  <c r="T324" i="3"/>
  <c r="J324" i="3"/>
  <c r="V324" i="3"/>
  <c r="N324" i="3"/>
  <c r="M324" i="3"/>
  <c r="J329" i="2"/>
  <c r="M330" i="2"/>
  <c r="H331" i="2"/>
  <c r="K332" i="2"/>
  <c r="D325" i="4" l="1"/>
  <c r="E327" i="2"/>
  <c r="C328" i="2"/>
  <c r="F327" i="2"/>
  <c r="C325" i="4"/>
  <c r="AB324" i="3"/>
  <c r="E325" i="4" s="1"/>
  <c r="T327" i="2"/>
  <c r="G327" i="2"/>
  <c r="D328" i="2"/>
  <c r="F324" i="3"/>
  <c r="D325" i="3"/>
  <c r="L328" i="2"/>
  <c r="I327" i="2"/>
  <c r="I323" i="3"/>
  <c r="F324" i="4" s="1"/>
  <c r="U323" i="3"/>
  <c r="J324" i="4" s="1"/>
  <c r="O323" i="3"/>
  <c r="H324" i="4" s="1"/>
  <c r="K333" i="2"/>
  <c r="H332" i="2"/>
  <c r="A326" i="4"/>
  <c r="M325" i="3"/>
  <c r="N325" i="3"/>
  <c r="C325" i="3"/>
  <c r="P325" i="3"/>
  <c r="E325" i="3"/>
  <c r="G325" i="3"/>
  <c r="S325" i="3"/>
  <c r="Y325" i="3" s="1"/>
  <c r="Z325" i="3" s="1"/>
  <c r="AA325" i="3" s="1"/>
  <c r="T325" i="3"/>
  <c r="V325" i="3"/>
  <c r="J325" i="3"/>
  <c r="H325" i="3"/>
  <c r="G325" i="4"/>
  <c r="L325" i="4" s="1"/>
  <c r="I325" i="4"/>
  <c r="M325" i="4" s="1"/>
  <c r="K325" i="4"/>
  <c r="N325" i="4" s="1"/>
  <c r="J330" i="2"/>
  <c r="M331" i="2"/>
  <c r="D326" i="4" l="1"/>
  <c r="F325" i="3"/>
  <c r="D326" i="3"/>
  <c r="O324" i="3"/>
  <c r="H325" i="4" s="1"/>
  <c r="I324" i="3"/>
  <c r="F325" i="4" s="1"/>
  <c r="U324" i="3"/>
  <c r="J325" i="4" s="1"/>
  <c r="T328" i="2"/>
  <c r="G328" i="2"/>
  <c r="D329" i="2"/>
  <c r="C326" i="4"/>
  <c r="AB325" i="3"/>
  <c r="E326" i="4" s="1"/>
  <c r="G326" i="4"/>
  <c r="L326" i="4" s="1"/>
  <c r="I326" i="4"/>
  <c r="M326" i="4" s="1"/>
  <c r="K326" i="4"/>
  <c r="N326" i="4" s="1"/>
  <c r="H333" i="2"/>
  <c r="K334" i="2"/>
  <c r="E328" i="2"/>
  <c r="C329" i="2"/>
  <c r="M332" i="2"/>
  <c r="J331" i="2"/>
  <c r="A327" i="4"/>
  <c r="J326" i="3"/>
  <c r="V326" i="3"/>
  <c r="M326" i="3"/>
  <c r="N326" i="3"/>
  <c r="C326" i="3"/>
  <c r="P326" i="3"/>
  <c r="H326" i="3"/>
  <c r="T326" i="3"/>
  <c r="E326" i="3"/>
  <c r="G326" i="3"/>
  <c r="S326" i="3"/>
  <c r="Y326" i="3" s="1"/>
  <c r="Z326" i="3" s="1"/>
  <c r="AA326" i="3" s="1"/>
  <c r="I328" i="2"/>
  <c r="F328" i="2" s="1"/>
  <c r="L329" i="2"/>
  <c r="D327" i="4" l="1"/>
  <c r="M333" i="2"/>
  <c r="J332" i="2"/>
  <c r="C330" i="2"/>
  <c r="E329" i="2"/>
  <c r="G329" i="2"/>
  <c r="D330" i="2"/>
  <c r="T329" i="2"/>
  <c r="K335" i="2"/>
  <c r="H334" i="2"/>
  <c r="F326" i="3"/>
  <c r="D327" i="3"/>
  <c r="O325" i="3"/>
  <c r="H326" i="4" s="1"/>
  <c r="I325" i="3"/>
  <c r="F326" i="4" s="1"/>
  <c r="U325" i="3"/>
  <c r="J326" i="4" s="1"/>
  <c r="C327" i="4"/>
  <c r="AB326" i="3"/>
  <c r="E327" i="4" s="1"/>
  <c r="I329" i="2"/>
  <c r="F329" i="2" s="1"/>
  <c r="L330" i="2"/>
  <c r="A328" i="4"/>
  <c r="G327" i="3"/>
  <c r="S327" i="3"/>
  <c r="Y327" i="3" s="1"/>
  <c r="Z327" i="3" s="1"/>
  <c r="AA327" i="3" s="1"/>
  <c r="H327" i="3"/>
  <c r="T327" i="3"/>
  <c r="J327" i="3"/>
  <c r="V327" i="3"/>
  <c r="M327" i="3"/>
  <c r="C327" i="3"/>
  <c r="E327" i="3"/>
  <c r="N327" i="3"/>
  <c r="P327" i="3"/>
  <c r="G327" i="4"/>
  <c r="L327" i="4" s="1"/>
  <c r="I327" i="4"/>
  <c r="M327" i="4" s="1"/>
  <c r="K327" i="4"/>
  <c r="N327" i="4" s="1"/>
  <c r="D328" i="4" l="1"/>
  <c r="K336" i="2"/>
  <c r="H335" i="2"/>
  <c r="G328" i="4"/>
  <c r="L328" i="4" s="1"/>
  <c r="I328" i="4"/>
  <c r="M328" i="4" s="1"/>
  <c r="K328" i="4"/>
  <c r="N328" i="4" s="1"/>
  <c r="I330" i="2"/>
  <c r="L331" i="2"/>
  <c r="T330" i="2"/>
  <c r="G330" i="2"/>
  <c r="D331" i="2"/>
  <c r="A329" i="4"/>
  <c r="C328" i="3"/>
  <c r="P328" i="3"/>
  <c r="E328" i="3"/>
  <c r="G328" i="3"/>
  <c r="S328" i="3"/>
  <c r="Y328" i="3" s="1"/>
  <c r="Z328" i="3" s="1"/>
  <c r="AA328" i="3" s="1"/>
  <c r="H328" i="3"/>
  <c r="T328" i="3"/>
  <c r="J328" i="3"/>
  <c r="V328" i="3"/>
  <c r="N328" i="3"/>
  <c r="M328" i="3"/>
  <c r="C328" i="4"/>
  <c r="AB327" i="3"/>
  <c r="E328" i="4" s="1"/>
  <c r="E330" i="2"/>
  <c r="C331" i="2"/>
  <c r="F330" i="2"/>
  <c r="J333" i="2"/>
  <c r="M334" i="2"/>
  <c r="F327" i="3"/>
  <c r="D328" i="3"/>
  <c r="I326" i="3"/>
  <c r="F327" i="4" s="1"/>
  <c r="U326" i="3"/>
  <c r="J327" i="4" s="1"/>
  <c r="O326" i="3"/>
  <c r="H327" i="4" s="1"/>
  <c r="D329" i="4" l="1"/>
  <c r="I331" i="2"/>
  <c r="L332" i="2"/>
  <c r="M335" i="2"/>
  <c r="J334" i="2"/>
  <c r="E331" i="2"/>
  <c r="F331" i="2"/>
  <c r="C332" i="2"/>
  <c r="A330" i="4"/>
  <c r="M329" i="3"/>
  <c r="N329" i="3"/>
  <c r="C329" i="3"/>
  <c r="P329" i="3"/>
  <c r="E329" i="3"/>
  <c r="G329" i="3"/>
  <c r="S329" i="3"/>
  <c r="Y329" i="3" s="1"/>
  <c r="Z329" i="3" s="1"/>
  <c r="AA329" i="3" s="1"/>
  <c r="J329" i="3"/>
  <c r="T329" i="3"/>
  <c r="V329" i="3"/>
  <c r="H329" i="3"/>
  <c r="I327" i="3"/>
  <c r="F328" i="4" s="1"/>
  <c r="U327" i="3"/>
  <c r="J328" i="4" s="1"/>
  <c r="O327" i="3"/>
  <c r="H328" i="4" s="1"/>
  <c r="C329" i="4"/>
  <c r="AB328" i="3"/>
  <c r="E329" i="4" s="1"/>
  <c r="K329" i="4"/>
  <c r="N329" i="4" s="1"/>
  <c r="G329" i="4"/>
  <c r="L329" i="4" s="1"/>
  <c r="I329" i="4"/>
  <c r="M329" i="4" s="1"/>
  <c r="T331" i="2"/>
  <c r="G331" i="2"/>
  <c r="D332" i="2"/>
  <c r="H336" i="2"/>
  <c r="K337" i="2"/>
  <c r="F328" i="3"/>
  <c r="D329" i="3"/>
  <c r="D330" i="4" l="1"/>
  <c r="C330" i="4"/>
  <c r="AB329" i="3"/>
  <c r="E330" i="4" s="1"/>
  <c r="I330" i="4"/>
  <c r="M330" i="4" s="1"/>
  <c r="K330" i="4"/>
  <c r="N330" i="4" s="1"/>
  <c r="G330" i="4"/>
  <c r="L330" i="4" s="1"/>
  <c r="E332" i="2"/>
  <c r="F332" i="2"/>
  <c r="C333" i="2"/>
  <c r="G332" i="2"/>
  <c r="T332" i="2"/>
  <c r="D333" i="2"/>
  <c r="J335" i="2"/>
  <c r="M336" i="2"/>
  <c r="A331" i="4"/>
  <c r="J330" i="3"/>
  <c r="V330" i="3"/>
  <c r="M330" i="3"/>
  <c r="N330" i="3"/>
  <c r="C330" i="3"/>
  <c r="P330" i="3"/>
  <c r="H330" i="3"/>
  <c r="T330" i="3"/>
  <c r="E330" i="3"/>
  <c r="G330" i="3"/>
  <c r="S330" i="3"/>
  <c r="Y330" i="3" s="1"/>
  <c r="Z330" i="3" s="1"/>
  <c r="AA330" i="3" s="1"/>
  <c r="L333" i="2"/>
  <c r="I332" i="2"/>
  <c r="F329" i="3"/>
  <c r="D330" i="3"/>
  <c r="O328" i="3"/>
  <c r="H329" i="4" s="1"/>
  <c r="I328" i="3"/>
  <c r="F329" i="4" s="1"/>
  <c r="U328" i="3"/>
  <c r="J329" i="4" s="1"/>
  <c r="K338" i="2"/>
  <c r="H337" i="2"/>
  <c r="D331" i="4" l="1"/>
  <c r="F330" i="3"/>
  <c r="D331" i="3"/>
  <c r="C331" i="4"/>
  <c r="AB330" i="3"/>
  <c r="E331" i="4" s="1"/>
  <c r="G331" i="4"/>
  <c r="L331" i="4" s="1"/>
  <c r="I331" i="4"/>
  <c r="M331" i="4" s="1"/>
  <c r="K331" i="4"/>
  <c r="N331" i="4" s="1"/>
  <c r="M337" i="2"/>
  <c r="J336" i="2"/>
  <c r="A332" i="4"/>
  <c r="G331" i="3"/>
  <c r="S331" i="3"/>
  <c r="Y331" i="3" s="1"/>
  <c r="Z331" i="3" s="1"/>
  <c r="AA331" i="3" s="1"/>
  <c r="H331" i="3"/>
  <c r="T331" i="3"/>
  <c r="J331" i="3"/>
  <c r="V331" i="3"/>
  <c r="M331" i="3"/>
  <c r="C331" i="3"/>
  <c r="E331" i="3"/>
  <c r="N331" i="3"/>
  <c r="P331" i="3"/>
  <c r="T333" i="2"/>
  <c r="G333" i="2"/>
  <c r="D334" i="2"/>
  <c r="O329" i="3"/>
  <c r="H330" i="4" s="1"/>
  <c r="I329" i="3"/>
  <c r="F330" i="4" s="1"/>
  <c r="U329" i="3"/>
  <c r="J330" i="4" s="1"/>
  <c r="I333" i="2"/>
  <c r="F333" i="2" s="1"/>
  <c r="L334" i="2"/>
  <c r="K339" i="2"/>
  <c r="H338" i="2"/>
  <c r="E333" i="2"/>
  <c r="C334" i="2"/>
  <c r="D332" i="4" l="1"/>
  <c r="I334" i="2"/>
  <c r="L335" i="2"/>
  <c r="K340" i="2"/>
  <c r="H339" i="2"/>
  <c r="T334" i="2"/>
  <c r="G334" i="2"/>
  <c r="D335" i="2"/>
  <c r="C332" i="4"/>
  <c r="AB331" i="3"/>
  <c r="E332" i="4" s="1"/>
  <c r="F331" i="3"/>
  <c r="D332" i="3"/>
  <c r="G332" i="4"/>
  <c r="L332" i="4" s="1"/>
  <c r="I332" i="4"/>
  <c r="M332" i="4" s="1"/>
  <c r="K332" i="4"/>
  <c r="N332" i="4" s="1"/>
  <c r="I330" i="3"/>
  <c r="F331" i="4" s="1"/>
  <c r="U330" i="3"/>
  <c r="J331" i="4" s="1"/>
  <c r="O330" i="3"/>
  <c r="H331" i="4" s="1"/>
  <c r="E334" i="2"/>
  <c r="F334" i="2"/>
  <c r="C335" i="2"/>
  <c r="A333" i="4"/>
  <c r="C332" i="3"/>
  <c r="P332" i="3"/>
  <c r="E332" i="3"/>
  <c r="G332" i="3"/>
  <c r="S332" i="3"/>
  <c r="Y332" i="3" s="1"/>
  <c r="Z332" i="3" s="1"/>
  <c r="AA332" i="3" s="1"/>
  <c r="H332" i="3"/>
  <c r="T332" i="3"/>
  <c r="J332" i="3"/>
  <c r="V332" i="3"/>
  <c r="N332" i="3"/>
  <c r="M332" i="3"/>
  <c r="M338" i="2"/>
  <c r="J337" i="2"/>
  <c r="D333" i="4" l="1"/>
  <c r="I331" i="3"/>
  <c r="F332" i="4" s="1"/>
  <c r="U331" i="3"/>
  <c r="J332" i="4" s="1"/>
  <c r="O331" i="3"/>
  <c r="H332" i="4" s="1"/>
  <c r="G335" i="2"/>
  <c r="D336" i="2"/>
  <c r="T335" i="2"/>
  <c r="A334" i="4"/>
  <c r="M333" i="3"/>
  <c r="N333" i="3"/>
  <c r="P333" i="3"/>
  <c r="E333" i="3"/>
  <c r="G333" i="3"/>
  <c r="S333" i="3"/>
  <c r="Y333" i="3" s="1"/>
  <c r="Z333" i="3" s="1"/>
  <c r="AA333" i="3" s="1"/>
  <c r="C333" i="3"/>
  <c r="H333" i="3"/>
  <c r="J333" i="3"/>
  <c r="T333" i="3"/>
  <c r="V333" i="3"/>
  <c r="H340" i="2"/>
  <c r="K341" i="2"/>
  <c r="L336" i="2"/>
  <c r="I335" i="2"/>
  <c r="F335" i="2" s="1"/>
  <c r="C333" i="4"/>
  <c r="AB332" i="3"/>
  <c r="E333" i="4" s="1"/>
  <c r="G333" i="4"/>
  <c r="L333" i="4" s="1"/>
  <c r="I333" i="4"/>
  <c r="M333" i="4" s="1"/>
  <c r="K333" i="4"/>
  <c r="N333" i="4" s="1"/>
  <c r="J338" i="2"/>
  <c r="M339" i="2"/>
  <c r="E335" i="2"/>
  <c r="C336" i="2"/>
  <c r="F332" i="3"/>
  <c r="D333" i="3"/>
  <c r="D334" i="4" l="1"/>
  <c r="M340" i="2"/>
  <c r="J339" i="2"/>
  <c r="K342" i="2"/>
  <c r="H341" i="2"/>
  <c r="C334" i="4"/>
  <c r="AB333" i="3"/>
  <c r="E334" i="4" s="1"/>
  <c r="G334" i="4"/>
  <c r="L334" i="4" s="1"/>
  <c r="I334" i="4"/>
  <c r="M334" i="4" s="1"/>
  <c r="K334" i="4"/>
  <c r="N334" i="4" s="1"/>
  <c r="T336" i="2"/>
  <c r="G336" i="2"/>
  <c r="D337" i="2"/>
  <c r="F333" i="3"/>
  <c r="D334" i="3"/>
  <c r="A335" i="4"/>
  <c r="J334" i="3"/>
  <c r="V334" i="3"/>
  <c r="M334" i="3"/>
  <c r="N334" i="3"/>
  <c r="C334" i="3"/>
  <c r="P334" i="3"/>
  <c r="H334" i="3"/>
  <c r="T334" i="3"/>
  <c r="E334" i="3"/>
  <c r="G334" i="3"/>
  <c r="S334" i="3"/>
  <c r="Y334" i="3" s="1"/>
  <c r="Z334" i="3" s="1"/>
  <c r="AA334" i="3" s="1"/>
  <c r="I336" i="2"/>
  <c r="L337" i="2"/>
  <c r="O332" i="3"/>
  <c r="H333" i="4" s="1"/>
  <c r="I332" i="3"/>
  <c r="F333" i="4" s="1"/>
  <c r="U332" i="3"/>
  <c r="J333" i="4" s="1"/>
  <c r="E336" i="2"/>
  <c r="C337" i="2"/>
  <c r="F336" i="2"/>
  <c r="D335" i="4" l="1"/>
  <c r="A336" i="4"/>
  <c r="G335" i="3"/>
  <c r="S335" i="3"/>
  <c r="Y335" i="3" s="1"/>
  <c r="Z335" i="3" s="1"/>
  <c r="AA335" i="3" s="1"/>
  <c r="H335" i="3"/>
  <c r="T335" i="3"/>
  <c r="J335" i="3"/>
  <c r="V335" i="3"/>
  <c r="M335" i="3"/>
  <c r="C335" i="3"/>
  <c r="E335" i="3"/>
  <c r="N335" i="3"/>
  <c r="P335" i="3"/>
  <c r="K335" i="4"/>
  <c r="N335" i="4" s="1"/>
  <c r="G335" i="4"/>
  <c r="L335" i="4" s="1"/>
  <c r="I335" i="4"/>
  <c r="M335" i="4" s="1"/>
  <c r="F334" i="3"/>
  <c r="D335" i="3"/>
  <c r="I333" i="3"/>
  <c r="F334" i="4" s="1"/>
  <c r="U333" i="3"/>
  <c r="J334" i="4" s="1"/>
  <c r="O333" i="3"/>
  <c r="H334" i="4" s="1"/>
  <c r="T337" i="2"/>
  <c r="G337" i="2"/>
  <c r="D338" i="2"/>
  <c r="K343" i="2"/>
  <c r="H342" i="2"/>
  <c r="I337" i="2"/>
  <c r="F337" i="2" s="1"/>
  <c r="L338" i="2"/>
  <c r="C335" i="4"/>
  <c r="AB334" i="3"/>
  <c r="E335" i="4" s="1"/>
  <c r="E337" i="2"/>
  <c r="C338" i="2"/>
  <c r="M341" i="2"/>
  <c r="J340" i="2"/>
  <c r="D336" i="4" l="1"/>
  <c r="F335" i="3"/>
  <c r="D336" i="3"/>
  <c r="I334" i="3"/>
  <c r="F335" i="4" s="1"/>
  <c r="U334" i="3"/>
  <c r="J335" i="4" s="1"/>
  <c r="O334" i="3"/>
  <c r="H335" i="4" s="1"/>
  <c r="C336" i="4"/>
  <c r="AB335" i="3"/>
  <c r="E336" i="4" s="1"/>
  <c r="H343" i="2"/>
  <c r="K344" i="2"/>
  <c r="M342" i="2"/>
  <c r="J341" i="2"/>
  <c r="I336" i="4"/>
  <c r="M336" i="4" s="1"/>
  <c r="K336" i="4"/>
  <c r="N336" i="4" s="1"/>
  <c r="G336" i="4"/>
  <c r="L336" i="4" s="1"/>
  <c r="I338" i="2"/>
  <c r="L339" i="2"/>
  <c r="G338" i="2"/>
  <c r="D339" i="2"/>
  <c r="T338" i="2"/>
  <c r="C339" i="2"/>
  <c r="F338" i="2"/>
  <c r="E338" i="2"/>
  <c r="A337" i="4"/>
  <c r="C336" i="3"/>
  <c r="P336" i="3"/>
  <c r="E336" i="3"/>
  <c r="G336" i="3"/>
  <c r="S336" i="3"/>
  <c r="Y336" i="3" s="1"/>
  <c r="Z336" i="3" s="1"/>
  <c r="AA336" i="3" s="1"/>
  <c r="H336" i="3"/>
  <c r="J336" i="3"/>
  <c r="V336" i="3"/>
  <c r="T336" i="3"/>
  <c r="N336" i="3"/>
  <c r="M336" i="3"/>
  <c r="D337" i="4" l="1"/>
  <c r="T339" i="2"/>
  <c r="G339" i="2"/>
  <c r="D340" i="2"/>
  <c r="K345" i="2"/>
  <c r="H344" i="2"/>
  <c r="L340" i="2"/>
  <c r="I339" i="2"/>
  <c r="M343" i="2"/>
  <c r="J342" i="2"/>
  <c r="A338" i="4"/>
  <c r="M337" i="3"/>
  <c r="N337" i="3"/>
  <c r="P337" i="3"/>
  <c r="G337" i="3"/>
  <c r="S337" i="3"/>
  <c r="Y337" i="3" s="1"/>
  <c r="Z337" i="3" s="1"/>
  <c r="AA337" i="3" s="1"/>
  <c r="T337" i="3"/>
  <c r="V337" i="3"/>
  <c r="C337" i="3"/>
  <c r="J337" i="3"/>
  <c r="E337" i="3"/>
  <c r="H337" i="3"/>
  <c r="C337" i="4"/>
  <c r="AB336" i="3"/>
  <c r="E337" i="4" s="1"/>
  <c r="G337" i="4"/>
  <c r="L337" i="4" s="1"/>
  <c r="I337" i="4"/>
  <c r="M337" i="4" s="1"/>
  <c r="K337" i="4"/>
  <c r="N337" i="4" s="1"/>
  <c r="D337" i="3"/>
  <c r="F336" i="3"/>
  <c r="O335" i="3"/>
  <c r="H336" i="4" s="1"/>
  <c r="U335" i="3"/>
  <c r="J336" i="4" s="1"/>
  <c r="I335" i="3"/>
  <c r="F336" i="4" s="1"/>
  <c r="E339" i="2"/>
  <c r="F339" i="2"/>
  <c r="C340" i="2"/>
  <c r="D338" i="4" l="1"/>
  <c r="G338" i="4"/>
  <c r="L338" i="4" s="1"/>
  <c r="I338" i="4"/>
  <c r="M338" i="4" s="1"/>
  <c r="K338" i="4"/>
  <c r="N338" i="4" s="1"/>
  <c r="M344" i="2"/>
  <c r="J343" i="2"/>
  <c r="O336" i="3"/>
  <c r="H337" i="4" s="1"/>
  <c r="I336" i="3"/>
  <c r="F337" i="4" s="1"/>
  <c r="U336" i="3"/>
  <c r="J337" i="4" s="1"/>
  <c r="D338" i="3"/>
  <c r="F337" i="3"/>
  <c r="A339" i="4"/>
  <c r="J338" i="3"/>
  <c r="V338" i="3"/>
  <c r="M338" i="3"/>
  <c r="P338" i="3"/>
  <c r="G338" i="3"/>
  <c r="H338" i="3"/>
  <c r="N338" i="3"/>
  <c r="S338" i="3"/>
  <c r="Y338" i="3" s="1"/>
  <c r="Z338" i="3" s="1"/>
  <c r="AA338" i="3" s="1"/>
  <c r="E338" i="3"/>
  <c r="C338" i="3"/>
  <c r="T338" i="3"/>
  <c r="L341" i="2"/>
  <c r="I340" i="2"/>
  <c r="F340" i="2" s="1"/>
  <c r="K346" i="2"/>
  <c r="H345" i="2"/>
  <c r="D341" i="2"/>
  <c r="G340" i="2"/>
  <c r="T340" i="2"/>
  <c r="C341" i="2"/>
  <c r="E340" i="2"/>
  <c r="C338" i="4"/>
  <c r="AB337" i="3"/>
  <c r="E338" i="4" s="1"/>
  <c r="D339" i="4" l="1"/>
  <c r="A340" i="4"/>
  <c r="G339" i="3"/>
  <c r="S339" i="3"/>
  <c r="Y339" i="3" s="1"/>
  <c r="Z339" i="3" s="1"/>
  <c r="AA339" i="3" s="1"/>
  <c r="J339" i="3"/>
  <c r="V339" i="3"/>
  <c r="M339" i="3"/>
  <c r="C339" i="3"/>
  <c r="T339" i="3"/>
  <c r="E339" i="3"/>
  <c r="H339" i="3"/>
  <c r="N339" i="3"/>
  <c r="P339" i="3"/>
  <c r="D342" i="2"/>
  <c r="T341" i="2"/>
  <c r="G341" i="2"/>
  <c r="J344" i="2"/>
  <c r="M345" i="2"/>
  <c r="C339" i="4"/>
  <c r="AB338" i="3"/>
  <c r="E339" i="4" s="1"/>
  <c r="E341" i="2"/>
  <c r="F341" i="2"/>
  <c r="C342" i="2"/>
  <c r="H346" i="2"/>
  <c r="K347" i="2"/>
  <c r="L342" i="2"/>
  <c r="I341" i="2"/>
  <c r="G339" i="4"/>
  <c r="L339" i="4" s="1"/>
  <c r="I339" i="4"/>
  <c r="M339" i="4" s="1"/>
  <c r="K339" i="4"/>
  <c r="N339" i="4" s="1"/>
  <c r="I337" i="3"/>
  <c r="F338" i="4" s="1"/>
  <c r="U337" i="3"/>
  <c r="J338" i="4" s="1"/>
  <c r="O337" i="3"/>
  <c r="H338" i="4" s="1"/>
  <c r="F338" i="3"/>
  <c r="D339" i="3"/>
  <c r="D340" i="4" l="1"/>
  <c r="M346" i="2"/>
  <c r="J345" i="2"/>
  <c r="C340" i="4"/>
  <c r="AB339" i="3"/>
  <c r="E340" i="4" s="1"/>
  <c r="T342" i="2"/>
  <c r="G342" i="2"/>
  <c r="D343" i="2"/>
  <c r="L343" i="2"/>
  <c r="I342" i="2"/>
  <c r="F342" i="2" s="1"/>
  <c r="I338" i="3"/>
  <c r="F339" i="4" s="1"/>
  <c r="U338" i="3"/>
  <c r="J339" i="4" s="1"/>
  <c r="O338" i="3"/>
  <c r="H339" i="4" s="1"/>
  <c r="K348" i="2"/>
  <c r="H347" i="2"/>
  <c r="G340" i="4"/>
  <c r="L340" i="4" s="1"/>
  <c r="I340" i="4"/>
  <c r="M340" i="4" s="1"/>
  <c r="K340" i="4"/>
  <c r="N340" i="4" s="1"/>
  <c r="F339" i="3"/>
  <c r="D340" i="3"/>
  <c r="E342" i="2"/>
  <c r="C343" i="2"/>
  <c r="A341" i="4"/>
  <c r="C340" i="3"/>
  <c r="P340" i="3"/>
  <c r="G340" i="3"/>
  <c r="S340" i="3"/>
  <c r="Y340" i="3" s="1"/>
  <c r="Z340" i="3" s="1"/>
  <c r="AA340" i="3" s="1"/>
  <c r="J340" i="3"/>
  <c r="V340" i="3"/>
  <c r="M340" i="3"/>
  <c r="N340" i="3"/>
  <c r="T340" i="3"/>
  <c r="E340" i="3"/>
  <c r="H340" i="3"/>
  <c r="D341" i="4" l="1"/>
  <c r="C341" i="4"/>
  <c r="AB340" i="3"/>
  <c r="E341" i="4" s="1"/>
  <c r="D341" i="3"/>
  <c r="F340" i="3"/>
  <c r="L344" i="2"/>
  <c r="I343" i="2"/>
  <c r="A342" i="4"/>
  <c r="M341" i="3"/>
  <c r="P341" i="3"/>
  <c r="G341" i="3"/>
  <c r="S341" i="3"/>
  <c r="Y341" i="3" s="1"/>
  <c r="Z341" i="3" s="1"/>
  <c r="AA341" i="3" s="1"/>
  <c r="T341" i="3"/>
  <c r="C341" i="3"/>
  <c r="E341" i="3"/>
  <c r="V341" i="3"/>
  <c r="H341" i="3"/>
  <c r="J341" i="3"/>
  <c r="N341" i="3"/>
  <c r="D344" i="2"/>
  <c r="G343" i="2"/>
  <c r="T343" i="2"/>
  <c r="U339" i="3"/>
  <c r="J340" i="4" s="1"/>
  <c r="I339" i="3"/>
  <c r="F340" i="4" s="1"/>
  <c r="O339" i="3"/>
  <c r="H340" i="4" s="1"/>
  <c r="K341" i="4"/>
  <c r="N341" i="4" s="1"/>
  <c r="G341" i="4"/>
  <c r="L341" i="4" s="1"/>
  <c r="I341" i="4"/>
  <c r="M341" i="4" s="1"/>
  <c r="C344" i="2"/>
  <c r="E343" i="2"/>
  <c r="F343" i="2"/>
  <c r="K349" i="2"/>
  <c r="H348" i="2"/>
  <c r="M347" i="2"/>
  <c r="J346" i="2"/>
  <c r="D342" i="4" l="1"/>
  <c r="E344" i="2"/>
  <c r="C345" i="2"/>
  <c r="D345" i="2"/>
  <c r="T344" i="2"/>
  <c r="G344" i="2"/>
  <c r="C342" i="4"/>
  <c r="AB341" i="3"/>
  <c r="E342" i="4" s="1"/>
  <c r="I342" i="4"/>
  <c r="M342" i="4" s="1"/>
  <c r="K342" i="4"/>
  <c r="N342" i="4" s="1"/>
  <c r="G342" i="4"/>
  <c r="L342" i="4" s="1"/>
  <c r="A343" i="4"/>
  <c r="J342" i="3"/>
  <c r="V342" i="3"/>
  <c r="M342" i="3"/>
  <c r="P342" i="3"/>
  <c r="N342" i="3"/>
  <c r="S342" i="3"/>
  <c r="Y342" i="3" s="1"/>
  <c r="Z342" i="3" s="1"/>
  <c r="AA342" i="3" s="1"/>
  <c r="C342" i="3"/>
  <c r="T342" i="3"/>
  <c r="H342" i="3"/>
  <c r="E342" i="3"/>
  <c r="G342" i="3"/>
  <c r="L345" i="2"/>
  <c r="I344" i="2"/>
  <c r="F344" i="2" s="1"/>
  <c r="O340" i="3"/>
  <c r="H341" i="4" s="1"/>
  <c r="U340" i="3"/>
  <c r="J341" i="4" s="1"/>
  <c r="I340" i="3"/>
  <c r="F341" i="4" s="1"/>
  <c r="D342" i="3"/>
  <c r="F341" i="3"/>
  <c r="J347" i="2"/>
  <c r="M348" i="2"/>
  <c r="H349" i="2"/>
  <c r="K350" i="2"/>
  <c r="D343" i="4" l="1"/>
  <c r="A344" i="4"/>
  <c r="G343" i="3"/>
  <c r="S343" i="3"/>
  <c r="Y343" i="3" s="1"/>
  <c r="Z343" i="3" s="1"/>
  <c r="AA343" i="3" s="1"/>
  <c r="J343" i="3"/>
  <c r="V343" i="3"/>
  <c r="M343" i="3"/>
  <c r="T343" i="3"/>
  <c r="C343" i="3"/>
  <c r="E343" i="3"/>
  <c r="H343" i="3"/>
  <c r="P343" i="3"/>
  <c r="N343" i="3"/>
  <c r="C343" i="4"/>
  <c r="AB342" i="3"/>
  <c r="E343" i="4" s="1"/>
  <c r="D343" i="3"/>
  <c r="F342" i="3"/>
  <c r="L346" i="2"/>
  <c r="I345" i="2"/>
  <c r="T345" i="2"/>
  <c r="G345" i="2"/>
  <c r="D346" i="2"/>
  <c r="G343" i="4"/>
  <c r="L343" i="4" s="1"/>
  <c r="I343" i="4"/>
  <c r="M343" i="4" s="1"/>
  <c r="K343" i="4"/>
  <c r="N343" i="4" s="1"/>
  <c r="E345" i="2"/>
  <c r="F345" i="2"/>
  <c r="C346" i="2"/>
  <c r="K351" i="2"/>
  <c r="H350" i="2"/>
  <c r="U341" i="3"/>
  <c r="J342" i="4" s="1"/>
  <c r="I341" i="3"/>
  <c r="F342" i="4" s="1"/>
  <c r="O341" i="3"/>
  <c r="H342" i="4" s="1"/>
  <c r="M349" i="2"/>
  <c r="J348" i="2"/>
  <c r="D344" i="4" l="1"/>
  <c r="D347" i="2"/>
  <c r="G346" i="2"/>
  <c r="T346" i="2"/>
  <c r="K352" i="2"/>
  <c r="H351" i="2"/>
  <c r="C347" i="2"/>
  <c r="E346" i="2"/>
  <c r="F346" i="2"/>
  <c r="M350" i="2"/>
  <c r="J349" i="2"/>
  <c r="L347" i="2"/>
  <c r="I346" i="2"/>
  <c r="C344" i="4"/>
  <c r="AB343" i="3"/>
  <c r="E344" i="4" s="1"/>
  <c r="I342" i="3"/>
  <c r="F343" i="4" s="1"/>
  <c r="U342" i="3"/>
  <c r="J343" i="4" s="1"/>
  <c r="O342" i="3"/>
  <c r="H343" i="4" s="1"/>
  <c r="F343" i="3"/>
  <c r="D344" i="3"/>
  <c r="G344" i="4"/>
  <c r="L344" i="4" s="1"/>
  <c r="I344" i="4"/>
  <c r="M344" i="4" s="1"/>
  <c r="K344" i="4"/>
  <c r="N344" i="4" s="1"/>
  <c r="A345" i="4"/>
  <c r="C344" i="3"/>
  <c r="P344" i="3"/>
  <c r="G344" i="3"/>
  <c r="S344" i="3"/>
  <c r="Y344" i="3" s="1"/>
  <c r="Z344" i="3" s="1"/>
  <c r="AA344" i="3" s="1"/>
  <c r="J344" i="3"/>
  <c r="V344" i="3"/>
  <c r="M344" i="3"/>
  <c r="N344" i="3"/>
  <c r="T344" i="3"/>
  <c r="E344" i="3"/>
  <c r="H344" i="3"/>
  <c r="D345" i="4" l="1"/>
  <c r="C345" i="4"/>
  <c r="AB344" i="3"/>
  <c r="E345" i="4" s="1"/>
  <c r="J350" i="2"/>
  <c r="M351" i="2"/>
  <c r="D345" i="3"/>
  <c r="F344" i="3"/>
  <c r="U343" i="3"/>
  <c r="J344" i="4" s="1"/>
  <c r="I343" i="3"/>
  <c r="F344" i="4" s="1"/>
  <c r="O343" i="3"/>
  <c r="H344" i="4" s="1"/>
  <c r="E347" i="2"/>
  <c r="C348" i="2"/>
  <c r="H352" i="2"/>
  <c r="K353" i="2"/>
  <c r="G345" i="4"/>
  <c r="L345" i="4" s="1"/>
  <c r="I345" i="4"/>
  <c r="M345" i="4" s="1"/>
  <c r="K345" i="4"/>
  <c r="N345" i="4" s="1"/>
  <c r="A346" i="4"/>
  <c r="M345" i="3"/>
  <c r="P345" i="3"/>
  <c r="G345" i="3"/>
  <c r="S345" i="3"/>
  <c r="Y345" i="3" s="1"/>
  <c r="Z345" i="3" s="1"/>
  <c r="AA345" i="3" s="1"/>
  <c r="T345" i="3"/>
  <c r="C345" i="3"/>
  <c r="E345" i="3"/>
  <c r="V345" i="3"/>
  <c r="H345" i="3"/>
  <c r="J345" i="3"/>
  <c r="N345" i="3"/>
  <c r="D348" i="2"/>
  <c r="T347" i="2"/>
  <c r="G347" i="2"/>
  <c r="L348" i="2"/>
  <c r="I347" i="2"/>
  <c r="F347" i="2" s="1"/>
  <c r="D346" i="4" l="1"/>
  <c r="G346" i="4"/>
  <c r="L346" i="4" s="1"/>
  <c r="I346" i="4"/>
  <c r="M346" i="4" s="1"/>
  <c r="K346" i="4"/>
  <c r="N346" i="4" s="1"/>
  <c r="T348" i="2"/>
  <c r="G348" i="2"/>
  <c r="D349" i="2"/>
  <c r="O344" i="3"/>
  <c r="H345" i="4" s="1"/>
  <c r="U344" i="3"/>
  <c r="J345" i="4" s="1"/>
  <c r="I344" i="3"/>
  <c r="F345" i="4" s="1"/>
  <c r="D346" i="3"/>
  <c r="F345" i="3"/>
  <c r="A347" i="4"/>
  <c r="J346" i="3"/>
  <c r="M346" i="3"/>
  <c r="P346" i="3"/>
  <c r="N346" i="3"/>
  <c r="S346" i="3"/>
  <c r="Y346" i="3" s="1"/>
  <c r="Z346" i="3" s="1"/>
  <c r="AA346" i="3" s="1"/>
  <c r="C346" i="3"/>
  <c r="T346" i="3"/>
  <c r="H346" i="3"/>
  <c r="E346" i="3"/>
  <c r="G346" i="3"/>
  <c r="V346" i="3"/>
  <c r="M352" i="2"/>
  <c r="J351" i="2"/>
  <c r="C346" i="4"/>
  <c r="AB345" i="3"/>
  <c r="E346" i="4" s="1"/>
  <c r="K354" i="2"/>
  <c r="H353" i="2"/>
  <c r="L349" i="2"/>
  <c r="I348" i="2"/>
  <c r="F348" i="2" s="1"/>
  <c r="E348" i="2"/>
  <c r="C349" i="2"/>
  <c r="D347" i="4" l="1"/>
  <c r="D350" i="2"/>
  <c r="G349" i="2"/>
  <c r="T349" i="2"/>
  <c r="K355" i="2"/>
  <c r="H354" i="2"/>
  <c r="A348" i="4"/>
  <c r="M347" i="3"/>
  <c r="N347" i="3"/>
  <c r="C347" i="3"/>
  <c r="P347" i="3"/>
  <c r="E347" i="3"/>
  <c r="G347" i="3"/>
  <c r="S347" i="3"/>
  <c r="Y347" i="3" s="1"/>
  <c r="Z347" i="3" s="1"/>
  <c r="AA347" i="3" s="1"/>
  <c r="T347" i="3"/>
  <c r="V347" i="3"/>
  <c r="J347" i="3"/>
  <c r="H347" i="3"/>
  <c r="C347" i="4"/>
  <c r="AB346" i="3"/>
  <c r="E347" i="4" s="1"/>
  <c r="K347" i="4"/>
  <c r="N347" i="4" s="1"/>
  <c r="G347" i="4"/>
  <c r="L347" i="4" s="1"/>
  <c r="I347" i="4"/>
  <c r="M347" i="4" s="1"/>
  <c r="U345" i="3"/>
  <c r="J346" i="4" s="1"/>
  <c r="I345" i="3"/>
  <c r="F346" i="4" s="1"/>
  <c r="O345" i="3"/>
  <c r="H346" i="4" s="1"/>
  <c r="M353" i="2"/>
  <c r="J352" i="2"/>
  <c r="C350" i="2"/>
  <c r="F349" i="2"/>
  <c r="E349" i="2"/>
  <c r="D347" i="3"/>
  <c r="F346" i="3"/>
  <c r="L350" i="2"/>
  <c r="I349" i="2"/>
  <c r="D348" i="4" l="1"/>
  <c r="E350" i="2"/>
  <c r="C351" i="2"/>
  <c r="C348" i="4"/>
  <c r="AB347" i="3"/>
  <c r="E348" i="4" s="1"/>
  <c r="J353" i="2"/>
  <c r="M354" i="2"/>
  <c r="I348" i="4"/>
  <c r="M348" i="4" s="1"/>
  <c r="K348" i="4"/>
  <c r="N348" i="4" s="1"/>
  <c r="G348" i="4"/>
  <c r="L348" i="4" s="1"/>
  <c r="H355" i="2"/>
  <c r="K356" i="2"/>
  <c r="D351" i="2"/>
  <c r="T350" i="2"/>
  <c r="G350" i="2"/>
  <c r="I346" i="3"/>
  <c r="F347" i="4" s="1"/>
  <c r="U346" i="3"/>
  <c r="J347" i="4" s="1"/>
  <c r="O346" i="3"/>
  <c r="H347" i="4" s="1"/>
  <c r="A349" i="4"/>
  <c r="J348" i="3"/>
  <c r="V348" i="3"/>
  <c r="M348" i="3"/>
  <c r="N348" i="3"/>
  <c r="C348" i="3"/>
  <c r="P348" i="3"/>
  <c r="H348" i="3"/>
  <c r="T348" i="3"/>
  <c r="E348" i="3"/>
  <c r="G348" i="3"/>
  <c r="S348" i="3"/>
  <c r="Y348" i="3" s="1"/>
  <c r="Z348" i="3" s="1"/>
  <c r="AA348" i="3" s="1"/>
  <c r="L351" i="2"/>
  <c r="I350" i="2"/>
  <c r="F350" i="2" s="1"/>
  <c r="F347" i="3"/>
  <c r="D348" i="3"/>
  <c r="D349" i="4" l="1"/>
  <c r="A350" i="4"/>
  <c r="G349" i="3"/>
  <c r="S349" i="3"/>
  <c r="Y349" i="3" s="1"/>
  <c r="Z349" i="3" s="1"/>
  <c r="AA349" i="3" s="1"/>
  <c r="H349" i="3"/>
  <c r="T349" i="3"/>
  <c r="J349" i="3"/>
  <c r="V349" i="3"/>
  <c r="M349" i="3"/>
  <c r="C349" i="3"/>
  <c r="E349" i="3"/>
  <c r="N349" i="3"/>
  <c r="P349" i="3"/>
  <c r="M355" i="2"/>
  <c r="J354" i="2"/>
  <c r="T351" i="2"/>
  <c r="G351" i="2"/>
  <c r="D352" i="2"/>
  <c r="G349" i="4"/>
  <c r="L349" i="4" s="1"/>
  <c r="I349" i="4"/>
  <c r="M349" i="4" s="1"/>
  <c r="K349" i="4"/>
  <c r="N349" i="4" s="1"/>
  <c r="K357" i="2"/>
  <c r="H356" i="2"/>
  <c r="E351" i="2"/>
  <c r="F351" i="2"/>
  <c r="C352" i="2"/>
  <c r="F348" i="3"/>
  <c r="D349" i="3"/>
  <c r="C349" i="4"/>
  <c r="AB348" i="3"/>
  <c r="E349" i="4" s="1"/>
  <c r="O347" i="3"/>
  <c r="H348" i="4" s="1"/>
  <c r="I347" i="3"/>
  <c r="F348" i="4" s="1"/>
  <c r="U347" i="3"/>
  <c r="J348" i="4" s="1"/>
  <c r="L352" i="2"/>
  <c r="I351" i="2"/>
  <c r="D350" i="4" l="1"/>
  <c r="C350" i="4"/>
  <c r="AB349" i="3"/>
  <c r="E350" i="4" s="1"/>
  <c r="I348" i="3"/>
  <c r="F349" i="4" s="1"/>
  <c r="U348" i="3"/>
  <c r="J349" i="4" s="1"/>
  <c r="O348" i="3"/>
  <c r="H349" i="4" s="1"/>
  <c r="D353" i="2"/>
  <c r="G352" i="2"/>
  <c r="T352" i="2"/>
  <c r="C353" i="2"/>
  <c r="F352" i="2"/>
  <c r="E352" i="2"/>
  <c r="M356" i="2"/>
  <c r="J355" i="2"/>
  <c r="F349" i="3"/>
  <c r="D350" i="3"/>
  <c r="L353" i="2"/>
  <c r="I352" i="2"/>
  <c r="K358" i="2"/>
  <c r="H357" i="2"/>
  <c r="G350" i="4"/>
  <c r="L350" i="4" s="1"/>
  <c r="I350" i="4"/>
  <c r="M350" i="4" s="1"/>
  <c r="K350" i="4"/>
  <c r="N350" i="4" s="1"/>
  <c r="A351" i="4"/>
  <c r="C350" i="3"/>
  <c r="P350" i="3"/>
  <c r="E350" i="3"/>
  <c r="G350" i="3"/>
  <c r="S350" i="3"/>
  <c r="Y350" i="3" s="1"/>
  <c r="Z350" i="3" s="1"/>
  <c r="AA350" i="3" s="1"/>
  <c r="H350" i="3"/>
  <c r="T350" i="3"/>
  <c r="J350" i="3"/>
  <c r="V350" i="3"/>
  <c r="N350" i="3"/>
  <c r="M350" i="3"/>
  <c r="D351" i="4" l="1"/>
  <c r="E353" i="2"/>
  <c r="C354" i="2"/>
  <c r="A352" i="4"/>
  <c r="M351" i="3"/>
  <c r="N351" i="3"/>
  <c r="C351" i="3"/>
  <c r="P351" i="3"/>
  <c r="E351" i="3"/>
  <c r="G351" i="3"/>
  <c r="S351" i="3"/>
  <c r="Y351" i="3" s="1"/>
  <c r="Z351" i="3" s="1"/>
  <c r="AA351" i="3" s="1"/>
  <c r="J351" i="3"/>
  <c r="T351" i="3"/>
  <c r="V351" i="3"/>
  <c r="H351" i="3"/>
  <c r="H358" i="2"/>
  <c r="K359" i="2"/>
  <c r="D354" i="2"/>
  <c r="T353" i="2"/>
  <c r="G353" i="2"/>
  <c r="L354" i="2"/>
  <c r="I353" i="2"/>
  <c r="F353" i="2" s="1"/>
  <c r="F350" i="3"/>
  <c r="D351" i="3"/>
  <c r="C351" i="4"/>
  <c r="AB350" i="3"/>
  <c r="E351" i="4" s="1"/>
  <c r="G351" i="4"/>
  <c r="L351" i="4" s="1"/>
  <c r="I351" i="4"/>
  <c r="M351" i="4" s="1"/>
  <c r="K351" i="4"/>
  <c r="N351" i="4" s="1"/>
  <c r="I349" i="3"/>
  <c r="F350" i="4" s="1"/>
  <c r="U349" i="3"/>
  <c r="J350" i="4" s="1"/>
  <c r="O349" i="3"/>
  <c r="H350" i="4" s="1"/>
  <c r="J356" i="2"/>
  <c r="M357" i="2"/>
  <c r="D352" i="4" l="1"/>
  <c r="T354" i="2"/>
  <c r="G354" i="2"/>
  <c r="D355" i="2"/>
  <c r="K360" i="2"/>
  <c r="H359" i="2"/>
  <c r="C352" i="4"/>
  <c r="AB351" i="3"/>
  <c r="E352" i="4" s="1"/>
  <c r="G352" i="4"/>
  <c r="L352" i="4" s="1"/>
  <c r="I352" i="4"/>
  <c r="M352" i="4" s="1"/>
  <c r="K352" i="4"/>
  <c r="N352" i="4" s="1"/>
  <c r="E354" i="2"/>
  <c r="C355" i="2"/>
  <c r="A353" i="4"/>
  <c r="J352" i="3"/>
  <c r="V352" i="3"/>
  <c r="M352" i="3"/>
  <c r="N352" i="3"/>
  <c r="C352" i="3"/>
  <c r="P352" i="3"/>
  <c r="H352" i="3"/>
  <c r="T352" i="3"/>
  <c r="E352" i="3"/>
  <c r="G352" i="3"/>
  <c r="S352" i="3"/>
  <c r="Y352" i="3" s="1"/>
  <c r="Z352" i="3" s="1"/>
  <c r="AA352" i="3" s="1"/>
  <c r="L355" i="2"/>
  <c r="I354" i="2"/>
  <c r="F354" i="2" s="1"/>
  <c r="M358" i="2"/>
  <c r="J357" i="2"/>
  <c r="F351" i="3"/>
  <c r="D352" i="3"/>
  <c r="O350" i="3"/>
  <c r="H351" i="4" s="1"/>
  <c r="I350" i="3"/>
  <c r="F351" i="4" s="1"/>
  <c r="U350" i="3"/>
  <c r="J351" i="4" s="1"/>
  <c r="D353" i="4" l="1"/>
  <c r="M359" i="2"/>
  <c r="J358" i="2"/>
  <c r="O351" i="3"/>
  <c r="H352" i="4" s="1"/>
  <c r="I351" i="3"/>
  <c r="F352" i="4" s="1"/>
  <c r="U351" i="3"/>
  <c r="J352" i="4" s="1"/>
  <c r="K353" i="4"/>
  <c r="N353" i="4" s="1"/>
  <c r="G353" i="4"/>
  <c r="L353" i="4" s="1"/>
  <c r="I353" i="4"/>
  <c r="M353" i="4" s="1"/>
  <c r="C356" i="2"/>
  <c r="E355" i="2"/>
  <c r="K361" i="2"/>
  <c r="H360" i="2"/>
  <c r="C353" i="4"/>
  <c r="AB352" i="3"/>
  <c r="E353" i="4" s="1"/>
  <c r="L356" i="2"/>
  <c r="I355" i="2"/>
  <c r="F355" i="2" s="1"/>
  <c r="D356" i="2"/>
  <c r="G355" i="2"/>
  <c r="T355" i="2"/>
  <c r="A354" i="4"/>
  <c r="G353" i="3"/>
  <c r="S353" i="3"/>
  <c r="Y353" i="3" s="1"/>
  <c r="Z353" i="3" s="1"/>
  <c r="AA353" i="3" s="1"/>
  <c r="H353" i="3"/>
  <c r="T353" i="3"/>
  <c r="J353" i="3"/>
  <c r="V353" i="3"/>
  <c r="M353" i="3"/>
  <c r="C353" i="3"/>
  <c r="E353" i="3"/>
  <c r="N353" i="3"/>
  <c r="P353" i="3"/>
  <c r="F352" i="3"/>
  <c r="D353" i="3"/>
  <c r="D354" i="4" l="1"/>
  <c r="D357" i="2"/>
  <c r="T356" i="2"/>
  <c r="G356" i="2"/>
  <c r="A355" i="4"/>
  <c r="C354" i="3"/>
  <c r="P354" i="3"/>
  <c r="E354" i="3"/>
  <c r="G354" i="3"/>
  <c r="S354" i="3"/>
  <c r="Y354" i="3" s="1"/>
  <c r="Z354" i="3" s="1"/>
  <c r="AA354" i="3" s="1"/>
  <c r="H354" i="3"/>
  <c r="T354" i="3"/>
  <c r="J354" i="3"/>
  <c r="V354" i="3"/>
  <c r="N354" i="3"/>
  <c r="M354" i="3"/>
  <c r="L357" i="2"/>
  <c r="I356" i="2"/>
  <c r="C354" i="4"/>
  <c r="AB353" i="3"/>
  <c r="E354" i="4" s="1"/>
  <c r="H361" i="2"/>
  <c r="K362" i="2"/>
  <c r="F353" i="3"/>
  <c r="D354" i="3"/>
  <c r="I352" i="3"/>
  <c r="F353" i="4" s="1"/>
  <c r="U352" i="3"/>
  <c r="J353" i="4" s="1"/>
  <c r="O352" i="3"/>
  <c r="H353" i="4" s="1"/>
  <c r="M360" i="2"/>
  <c r="J359" i="2"/>
  <c r="I354" i="4"/>
  <c r="M354" i="4" s="1"/>
  <c r="K354" i="4"/>
  <c r="N354" i="4" s="1"/>
  <c r="G354" i="4"/>
  <c r="L354" i="4" s="1"/>
  <c r="E356" i="2"/>
  <c r="F356" i="2"/>
  <c r="C357" i="2"/>
  <c r="D355" i="4" l="1"/>
  <c r="A356" i="4"/>
  <c r="M355" i="3"/>
  <c r="N355" i="3"/>
  <c r="C355" i="3"/>
  <c r="P355" i="3"/>
  <c r="E355" i="3"/>
  <c r="G355" i="3"/>
  <c r="S355" i="3"/>
  <c r="Y355" i="3" s="1"/>
  <c r="Z355" i="3" s="1"/>
  <c r="AA355" i="3" s="1"/>
  <c r="H355" i="3"/>
  <c r="J355" i="3"/>
  <c r="T355" i="3"/>
  <c r="V355" i="3"/>
  <c r="L358" i="2"/>
  <c r="I357" i="2"/>
  <c r="F357" i="2" s="1"/>
  <c r="K363" i="2"/>
  <c r="H362" i="2"/>
  <c r="M361" i="2"/>
  <c r="J360" i="2"/>
  <c r="C355" i="4"/>
  <c r="AB354" i="3"/>
  <c r="E355" i="4" s="1"/>
  <c r="G355" i="4"/>
  <c r="L355" i="4" s="1"/>
  <c r="I355" i="4"/>
  <c r="M355" i="4" s="1"/>
  <c r="K355" i="4"/>
  <c r="N355" i="4" s="1"/>
  <c r="E357" i="2"/>
  <c r="C358" i="2"/>
  <c r="T357" i="2"/>
  <c r="G357" i="2"/>
  <c r="D358" i="2"/>
  <c r="F354" i="3"/>
  <c r="D355" i="3"/>
  <c r="I353" i="3"/>
  <c r="F354" i="4" s="1"/>
  <c r="U353" i="3"/>
  <c r="J354" i="4" s="1"/>
  <c r="O353" i="3"/>
  <c r="H354" i="4" s="1"/>
  <c r="D356" i="4" l="1"/>
  <c r="O354" i="3"/>
  <c r="H355" i="4" s="1"/>
  <c r="I354" i="3"/>
  <c r="F355" i="4" s="1"/>
  <c r="U354" i="3"/>
  <c r="J355" i="4" s="1"/>
  <c r="A357" i="4"/>
  <c r="J356" i="3"/>
  <c r="V356" i="3"/>
  <c r="M356" i="3"/>
  <c r="N356" i="3"/>
  <c r="C356" i="3"/>
  <c r="P356" i="3"/>
  <c r="H356" i="3"/>
  <c r="T356" i="3"/>
  <c r="S356" i="3"/>
  <c r="Y356" i="3" s="1"/>
  <c r="Z356" i="3" s="1"/>
  <c r="AA356" i="3" s="1"/>
  <c r="E356" i="3"/>
  <c r="G356" i="3"/>
  <c r="D359" i="2"/>
  <c r="G358" i="2"/>
  <c r="T358" i="2"/>
  <c r="C359" i="2"/>
  <c r="E358" i="2"/>
  <c r="F358" i="2"/>
  <c r="M362" i="2"/>
  <c r="J361" i="2"/>
  <c r="F355" i="3"/>
  <c r="D356" i="3"/>
  <c r="K364" i="2"/>
  <c r="H363" i="2"/>
  <c r="L359" i="2"/>
  <c r="I358" i="2"/>
  <c r="C356" i="4"/>
  <c r="AB355" i="3"/>
  <c r="E356" i="4" s="1"/>
  <c r="G356" i="4"/>
  <c r="L356" i="4" s="1"/>
  <c r="I356" i="4"/>
  <c r="M356" i="4" s="1"/>
  <c r="K356" i="4"/>
  <c r="N356" i="4" s="1"/>
  <c r="D357" i="4" l="1"/>
  <c r="E359" i="2"/>
  <c r="C360" i="2"/>
  <c r="C357" i="4"/>
  <c r="AB356" i="3"/>
  <c r="E357" i="4" s="1"/>
  <c r="L360" i="2"/>
  <c r="I359" i="2"/>
  <c r="F359" i="2" s="1"/>
  <c r="D360" i="2"/>
  <c r="T359" i="2"/>
  <c r="G359" i="2"/>
  <c r="G357" i="4"/>
  <c r="L357" i="4" s="1"/>
  <c r="I357" i="4"/>
  <c r="M357" i="4" s="1"/>
  <c r="K357" i="4"/>
  <c r="N357" i="4" s="1"/>
  <c r="H364" i="2"/>
  <c r="K365" i="2"/>
  <c r="F356" i="3"/>
  <c r="D357" i="3"/>
  <c r="A358" i="4"/>
  <c r="G357" i="3"/>
  <c r="S357" i="3"/>
  <c r="Y357" i="3" s="1"/>
  <c r="Z357" i="3" s="1"/>
  <c r="AA357" i="3" s="1"/>
  <c r="H357" i="3"/>
  <c r="T357" i="3"/>
  <c r="J357" i="3"/>
  <c r="V357" i="3"/>
  <c r="M357" i="3"/>
  <c r="C357" i="3"/>
  <c r="E357" i="3"/>
  <c r="N357" i="3"/>
  <c r="P357" i="3"/>
  <c r="O355" i="3"/>
  <c r="H356" i="4" s="1"/>
  <c r="I355" i="3"/>
  <c r="F356" i="4" s="1"/>
  <c r="U355" i="3"/>
  <c r="J356" i="4" s="1"/>
  <c r="J362" i="2"/>
  <c r="M363" i="2"/>
  <c r="D358" i="4" l="1"/>
  <c r="F357" i="3"/>
  <c r="D358" i="3"/>
  <c r="T360" i="2"/>
  <c r="G360" i="2"/>
  <c r="D361" i="2"/>
  <c r="G358" i="4"/>
  <c r="L358" i="4" s="1"/>
  <c r="I358" i="4"/>
  <c r="M358" i="4" s="1"/>
  <c r="K358" i="4"/>
  <c r="N358" i="4" s="1"/>
  <c r="A359" i="4"/>
  <c r="C358" i="3"/>
  <c r="P358" i="3"/>
  <c r="E358" i="3"/>
  <c r="G358" i="3"/>
  <c r="S358" i="3"/>
  <c r="Y358" i="3" s="1"/>
  <c r="Z358" i="3" s="1"/>
  <c r="AA358" i="3" s="1"/>
  <c r="H358" i="3"/>
  <c r="T358" i="3"/>
  <c r="J358" i="3"/>
  <c r="V358" i="3"/>
  <c r="N358" i="3"/>
  <c r="M358" i="3"/>
  <c r="I356" i="3"/>
  <c r="F357" i="4" s="1"/>
  <c r="U356" i="3"/>
  <c r="J357" i="4" s="1"/>
  <c r="O356" i="3"/>
  <c r="H357" i="4" s="1"/>
  <c r="K366" i="2"/>
  <c r="H365" i="2"/>
  <c r="L361" i="2"/>
  <c r="I360" i="2"/>
  <c r="C358" i="4"/>
  <c r="AB357" i="3"/>
  <c r="E358" i="4" s="1"/>
  <c r="E360" i="2"/>
  <c r="F360" i="2"/>
  <c r="C361" i="2"/>
  <c r="M364" i="2"/>
  <c r="J363" i="2"/>
  <c r="D359" i="4" l="1"/>
  <c r="D362" i="2"/>
  <c r="G361" i="2"/>
  <c r="T361" i="2"/>
  <c r="K367" i="2"/>
  <c r="H366" i="2"/>
  <c r="A360" i="4"/>
  <c r="M359" i="3"/>
  <c r="N359" i="3"/>
  <c r="C359" i="3"/>
  <c r="P359" i="3"/>
  <c r="E359" i="3"/>
  <c r="G359" i="3"/>
  <c r="S359" i="3"/>
  <c r="Y359" i="3" s="1"/>
  <c r="Z359" i="3" s="1"/>
  <c r="AA359" i="3" s="1"/>
  <c r="H359" i="3"/>
  <c r="J359" i="3"/>
  <c r="T359" i="3"/>
  <c r="V359" i="3"/>
  <c r="L362" i="2"/>
  <c r="I361" i="2"/>
  <c r="F361" i="2" s="1"/>
  <c r="F358" i="3"/>
  <c r="D359" i="3"/>
  <c r="I357" i="3"/>
  <c r="F358" i="4" s="1"/>
  <c r="U357" i="3"/>
  <c r="J358" i="4" s="1"/>
  <c r="O357" i="3"/>
  <c r="H358" i="4" s="1"/>
  <c r="M365" i="2"/>
  <c r="J364" i="2"/>
  <c r="C362" i="2"/>
  <c r="E361" i="2"/>
  <c r="C359" i="4"/>
  <c r="AB358" i="3"/>
  <c r="E359" i="4" s="1"/>
  <c r="K359" i="4"/>
  <c r="N359" i="4" s="1"/>
  <c r="G359" i="4"/>
  <c r="L359" i="4" s="1"/>
  <c r="I359" i="4"/>
  <c r="M359" i="4" s="1"/>
  <c r="D360" i="4" l="1"/>
  <c r="L363" i="2"/>
  <c r="I362" i="2"/>
  <c r="C360" i="4"/>
  <c r="AB359" i="3"/>
  <c r="E360" i="4" s="1"/>
  <c r="F359" i="3"/>
  <c r="D360" i="3"/>
  <c r="I360" i="4"/>
  <c r="M360" i="4" s="1"/>
  <c r="K360" i="4"/>
  <c r="N360" i="4" s="1"/>
  <c r="G360" i="4"/>
  <c r="L360" i="4" s="1"/>
  <c r="O358" i="3"/>
  <c r="H359" i="4" s="1"/>
  <c r="I358" i="3"/>
  <c r="F359" i="4" s="1"/>
  <c r="U358" i="3"/>
  <c r="J359" i="4" s="1"/>
  <c r="E362" i="2"/>
  <c r="F362" i="2"/>
  <c r="C363" i="2"/>
  <c r="H367" i="2"/>
  <c r="K368" i="2"/>
  <c r="J365" i="2"/>
  <c r="M366" i="2"/>
  <c r="D363" i="2"/>
  <c r="T362" i="2"/>
  <c r="G362" i="2"/>
  <c r="A361" i="4"/>
  <c r="J360" i="3"/>
  <c r="V360" i="3"/>
  <c r="M360" i="3"/>
  <c r="N360" i="3"/>
  <c r="C360" i="3"/>
  <c r="P360" i="3"/>
  <c r="H360" i="3"/>
  <c r="T360" i="3"/>
  <c r="E360" i="3"/>
  <c r="G360" i="3"/>
  <c r="S360" i="3"/>
  <c r="Y360" i="3" s="1"/>
  <c r="Z360" i="3" s="1"/>
  <c r="AA360" i="3" s="1"/>
  <c r="D361" i="4" l="1"/>
  <c r="K369" i="2"/>
  <c r="H368" i="2"/>
  <c r="E363" i="2"/>
  <c r="F363" i="2"/>
  <c r="C364" i="2"/>
  <c r="F360" i="3"/>
  <c r="D361" i="3"/>
  <c r="M367" i="2"/>
  <c r="J366" i="2"/>
  <c r="C361" i="4"/>
  <c r="AB360" i="3"/>
  <c r="E361" i="4" s="1"/>
  <c r="O359" i="3"/>
  <c r="H360" i="4" s="1"/>
  <c r="I359" i="3"/>
  <c r="F360" i="4" s="1"/>
  <c r="U359" i="3"/>
  <c r="J360" i="4" s="1"/>
  <c r="A362" i="4"/>
  <c r="G361" i="3"/>
  <c r="S361" i="3"/>
  <c r="Y361" i="3" s="1"/>
  <c r="Z361" i="3" s="1"/>
  <c r="AA361" i="3" s="1"/>
  <c r="H361" i="3"/>
  <c r="T361" i="3"/>
  <c r="J361" i="3"/>
  <c r="V361" i="3"/>
  <c r="M361" i="3"/>
  <c r="C361" i="3"/>
  <c r="E361" i="3"/>
  <c r="N361" i="3"/>
  <c r="P361" i="3"/>
  <c r="G361" i="4"/>
  <c r="L361" i="4" s="1"/>
  <c r="I361" i="4"/>
  <c r="M361" i="4" s="1"/>
  <c r="K361" i="4"/>
  <c r="N361" i="4" s="1"/>
  <c r="L364" i="2"/>
  <c r="I363" i="2"/>
  <c r="T363" i="2"/>
  <c r="G363" i="2"/>
  <c r="D364" i="2"/>
  <c r="D362" i="4" l="1"/>
  <c r="C362" i="4"/>
  <c r="AB361" i="3"/>
  <c r="E362" i="4" s="1"/>
  <c r="M368" i="2"/>
  <c r="J367" i="2"/>
  <c r="F361" i="3"/>
  <c r="D362" i="3"/>
  <c r="I360" i="3"/>
  <c r="F361" i="4" s="1"/>
  <c r="U360" i="3"/>
  <c r="J361" i="4" s="1"/>
  <c r="O360" i="3"/>
  <c r="H361" i="4" s="1"/>
  <c r="C365" i="2"/>
  <c r="E364" i="2"/>
  <c r="L365" i="2"/>
  <c r="I364" i="2"/>
  <c r="F364" i="2" s="1"/>
  <c r="G362" i="4"/>
  <c r="L362" i="4" s="1"/>
  <c r="I362" i="4"/>
  <c r="M362" i="4" s="1"/>
  <c r="K362" i="4"/>
  <c r="N362" i="4" s="1"/>
  <c r="K370" i="2"/>
  <c r="H369" i="2"/>
  <c r="D365" i="2"/>
  <c r="G364" i="2"/>
  <c r="T364" i="2"/>
  <c r="A363" i="4"/>
  <c r="C362" i="3"/>
  <c r="P362" i="3"/>
  <c r="E362" i="3"/>
  <c r="G362" i="3"/>
  <c r="S362" i="3"/>
  <c r="Y362" i="3" s="1"/>
  <c r="Z362" i="3" s="1"/>
  <c r="AA362" i="3" s="1"/>
  <c r="H362" i="3"/>
  <c r="T362" i="3"/>
  <c r="J362" i="3"/>
  <c r="V362" i="3"/>
  <c r="N362" i="3"/>
  <c r="M362" i="3"/>
  <c r="D363" i="4" l="1"/>
  <c r="F362" i="3"/>
  <c r="D363" i="3"/>
  <c r="I361" i="3"/>
  <c r="F362" i="4" s="1"/>
  <c r="U361" i="3"/>
  <c r="J362" i="4" s="1"/>
  <c r="O361" i="3"/>
  <c r="H362" i="4" s="1"/>
  <c r="A364" i="4"/>
  <c r="M363" i="3"/>
  <c r="N363" i="3"/>
  <c r="C363" i="3"/>
  <c r="P363" i="3"/>
  <c r="E363" i="3"/>
  <c r="G363" i="3"/>
  <c r="S363" i="3"/>
  <c r="Y363" i="3" s="1"/>
  <c r="Z363" i="3" s="1"/>
  <c r="AA363" i="3" s="1"/>
  <c r="T363" i="3"/>
  <c r="V363" i="3"/>
  <c r="J363" i="3"/>
  <c r="H363" i="3"/>
  <c r="J368" i="2"/>
  <c r="M369" i="2"/>
  <c r="H370" i="2"/>
  <c r="K371" i="2"/>
  <c r="C363" i="4"/>
  <c r="AB362" i="3"/>
  <c r="E363" i="4" s="1"/>
  <c r="G363" i="4"/>
  <c r="L363" i="4" s="1"/>
  <c r="I363" i="4"/>
  <c r="M363" i="4" s="1"/>
  <c r="K363" i="4"/>
  <c r="N363" i="4" s="1"/>
  <c r="E365" i="2"/>
  <c r="F365" i="2"/>
  <c r="C366" i="2"/>
  <c r="L366" i="2"/>
  <c r="I365" i="2"/>
  <c r="D366" i="2"/>
  <c r="T365" i="2"/>
  <c r="G365" i="2"/>
  <c r="D364" i="4" l="1"/>
  <c r="K372" i="2"/>
  <c r="H371" i="2"/>
  <c r="M370" i="2"/>
  <c r="J369" i="2"/>
  <c r="L367" i="2"/>
  <c r="I366" i="2"/>
  <c r="E366" i="2"/>
  <c r="F366" i="2"/>
  <c r="C367" i="2"/>
  <c r="C364" i="4"/>
  <c r="AB363" i="3"/>
  <c r="E364" i="4" s="1"/>
  <c r="G364" i="4"/>
  <c r="L364" i="4" s="1"/>
  <c r="I364" i="4"/>
  <c r="M364" i="4" s="1"/>
  <c r="K364" i="4"/>
  <c r="N364" i="4" s="1"/>
  <c r="F363" i="3"/>
  <c r="D364" i="3"/>
  <c r="O362" i="3"/>
  <c r="H363" i="4" s="1"/>
  <c r="I362" i="3"/>
  <c r="F363" i="4" s="1"/>
  <c r="U362" i="3"/>
  <c r="J363" i="4" s="1"/>
  <c r="T366" i="2"/>
  <c r="G366" i="2"/>
  <c r="D367" i="2"/>
  <c r="A365" i="4"/>
  <c r="J364" i="3"/>
  <c r="V364" i="3"/>
  <c r="M364" i="3"/>
  <c r="N364" i="3"/>
  <c r="C364" i="3"/>
  <c r="P364" i="3"/>
  <c r="H364" i="3"/>
  <c r="T364" i="3"/>
  <c r="E364" i="3"/>
  <c r="G364" i="3"/>
  <c r="S364" i="3"/>
  <c r="Y364" i="3" s="1"/>
  <c r="Z364" i="3" s="1"/>
  <c r="AA364" i="3" s="1"/>
  <c r="D365" i="4" l="1"/>
  <c r="F364" i="3"/>
  <c r="D365" i="3"/>
  <c r="C368" i="2"/>
  <c r="F367" i="2"/>
  <c r="E367" i="2"/>
  <c r="O363" i="3"/>
  <c r="H364" i="4" s="1"/>
  <c r="I363" i="3"/>
  <c r="F364" i="4" s="1"/>
  <c r="U363" i="3"/>
  <c r="J364" i="4" s="1"/>
  <c r="C365" i="4"/>
  <c r="AB364" i="3"/>
  <c r="E365" i="4" s="1"/>
  <c r="L368" i="2"/>
  <c r="I367" i="2"/>
  <c r="M371" i="2"/>
  <c r="J370" i="2"/>
  <c r="A366" i="4"/>
  <c r="G365" i="3"/>
  <c r="S365" i="3"/>
  <c r="Y365" i="3" s="1"/>
  <c r="Z365" i="3" s="1"/>
  <c r="AA365" i="3" s="1"/>
  <c r="H365" i="3"/>
  <c r="T365" i="3"/>
  <c r="J365" i="3"/>
  <c r="V365" i="3"/>
  <c r="M365" i="3"/>
  <c r="C365" i="3"/>
  <c r="E365" i="3"/>
  <c r="N365" i="3"/>
  <c r="P365" i="3"/>
  <c r="K365" i="4"/>
  <c r="N365" i="4" s="1"/>
  <c r="G365" i="4"/>
  <c r="L365" i="4" s="1"/>
  <c r="I365" i="4"/>
  <c r="M365" i="4" s="1"/>
  <c r="D368" i="2"/>
  <c r="G367" i="2"/>
  <c r="T367" i="2"/>
  <c r="K373" i="2"/>
  <c r="H372" i="2"/>
  <c r="D366" i="4" l="1"/>
  <c r="C366" i="4"/>
  <c r="AB365" i="3"/>
  <c r="E366" i="4" s="1"/>
  <c r="I366" i="4"/>
  <c r="M366" i="4" s="1"/>
  <c r="K366" i="4"/>
  <c r="N366" i="4" s="1"/>
  <c r="G366" i="4"/>
  <c r="L366" i="4" s="1"/>
  <c r="E368" i="2"/>
  <c r="F368" i="2"/>
  <c r="C369" i="2"/>
  <c r="D369" i="2"/>
  <c r="T368" i="2"/>
  <c r="G368" i="2"/>
  <c r="F365" i="3"/>
  <c r="D366" i="3"/>
  <c r="H373" i="2"/>
  <c r="K374" i="2"/>
  <c r="A367" i="4"/>
  <c r="C366" i="3"/>
  <c r="P366" i="3"/>
  <c r="E366" i="3"/>
  <c r="G366" i="3"/>
  <c r="S366" i="3"/>
  <c r="Y366" i="3" s="1"/>
  <c r="Z366" i="3" s="1"/>
  <c r="AA366" i="3" s="1"/>
  <c r="H366" i="3"/>
  <c r="T366" i="3"/>
  <c r="J366" i="3"/>
  <c r="V366" i="3"/>
  <c r="N366" i="3"/>
  <c r="M366" i="3"/>
  <c r="J371" i="2"/>
  <c r="M372" i="2"/>
  <c r="I364" i="3"/>
  <c r="F365" i="4" s="1"/>
  <c r="U364" i="3"/>
  <c r="J365" i="4" s="1"/>
  <c r="O364" i="3"/>
  <c r="H365" i="4" s="1"/>
  <c r="L369" i="2"/>
  <c r="I368" i="2"/>
  <c r="D367" i="4" l="1"/>
  <c r="M373" i="2"/>
  <c r="J372" i="2"/>
  <c r="C367" i="4"/>
  <c r="AB366" i="3"/>
  <c r="E367" i="4" s="1"/>
  <c r="G367" i="4"/>
  <c r="L367" i="4" s="1"/>
  <c r="I367" i="4"/>
  <c r="M367" i="4" s="1"/>
  <c r="K367" i="4"/>
  <c r="N367" i="4" s="1"/>
  <c r="K375" i="2"/>
  <c r="H374" i="2"/>
  <c r="F366" i="3"/>
  <c r="D367" i="3"/>
  <c r="I365" i="3"/>
  <c r="F366" i="4" s="1"/>
  <c r="U365" i="3"/>
  <c r="J366" i="4" s="1"/>
  <c r="O365" i="3"/>
  <c r="H366" i="4" s="1"/>
  <c r="L370" i="2"/>
  <c r="I369" i="2"/>
  <c r="F369" i="2" s="1"/>
  <c r="T369" i="2"/>
  <c r="G369" i="2"/>
  <c r="D370" i="2"/>
  <c r="A368" i="4"/>
  <c r="M367" i="3"/>
  <c r="N367" i="3"/>
  <c r="C367" i="3"/>
  <c r="P367" i="3"/>
  <c r="E367" i="3"/>
  <c r="G367" i="3"/>
  <c r="S367" i="3"/>
  <c r="Y367" i="3" s="1"/>
  <c r="Z367" i="3" s="1"/>
  <c r="AA367" i="3" s="1"/>
  <c r="J367" i="3"/>
  <c r="T367" i="3"/>
  <c r="V367" i="3"/>
  <c r="H367" i="3"/>
  <c r="E369" i="2"/>
  <c r="C370" i="2"/>
  <c r="D368" i="4" l="1"/>
  <c r="D371" i="2"/>
  <c r="G370" i="2"/>
  <c r="T370" i="2"/>
  <c r="C371" i="2"/>
  <c r="F370" i="2"/>
  <c r="E370" i="2"/>
  <c r="F367" i="3"/>
  <c r="D368" i="3"/>
  <c r="O366" i="3"/>
  <c r="H367" i="4" s="1"/>
  <c r="I366" i="3"/>
  <c r="F367" i="4" s="1"/>
  <c r="U366" i="3"/>
  <c r="J367" i="4" s="1"/>
  <c r="M374" i="2"/>
  <c r="J373" i="2"/>
  <c r="L371" i="2"/>
  <c r="I370" i="2"/>
  <c r="C368" i="4"/>
  <c r="AB367" i="3"/>
  <c r="E368" i="4" s="1"/>
  <c r="A369" i="4"/>
  <c r="J368" i="3"/>
  <c r="V368" i="3"/>
  <c r="M368" i="3"/>
  <c r="N368" i="3"/>
  <c r="C368" i="3"/>
  <c r="P368" i="3"/>
  <c r="H368" i="3"/>
  <c r="T368" i="3"/>
  <c r="E368" i="3"/>
  <c r="G368" i="3"/>
  <c r="S368" i="3"/>
  <c r="Y368" i="3" s="1"/>
  <c r="Z368" i="3" s="1"/>
  <c r="AA368" i="3" s="1"/>
  <c r="G368" i="4"/>
  <c r="L368" i="4" s="1"/>
  <c r="I368" i="4"/>
  <c r="M368" i="4" s="1"/>
  <c r="K368" i="4"/>
  <c r="N368" i="4" s="1"/>
  <c r="K376" i="2"/>
  <c r="H375" i="2"/>
  <c r="D369" i="4" l="1"/>
  <c r="F368" i="3"/>
  <c r="D369" i="3"/>
  <c r="O367" i="3"/>
  <c r="H368" i="4" s="1"/>
  <c r="I367" i="3"/>
  <c r="F368" i="4" s="1"/>
  <c r="U367" i="3"/>
  <c r="J368" i="4" s="1"/>
  <c r="G369" i="4"/>
  <c r="L369" i="4" s="1"/>
  <c r="I369" i="4"/>
  <c r="M369" i="4" s="1"/>
  <c r="K369" i="4"/>
  <c r="N369" i="4" s="1"/>
  <c r="E371" i="2"/>
  <c r="C372" i="2"/>
  <c r="A370" i="4"/>
  <c r="G369" i="3"/>
  <c r="S369" i="3"/>
  <c r="Y369" i="3" s="1"/>
  <c r="Z369" i="3" s="1"/>
  <c r="AA369" i="3" s="1"/>
  <c r="H369" i="3"/>
  <c r="T369" i="3"/>
  <c r="J369" i="3"/>
  <c r="V369" i="3"/>
  <c r="M369" i="3"/>
  <c r="C369" i="3"/>
  <c r="E369" i="3"/>
  <c r="N369" i="3"/>
  <c r="P369" i="3"/>
  <c r="C369" i="4"/>
  <c r="AB368" i="3"/>
  <c r="E369" i="4" s="1"/>
  <c r="L372" i="2"/>
  <c r="I371" i="2"/>
  <c r="F371" i="2" s="1"/>
  <c r="H376" i="2"/>
  <c r="K377" i="2"/>
  <c r="D372" i="2"/>
  <c r="T371" i="2"/>
  <c r="G371" i="2"/>
  <c r="J374" i="2"/>
  <c r="M375" i="2"/>
  <c r="D370" i="4" l="1"/>
  <c r="T372" i="2"/>
  <c r="G372" i="2"/>
  <c r="D373" i="2"/>
  <c r="K378" i="2"/>
  <c r="H377" i="2"/>
  <c r="E372" i="2"/>
  <c r="C373" i="2"/>
  <c r="F369" i="3"/>
  <c r="D370" i="3"/>
  <c r="G370" i="4"/>
  <c r="L370" i="4" s="1"/>
  <c r="I370" i="4"/>
  <c r="M370" i="4" s="1"/>
  <c r="K370" i="4"/>
  <c r="N370" i="4" s="1"/>
  <c r="A371" i="4"/>
  <c r="C370" i="3"/>
  <c r="P370" i="3"/>
  <c r="E370" i="3"/>
  <c r="G370" i="3"/>
  <c r="S370" i="3"/>
  <c r="Y370" i="3" s="1"/>
  <c r="Z370" i="3" s="1"/>
  <c r="AA370" i="3" s="1"/>
  <c r="H370" i="3"/>
  <c r="T370" i="3"/>
  <c r="J370" i="3"/>
  <c r="V370" i="3"/>
  <c r="N370" i="3"/>
  <c r="M370" i="3"/>
  <c r="I368" i="3"/>
  <c r="F369" i="4" s="1"/>
  <c r="U368" i="3"/>
  <c r="J369" i="4" s="1"/>
  <c r="O368" i="3"/>
  <c r="H369" i="4" s="1"/>
  <c r="C370" i="4"/>
  <c r="AB369" i="3"/>
  <c r="E370" i="4" s="1"/>
  <c r="M376" i="2"/>
  <c r="J375" i="2"/>
  <c r="L373" i="2"/>
  <c r="I372" i="2"/>
  <c r="F372" i="2" s="1"/>
  <c r="D371" i="4" l="1"/>
  <c r="F370" i="3"/>
  <c r="D371" i="3"/>
  <c r="L374" i="2"/>
  <c r="I373" i="2"/>
  <c r="F373" i="2" s="1"/>
  <c r="M377" i="2"/>
  <c r="J376" i="2"/>
  <c r="A372" i="4"/>
  <c r="M371" i="3"/>
  <c r="N371" i="3"/>
  <c r="C371" i="3"/>
  <c r="P371" i="3"/>
  <c r="E371" i="3"/>
  <c r="G371" i="3"/>
  <c r="S371" i="3"/>
  <c r="Y371" i="3" s="1"/>
  <c r="Z371" i="3" s="1"/>
  <c r="AA371" i="3" s="1"/>
  <c r="H371" i="3"/>
  <c r="J371" i="3"/>
  <c r="T371" i="3"/>
  <c r="V371" i="3"/>
  <c r="I369" i="3"/>
  <c r="F370" i="4" s="1"/>
  <c r="U369" i="3"/>
  <c r="J370" i="4" s="1"/>
  <c r="O369" i="3"/>
  <c r="H370" i="4" s="1"/>
  <c r="C374" i="2"/>
  <c r="E373" i="2"/>
  <c r="C371" i="4"/>
  <c r="AB370" i="3"/>
  <c r="E371" i="4" s="1"/>
  <c r="K371" i="4"/>
  <c r="N371" i="4" s="1"/>
  <c r="G371" i="4"/>
  <c r="L371" i="4" s="1"/>
  <c r="I371" i="4"/>
  <c r="M371" i="4" s="1"/>
  <c r="K379" i="2"/>
  <c r="H378" i="2"/>
  <c r="D374" i="2"/>
  <c r="G373" i="2"/>
  <c r="T373" i="2"/>
  <c r="D372" i="4" l="1"/>
  <c r="H379" i="2"/>
  <c r="K380" i="2"/>
  <c r="C372" i="4"/>
  <c r="AB371" i="3"/>
  <c r="E372" i="4" s="1"/>
  <c r="I372" i="4"/>
  <c r="M372" i="4" s="1"/>
  <c r="K372" i="4"/>
  <c r="N372" i="4" s="1"/>
  <c r="G372" i="4"/>
  <c r="L372" i="4" s="1"/>
  <c r="J377" i="2"/>
  <c r="M378" i="2"/>
  <c r="L375" i="2"/>
  <c r="I374" i="2"/>
  <c r="F371" i="3"/>
  <c r="D372" i="3"/>
  <c r="A373" i="4"/>
  <c r="J372" i="3"/>
  <c r="V372" i="3"/>
  <c r="M372" i="3"/>
  <c r="N372" i="3"/>
  <c r="C372" i="3"/>
  <c r="P372" i="3"/>
  <c r="H372" i="3"/>
  <c r="T372" i="3"/>
  <c r="S372" i="3"/>
  <c r="Y372" i="3" s="1"/>
  <c r="Z372" i="3" s="1"/>
  <c r="AA372" i="3" s="1"/>
  <c r="E372" i="3"/>
  <c r="G372" i="3"/>
  <c r="O370" i="3"/>
  <c r="H371" i="4" s="1"/>
  <c r="I370" i="3"/>
  <c r="F371" i="4" s="1"/>
  <c r="U370" i="3"/>
  <c r="J371" i="4" s="1"/>
  <c r="D375" i="2"/>
  <c r="T374" i="2"/>
  <c r="G374" i="2"/>
  <c r="E374" i="2"/>
  <c r="F374" i="2"/>
  <c r="C375" i="2"/>
  <c r="D373" i="4" l="1"/>
  <c r="C373" i="4"/>
  <c r="AB372" i="3"/>
  <c r="E373" i="4" s="1"/>
  <c r="T375" i="2"/>
  <c r="G375" i="2"/>
  <c r="D376" i="2"/>
  <c r="F372" i="3"/>
  <c r="D373" i="3"/>
  <c r="G373" i="4"/>
  <c r="L373" i="4" s="1"/>
  <c r="I373" i="4"/>
  <c r="M373" i="4" s="1"/>
  <c r="K373" i="4"/>
  <c r="N373" i="4" s="1"/>
  <c r="A374" i="4"/>
  <c r="G373" i="3"/>
  <c r="S373" i="3"/>
  <c r="Y373" i="3" s="1"/>
  <c r="Z373" i="3" s="1"/>
  <c r="AA373" i="3" s="1"/>
  <c r="H373" i="3"/>
  <c r="T373" i="3"/>
  <c r="J373" i="3"/>
  <c r="V373" i="3"/>
  <c r="M373" i="3"/>
  <c r="C373" i="3"/>
  <c r="E373" i="3"/>
  <c r="N373" i="3"/>
  <c r="P373" i="3"/>
  <c r="O371" i="3"/>
  <c r="H372" i="4" s="1"/>
  <c r="I371" i="3"/>
  <c r="F372" i="4" s="1"/>
  <c r="U371" i="3"/>
  <c r="J372" i="4" s="1"/>
  <c r="K381" i="2"/>
  <c r="H380" i="2"/>
  <c r="L376" i="2"/>
  <c r="I375" i="2"/>
  <c r="F375" i="2" s="1"/>
  <c r="E375" i="2"/>
  <c r="C376" i="2"/>
  <c r="M379" i="2"/>
  <c r="J378" i="2"/>
  <c r="D374" i="4" l="1"/>
  <c r="C374" i="4"/>
  <c r="AB373" i="3"/>
  <c r="E374" i="4" s="1"/>
  <c r="F373" i="3"/>
  <c r="D374" i="3"/>
  <c r="K382" i="2"/>
  <c r="H381" i="2"/>
  <c r="I372" i="3"/>
  <c r="F373" i="4" s="1"/>
  <c r="U372" i="3"/>
  <c r="J373" i="4" s="1"/>
  <c r="O372" i="3"/>
  <c r="H373" i="4" s="1"/>
  <c r="D377" i="2"/>
  <c r="G376" i="2"/>
  <c r="T376" i="2"/>
  <c r="G374" i="4"/>
  <c r="L374" i="4" s="1"/>
  <c r="I374" i="4"/>
  <c r="M374" i="4" s="1"/>
  <c r="K374" i="4"/>
  <c r="N374" i="4" s="1"/>
  <c r="C377" i="2"/>
  <c r="E376" i="2"/>
  <c r="F376" i="2"/>
  <c r="A375" i="4"/>
  <c r="C374" i="3"/>
  <c r="P374" i="3"/>
  <c r="E374" i="3"/>
  <c r="G374" i="3"/>
  <c r="S374" i="3"/>
  <c r="Y374" i="3" s="1"/>
  <c r="Z374" i="3" s="1"/>
  <c r="AA374" i="3" s="1"/>
  <c r="H374" i="3"/>
  <c r="T374" i="3"/>
  <c r="J374" i="3"/>
  <c r="V374" i="3"/>
  <c r="N374" i="3"/>
  <c r="M374" i="3"/>
  <c r="L377" i="2"/>
  <c r="I376" i="2"/>
  <c r="M380" i="2"/>
  <c r="J379" i="2"/>
  <c r="D375" i="4" l="1"/>
  <c r="C375" i="4"/>
  <c r="AB374" i="3"/>
  <c r="E375" i="4" s="1"/>
  <c r="G375" i="4"/>
  <c r="L375" i="4" s="1"/>
  <c r="I375" i="4"/>
  <c r="M375" i="4" s="1"/>
  <c r="K375" i="4"/>
  <c r="N375" i="4" s="1"/>
  <c r="D378" i="2"/>
  <c r="T377" i="2"/>
  <c r="G377" i="2"/>
  <c r="E377" i="2"/>
  <c r="C378" i="2"/>
  <c r="H382" i="2"/>
  <c r="K383" i="2"/>
  <c r="F374" i="3"/>
  <c r="D375" i="3"/>
  <c r="I373" i="3"/>
  <c r="F374" i="4" s="1"/>
  <c r="U373" i="3"/>
  <c r="J374" i="4" s="1"/>
  <c r="O373" i="3"/>
  <c r="H374" i="4" s="1"/>
  <c r="A376" i="4"/>
  <c r="M375" i="3"/>
  <c r="N375" i="3"/>
  <c r="C375" i="3"/>
  <c r="P375" i="3"/>
  <c r="E375" i="3"/>
  <c r="G375" i="3"/>
  <c r="S375" i="3"/>
  <c r="Y375" i="3" s="1"/>
  <c r="Z375" i="3" s="1"/>
  <c r="AA375" i="3" s="1"/>
  <c r="H375" i="3"/>
  <c r="J375" i="3"/>
  <c r="T375" i="3"/>
  <c r="V375" i="3"/>
  <c r="J380" i="2"/>
  <c r="M381" i="2"/>
  <c r="L378" i="2"/>
  <c r="I377" i="2"/>
  <c r="F377" i="2" s="1"/>
  <c r="D376" i="4" l="1"/>
  <c r="G376" i="4"/>
  <c r="L376" i="4" s="1"/>
  <c r="I376" i="4"/>
  <c r="M376" i="4" s="1"/>
  <c r="K376" i="4"/>
  <c r="N376" i="4" s="1"/>
  <c r="T378" i="2"/>
  <c r="G378" i="2"/>
  <c r="D379" i="2"/>
  <c r="O374" i="3"/>
  <c r="H375" i="4" s="1"/>
  <c r="I374" i="3"/>
  <c r="F375" i="4" s="1"/>
  <c r="U374" i="3"/>
  <c r="J375" i="4" s="1"/>
  <c r="F375" i="3"/>
  <c r="D376" i="3"/>
  <c r="E378" i="2"/>
  <c r="C379" i="2"/>
  <c r="A377" i="4"/>
  <c r="J376" i="3"/>
  <c r="V376" i="3"/>
  <c r="M376" i="3"/>
  <c r="N376" i="3"/>
  <c r="C376" i="3"/>
  <c r="P376" i="3"/>
  <c r="H376" i="3"/>
  <c r="T376" i="3"/>
  <c r="E376" i="3"/>
  <c r="G376" i="3"/>
  <c r="S376" i="3"/>
  <c r="Y376" i="3" s="1"/>
  <c r="Z376" i="3" s="1"/>
  <c r="AA376" i="3" s="1"/>
  <c r="L379" i="2"/>
  <c r="I378" i="2"/>
  <c r="F378" i="2" s="1"/>
  <c r="K384" i="2"/>
  <c r="H383" i="2"/>
  <c r="M382" i="2"/>
  <c r="J381" i="2"/>
  <c r="C376" i="4"/>
  <c r="AB375" i="3"/>
  <c r="E376" i="4" s="1"/>
  <c r="D377" i="4" l="1"/>
  <c r="K385" i="2"/>
  <c r="H384" i="2"/>
  <c r="C377" i="4"/>
  <c r="AB376" i="3"/>
  <c r="E377" i="4" s="1"/>
  <c r="D380" i="2"/>
  <c r="G379" i="2"/>
  <c r="T379" i="2"/>
  <c r="L380" i="2"/>
  <c r="I379" i="2"/>
  <c r="A378" i="4"/>
  <c r="G377" i="3"/>
  <c r="S377" i="3"/>
  <c r="Y377" i="3" s="1"/>
  <c r="Z377" i="3" s="1"/>
  <c r="AA377" i="3" s="1"/>
  <c r="H377" i="3"/>
  <c r="T377" i="3"/>
  <c r="J377" i="3"/>
  <c r="V377" i="3"/>
  <c r="M377" i="3"/>
  <c r="C377" i="3"/>
  <c r="E377" i="3"/>
  <c r="N377" i="3"/>
  <c r="P377" i="3"/>
  <c r="K377" i="4"/>
  <c r="N377" i="4" s="1"/>
  <c r="G377" i="4"/>
  <c r="L377" i="4" s="1"/>
  <c r="I377" i="4"/>
  <c r="M377" i="4" s="1"/>
  <c r="C380" i="2"/>
  <c r="E379" i="2"/>
  <c r="F379" i="2"/>
  <c r="F376" i="3"/>
  <c r="D377" i="3"/>
  <c r="O375" i="3"/>
  <c r="H376" i="4" s="1"/>
  <c r="I375" i="3"/>
  <c r="F376" i="4" s="1"/>
  <c r="U375" i="3"/>
  <c r="J376" i="4" s="1"/>
  <c r="M383" i="2"/>
  <c r="J382" i="2"/>
  <c r="D378" i="4" l="1"/>
  <c r="I378" i="4"/>
  <c r="M378" i="4" s="1"/>
  <c r="K378" i="4"/>
  <c r="N378" i="4" s="1"/>
  <c r="G378" i="4"/>
  <c r="L378" i="4" s="1"/>
  <c r="F377" i="3"/>
  <c r="D378" i="3"/>
  <c r="I376" i="3"/>
  <c r="F377" i="4" s="1"/>
  <c r="U376" i="3"/>
  <c r="J377" i="4" s="1"/>
  <c r="O376" i="3"/>
  <c r="H377" i="4" s="1"/>
  <c r="A379" i="4"/>
  <c r="C378" i="3"/>
  <c r="P378" i="3"/>
  <c r="E378" i="3"/>
  <c r="G378" i="3"/>
  <c r="S378" i="3"/>
  <c r="Y378" i="3" s="1"/>
  <c r="Z378" i="3" s="1"/>
  <c r="AA378" i="3" s="1"/>
  <c r="H378" i="3"/>
  <c r="T378" i="3"/>
  <c r="J378" i="3"/>
  <c r="V378" i="3"/>
  <c r="N378" i="3"/>
  <c r="M378" i="3"/>
  <c r="L381" i="2"/>
  <c r="I380" i="2"/>
  <c r="M384" i="2"/>
  <c r="J383" i="2"/>
  <c r="E380" i="2"/>
  <c r="F380" i="2"/>
  <c r="C381" i="2"/>
  <c r="C378" i="4"/>
  <c r="AB377" i="3"/>
  <c r="E378" i="4" s="1"/>
  <c r="D381" i="2"/>
  <c r="T380" i="2"/>
  <c r="G380" i="2"/>
  <c r="H385" i="2"/>
  <c r="K386" i="2"/>
  <c r="D379" i="4" l="1"/>
  <c r="F378" i="3"/>
  <c r="D379" i="3"/>
  <c r="E381" i="2"/>
  <c r="C382" i="2"/>
  <c r="I377" i="3"/>
  <c r="F378" i="4" s="1"/>
  <c r="U377" i="3"/>
  <c r="J378" i="4" s="1"/>
  <c r="O377" i="3"/>
  <c r="H378" i="4" s="1"/>
  <c r="A380" i="4"/>
  <c r="M379" i="3"/>
  <c r="N379" i="3"/>
  <c r="C379" i="3"/>
  <c r="P379" i="3"/>
  <c r="E379" i="3"/>
  <c r="G379" i="3"/>
  <c r="S379" i="3"/>
  <c r="Y379" i="3" s="1"/>
  <c r="Z379" i="3" s="1"/>
  <c r="AA379" i="3" s="1"/>
  <c r="T379" i="3"/>
  <c r="V379" i="3"/>
  <c r="J379" i="3"/>
  <c r="H379" i="3"/>
  <c r="M385" i="2"/>
  <c r="J384" i="2"/>
  <c r="T381" i="2"/>
  <c r="G381" i="2"/>
  <c r="D382" i="2"/>
  <c r="L382" i="2"/>
  <c r="I381" i="2"/>
  <c r="F381" i="2" s="1"/>
  <c r="K387" i="2"/>
  <c r="H386" i="2"/>
  <c r="C379" i="4"/>
  <c r="AB378" i="3"/>
  <c r="E379" i="4" s="1"/>
  <c r="G379" i="4"/>
  <c r="L379" i="4" s="1"/>
  <c r="I379" i="4"/>
  <c r="M379" i="4" s="1"/>
  <c r="K379" i="4"/>
  <c r="N379" i="4" s="1"/>
  <c r="D380" i="4" l="1"/>
  <c r="M386" i="2"/>
  <c r="J385" i="2"/>
  <c r="C380" i="4"/>
  <c r="AB379" i="3"/>
  <c r="E380" i="4" s="1"/>
  <c r="G380" i="4"/>
  <c r="L380" i="4" s="1"/>
  <c r="I380" i="4"/>
  <c r="M380" i="4" s="1"/>
  <c r="K380" i="4"/>
  <c r="N380" i="4" s="1"/>
  <c r="C383" i="2"/>
  <c r="E382" i="2"/>
  <c r="K388" i="2"/>
  <c r="H387" i="2"/>
  <c r="L383" i="2"/>
  <c r="I382" i="2"/>
  <c r="F382" i="2" s="1"/>
  <c r="A381" i="4"/>
  <c r="J380" i="3"/>
  <c r="V380" i="3"/>
  <c r="M380" i="3"/>
  <c r="N380" i="3"/>
  <c r="C380" i="3"/>
  <c r="P380" i="3"/>
  <c r="H380" i="3"/>
  <c r="T380" i="3"/>
  <c r="E380" i="3"/>
  <c r="G380" i="3"/>
  <c r="S380" i="3"/>
  <c r="Y380" i="3" s="1"/>
  <c r="Z380" i="3" s="1"/>
  <c r="AA380" i="3" s="1"/>
  <c r="D383" i="2"/>
  <c r="G382" i="2"/>
  <c r="T382" i="2"/>
  <c r="F379" i="3"/>
  <c r="D380" i="3"/>
  <c r="O378" i="3"/>
  <c r="H379" i="4" s="1"/>
  <c r="I378" i="3"/>
  <c r="F379" i="4" s="1"/>
  <c r="U378" i="3"/>
  <c r="J379" i="4" s="1"/>
  <c r="D381" i="4" l="1"/>
  <c r="O379" i="3"/>
  <c r="H380" i="4" s="1"/>
  <c r="I379" i="3"/>
  <c r="F380" i="4" s="1"/>
  <c r="U379" i="3"/>
  <c r="J380" i="4" s="1"/>
  <c r="L384" i="2"/>
  <c r="I383" i="2"/>
  <c r="H388" i="2"/>
  <c r="K389" i="2"/>
  <c r="J386" i="2"/>
  <c r="M387" i="2"/>
  <c r="A382" i="4"/>
  <c r="G381" i="3"/>
  <c r="S381" i="3"/>
  <c r="Y381" i="3" s="1"/>
  <c r="Z381" i="3" s="1"/>
  <c r="AA381" i="3" s="1"/>
  <c r="H381" i="3"/>
  <c r="T381" i="3"/>
  <c r="J381" i="3"/>
  <c r="V381" i="3"/>
  <c r="M381" i="3"/>
  <c r="C381" i="3"/>
  <c r="E381" i="3"/>
  <c r="N381" i="3"/>
  <c r="P381" i="3"/>
  <c r="C381" i="4"/>
  <c r="AB380" i="3"/>
  <c r="E381" i="4" s="1"/>
  <c r="D384" i="2"/>
  <c r="T383" i="2"/>
  <c r="G383" i="2"/>
  <c r="G381" i="4"/>
  <c r="L381" i="4" s="1"/>
  <c r="I381" i="4"/>
  <c r="M381" i="4" s="1"/>
  <c r="K381" i="4"/>
  <c r="N381" i="4" s="1"/>
  <c r="F380" i="3"/>
  <c r="D381" i="3"/>
  <c r="E383" i="2"/>
  <c r="F383" i="2"/>
  <c r="C384" i="2"/>
  <c r="D382" i="4" l="1"/>
  <c r="I380" i="3"/>
  <c r="F381" i="4" s="1"/>
  <c r="U380" i="3"/>
  <c r="J381" i="4" s="1"/>
  <c r="O380" i="3"/>
  <c r="H381" i="4" s="1"/>
  <c r="G382" i="4"/>
  <c r="L382" i="4" s="1"/>
  <c r="I382" i="4"/>
  <c r="M382" i="4" s="1"/>
  <c r="K382" i="4"/>
  <c r="N382" i="4" s="1"/>
  <c r="M388" i="2"/>
  <c r="J387" i="2"/>
  <c r="A383" i="4"/>
  <c r="C382" i="3"/>
  <c r="P382" i="3"/>
  <c r="E382" i="3"/>
  <c r="G382" i="3"/>
  <c r="S382" i="3"/>
  <c r="Y382" i="3" s="1"/>
  <c r="Z382" i="3" s="1"/>
  <c r="AA382" i="3" s="1"/>
  <c r="H382" i="3"/>
  <c r="T382" i="3"/>
  <c r="J382" i="3"/>
  <c r="V382" i="3"/>
  <c r="N382" i="3"/>
  <c r="M382" i="3"/>
  <c r="K390" i="2"/>
  <c r="H389" i="2"/>
  <c r="C382" i="4"/>
  <c r="AB381" i="3"/>
  <c r="E382" i="4" s="1"/>
  <c r="L385" i="2"/>
  <c r="I384" i="2"/>
  <c r="E384" i="2"/>
  <c r="F384" i="2"/>
  <c r="C385" i="2"/>
  <c r="T384" i="2"/>
  <c r="G384" i="2"/>
  <c r="D385" i="2"/>
  <c r="F381" i="3"/>
  <c r="D382" i="3"/>
  <c r="D383" i="4" l="1"/>
  <c r="M389" i="2"/>
  <c r="J388" i="2"/>
  <c r="A384" i="4"/>
  <c r="M383" i="3"/>
  <c r="N383" i="3"/>
  <c r="C383" i="3"/>
  <c r="P383" i="3"/>
  <c r="E383" i="3"/>
  <c r="G383" i="3"/>
  <c r="S383" i="3"/>
  <c r="Y383" i="3" s="1"/>
  <c r="Z383" i="3" s="1"/>
  <c r="AA383" i="3" s="1"/>
  <c r="J383" i="3"/>
  <c r="T383" i="3"/>
  <c r="V383" i="3"/>
  <c r="H383" i="3"/>
  <c r="K391" i="2"/>
  <c r="H390" i="2"/>
  <c r="F382" i="3"/>
  <c r="D383" i="3"/>
  <c r="D386" i="2"/>
  <c r="G385" i="2"/>
  <c r="T385" i="2"/>
  <c r="C383" i="4"/>
  <c r="AB382" i="3"/>
  <c r="E383" i="4" s="1"/>
  <c r="K383" i="4"/>
  <c r="N383" i="4" s="1"/>
  <c r="G383" i="4"/>
  <c r="L383" i="4" s="1"/>
  <c r="I383" i="4"/>
  <c r="M383" i="4" s="1"/>
  <c r="C386" i="2"/>
  <c r="E385" i="2"/>
  <c r="L386" i="2"/>
  <c r="I385" i="2"/>
  <c r="F385" i="2" s="1"/>
  <c r="I381" i="3"/>
  <c r="F382" i="4" s="1"/>
  <c r="U381" i="3"/>
  <c r="J382" i="4" s="1"/>
  <c r="O381" i="3"/>
  <c r="H382" i="4" s="1"/>
  <c r="D384" i="4" l="1"/>
  <c r="L387" i="2"/>
  <c r="I386" i="2"/>
  <c r="A385" i="4"/>
  <c r="J384" i="3"/>
  <c r="V384" i="3"/>
  <c r="M384" i="3"/>
  <c r="N384" i="3"/>
  <c r="C384" i="3"/>
  <c r="P384" i="3"/>
  <c r="H384" i="3"/>
  <c r="T384" i="3"/>
  <c r="E384" i="3"/>
  <c r="G384" i="3"/>
  <c r="S384" i="3"/>
  <c r="Y384" i="3" s="1"/>
  <c r="Z384" i="3" s="1"/>
  <c r="AA384" i="3" s="1"/>
  <c r="D387" i="2"/>
  <c r="T386" i="2"/>
  <c r="G386" i="2"/>
  <c r="E386" i="2"/>
  <c r="F386" i="2"/>
  <c r="C387" i="2"/>
  <c r="F383" i="3"/>
  <c r="D384" i="3"/>
  <c r="O382" i="3"/>
  <c r="H383" i="4" s="1"/>
  <c r="I382" i="3"/>
  <c r="F383" i="4" s="1"/>
  <c r="U382" i="3"/>
  <c r="J383" i="4" s="1"/>
  <c r="H391" i="2"/>
  <c r="K392" i="2"/>
  <c r="C384" i="4"/>
  <c r="AB383" i="3"/>
  <c r="E384" i="4" s="1"/>
  <c r="I384" i="4"/>
  <c r="M384" i="4" s="1"/>
  <c r="G384" i="4"/>
  <c r="L384" i="4" s="1"/>
  <c r="K384" i="4"/>
  <c r="N384" i="4" s="1"/>
  <c r="J389" i="2"/>
  <c r="M390" i="2"/>
  <c r="D385" i="4" l="1"/>
  <c r="O383" i="3"/>
  <c r="H384" i="4" s="1"/>
  <c r="I383" i="3"/>
  <c r="F384" i="4" s="1"/>
  <c r="U383" i="3"/>
  <c r="J384" i="4" s="1"/>
  <c r="E387" i="2"/>
  <c r="F387" i="2"/>
  <c r="C388" i="2"/>
  <c r="C385" i="4"/>
  <c r="AB384" i="3"/>
  <c r="E385" i="4" s="1"/>
  <c r="K393" i="2"/>
  <c r="H392" i="2"/>
  <c r="T387" i="2"/>
  <c r="G387" i="2"/>
  <c r="D388" i="2"/>
  <c r="G385" i="4"/>
  <c r="L385" i="4" s="1"/>
  <c r="K385" i="4"/>
  <c r="N385" i="4" s="1"/>
  <c r="I385" i="4"/>
  <c r="M385" i="4" s="1"/>
  <c r="M391" i="2"/>
  <c r="J390" i="2"/>
  <c r="L388" i="2"/>
  <c r="I387" i="2"/>
  <c r="A386" i="4"/>
  <c r="G385" i="3"/>
  <c r="S385" i="3"/>
  <c r="Y385" i="3" s="1"/>
  <c r="Z385" i="3" s="1"/>
  <c r="AA385" i="3" s="1"/>
  <c r="H385" i="3"/>
  <c r="T385" i="3"/>
  <c r="J385" i="3"/>
  <c r="V385" i="3"/>
  <c r="M385" i="3"/>
  <c r="C385" i="3"/>
  <c r="E385" i="3"/>
  <c r="N385" i="3"/>
  <c r="P385" i="3"/>
  <c r="F384" i="3"/>
  <c r="D385" i="3"/>
  <c r="D386" i="4" l="1"/>
  <c r="A387" i="4"/>
  <c r="C386" i="3"/>
  <c r="P386" i="3"/>
  <c r="E386" i="3"/>
  <c r="G386" i="3"/>
  <c r="S386" i="3"/>
  <c r="Y386" i="3" s="1"/>
  <c r="Z386" i="3" s="1"/>
  <c r="AA386" i="3" s="1"/>
  <c r="H386" i="3"/>
  <c r="T386" i="3"/>
  <c r="J386" i="3"/>
  <c r="V386" i="3"/>
  <c r="N386" i="3"/>
  <c r="M386" i="3"/>
  <c r="L389" i="2"/>
  <c r="I388" i="2"/>
  <c r="F388" i="2" s="1"/>
  <c r="K394" i="2"/>
  <c r="H393" i="2"/>
  <c r="F385" i="3"/>
  <c r="D386" i="3"/>
  <c r="M392" i="2"/>
  <c r="J391" i="2"/>
  <c r="C386" i="4"/>
  <c r="AB385" i="3"/>
  <c r="E386" i="4" s="1"/>
  <c r="C389" i="2"/>
  <c r="E388" i="2"/>
  <c r="D389" i="2"/>
  <c r="G388" i="2"/>
  <c r="T388" i="2"/>
  <c r="G386" i="4"/>
  <c r="L386" i="4" s="1"/>
  <c r="I386" i="4"/>
  <c r="M386" i="4" s="1"/>
  <c r="K386" i="4"/>
  <c r="N386" i="4" s="1"/>
  <c r="I384" i="3"/>
  <c r="F385" i="4" s="1"/>
  <c r="U384" i="3"/>
  <c r="J385" i="4" s="1"/>
  <c r="O384" i="3"/>
  <c r="H385" i="4" s="1"/>
  <c r="D387" i="4" l="1"/>
  <c r="J392" i="2"/>
  <c r="M393" i="2"/>
  <c r="F386" i="3"/>
  <c r="D387" i="3"/>
  <c r="I385" i="3"/>
  <c r="F386" i="4" s="1"/>
  <c r="U385" i="3"/>
  <c r="J386" i="4" s="1"/>
  <c r="O385" i="3"/>
  <c r="H386" i="4" s="1"/>
  <c r="A388" i="4"/>
  <c r="M387" i="3"/>
  <c r="N387" i="3"/>
  <c r="C387" i="3"/>
  <c r="P387" i="3"/>
  <c r="E387" i="3"/>
  <c r="G387" i="3"/>
  <c r="S387" i="3"/>
  <c r="Y387" i="3" s="1"/>
  <c r="Z387" i="3" s="1"/>
  <c r="AA387" i="3" s="1"/>
  <c r="H387" i="3"/>
  <c r="J387" i="3"/>
  <c r="T387" i="3"/>
  <c r="V387" i="3"/>
  <c r="H394" i="2"/>
  <c r="K395" i="2"/>
  <c r="D390" i="2"/>
  <c r="T389" i="2"/>
  <c r="G389" i="2"/>
  <c r="L390" i="2"/>
  <c r="I389" i="2"/>
  <c r="F389" i="2" s="1"/>
  <c r="C387" i="4"/>
  <c r="AB386" i="3"/>
  <c r="E387" i="4" s="1"/>
  <c r="I387" i="4"/>
  <c r="M387" i="4" s="1"/>
  <c r="K387" i="4"/>
  <c r="N387" i="4" s="1"/>
  <c r="G387" i="4"/>
  <c r="L387" i="4" s="1"/>
  <c r="E389" i="2"/>
  <c r="C390" i="2"/>
  <c r="D388" i="4" l="1"/>
  <c r="K396" i="2"/>
  <c r="H395" i="2"/>
  <c r="C388" i="4"/>
  <c r="AB387" i="3"/>
  <c r="E388" i="4" s="1"/>
  <c r="G388" i="4"/>
  <c r="L388" i="4" s="1"/>
  <c r="I388" i="4"/>
  <c r="M388" i="4" s="1"/>
  <c r="K388" i="4"/>
  <c r="N388" i="4" s="1"/>
  <c r="F387" i="3"/>
  <c r="D388" i="3"/>
  <c r="O386" i="3"/>
  <c r="H387" i="4" s="1"/>
  <c r="I386" i="3"/>
  <c r="F387" i="4" s="1"/>
  <c r="U386" i="3"/>
  <c r="J387" i="4" s="1"/>
  <c r="E390" i="2"/>
  <c r="C391" i="2"/>
  <c r="L391" i="2"/>
  <c r="I390" i="2"/>
  <c r="F390" i="2" s="1"/>
  <c r="A389" i="4"/>
  <c r="J388" i="3"/>
  <c r="V388" i="3"/>
  <c r="M388" i="3"/>
  <c r="N388" i="3"/>
  <c r="C388" i="3"/>
  <c r="P388" i="3"/>
  <c r="H388" i="3"/>
  <c r="T388" i="3"/>
  <c r="G388" i="3"/>
  <c r="S388" i="3"/>
  <c r="Y388" i="3" s="1"/>
  <c r="Z388" i="3" s="1"/>
  <c r="AA388" i="3" s="1"/>
  <c r="E388" i="3"/>
  <c r="M394" i="2"/>
  <c r="J393" i="2"/>
  <c r="T390" i="2"/>
  <c r="G390" i="2"/>
  <c r="D391" i="2"/>
  <c r="D389" i="4" l="1"/>
  <c r="M395" i="2"/>
  <c r="J394" i="2"/>
  <c r="K389" i="4"/>
  <c r="N389" i="4" s="1"/>
  <c r="G389" i="4"/>
  <c r="L389" i="4" s="1"/>
  <c r="I389" i="4"/>
  <c r="M389" i="4" s="1"/>
  <c r="A390" i="4"/>
  <c r="G389" i="3"/>
  <c r="S389" i="3"/>
  <c r="Y389" i="3" s="1"/>
  <c r="Z389" i="3" s="1"/>
  <c r="AA389" i="3" s="1"/>
  <c r="H389" i="3"/>
  <c r="T389" i="3"/>
  <c r="J389" i="3"/>
  <c r="V389" i="3"/>
  <c r="M389" i="3"/>
  <c r="C389" i="3"/>
  <c r="E389" i="3"/>
  <c r="P389" i="3"/>
  <c r="N389" i="3"/>
  <c r="L392" i="2"/>
  <c r="I391" i="2"/>
  <c r="C392" i="2"/>
  <c r="F391" i="2"/>
  <c r="E391" i="2"/>
  <c r="D392" i="2"/>
  <c r="G391" i="2"/>
  <c r="T391" i="2"/>
  <c r="K397" i="2"/>
  <c r="H396" i="2"/>
  <c r="C389" i="4"/>
  <c r="AB388" i="3"/>
  <c r="E389" i="4" s="1"/>
  <c r="F388" i="3"/>
  <c r="D389" i="3"/>
  <c r="I387" i="3"/>
  <c r="F388" i="4" s="1"/>
  <c r="U387" i="3"/>
  <c r="J388" i="4" s="1"/>
  <c r="O387" i="3"/>
  <c r="H388" i="4" s="1"/>
  <c r="D390" i="4" l="1"/>
  <c r="I388" i="3"/>
  <c r="F389" i="4" s="1"/>
  <c r="U388" i="3"/>
  <c r="J389" i="4" s="1"/>
  <c r="O388" i="3"/>
  <c r="H389" i="4" s="1"/>
  <c r="L393" i="2"/>
  <c r="I392" i="2"/>
  <c r="I390" i="4"/>
  <c r="M390" i="4" s="1"/>
  <c r="G390" i="4"/>
  <c r="L390" i="4" s="1"/>
  <c r="K390" i="4"/>
  <c r="N390" i="4" s="1"/>
  <c r="A391" i="4"/>
  <c r="C390" i="3"/>
  <c r="P390" i="3"/>
  <c r="E390" i="3"/>
  <c r="G390" i="3"/>
  <c r="S390" i="3"/>
  <c r="Y390" i="3" s="1"/>
  <c r="Z390" i="3" s="1"/>
  <c r="AA390" i="3" s="1"/>
  <c r="H390" i="3"/>
  <c r="T390" i="3"/>
  <c r="J390" i="3"/>
  <c r="V390" i="3"/>
  <c r="N390" i="3"/>
  <c r="M390" i="3"/>
  <c r="H397" i="2"/>
  <c r="K398" i="2"/>
  <c r="C390" i="4"/>
  <c r="AB389" i="3"/>
  <c r="E390" i="4" s="1"/>
  <c r="M396" i="2"/>
  <c r="J395" i="2"/>
  <c r="E392" i="2"/>
  <c r="F392" i="2"/>
  <c r="C393" i="2"/>
  <c r="D393" i="2"/>
  <c r="T392" i="2"/>
  <c r="G392" i="2"/>
  <c r="F389" i="3"/>
  <c r="D390" i="3"/>
  <c r="D391" i="4" l="1"/>
  <c r="E393" i="2"/>
  <c r="C394" i="2"/>
  <c r="M397" i="2"/>
  <c r="J396" i="2"/>
  <c r="A392" i="4"/>
  <c r="M391" i="3"/>
  <c r="N391" i="3"/>
  <c r="P391" i="3"/>
  <c r="E391" i="3"/>
  <c r="G391" i="3"/>
  <c r="S391" i="3"/>
  <c r="Y391" i="3" s="1"/>
  <c r="Z391" i="3" s="1"/>
  <c r="AA391" i="3" s="1"/>
  <c r="C391" i="3"/>
  <c r="H391" i="3"/>
  <c r="J391" i="3"/>
  <c r="T391" i="3"/>
  <c r="V391" i="3"/>
  <c r="L394" i="2"/>
  <c r="I393" i="2"/>
  <c r="F393" i="2" s="1"/>
  <c r="T393" i="2"/>
  <c r="G393" i="2"/>
  <c r="D394" i="2"/>
  <c r="O389" i="3"/>
  <c r="H390" i="4" s="1"/>
  <c r="U389" i="3"/>
  <c r="J390" i="4" s="1"/>
  <c r="I389" i="3"/>
  <c r="F390" i="4" s="1"/>
  <c r="D391" i="3"/>
  <c r="F390" i="3"/>
  <c r="K399" i="2"/>
  <c r="H398" i="2"/>
  <c r="C391" i="4"/>
  <c r="AB390" i="3"/>
  <c r="E391" i="4" s="1"/>
  <c r="G391" i="4"/>
  <c r="L391" i="4" s="1"/>
  <c r="I391" i="4"/>
  <c r="M391" i="4" s="1"/>
  <c r="K391" i="4"/>
  <c r="N391" i="4" s="1"/>
  <c r="D392" i="4" l="1"/>
  <c r="L395" i="2"/>
  <c r="I394" i="2"/>
  <c r="C392" i="4"/>
  <c r="AB391" i="3"/>
  <c r="E392" i="4" s="1"/>
  <c r="G392" i="4"/>
  <c r="L392" i="4" s="1"/>
  <c r="I392" i="4"/>
  <c r="M392" i="4" s="1"/>
  <c r="K392" i="4"/>
  <c r="N392" i="4" s="1"/>
  <c r="K400" i="2"/>
  <c r="H399" i="2"/>
  <c r="O390" i="3"/>
  <c r="H391" i="4" s="1"/>
  <c r="I390" i="3"/>
  <c r="F391" i="4" s="1"/>
  <c r="U390" i="3"/>
  <c r="J391" i="4" s="1"/>
  <c r="M398" i="2"/>
  <c r="J397" i="2"/>
  <c r="F391" i="3"/>
  <c r="D392" i="3"/>
  <c r="C395" i="2"/>
  <c r="E394" i="2"/>
  <c r="F394" i="2"/>
  <c r="D395" i="2"/>
  <c r="G394" i="2"/>
  <c r="T394" i="2"/>
  <c r="A393" i="4"/>
  <c r="J392" i="3"/>
  <c r="V392" i="3"/>
  <c r="M392" i="3"/>
  <c r="N392" i="3"/>
  <c r="C392" i="3"/>
  <c r="P392" i="3"/>
  <c r="H392" i="3"/>
  <c r="T392" i="3"/>
  <c r="G392" i="3"/>
  <c r="S392" i="3"/>
  <c r="Y392" i="3" s="1"/>
  <c r="Z392" i="3" s="1"/>
  <c r="AA392" i="3" s="1"/>
  <c r="E392" i="3"/>
  <c r="D393" i="4" l="1"/>
  <c r="E395" i="2"/>
  <c r="C396" i="2"/>
  <c r="F392" i="3"/>
  <c r="D393" i="3"/>
  <c r="I391" i="3"/>
  <c r="F392" i="4" s="1"/>
  <c r="U391" i="3"/>
  <c r="J392" i="4" s="1"/>
  <c r="O391" i="3"/>
  <c r="H392" i="4" s="1"/>
  <c r="C393" i="4"/>
  <c r="AB392" i="3"/>
  <c r="E393" i="4" s="1"/>
  <c r="J398" i="2"/>
  <c r="M399" i="2"/>
  <c r="L396" i="2"/>
  <c r="I395" i="2"/>
  <c r="F395" i="2" s="1"/>
  <c r="G393" i="4"/>
  <c r="L393" i="4" s="1"/>
  <c r="I393" i="4"/>
  <c r="M393" i="4" s="1"/>
  <c r="K393" i="4"/>
  <c r="N393" i="4" s="1"/>
  <c r="A394" i="4"/>
  <c r="G393" i="3"/>
  <c r="S393" i="3"/>
  <c r="Y393" i="3" s="1"/>
  <c r="Z393" i="3" s="1"/>
  <c r="AA393" i="3" s="1"/>
  <c r="H393" i="3"/>
  <c r="T393" i="3"/>
  <c r="J393" i="3"/>
  <c r="V393" i="3"/>
  <c r="M393" i="3"/>
  <c r="C393" i="3"/>
  <c r="E393" i="3"/>
  <c r="P393" i="3"/>
  <c r="N393" i="3"/>
  <c r="D396" i="2"/>
  <c r="T395" i="2"/>
  <c r="G395" i="2"/>
  <c r="H400" i="2"/>
  <c r="K401" i="2"/>
  <c r="D394" i="4" l="1"/>
  <c r="T396" i="2"/>
  <c r="G396" i="2"/>
  <c r="D397" i="2"/>
  <c r="K394" i="4"/>
  <c r="N394" i="4" s="1"/>
  <c r="G394" i="4"/>
  <c r="L394" i="4" s="1"/>
  <c r="I394" i="4"/>
  <c r="M394" i="4" s="1"/>
  <c r="F393" i="3"/>
  <c r="D394" i="3"/>
  <c r="A395" i="4"/>
  <c r="C394" i="3"/>
  <c r="P394" i="3"/>
  <c r="E394" i="3"/>
  <c r="G394" i="3"/>
  <c r="S394" i="3"/>
  <c r="Y394" i="3" s="1"/>
  <c r="Z394" i="3" s="1"/>
  <c r="AA394" i="3" s="1"/>
  <c r="H394" i="3"/>
  <c r="T394" i="3"/>
  <c r="J394" i="3"/>
  <c r="V394" i="3"/>
  <c r="N394" i="3"/>
  <c r="M394" i="3"/>
  <c r="I392" i="3"/>
  <c r="F393" i="4" s="1"/>
  <c r="U392" i="3"/>
  <c r="J393" i="4" s="1"/>
  <c r="O392" i="3"/>
  <c r="H393" i="4" s="1"/>
  <c r="E396" i="2"/>
  <c r="F396" i="2"/>
  <c r="C397" i="2"/>
  <c r="C394" i="4"/>
  <c r="AB393" i="3"/>
  <c r="E394" i="4" s="1"/>
  <c r="K402" i="2"/>
  <c r="H401" i="2"/>
  <c r="L397" i="2"/>
  <c r="I396" i="2"/>
  <c r="M400" i="2"/>
  <c r="J399" i="2"/>
  <c r="D395" i="4" l="1"/>
  <c r="O393" i="3"/>
  <c r="H394" i="4" s="1"/>
  <c r="U393" i="3"/>
  <c r="J394" i="4" s="1"/>
  <c r="I393" i="3"/>
  <c r="F394" i="4" s="1"/>
  <c r="D398" i="2"/>
  <c r="G397" i="2"/>
  <c r="T397" i="2"/>
  <c r="K403" i="2"/>
  <c r="H402" i="2"/>
  <c r="M401" i="2"/>
  <c r="J400" i="2"/>
  <c r="C398" i="2"/>
  <c r="E397" i="2"/>
  <c r="F397" i="2"/>
  <c r="A396" i="4"/>
  <c r="M395" i="3"/>
  <c r="N395" i="3"/>
  <c r="P395" i="3"/>
  <c r="E395" i="3"/>
  <c r="G395" i="3"/>
  <c r="S395" i="3"/>
  <c r="Y395" i="3" s="1"/>
  <c r="Z395" i="3" s="1"/>
  <c r="AA395" i="3" s="1"/>
  <c r="C395" i="3"/>
  <c r="H395" i="3"/>
  <c r="J395" i="3"/>
  <c r="T395" i="3"/>
  <c r="V395" i="3"/>
  <c r="C395" i="4"/>
  <c r="AB394" i="3"/>
  <c r="E395" i="4" s="1"/>
  <c r="G395" i="4"/>
  <c r="L395" i="4" s="1"/>
  <c r="I395" i="4"/>
  <c r="M395" i="4" s="1"/>
  <c r="K395" i="4"/>
  <c r="N395" i="4" s="1"/>
  <c r="L398" i="2"/>
  <c r="I397" i="2"/>
  <c r="D395" i="3"/>
  <c r="F394" i="3"/>
  <c r="D396" i="4" l="1"/>
  <c r="M402" i="2"/>
  <c r="J401" i="2"/>
  <c r="A397" i="4"/>
  <c r="J396" i="3"/>
  <c r="V396" i="3"/>
  <c r="M396" i="3"/>
  <c r="N396" i="3"/>
  <c r="C396" i="3"/>
  <c r="P396" i="3"/>
  <c r="H396" i="3"/>
  <c r="T396" i="3"/>
  <c r="G396" i="3"/>
  <c r="S396" i="3"/>
  <c r="Y396" i="3" s="1"/>
  <c r="Z396" i="3" s="1"/>
  <c r="AA396" i="3" s="1"/>
  <c r="E396" i="3"/>
  <c r="H403" i="2"/>
  <c r="K404" i="2"/>
  <c r="D399" i="2"/>
  <c r="T398" i="2"/>
  <c r="G398" i="2"/>
  <c r="C396" i="4"/>
  <c r="AB395" i="3"/>
  <c r="E396" i="4" s="1"/>
  <c r="G396" i="4"/>
  <c r="L396" i="4" s="1"/>
  <c r="I396" i="4"/>
  <c r="M396" i="4" s="1"/>
  <c r="K396" i="4"/>
  <c r="N396" i="4" s="1"/>
  <c r="O394" i="3"/>
  <c r="H395" i="4" s="1"/>
  <c r="I394" i="3"/>
  <c r="F395" i="4" s="1"/>
  <c r="U394" i="3"/>
  <c r="J395" i="4" s="1"/>
  <c r="F395" i="3"/>
  <c r="D396" i="3"/>
  <c r="L399" i="2"/>
  <c r="I398" i="2"/>
  <c r="E398" i="2"/>
  <c r="F398" i="2"/>
  <c r="C399" i="2"/>
  <c r="D397" i="4" l="1"/>
  <c r="L400" i="2"/>
  <c r="I399" i="2"/>
  <c r="F396" i="3"/>
  <c r="D397" i="3"/>
  <c r="I395" i="3"/>
  <c r="F396" i="4" s="1"/>
  <c r="U395" i="3"/>
  <c r="J396" i="4" s="1"/>
  <c r="O395" i="3"/>
  <c r="H396" i="4" s="1"/>
  <c r="T399" i="2"/>
  <c r="G399" i="2"/>
  <c r="D400" i="2"/>
  <c r="C397" i="4"/>
  <c r="AB396" i="3"/>
  <c r="E397" i="4" s="1"/>
  <c r="K405" i="2"/>
  <c r="H404" i="2"/>
  <c r="G397" i="4"/>
  <c r="L397" i="4" s="1"/>
  <c r="I397" i="4"/>
  <c r="M397" i="4" s="1"/>
  <c r="K397" i="4"/>
  <c r="N397" i="4" s="1"/>
  <c r="E399" i="2"/>
  <c r="F399" i="2"/>
  <c r="C400" i="2"/>
  <c r="A398" i="4"/>
  <c r="G397" i="3"/>
  <c r="S397" i="3"/>
  <c r="Y397" i="3" s="1"/>
  <c r="Z397" i="3" s="1"/>
  <c r="AA397" i="3" s="1"/>
  <c r="H397" i="3"/>
  <c r="T397" i="3"/>
  <c r="J397" i="3"/>
  <c r="V397" i="3"/>
  <c r="M397" i="3"/>
  <c r="C397" i="3"/>
  <c r="E397" i="3"/>
  <c r="P397" i="3"/>
  <c r="N397" i="3"/>
  <c r="M403" i="2"/>
  <c r="J402" i="2"/>
  <c r="D398" i="4" l="1"/>
  <c r="A399" i="4"/>
  <c r="C398" i="3"/>
  <c r="P398" i="3"/>
  <c r="E398" i="3"/>
  <c r="G398" i="3"/>
  <c r="S398" i="3"/>
  <c r="Y398" i="3" s="1"/>
  <c r="Z398" i="3" s="1"/>
  <c r="AA398" i="3" s="1"/>
  <c r="H398" i="3"/>
  <c r="T398" i="3"/>
  <c r="J398" i="3"/>
  <c r="V398" i="3"/>
  <c r="N398" i="3"/>
  <c r="M398" i="3"/>
  <c r="G400" i="2"/>
  <c r="T400" i="2"/>
  <c r="D401" i="2"/>
  <c r="F397" i="3"/>
  <c r="D398" i="3"/>
  <c r="I396" i="3"/>
  <c r="F397" i="4" s="1"/>
  <c r="U396" i="3"/>
  <c r="J397" i="4" s="1"/>
  <c r="O396" i="3"/>
  <c r="H397" i="4" s="1"/>
  <c r="C398" i="4"/>
  <c r="AB397" i="3"/>
  <c r="E398" i="4" s="1"/>
  <c r="M404" i="2"/>
  <c r="J403" i="2"/>
  <c r="K406" i="2"/>
  <c r="H405" i="2"/>
  <c r="L401" i="2"/>
  <c r="I400" i="2"/>
  <c r="F400" i="2" s="1"/>
  <c r="G398" i="4"/>
  <c r="L398" i="4" s="1"/>
  <c r="I398" i="4"/>
  <c r="M398" i="4" s="1"/>
  <c r="K398" i="4"/>
  <c r="N398" i="4" s="1"/>
  <c r="C401" i="2"/>
  <c r="E400" i="2"/>
  <c r="D399" i="4" l="1"/>
  <c r="O397" i="3"/>
  <c r="H398" i="4" s="1"/>
  <c r="U397" i="3"/>
  <c r="J398" i="4" s="1"/>
  <c r="I397" i="3"/>
  <c r="F398" i="4" s="1"/>
  <c r="A400" i="4"/>
  <c r="M399" i="3"/>
  <c r="N399" i="3"/>
  <c r="P399" i="3"/>
  <c r="E399" i="3"/>
  <c r="G399" i="3"/>
  <c r="S399" i="3"/>
  <c r="Y399" i="3" s="1"/>
  <c r="Z399" i="3" s="1"/>
  <c r="AA399" i="3" s="1"/>
  <c r="C399" i="3"/>
  <c r="H399" i="3"/>
  <c r="J399" i="3"/>
  <c r="T399" i="3"/>
  <c r="V399" i="3"/>
  <c r="L402" i="2"/>
  <c r="I401" i="2"/>
  <c r="F401" i="2" s="1"/>
  <c r="D402" i="2"/>
  <c r="T401" i="2"/>
  <c r="G401" i="2"/>
  <c r="D399" i="3"/>
  <c r="F398" i="3"/>
  <c r="H406" i="2"/>
  <c r="K407" i="2"/>
  <c r="C399" i="4"/>
  <c r="AB398" i="3"/>
  <c r="E399" i="4" s="1"/>
  <c r="G399" i="4"/>
  <c r="L399" i="4" s="1"/>
  <c r="I399" i="4"/>
  <c r="M399" i="4" s="1"/>
  <c r="K399" i="4"/>
  <c r="N399" i="4" s="1"/>
  <c r="E401" i="2"/>
  <c r="C402" i="2"/>
  <c r="M405" i="2"/>
  <c r="J404" i="2"/>
  <c r="D400" i="4" l="1"/>
  <c r="F399" i="3"/>
  <c r="D400" i="3"/>
  <c r="A401" i="4"/>
  <c r="J400" i="3"/>
  <c r="V400" i="3"/>
  <c r="M400" i="3"/>
  <c r="N400" i="3"/>
  <c r="C400" i="3"/>
  <c r="P400" i="3"/>
  <c r="H400" i="3"/>
  <c r="T400" i="3"/>
  <c r="G400" i="3"/>
  <c r="S400" i="3"/>
  <c r="Y400" i="3" s="1"/>
  <c r="Z400" i="3" s="1"/>
  <c r="AA400" i="3" s="1"/>
  <c r="E400" i="3"/>
  <c r="T402" i="2"/>
  <c r="G402" i="2"/>
  <c r="D403" i="2"/>
  <c r="I402" i="2"/>
  <c r="L403" i="2"/>
  <c r="C400" i="4"/>
  <c r="AB399" i="3"/>
  <c r="E400" i="4" s="1"/>
  <c r="K400" i="4"/>
  <c r="N400" i="4" s="1"/>
  <c r="G400" i="4"/>
  <c r="L400" i="4" s="1"/>
  <c r="I400" i="4"/>
  <c r="M400" i="4" s="1"/>
  <c r="M406" i="2"/>
  <c r="J405" i="2"/>
  <c r="K408" i="2"/>
  <c r="H407" i="2"/>
  <c r="E402" i="2"/>
  <c r="F402" i="2"/>
  <c r="C403" i="2"/>
  <c r="O398" i="3"/>
  <c r="H399" i="4" s="1"/>
  <c r="I398" i="3"/>
  <c r="F399" i="4" s="1"/>
  <c r="U398" i="3"/>
  <c r="J399" i="4" s="1"/>
  <c r="D401" i="4" l="1"/>
  <c r="C404" i="2"/>
  <c r="E403" i="2"/>
  <c r="L404" i="2"/>
  <c r="I403" i="2"/>
  <c r="F403" i="2" s="1"/>
  <c r="K409" i="2"/>
  <c r="H408" i="2"/>
  <c r="G403" i="2"/>
  <c r="D404" i="2"/>
  <c r="T403" i="2"/>
  <c r="C401" i="4"/>
  <c r="AB400" i="3"/>
  <c r="E401" i="4" s="1"/>
  <c r="M407" i="2"/>
  <c r="J406" i="2"/>
  <c r="I401" i="4"/>
  <c r="M401" i="4" s="1"/>
  <c r="K401" i="4"/>
  <c r="N401" i="4" s="1"/>
  <c r="G401" i="4"/>
  <c r="L401" i="4" s="1"/>
  <c r="A402" i="4"/>
  <c r="G401" i="3"/>
  <c r="S401" i="3"/>
  <c r="Y401" i="3" s="1"/>
  <c r="Z401" i="3" s="1"/>
  <c r="AA401" i="3" s="1"/>
  <c r="H401" i="3"/>
  <c r="T401" i="3"/>
  <c r="J401" i="3"/>
  <c r="V401" i="3"/>
  <c r="C401" i="3"/>
  <c r="E401" i="3"/>
  <c r="N401" i="3"/>
  <c r="P401" i="3"/>
  <c r="M401" i="3"/>
  <c r="F400" i="3"/>
  <c r="D401" i="3"/>
  <c r="I399" i="3"/>
  <c r="F400" i="4" s="1"/>
  <c r="U399" i="3"/>
  <c r="J400" i="4" s="1"/>
  <c r="O399" i="3"/>
  <c r="H400" i="4" s="1"/>
  <c r="D402" i="4" l="1"/>
  <c r="I400" i="3"/>
  <c r="F401" i="4" s="1"/>
  <c r="U400" i="3"/>
  <c r="J401" i="4" s="1"/>
  <c r="O400" i="3"/>
  <c r="H401" i="4" s="1"/>
  <c r="C402" i="4"/>
  <c r="AB401" i="3"/>
  <c r="E402" i="4" s="1"/>
  <c r="G402" i="4"/>
  <c r="L402" i="4" s="1"/>
  <c r="I402" i="4"/>
  <c r="M402" i="4" s="1"/>
  <c r="K402" i="4"/>
  <c r="N402" i="4" s="1"/>
  <c r="D405" i="2"/>
  <c r="T404" i="2"/>
  <c r="G404" i="2"/>
  <c r="H409" i="2"/>
  <c r="K410" i="2"/>
  <c r="L405" i="2"/>
  <c r="I404" i="2"/>
  <c r="J407" i="2"/>
  <c r="M408" i="2"/>
  <c r="E404" i="2"/>
  <c r="F404" i="2"/>
  <c r="C405" i="2"/>
  <c r="A403" i="4"/>
  <c r="C402" i="3"/>
  <c r="P402" i="3"/>
  <c r="E402" i="3"/>
  <c r="G402" i="3"/>
  <c r="S402" i="3"/>
  <c r="Y402" i="3" s="1"/>
  <c r="Z402" i="3" s="1"/>
  <c r="AA402" i="3" s="1"/>
  <c r="H402" i="3"/>
  <c r="T402" i="3"/>
  <c r="N402" i="3"/>
  <c r="M402" i="3"/>
  <c r="V402" i="3"/>
  <c r="J402" i="3"/>
  <c r="F401" i="3"/>
  <c r="D402" i="3"/>
  <c r="D403" i="4" l="1"/>
  <c r="M409" i="2"/>
  <c r="J408" i="2"/>
  <c r="C403" i="4"/>
  <c r="AB402" i="3"/>
  <c r="E403" i="4" s="1"/>
  <c r="I405" i="2"/>
  <c r="L406" i="2"/>
  <c r="A404" i="4"/>
  <c r="M403" i="3"/>
  <c r="N403" i="3"/>
  <c r="P403" i="3"/>
  <c r="E403" i="3"/>
  <c r="J403" i="3"/>
  <c r="S403" i="3"/>
  <c r="Y403" i="3" s="1"/>
  <c r="Z403" i="3" s="1"/>
  <c r="AA403" i="3" s="1"/>
  <c r="T403" i="3"/>
  <c r="C403" i="3"/>
  <c r="G403" i="3"/>
  <c r="H403" i="3"/>
  <c r="V403" i="3"/>
  <c r="K411" i="2"/>
  <c r="H410" i="2"/>
  <c r="O401" i="3"/>
  <c r="H402" i="4" s="1"/>
  <c r="U401" i="3"/>
  <c r="J402" i="4" s="1"/>
  <c r="I401" i="3"/>
  <c r="F402" i="4" s="1"/>
  <c r="D403" i="3"/>
  <c r="F402" i="3"/>
  <c r="G403" i="4"/>
  <c r="L403" i="4" s="1"/>
  <c r="I403" i="4"/>
  <c r="M403" i="4" s="1"/>
  <c r="K403" i="4"/>
  <c r="N403" i="4" s="1"/>
  <c r="T405" i="2"/>
  <c r="G405" i="2"/>
  <c r="D406" i="2"/>
  <c r="E405" i="2"/>
  <c r="F405" i="2"/>
  <c r="C406" i="2"/>
  <c r="D404" i="4" l="1"/>
  <c r="K412" i="2"/>
  <c r="H411" i="2"/>
  <c r="C404" i="4"/>
  <c r="AB403" i="3"/>
  <c r="E404" i="4" s="1"/>
  <c r="G404" i="4"/>
  <c r="L404" i="4" s="1"/>
  <c r="I404" i="4"/>
  <c r="M404" i="4" s="1"/>
  <c r="K404" i="4"/>
  <c r="N404" i="4" s="1"/>
  <c r="L407" i="2"/>
  <c r="I406" i="2"/>
  <c r="C407" i="2"/>
  <c r="E406" i="2"/>
  <c r="F406" i="2"/>
  <c r="O402" i="3"/>
  <c r="H403" i="4" s="1"/>
  <c r="I402" i="3"/>
  <c r="F403" i="4" s="1"/>
  <c r="U402" i="3"/>
  <c r="J403" i="4" s="1"/>
  <c r="F403" i="3"/>
  <c r="D404" i="3"/>
  <c r="M410" i="2"/>
  <c r="J409" i="2"/>
  <c r="A405" i="4"/>
  <c r="J404" i="3"/>
  <c r="V404" i="3"/>
  <c r="N404" i="3"/>
  <c r="C404" i="3"/>
  <c r="H404" i="3"/>
  <c r="E404" i="3"/>
  <c r="G404" i="3"/>
  <c r="M404" i="3"/>
  <c r="P404" i="3"/>
  <c r="S404" i="3"/>
  <c r="Y404" i="3" s="1"/>
  <c r="Z404" i="3" s="1"/>
  <c r="AA404" i="3" s="1"/>
  <c r="T404" i="3"/>
  <c r="G406" i="2"/>
  <c r="T406" i="2"/>
  <c r="D407" i="2"/>
  <c r="D405" i="4" l="1"/>
  <c r="J410" i="2"/>
  <c r="M411" i="2"/>
  <c r="C405" i="4"/>
  <c r="AB404" i="3"/>
  <c r="E405" i="4" s="1"/>
  <c r="I403" i="3"/>
  <c r="F404" i="4" s="1"/>
  <c r="O403" i="3"/>
  <c r="H404" i="4" s="1"/>
  <c r="U403" i="3"/>
  <c r="J404" i="4" s="1"/>
  <c r="F404" i="3"/>
  <c r="D405" i="3"/>
  <c r="D408" i="2"/>
  <c r="T407" i="2"/>
  <c r="G407" i="2"/>
  <c r="A406" i="4"/>
  <c r="G405" i="3"/>
  <c r="S405" i="3"/>
  <c r="Y405" i="3" s="1"/>
  <c r="Z405" i="3" s="1"/>
  <c r="AA405" i="3" s="1"/>
  <c r="M405" i="3"/>
  <c r="N405" i="3"/>
  <c r="P405" i="3"/>
  <c r="C405" i="3"/>
  <c r="T405" i="3"/>
  <c r="E405" i="3"/>
  <c r="V405" i="3"/>
  <c r="J405" i="3"/>
  <c r="H405" i="3"/>
  <c r="E407" i="2"/>
  <c r="F407" i="2"/>
  <c r="C408" i="2"/>
  <c r="H412" i="2"/>
  <c r="K413" i="2"/>
  <c r="G405" i="4"/>
  <c r="L405" i="4" s="1"/>
  <c r="I405" i="4"/>
  <c r="M405" i="4" s="1"/>
  <c r="K405" i="4"/>
  <c r="N405" i="4" s="1"/>
  <c r="L408" i="2"/>
  <c r="I407" i="2"/>
  <c r="D406" i="4" l="1"/>
  <c r="T408" i="2"/>
  <c r="G408" i="2"/>
  <c r="D409" i="2"/>
  <c r="F405" i="3"/>
  <c r="D406" i="3"/>
  <c r="I404" i="3"/>
  <c r="F405" i="4" s="1"/>
  <c r="U404" i="3"/>
  <c r="J405" i="4" s="1"/>
  <c r="O404" i="3"/>
  <c r="H405" i="4" s="1"/>
  <c r="K414" i="2"/>
  <c r="H413" i="2"/>
  <c r="A407" i="4"/>
  <c r="C406" i="3"/>
  <c r="P406" i="3"/>
  <c r="N406" i="3"/>
  <c r="E406" i="3"/>
  <c r="S406" i="3"/>
  <c r="Y406" i="3" s="1"/>
  <c r="Z406" i="3" s="1"/>
  <c r="AA406" i="3" s="1"/>
  <c r="T406" i="3"/>
  <c r="G406" i="3"/>
  <c r="H406" i="3"/>
  <c r="V406" i="3"/>
  <c r="M406" i="3"/>
  <c r="J406" i="3"/>
  <c r="E408" i="2"/>
  <c r="C409" i="2"/>
  <c r="C406" i="4"/>
  <c r="AB405" i="3"/>
  <c r="E406" i="4" s="1"/>
  <c r="M412" i="2"/>
  <c r="J411" i="2"/>
  <c r="I408" i="2"/>
  <c r="F408" i="2" s="1"/>
  <c r="L409" i="2"/>
  <c r="K406" i="4"/>
  <c r="N406" i="4" s="1"/>
  <c r="G406" i="4"/>
  <c r="L406" i="4" s="1"/>
  <c r="I406" i="4"/>
  <c r="M406" i="4" s="1"/>
  <c r="D407" i="4" l="1"/>
  <c r="A408" i="4"/>
  <c r="C407" i="3"/>
  <c r="P407" i="3"/>
  <c r="E407" i="3"/>
  <c r="S407" i="3"/>
  <c r="Y407" i="3" s="1"/>
  <c r="Z407" i="3" s="1"/>
  <c r="AA407" i="3" s="1"/>
  <c r="G407" i="3"/>
  <c r="T407" i="3"/>
  <c r="H407" i="3"/>
  <c r="V407" i="3"/>
  <c r="J407" i="3"/>
  <c r="M407" i="3"/>
  <c r="N407" i="3"/>
  <c r="C407" i="4"/>
  <c r="AB406" i="3"/>
  <c r="E407" i="4" s="1"/>
  <c r="K415" i="2"/>
  <c r="H414" i="2"/>
  <c r="L410" i="2"/>
  <c r="I409" i="2"/>
  <c r="F409" i="2" s="1"/>
  <c r="D407" i="3"/>
  <c r="F406" i="3"/>
  <c r="O405" i="3"/>
  <c r="H406" i="4" s="1"/>
  <c r="U405" i="3"/>
  <c r="J406" i="4" s="1"/>
  <c r="I405" i="3"/>
  <c r="F406" i="4" s="1"/>
  <c r="M413" i="2"/>
  <c r="J412" i="2"/>
  <c r="G409" i="2"/>
  <c r="T409" i="2"/>
  <c r="D410" i="2"/>
  <c r="C410" i="2"/>
  <c r="E409" i="2"/>
  <c r="I407" i="4"/>
  <c r="M407" i="4" s="1"/>
  <c r="K407" i="4"/>
  <c r="N407" i="4" s="1"/>
  <c r="G407" i="4"/>
  <c r="L407" i="4" s="1"/>
  <c r="D408" i="4" l="1"/>
  <c r="F407" i="3"/>
  <c r="D408" i="3"/>
  <c r="E410" i="2"/>
  <c r="C411" i="2"/>
  <c r="L411" i="2"/>
  <c r="I410" i="2"/>
  <c r="F410" i="2" s="1"/>
  <c r="D411" i="2"/>
  <c r="T410" i="2"/>
  <c r="G410" i="2"/>
  <c r="O406" i="3"/>
  <c r="H407" i="4" s="1"/>
  <c r="U406" i="3"/>
  <c r="J407" i="4" s="1"/>
  <c r="I406" i="3"/>
  <c r="F407" i="4" s="1"/>
  <c r="H415" i="2"/>
  <c r="K416" i="2"/>
  <c r="A409" i="4"/>
  <c r="M408" i="3"/>
  <c r="N408" i="3"/>
  <c r="C408" i="3"/>
  <c r="P408" i="3"/>
  <c r="E408" i="3"/>
  <c r="G408" i="3"/>
  <c r="S408" i="3"/>
  <c r="Y408" i="3" s="1"/>
  <c r="Z408" i="3" s="1"/>
  <c r="AA408" i="3" s="1"/>
  <c r="H408" i="3"/>
  <c r="T408" i="3"/>
  <c r="J408" i="3"/>
  <c r="V408" i="3"/>
  <c r="M414" i="2"/>
  <c r="J413" i="2"/>
  <c r="G408" i="4"/>
  <c r="L408" i="4" s="1"/>
  <c r="I408" i="4"/>
  <c r="M408" i="4" s="1"/>
  <c r="K408" i="4"/>
  <c r="N408" i="4" s="1"/>
  <c r="C408" i="4"/>
  <c r="AB407" i="3"/>
  <c r="E408" i="4" s="1"/>
  <c r="D409" i="4" l="1"/>
  <c r="A410" i="4"/>
  <c r="J409" i="3"/>
  <c r="V409" i="3"/>
  <c r="M409" i="3"/>
  <c r="N409" i="3"/>
  <c r="C409" i="3"/>
  <c r="P409" i="3"/>
  <c r="E409" i="3"/>
  <c r="G409" i="3"/>
  <c r="S409" i="3"/>
  <c r="Y409" i="3" s="1"/>
  <c r="Z409" i="3" s="1"/>
  <c r="AA409" i="3" s="1"/>
  <c r="H409" i="3"/>
  <c r="T409" i="3"/>
  <c r="T411" i="2"/>
  <c r="G411" i="2"/>
  <c r="D412" i="2"/>
  <c r="I411" i="2"/>
  <c r="F411" i="2" s="1"/>
  <c r="L412" i="2"/>
  <c r="C409" i="4"/>
  <c r="AB408" i="3"/>
  <c r="E409" i="4" s="1"/>
  <c r="E411" i="2"/>
  <c r="C412" i="2"/>
  <c r="G409" i="4"/>
  <c r="L409" i="4" s="1"/>
  <c r="I409" i="4"/>
  <c r="M409" i="4" s="1"/>
  <c r="K409" i="4"/>
  <c r="N409" i="4" s="1"/>
  <c r="M415" i="2"/>
  <c r="J414" i="2"/>
  <c r="K417" i="2"/>
  <c r="H416" i="2"/>
  <c r="F408" i="3"/>
  <c r="D409" i="3"/>
  <c r="U407" i="3"/>
  <c r="J408" i="4" s="1"/>
  <c r="I407" i="3"/>
  <c r="F408" i="4" s="1"/>
  <c r="O407" i="3"/>
  <c r="H408" i="4" s="1"/>
  <c r="D410" i="4" l="1"/>
  <c r="O408" i="3"/>
  <c r="H409" i="4" s="1"/>
  <c r="I408" i="3"/>
  <c r="F409" i="4" s="1"/>
  <c r="U408" i="3"/>
  <c r="J409" i="4" s="1"/>
  <c r="A411" i="4"/>
  <c r="G410" i="3"/>
  <c r="S410" i="3"/>
  <c r="Y410" i="3" s="1"/>
  <c r="Z410" i="3" s="1"/>
  <c r="AA410" i="3" s="1"/>
  <c r="H410" i="3"/>
  <c r="T410" i="3"/>
  <c r="J410" i="3"/>
  <c r="V410" i="3"/>
  <c r="M410" i="3"/>
  <c r="N410" i="3"/>
  <c r="P410" i="3"/>
  <c r="E410" i="3"/>
  <c r="C410" i="3"/>
  <c r="K418" i="2"/>
  <c r="H417" i="2"/>
  <c r="M416" i="2"/>
  <c r="J415" i="2"/>
  <c r="L413" i="2"/>
  <c r="I412" i="2"/>
  <c r="F412" i="2" s="1"/>
  <c r="G412" i="2"/>
  <c r="T412" i="2"/>
  <c r="D413" i="2"/>
  <c r="C410" i="4"/>
  <c r="AB409" i="3"/>
  <c r="E410" i="4" s="1"/>
  <c r="G410" i="4"/>
  <c r="L410" i="4" s="1"/>
  <c r="I410" i="4"/>
  <c r="M410" i="4" s="1"/>
  <c r="K410" i="4"/>
  <c r="N410" i="4" s="1"/>
  <c r="D410" i="3"/>
  <c r="F409" i="3"/>
  <c r="C413" i="2"/>
  <c r="E412" i="2"/>
  <c r="D411" i="4" l="1"/>
  <c r="D411" i="3"/>
  <c r="F410" i="3"/>
  <c r="L414" i="2"/>
  <c r="I413" i="2"/>
  <c r="J416" i="2"/>
  <c r="M417" i="2"/>
  <c r="H418" i="2"/>
  <c r="K419" i="2"/>
  <c r="G411" i="4"/>
  <c r="L411" i="4" s="1"/>
  <c r="I411" i="4"/>
  <c r="M411" i="4" s="1"/>
  <c r="K411" i="4"/>
  <c r="N411" i="4" s="1"/>
  <c r="A412" i="4"/>
  <c r="P411" i="3"/>
  <c r="E411" i="3"/>
  <c r="G411" i="3"/>
  <c r="S411" i="3"/>
  <c r="Y411" i="3" s="1"/>
  <c r="Z411" i="3" s="1"/>
  <c r="AA411" i="3" s="1"/>
  <c r="H411" i="3"/>
  <c r="T411" i="3"/>
  <c r="J411" i="3"/>
  <c r="V411" i="3"/>
  <c r="M411" i="3"/>
  <c r="N411" i="3"/>
  <c r="C411" i="3"/>
  <c r="D414" i="2"/>
  <c r="T413" i="2"/>
  <c r="G413" i="2"/>
  <c r="E413" i="2"/>
  <c r="F413" i="2"/>
  <c r="C414" i="2"/>
  <c r="O409" i="3"/>
  <c r="H410" i="4" s="1"/>
  <c r="I409" i="3"/>
  <c r="F410" i="4" s="1"/>
  <c r="U409" i="3"/>
  <c r="J410" i="4" s="1"/>
  <c r="C411" i="4"/>
  <c r="AB410" i="3"/>
  <c r="E411" i="4" s="1"/>
  <c r="D412" i="4" l="1"/>
  <c r="K420" i="2"/>
  <c r="H419" i="2"/>
  <c r="A413" i="4"/>
  <c r="M412" i="3"/>
  <c r="N412" i="3"/>
  <c r="C412" i="3"/>
  <c r="P412" i="3"/>
  <c r="E412" i="3"/>
  <c r="G412" i="3"/>
  <c r="S412" i="3"/>
  <c r="Y412" i="3" s="1"/>
  <c r="Z412" i="3" s="1"/>
  <c r="AA412" i="3" s="1"/>
  <c r="H412" i="3"/>
  <c r="T412" i="3"/>
  <c r="J412" i="3"/>
  <c r="V412" i="3"/>
  <c r="M418" i="2"/>
  <c r="J417" i="2"/>
  <c r="E414" i="2"/>
  <c r="F414" i="2"/>
  <c r="C415" i="2"/>
  <c r="T414" i="2"/>
  <c r="G414" i="2"/>
  <c r="D415" i="2"/>
  <c r="K412" i="4"/>
  <c r="N412" i="4" s="1"/>
  <c r="G412" i="4"/>
  <c r="L412" i="4" s="1"/>
  <c r="I412" i="4"/>
  <c r="M412" i="4" s="1"/>
  <c r="I414" i="2"/>
  <c r="L415" i="2"/>
  <c r="I410" i="3"/>
  <c r="F411" i="4" s="1"/>
  <c r="U410" i="3"/>
  <c r="J411" i="4" s="1"/>
  <c r="O410" i="3"/>
  <c r="H411" i="4" s="1"/>
  <c r="C412" i="4"/>
  <c r="AB411" i="3"/>
  <c r="E412" i="4" s="1"/>
  <c r="F411" i="3"/>
  <c r="D412" i="3"/>
  <c r="D413" i="4" l="1"/>
  <c r="F412" i="3"/>
  <c r="D413" i="3"/>
  <c r="A414" i="4"/>
  <c r="J413" i="3"/>
  <c r="V413" i="3"/>
  <c r="M413" i="3"/>
  <c r="N413" i="3"/>
  <c r="C413" i="3"/>
  <c r="P413" i="3"/>
  <c r="E413" i="3"/>
  <c r="G413" i="3"/>
  <c r="S413" i="3"/>
  <c r="Y413" i="3" s="1"/>
  <c r="Z413" i="3" s="1"/>
  <c r="AA413" i="3" s="1"/>
  <c r="H413" i="3"/>
  <c r="T413" i="3"/>
  <c r="C416" i="2"/>
  <c r="E415" i="2"/>
  <c r="F415" i="2"/>
  <c r="L416" i="2"/>
  <c r="I415" i="2"/>
  <c r="M419" i="2"/>
  <c r="J418" i="2"/>
  <c r="C413" i="4"/>
  <c r="AB412" i="3"/>
  <c r="E413" i="4" s="1"/>
  <c r="I413" i="4"/>
  <c r="M413" i="4" s="1"/>
  <c r="K413" i="4"/>
  <c r="N413" i="4" s="1"/>
  <c r="G413" i="4"/>
  <c r="L413" i="4" s="1"/>
  <c r="K421" i="2"/>
  <c r="H420" i="2"/>
  <c r="I411" i="3"/>
  <c r="F412" i="4" s="1"/>
  <c r="U411" i="3"/>
  <c r="J412" i="4" s="1"/>
  <c r="O411" i="3"/>
  <c r="H412" i="4" s="1"/>
  <c r="G415" i="2"/>
  <c r="T415" i="2"/>
  <c r="D416" i="2"/>
  <c r="D414" i="4" l="1"/>
  <c r="J419" i="2"/>
  <c r="M420" i="2"/>
  <c r="H421" i="2"/>
  <c r="K422" i="2"/>
  <c r="L417" i="2"/>
  <c r="I416" i="2"/>
  <c r="C414" i="4"/>
  <c r="AB413" i="3"/>
  <c r="E414" i="4" s="1"/>
  <c r="E416" i="2"/>
  <c r="F416" i="2"/>
  <c r="C417" i="2"/>
  <c r="G414" i="4"/>
  <c r="L414" i="4" s="1"/>
  <c r="I414" i="4"/>
  <c r="M414" i="4" s="1"/>
  <c r="K414" i="4"/>
  <c r="N414" i="4" s="1"/>
  <c r="D414" i="3"/>
  <c r="F413" i="3"/>
  <c r="O412" i="3"/>
  <c r="H413" i="4" s="1"/>
  <c r="I412" i="3"/>
  <c r="F413" i="4" s="1"/>
  <c r="U412" i="3"/>
  <c r="J413" i="4" s="1"/>
  <c r="D417" i="2"/>
  <c r="T416" i="2"/>
  <c r="G416" i="2"/>
  <c r="A415" i="4"/>
  <c r="G414" i="3"/>
  <c r="S414" i="3"/>
  <c r="Y414" i="3" s="1"/>
  <c r="Z414" i="3" s="1"/>
  <c r="AA414" i="3" s="1"/>
  <c r="H414" i="3"/>
  <c r="T414" i="3"/>
  <c r="J414" i="3"/>
  <c r="V414" i="3"/>
  <c r="M414" i="3"/>
  <c r="N414" i="3"/>
  <c r="P414" i="3"/>
  <c r="E414" i="3"/>
  <c r="C414" i="3"/>
  <c r="D415" i="4" l="1"/>
  <c r="O413" i="3"/>
  <c r="H414" i="4" s="1"/>
  <c r="I413" i="3"/>
  <c r="F414" i="4" s="1"/>
  <c r="U413" i="3"/>
  <c r="J414" i="4" s="1"/>
  <c r="D415" i="3"/>
  <c r="F414" i="3"/>
  <c r="I417" i="2"/>
  <c r="L418" i="2"/>
  <c r="K423" i="2"/>
  <c r="H422" i="2"/>
  <c r="G415" i="4"/>
  <c r="L415" i="4" s="1"/>
  <c r="I415" i="4"/>
  <c r="M415" i="4" s="1"/>
  <c r="K415" i="4"/>
  <c r="N415" i="4" s="1"/>
  <c r="M421" i="2"/>
  <c r="J420" i="2"/>
  <c r="C415" i="4"/>
  <c r="AB414" i="3"/>
  <c r="E415" i="4" s="1"/>
  <c r="A416" i="4"/>
  <c r="P415" i="3"/>
  <c r="E415" i="3"/>
  <c r="G415" i="3"/>
  <c r="S415" i="3"/>
  <c r="Y415" i="3" s="1"/>
  <c r="Z415" i="3" s="1"/>
  <c r="AA415" i="3" s="1"/>
  <c r="H415" i="3"/>
  <c r="T415" i="3"/>
  <c r="J415" i="3"/>
  <c r="V415" i="3"/>
  <c r="M415" i="3"/>
  <c r="N415" i="3"/>
  <c r="C415" i="3"/>
  <c r="T417" i="2"/>
  <c r="G417" i="2"/>
  <c r="D418" i="2"/>
  <c r="E417" i="2"/>
  <c r="F417" i="2"/>
  <c r="C418" i="2"/>
  <c r="D416" i="4" l="1"/>
  <c r="C419" i="2"/>
  <c r="E418" i="2"/>
  <c r="F418" i="2"/>
  <c r="G416" i="4"/>
  <c r="L416" i="4" s="1"/>
  <c r="I416" i="4"/>
  <c r="M416" i="4" s="1"/>
  <c r="K416" i="4"/>
  <c r="N416" i="4" s="1"/>
  <c r="K424" i="2"/>
  <c r="H423" i="2"/>
  <c r="L419" i="2"/>
  <c r="I418" i="2"/>
  <c r="C416" i="4"/>
  <c r="AB415" i="3"/>
  <c r="E416" i="4" s="1"/>
  <c r="I414" i="3"/>
  <c r="F415" i="4" s="1"/>
  <c r="U414" i="3"/>
  <c r="J415" i="4" s="1"/>
  <c r="O414" i="3"/>
  <c r="H415" i="4" s="1"/>
  <c r="M422" i="2"/>
  <c r="J421" i="2"/>
  <c r="F415" i="3"/>
  <c r="D416" i="3"/>
  <c r="G418" i="2"/>
  <c r="T418" i="2"/>
  <c r="D419" i="2"/>
  <c r="A417" i="4"/>
  <c r="M416" i="3"/>
  <c r="N416" i="3"/>
  <c r="C416" i="3"/>
  <c r="P416" i="3"/>
  <c r="E416" i="3"/>
  <c r="G416" i="3"/>
  <c r="S416" i="3"/>
  <c r="Y416" i="3" s="1"/>
  <c r="Z416" i="3" s="1"/>
  <c r="AA416" i="3" s="1"/>
  <c r="H416" i="3"/>
  <c r="T416" i="3"/>
  <c r="J416" i="3"/>
  <c r="V416" i="3"/>
  <c r="D417" i="4" l="1"/>
  <c r="F416" i="3"/>
  <c r="D417" i="3"/>
  <c r="H424" i="2"/>
  <c r="K425" i="2"/>
  <c r="A418" i="4"/>
  <c r="J417" i="3"/>
  <c r="V417" i="3"/>
  <c r="M417" i="3"/>
  <c r="N417" i="3"/>
  <c r="C417" i="3"/>
  <c r="P417" i="3"/>
  <c r="E417" i="3"/>
  <c r="G417" i="3"/>
  <c r="S417" i="3"/>
  <c r="Y417" i="3" s="1"/>
  <c r="Z417" i="3" s="1"/>
  <c r="AA417" i="3" s="1"/>
  <c r="H417" i="3"/>
  <c r="T417" i="3"/>
  <c r="I415" i="3"/>
  <c r="F416" i="4" s="1"/>
  <c r="U415" i="3"/>
  <c r="J416" i="4" s="1"/>
  <c r="O415" i="3"/>
  <c r="H416" i="4" s="1"/>
  <c r="M423" i="2"/>
  <c r="J422" i="2"/>
  <c r="C417" i="4"/>
  <c r="AB416" i="3"/>
  <c r="E417" i="4" s="1"/>
  <c r="G417" i="4"/>
  <c r="L417" i="4" s="1"/>
  <c r="I417" i="4"/>
  <c r="M417" i="4" s="1"/>
  <c r="K417" i="4"/>
  <c r="N417" i="4" s="1"/>
  <c r="D420" i="2"/>
  <c r="T419" i="2"/>
  <c r="G419" i="2"/>
  <c r="E419" i="2"/>
  <c r="C420" i="2"/>
  <c r="L420" i="2"/>
  <c r="I419" i="2"/>
  <c r="F419" i="2" s="1"/>
  <c r="D418" i="4" l="1"/>
  <c r="M424" i="2"/>
  <c r="J423" i="2"/>
  <c r="C418" i="4"/>
  <c r="AB417" i="3"/>
  <c r="E418" i="4" s="1"/>
  <c r="K418" i="4"/>
  <c r="N418" i="4" s="1"/>
  <c r="G418" i="4"/>
  <c r="L418" i="4" s="1"/>
  <c r="I418" i="4"/>
  <c r="M418" i="4" s="1"/>
  <c r="K426" i="2"/>
  <c r="H425" i="2"/>
  <c r="T420" i="2"/>
  <c r="G420" i="2"/>
  <c r="D421" i="2"/>
  <c r="D418" i="3"/>
  <c r="F417" i="3"/>
  <c r="A419" i="4"/>
  <c r="G418" i="3"/>
  <c r="S418" i="3"/>
  <c r="Y418" i="3" s="1"/>
  <c r="Z418" i="3" s="1"/>
  <c r="AA418" i="3" s="1"/>
  <c r="H418" i="3"/>
  <c r="T418" i="3"/>
  <c r="J418" i="3"/>
  <c r="V418" i="3"/>
  <c r="M418" i="3"/>
  <c r="N418" i="3"/>
  <c r="P418" i="3"/>
  <c r="E418" i="3"/>
  <c r="C418" i="3"/>
  <c r="O416" i="3"/>
  <c r="H417" i="4" s="1"/>
  <c r="U416" i="3"/>
  <c r="J417" i="4" s="1"/>
  <c r="I416" i="3"/>
  <c r="F417" i="4" s="1"/>
  <c r="I420" i="2"/>
  <c r="F420" i="2" s="1"/>
  <c r="L421" i="2"/>
  <c r="E420" i="2"/>
  <c r="C421" i="2"/>
  <c r="D419" i="4" l="1"/>
  <c r="I419" i="4"/>
  <c r="M419" i="4" s="1"/>
  <c r="K419" i="4"/>
  <c r="N419" i="4" s="1"/>
  <c r="G419" i="4"/>
  <c r="L419" i="4" s="1"/>
  <c r="A420" i="4"/>
  <c r="P419" i="3"/>
  <c r="E419" i="3"/>
  <c r="G419" i="3"/>
  <c r="S419" i="3"/>
  <c r="Y419" i="3" s="1"/>
  <c r="Z419" i="3" s="1"/>
  <c r="AA419" i="3" s="1"/>
  <c r="H419" i="3"/>
  <c r="T419" i="3"/>
  <c r="J419" i="3"/>
  <c r="V419" i="3"/>
  <c r="M419" i="3"/>
  <c r="N419" i="3"/>
  <c r="C419" i="3"/>
  <c r="O417" i="3"/>
  <c r="H418" i="4" s="1"/>
  <c r="I417" i="3"/>
  <c r="F418" i="4" s="1"/>
  <c r="U417" i="3"/>
  <c r="J418" i="4" s="1"/>
  <c r="D419" i="3"/>
  <c r="F418" i="3"/>
  <c r="G421" i="2"/>
  <c r="T421" i="2"/>
  <c r="D422" i="2"/>
  <c r="C422" i="2"/>
  <c r="F421" i="2"/>
  <c r="E421" i="2"/>
  <c r="C419" i="4"/>
  <c r="AB418" i="3"/>
  <c r="E419" i="4" s="1"/>
  <c r="M425" i="2"/>
  <c r="J424" i="2"/>
  <c r="L422" i="2"/>
  <c r="I421" i="2"/>
  <c r="K427" i="2"/>
  <c r="H426" i="2"/>
  <c r="D420" i="4" l="1"/>
  <c r="A421" i="4"/>
  <c r="M420" i="3"/>
  <c r="N420" i="3"/>
  <c r="C420" i="3"/>
  <c r="P420" i="3"/>
  <c r="E420" i="3"/>
  <c r="G420" i="3"/>
  <c r="S420" i="3"/>
  <c r="Y420" i="3" s="1"/>
  <c r="Z420" i="3" s="1"/>
  <c r="AA420" i="3" s="1"/>
  <c r="H420" i="3"/>
  <c r="T420" i="3"/>
  <c r="J420" i="3"/>
  <c r="V420" i="3"/>
  <c r="M426" i="2"/>
  <c r="J425" i="2"/>
  <c r="G420" i="4"/>
  <c r="L420" i="4" s="1"/>
  <c r="I420" i="4"/>
  <c r="M420" i="4" s="1"/>
  <c r="K420" i="4"/>
  <c r="N420" i="4" s="1"/>
  <c r="C420" i="4"/>
  <c r="AB419" i="3"/>
  <c r="E420" i="4" s="1"/>
  <c r="I418" i="3"/>
  <c r="F419" i="4" s="1"/>
  <c r="U418" i="3"/>
  <c r="J419" i="4" s="1"/>
  <c r="O418" i="3"/>
  <c r="H419" i="4" s="1"/>
  <c r="E422" i="2"/>
  <c r="C423" i="2"/>
  <c r="D423" i="2"/>
  <c r="T422" i="2"/>
  <c r="G422" i="2"/>
  <c r="H427" i="2"/>
  <c r="K428" i="2"/>
  <c r="L423" i="2"/>
  <c r="I422" i="2"/>
  <c r="F422" i="2" s="1"/>
  <c r="F419" i="3"/>
  <c r="D420" i="3"/>
  <c r="D421" i="4" l="1"/>
  <c r="K429" i="2"/>
  <c r="H428" i="2"/>
  <c r="A422" i="4"/>
  <c r="J421" i="3"/>
  <c r="V421" i="3"/>
  <c r="M421" i="3"/>
  <c r="N421" i="3"/>
  <c r="C421" i="3"/>
  <c r="P421" i="3"/>
  <c r="E421" i="3"/>
  <c r="G421" i="3"/>
  <c r="S421" i="3"/>
  <c r="Y421" i="3" s="1"/>
  <c r="Z421" i="3" s="1"/>
  <c r="AA421" i="3" s="1"/>
  <c r="H421" i="3"/>
  <c r="T421" i="3"/>
  <c r="T423" i="2"/>
  <c r="G423" i="2"/>
  <c r="D424" i="2"/>
  <c r="E423" i="2"/>
  <c r="C424" i="2"/>
  <c r="M427" i="2"/>
  <c r="J426" i="2"/>
  <c r="C421" i="4"/>
  <c r="AB420" i="3"/>
  <c r="E421" i="4" s="1"/>
  <c r="G421" i="4"/>
  <c r="L421" i="4" s="1"/>
  <c r="I421" i="4"/>
  <c r="M421" i="4" s="1"/>
  <c r="K421" i="4"/>
  <c r="N421" i="4" s="1"/>
  <c r="F420" i="3"/>
  <c r="D421" i="3"/>
  <c r="I419" i="3"/>
  <c r="F420" i="4" s="1"/>
  <c r="U419" i="3"/>
  <c r="J420" i="4" s="1"/>
  <c r="O419" i="3"/>
  <c r="H420" i="4" s="1"/>
  <c r="I423" i="2"/>
  <c r="F423" i="2" s="1"/>
  <c r="L424" i="2"/>
  <c r="D422" i="4" l="1"/>
  <c r="M428" i="2"/>
  <c r="J427" i="2"/>
  <c r="L425" i="2"/>
  <c r="I424" i="2"/>
  <c r="D422" i="3"/>
  <c r="F421" i="3"/>
  <c r="C425" i="2"/>
  <c r="E424" i="2"/>
  <c r="F424" i="2"/>
  <c r="O420" i="3"/>
  <c r="H421" i="4" s="1"/>
  <c r="I420" i="3"/>
  <c r="F421" i="4" s="1"/>
  <c r="U420" i="3"/>
  <c r="J421" i="4" s="1"/>
  <c r="G424" i="2"/>
  <c r="T424" i="2"/>
  <c r="D425" i="2"/>
  <c r="C422" i="4"/>
  <c r="AB421" i="3"/>
  <c r="E422" i="4" s="1"/>
  <c r="G422" i="4"/>
  <c r="L422" i="4" s="1"/>
  <c r="I422" i="4"/>
  <c r="M422" i="4" s="1"/>
  <c r="K422" i="4"/>
  <c r="N422" i="4" s="1"/>
  <c r="K430" i="2"/>
  <c r="H429" i="2"/>
  <c r="A423" i="4"/>
  <c r="G422" i="3"/>
  <c r="S422" i="3"/>
  <c r="Y422" i="3" s="1"/>
  <c r="Z422" i="3" s="1"/>
  <c r="AA422" i="3" s="1"/>
  <c r="H422" i="3"/>
  <c r="T422" i="3"/>
  <c r="J422" i="3"/>
  <c r="V422" i="3"/>
  <c r="M422" i="3"/>
  <c r="N422" i="3"/>
  <c r="P422" i="3"/>
  <c r="C422" i="3"/>
  <c r="E422" i="3"/>
  <c r="D423" i="4" l="1"/>
  <c r="E425" i="2"/>
  <c r="C426" i="2"/>
  <c r="O421" i="3"/>
  <c r="H422" i="4" s="1"/>
  <c r="I421" i="3"/>
  <c r="F422" i="4" s="1"/>
  <c r="U421" i="3"/>
  <c r="J422" i="4" s="1"/>
  <c r="D423" i="3"/>
  <c r="F422" i="3"/>
  <c r="C423" i="4"/>
  <c r="AB422" i="3"/>
  <c r="E423" i="4" s="1"/>
  <c r="D426" i="2"/>
  <c r="T425" i="2"/>
  <c r="G425" i="2"/>
  <c r="L426" i="2"/>
  <c r="I425" i="2"/>
  <c r="F425" i="2" s="1"/>
  <c r="G423" i="4"/>
  <c r="L423" i="4" s="1"/>
  <c r="I423" i="4"/>
  <c r="M423" i="4" s="1"/>
  <c r="K423" i="4"/>
  <c r="N423" i="4" s="1"/>
  <c r="M429" i="2"/>
  <c r="J428" i="2"/>
  <c r="A424" i="4"/>
  <c r="P423" i="3"/>
  <c r="E423" i="3"/>
  <c r="G423" i="3"/>
  <c r="S423" i="3"/>
  <c r="Y423" i="3" s="1"/>
  <c r="Z423" i="3" s="1"/>
  <c r="AA423" i="3" s="1"/>
  <c r="H423" i="3"/>
  <c r="T423" i="3"/>
  <c r="J423" i="3"/>
  <c r="V423" i="3"/>
  <c r="M423" i="3"/>
  <c r="C423" i="3"/>
  <c r="N423" i="3"/>
  <c r="H430" i="2"/>
  <c r="K431" i="2"/>
  <c r="D424" i="4" l="1"/>
  <c r="C424" i="4"/>
  <c r="AB423" i="3"/>
  <c r="E424" i="4" s="1"/>
  <c r="M430" i="2"/>
  <c r="J429" i="2"/>
  <c r="I422" i="3"/>
  <c r="F423" i="4" s="1"/>
  <c r="U422" i="3"/>
  <c r="J423" i="4" s="1"/>
  <c r="O422" i="3"/>
  <c r="H423" i="4" s="1"/>
  <c r="F423" i="3"/>
  <c r="D424" i="3"/>
  <c r="A425" i="4"/>
  <c r="M424" i="3"/>
  <c r="N424" i="3"/>
  <c r="C424" i="3"/>
  <c r="P424" i="3"/>
  <c r="E424" i="3"/>
  <c r="G424" i="3"/>
  <c r="S424" i="3"/>
  <c r="Y424" i="3" s="1"/>
  <c r="Z424" i="3" s="1"/>
  <c r="AA424" i="3" s="1"/>
  <c r="H424" i="3"/>
  <c r="T424" i="3"/>
  <c r="J424" i="3"/>
  <c r="V424" i="3"/>
  <c r="E426" i="2"/>
  <c r="F426" i="2"/>
  <c r="C427" i="2"/>
  <c r="K432" i="2"/>
  <c r="H431" i="2"/>
  <c r="I426" i="2"/>
  <c r="L427" i="2"/>
  <c r="K424" i="4"/>
  <c r="N424" i="4" s="1"/>
  <c r="G424" i="4"/>
  <c r="L424" i="4" s="1"/>
  <c r="I424" i="4"/>
  <c r="M424" i="4" s="1"/>
  <c r="T426" i="2"/>
  <c r="G426" i="2"/>
  <c r="D427" i="2"/>
  <c r="D425" i="4" l="1"/>
  <c r="I425" i="4"/>
  <c r="M425" i="4" s="1"/>
  <c r="K425" i="4"/>
  <c r="N425" i="4" s="1"/>
  <c r="G425" i="4"/>
  <c r="L425" i="4" s="1"/>
  <c r="F424" i="3"/>
  <c r="D425" i="3"/>
  <c r="I423" i="3"/>
  <c r="F424" i="4" s="1"/>
  <c r="U423" i="3"/>
  <c r="J424" i="4" s="1"/>
  <c r="O423" i="3"/>
  <c r="H424" i="4" s="1"/>
  <c r="A426" i="4"/>
  <c r="J425" i="3"/>
  <c r="V425" i="3"/>
  <c r="M425" i="3"/>
  <c r="N425" i="3"/>
  <c r="C425" i="3"/>
  <c r="P425" i="3"/>
  <c r="E425" i="3"/>
  <c r="G425" i="3"/>
  <c r="S425" i="3"/>
  <c r="Y425" i="3" s="1"/>
  <c r="Z425" i="3" s="1"/>
  <c r="AA425" i="3" s="1"/>
  <c r="H425" i="3"/>
  <c r="T425" i="3"/>
  <c r="L428" i="2"/>
  <c r="I427" i="2"/>
  <c r="F427" i="2" s="1"/>
  <c r="M431" i="2"/>
  <c r="J430" i="2"/>
  <c r="G427" i="2"/>
  <c r="T427" i="2"/>
  <c r="D428" i="2"/>
  <c r="K433" i="2"/>
  <c r="H432" i="2"/>
  <c r="C428" i="2"/>
  <c r="E427" i="2"/>
  <c r="C425" i="4"/>
  <c r="AB424" i="3"/>
  <c r="E425" i="4" s="1"/>
  <c r="D426" i="4" l="1"/>
  <c r="E428" i="2"/>
  <c r="C429" i="2"/>
  <c r="H433" i="2"/>
  <c r="K434" i="2"/>
  <c r="A427" i="4"/>
  <c r="G426" i="3"/>
  <c r="S426" i="3"/>
  <c r="Y426" i="3" s="1"/>
  <c r="Z426" i="3" s="1"/>
  <c r="AA426" i="3" s="1"/>
  <c r="H426" i="3"/>
  <c r="T426" i="3"/>
  <c r="J426" i="3"/>
  <c r="V426" i="3"/>
  <c r="M426" i="3"/>
  <c r="N426" i="3"/>
  <c r="P426" i="3"/>
  <c r="C426" i="3"/>
  <c r="E426" i="3"/>
  <c r="D426" i="3"/>
  <c r="F425" i="3"/>
  <c r="D429" i="2"/>
  <c r="T428" i="2"/>
  <c r="G428" i="2"/>
  <c r="O424" i="3"/>
  <c r="H425" i="4" s="1"/>
  <c r="U424" i="3"/>
  <c r="J425" i="4" s="1"/>
  <c r="I424" i="3"/>
  <c r="F425" i="4" s="1"/>
  <c r="C426" i="4"/>
  <c r="AB425" i="3"/>
  <c r="E426" i="4" s="1"/>
  <c r="J431" i="2"/>
  <c r="M432" i="2"/>
  <c r="L429" i="2"/>
  <c r="I428" i="2"/>
  <c r="F428" i="2" s="1"/>
  <c r="G426" i="4"/>
  <c r="L426" i="4" s="1"/>
  <c r="I426" i="4"/>
  <c r="M426" i="4" s="1"/>
  <c r="K426" i="4"/>
  <c r="N426" i="4" s="1"/>
  <c r="D427" i="4" l="1"/>
  <c r="M433" i="2"/>
  <c r="J432" i="2"/>
  <c r="G427" i="4"/>
  <c r="L427" i="4" s="1"/>
  <c r="I427" i="4"/>
  <c r="M427" i="4" s="1"/>
  <c r="K427" i="4"/>
  <c r="N427" i="4" s="1"/>
  <c r="O425" i="3"/>
  <c r="H426" i="4" s="1"/>
  <c r="I425" i="3"/>
  <c r="F426" i="4" s="1"/>
  <c r="U425" i="3"/>
  <c r="J426" i="4" s="1"/>
  <c r="I429" i="2"/>
  <c r="L430" i="2"/>
  <c r="K435" i="2"/>
  <c r="H434" i="2"/>
  <c r="T429" i="2"/>
  <c r="G429" i="2"/>
  <c r="D430" i="2"/>
  <c r="D427" i="3"/>
  <c r="F426" i="3"/>
  <c r="A428" i="4"/>
  <c r="P427" i="3"/>
  <c r="E427" i="3"/>
  <c r="G427" i="3"/>
  <c r="S427" i="3"/>
  <c r="Y427" i="3" s="1"/>
  <c r="Z427" i="3" s="1"/>
  <c r="AA427" i="3" s="1"/>
  <c r="H427" i="3"/>
  <c r="T427" i="3"/>
  <c r="J427" i="3"/>
  <c r="V427" i="3"/>
  <c r="M427" i="3"/>
  <c r="C427" i="3"/>
  <c r="N427" i="3"/>
  <c r="E429" i="2"/>
  <c r="F429" i="2"/>
  <c r="C430" i="2"/>
  <c r="C427" i="4"/>
  <c r="AB426" i="3"/>
  <c r="E427" i="4" s="1"/>
  <c r="D428" i="4" l="1"/>
  <c r="F427" i="3"/>
  <c r="D428" i="3"/>
  <c r="G428" i="4"/>
  <c r="L428" i="4" s="1"/>
  <c r="I428" i="4"/>
  <c r="M428" i="4" s="1"/>
  <c r="K428" i="4"/>
  <c r="N428" i="4" s="1"/>
  <c r="G430" i="2"/>
  <c r="T430" i="2"/>
  <c r="D431" i="2"/>
  <c r="I426" i="3"/>
  <c r="F427" i="4" s="1"/>
  <c r="U426" i="3"/>
  <c r="J427" i="4" s="1"/>
  <c r="O426" i="3"/>
  <c r="H427" i="4" s="1"/>
  <c r="C428" i="4"/>
  <c r="AB427" i="3"/>
  <c r="E428" i="4" s="1"/>
  <c r="K436" i="2"/>
  <c r="H435" i="2"/>
  <c r="L431" i="2"/>
  <c r="I430" i="2"/>
  <c r="F430" i="2" s="1"/>
  <c r="M434" i="2"/>
  <c r="J433" i="2"/>
  <c r="C431" i="2"/>
  <c r="E430" i="2"/>
  <c r="A429" i="4"/>
  <c r="M428" i="3"/>
  <c r="N428" i="3"/>
  <c r="C428" i="3"/>
  <c r="P428" i="3"/>
  <c r="E428" i="3"/>
  <c r="G428" i="3"/>
  <c r="S428" i="3"/>
  <c r="Y428" i="3" s="1"/>
  <c r="Z428" i="3" s="1"/>
  <c r="AA428" i="3" s="1"/>
  <c r="H428" i="3"/>
  <c r="T428" i="3"/>
  <c r="J428" i="3"/>
  <c r="V428" i="3"/>
  <c r="D429" i="4" l="1"/>
  <c r="J434" i="2"/>
  <c r="M435" i="2"/>
  <c r="A430" i="4"/>
  <c r="J429" i="3"/>
  <c r="V429" i="3"/>
  <c r="M429" i="3"/>
  <c r="N429" i="3"/>
  <c r="C429" i="3"/>
  <c r="P429" i="3"/>
  <c r="E429" i="3"/>
  <c r="G429" i="3"/>
  <c r="S429" i="3"/>
  <c r="Y429" i="3" s="1"/>
  <c r="Z429" i="3" s="1"/>
  <c r="AA429" i="3" s="1"/>
  <c r="H429" i="3"/>
  <c r="T429" i="3"/>
  <c r="L432" i="2"/>
  <c r="I431" i="2"/>
  <c r="H436" i="2"/>
  <c r="K437" i="2"/>
  <c r="C429" i="4"/>
  <c r="AB428" i="3"/>
  <c r="E429" i="4" s="1"/>
  <c r="G429" i="4"/>
  <c r="L429" i="4" s="1"/>
  <c r="I429" i="4"/>
  <c r="M429" i="4" s="1"/>
  <c r="K429" i="4"/>
  <c r="N429" i="4" s="1"/>
  <c r="F428" i="3"/>
  <c r="D429" i="3"/>
  <c r="I427" i="3"/>
  <c r="F428" i="4" s="1"/>
  <c r="U427" i="3"/>
  <c r="J428" i="4" s="1"/>
  <c r="O427" i="3"/>
  <c r="H428" i="4" s="1"/>
  <c r="E431" i="2"/>
  <c r="F431" i="2"/>
  <c r="C432" i="2"/>
  <c r="D432" i="2"/>
  <c r="T431" i="2"/>
  <c r="G431" i="2"/>
  <c r="D430" i="4" l="1"/>
  <c r="H437" i="2"/>
  <c r="K438" i="2"/>
  <c r="C430" i="4"/>
  <c r="AB429" i="3"/>
  <c r="E430" i="4" s="1"/>
  <c r="D430" i="3"/>
  <c r="F429" i="3"/>
  <c r="O428" i="3"/>
  <c r="H429" i="4" s="1"/>
  <c r="I428" i="3"/>
  <c r="F429" i="4" s="1"/>
  <c r="U428" i="3"/>
  <c r="J429" i="4" s="1"/>
  <c r="I432" i="2"/>
  <c r="L433" i="2"/>
  <c r="K430" i="4"/>
  <c r="N430" i="4" s="1"/>
  <c r="G430" i="4"/>
  <c r="L430" i="4" s="1"/>
  <c r="I430" i="4"/>
  <c r="M430" i="4" s="1"/>
  <c r="M436" i="2"/>
  <c r="J435" i="2"/>
  <c r="T432" i="2"/>
  <c r="G432" i="2"/>
  <c r="D433" i="2"/>
  <c r="E432" i="2"/>
  <c r="F432" i="2"/>
  <c r="C433" i="2"/>
  <c r="A431" i="4"/>
  <c r="G430" i="3"/>
  <c r="S430" i="3"/>
  <c r="Y430" i="3" s="1"/>
  <c r="Z430" i="3" s="1"/>
  <c r="AA430" i="3" s="1"/>
  <c r="H430" i="3"/>
  <c r="T430" i="3"/>
  <c r="J430" i="3"/>
  <c r="V430" i="3"/>
  <c r="M430" i="3"/>
  <c r="N430" i="3"/>
  <c r="P430" i="3"/>
  <c r="C430" i="3"/>
  <c r="E430" i="3"/>
  <c r="D431" i="4" l="1"/>
  <c r="G433" i="2"/>
  <c r="T433" i="2"/>
  <c r="D434" i="2"/>
  <c r="M437" i="2"/>
  <c r="J436" i="2"/>
  <c r="O429" i="3"/>
  <c r="H430" i="4" s="1"/>
  <c r="I429" i="3"/>
  <c r="F430" i="4" s="1"/>
  <c r="U429" i="3"/>
  <c r="J430" i="4" s="1"/>
  <c r="D431" i="3"/>
  <c r="F430" i="3"/>
  <c r="C431" i="4"/>
  <c r="AB430" i="3"/>
  <c r="E431" i="4" s="1"/>
  <c r="A432" i="4"/>
  <c r="P431" i="3"/>
  <c r="E431" i="3"/>
  <c r="G431" i="3"/>
  <c r="S431" i="3"/>
  <c r="Y431" i="3" s="1"/>
  <c r="Z431" i="3" s="1"/>
  <c r="AA431" i="3" s="1"/>
  <c r="H431" i="3"/>
  <c r="T431" i="3"/>
  <c r="J431" i="3"/>
  <c r="V431" i="3"/>
  <c r="M431" i="3"/>
  <c r="C431" i="3"/>
  <c r="N431" i="3"/>
  <c r="I431" i="4"/>
  <c r="M431" i="4" s="1"/>
  <c r="K431" i="4"/>
  <c r="N431" i="4" s="1"/>
  <c r="G431" i="4"/>
  <c r="L431" i="4" s="1"/>
  <c r="K439" i="2"/>
  <c r="H438" i="2"/>
  <c r="C434" i="2"/>
  <c r="E433" i="2"/>
  <c r="L434" i="2"/>
  <c r="I433" i="2"/>
  <c r="F433" i="2" s="1"/>
  <c r="D432" i="4" l="1"/>
  <c r="E434" i="2"/>
  <c r="C435" i="2"/>
  <c r="I430" i="3"/>
  <c r="F431" i="4" s="1"/>
  <c r="U430" i="3"/>
  <c r="J431" i="4" s="1"/>
  <c r="O430" i="3"/>
  <c r="H431" i="4" s="1"/>
  <c r="F431" i="3"/>
  <c r="D432" i="3"/>
  <c r="A433" i="4"/>
  <c r="M432" i="3"/>
  <c r="N432" i="3"/>
  <c r="C432" i="3"/>
  <c r="P432" i="3"/>
  <c r="E432" i="3"/>
  <c r="G432" i="3"/>
  <c r="S432" i="3"/>
  <c r="Y432" i="3" s="1"/>
  <c r="Z432" i="3" s="1"/>
  <c r="AA432" i="3" s="1"/>
  <c r="H432" i="3"/>
  <c r="T432" i="3"/>
  <c r="J432" i="3"/>
  <c r="V432" i="3"/>
  <c r="J437" i="2"/>
  <c r="M438" i="2"/>
  <c r="H439" i="2"/>
  <c r="K440" i="2"/>
  <c r="D435" i="2"/>
  <c r="T434" i="2"/>
  <c r="G434" i="2"/>
  <c r="G432" i="4"/>
  <c r="L432" i="4" s="1"/>
  <c r="I432" i="4"/>
  <c r="M432" i="4" s="1"/>
  <c r="K432" i="4"/>
  <c r="N432" i="4" s="1"/>
  <c r="L435" i="2"/>
  <c r="I434" i="2"/>
  <c r="F434" i="2" s="1"/>
  <c r="C432" i="4"/>
  <c r="AB431" i="3"/>
  <c r="E432" i="4" s="1"/>
  <c r="D433" i="4" l="1"/>
  <c r="C433" i="4"/>
  <c r="AB432" i="3"/>
  <c r="E433" i="4" s="1"/>
  <c r="G433" i="4"/>
  <c r="L433" i="4" s="1"/>
  <c r="I433" i="4"/>
  <c r="M433" i="4" s="1"/>
  <c r="K433" i="4"/>
  <c r="N433" i="4" s="1"/>
  <c r="F432" i="3"/>
  <c r="D433" i="3"/>
  <c r="I431" i="3"/>
  <c r="F432" i="4" s="1"/>
  <c r="U431" i="3"/>
  <c r="J432" i="4" s="1"/>
  <c r="O431" i="3"/>
  <c r="H432" i="4" s="1"/>
  <c r="A434" i="4"/>
  <c r="J433" i="3"/>
  <c r="V433" i="3"/>
  <c r="M433" i="3"/>
  <c r="N433" i="3"/>
  <c r="C433" i="3"/>
  <c r="P433" i="3"/>
  <c r="E433" i="3"/>
  <c r="G433" i="3"/>
  <c r="S433" i="3"/>
  <c r="Y433" i="3" s="1"/>
  <c r="Z433" i="3" s="1"/>
  <c r="AA433" i="3" s="1"/>
  <c r="T433" i="3"/>
  <c r="H433" i="3"/>
  <c r="E435" i="2"/>
  <c r="F435" i="2"/>
  <c r="C436" i="2"/>
  <c r="T435" i="2"/>
  <c r="G435" i="2"/>
  <c r="D436" i="2"/>
  <c r="H440" i="2"/>
  <c r="K441" i="2"/>
  <c r="I435" i="2"/>
  <c r="L436" i="2"/>
  <c r="M439" i="2"/>
  <c r="J438" i="2"/>
  <c r="D434" i="4" l="1"/>
  <c r="L437" i="2"/>
  <c r="I436" i="2"/>
  <c r="K442" i="2"/>
  <c r="H441" i="2"/>
  <c r="A435" i="4"/>
  <c r="G434" i="3"/>
  <c r="S434" i="3"/>
  <c r="Y434" i="3" s="1"/>
  <c r="Z434" i="3" s="1"/>
  <c r="AA434" i="3" s="1"/>
  <c r="H434" i="3"/>
  <c r="T434" i="3"/>
  <c r="J434" i="3"/>
  <c r="V434" i="3"/>
  <c r="M434" i="3"/>
  <c r="N434" i="3"/>
  <c r="P434" i="3"/>
  <c r="C434" i="3"/>
  <c r="E434" i="3"/>
  <c r="D434" i="3"/>
  <c r="F433" i="3"/>
  <c r="C437" i="2"/>
  <c r="E436" i="2"/>
  <c r="F436" i="2"/>
  <c r="M440" i="2"/>
  <c r="J439" i="2"/>
  <c r="O432" i="3"/>
  <c r="H433" i="4" s="1"/>
  <c r="I432" i="3"/>
  <c r="F433" i="4" s="1"/>
  <c r="U432" i="3"/>
  <c r="J433" i="4" s="1"/>
  <c r="G436" i="2"/>
  <c r="T436" i="2"/>
  <c r="D437" i="2"/>
  <c r="C434" i="4"/>
  <c r="AB433" i="3"/>
  <c r="E434" i="4" s="1"/>
  <c r="G434" i="4"/>
  <c r="L434" i="4" s="1"/>
  <c r="I434" i="4"/>
  <c r="M434" i="4" s="1"/>
  <c r="K434" i="4"/>
  <c r="N434" i="4" s="1"/>
  <c r="D435" i="4" l="1"/>
  <c r="D435" i="3"/>
  <c r="F434" i="3"/>
  <c r="A436" i="4"/>
  <c r="P435" i="3"/>
  <c r="E435" i="3"/>
  <c r="G435" i="3"/>
  <c r="S435" i="3"/>
  <c r="Y435" i="3" s="1"/>
  <c r="Z435" i="3" s="1"/>
  <c r="AA435" i="3" s="1"/>
  <c r="H435" i="3"/>
  <c r="T435" i="3"/>
  <c r="J435" i="3"/>
  <c r="V435" i="3"/>
  <c r="M435" i="3"/>
  <c r="C435" i="3"/>
  <c r="N435" i="3"/>
  <c r="G435" i="4"/>
  <c r="L435" i="4" s="1"/>
  <c r="I435" i="4"/>
  <c r="M435" i="4" s="1"/>
  <c r="K435" i="4"/>
  <c r="N435" i="4" s="1"/>
  <c r="E437" i="2"/>
  <c r="C438" i="2"/>
  <c r="O433" i="3"/>
  <c r="H434" i="4" s="1"/>
  <c r="I433" i="3"/>
  <c r="F434" i="4" s="1"/>
  <c r="U433" i="3"/>
  <c r="J434" i="4" s="1"/>
  <c r="D438" i="2"/>
  <c r="T437" i="2"/>
  <c r="G437" i="2"/>
  <c r="H442" i="2"/>
  <c r="K443" i="2"/>
  <c r="L438" i="2"/>
  <c r="I437" i="2"/>
  <c r="F437" i="2" s="1"/>
  <c r="C435" i="4"/>
  <c r="AB434" i="3"/>
  <c r="E435" i="4" s="1"/>
  <c r="M441" i="2"/>
  <c r="J440" i="2"/>
  <c r="D436" i="4" l="1"/>
  <c r="A437" i="4"/>
  <c r="M436" i="3"/>
  <c r="N436" i="3"/>
  <c r="C436" i="3"/>
  <c r="P436" i="3"/>
  <c r="E436" i="3"/>
  <c r="G436" i="3"/>
  <c r="S436" i="3"/>
  <c r="Y436" i="3" s="1"/>
  <c r="Z436" i="3" s="1"/>
  <c r="AA436" i="3" s="1"/>
  <c r="H436" i="3"/>
  <c r="T436" i="3"/>
  <c r="J436" i="3"/>
  <c r="V436" i="3"/>
  <c r="K436" i="4"/>
  <c r="N436" i="4" s="1"/>
  <c r="G436" i="4"/>
  <c r="L436" i="4" s="1"/>
  <c r="I436" i="4"/>
  <c r="M436" i="4" s="1"/>
  <c r="I438" i="2"/>
  <c r="L439" i="2"/>
  <c r="I434" i="3"/>
  <c r="F435" i="4" s="1"/>
  <c r="U434" i="3"/>
  <c r="J435" i="4" s="1"/>
  <c r="O434" i="3"/>
  <c r="H435" i="4" s="1"/>
  <c r="C436" i="4"/>
  <c r="AB435" i="3"/>
  <c r="E436" i="4" s="1"/>
  <c r="F435" i="3"/>
  <c r="D436" i="3"/>
  <c r="T438" i="2"/>
  <c r="G438" i="2"/>
  <c r="D439" i="2"/>
  <c r="M442" i="2"/>
  <c r="J441" i="2"/>
  <c r="E438" i="2"/>
  <c r="F438" i="2"/>
  <c r="C439" i="2"/>
  <c r="H443" i="2"/>
  <c r="K444" i="2"/>
  <c r="D437" i="4" l="1"/>
  <c r="L440" i="2"/>
  <c r="I439" i="2"/>
  <c r="M443" i="2"/>
  <c r="J442" i="2"/>
  <c r="G439" i="2"/>
  <c r="T439" i="2"/>
  <c r="D440" i="2"/>
  <c r="A438" i="4"/>
  <c r="J437" i="3"/>
  <c r="V437" i="3"/>
  <c r="M437" i="3"/>
  <c r="N437" i="3"/>
  <c r="C437" i="3"/>
  <c r="P437" i="3"/>
  <c r="E437" i="3"/>
  <c r="G437" i="3"/>
  <c r="S437" i="3"/>
  <c r="Y437" i="3" s="1"/>
  <c r="Z437" i="3" s="1"/>
  <c r="AA437" i="3" s="1"/>
  <c r="H437" i="3"/>
  <c r="T437" i="3"/>
  <c r="F436" i="3"/>
  <c r="D437" i="3"/>
  <c r="C437" i="4"/>
  <c r="AB436" i="3"/>
  <c r="E437" i="4" s="1"/>
  <c r="I435" i="3"/>
  <c r="F436" i="4" s="1"/>
  <c r="U435" i="3"/>
  <c r="J436" i="4" s="1"/>
  <c r="O435" i="3"/>
  <c r="H436" i="4" s="1"/>
  <c r="K445" i="2"/>
  <c r="H444" i="2"/>
  <c r="I437" i="4"/>
  <c r="M437" i="4" s="1"/>
  <c r="K437" i="4"/>
  <c r="N437" i="4" s="1"/>
  <c r="G437" i="4"/>
  <c r="L437" i="4" s="1"/>
  <c r="C440" i="2"/>
  <c r="E439" i="2"/>
  <c r="F439" i="2"/>
  <c r="D438" i="4" l="1"/>
  <c r="D438" i="3"/>
  <c r="F437" i="3"/>
  <c r="O436" i="3"/>
  <c r="H437" i="4" s="1"/>
  <c r="I436" i="3"/>
  <c r="F437" i="4" s="1"/>
  <c r="U436" i="3"/>
  <c r="J437" i="4" s="1"/>
  <c r="G438" i="4"/>
  <c r="L438" i="4" s="1"/>
  <c r="I438" i="4"/>
  <c r="M438" i="4" s="1"/>
  <c r="K438" i="4"/>
  <c r="N438" i="4" s="1"/>
  <c r="D441" i="2"/>
  <c r="T440" i="2"/>
  <c r="G440" i="2"/>
  <c r="H445" i="2"/>
  <c r="K446" i="2"/>
  <c r="A439" i="4"/>
  <c r="G438" i="3"/>
  <c r="S438" i="3"/>
  <c r="Y438" i="3" s="1"/>
  <c r="Z438" i="3" s="1"/>
  <c r="AA438" i="3" s="1"/>
  <c r="H438" i="3"/>
  <c r="T438" i="3"/>
  <c r="J438" i="3"/>
  <c r="V438" i="3"/>
  <c r="M438" i="3"/>
  <c r="N438" i="3"/>
  <c r="P438" i="3"/>
  <c r="C438" i="3"/>
  <c r="E438" i="3"/>
  <c r="M444" i="2"/>
  <c r="J443" i="2"/>
  <c r="L441" i="2"/>
  <c r="I440" i="2"/>
  <c r="F440" i="2" s="1"/>
  <c r="E440" i="2"/>
  <c r="C441" i="2"/>
  <c r="C438" i="4"/>
  <c r="AB437" i="3"/>
  <c r="E438" i="4" s="1"/>
  <c r="D439" i="4" l="1"/>
  <c r="G439" i="4"/>
  <c r="L439" i="4" s="1"/>
  <c r="I439" i="4"/>
  <c r="M439" i="4" s="1"/>
  <c r="K439" i="4"/>
  <c r="N439" i="4" s="1"/>
  <c r="I441" i="2"/>
  <c r="L442" i="2"/>
  <c r="M445" i="2"/>
  <c r="J444" i="2"/>
  <c r="H446" i="2"/>
  <c r="K447" i="2"/>
  <c r="O437" i="3"/>
  <c r="H438" i="4" s="1"/>
  <c r="I437" i="3"/>
  <c r="F438" i="4" s="1"/>
  <c r="U437" i="3"/>
  <c r="J438" i="4" s="1"/>
  <c r="D439" i="3"/>
  <c r="F438" i="3"/>
  <c r="A440" i="4"/>
  <c r="P439" i="3"/>
  <c r="E439" i="3"/>
  <c r="G439" i="3"/>
  <c r="S439" i="3"/>
  <c r="Y439" i="3" s="1"/>
  <c r="Z439" i="3" s="1"/>
  <c r="AA439" i="3" s="1"/>
  <c r="H439" i="3"/>
  <c r="T439" i="3"/>
  <c r="J439" i="3"/>
  <c r="V439" i="3"/>
  <c r="M439" i="3"/>
  <c r="C439" i="3"/>
  <c r="N439" i="3"/>
  <c r="E441" i="2"/>
  <c r="F441" i="2"/>
  <c r="C442" i="2"/>
  <c r="C439" i="4"/>
  <c r="AB438" i="3"/>
  <c r="E439" i="4" s="1"/>
  <c r="T441" i="2"/>
  <c r="G441" i="2"/>
  <c r="D442" i="2"/>
  <c r="D440" i="4" l="1"/>
  <c r="C443" i="2"/>
  <c r="E442" i="2"/>
  <c r="A441" i="4"/>
  <c r="M440" i="3"/>
  <c r="N440" i="3"/>
  <c r="C440" i="3"/>
  <c r="P440" i="3"/>
  <c r="E440" i="3"/>
  <c r="G440" i="3"/>
  <c r="S440" i="3"/>
  <c r="Y440" i="3" s="1"/>
  <c r="Z440" i="3" s="1"/>
  <c r="AA440" i="3" s="1"/>
  <c r="H440" i="3"/>
  <c r="T440" i="3"/>
  <c r="J440" i="3"/>
  <c r="V440" i="3"/>
  <c r="M446" i="2"/>
  <c r="J445" i="2"/>
  <c r="G442" i="2"/>
  <c r="T442" i="2"/>
  <c r="D443" i="2"/>
  <c r="L443" i="2"/>
  <c r="I442" i="2"/>
  <c r="F442" i="2" s="1"/>
  <c r="G440" i="4"/>
  <c r="L440" i="4" s="1"/>
  <c r="I440" i="4"/>
  <c r="M440" i="4" s="1"/>
  <c r="K440" i="4"/>
  <c r="N440" i="4" s="1"/>
  <c r="I438" i="3"/>
  <c r="F439" i="4" s="1"/>
  <c r="U438" i="3"/>
  <c r="J439" i="4" s="1"/>
  <c r="O438" i="3"/>
  <c r="H439" i="4" s="1"/>
  <c r="C440" i="4"/>
  <c r="AB439" i="3"/>
  <c r="E440" i="4" s="1"/>
  <c r="F439" i="3"/>
  <c r="D440" i="3"/>
  <c r="K448" i="2"/>
  <c r="H447" i="2"/>
  <c r="D441" i="4" l="1"/>
  <c r="H448" i="2"/>
  <c r="K449" i="2"/>
  <c r="L444" i="2"/>
  <c r="I443" i="2"/>
  <c r="A442" i="4"/>
  <c r="J441" i="3"/>
  <c r="V441" i="3"/>
  <c r="M441" i="3"/>
  <c r="N441" i="3"/>
  <c r="C441" i="3"/>
  <c r="P441" i="3"/>
  <c r="E441" i="3"/>
  <c r="G441" i="3"/>
  <c r="S441" i="3"/>
  <c r="Y441" i="3" s="1"/>
  <c r="Z441" i="3" s="1"/>
  <c r="AA441" i="3" s="1"/>
  <c r="H441" i="3"/>
  <c r="T441" i="3"/>
  <c r="D444" i="2"/>
  <c r="T443" i="2"/>
  <c r="G443" i="2"/>
  <c r="M447" i="2"/>
  <c r="J446" i="2"/>
  <c r="C441" i="4"/>
  <c r="AB440" i="3"/>
  <c r="E441" i="4" s="1"/>
  <c r="G441" i="4"/>
  <c r="L441" i="4" s="1"/>
  <c r="I441" i="4"/>
  <c r="M441" i="4" s="1"/>
  <c r="K441" i="4"/>
  <c r="N441" i="4" s="1"/>
  <c r="E443" i="2"/>
  <c r="F443" i="2"/>
  <c r="C444" i="2"/>
  <c r="F440" i="3"/>
  <c r="D441" i="3"/>
  <c r="I439" i="3"/>
  <c r="F440" i="4" s="1"/>
  <c r="U439" i="3"/>
  <c r="J440" i="4" s="1"/>
  <c r="O439" i="3"/>
  <c r="H440" i="4" s="1"/>
  <c r="D442" i="4" l="1"/>
  <c r="O440" i="3"/>
  <c r="H441" i="4" s="1"/>
  <c r="U440" i="3"/>
  <c r="J441" i="4" s="1"/>
  <c r="I440" i="3"/>
  <c r="F441" i="4" s="1"/>
  <c r="M448" i="2"/>
  <c r="J447" i="2"/>
  <c r="C442" i="4"/>
  <c r="AB441" i="3"/>
  <c r="E442" i="4" s="1"/>
  <c r="E444" i="2"/>
  <c r="F444" i="2"/>
  <c r="C445" i="2"/>
  <c r="T444" i="2"/>
  <c r="G444" i="2"/>
  <c r="D445" i="2"/>
  <c r="K442" i="4"/>
  <c r="N442" i="4" s="1"/>
  <c r="G442" i="4"/>
  <c r="L442" i="4" s="1"/>
  <c r="I442" i="4"/>
  <c r="M442" i="4" s="1"/>
  <c r="I444" i="2"/>
  <c r="L445" i="2"/>
  <c r="H449" i="2"/>
  <c r="K450" i="2"/>
  <c r="A443" i="4"/>
  <c r="G442" i="3"/>
  <c r="S442" i="3"/>
  <c r="Y442" i="3" s="1"/>
  <c r="Z442" i="3" s="1"/>
  <c r="AA442" i="3" s="1"/>
  <c r="H442" i="3"/>
  <c r="T442" i="3"/>
  <c r="J442" i="3"/>
  <c r="V442" i="3"/>
  <c r="M442" i="3"/>
  <c r="N442" i="3"/>
  <c r="P442" i="3"/>
  <c r="C442" i="3"/>
  <c r="E442" i="3"/>
  <c r="D442" i="3"/>
  <c r="F441" i="3"/>
  <c r="D443" i="4" l="1"/>
  <c r="A444" i="4"/>
  <c r="P443" i="3"/>
  <c r="E443" i="3"/>
  <c r="G443" i="3"/>
  <c r="S443" i="3"/>
  <c r="Y443" i="3" s="1"/>
  <c r="Z443" i="3" s="1"/>
  <c r="AA443" i="3" s="1"/>
  <c r="H443" i="3"/>
  <c r="T443" i="3"/>
  <c r="J443" i="3"/>
  <c r="V443" i="3"/>
  <c r="M443" i="3"/>
  <c r="C443" i="3"/>
  <c r="N443" i="3"/>
  <c r="C446" i="2"/>
  <c r="E445" i="2"/>
  <c r="L446" i="2"/>
  <c r="I445" i="2"/>
  <c r="F445" i="2" s="1"/>
  <c r="C443" i="4"/>
  <c r="AB442" i="3"/>
  <c r="E443" i="4" s="1"/>
  <c r="M449" i="2"/>
  <c r="J448" i="2"/>
  <c r="O441" i="3"/>
  <c r="H442" i="4" s="1"/>
  <c r="I441" i="3"/>
  <c r="F442" i="4" s="1"/>
  <c r="U441" i="3"/>
  <c r="J442" i="4" s="1"/>
  <c r="G445" i="2"/>
  <c r="T445" i="2"/>
  <c r="D446" i="2"/>
  <c r="I443" i="4"/>
  <c r="M443" i="4" s="1"/>
  <c r="K443" i="4"/>
  <c r="N443" i="4" s="1"/>
  <c r="G443" i="4"/>
  <c r="L443" i="4" s="1"/>
  <c r="D443" i="3"/>
  <c r="F442" i="3"/>
  <c r="K451" i="2"/>
  <c r="H450" i="2"/>
  <c r="D444" i="4" l="1"/>
  <c r="F443" i="3"/>
  <c r="D444" i="3"/>
  <c r="M450" i="2"/>
  <c r="J449" i="2"/>
  <c r="D447" i="2"/>
  <c r="T446" i="2"/>
  <c r="G446" i="2"/>
  <c r="A445" i="4"/>
  <c r="M444" i="3"/>
  <c r="N444" i="3"/>
  <c r="C444" i="3"/>
  <c r="P444" i="3"/>
  <c r="E444" i="3"/>
  <c r="G444" i="3"/>
  <c r="S444" i="3"/>
  <c r="Y444" i="3" s="1"/>
  <c r="Z444" i="3" s="1"/>
  <c r="AA444" i="3" s="1"/>
  <c r="H444" i="3"/>
  <c r="T444" i="3"/>
  <c r="J444" i="3"/>
  <c r="V444" i="3"/>
  <c r="L447" i="2"/>
  <c r="I446" i="2"/>
  <c r="F446" i="2" s="1"/>
  <c r="E446" i="2"/>
  <c r="C447" i="2"/>
  <c r="G444" i="4"/>
  <c r="L444" i="4" s="1"/>
  <c r="I444" i="4"/>
  <c r="M444" i="4" s="1"/>
  <c r="K444" i="4"/>
  <c r="N444" i="4" s="1"/>
  <c r="H451" i="2"/>
  <c r="K452" i="2"/>
  <c r="I442" i="3"/>
  <c r="F443" i="4" s="1"/>
  <c r="U442" i="3"/>
  <c r="J443" i="4" s="1"/>
  <c r="O442" i="3"/>
  <c r="H443" i="4" s="1"/>
  <c r="C444" i="4"/>
  <c r="AB443" i="3"/>
  <c r="E444" i="4" s="1"/>
  <c r="D445" i="4" l="1"/>
  <c r="H452" i="2"/>
  <c r="K453" i="2"/>
  <c r="I447" i="2"/>
  <c r="L448" i="2"/>
  <c r="C445" i="4"/>
  <c r="AB444" i="3"/>
  <c r="E445" i="4" s="1"/>
  <c r="G445" i="4"/>
  <c r="L445" i="4" s="1"/>
  <c r="I445" i="4"/>
  <c r="M445" i="4" s="1"/>
  <c r="K445" i="4"/>
  <c r="N445" i="4" s="1"/>
  <c r="T447" i="2"/>
  <c r="G447" i="2"/>
  <c r="D448" i="2"/>
  <c r="M451" i="2"/>
  <c r="J450" i="2"/>
  <c r="A446" i="4"/>
  <c r="J445" i="3"/>
  <c r="V445" i="3"/>
  <c r="M445" i="3"/>
  <c r="N445" i="3"/>
  <c r="C445" i="3"/>
  <c r="P445" i="3"/>
  <c r="E445" i="3"/>
  <c r="G445" i="3"/>
  <c r="S445" i="3"/>
  <c r="Y445" i="3" s="1"/>
  <c r="Z445" i="3" s="1"/>
  <c r="AA445" i="3" s="1"/>
  <c r="H445" i="3"/>
  <c r="T445" i="3"/>
  <c r="F444" i="3"/>
  <c r="D445" i="3"/>
  <c r="E447" i="2"/>
  <c r="F447" i="2"/>
  <c r="C448" i="2"/>
  <c r="I443" i="3"/>
  <c r="F444" i="4" s="1"/>
  <c r="U443" i="3"/>
  <c r="J444" i="4" s="1"/>
  <c r="O443" i="3"/>
  <c r="H444" i="4" s="1"/>
  <c r="D446" i="4" l="1"/>
  <c r="C446" i="4"/>
  <c r="AB445" i="3"/>
  <c r="E446" i="4" s="1"/>
  <c r="G446" i="4"/>
  <c r="L446" i="4" s="1"/>
  <c r="I446" i="4"/>
  <c r="M446" i="4" s="1"/>
  <c r="K446" i="4"/>
  <c r="N446" i="4" s="1"/>
  <c r="O444" i="3"/>
  <c r="H445" i="4" s="1"/>
  <c r="I444" i="3"/>
  <c r="F445" i="4" s="1"/>
  <c r="U444" i="3"/>
  <c r="J445" i="4" s="1"/>
  <c r="M452" i="2"/>
  <c r="J451" i="2"/>
  <c r="L449" i="2"/>
  <c r="I448" i="2"/>
  <c r="F448" i="2" s="1"/>
  <c r="G448" i="2"/>
  <c r="T448" i="2"/>
  <c r="D449" i="2"/>
  <c r="D446" i="3"/>
  <c r="F445" i="3"/>
  <c r="A447" i="4"/>
  <c r="G446" i="3"/>
  <c r="S446" i="3"/>
  <c r="Y446" i="3" s="1"/>
  <c r="Z446" i="3" s="1"/>
  <c r="AA446" i="3" s="1"/>
  <c r="H446" i="3"/>
  <c r="T446" i="3"/>
  <c r="J446" i="3"/>
  <c r="V446" i="3"/>
  <c r="M446" i="3"/>
  <c r="N446" i="3"/>
  <c r="P446" i="3"/>
  <c r="C446" i="3"/>
  <c r="E446" i="3"/>
  <c r="K454" i="2"/>
  <c r="H453" i="2"/>
  <c r="C449" i="2"/>
  <c r="E448" i="2"/>
  <c r="D447" i="4" l="1"/>
  <c r="H454" i="2"/>
  <c r="K455" i="2"/>
  <c r="A448" i="4"/>
  <c r="P447" i="3"/>
  <c r="E447" i="3"/>
  <c r="G447" i="3"/>
  <c r="S447" i="3"/>
  <c r="Y447" i="3" s="1"/>
  <c r="Z447" i="3" s="1"/>
  <c r="AA447" i="3" s="1"/>
  <c r="H447" i="3"/>
  <c r="T447" i="3"/>
  <c r="J447" i="3"/>
  <c r="V447" i="3"/>
  <c r="M447" i="3"/>
  <c r="C447" i="3"/>
  <c r="N447" i="3"/>
  <c r="G447" i="4"/>
  <c r="L447" i="4" s="1"/>
  <c r="I447" i="4"/>
  <c r="M447" i="4" s="1"/>
  <c r="K447" i="4"/>
  <c r="N447" i="4" s="1"/>
  <c r="O445" i="3"/>
  <c r="H446" i="4" s="1"/>
  <c r="I445" i="3"/>
  <c r="F446" i="4" s="1"/>
  <c r="U445" i="3"/>
  <c r="J446" i="4" s="1"/>
  <c r="D447" i="3"/>
  <c r="F446" i="3"/>
  <c r="D450" i="2"/>
  <c r="T449" i="2"/>
  <c r="G449" i="2"/>
  <c r="C447" i="4"/>
  <c r="AB446" i="3"/>
  <c r="E447" i="4" s="1"/>
  <c r="L450" i="2"/>
  <c r="I449" i="2"/>
  <c r="F449" i="2" s="1"/>
  <c r="E449" i="2"/>
  <c r="C450" i="2"/>
  <c r="M453" i="2"/>
  <c r="J452" i="2"/>
  <c r="D448" i="4" l="1"/>
  <c r="I450" i="2"/>
  <c r="L451" i="2"/>
  <c r="A449" i="4"/>
  <c r="M448" i="3"/>
  <c r="N448" i="3"/>
  <c r="C448" i="3"/>
  <c r="P448" i="3"/>
  <c r="E448" i="3"/>
  <c r="G448" i="3"/>
  <c r="S448" i="3"/>
  <c r="Y448" i="3" s="1"/>
  <c r="Z448" i="3" s="1"/>
  <c r="AA448" i="3" s="1"/>
  <c r="H448" i="3"/>
  <c r="T448" i="3"/>
  <c r="J448" i="3"/>
  <c r="V448" i="3"/>
  <c r="K448" i="4"/>
  <c r="N448" i="4" s="1"/>
  <c r="G448" i="4"/>
  <c r="L448" i="4" s="1"/>
  <c r="I448" i="4"/>
  <c r="M448" i="4" s="1"/>
  <c r="T450" i="2"/>
  <c r="G450" i="2"/>
  <c r="D451" i="2"/>
  <c r="I446" i="3"/>
  <c r="F447" i="4" s="1"/>
  <c r="U446" i="3"/>
  <c r="J447" i="4" s="1"/>
  <c r="O446" i="3"/>
  <c r="H447" i="4" s="1"/>
  <c r="H455" i="2"/>
  <c r="K456" i="2"/>
  <c r="M454" i="2"/>
  <c r="J453" i="2"/>
  <c r="F447" i="3"/>
  <c r="D448" i="3"/>
  <c r="C448" i="4"/>
  <c r="AB447" i="3"/>
  <c r="E448" i="4" s="1"/>
  <c r="E450" i="2"/>
  <c r="F450" i="2"/>
  <c r="C451" i="2"/>
  <c r="D449" i="4" l="1"/>
  <c r="F448" i="3"/>
  <c r="D449" i="3"/>
  <c r="A450" i="4"/>
  <c r="J449" i="3"/>
  <c r="V449" i="3"/>
  <c r="M449" i="3"/>
  <c r="N449" i="3"/>
  <c r="C449" i="3"/>
  <c r="P449" i="3"/>
  <c r="E449" i="3"/>
  <c r="G449" i="3"/>
  <c r="S449" i="3"/>
  <c r="Y449" i="3" s="1"/>
  <c r="Z449" i="3" s="1"/>
  <c r="AA449" i="3" s="1"/>
  <c r="T449" i="3"/>
  <c r="H449" i="3"/>
  <c r="I447" i="3"/>
  <c r="F448" i="4" s="1"/>
  <c r="U447" i="3"/>
  <c r="J448" i="4" s="1"/>
  <c r="O447" i="3"/>
  <c r="H448" i="4" s="1"/>
  <c r="M455" i="2"/>
  <c r="J454" i="2"/>
  <c r="C449" i="4"/>
  <c r="AB448" i="3"/>
  <c r="E449" i="4" s="1"/>
  <c r="I449" i="4"/>
  <c r="M449" i="4" s="1"/>
  <c r="K449" i="4"/>
  <c r="N449" i="4" s="1"/>
  <c r="G449" i="4"/>
  <c r="L449" i="4" s="1"/>
  <c r="L452" i="2"/>
  <c r="I451" i="2"/>
  <c r="F451" i="2" s="1"/>
  <c r="H456" i="2"/>
  <c r="K457" i="2"/>
  <c r="G451" i="2"/>
  <c r="T451" i="2"/>
  <c r="D452" i="2"/>
  <c r="C452" i="2"/>
  <c r="E451" i="2"/>
  <c r="D450" i="4" l="1"/>
  <c r="L453" i="2"/>
  <c r="I452" i="2"/>
  <c r="E452" i="2"/>
  <c r="F452" i="2"/>
  <c r="C453" i="2"/>
  <c r="D453" i="2"/>
  <c r="T452" i="2"/>
  <c r="G452" i="2"/>
  <c r="H457" i="2"/>
  <c r="K458" i="2"/>
  <c r="M456" i="2"/>
  <c r="J455" i="2"/>
  <c r="C450" i="4"/>
  <c r="AB449" i="3"/>
  <c r="E450" i="4" s="1"/>
  <c r="G450" i="4"/>
  <c r="L450" i="4" s="1"/>
  <c r="I450" i="4"/>
  <c r="M450" i="4" s="1"/>
  <c r="K450" i="4"/>
  <c r="N450" i="4" s="1"/>
  <c r="D450" i="3"/>
  <c r="F449" i="3"/>
  <c r="O448" i="3"/>
  <c r="H449" i="4" s="1"/>
  <c r="I448" i="3"/>
  <c r="F449" i="4" s="1"/>
  <c r="U448" i="3"/>
  <c r="J449" i="4" s="1"/>
  <c r="A451" i="4"/>
  <c r="G450" i="3"/>
  <c r="S450" i="3"/>
  <c r="Y450" i="3" s="1"/>
  <c r="Z450" i="3" s="1"/>
  <c r="AA450" i="3" s="1"/>
  <c r="H450" i="3"/>
  <c r="T450" i="3"/>
  <c r="M450" i="3"/>
  <c r="N450" i="3"/>
  <c r="P450" i="3"/>
  <c r="C450" i="3"/>
  <c r="E450" i="3"/>
  <c r="J450" i="3"/>
  <c r="V450" i="3"/>
  <c r="D451" i="4" l="1"/>
  <c r="A452" i="4"/>
  <c r="P451" i="3"/>
  <c r="E451" i="3"/>
  <c r="H451" i="3"/>
  <c r="T451" i="3"/>
  <c r="J451" i="3"/>
  <c r="V451" i="3"/>
  <c r="M451" i="3"/>
  <c r="C451" i="3"/>
  <c r="G451" i="3"/>
  <c r="N451" i="3"/>
  <c r="S451" i="3"/>
  <c r="Y451" i="3" s="1"/>
  <c r="Z451" i="3" s="1"/>
  <c r="AA451" i="3" s="1"/>
  <c r="O449" i="3"/>
  <c r="H450" i="4" s="1"/>
  <c r="I449" i="3"/>
  <c r="F450" i="4" s="1"/>
  <c r="U449" i="3"/>
  <c r="J450" i="4" s="1"/>
  <c r="H458" i="2"/>
  <c r="K459" i="2"/>
  <c r="D451" i="3"/>
  <c r="F450" i="3"/>
  <c r="C451" i="4"/>
  <c r="AB450" i="3"/>
  <c r="E451" i="4" s="1"/>
  <c r="T453" i="2"/>
  <c r="D454" i="2"/>
  <c r="G453" i="2"/>
  <c r="E453" i="2"/>
  <c r="F453" i="2"/>
  <c r="C454" i="2"/>
  <c r="G451" i="4"/>
  <c r="L451" i="4" s="1"/>
  <c r="I451" i="4"/>
  <c r="M451" i="4" s="1"/>
  <c r="K451" i="4"/>
  <c r="N451" i="4" s="1"/>
  <c r="I453" i="2"/>
  <c r="L454" i="2"/>
  <c r="M457" i="2"/>
  <c r="J456" i="2"/>
  <c r="D452" i="4" l="1"/>
  <c r="C452" i="4"/>
  <c r="AB451" i="3"/>
  <c r="E452" i="4" s="1"/>
  <c r="I450" i="3"/>
  <c r="F451" i="4" s="1"/>
  <c r="U450" i="3"/>
  <c r="J451" i="4" s="1"/>
  <c r="O450" i="3"/>
  <c r="H451" i="4" s="1"/>
  <c r="F451" i="3"/>
  <c r="D452" i="3"/>
  <c r="H459" i="2"/>
  <c r="K460" i="2"/>
  <c r="A453" i="4"/>
  <c r="M452" i="3"/>
  <c r="N452" i="3"/>
  <c r="C452" i="3"/>
  <c r="E452" i="3"/>
  <c r="G452" i="3"/>
  <c r="S452" i="3"/>
  <c r="Y452" i="3" s="1"/>
  <c r="Z452" i="3" s="1"/>
  <c r="AA452" i="3" s="1"/>
  <c r="H452" i="3"/>
  <c r="T452" i="3"/>
  <c r="J452" i="3"/>
  <c r="V452" i="3"/>
  <c r="P452" i="3"/>
  <c r="C455" i="2"/>
  <c r="E454" i="2"/>
  <c r="G452" i="4"/>
  <c r="L452" i="4" s="1"/>
  <c r="I452" i="4"/>
  <c r="M452" i="4" s="1"/>
  <c r="K452" i="4"/>
  <c r="N452" i="4" s="1"/>
  <c r="M458" i="2"/>
  <c r="J457" i="2"/>
  <c r="L455" i="2"/>
  <c r="I454" i="2"/>
  <c r="F454" i="2" s="1"/>
  <c r="G454" i="2"/>
  <c r="D455" i="2"/>
  <c r="T454" i="2"/>
  <c r="D453" i="4" l="1"/>
  <c r="G453" i="4"/>
  <c r="L453" i="4" s="1"/>
  <c r="I453" i="4"/>
  <c r="M453" i="4" s="1"/>
  <c r="K453" i="4"/>
  <c r="N453" i="4" s="1"/>
  <c r="H460" i="2"/>
  <c r="K461" i="2"/>
  <c r="L456" i="2"/>
  <c r="I455" i="2"/>
  <c r="M459" i="2"/>
  <c r="J458" i="2"/>
  <c r="F452" i="3"/>
  <c r="D453" i="3"/>
  <c r="I451" i="3"/>
  <c r="F452" i="4" s="1"/>
  <c r="U451" i="3"/>
  <c r="J452" i="4" s="1"/>
  <c r="O451" i="3"/>
  <c r="H452" i="4" s="1"/>
  <c r="A454" i="4"/>
  <c r="J453" i="3"/>
  <c r="V453" i="3"/>
  <c r="N453" i="3"/>
  <c r="C453" i="3"/>
  <c r="P453" i="3"/>
  <c r="E453" i="3"/>
  <c r="G453" i="3"/>
  <c r="S453" i="3"/>
  <c r="Y453" i="3" s="1"/>
  <c r="Z453" i="3" s="1"/>
  <c r="AA453" i="3" s="1"/>
  <c r="T453" i="3"/>
  <c r="H453" i="3"/>
  <c r="M453" i="3"/>
  <c r="D456" i="2"/>
  <c r="T455" i="2"/>
  <c r="G455" i="2"/>
  <c r="E455" i="2"/>
  <c r="F455" i="2"/>
  <c r="C456" i="2"/>
  <c r="C453" i="4"/>
  <c r="AB452" i="3"/>
  <c r="E453" i="4" s="1"/>
  <c r="D454" i="4" l="1"/>
  <c r="A455" i="4"/>
  <c r="G454" i="3"/>
  <c r="S454" i="3"/>
  <c r="Y454" i="3" s="1"/>
  <c r="Z454" i="3" s="1"/>
  <c r="AA454" i="3" s="1"/>
  <c r="H454" i="3"/>
  <c r="T454" i="3"/>
  <c r="M454" i="3"/>
  <c r="P454" i="3"/>
  <c r="V454" i="3"/>
  <c r="C454" i="3"/>
  <c r="E454" i="3"/>
  <c r="J454" i="3"/>
  <c r="N454" i="3"/>
  <c r="D454" i="3"/>
  <c r="F453" i="3"/>
  <c r="I456" i="2"/>
  <c r="F456" i="2" s="1"/>
  <c r="L457" i="2"/>
  <c r="H461" i="2"/>
  <c r="K462" i="2"/>
  <c r="T456" i="2"/>
  <c r="D457" i="2"/>
  <c r="G456" i="2"/>
  <c r="K454" i="4"/>
  <c r="N454" i="4" s="1"/>
  <c r="G454" i="4"/>
  <c r="L454" i="4" s="1"/>
  <c r="I454" i="4"/>
  <c r="M454" i="4" s="1"/>
  <c r="C454" i="4"/>
  <c r="AB453" i="3"/>
  <c r="E454" i="4" s="1"/>
  <c r="O452" i="3"/>
  <c r="H453" i="4" s="1"/>
  <c r="I452" i="3"/>
  <c r="F453" i="4" s="1"/>
  <c r="U452" i="3"/>
  <c r="J453" i="4" s="1"/>
  <c r="E456" i="2"/>
  <c r="C457" i="2"/>
  <c r="M460" i="2"/>
  <c r="J459" i="2"/>
  <c r="D455" i="4" l="1"/>
  <c r="M461" i="2"/>
  <c r="J460" i="2"/>
  <c r="C458" i="2"/>
  <c r="E457" i="2"/>
  <c r="G457" i="2"/>
  <c r="T457" i="2"/>
  <c r="D458" i="2"/>
  <c r="A456" i="4"/>
  <c r="P455" i="3"/>
  <c r="E455" i="3"/>
  <c r="H455" i="3"/>
  <c r="T455" i="3"/>
  <c r="J455" i="3"/>
  <c r="V455" i="3"/>
  <c r="M455" i="3"/>
  <c r="C455" i="3"/>
  <c r="G455" i="3"/>
  <c r="N455" i="3"/>
  <c r="S455" i="3"/>
  <c r="Y455" i="3" s="1"/>
  <c r="Z455" i="3" s="1"/>
  <c r="AA455" i="3" s="1"/>
  <c r="H462" i="2"/>
  <c r="K463" i="2"/>
  <c r="C455" i="4"/>
  <c r="AB454" i="3"/>
  <c r="E455" i="4" s="1"/>
  <c r="L458" i="2"/>
  <c r="I457" i="2"/>
  <c r="F457" i="2" s="1"/>
  <c r="O453" i="3"/>
  <c r="H454" i="4" s="1"/>
  <c r="I453" i="3"/>
  <c r="F454" i="4" s="1"/>
  <c r="U453" i="3"/>
  <c r="J454" i="4" s="1"/>
  <c r="D455" i="3"/>
  <c r="F454" i="3"/>
  <c r="I455" i="4"/>
  <c r="M455" i="4" s="1"/>
  <c r="K455" i="4"/>
  <c r="N455" i="4" s="1"/>
  <c r="G455" i="4"/>
  <c r="L455" i="4" s="1"/>
  <c r="D456" i="4" l="1"/>
  <c r="G456" i="4"/>
  <c r="L456" i="4" s="1"/>
  <c r="I456" i="4"/>
  <c r="M456" i="4" s="1"/>
  <c r="K456" i="4"/>
  <c r="N456" i="4" s="1"/>
  <c r="D459" i="2"/>
  <c r="T458" i="2"/>
  <c r="G458" i="2"/>
  <c r="F455" i="3"/>
  <c r="D456" i="3"/>
  <c r="C456" i="4"/>
  <c r="AB455" i="3"/>
  <c r="E456" i="4" s="1"/>
  <c r="E458" i="2"/>
  <c r="C459" i="2"/>
  <c r="L459" i="2"/>
  <c r="I458" i="2"/>
  <c r="F458" i="2" s="1"/>
  <c r="M462" i="2"/>
  <c r="J461" i="2"/>
  <c r="A457" i="4"/>
  <c r="M456" i="3"/>
  <c r="N456" i="3"/>
  <c r="C456" i="3"/>
  <c r="E456" i="3"/>
  <c r="G456" i="3"/>
  <c r="S456" i="3"/>
  <c r="Y456" i="3" s="1"/>
  <c r="Z456" i="3" s="1"/>
  <c r="AA456" i="3" s="1"/>
  <c r="J456" i="3"/>
  <c r="V456" i="3"/>
  <c r="H456" i="3"/>
  <c r="P456" i="3"/>
  <c r="T456" i="3"/>
  <c r="I454" i="3"/>
  <c r="F455" i="4" s="1"/>
  <c r="U454" i="3"/>
  <c r="J455" i="4" s="1"/>
  <c r="O454" i="3"/>
  <c r="H455" i="4" s="1"/>
  <c r="H463" i="2"/>
  <c r="K464" i="2"/>
  <c r="D457" i="4" l="1"/>
  <c r="C457" i="4"/>
  <c r="AB456" i="3"/>
  <c r="E457" i="4" s="1"/>
  <c r="I455" i="3"/>
  <c r="F456" i="4" s="1"/>
  <c r="U455" i="3"/>
  <c r="J456" i="4" s="1"/>
  <c r="O455" i="3"/>
  <c r="H456" i="4" s="1"/>
  <c r="G457" i="4"/>
  <c r="L457" i="4" s="1"/>
  <c r="I457" i="4"/>
  <c r="M457" i="4" s="1"/>
  <c r="K457" i="4"/>
  <c r="N457" i="4" s="1"/>
  <c r="M463" i="2"/>
  <c r="J462" i="2"/>
  <c r="T459" i="2"/>
  <c r="D460" i="2"/>
  <c r="G459" i="2"/>
  <c r="I459" i="2"/>
  <c r="L460" i="2"/>
  <c r="E459" i="2"/>
  <c r="F459" i="2"/>
  <c r="C460" i="2"/>
  <c r="H464" i="2"/>
  <c r="K465" i="2"/>
  <c r="A458" i="4"/>
  <c r="J457" i="3"/>
  <c r="V457" i="3"/>
  <c r="N457" i="3"/>
  <c r="C457" i="3"/>
  <c r="P457" i="3"/>
  <c r="G457" i="3"/>
  <c r="S457" i="3"/>
  <c r="Y457" i="3" s="1"/>
  <c r="Z457" i="3" s="1"/>
  <c r="AA457" i="3" s="1"/>
  <c r="E457" i="3"/>
  <c r="H457" i="3"/>
  <c r="M457" i="3"/>
  <c r="T457" i="3"/>
  <c r="F456" i="3"/>
  <c r="D457" i="3"/>
  <c r="D458" i="4" l="1"/>
  <c r="C458" i="4"/>
  <c r="AB457" i="3"/>
  <c r="E458" i="4" s="1"/>
  <c r="E460" i="2"/>
  <c r="C461" i="2"/>
  <c r="F460" i="2"/>
  <c r="L461" i="2"/>
  <c r="I460" i="2"/>
  <c r="G460" i="2"/>
  <c r="T460" i="2"/>
  <c r="D461" i="2"/>
  <c r="D458" i="3"/>
  <c r="F457" i="3"/>
  <c r="O456" i="3"/>
  <c r="H457" i="4" s="1"/>
  <c r="I456" i="3"/>
  <c r="F457" i="4" s="1"/>
  <c r="U456" i="3"/>
  <c r="J457" i="4" s="1"/>
  <c r="A459" i="4"/>
  <c r="G458" i="3"/>
  <c r="S458" i="3"/>
  <c r="Y458" i="3" s="1"/>
  <c r="Z458" i="3" s="1"/>
  <c r="AA458" i="3" s="1"/>
  <c r="H458" i="3"/>
  <c r="T458" i="3"/>
  <c r="M458" i="3"/>
  <c r="P458" i="3"/>
  <c r="E458" i="3"/>
  <c r="J458" i="3"/>
  <c r="N458" i="3"/>
  <c r="V458" i="3"/>
  <c r="C458" i="3"/>
  <c r="G458" i="4"/>
  <c r="L458" i="4" s="1"/>
  <c r="I458" i="4"/>
  <c r="M458" i="4" s="1"/>
  <c r="K458" i="4"/>
  <c r="N458" i="4" s="1"/>
  <c r="M464" i="2"/>
  <c r="J463" i="2"/>
  <c r="K466" i="2"/>
  <c r="H465" i="2"/>
  <c r="D459" i="4" l="1"/>
  <c r="D462" i="2"/>
  <c r="T461" i="2"/>
  <c r="G461" i="2"/>
  <c r="C459" i="4"/>
  <c r="AB458" i="3"/>
  <c r="E459" i="4" s="1"/>
  <c r="L462" i="2"/>
  <c r="I461" i="2"/>
  <c r="A460" i="4"/>
  <c r="P459" i="3"/>
  <c r="E459" i="3"/>
  <c r="H459" i="3"/>
  <c r="T459" i="3"/>
  <c r="J459" i="3"/>
  <c r="V459" i="3"/>
  <c r="M459" i="3"/>
  <c r="C459" i="3"/>
  <c r="N459" i="3"/>
  <c r="S459" i="3"/>
  <c r="Y459" i="3" s="1"/>
  <c r="Z459" i="3" s="1"/>
  <c r="AA459" i="3" s="1"/>
  <c r="G459" i="3"/>
  <c r="G459" i="4"/>
  <c r="L459" i="4" s="1"/>
  <c r="I459" i="4"/>
  <c r="M459" i="4" s="1"/>
  <c r="K459" i="4"/>
  <c r="N459" i="4" s="1"/>
  <c r="E461" i="2"/>
  <c r="F461" i="2"/>
  <c r="C462" i="2"/>
  <c r="H466" i="2"/>
  <c r="K467" i="2"/>
  <c r="O457" i="3"/>
  <c r="H458" i="4" s="1"/>
  <c r="I457" i="3"/>
  <c r="F458" i="4" s="1"/>
  <c r="U457" i="3"/>
  <c r="J458" i="4" s="1"/>
  <c r="M465" i="2"/>
  <c r="J464" i="2"/>
  <c r="D459" i="3"/>
  <c r="F458" i="3"/>
  <c r="D460" i="4" l="1"/>
  <c r="K460" i="4"/>
  <c r="N460" i="4" s="1"/>
  <c r="G460" i="4"/>
  <c r="L460" i="4" s="1"/>
  <c r="I460" i="4"/>
  <c r="M460" i="4" s="1"/>
  <c r="I462" i="2"/>
  <c r="F462" i="2" s="1"/>
  <c r="L463" i="2"/>
  <c r="H467" i="2"/>
  <c r="K468" i="2"/>
  <c r="E462" i="2"/>
  <c r="C463" i="2"/>
  <c r="C460" i="4"/>
  <c r="AB459" i="3"/>
  <c r="E460" i="4" s="1"/>
  <c r="T462" i="2"/>
  <c r="D463" i="2"/>
  <c r="G462" i="2"/>
  <c r="I458" i="3"/>
  <c r="F459" i="4" s="1"/>
  <c r="U458" i="3"/>
  <c r="J459" i="4" s="1"/>
  <c r="O458" i="3"/>
  <c r="H459" i="4" s="1"/>
  <c r="F459" i="3"/>
  <c r="D460" i="3"/>
  <c r="M466" i="2"/>
  <c r="J465" i="2"/>
  <c r="A461" i="4"/>
  <c r="M460" i="3"/>
  <c r="N460" i="3"/>
  <c r="C460" i="3"/>
  <c r="E460" i="3"/>
  <c r="G460" i="3"/>
  <c r="S460" i="3"/>
  <c r="Y460" i="3" s="1"/>
  <c r="Z460" i="3" s="1"/>
  <c r="AA460" i="3" s="1"/>
  <c r="J460" i="3"/>
  <c r="V460" i="3"/>
  <c r="P460" i="3"/>
  <c r="T460" i="3"/>
  <c r="H460" i="3"/>
  <c r="D461" i="4" l="1"/>
  <c r="I459" i="3"/>
  <c r="F460" i="4" s="1"/>
  <c r="U459" i="3"/>
  <c r="J460" i="4" s="1"/>
  <c r="O459" i="3"/>
  <c r="H460" i="4" s="1"/>
  <c r="K469" i="2"/>
  <c r="H468" i="2"/>
  <c r="L464" i="2"/>
  <c r="I463" i="2"/>
  <c r="G463" i="2"/>
  <c r="T463" i="2"/>
  <c r="D464" i="2"/>
  <c r="C461" i="4"/>
  <c r="AB460" i="3"/>
  <c r="E461" i="4" s="1"/>
  <c r="I461" i="4"/>
  <c r="M461" i="4" s="1"/>
  <c r="K461" i="4"/>
  <c r="N461" i="4" s="1"/>
  <c r="G461" i="4"/>
  <c r="L461" i="4" s="1"/>
  <c r="A462" i="4"/>
  <c r="J461" i="3"/>
  <c r="V461" i="3"/>
  <c r="C461" i="3"/>
  <c r="P461" i="3"/>
  <c r="G461" i="3"/>
  <c r="S461" i="3"/>
  <c r="Y461" i="3" s="1"/>
  <c r="Z461" i="3" s="1"/>
  <c r="AA461" i="3" s="1"/>
  <c r="N461" i="3"/>
  <c r="T461" i="3"/>
  <c r="E461" i="3"/>
  <c r="H461" i="3"/>
  <c r="M461" i="3"/>
  <c r="E463" i="2"/>
  <c r="C464" i="2"/>
  <c r="F463" i="2"/>
  <c r="M467" i="2"/>
  <c r="J466" i="2"/>
  <c r="F460" i="3"/>
  <c r="D461" i="3"/>
  <c r="D462" i="4" l="1"/>
  <c r="D465" i="2"/>
  <c r="T464" i="2"/>
  <c r="G464" i="2"/>
  <c r="E464" i="2"/>
  <c r="C465" i="2"/>
  <c r="C462" i="4"/>
  <c r="AB461" i="3"/>
  <c r="E462" i="4" s="1"/>
  <c r="G462" i="4"/>
  <c r="L462" i="4" s="1"/>
  <c r="I462" i="4"/>
  <c r="M462" i="4" s="1"/>
  <c r="K462" i="4"/>
  <c r="N462" i="4" s="1"/>
  <c r="L465" i="2"/>
  <c r="I464" i="2"/>
  <c r="F464" i="2" s="1"/>
  <c r="A463" i="4"/>
  <c r="G462" i="3"/>
  <c r="S462" i="3"/>
  <c r="Y462" i="3" s="1"/>
  <c r="Z462" i="3" s="1"/>
  <c r="AA462" i="3" s="1"/>
  <c r="H462" i="3"/>
  <c r="T462" i="3"/>
  <c r="M462" i="3"/>
  <c r="P462" i="3"/>
  <c r="N462" i="3"/>
  <c r="V462" i="3"/>
  <c r="C462" i="3"/>
  <c r="E462" i="3"/>
  <c r="J462" i="3"/>
  <c r="H469" i="2"/>
  <c r="K470" i="2"/>
  <c r="D462" i="3"/>
  <c r="F461" i="3"/>
  <c r="O460" i="3"/>
  <c r="H461" i="4" s="1"/>
  <c r="U460" i="3"/>
  <c r="J461" i="4" s="1"/>
  <c r="I460" i="3"/>
  <c r="F461" i="4" s="1"/>
  <c r="M468" i="2"/>
  <c r="J467" i="2"/>
  <c r="D463" i="4" l="1"/>
  <c r="M469" i="2"/>
  <c r="J468" i="2"/>
  <c r="E465" i="2"/>
  <c r="C466" i="2"/>
  <c r="G463" i="4"/>
  <c r="L463" i="4" s="1"/>
  <c r="I463" i="4"/>
  <c r="M463" i="4" s="1"/>
  <c r="K463" i="4"/>
  <c r="N463" i="4" s="1"/>
  <c r="H470" i="2"/>
  <c r="K471" i="2"/>
  <c r="C463" i="4"/>
  <c r="AB462" i="3"/>
  <c r="E463" i="4" s="1"/>
  <c r="O461" i="3"/>
  <c r="H462" i="4" s="1"/>
  <c r="I461" i="3"/>
  <c r="F462" i="4" s="1"/>
  <c r="U461" i="3"/>
  <c r="J462" i="4" s="1"/>
  <c r="D463" i="3"/>
  <c r="F462" i="3"/>
  <c r="I465" i="2"/>
  <c r="F465" i="2" s="1"/>
  <c r="L466" i="2"/>
  <c r="A464" i="4"/>
  <c r="P463" i="3"/>
  <c r="E463" i="3"/>
  <c r="J463" i="3"/>
  <c r="V463" i="3"/>
  <c r="C463" i="3"/>
  <c r="M463" i="3"/>
  <c r="N463" i="3"/>
  <c r="S463" i="3"/>
  <c r="Y463" i="3" s="1"/>
  <c r="Z463" i="3" s="1"/>
  <c r="AA463" i="3" s="1"/>
  <c r="T463" i="3"/>
  <c r="G463" i="3"/>
  <c r="H463" i="3"/>
  <c r="T465" i="2"/>
  <c r="D466" i="2"/>
  <c r="G465" i="2"/>
  <c r="D464" i="4" l="1"/>
  <c r="L467" i="2"/>
  <c r="I466" i="2"/>
  <c r="F463" i="3"/>
  <c r="D464" i="3"/>
  <c r="I462" i="3"/>
  <c r="F463" i="4" s="1"/>
  <c r="U462" i="3"/>
  <c r="J463" i="4" s="1"/>
  <c r="O462" i="3"/>
  <c r="H463" i="4" s="1"/>
  <c r="E466" i="2"/>
  <c r="C467" i="2"/>
  <c r="F466" i="2"/>
  <c r="A465" i="4"/>
  <c r="M464" i="3"/>
  <c r="N464" i="3"/>
  <c r="C464" i="3"/>
  <c r="G464" i="3"/>
  <c r="S464" i="3"/>
  <c r="Y464" i="3" s="1"/>
  <c r="Z464" i="3" s="1"/>
  <c r="AA464" i="3" s="1"/>
  <c r="J464" i="3"/>
  <c r="P464" i="3"/>
  <c r="T464" i="3"/>
  <c r="V464" i="3"/>
  <c r="H464" i="3"/>
  <c r="E464" i="3"/>
  <c r="G466" i="2"/>
  <c r="T466" i="2"/>
  <c r="D467" i="2"/>
  <c r="K472" i="2"/>
  <c r="H471" i="2"/>
  <c r="M470" i="2"/>
  <c r="J469" i="2"/>
  <c r="C464" i="4"/>
  <c r="AB463" i="3"/>
  <c r="E464" i="4" s="1"/>
  <c r="G464" i="4"/>
  <c r="L464" i="4" s="1"/>
  <c r="I464" i="4"/>
  <c r="M464" i="4" s="1"/>
  <c r="K464" i="4"/>
  <c r="N464" i="4" s="1"/>
  <c r="D465" i="4" l="1"/>
  <c r="E467" i="2"/>
  <c r="C468" i="2"/>
  <c r="F464" i="3"/>
  <c r="D465" i="3"/>
  <c r="J470" i="2"/>
  <c r="M471" i="2"/>
  <c r="H472" i="2"/>
  <c r="K473" i="2"/>
  <c r="I463" i="3"/>
  <c r="F464" i="4" s="1"/>
  <c r="U463" i="3"/>
  <c r="J464" i="4" s="1"/>
  <c r="O463" i="3"/>
  <c r="H464" i="4" s="1"/>
  <c r="D468" i="2"/>
  <c r="T467" i="2"/>
  <c r="G467" i="2"/>
  <c r="L468" i="2"/>
  <c r="I467" i="2"/>
  <c r="F467" i="2" s="1"/>
  <c r="C465" i="4"/>
  <c r="AB464" i="3"/>
  <c r="E465" i="4" s="1"/>
  <c r="A466" i="4"/>
  <c r="J465" i="3"/>
  <c r="V465" i="3"/>
  <c r="C465" i="3"/>
  <c r="E465" i="3"/>
  <c r="G465" i="3"/>
  <c r="H465" i="3"/>
  <c r="M465" i="3"/>
  <c r="N465" i="3"/>
  <c r="P465" i="3"/>
  <c r="T465" i="3"/>
  <c r="S465" i="3"/>
  <c r="Y465" i="3" s="1"/>
  <c r="Z465" i="3" s="1"/>
  <c r="AA465" i="3" s="1"/>
  <c r="G465" i="4"/>
  <c r="L465" i="4" s="1"/>
  <c r="I465" i="4"/>
  <c r="M465" i="4" s="1"/>
  <c r="K465" i="4"/>
  <c r="N465" i="4" s="1"/>
  <c r="D466" i="4" l="1"/>
  <c r="H473" i="2"/>
  <c r="K474" i="2"/>
  <c r="K466" i="4"/>
  <c r="N466" i="4" s="1"/>
  <c r="G466" i="4"/>
  <c r="L466" i="4" s="1"/>
  <c r="I466" i="4"/>
  <c r="M466" i="4" s="1"/>
  <c r="M472" i="2"/>
  <c r="J471" i="2"/>
  <c r="A467" i="4"/>
  <c r="H466" i="3"/>
  <c r="T466" i="3"/>
  <c r="J466" i="3"/>
  <c r="V466" i="3"/>
  <c r="M466" i="3"/>
  <c r="N466" i="3"/>
  <c r="C466" i="3"/>
  <c r="P466" i="3"/>
  <c r="E466" i="3"/>
  <c r="G466" i="3"/>
  <c r="S466" i="3"/>
  <c r="Y466" i="3" s="1"/>
  <c r="Z466" i="3" s="1"/>
  <c r="AA466" i="3" s="1"/>
  <c r="F465" i="3"/>
  <c r="D466" i="3"/>
  <c r="I468" i="2"/>
  <c r="F468" i="2" s="1"/>
  <c r="L469" i="2"/>
  <c r="O464" i="3"/>
  <c r="H465" i="4" s="1"/>
  <c r="I464" i="3"/>
  <c r="F465" i="4" s="1"/>
  <c r="U464" i="3"/>
  <c r="J465" i="4" s="1"/>
  <c r="C466" i="4"/>
  <c r="AB465" i="3"/>
  <c r="E466" i="4" s="1"/>
  <c r="E468" i="2"/>
  <c r="C469" i="2"/>
  <c r="T468" i="2"/>
  <c r="D469" i="2"/>
  <c r="G468" i="2"/>
  <c r="D467" i="4" l="1"/>
  <c r="A468" i="4"/>
  <c r="E467" i="3"/>
  <c r="G467" i="3"/>
  <c r="S467" i="3"/>
  <c r="Y467" i="3" s="1"/>
  <c r="Z467" i="3" s="1"/>
  <c r="AA467" i="3" s="1"/>
  <c r="H467" i="3"/>
  <c r="T467" i="3"/>
  <c r="J467" i="3"/>
  <c r="V467" i="3"/>
  <c r="M467" i="3"/>
  <c r="N467" i="3"/>
  <c r="P467" i="3"/>
  <c r="C467" i="3"/>
  <c r="M473" i="2"/>
  <c r="J472" i="2"/>
  <c r="C467" i="4"/>
  <c r="AB466" i="3"/>
  <c r="E467" i="4" s="1"/>
  <c r="K475" i="2"/>
  <c r="H474" i="2"/>
  <c r="G469" i="2"/>
  <c r="T469" i="2"/>
  <c r="D470" i="2"/>
  <c r="D467" i="3"/>
  <c r="F466" i="3"/>
  <c r="L470" i="2"/>
  <c r="I469" i="2"/>
  <c r="O465" i="3"/>
  <c r="H466" i="4" s="1"/>
  <c r="I465" i="3"/>
  <c r="F466" i="4" s="1"/>
  <c r="U465" i="3"/>
  <c r="J466" i="4" s="1"/>
  <c r="F469" i="2"/>
  <c r="C470" i="2"/>
  <c r="E469" i="2"/>
  <c r="I467" i="4"/>
  <c r="M467" i="4" s="1"/>
  <c r="K467" i="4"/>
  <c r="N467" i="4" s="1"/>
  <c r="G467" i="4"/>
  <c r="L467" i="4" s="1"/>
  <c r="D468" i="4" l="1"/>
  <c r="D471" i="2"/>
  <c r="T470" i="2"/>
  <c r="G470" i="2"/>
  <c r="C468" i="4"/>
  <c r="AB467" i="3"/>
  <c r="E468" i="4" s="1"/>
  <c r="E470" i="2"/>
  <c r="C471" i="2"/>
  <c r="H475" i="2"/>
  <c r="K476" i="2"/>
  <c r="A469" i="4"/>
  <c r="N468" i="3"/>
  <c r="C468" i="3"/>
  <c r="P468" i="3"/>
  <c r="E468" i="3"/>
  <c r="G468" i="3"/>
  <c r="S468" i="3"/>
  <c r="Y468" i="3" s="1"/>
  <c r="Z468" i="3" s="1"/>
  <c r="AA468" i="3" s="1"/>
  <c r="H468" i="3"/>
  <c r="T468" i="3"/>
  <c r="J468" i="3"/>
  <c r="V468" i="3"/>
  <c r="M468" i="3"/>
  <c r="M474" i="2"/>
  <c r="J473" i="2"/>
  <c r="L471" i="2"/>
  <c r="I470" i="2"/>
  <c r="F470" i="2" s="1"/>
  <c r="G468" i="4"/>
  <c r="L468" i="4" s="1"/>
  <c r="I468" i="4"/>
  <c r="M468" i="4" s="1"/>
  <c r="K468" i="4"/>
  <c r="N468" i="4" s="1"/>
  <c r="I466" i="3"/>
  <c r="F467" i="4" s="1"/>
  <c r="U466" i="3"/>
  <c r="J467" i="4" s="1"/>
  <c r="O466" i="3"/>
  <c r="H467" i="4" s="1"/>
  <c r="F467" i="3"/>
  <c r="D468" i="3"/>
  <c r="D469" i="4" l="1"/>
  <c r="H476" i="2"/>
  <c r="K477" i="2"/>
  <c r="E471" i="2"/>
  <c r="C472" i="2"/>
  <c r="A470" i="4"/>
  <c r="M469" i="3"/>
  <c r="N469" i="3"/>
  <c r="C469" i="3"/>
  <c r="P469" i="3"/>
  <c r="E469" i="3"/>
  <c r="G469" i="3"/>
  <c r="S469" i="3"/>
  <c r="Y469" i="3" s="1"/>
  <c r="Z469" i="3" s="1"/>
  <c r="AA469" i="3" s="1"/>
  <c r="H469" i="3"/>
  <c r="T469" i="3"/>
  <c r="J469" i="3"/>
  <c r="V469" i="3"/>
  <c r="F468" i="3"/>
  <c r="D469" i="3"/>
  <c r="I471" i="2"/>
  <c r="F471" i="2" s="1"/>
  <c r="L472" i="2"/>
  <c r="I467" i="3"/>
  <c r="F468" i="4" s="1"/>
  <c r="U467" i="3"/>
  <c r="J468" i="4" s="1"/>
  <c r="O467" i="3"/>
  <c r="H468" i="4" s="1"/>
  <c r="T471" i="2"/>
  <c r="D472" i="2"/>
  <c r="G471" i="2"/>
  <c r="M475" i="2"/>
  <c r="J474" i="2"/>
  <c r="C469" i="4"/>
  <c r="AB468" i="3"/>
  <c r="E469" i="4" s="1"/>
  <c r="G469" i="4"/>
  <c r="L469" i="4" s="1"/>
  <c r="I469" i="4"/>
  <c r="M469" i="4" s="1"/>
  <c r="K469" i="4"/>
  <c r="N469" i="4" s="1"/>
  <c r="D470" i="4" l="1"/>
  <c r="L473" i="2"/>
  <c r="I472" i="2"/>
  <c r="F469" i="3"/>
  <c r="D470" i="3"/>
  <c r="O468" i="3"/>
  <c r="H469" i="4" s="1"/>
  <c r="I468" i="3"/>
  <c r="F469" i="4" s="1"/>
  <c r="U468" i="3"/>
  <c r="J469" i="4" s="1"/>
  <c r="C470" i="4"/>
  <c r="AB469" i="3"/>
  <c r="E470" i="4" s="1"/>
  <c r="G470" i="4"/>
  <c r="L470" i="4" s="1"/>
  <c r="I470" i="4"/>
  <c r="M470" i="4" s="1"/>
  <c r="K470" i="4"/>
  <c r="N470" i="4" s="1"/>
  <c r="E472" i="2"/>
  <c r="F472" i="2"/>
  <c r="C473" i="2"/>
  <c r="M476" i="2"/>
  <c r="J475" i="2"/>
  <c r="G472" i="2"/>
  <c r="D473" i="2"/>
  <c r="T472" i="2"/>
  <c r="H477" i="2"/>
  <c r="K478" i="2"/>
  <c r="A471" i="4"/>
  <c r="H470" i="3"/>
  <c r="T470" i="3"/>
  <c r="J470" i="3"/>
  <c r="V470" i="3"/>
  <c r="M470" i="3"/>
  <c r="N470" i="3"/>
  <c r="C470" i="3"/>
  <c r="P470" i="3"/>
  <c r="E470" i="3"/>
  <c r="G470" i="3"/>
  <c r="S470" i="3"/>
  <c r="Y470" i="3" s="1"/>
  <c r="Z470" i="3" s="1"/>
  <c r="AA470" i="3" s="1"/>
  <c r="D471" i="4" l="1"/>
  <c r="D474" i="2"/>
  <c r="T473" i="2"/>
  <c r="G473" i="2"/>
  <c r="C471" i="4"/>
  <c r="AB470" i="3"/>
  <c r="E471" i="4" s="1"/>
  <c r="M477" i="2"/>
  <c r="J476" i="2"/>
  <c r="E473" i="2"/>
  <c r="C474" i="2"/>
  <c r="D471" i="3"/>
  <c r="F470" i="3"/>
  <c r="O469" i="3"/>
  <c r="H470" i="4" s="1"/>
  <c r="I469" i="3"/>
  <c r="F470" i="4" s="1"/>
  <c r="U469" i="3"/>
  <c r="J470" i="4" s="1"/>
  <c r="G471" i="4"/>
  <c r="L471" i="4" s="1"/>
  <c r="I471" i="4"/>
  <c r="M471" i="4" s="1"/>
  <c r="K471" i="4"/>
  <c r="N471" i="4" s="1"/>
  <c r="H478" i="2"/>
  <c r="K479" i="2"/>
  <c r="L474" i="2"/>
  <c r="I473" i="2"/>
  <c r="F473" i="2" s="1"/>
  <c r="A472" i="4"/>
  <c r="E471" i="3"/>
  <c r="G471" i="3"/>
  <c r="S471" i="3"/>
  <c r="Y471" i="3" s="1"/>
  <c r="Z471" i="3" s="1"/>
  <c r="AA471" i="3" s="1"/>
  <c r="H471" i="3"/>
  <c r="T471" i="3"/>
  <c r="J471" i="3"/>
  <c r="V471" i="3"/>
  <c r="M471" i="3"/>
  <c r="N471" i="3"/>
  <c r="P471" i="3"/>
  <c r="C471" i="3"/>
  <c r="D472" i="4" l="1"/>
  <c r="E474" i="2"/>
  <c r="C475" i="2"/>
  <c r="J477" i="2"/>
  <c r="M478" i="2"/>
  <c r="A473" i="4"/>
  <c r="N472" i="3"/>
  <c r="C472" i="3"/>
  <c r="P472" i="3"/>
  <c r="E472" i="3"/>
  <c r="G472" i="3"/>
  <c r="S472" i="3"/>
  <c r="Y472" i="3" s="1"/>
  <c r="Z472" i="3" s="1"/>
  <c r="AA472" i="3" s="1"/>
  <c r="H472" i="3"/>
  <c r="T472" i="3"/>
  <c r="J472" i="3"/>
  <c r="V472" i="3"/>
  <c r="M472" i="3"/>
  <c r="T474" i="2"/>
  <c r="D475" i="2"/>
  <c r="G474" i="2"/>
  <c r="I474" i="2"/>
  <c r="F474" i="2" s="1"/>
  <c r="L475" i="2"/>
  <c r="I470" i="3"/>
  <c r="F471" i="4" s="1"/>
  <c r="U470" i="3"/>
  <c r="J471" i="4" s="1"/>
  <c r="O470" i="3"/>
  <c r="H471" i="4" s="1"/>
  <c r="K472" i="4"/>
  <c r="N472" i="4" s="1"/>
  <c r="G472" i="4"/>
  <c r="L472" i="4" s="1"/>
  <c r="I472" i="4"/>
  <c r="M472" i="4" s="1"/>
  <c r="C472" i="4"/>
  <c r="AB471" i="3"/>
  <c r="E472" i="4" s="1"/>
  <c r="H479" i="2"/>
  <c r="K480" i="2"/>
  <c r="F471" i="3"/>
  <c r="D472" i="3"/>
  <c r="D473" i="4" l="1"/>
  <c r="G475" i="2"/>
  <c r="D476" i="2"/>
  <c r="T475" i="2"/>
  <c r="C473" i="4"/>
  <c r="AB472" i="3"/>
  <c r="E473" i="4" s="1"/>
  <c r="I473" i="4"/>
  <c r="M473" i="4" s="1"/>
  <c r="K473" i="4"/>
  <c r="N473" i="4" s="1"/>
  <c r="G473" i="4"/>
  <c r="L473" i="4" s="1"/>
  <c r="M479" i="2"/>
  <c r="J478" i="2"/>
  <c r="E475" i="2"/>
  <c r="F475" i="2"/>
  <c r="C476" i="2"/>
  <c r="F472" i="3"/>
  <c r="D473" i="3"/>
  <c r="I471" i="3"/>
  <c r="F472" i="4" s="1"/>
  <c r="U471" i="3"/>
  <c r="J472" i="4" s="1"/>
  <c r="O471" i="3"/>
  <c r="H472" i="4" s="1"/>
  <c r="H480" i="2"/>
  <c r="K481" i="2"/>
  <c r="L476" i="2"/>
  <c r="I475" i="2"/>
  <c r="A474" i="4"/>
  <c r="M473" i="3"/>
  <c r="N473" i="3"/>
  <c r="C473" i="3"/>
  <c r="P473" i="3"/>
  <c r="E473" i="3"/>
  <c r="G473" i="3"/>
  <c r="S473" i="3"/>
  <c r="Y473" i="3" s="1"/>
  <c r="Z473" i="3" s="1"/>
  <c r="AA473" i="3" s="1"/>
  <c r="H473" i="3"/>
  <c r="T473" i="3"/>
  <c r="J473" i="3"/>
  <c r="V473" i="3"/>
  <c r="D474" i="4" l="1"/>
  <c r="F473" i="3"/>
  <c r="D474" i="3"/>
  <c r="O472" i="3"/>
  <c r="H473" i="4" s="1"/>
  <c r="I472" i="3"/>
  <c r="F473" i="4" s="1"/>
  <c r="U472" i="3"/>
  <c r="J473" i="4" s="1"/>
  <c r="C477" i="2"/>
  <c r="E476" i="2"/>
  <c r="A475" i="4"/>
  <c r="H474" i="3"/>
  <c r="T474" i="3"/>
  <c r="J474" i="3"/>
  <c r="V474" i="3"/>
  <c r="M474" i="3"/>
  <c r="N474" i="3"/>
  <c r="C474" i="3"/>
  <c r="P474" i="3"/>
  <c r="E474" i="3"/>
  <c r="G474" i="3"/>
  <c r="S474" i="3"/>
  <c r="Y474" i="3" s="1"/>
  <c r="Z474" i="3" s="1"/>
  <c r="AA474" i="3" s="1"/>
  <c r="C474" i="4"/>
  <c r="AB473" i="3"/>
  <c r="E474" i="4" s="1"/>
  <c r="G474" i="4"/>
  <c r="L474" i="4" s="1"/>
  <c r="I474" i="4"/>
  <c r="M474" i="4" s="1"/>
  <c r="K474" i="4"/>
  <c r="N474" i="4" s="1"/>
  <c r="D477" i="2"/>
  <c r="T476" i="2"/>
  <c r="G476" i="2"/>
  <c r="L477" i="2"/>
  <c r="I476" i="2"/>
  <c r="F476" i="2" s="1"/>
  <c r="J479" i="2"/>
  <c r="M480" i="2"/>
  <c r="H481" i="2"/>
  <c r="K482" i="2"/>
  <c r="D475" i="4" l="1"/>
  <c r="G475" i="4"/>
  <c r="L475" i="4" s="1"/>
  <c r="I475" i="4"/>
  <c r="M475" i="4" s="1"/>
  <c r="K475" i="4"/>
  <c r="N475" i="4" s="1"/>
  <c r="I477" i="2"/>
  <c r="F477" i="2" s="1"/>
  <c r="L478" i="2"/>
  <c r="A476" i="4"/>
  <c r="E475" i="3"/>
  <c r="G475" i="3"/>
  <c r="S475" i="3"/>
  <c r="Y475" i="3" s="1"/>
  <c r="Z475" i="3" s="1"/>
  <c r="AA475" i="3" s="1"/>
  <c r="H475" i="3"/>
  <c r="T475" i="3"/>
  <c r="J475" i="3"/>
  <c r="V475" i="3"/>
  <c r="M475" i="3"/>
  <c r="N475" i="3"/>
  <c r="P475" i="3"/>
  <c r="C475" i="3"/>
  <c r="E477" i="2"/>
  <c r="C478" i="2"/>
  <c r="K483" i="2"/>
  <c r="H482" i="2"/>
  <c r="T477" i="2"/>
  <c r="D478" i="2"/>
  <c r="G477" i="2"/>
  <c r="C475" i="4"/>
  <c r="AB474" i="3"/>
  <c r="E475" i="4" s="1"/>
  <c r="D475" i="3"/>
  <c r="F474" i="3"/>
  <c r="O473" i="3"/>
  <c r="H474" i="4" s="1"/>
  <c r="I473" i="3"/>
  <c r="F474" i="4" s="1"/>
  <c r="U473" i="3"/>
  <c r="J474" i="4" s="1"/>
  <c r="J480" i="2"/>
  <c r="M481" i="2"/>
  <c r="D476" i="4" l="1"/>
  <c r="G478" i="2"/>
  <c r="T478" i="2"/>
  <c r="D479" i="2"/>
  <c r="J481" i="2"/>
  <c r="M482" i="2"/>
  <c r="K484" i="2"/>
  <c r="H483" i="2"/>
  <c r="I474" i="3"/>
  <c r="F475" i="4" s="1"/>
  <c r="U474" i="3"/>
  <c r="J475" i="4" s="1"/>
  <c r="O474" i="3"/>
  <c r="H475" i="4" s="1"/>
  <c r="G476" i="4"/>
  <c r="L476" i="4" s="1"/>
  <c r="I476" i="4"/>
  <c r="M476" i="4" s="1"/>
  <c r="K476" i="4"/>
  <c r="N476" i="4" s="1"/>
  <c r="F475" i="3"/>
  <c r="D476" i="3"/>
  <c r="L479" i="2"/>
  <c r="I478" i="2"/>
  <c r="C476" i="4"/>
  <c r="AB475" i="3"/>
  <c r="E476" i="4" s="1"/>
  <c r="C479" i="2"/>
  <c r="E478" i="2"/>
  <c r="F478" i="2"/>
  <c r="A477" i="4"/>
  <c r="N476" i="3"/>
  <c r="C476" i="3"/>
  <c r="P476" i="3"/>
  <c r="E476" i="3"/>
  <c r="G476" i="3"/>
  <c r="S476" i="3"/>
  <c r="Y476" i="3" s="1"/>
  <c r="Z476" i="3" s="1"/>
  <c r="AA476" i="3" s="1"/>
  <c r="H476" i="3"/>
  <c r="T476" i="3"/>
  <c r="J476" i="3"/>
  <c r="V476" i="3"/>
  <c r="M476" i="3"/>
  <c r="D477" i="4" l="1"/>
  <c r="A478" i="4"/>
  <c r="M477" i="3"/>
  <c r="N477" i="3"/>
  <c r="C477" i="3"/>
  <c r="P477" i="3"/>
  <c r="E477" i="3"/>
  <c r="G477" i="3"/>
  <c r="S477" i="3"/>
  <c r="Y477" i="3" s="1"/>
  <c r="Z477" i="3" s="1"/>
  <c r="AA477" i="3" s="1"/>
  <c r="H477" i="3"/>
  <c r="T477" i="3"/>
  <c r="J477" i="3"/>
  <c r="V477" i="3"/>
  <c r="L480" i="2"/>
  <c r="I479" i="2"/>
  <c r="F479" i="2" s="1"/>
  <c r="F476" i="3"/>
  <c r="D477" i="3"/>
  <c r="H484" i="2"/>
  <c r="K485" i="2"/>
  <c r="I475" i="3"/>
  <c r="F476" i="4" s="1"/>
  <c r="U475" i="3"/>
  <c r="J476" i="4" s="1"/>
  <c r="O475" i="3"/>
  <c r="H476" i="4" s="1"/>
  <c r="M483" i="2"/>
  <c r="J482" i="2"/>
  <c r="D480" i="2"/>
  <c r="G479" i="2"/>
  <c r="T479" i="2"/>
  <c r="C477" i="4"/>
  <c r="AB476" i="3"/>
  <c r="E477" i="4" s="1"/>
  <c r="G477" i="4"/>
  <c r="L477" i="4" s="1"/>
  <c r="I477" i="4"/>
  <c r="M477" i="4" s="1"/>
  <c r="K477" i="4"/>
  <c r="N477" i="4" s="1"/>
  <c r="C480" i="2"/>
  <c r="E479" i="2"/>
  <c r="D478" i="4" l="1"/>
  <c r="K486" i="2"/>
  <c r="H485" i="2"/>
  <c r="A479" i="4"/>
  <c r="H478" i="3"/>
  <c r="T478" i="3"/>
  <c r="J478" i="3"/>
  <c r="V478" i="3"/>
  <c r="M478" i="3"/>
  <c r="N478" i="3"/>
  <c r="C478" i="3"/>
  <c r="P478" i="3"/>
  <c r="E478" i="3"/>
  <c r="G478" i="3"/>
  <c r="S478" i="3"/>
  <c r="Y478" i="3" s="1"/>
  <c r="Z478" i="3" s="1"/>
  <c r="AA478" i="3" s="1"/>
  <c r="F477" i="3"/>
  <c r="D478" i="3"/>
  <c r="O476" i="3"/>
  <c r="H477" i="4" s="1"/>
  <c r="I476" i="3"/>
  <c r="F477" i="4" s="1"/>
  <c r="U476" i="3"/>
  <c r="J477" i="4" s="1"/>
  <c r="I480" i="2"/>
  <c r="F480" i="2" s="1"/>
  <c r="L481" i="2"/>
  <c r="C478" i="4"/>
  <c r="AB477" i="3"/>
  <c r="E478" i="4" s="1"/>
  <c r="E480" i="2"/>
  <c r="C481" i="2"/>
  <c r="D481" i="2"/>
  <c r="G480" i="2"/>
  <c r="T480" i="2"/>
  <c r="K478" i="4"/>
  <c r="N478" i="4" s="1"/>
  <c r="G478" i="4"/>
  <c r="L478" i="4" s="1"/>
  <c r="I478" i="4"/>
  <c r="M478" i="4" s="1"/>
  <c r="J483" i="2"/>
  <c r="M484" i="2"/>
  <c r="D479" i="4" l="1"/>
  <c r="L482" i="2"/>
  <c r="I481" i="2"/>
  <c r="C479" i="4"/>
  <c r="AB478" i="3"/>
  <c r="E479" i="4" s="1"/>
  <c r="I479" i="4"/>
  <c r="M479" i="4" s="1"/>
  <c r="K479" i="4"/>
  <c r="N479" i="4" s="1"/>
  <c r="G479" i="4"/>
  <c r="L479" i="4" s="1"/>
  <c r="D479" i="3"/>
  <c r="F478" i="3"/>
  <c r="T481" i="2"/>
  <c r="D482" i="2"/>
  <c r="G481" i="2"/>
  <c r="O477" i="3"/>
  <c r="H478" i="4" s="1"/>
  <c r="I477" i="3"/>
  <c r="F478" i="4" s="1"/>
  <c r="U477" i="3"/>
  <c r="J478" i="4" s="1"/>
  <c r="E481" i="2"/>
  <c r="C482" i="2"/>
  <c r="F481" i="2"/>
  <c r="J484" i="2"/>
  <c r="M485" i="2"/>
  <c r="A480" i="4"/>
  <c r="E479" i="3"/>
  <c r="G479" i="3"/>
  <c r="S479" i="3"/>
  <c r="Y479" i="3" s="1"/>
  <c r="Z479" i="3" s="1"/>
  <c r="AA479" i="3" s="1"/>
  <c r="H479" i="3"/>
  <c r="T479" i="3"/>
  <c r="J479" i="3"/>
  <c r="V479" i="3"/>
  <c r="M479" i="3"/>
  <c r="N479" i="3"/>
  <c r="P479" i="3"/>
  <c r="C479" i="3"/>
  <c r="H486" i="2"/>
  <c r="K487" i="2"/>
  <c r="D480" i="4" l="1"/>
  <c r="C483" i="2"/>
  <c r="E482" i="2"/>
  <c r="C480" i="4"/>
  <c r="AB479" i="3"/>
  <c r="E480" i="4" s="1"/>
  <c r="H487" i="2"/>
  <c r="K488" i="2"/>
  <c r="A481" i="4"/>
  <c r="N480" i="3"/>
  <c r="C480" i="3"/>
  <c r="P480" i="3"/>
  <c r="E480" i="3"/>
  <c r="G480" i="3"/>
  <c r="S480" i="3"/>
  <c r="Y480" i="3" s="1"/>
  <c r="Z480" i="3" s="1"/>
  <c r="AA480" i="3" s="1"/>
  <c r="H480" i="3"/>
  <c r="T480" i="3"/>
  <c r="J480" i="3"/>
  <c r="V480" i="3"/>
  <c r="M480" i="3"/>
  <c r="D483" i="2"/>
  <c r="T482" i="2"/>
  <c r="G482" i="2"/>
  <c r="L483" i="2"/>
  <c r="I482" i="2"/>
  <c r="F482" i="2" s="1"/>
  <c r="G480" i="4"/>
  <c r="L480" i="4" s="1"/>
  <c r="I480" i="4"/>
  <c r="M480" i="4" s="1"/>
  <c r="K480" i="4"/>
  <c r="N480" i="4" s="1"/>
  <c r="I478" i="3"/>
  <c r="F479" i="4" s="1"/>
  <c r="U478" i="3"/>
  <c r="J479" i="4" s="1"/>
  <c r="O478" i="3"/>
  <c r="H479" i="4" s="1"/>
  <c r="M486" i="2"/>
  <c r="J485" i="2"/>
  <c r="F479" i="3"/>
  <c r="D480" i="3"/>
  <c r="D481" i="4" l="1"/>
  <c r="T483" i="2"/>
  <c r="G483" i="2"/>
  <c r="D484" i="2"/>
  <c r="C481" i="4"/>
  <c r="AB480" i="3"/>
  <c r="E481" i="4" s="1"/>
  <c r="G481" i="4"/>
  <c r="L481" i="4" s="1"/>
  <c r="I481" i="4"/>
  <c r="M481" i="4" s="1"/>
  <c r="K481" i="4"/>
  <c r="N481" i="4" s="1"/>
  <c r="K489" i="2"/>
  <c r="H488" i="2"/>
  <c r="C484" i="2"/>
  <c r="E483" i="2"/>
  <c r="F480" i="3"/>
  <c r="D481" i="3"/>
  <c r="I479" i="3"/>
  <c r="F480" i="4" s="1"/>
  <c r="U479" i="3"/>
  <c r="J480" i="4" s="1"/>
  <c r="O479" i="3"/>
  <c r="H480" i="4" s="1"/>
  <c r="A482" i="4"/>
  <c r="M481" i="3"/>
  <c r="N481" i="3"/>
  <c r="C481" i="3"/>
  <c r="P481" i="3"/>
  <c r="E481" i="3"/>
  <c r="G481" i="3"/>
  <c r="S481" i="3"/>
  <c r="Y481" i="3" s="1"/>
  <c r="Z481" i="3" s="1"/>
  <c r="AA481" i="3" s="1"/>
  <c r="H481" i="3"/>
  <c r="T481" i="3"/>
  <c r="J481" i="3"/>
  <c r="V481" i="3"/>
  <c r="I483" i="2"/>
  <c r="F483" i="2" s="1"/>
  <c r="L484" i="2"/>
  <c r="J486" i="2"/>
  <c r="M487" i="2"/>
  <c r="D482" i="4" l="1"/>
  <c r="G482" i="4"/>
  <c r="L482" i="4" s="1"/>
  <c r="I482" i="4"/>
  <c r="M482" i="4" s="1"/>
  <c r="K482" i="4"/>
  <c r="N482" i="4" s="1"/>
  <c r="O480" i="3"/>
  <c r="H481" i="4" s="1"/>
  <c r="I480" i="3"/>
  <c r="F481" i="4" s="1"/>
  <c r="U480" i="3"/>
  <c r="J481" i="4" s="1"/>
  <c r="A483" i="4"/>
  <c r="H482" i="3"/>
  <c r="T482" i="3"/>
  <c r="J482" i="3"/>
  <c r="V482" i="3"/>
  <c r="M482" i="3"/>
  <c r="N482" i="3"/>
  <c r="C482" i="3"/>
  <c r="P482" i="3"/>
  <c r="E482" i="3"/>
  <c r="G482" i="3"/>
  <c r="S482" i="3"/>
  <c r="Y482" i="3" s="1"/>
  <c r="Z482" i="3" s="1"/>
  <c r="AA482" i="3" s="1"/>
  <c r="F481" i="3"/>
  <c r="D482" i="3"/>
  <c r="E484" i="2"/>
  <c r="C485" i="2"/>
  <c r="G484" i="2"/>
  <c r="D485" i="2"/>
  <c r="T484" i="2"/>
  <c r="M488" i="2"/>
  <c r="J487" i="2"/>
  <c r="L485" i="2"/>
  <c r="I484" i="2"/>
  <c r="F484" i="2" s="1"/>
  <c r="H489" i="2"/>
  <c r="K490" i="2"/>
  <c r="C482" i="4"/>
  <c r="AB481" i="3"/>
  <c r="E482" i="4" s="1"/>
  <c r="D483" i="4" l="1"/>
  <c r="G483" i="4"/>
  <c r="L483" i="4" s="1"/>
  <c r="K483" i="4"/>
  <c r="N483" i="4" s="1"/>
  <c r="I483" i="4"/>
  <c r="M483" i="4" s="1"/>
  <c r="A484" i="4"/>
  <c r="E483" i="3"/>
  <c r="G483" i="3"/>
  <c r="S483" i="3"/>
  <c r="Y483" i="3" s="1"/>
  <c r="Z483" i="3" s="1"/>
  <c r="AA483" i="3" s="1"/>
  <c r="H483" i="3"/>
  <c r="T483" i="3"/>
  <c r="J483" i="3"/>
  <c r="V483" i="3"/>
  <c r="M483" i="3"/>
  <c r="N483" i="3"/>
  <c r="P483" i="3"/>
  <c r="C483" i="3"/>
  <c r="M489" i="2"/>
  <c r="J488" i="2"/>
  <c r="D486" i="2"/>
  <c r="T485" i="2"/>
  <c r="G485" i="2"/>
  <c r="C483" i="4"/>
  <c r="AB482" i="3"/>
  <c r="E483" i="4" s="1"/>
  <c r="L486" i="2"/>
  <c r="I485" i="2"/>
  <c r="F485" i="2"/>
  <c r="C486" i="2"/>
  <c r="E485" i="2"/>
  <c r="H490" i="2"/>
  <c r="K491" i="2"/>
  <c r="D483" i="3"/>
  <c r="F482" i="3"/>
  <c r="O481" i="3"/>
  <c r="H482" i="4" s="1"/>
  <c r="U481" i="3"/>
  <c r="J482" i="4" s="1"/>
  <c r="I481" i="3"/>
  <c r="F482" i="4" s="1"/>
  <c r="D484" i="4" l="1"/>
  <c r="I482" i="3"/>
  <c r="F483" i="4" s="1"/>
  <c r="U482" i="3"/>
  <c r="J483" i="4" s="1"/>
  <c r="O482" i="3"/>
  <c r="H483" i="4" s="1"/>
  <c r="K492" i="2"/>
  <c r="H491" i="2"/>
  <c r="A485" i="4"/>
  <c r="N484" i="3"/>
  <c r="C484" i="3"/>
  <c r="P484" i="3"/>
  <c r="E484" i="3"/>
  <c r="G484" i="3"/>
  <c r="S484" i="3"/>
  <c r="Y484" i="3" s="1"/>
  <c r="Z484" i="3" s="1"/>
  <c r="AA484" i="3" s="1"/>
  <c r="H484" i="3"/>
  <c r="T484" i="3"/>
  <c r="J484" i="3"/>
  <c r="V484" i="3"/>
  <c r="M484" i="3"/>
  <c r="C487" i="2"/>
  <c r="E486" i="2"/>
  <c r="I486" i="2"/>
  <c r="F486" i="2" s="1"/>
  <c r="L487" i="2"/>
  <c r="F483" i="3"/>
  <c r="D484" i="3"/>
  <c r="J489" i="2"/>
  <c r="M490" i="2"/>
  <c r="D487" i="2"/>
  <c r="T486" i="2"/>
  <c r="G486" i="2"/>
  <c r="K484" i="4"/>
  <c r="N484" i="4" s="1"/>
  <c r="G484" i="4"/>
  <c r="L484" i="4" s="1"/>
  <c r="I484" i="4"/>
  <c r="M484" i="4" s="1"/>
  <c r="C484" i="4"/>
  <c r="AB483" i="3"/>
  <c r="E484" i="4" s="1"/>
  <c r="D485" i="4" l="1"/>
  <c r="M491" i="2"/>
  <c r="J490" i="2"/>
  <c r="E487" i="2"/>
  <c r="C488" i="2"/>
  <c r="C485" i="4"/>
  <c r="AB484" i="3"/>
  <c r="E485" i="4" s="1"/>
  <c r="I485" i="4"/>
  <c r="M485" i="4" s="1"/>
  <c r="K485" i="4"/>
  <c r="N485" i="4" s="1"/>
  <c r="G485" i="4"/>
  <c r="L485" i="4" s="1"/>
  <c r="T487" i="2"/>
  <c r="G487" i="2"/>
  <c r="D488" i="2"/>
  <c r="H492" i="2"/>
  <c r="K493" i="2"/>
  <c r="I483" i="3"/>
  <c r="F484" i="4" s="1"/>
  <c r="U483" i="3"/>
  <c r="J484" i="4" s="1"/>
  <c r="O483" i="3"/>
  <c r="H484" i="4" s="1"/>
  <c r="F484" i="3"/>
  <c r="D485" i="3"/>
  <c r="L488" i="2"/>
  <c r="I487" i="2"/>
  <c r="F487" i="2" s="1"/>
  <c r="A486" i="4"/>
  <c r="M485" i="3"/>
  <c r="N485" i="3"/>
  <c r="C485" i="3"/>
  <c r="P485" i="3"/>
  <c r="E485" i="3"/>
  <c r="G485" i="3"/>
  <c r="S485" i="3"/>
  <c r="Y485" i="3" s="1"/>
  <c r="Z485" i="3" s="1"/>
  <c r="AA485" i="3" s="1"/>
  <c r="H485" i="3"/>
  <c r="T485" i="3"/>
  <c r="J485" i="3"/>
  <c r="V485" i="3"/>
  <c r="D486" i="4" l="1"/>
  <c r="H493" i="2"/>
  <c r="K494" i="2"/>
  <c r="C489" i="2"/>
  <c r="E488" i="2"/>
  <c r="O484" i="3"/>
  <c r="H485" i="4" s="1"/>
  <c r="I484" i="3"/>
  <c r="F485" i="4" s="1"/>
  <c r="U484" i="3"/>
  <c r="J485" i="4" s="1"/>
  <c r="D489" i="2"/>
  <c r="G488" i="2"/>
  <c r="T488" i="2"/>
  <c r="A487" i="4"/>
  <c r="H486" i="3"/>
  <c r="T486" i="3"/>
  <c r="J486" i="3"/>
  <c r="V486" i="3"/>
  <c r="M486" i="3"/>
  <c r="N486" i="3"/>
  <c r="C486" i="3"/>
  <c r="P486" i="3"/>
  <c r="E486" i="3"/>
  <c r="G486" i="3"/>
  <c r="S486" i="3"/>
  <c r="Y486" i="3" s="1"/>
  <c r="Z486" i="3" s="1"/>
  <c r="AA486" i="3" s="1"/>
  <c r="C486" i="4"/>
  <c r="AB485" i="3"/>
  <c r="E486" i="4" s="1"/>
  <c r="G486" i="4"/>
  <c r="L486" i="4" s="1"/>
  <c r="I486" i="4"/>
  <c r="M486" i="4" s="1"/>
  <c r="K486" i="4"/>
  <c r="N486" i="4" s="1"/>
  <c r="J491" i="2"/>
  <c r="M492" i="2"/>
  <c r="I488" i="2"/>
  <c r="F488" i="2" s="1"/>
  <c r="L489" i="2"/>
  <c r="F485" i="3"/>
  <c r="D486" i="3"/>
  <c r="D487" i="4" l="1"/>
  <c r="D487" i="3"/>
  <c r="F486" i="3"/>
  <c r="I489" i="2"/>
  <c r="L490" i="2"/>
  <c r="J492" i="2"/>
  <c r="M493" i="2"/>
  <c r="A488" i="4"/>
  <c r="E487" i="3"/>
  <c r="G487" i="3"/>
  <c r="S487" i="3"/>
  <c r="Y487" i="3" s="1"/>
  <c r="Z487" i="3" s="1"/>
  <c r="AA487" i="3" s="1"/>
  <c r="H487" i="3"/>
  <c r="T487" i="3"/>
  <c r="J487" i="3"/>
  <c r="V487" i="3"/>
  <c r="M487" i="3"/>
  <c r="N487" i="3"/>
  <c r="P487" i="3"/>
  <c r="C487" i="3"/>
  <c r="G489" i="2"/>
  <c r="D490" i="2"/>
  <c r="T489" i="2"/>
  <c r="C487" i="4"/>
  <c r="AB486" i="3"/>
  <c r="E487" i="4" s="1"/>
  <c r="F489" i="2"/>
  <c r="C490" i="2"/>
  <c r="E489" i="2"/>
  <c r="H494" i="2"/>
  <c r="K495" i="2"/>
  <c r="O485" i="3"/>
  <c r="H486" i="4" s="1"/>
  <c r="I485" i="3"/>
  <c r="F486" i="4" s="1"/>
  <c r="U485" i="3"/>
  <c r="J486" i="4" s="1"/>
  <c r="G487" i="4"/>
  <c r="L487" i="4" s="1"/>
  <c r="I487" i="4"/>
  <c r="M487" i="4" s="1"/>
  <c r="K487" i="4"/>
  <c r="N487" i="4" s="1"/>
  <c r="D488" i="4" l="1"/>
  <c r="D491" i="2"/>
  <c r="T490" i="2"/>
  <c r="G490" i="2"/>
  <c r="A489" i="4"/>
  <c r="N488" i="3"/>
  <c r="C488" i="3"/>
  <c r="P488" i="3"/>
  <c r="E488" i="3"/>
  <c r="G488" i="3"/>
  <c r="S488" i="3"/>
  <c r="Y488" i="3" s="1"/>
  <c r="Z488" i="3" s="1"/>
  <c r="AA488" i="3" s="1"/>
  <c r="H488" i="3"/>
  <c r="T488" i="3"/>
  <c r="J488" i="3"/>
  <c r="V488" i="3"/>
  <c r="M488" i="3"/>
  <c r="G488" i="4"/>
  <c r="L488" i="4" s="1"/>
  <c r="I488" i="4"/>
  <c r="M488" i="4" s="1"/>
  <c r="K488" i="4"/>
  <c r="N488" i="4" s="1"/>
  <c r="J493" i="2"/>
  <c r="M494" i="2"/>
  <c r="K496" i="2"/>
  <c r="H495" i="2"/>
  <c r="C488" i="4"/>
  <c r="AB487" i="3"/>
  <c r="E488" i="4" s="1"/>
  <c r="L491" i="2"/>
  <c r="I490" i="2"/>
  <c r="E490" i="2"/>
  <c r="F490" i="2"/>
  <c r="C491" i="2"/>
  <c r="I486" i="3"/>
  <c r="F487" i="4" s="1"/>
  <c r="U486" i="3"/>
  <c r="J487" i="4" s="1"/>
  <c r="O486" i="3"/>
  <c r="H487" i="4" s="1"/>
  <c r="F487" i="3"/>
  <c r="D488" i="3"/>
  <c r="D489" i="4" l="1"/>
  <c r="C492" i="2"/>
  <c r="E491" i="2"/>
  <c r="A490" i="4"/>
  <c r="M489" i="3"/>
  <c r="N489" i="3"/>
  <c r="C489" i="3"/>
  <c r="P489" i="3"/>
  <c r="E489" i="3"/>
  <c r="G489" i="3"/>
  <c r="S489" i="3"/>
  <c r="Y489" i="3" s="1"/>
  <c r="Z489" i="3" s="1"/>
  <c r="AA489" i="3" s="1"/>
  <c r="H489" i="3"/>
  <c r="T489" i="3"/>
  <c r="J489" i="3"/>
  <c r="V489" i="3"/>
  <c r="C489" i="4"/>
  <c r="AB488" i="3"/>
  <c r="E489" i="4" s="1"/>
  <c r="G489" i="4"/>
  <c r="L489" i="4" s="1"/>
  <c r="K489" i="4"/>
  <c r="N489" i="4" s="1"/>
  <c r="I489" i="4"/>
  <c r="M489" i="4" s="1"/>
  <c r="I491" i="2"/>
  <c r="F491" i="2" s="1"/>
  <c r="L492" i="2"/>
  <c r="F488" i="3"/>
  <c r="D489" i="3"/>
  <c r="I487" i="3"/>
  <c r="F488" i="4" s="1"/>
  <c r="U487" i="3"/>
  <c r="J488" i="4" s="1"/>
  <c r="O487" i="3"/>
  <c r="H488" i="4" s="1"/>
  <c r="H496" i="2"/>
  <c r="K497" i="2"/>
  <c r="D492" i="2"/>
  <c r="T491" i="2"/>
  <c r="G491" i="2"/>
  <c r="J494" i="2"/>
  <c r="M495" i="2"/>
  <c r="D490" i="4" l="1"/>
  <c r="A491" i="4"/>
  <c r="H490" i="3"/>
  <c r="T490" i="3"/>
  <c r="J490" i="3"/>
  <c r="V490" i="3"/>
  <c r="M490" i="3"/>
  <c r="N490" i="3"/>
  <c r="C490" i="3"/>
  <c r="P490" i="3"/>
  <c r="E490" i="3"/>
  <c r="G490" i="3"/>
  <c r="S490" i="3"/>
  <c r="Y490" i="3" s="1"/>
  <c r="Z490" i="3" s="1"/>
  <c r="AA490" i="3" s="1"/>
  <c r="G492" i="2"/>
  <c r="D493" i="2"/>
  <c r="T492" i="2"/>
  <c r="C490" i="4"/>
  <c r="AB489" i="3"/>
  <c r="E490" i="4" s="1"/>
  <c r="K490" i="4"/>
  <c r="N490" i="4" s="1"/>
  <c r="G490" i="4"/>
  <c r="L490" i="4" s="1"/>
  <c r="I490" i="4"/>
  <c r="M490" i="4" s="1"/>
  <c r="F489" i="3"/>
  <c r="D490" i="3"/>
  <c r="O488" i="3"/>
  <c r="H489" i="4" s="1"/>
  <c r="I488" i="3"/>
  <c r="F489" i="4" s="1"/>
  <c r="U488" i="3"/>
  <c r="J489" i="4" s="1"/>
  <c r="J495" i="2"/>
  <c r="M496" i="2"/>
  <c r="L493" i="2"/>
  <c r="I492" i="2"/>
  <c r="F492" i="2" s="1"/>
  <c r="E492" i="2"/>
  <c r="C493" i="2"/>
  <c r="H497" i="2"/>
  <c r="K498" i="2"/>
  <c r="D491" i="4" l="1"/>
  <c r="J496" i="2"/>
  <c r="M497" i="2"/>
  <c r="C491" i="4"/>
  <c r="AB490" i="3"/>
  <c r="E491" i="4" s="1"/>
  <c r="G493" i="2"/>
  <c r="T493" i="2"/>
  <c r="D494" i="2"/>
  <c r="K499" i="2"/>
  <c r="H498" i="2"/>
  <c r="D491" i="3"/>
  <c r="F490" i="3"/>
  <c r="O489" i="3"/>
  <c r="H490" i="4" s="1"/>
  <c r="I489" i="3"/>
  <c r="F490" i="4" s="1"/>
  <c r="U489" i="3"/>
  <c r="J490" i="4" s="1"/>
  <c r="I491" i="4"/>
  <c r="M491" i="4" s="1"/>
  <c r="K491" i="4"/>
  <c r="N491" i="4" s="1"/>
  <c r="G491" i="4"/>
  <c r="L491" i="4" s="1"/>
  <c r="L494" i="2"/>
  <c r="I493" i="2"/>
  <c r="C494" i="2"/>
  <c r="E493" i="2"/>
  <c r="F493" i="2"/>
  <c r="A492" i="4"/>
  <c r="E491" i="3"/>
  <c r="G491" i="3"/>
  <c r="S491" i="3"/>
  <c r="Y491" i="3" s="1"/>
  <c r="Z491" i="3" s="1"/>
  <c r="AA491" i="3" s="1"/>
  <c r="H491" i="3"/>
  <c r="T491" i="3"/>
  <c r="J491" i="3"/>
  <c r="V491" i="3"/>
  <c r="M491" i="3"/>
  <c r="N491" i="3"/>
  <c r="P491" i="3"/>
  <c r="C491" i="3"/>
  <c r="D492" i="4" l="1"/>
  <c r="F491" i="3"/>
  <c r="D492" i="3"/>
  <c r="I494" i="2"/>
  <c r="L495" i="2"/>
  <c r="H499" i="2"/>
  <c r="K500" i="2"/>
  <c r="D495" i="2"/>
  <c r="G494" i="2"/>
  <c r="T494" i="2"/>
  <c r="A493" i="4"/>
  <c r="N492" i="3"/>
  <c r="C492" i="3"/>
  <c r="P492" i="3"/>
  <c r="E492" i="3"/>
  <c r="G492" i="3"/>
  <c r="S492" i="3"/>
  <c r="Y492" i="3" s="1"/>
  <c r="Z492" i="3" s="1"/>
  <c r="AA492" i="3" s="1"/>
  <c r="H492" i="3"/>
  <c r="T492" i="3"/>
  <c r="J492" i="3"/>
  <c r="V492" i="3"/>
  <c r="M492" i="3"/>
  <c r="G492" i="4"/>
  <c r="L492" i="4" s="1"/>
  <c r="I492" i="4"/>
  <c r="M492" i="4" s="1"/>
  <c r="K492" i="4"/>
  <c r="N492" i="4" s="1"/>
  <c r="M498" i="2"/>
  <c r="J497" i="2"/>
  <c r="C492" i="4"/>
  <c r="AB491" i="3"/>
  <c r="E492" i="4" s="1"/>
  <c r="F494" i="2"/>
  <c r="C495" i="2"/>
  <c r="E494" i="2"/>
  <c r="I490" i="3"/>
  <c r="F491" i="4" s="1"/>
  <c r="U490" i="3"/>
  <c r="J491" i="4" s="1"/>
  <c r="O490" i="3"/>
  <c r="H491" i="4" s="1"/>
  <c r="D493" i="4" l="1"/>
  <c r="E495" i="2"/>
  <c r="C496" i="2"/>
  <c r="C493" i="4"/>
  <c r="AB492" i="3"/>
  <c r="E493" i="4" s="1"/>
  <c r="G493" i="4"/>
  <c r="L493" i="4" s="1"/>
  <c r="I493" i="4"/>
  <c r="M493" i="4" s="1"/>
  <c r="K493" i="4"/>
  <c r="N493" i="4" s="1"/>
  <c r="T495" i="2"/>
  <c r="G495" i="2"/>
  <c r="D496" i="2"/>
  <c r="K501" i="2"/>
  <c r="H500" i="2"/>
  <c r="L496" i="2"/>
  <c r="I495" i="2"/>
  <c r="F495" i="2" s="1"/>
  <c r="J498" i="2"/>
  <c r="M499" i="2"/>
  <c r="A494" i="4"/>
  <c r="M493" i="3"/>
  <c r="N493" i="3"/>
  <c r="C493" i="3"/>
  <c r="P493" i="3"/>
  <c r="E493" i="3"/>
  <c r="G493" i="3"/>
  <c r="S493" i="3"/>
  <c r="Y493" i="3" s="1"/>
  <c r="Z493" i="3" s="1"/>
  <c r="AA493" i="3" s="1"/>
  <c r="H493" i="3"/>
  <c r="T493" i="3"/>
  <c r="J493" i="3"/>
  <c r="V493" i="3"/>
  <c r="F492" i="3"/>
  <c r="D493" i="3"/>
  <c r="I491" i="3"/>
  <c r="F492" i="4" s="1"/>
  <c r="U491" i="3"/>
  <c r="J492" i="4" s="1"/>
  <c r="O491" i="3"/>
  <c r="H492" i="4" s="1"/>
  <c r="D494" i="4" l="1"/>
  <c r="C494" i="4"/>
  <c r="AB493" i="3"/>
  <c r="E494" i="4" s="1"/>
  <c r="J499" i="2"/>
  <c r="M500" i="2"/>
  <c r="F493" i="3"/>
  <c r="D494" i="3"/>
  <c r="L497" i="2"/>
  <c r="I496" i="2"/>
  <c r="F496" i="2" s="1"/>
  <c r="O492" i="3"/>
  <c r="H493" i="4" s="1"/>
  <c r="I492" i="3"/>
  <c r="F493" i="4" s="1"/>
  <c r="U492" i="3"/>
  <c r="J493" i="4" s="1"/>
  <c r="G494" i="4"/>
  <c r="L494" i="4" s="1"/>
  <c r="I494" i="4"/>
  <c r="M494" i="4" s="1"/>
  <c r="K494" i="4"/>
  <c r="N494" i="4" s="1"/>
  <c r="A495" i="4"/>
  <c r="H494" i="3"/>
  <c r="T494" i="3"/>
  <c r="J494" i="3"/>
  <c r="V494" i="3"/>
  <c r="M494" i="3"/>
  <c r="N494" i="3"/>
  <c r="C494" i="3"/>
  <c r="P494" i="3"/>
  <c r="E494" i="3"/>
  <c r="G494" i="3"/>
  <c r="S494" i="3"/>
  <c r="Y494" i="3" s="1"/>
  <c r="Z494" i="3" s="1"/>
  <c r="AA494" i="3" s="1"/>
  <c r="H501" i="2"/>
  <c r="K502" i="2"/>
  <c r="E496" i="2"/>
  <c r="C497" i="2"/>
  <c r="D497" i="2"/>
  <c r="G496" i="2"/>
  <c r="T496" i="2"/>
  <c r="D495" i="4" l="1"/>
  <c r="C498" i="2"/>
  <c r="E497" i="2"/>
  <c r="I497" i="2"/>
  <c r="F497" i="2" s="1"/>
  <c r="L498" i="2"/>
  <c r="G495" i="4"/>
  <c r="L495" i="4" s="1"/>
  <c r="I495" i="4"/>
  <c r="M495" i="4" s="1"/>
  <c r="K495" i="4"/>
  <c r="N495" i="4" s="1"/>
  <c r="D495" i="3"/>
  <c r="F494" i="3"/>
  <c r="O493" i="3"/>
  <c r="H494" i="4" s="1"/>
  <c r="I493" i="3"/>
  <c r="F494" i="4" s="1"/>
  <c r="U493" i="3"/>
  <c r="J494" i="4" s="1"/>
  <c r="D498" i="2"/>
  <c r="G497" i="2"/>
  <c r="T497" i="2"/>
  <c r="H502" i="2"/>
  <c r="K503" i="2"/>
  <c r="A496" i="4"/>
  <c r="E495" i="3"/>
  <c r="G495" i="3"/>
  <c r="S495" i="3"/>
  <c r="Y495" i="3" s="1"/>
  <c r="Z495" i="3" s="1"/>
  <c r="AA495" i="3" s="1"/>
  <c r="H495" i="3"/>
  <c r="T495" i="3"/>
  <c r="J495" i="3"/>
  <c r="V495" i="3"/>
  <c r="M495" i="3"/>
  <c r="N495" i="3"/>
  <c r="P495" i="3"/>
  <c r="C495" i="3"/>
  <c r="M501" i="2"/>
  <c r="J500" i="2"/>
  <c r="C495" i="4"/>
  <c r="AB494" i="3"/>
  <c r="E495" i="4" s="1"/>
  <c r="D496" i="4" l="1"/>
  <c r="K496" i="4"/>
  <c r="N496" i="4" s="1"/>
  <c r="G496" i="4"/>
  <c r="L496" i="4" s="1"/>
  <c r="I496" i="4"/>
  <c r="M496" i="4" s="1"/>
  <c r="K504" i="2"/>
  <c r="H503" i="2"/>
  <c r="C496" i="4"/>
  <c r="AB495" i="3"/>
  <c r="E496" i="4" s="1"/>
  <c r="T498" i="2"/>
  <c r="D499" i="2"/>
  <c r="G498" i="2"/>
  <c r="L499" i="2"/>
  <c r="I498" i="2"/>
  <c r="F498" i="2" s="1"/>
  <c r="E498" i="2"/>
  <c r="C499" i="2"/>
  <c r="I494" i="3"/>
  <c r="F495" i="4" s="1"/>
  <c r="U494" i="3"/>
  <c r="J495" i="4" s="1"/>
  <c r="O494" i="3"/>
  <c r="H495" i="4" s="1"/>
  <c r="A497" i="4"/>
  <c r="N496" i="3"/>
  <c r="C496" i="3"/>
  <c r="P496" i="3"/>
  <c r="E496" i="3"/>
  <c r="G496" i="3"/>
  <c r="S496" i="3"/>
  <c r="Y496" i="3" s="1"/>
  <c r="Z496" i="3" s="1"/>
  <c r="AA496" i="3" s="1"/>
  <c r="H496" i="3"/>
  <c r="T496" i="3"/>
  <c r="J496" i="3"/>
  <c r="V496" i="3"/>
  <c r="M496" i="3"/>
  <c r="F495" i="3"/>
  <c r="D496" i="3"/>
  <c r="J501" i="2"/>
  <c r="M502" i="2"/>
  <c r="D497" i="4" l="1"/>
  <c r="C497" i="4"/>
  <c r="AB496" i="3"/>
  <c r="E497" i="4" s="1"/>
  <c r="I497" i="4"/>
  <c r="M497" i="4" s="1"/>
  <c r="K497" i="4"/>
  <c r="N497" i="4" s="1"/>
  <c r="G497" i="4"/>
  <c r="L497" i="4" s="1"/>
  <c r="H504" i="2"/>
  <c r="K505" i="2"/>
  <c r="C500" i="2"/>
  <c r="E499" i="2"/>
  <c r="A498" i="4"/>
  <c r="M497" i="3"/>
  <c r="N497" i="3"/>
  <c r="C497" i="3"/>
  <c r="P497" i="3"/>
  <c r="E497" i="3"/>
  <c r="G497" i="3"/>
  <c r="S497" i="3"/>
  <c r="Y497" i="3" s="1"/>
  <c r="Z497" i="3" s="1"/>
  <c r="AA497" i="3" s="1"/>
  <c r="H497" i="3"/>
  <c r="T497" i="3"/>
  <c r="J497" i="3"/>
  <c r="V497" i="3"/>
  <c r="L500" i="2"/>
  <c r="I499" i="2"/>
  <c r="F499" i="2" s="1"/>
  <c r="F496" i="3"/>
  <c r="D497" i="3"/>
  <c r="G499" i="2"/>
  <c r="D500" i="2"/>
  <c r="T499" i="2"/>
  <c r="J502" i="2"/>
  <c r="M503" i="2"/>
  <c r="I495" i="3"/>
  <c r="F496" i="4" s="1"/>
  <c r="U495" i="3"/>
  <c r="J496" i="4" s="1"/>
  <c r="O495" i="3"/>
  <c r="H496" i="4" s="1"/>
  <c r="D498" i="4" l="1"/>
  <c r="K506" i="2"/>
  <c r="H505" i="2"/>
  <c r="D501" i="2"/>
  <c r="T500" i="2"/>
  <c r="G500" i="2"/>
  <c r="A499" i="4"/>
  <c r="H498" i="3"/>
  <c r="T498" i="3"/>
  <c r="J498" i="3"/>
  <c r="V498" i="3"/>
  <c r="M498" i="3"/>
  <c r="N498" i="3"/>
  <c r="C498" i="3"/>
  <c r="P498" i="3"/>
  <c r="E498" i="3"/>
  <c r="G498" i="3"/>
  <c r="S498" i="3"/>
  <c r="Y498" i="3" s="1"/>
  <c r="Z498" i="3" s="1"/>
  <c r="AA498" i="3" s="1"/>
  <c r="F497" i="3"/>
  <c r="D498" i="3"/>
  <c r="O496" i="3"/>
  <c r="H497" i="4" s="1"/>
  <c r="I496" i="3"/>
  <c r="F497" i="4" s="1"/>
  <c r="U496" i="3"/>
  <c r="J497" i="4" s="1"/>
  <c r="C498" i="4"/>
  <c r="AB497" i="3"/>
  <c r="E498" i="4" s="1"/>
  <c r="G498" i="4"/>
  <c r="L498" i="4" s="1"/>
  <c r="I498" i="4"/>
  <c r="M498" i="4" s="1"/>
  <c r="K498" i="4"/>
  <c r="N498" i="4" s="1"/>
  <c r="L501" i="2"/>
  <c r="I500" i="2"/>
  <c r="F500" i="2" s="1"/>
  <c r="E500" i="2"/>
  <c r="C501" i="2"/>
  <c r="M504" i="2"/>
  <c r="J503" i="2"/>
  <c r="D499" i="4" l="1"/>
  <c r="L502" i="2"/>
  <c r="I501" i="2"/>
  <c r="D499" i="3"/>
  <c r="F498" i="3"/>
  <c r="O497" i="3"/>
  <c r="H498" i="4" s="1"/>
  <c r="U497" i="3"/>
  <c r="J498" i="4" s="1"/>
  <c r="I497" i="3"/>
  <c r="F498" i="4" s="1"/>
  <c r="G499" i="4"/>
  <c r="L499" i="4" s="1"/>
  <c r="I499" i="4"/>
  <c r="M499" i="4" s="1"/>
  <c r="K499" i="4"/>
  <c r="N499" i="4" s="1"/>
  <c r="A500" i="4"/>
  <c r="E499" i="3"/>
  <c r="G499" i="3"/>
  <c r="S499" i="3"/>
  <c r="Y499" i="3" s="1"/>
  <c r="Z499" i="3" s="1"/>
  <c r="AA499" i="3" s="1"/>
  <c r="H499" i="3"/>
  <c r="T499" i="3"/>
  <c r="J499" i="3"/>
  <c r="V499" i="3"/>
  <c r="M499" i="3"/>
  <c r="N499" i="3"/>
  <c r="P499" i="3"/>
  <c r="C499" i="3"/>
  <c r="T501" i="2"/>
  <c r="G501" i="2"/>
  <c r="D502" i="2"/>
  <c r="M505" i="2"/>
  <c r="J504" i="2"/>
  <c r="H506" i="2"/>
  <c r="K507" i="2"/>
  <c r="F501" i="2"/>
  <c r="E501" i="2"/>
  <c r="C502" i="2"/>
  <c r="C499" i="4"/>
  <c r="AB498" i="3"/>
  <c r="E499" i="4" s="1"/>
  <c r="D500" i="4" l="1"/>
  <c r="E502" i="2"/>
  <c r="C503" i="2"/>
  <c r="K508" i="2"/>
  <c r="H507" i="2"/>
  <c r="A501" i="4"/>
  <c r="N500" i="3"/>
  <c r="C500" i="3"/>
  <c r="P500" i="3"/>
  <c r="E500" i="3"/>
  <c r="G500" i="3"/>
  <c r="S500" i="3"/>
  <c r="Y500" i="3" s="1"/>
  <c r="Z500" i="3" s="1"/>
  <c r="AA500" i="3" s="1"/>
  <c r="H500" i="3"/>
  <c r="T500" i="3"/>
  <c r="J500" i="3"/>
  <c r="V500" i="3"/>
  <c r="M500" i="3"/>
  <c r="I498" i="3"/>
  <c r="F499" i="4" s="1"/>
  <c r="U498" i="3"/>
  <c r="J499" i="4" s="1"/>
  <c r="O498" i="3"/>
  <c r="H499" i="4" s="1"/>
  <c r="J505" i="2"/>
  <c r="M506" i="2"/>
  <c r="G502" i="2"/>
  <c r="D503" i="2"/>
  <c r="T502" i="2"/>
  <c r="F499" i="3"/>
  <c r="D500" i="3"/>
  <c r="G500" i="4"/>
  <c r="L500" i="4" s="1"/>
  <c r="I500" i="4"/>
  <c r="M500" i="4" s="1"/>
  <c r="K500" i="4"/>
  <c r="N500" i="4" s="1"/>
  <c r="L503" i="2"/>
  <c r="I502" i="2"/>
  <c r="F502" i="2" s="1"/>
  <c r="C500" i="4"/>
  <c r="AB499" i="3"/>
  <c r="E500" i="4" s="1"/>
  <c r="D501" i="4" l="1"/>
  <c r="C501" i="4"/>
  <c r="AB500" i="3"/>
  <c r="E501" i="4" s="1"/>
  <c r="G501" i="4"/>
  <c r="L501" i="4" s="1"/>
  <c r="I501" i="4"/>
  <c r="M501" i="4" s="1"/>
  <c r="K501" i="4"/>
  <c r="N501" i="4" s="1"/>
  <c r="H508" i="2"/>
  <c r="K509" i="2"/>
  <c r="E503" i="2"/>
  <c r="C504" i="2"/>
  <c r="F500" i="3"/>
  <c r="D501" i="3"/>
  <c r="I499" i="3"/>
  <c r="F500" i="4" s="1"/>
  <c r="U499" i="3"/>
  <c r="J500" i="4" s="1"/>
  <c r="O499" i="3"/>
  <c r="H500" i="4" s="1"/>
  <c r="T503" i="2"/>
  <c r="G503" i="2"/>
  <c r="D504" i="2"/>
  <c r="L504" i="2"/>
  <c r="I503" i="2"/>
  <c r="F503" i="2" s="1"/>
  <c r="J506" i="2"/>
  <c r="M507" i="2"/>
  <c r="A502" i="4"/>
  <c r="M501" i="3"/>
  <c r="N501" i="3"/>
  <c r="C501" i="3"/>
  <c r="P501" i="3"/>
  <c r="E501" i="3"/>
  <c r="G501" i="3"/>
  <c r="S501" i="3"/>
  <c r="Y501" i="3" s="1"/>
  <c r="Z501" i="3" s="1"/>
  <c r="AA501" i="3" s="1"/>
  <c r="H501" i="3"/>
  <c r="T501" i="3"/>
  <c r="J501" i="3"/>
  <c r="V501" i="3"/>
  <c r="D502" i="4" l="1"/>
  <c r="L505" i="2"/>
  <c r="I504" i="2"/>
  <c r="F504" i="2" s="1"/>
  <c r="K510" i="2"/>
  <c r="H510" i="2" s="1"/>
  <c r="H509" i="2"/>
  <c r="D505" i="2"/>
  <c r="T504" i="2"/>
  <c r="G504" i="2"/>
  <c r="A503" i="4"/>
  <c r="H502" i="3"/>
  <c r="T502" i="3"/>
  <c r="J502" i="3"/>
  <c r="V502" i="3"/>
  <c r="M502" i="3"/>
  <c r="N502" i="3"/>
  <c r="C502" i="3"/>
  <c r="P502" i="3"/>
  <c r="E502" i="3"/>
  <c r="G502" i="3"/>
  <c r="S502" i="3"/>
  <c r="Y502" i="3" s="1"/>
  <c r="Z502" i="3" s="1"/>
  <c r="AA502" i="3" s="1"/>
  <c r="K502" i="4"/>
  <c r="N502" i="4" s="1"/>
  <c r="G502" i="4"/>
  <c r="L502" i="4" s="1"/>
  <c r="I502" i="4"/>
  <c r="M502" i="4" s="1"/>
  <c r="O500" i="3"/>
  <c r="H501" i="4" s="1"/>
  <c r="I500" i="3"/>
  <c r="F501" i="4" s="1"/>
  <c r="U500" i="3"/>
  <c r="J501" i="4" s="1"/>
  <c r="C502" i="4"/>
  <c r="AB501" i="3"/>
  <c r="E502" i="4" s="1"/>
  <c r="M508" i="2"/>
  <c r="J507" i="2"/>
  <c r="C505" i="2"/>
  <c r="E504" i="2"/>
  <c r="F501" i="3"/>
  <c r="D502" i="3"/>
  <c r="D503" i="4" l="1"/>
  <c r="O501" i="3"/>
  <c r="H502" i="4" s="1"/>
  <c r="I501" i="3"/>
  <c r="F502" i="4" s="1"/>
  <c r="U501" i="3"/>
  <c r="J502" i="4" s="1"/>
  <c r="C506" i="2"/>
  <c r="E505" i="2"/>
  <c r="I503" i="4"/>
  <c r="M503" i="4" s="1"/>
  <c r="K503" i="4"/>
  <c r="N503" i="4" s="1"/>
  <c r="G503" i="4"/>
  <c r="L503" i="4" s="1"/>
  <c r="J508" i="2"/>
  <c r="M509" i="2"/>
  <c r="A504" i="4"/>
  <c r="E503" i="3"/>
  <c r="G503" i="3"/>
  <c r="S503" i="3"/>
  <c r="Y503" i="3" s="1"/>
  <c r="Z503" i="3" s="1"/>
  <c r="AA503" i="3" s="1"/>
  <c r="H503" i="3"/>
  <c r="T503" i="3"/>
  <c r="J503" i="3"/>
  <c r="V503" i="3"/>
  <c r="M503" i="3"/>
  <c r="N503" i="3"/>
  <c r="P503" i="3"/>
  <c r="C503" i="3"/>
  <c r="G505" i="2"/>
  <c r="D506" i="2"/>
  <c r="T505" i="2"/>
  <c r="D503" i="3"/>
  <c r="F502" i="3"/>
  <c r="C503" i="4"/>
  <c r="AB502" i="3"/>
  <c r="E503" i="4" s="1"/>
  <c r="L506" i="2"/>
  <c r="I505" i="2"/>
  <c r="F505" i="2" s="1"/>
  <c r="D504" i="4" l="1"/>
  <c r="L507" i="2"/>
  <c r="I506" i="2"/>
  <c r="F506" i="2" s="1"/>
  <c r="I502" i="3"/>
  <c r="F503" i="4" s="1"/>
  <c r="U502" i="3"/>
  <c r="J503" i="4" s="1"/>
  <c r="O502" i="3"/>
  <c r="H503" i="4" s="1"/>
  <c r="F503" i="3"/>
  <c r="D504" i="3"/>
  <c r="T506" i="2"/>
  <c r="D507" i="2"/>
  <c r="G506" i="2"/>
  <c r="A505" i="4"/>
  <c r="N504" i="3"/>
  <c r="C504" i="3"/>
  <c r="P504" i="3"/>
  <c r="E504" i="3"/>
  <c r="G504" i="3"/>
  <c r="S504" i="3"/>
  <c r="Y504" i="3" s="1"/>
  <c r="Z504" i="3" s="1"/>
  <c r="AA504" i="3" s="1"/>
  <c r="H504" i="3"/>
  <c r="T504" i="3"/>
  <c r="J504" i="3"/>
  <c r="V504" i="3"/>
  <c r="M504" i="3"/>
  <c r="C507" i="2"/>
  <c r="E506" i="2"/>
  <c r="G504" i="4"/>
  <c r="L504" i="4" s="1"/>
  <c r="I504" i="4"/>
  <c r="M504" i="4" s="1"/>
  <c r="K504" i="4"/>
  <c r="N504" i="4" s="1"/>
  <c r="M510" i="2"/>
  <c r="J510" i="2" s="1"/>
  <c r="J509" i="2"/>
  <c r="C504" i="4"/>
  <c r="AB503" i="3"/>
  <c r="E504" i="4" s="1"/>
  <c r="D505" i="4" l="1"/>
  <c r="D508" i="2"/>
  <c r="T507" i="2"/>
  <c r="G507" i="2"/>
  <c r="F504" i="3"/>
  <c r="D505" i="3"/>
  <c r="I503" i="3"/>
  <c r="F504" i="4" s="1"/>
  <c r="U503" i="3"/>
  <c r="J504" i="4" s="1"/>
  <c r="O503" i="3"/>
  <c r="H504" i="4" s="1"/>
  <c r="L508" i="2"/>
  <c r="I507" i="2"/>
  <c r="F507" i="2" s="1"/>
  <c r="C508" i="2"/>
  <c r="E507" i="2"/>
  <c r="A506" i="4"/>
  <c r="M505" i="3"/>
  <c r="N505" i="3"/>
  <c r="C505" i="3"/>
  <c r="P505" i="3"/>
  <c r="E505" i="3"/>
  <c r="G505" i="3"/>
  <c r="S505" i="3"/>
  <c r="Y505" i="3" s="1"/>
  <c r="Z505" i="3" s="1"/>
  <c r="AA505" i="3" s="1"/>
  <c r="H505" i="3"/>
  <c r="T505" i="3"/>
  <c r="J505" i="3"/>
  <c r="V505" i="3"/>
  <c r="C505" i="4"/>
  <c r="AB504" i="3"/>
  <c r="E505" i="4" s="1"/>
  <c r="G505" i="4"/>
  <c r="L505" i="4" s="1"/>
  <c r="I505" i="4"/>
  <c r="M505" i="4" s="1"/>
  <c r="K505" i="4"/>
  <c r="N505" i="4" s="1"/>
  <c r="D506" i="4" l="1"/>
  <c r="L509" i="2"/>
  <c r="I508" i="2"/>
  <c r="F505" i="3"/>
  <c r="D506" i="3"/>
  <c r="O504" i="3"/>
  <c r="H505" i="4" s="1"/>
  <c r="I504" i="3"/>
  <c r="F505" i="4" s="1"/>
  <c r="U504" i="3"/>
  <c r="J505" i="4" s="1"/>
  <c r="C506" i="4"/>
  <c r="AB505" i="3"/>
  <c r="E506" i="4" s="1"/>
  <c r="A507" i="4"/>
  <c r="H506" i="3"/>
  <c r="T506" i="3"/>
  <c r="J506" i="3"/>
  <c r="V506" i="3"/>
  <c r="M506" i="3"/>
  <c r="N506" i="3"/>
  <c r="C506" i="3"/>
  <c r="P506" i="3"/>
  <c r="E506" i="3"/>
  <c r="G506" i="3"/>
  <c r="S506" i="3"/>
  <c r="Y506" i="3" s="1"/>
  <c r="Z506" i="3" s="1"/>
  <c r="AA506" i="3" s="1"/>
  <c r="G506" i="4"/>
  <c r="L506" i="4" s="1"/>
  <c r="I506" i="4"/>
  <c r="M506" i="4" s="1"/>
  <c r="K506" i="4"/>
  <c r="N506" i="4" s="1"/>
  <c r="G508" i="2"/>
  <c r="D509" i="2"/>
  <c r="T508" i="2"/>
  <c r="F508" i="2"/>
  <c r="E508" i="2"/>
  <c r="C509" i="2"/>
  <c r="D507" i="4" l="1"/>
  <c r="G507" i="4"/>
  <c r="L507" i="4" s="1"/>
  <c r="I507" i="4"/>
  <c r="M507" i="4" s="1"/>
  <c r="K507" i="4"/>
  <c r="N507" i="4" s="1"/>
  <c r="E509" i="2"/>
  <c r="C510" i="2"/>
  <c r="A508" i="4"/>
  <c r="E507" i="3"/>
  <c r="G507" i="3"/>
  <c r="S507" i="3"/>
  <c r="Y507" i="3" s="1"/>
  <c r="Z507" i="3" s="1"/>
  <c r="AA507" i="3" s="1"/>
  <c r="H507" i="3"/>
  <c r="T507" i="3"/>
  <c r="J507" i="3"/>
  <c r="V507" i="3"/>
  <c r="M507" i="3"/>
  <c r="N507" i="3"/>
  <c r="P507" i="3"/>
  <c r="C507" i="3"/>
  <c r="T509" i="2"/>
  <c r="D510" i="2"/>
  <c r="G509" i="2"/>
  <c r="D507" i="3"/>
  <c r="F506" i="3"/>
  <c r="C507" i="4"/>
  <c r="AB506" i="3"/>
  <c r="E507" i="4" s="1"/>
  <c r="O505" i="3"/>
  <c r="H506" i="4" s="1"/>
  <c r="I505" i="3"/>
  <c r="F506" i="4" s="1"/>
  <c r="U505" i="3"/>
  <c r="J506" i="4" s="1"/>
  <c r="I509" i="2"/>
  <c r="F509" i="2" s="1"/>
  <c r="L510" i="2"/>
  <c r="I510" i="2" s="1"/>
  <c r="D508" i="4" l="1"/>
  <c r="F507" i="3"/>
  <c r="D508" i="3"/>
  <c r="K508" i="4"/>
  <c r="N508" i="4" s="1"/>
  <c r="G508" i="4"/>
  <c r="L508" i="4" s="1"/>
  <c r="I508" i="4"/>
  <c r="M508" i="4" s="1"/>
  <c r="F510" i="2"/>
  <c r="E510" i="2"/>
  <c r="C508" i="4"/>
  <c r="AB507" i="3"/>
  <c r="E508" i="4" s="1"/>
  <c r="I506" i="3"/>
  <c r="F507" i="4" s="1"/>
  <c r="U506" i="3"/>
  <c r="J507" i="4" s="1"/>
  <c r="O506" i="3"/>
  <c r="H507" i="4" s="1"/>
  <c r="G510" i="2"/>
  <c r="T510" i="2"/>
  <c r="A509" i="4"/>
  <c r="N508" i="3"/>
  <c r="C508" i="3"/>
  <c r="P508" i="3"/>
  <c r="E508" i="3"/>
  <c r="G508" i="3"/>
  <c r="S508" i="3"/>
  <c r="Y508" i="3" s="1"/>
  <c r="Z508" i="3" s="1"/>
  <c r="AA508" i="3" s="1"/>
  <c r="H508" i="3"/>
  <c r="T508" i="3"/>
  <c r="J508" i="3"/>
  <c r="V508" i="3"/>
  <c r="M508" i="3"/>
  <c r="D509" i="4" l="1"/>
  <c r="C509" i="4"/>
  <c r="AB508" i="3"/>
  <c r="E509" i="4" s="1"/>
  <c r="I509" i="4"/>
  <c r="M509" i="4" s="1"/>
  <c r="K509" i="4"/>
  <c r="N509" i="4" s="1"/>
  <c r="G509" i="4"/>
  <c r="L509" i="4" s="1"/>
  <c r="F508" i="3"/>
  <c r="D509" i="3"/>
  <c r="I507" i="3"/>
  <c r="F508" i="4" s="1"/>
  <c r="U507" i="3"/>
  <c r="J508" i="4" s="1"/>
  <c r="O507" i="3"/>
  <c r="H508" i="4" s="1"/>
  <c r="A510" i="4"/>
  <c r="M509" i="3"/>
  <c r="N509" i="3"/>
  <c r="C509" i="3"/>
  <c r="P509" i="3"/>
  <c r="E509" i="3"/>
  <c r="G509" i="3"/>
  <c r="S509" i="3"/>
  <c r="H509" i="3"/>
  <c r="T509" i="3"/>
  <c r="J509" i="3"/>
  <c r="V509" i="3"/>
  <c r="Y509" i="3" l="1"/>
  <c r="Z509" i="3" s="1"/>
  <c r="AA509" i="3" s="1"/>
  <c r="D510" i="4" s="1"/>
  <c r="Y510" i="3"/>
  <c r="Z510" i="3" s="1"/>
  <c r="F509" i="3"/>
  <c r="O508" i="3"/>
  <c r="H509" i="4" s="1"/>
  <c r="I508" i="3"/>
  <c r="F509" i="4" s="1"/>
  <c r="U508" i="3"/>
  <c r="J509" i="4" s="1"/>
  <c r="C510" i="4"/>
  <c r="AB509" i="3"/>
  <c r="E510" i="4" s="1"/>
  <c r="G510" i="4"/>
  <c r="L510" i="4" s="1"/>
  <c r="I510" i="4"/>
  <c r="M510" i="4" s="1"/>
  <c r="K510" i="4"/>
  <c r="N510" i="4" s="1"/>
  <c r="AA510" i="3" l="1"/>
  <c r="D511" i="4" s="1"/>
  <c r="AA511" i="3"/>
  <c r="O509" i="3"/>
  <c r="H510" i="4" s="1"/>
  <c r="I509" i="3"/>
  <c r="F510" i="4" s="1"/>
  <c r="U509" i="3"/>
  <c r="J510" i="4" s="1"/>
  <c r="AA512" i="3" l="1"/>
  <c r="D512" i="4"/>
  <c r="AA513" i="3" l="1"/>
  <c r="D513" i="4"/>
  <c r="AA514" i="3" l="1"/>
  <c r="D514" i="4"/>
  <c r="AA515" i="3" l="1"/>
  <c r="D515" i="4"/>
  <c r="AA516" i="3" l="1"/>
  <c r="D516" i="4"/>
  <c r="AA517" i="3" l="1"/>
  <c r="D517" i="4"/>
  <c r="AA518" i="3" l="1"/>
  <c r="D518" i="4"/>
  <c r="AA519" i="3" l="1"/>
  <c r="D519" i="4"/>
  <c r="AA520" i="3" l="1"/>
  <c r="D520" i="4"/>
  <c r="AA521" i="3" l="1"/>
  <c r="D521" i="4"/>
  <c r="AA522" i="3" l="1"/>
  <c r="D522" i="4"/>
  <c r="AA523" i="3" l="1"/>
  <c r="D523" i="4"/>
  <c r="AA524" i="3" l="1"/>
  <c r="D524" i="4"/>
  <c r="AA525" i="3" l="1"/>
  <c r="D525" i="4"/>
  <c r="D526" i="4" l="1"/>
  <c r="AA526" i="3"/>
  <c r="D527" i="4" l="1"/>
  <c r="AA527" i="3"/>
  <c r="AA528" i="3" l="1"/>
  <c r="D528" i="4"/>
  <c r="AA529" i="3" l="1"/>
  <c r="D529" i="4"/>
  <c r="AA530" i="3" l="1"/>
  <c r="D530" i="4"/>
  <c r="AA531" i="3" l="1"/>
  <c r="D531" i="4"/>
  <c r="AA532" i="3" l="1"/>
  <c r="D532" i="4"/>
  <c r="AA533" i="3" l="1"/>
  <c r="D533" i="4"/>
  <c r="AA534" i="3" l="1"/>
  <c r="D534" i="4"/>
  <c r="AA535" i="3" l="1"/>
  <c r="D535" i="4"/>
  <c r="AA536" i="3" l="1"/>
  <c r="D536" i="4"/>
  <c r="AA537" i="3" l="1"/>
  <c r="D537" i="4"/>
  <c r="AA538" i="3" l="1"/>
  <c r="D538" i="4"/>
  <c r="D539" i="4" l="1"/>
  <c r="AA539" i="3"/>
  <c r="AA540" i="3" l="1"/>
  <c r="AA541" i="3" s="1"/>
  <c r="AA542" i="3" s="1"/>
  <c r="AA543" i="3" s="1"/>
  <c r="AA544" i="3" s="1"/>
  <c r="D54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<sst xmlns="http://schemas.openxmlformats.org/spreadsheetml/2006/main" count="146" uniqueCount="81">
  <si>
    <t>GT 1</t>
  </si>
  <si>
    <t>GT 2</t>
  </si>
  <si>
    <t>GT 3</t>
  </si>
  <si>
    <t>GT 4</t>
  </si>
  <si>
    <t>GT 5</t>
  </si>
  <si>
    <t>GT 6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</si>
  <si>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</si>
  <si>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</si>
  <si>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</si>
  <si>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</si>
  <si>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</si>
  <si>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</si>
  <si>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</si>
  <si>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</si>
  <si>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</si>
  <si>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</si>
  <si>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</si>
  <si>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</si>
  <si>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</si>
  <si>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</si>
  <si>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</si>
  <si>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</si>
  <si>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</si>
  <si>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</si>
  <si>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</si>
  <si>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</si>
  <si>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</si>
  <si>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</si>
  <si>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</si>
  <si>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Km115+260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</si>
  <si>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</si>
  <si>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</si>
  <si>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</si>
  <si>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</si>
  <si>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</si>
  <si>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</si>
  <si>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</si>
  <si>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</si>
  <si>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</si>
  <si>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</si>
  <si>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</si>
  <si>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</si>
  <si>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</si>
  <si>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</si>
  <si>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</si>
  <si>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</si>
  <si>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</si>
  <si>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</si>
  <si>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</si>
  <si>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</si>
  <si>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</si>
  <si>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</si>
  <si>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</si>
  <si>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</si>
  <si>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</si>
  <si>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</si>
  <si>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</si>
  <si>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</si>
  <si>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</si>
  <si>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</si>
  <si>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</si>
  <si>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</si>
  <si>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</si>
  <si>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</si>
  <si>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</si>
  <si>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</si>
  <si>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</si>
  <si>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</si>
  <si>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</si>
  <si>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</si>
  <si>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</si>
  <si>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</si>
  <si>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</si>
  <si>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</si>
  <si>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K.Thúc GT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</si>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</sst>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1"/>
      <color theme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43" fontId="22" fillId="0" borderId="0" applyFont="0" applyFill="0" applyBorder="0" applyAlignment="0" applyProtection="0"/>
    <xf numFmtId="0" fontId="2" fillId="0" borderId="0"/>
    <xf numFmtId="0" fontId="26" fillId="0" borderId="0"/>
    <xf numFmtId="0" fontId="26" fillId="0" borderId="0">
      <alignment vertical="center"/>
    </xf>
  </cellStyleXfs>
  <cellXfs count="260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/>
    </xf>
    <xf numFmtId="3" fontId="5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14" fontId="9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3" fontId="11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10" fillId="0" borderId="1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3" fontId="12" fillId="0" borderId="2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3" fillId="0" borderId="13" xfId="1" applyNumberFormat="1" applyFont="1" applyBorder="1" applyAlignment="1">
      <alignment horizontal="center"/>
    </xf>
    <xf numFmtId="3" fontId="13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5" fillId="0" borderId="14" xfId="4" applyNumberFormat="1" applyFont="1" applyBorder="1" applyAlignment="1">
      <alignment vertical="center"/>
    </xf>
    <xf numFmtId="3" fontId="13" fillId="0" borderId="16" xfId="1" applyNumberFormat="1" applyFont="1" applyBorder="1" applyAlignment="1">
      <alignment horizontal="center"/>
    </xf>
    <xf numFmtId="3" fontId="13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0" fontId="19" fillId="3" borderId="0" xfId="4" applyFont="1" applyFill="1" applyAlignment="1">
      <alignment vertical="center"/>
    </xf>
    <xf numFmtId="0" fontId="19" fillId="3" borderId="0" xfId="4" applyFont="1" applyFill="1" applyAlignment="1">
      <alignment horizontal="center"/>
    </xf>
    <xf numFmtId="0" fontId="20" fillId="3" borderId="0" xfId="4" applyFont="1" applyFill="1" applyAlignment="1">
      <alignment horizontal="center"/>
    </xf>
    <xf numFmtId="0" fontId="19" fillId="0" borderId="0" xfId="4" applyFont="1" applyAlignment="1">
      <alignment horizontal="center"/>
    </xf>
    <xf numFmtId="0" fontId="19" fillId="0" borderId="0" xfId="4" applyFont="1" applyAlignment="1">
      <alignment horizontal="center" vertical="center"/>
    </xf>
    <xf numFmtId="167" fontId="19" fillId="0" borderId="0" xfId="4" applyNumberFormat="1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167" fontId="9" fillId="0" borderId="0" xfId="4" applyNumberFormat="1" applyFont="1" applyAlignment="1">
      <alignment horizontal="center" vertical="center"/>
    </xf>
    <xf numFmtId="4" fontId="9" fillId="0" borderId="0" xfId="4" applyNumberFormat="1" applyFont="1" applyAlignment="1">
      <alignment horizontal="center" vertical="center"/>
    </xf>
    <xf numFmtId="4" fontId="9" fillId="3" borderId="0" xfId="4" applyNumberFormat="1" applyFont="1" applyFill="1" applyAlignment="1">
      <alignment horizontal="center" vertical="center"/>
    </xf>
    <xf numFmtId="0" fontId="9" fillId="3" borderId="0" xfId="4" applyFont="1" applyFill="1" applyAlignment="1">
      <alignment horizontal="center" vertical="center"/>
    </xf>
    <xf numFmtId="0" fontId="19" fillId="3" borderId="0" xfId="4" applyFont="1" applyFill="1" applyAlignment="1">
      <alignment horizontal="center" vertical="center"/>
    </xf>
    <xf numFmtId="166" fontId="19" fillId="3" borderId="0" xfId="4" applyNumberFormat="1" applyFont="1" applyFill="1" applyAlignment="1">
      <alignment horizontal="center" vertical="center"/>
    </xf>
    <xf numFmtId="168" fontId="21" fillId="3" borderId="1" xfId="4" applyNumberFormat="1" applyFont="1" applyFill="1" applyBorder="1" applyAlignment="1">
      <alignment horizontal="center" vertical="center"/>
    </xf>
    <xf numFmtId="168" fontId="21" fillId="3" borderId="1" xfId="4" applyNumberFormat="1" applyFont="1" applyFill="1" applyBorder="1" applyAlignment="1">
      <alignment horizontal="center" vertical="center" wrapText="1"/>
    </xf>
    <xf numFmtId="169" fontId="21" fillId="0" borderId="9" xfId="4" applyNumberFormat="1" applyFont="1" applyBorder="1" applyAlignment="1">
      <alignment horizontal="center" vertical="center" wrapText="1"/>
    </xf>
    <xf numFmtId="169" fontId="21" fillId="0" borderId="1" xfId="4" applyNumberFormat="1" applyFont="1" applyBorder="1" applyAlignment="1">
      <alignment horizontal="center" vertical="center" wrapText="1"/>
    </xf>
    <xf numFmtId="3" fontId="21" fillId="0" borderId="3" xfId="4" applyNumberFormat="1" applyFont="1" applyBorder="1" applyAlignment="1">
      <alignment horizontal="center" vertical="center"/>
    </xf>
    <xf numFmtId="169" fontId="20" fillId="0" borderId="1" xfId="4" applyNumberFormat="1" applyFont="1" applyBorder="1" applyAlignment="1">
      <alignment horizontal="center" vertical="center"/>
    </xf>
    <xf numFmtId="169" fontId="21" fillId="0" borderId="1" xfId="4" applyNumberFormat="1" applyFont="1" applyBorder="1" applyAlignment="1">
      <alignment horizontal="center" vertical="center"/>
    </xf>
    <xf numFmtId="170" fontId="21" fillId="0" borderId="1" xfId="4" applyNumberFormat="1" applyFont="1" applyBorder="1" applyAlignment="1">
      <alignment horizontal="center" vertical="center"/>
    </xf>
    <xf numFmtId="171" fontId="21" fillId="0" borderId="3" xfId="4" applyNumberFormat="1" applyFont="1" applyBorder="1" applyAlignment="1">
      <alignment horizontal="center" vertical="center"/>
    </xf>
    <xf numFmtId="171" fontId="21" fillId="0" borderId="1" xfId="5" applyNumberFormat="1" applyFont="1" applyFill="1" applyBorder="1" applyAlignment="1">
      <alignment horizontal="center" vertical="center"/>
    </xf>
    <xf numFmtId="170" fontId="21" fillId="0" borderId="3" xfId="4" applyNumberFormat="1" applyFont="1" applyBorder="1" applyAlignment="1">
      <alignment horizontal="center" vertical="center"/>
    </xf>
    <xf numFmtId="170" fontId="20" fillId="0" borderId="1" xfId="4" applyNumberFormat="1" applyFont="1" applyBorder="1" applyAlignment="1">
      <alignment horizontal="center" vertical="center"/>
    </xf>
    <xf numFmtId="1" fontId="20" fillId="0" borderId="1" xfId="4" applyNumberFormat="1" applyFont="1" applyBorder="1" applyAlignment="1">
      <alignment horizontal="center" vertical="center"/>
    </xf>
    <xf numFmtId="166" fontId="20" fillId="0" borderId="1" xfId="4" applyNumberFormat="1" applyFont="1" applyBorder="1" applyAlignment="1">
      <alignment horizontal="center" vertical="center"/>
    </xf>
    <xf numFmtId="0" fontId="20" fillId="3" borderId="0" xfId="4" applyFont="1" applyFill="1" applyAlignment="1">
      <alignment vertical="center"/>
    </xf>
    <xf numFmtId="14" fontId="23" fillId="0" borderId="0" xfId="2" applyNumberFormat="1" applyFont="1" applyAlignment="1">
      <alignment horizontal="center" vertical="center" shrinkToFit="1"/>
    </xf>
    <xf numFmtId="0" fontId="20" fillId="4" borderId="0" xfId="4" applyFont="1" applyFill="1" applyAlignment="1">
      <alignment vertical="center"/>
    </xf>
    <xf numFmtId="0" fontId="20" fillId="4" borderId="0" xfId="4" applyFont="1" applyFill="1" applyAlignment="1">
      <alignment horizontal="center"/>
    </xf>
    <xf numFmtId="14" fontId="23" fillId="0" borderId="22" xfId="2" applyNumberFormat="1" applyFont="1" applyBorder="1" applyAlignment="1">
      <alignment horizontal="center" vertical="center" shrinkToFit="1"/>
    </xf>
    <xf numFmtId="14" fontId="23" fillId="0" borderId="23" xfId="2" applyNumberFormat="1" applyFont="1" applyBorder="1" applyAlignment="1">
      <alignment horizontal="center" vertical="center" shrinkToFit="1"/>
    </xf>
    <xf numFmtId="0" fontId="20" fillId="3" borderId="0" xfId="4" applyFont="1" applyFill="1" applyAlignment="1">
      <alignment horizontal="center" vertical="center"/>
    </xf>
    <xf numFmtId="3" fontId="20" fillId="3" borderId="0" xfId="4" applyNumberFormat="1" applyFont="1" applyFill="1" applyAlignment="1">
      <alignment horizontal="center"/>
    </xf>
    <xf numFmtId="0" fontId="20" fillId="0" borderId="24" xfId="4" applyFont="1" applyBorder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3" fontId="20" fillId="2" borderId="0" xfId="4" applyNumberFormat="1" applyFont="1" applyFill="1" applyAlignment="1">
      <alignment horizontal="center"/>
    </xf>
    <xf numFmtId="0" fontId="20" fillId="2" borderId="0" xfId="4" applyFont="1" applyFill="1" applyAlignment="1">
      <alignment horizontal="center"/>
    </xf>
    <xf numFmtId="0" fontId="20" fillId="5" borderId="0" xfId="4" applyFont="1" applyFill="1" applyAlignment="1">
      <alignment horizontal="center" vertical="center"/>
    </xf>
    <xf numFmtId="3" fontId="20" fillId="5" borderId="0" xfId="4" applyNumberFormat="1" applyFont="1" applyFill="1" applyAlignment="1">
      <alignment horizontal="center"/>
    </xf>
    <xf numFmtId="0" fontId="20" fillId="5" borderId="0" xfId="4" applyFont="1" applyFill="1" applyAlignment="1">
      <alignment horizontal="center"/>
    </xf>
    <xf numFmtId="0" fontId="20" fillId="0" borderId="0" xfId="4" applyFont="1" applyAlignment="1">
      <alignment horizontal="center" vertical="center"/>
    </xf>
    <xf numFmtId="3" fontId="20" fillId="0" borderId="0" xfId="4" applyNumberFormat="1" applyFont="1" applyAlignment="1">
      <alignment horizontal="center"/>
    </xf>
    <xf numFmtId="0" fontId="20" fillId="0" borderId="0" xfId="4" applyFont="1" applyAlignment="1">
      <alignment horizontal="center"/>
    </xf>
    <xf numFmtId="0" fontId="20" fillId="4" borderId="0" xfId="4" applyFont="1" applyFill="1" applyAlignment="1">
      <alignment horizontal="center" vertical="center"/>
    </xf>
    <xf numFmtId="3" fontId="20" fillId="4" borderId="0" xfId="4" applyNumberFormat="1" applyFont="1" applyFill="1" applyAlignment="1">
      <alignment horizontal="center"/>
    </xf>
    <xf numFmtId="169" fontId="21" fillId="0" borderId="21" xfId="4" applyNumberFormat="1" applyFont="1" applyBorder="1" applyAlignment="1">
      <alignment horizontal="center" vertical="center" wrapText="1"/>
    </xf>
    <xf numFmtId="169" fontId="20" fillId="0" borderId="3" xfId="4" applyNumberFormat="1" applyFont="1" applyBorder="1" applyAlignment="1">
      <alignment horizontal="center" vertical="center" wrapText="1"/>
    </xf>
    <xf numFmtId="169" fontId="20" fillId="0" borderId="3" xfId="4" applyNumberFormat="1" applyFont="1" applyBorder="1" applyAlignment="1">
      <alignment horizontal="center" vertical="center"/>
    </xf>
    <xf numFmtId="169" fontId="21" fillId="0" borderId="3" xfId="4" applyNumberFormat="1" applyFont="1" applyBorder="1" applyAlignment="1">
      <alignment horizontal="center" vertical="center"/>
    </xf>
    <xf numFmtId="169" fontId="21" fillId="0" borderId="3" xfId="4" applyNumberFormat="1" applyFont="1" applyBorder="1" applyAlignment="1">
      <alignment horizontal="center" vertical="center" wrapText="1"/>
    </xf>
    <xf numFmtId="171" fontId="21" fillId="0" borderId="3" xfId="5" applyNumberFormat="1" applyFont="1" applyFill="1" applyBorder="1" applyAlignment="1">
      <alignment horizontal="center" vertical="center"/>
    </xf>
    <xf numFmtId="170" fontId="20" fillId="0" borderId="3" xfId="4" applyNumberFormat="1" applyFont="1" applyBorder="1" applyAlignment="1">
      <alignment horizontal="center" vertical="center"/>
    </xf>
    <xf numFmtId="1" fontId="20" fillId="0" borderId="3" xfId="4" applyNumberFormat="1" applyFont="1" applyBorder="1" applyAlignment="1">
      <alignment horizontal="center" vertical="center"/>
    </xf>
    <xf numFmtId="166" fontId="20" fillId="0" borderId="3" xfId="4" applyNumberFormat="1" applyFont="1" applyBorder="1" applyAlignment="1">
      <alignment horizontal="center" vertical="center"/>
    </xf>
    <xf numFmtId="167" fontId="20" fillId="0" borderId="1" xfId="4" applyNumberFormat="1" applyFont="1" applyBorder="1" applyAlignment="1">
      <alignment horizontal="center" vertical="center" wrapText="1"/>
    </xf>
    <xf numFmtId="4" fontId="20" fillId="0" borderId="1" xfId="4" applyNumberFormat="1" applyFont="1" applyBorder="1" applyAlignment="1">
      <alignment horizontal="center" vertical="center" wrapText="1"/>
    </xf>
    <xf numFmtId="4" fontId="21" fillId="0" borderId="1" xfId="4" applyNumberFormat="1" applyFont="1" applyBorder="1" applyAlignment="1">
      <alignment horizontal="center" vertical="center" wrapText="1"/>
    </xf>
    <xf numFmtId="167" fontId="21" fillId="0" borderId="1" xfId="4" applyNumberFormat="1" applyFont="1" applyBorder="1" applyAlignment="1">
      <alignment horizontal="center" vertical="center" wrapText="1"/>
    </xf>
    <xf numFmtId="0" fontId="25" fillId="3" borderId="0" xfId="4" applyFont="1" applyFill="1" applyAlignment="1">
      <alignment vertical="center"/>
    </xf>
    <xf numFmtId="0" fontId="25" fillId="3" borderId="0" xfId="4" applyFont="1" applyFill="1" applyAlignment="1">
      <alignment horizontal="center"/>
    </xf>
    <xf numFmtId="0" fontId="25" fillId="0" borderId="24" xfId="4" applyFont="1" applyBorder="1" applyAlignment="1">
      <alignment vertical="center"/>
    </xf>
    <xf numFmtId="0" fontId="20" fillId="3" borderId="0" xfId="4" applyFont="1" applyFill="1"/>
    <xf numFmtId="0" fontId="20" fillId="3" borderId="25" xfId="4" applyFont="1" applyFill="1" applyBorder="1" applyAlignment="1">
      <alignment horizontal="center"/>
    </xf>
    <xf numFmtId="0" fontId="20" fillId="0" borderId="0" xfId="4" applyFont="1"/>
    <xf numFmtId="0" fontId="21" fillId="0" borderId="0" xfId="4" applyFont="1"/>
    <xf numFmtId="0" fontId="21" fillId="3" borderId="0" xfId="4" applyFont="1" applyFill="1"/>
    <xf numFmtId="0" fontId="25" fillId="3" borderId="0" xfId="6" applyFont="1" applyFill="1"/>
    <xf numFmtId="166" fontId="25" fillId="3" borderId="26" xfId="6" applyNumberFormat="1" applyFont="1" applyFill="1" applyBorder="1" applyAlignment="1">
      <alignment horizontal="left"/>
    </xf>
    <xf numFmtId="0" fontId="20" fillId="3" borderId="24" xfId="4" applyFont="1" applyFill="1" applyBorder="1"/>
    <xf numFmtId="0" fontId="20" fillId="3" borderId="10" xfId="4" applyFont="1" applyFill="1" applyBorder="1" applyAlignment="1">
      <alignment horizontal="center"/>
    </xf>
    <xf numFmtId="0" fontId="20" fillId="3" borderId="11" xfId="4" applyFont="1" applyFill="1" applyBorder="1" applyAlignment="1">
      <alignment horizontal="center"/>
    </xf>
    <xf numFmtId="3" fontId="13" fillId="0" borderId="11" xfId="1" applyNumberFormat="1" applyFont="1" applyBorder="1" applyAlignment="1">
      <alignment horizontal="center"/>
    </xf>
    <xf numFmtId="0" fontId="5" fillId="0" borderId="11" xfId="4" applyFont="1" applyBorder="1"/>
    <xf numFmtId="0" fontId="5" fillId="0" borderId="11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20" fillId="3" borderId="13" xfId="4" applyFont="1" applyFill="1" applyBorder="1" applyAlignment="1">
      <alignment horizontal="center"/>
    </xf>
    <xf numFmtId="0" fontId="20" fillId="3" borderId="14" xfId="4" applyFont="1" applyFill="1" applyBorder="1" applyAlignment="1">
      <alignment horizontal="center"/>
    </xf>
    <xf numFmtId="0" fontId="20" fillId="3" borderId="16" xfId="4" applyFont="1" applyFill="1" applyBorder="1" applyAlignment="1">
      <alignment horizontal="center"/>
    </xf>
    <xf numFmtId="0" fontId="20" fillId="3" borderId="17" xfId="4" applyFont="1" applyFill="1" applyBorder="1" applyAlignment="1">
      <alignment horizontal="center"/>
    </xf>
    <xf numFmtId="0" fontId="19" fillId="3" borderId="27" xfId="4" applyFont="1" applyFill="1" applyBorder="1" applyAlignment="1">
      <alignment vertical="center"/>
    </xf>
    <xf numFmtId="0" fontId="26" fillId="0" borderId="0" xfId="7"/>
    <xf numFmtId="0" fontId="26" fillId="8" borderId="0" xfId="7" applyFill="1"/>
    <xf numFmtId="0" fontId="26" fillId="3" borderId="0" xfId="7" applyFill="1" applyAlignment="1">
      <alignment vertical="center"/>
    </xf>
    <xf numFmtId="0" fontId="21" fillId="3" borderId="0" xfId="7" applyFont="1" applyFill="1" applyAlignment="1">
      <alignment vertical="center"/>
    </xf>
    <xf numFmtId="168" fontId="21" fillId="3" borderId="0" xfId="7" applyNumberFormat="1" applyFont="1" applyFill="1" applyAlignment="1">
      <alignment vertical="center"/>
    </xf>
    <xf numFmtId="166" fontId="21" fillId="3" borderId="0" xfId="7" applyNumberFormat="1" applyFont="1" applyFill="1" applyAlignment="1">
      <alignment vertical="center"/>
    </xf>
    <xf numFmtId="0" fontId="21" fillId="0" borderId="1" xfId="7" applyFont="1" applyBorder="1" applyAlignment="1">
      <alignment horizontal="center" vertical="center" wrapText="1"/>
    </xf>
    <xf numFmtId="1" fontId="21" fillId="0" borderId="1" xfId="7" applyNumberFormat="1" applyFont="1" applyBorder="1" applyAlignment="1">
      <alignment horizontal="center" vertical="center" wrapText="1"/>
    </xf>
    <xf numFmtId="168" fontId="21" fillId="0" borderId="1" xfId="7" applyNumberFormat="1" applyFont="1" applyBorder="1" applyAlignment="1">
      <alignment horizontal="center" vertical="center" wrapText="1"/>
    </xf>
    <xf numFmtId="2" fontId="21" fillId="0" borderId="1" xfId="7" applyNumberFormat="1" applyFont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172" fontId="26" fillId="0" borderId="0" xfId="7" applyNumberFormat="1"/>
    <xf numFmtId="173" fontId="26" fillId="0" borderId="0" xfId="7" applyNumberFormat="1"/>
    <xf numFmtId="174" fontId="26" fillId="0" borderId="0" xfId="7" applyNumberFormat="1"/>
    <xf numFmtId="168" fontId="26" fillId="0" borderId="0" xfId="7" applyNumberFormat="1"/>
    <xf numFmtId="175" fontId="26" fillId="0" borderId="0" xfId="7" applyNumberFormat="1"/>
    <xf numFmtId="0" fontId="23" fillId="0" borderId="26" xfId="8" applyFont="1" applyBorder="1" applyAlignment="1">
      <alignment horizontal="center" vertical="center" wrapText="1"/>
    </xf>
    <xf numFmtId="0" fontId="21" fillId="0" borderId="1" xfId="8" applyFont="1" applyBorder="1" applyAlignment="1">
      <alignment horizontal="center" vertical="center" textRotation="90" wrapText="1"/>
    </xf>
    <xf numFmtId="3" fontId="13" fillId="0" borderId="0" xfId="1" applyNumberFormat="1" applyFont="1" applyAlignment="1">
      <alignment horizontal="center"/>
    </xf>
    <xf numFmtId="0" fontId="5" fillId="0" borderId="0" xfId="4" applyFont="1"/>
    <xf numFmtId="0" fontId="5" fillId="0" borderId="20" xfId="4" applyFont="1" applyBorder="1"/>
    <xf numFmtId="0" fontId="5" fillId="0" borderId="20" xfId="4" applyFont="1" applyBorder="1" applyAlignment="1">
      <alignment vertical="center"/>
    </xf>
    <xf numFmtId="0" fontId="5" fillId="0" borderId="21" xfId="4" applyFont="1" applyBorder="1" applyAlignment="1">
      <alignment vertical="center"/>
    </xf>
    <xf numFmtId="0" fontId="5" fillId="0" borderId="10" xfId="4" applyFont="1" applyBorder="1"/>
    <xf numFmtId="0" fontId="5" fillId="0" borderId="13" xfId="4" applyFont="1" applyBorder="1"/>
    <xf numFmtId="0" fontId="5" fillId="0" borderId="16" xfId="4" applyFont="1" applyBorder="1"/>
    <xf numFmtId="0" fontId="16" fillId="3" borderId="19" xfId="4" applyFont="1" applyFill="1" applyBorder="1" applyAlignment="1">
      <alignment vertical="center" wrapText="1"/>
    </xf>
    <xf numFmtId="0" fontId="16" fillId="3" borderId="20" xfId="4" applyFont="1" applyFill="1" applyBorder="1" applyAlignment="1">
      <alignment vertical="center" wrapText="1"/>
    </xf>
    <xf numFmtId="0" fontId="16" fillId="3" borderId="25" xfId="4" applyFont="1" applyFill="1" applyBorder="1" applyAlignment="1">
      <alignment vertical="center" wrapText="1"/>
    </xf>
    <xf numFmtId="0" fontId="16" fillId="3" borderId="0" xfId="4" applyFont="1" applyFill="1" applyAlignment="1">
      <alignment vertical="center" wrapText="1"/>
    </xf>
    <xf numFmtId="0" fontId="16" fillId="3" borderId="4" xfId="4" applyFont="1" applyFill="1" applyBorder="1" applyAlignment="1">
      <alignment vertical="center" wrapText="1"/>
    </xf>
    <xf numFmtId="0" fontId="16" fillId="3" borderId="5" xfId="4" applyFont="1" applyFill="1" applyBorder="1" applyAlignment="1">
      <alignment vertical="center" wrapText="1"/>
    </xf>
    <xf numFmtId="3" fontId="7" fillId="2" borderId="1" xfId="1" applyNumberFormat="1" applyFont="1" applyFill="1" applyBorder="1" applyAlignment="1">
      <alignment horizontal="center" vertical="center"/>
    </xf>
    <xf numFmtId="14" fontId="7" fillId="2" borderId="1" xfId="2" applyNumberFormat="1" applyFont="1" applyFill="1" applyBorder="1" applyAlignment="1">
      <alignment vertical="center" shrinkToFit="1"/>
    </xf>
    <xf numFmtId="3" fontId="7" fillId="2" borderId="1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3" fontId="7" fillId="2" borderId="0" xfId="1" applyNumberFormat="1" applyFont="1" applyFill="1" applyAlignment="1">
      <alignment horizontal="center"/>
    </xf>
    <xf numFmtId="3" fontId="7" fillId="0" borderId="1" xfId="1" applyNumberFormat="1" applyFont="1" applyBorder="1" applyAlignment="1">
      <alignment horizontal="center" vertical="center"/>
    </xf>
    <xf numFmtId="14" fontId="7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3" fontId="0" fillId="0" borderId="0" xfId="0" applyNumberFormat="1"/>
    <xf numFmtId="166" fontId="20" fillId="2" borderId="1" xfId="4" applyNumberFormat="1" applyFont="1" applyFill="1" applyBorder="1" applyAlignment="1">
      <alignment horizontal="center" vertical="center"/>
    </xf>
    <xf numFmtId="168" fontId="21" fillId="2" borderId="1" xfId="7" applyNumberFormat="1" applyFont="1" applyFill="1" applyBorder="1" applyAlignment="1">
      <alignment horizontal="center" vertical="center" wrapText="1"/>
    </xf>
    <xf numFmtId="2" fontId="21" fillId="2" borderId="1" xfId="7" applyNumberFormat="1" applyFont="1" applyFill="1" applyBorder="1" applyAlignment="1">
      <alignment horizontal="center" vertical="center" wrapText="1"/>
    </xf>
    <xf numFmtId="1" fontId="21" fillId="2" borderId="1" xfId="7" applyNumberFormat="1" applyFont="1" applyFill="1" applyBorder="1" applyAlignment="1">
      <alignment horizontal="center" vertical="center" wrapText="1"/>
    </xf>
    <xf numFmtId="3" fontId="28" fillId="0" borderId="1" xfId="1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19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14" fontId="5" fillId="0" borderId="14" xfId="4" applyNumberFormat="1" applyFont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wrapText="1"/>
    </xf>
    <xf numFmtId="3" fontId="13" fillId="0" borderId="20" xfId="1" applyNumberFormat="1" applyFont="1" applyBorder="1" applyAlignment="1">
      <alignment horizontal="center" wrapText="1"/>
    </xf>
    <xf numFmtId="3" fontId="13" fillId="0" borderId="19" xfId="1" applyNumberFormat="1" applyFont="1" applyBorder="1" applyAlignment="1">
      <alignment horizontal="center" wrapText="1"/>
    </xf>
    <xf numFmtId="3" fontId="13" fillId="0" borderId="21" xfId="1" applyNumberFormat="1" applyFont="1" applyBorder="1" applyAlignment="1">
      <alignment horizontal="center"/>
    </xf>
    <xf numFmtId="3" fontId="13" fillId="0" borderId="20" xfId="1" applyNumberFormat="1" applyFont="1" applyBorder="1" applyAlignment="1">
      <alignment horizontal="center"/>
    </xf>
    <xf numFmtId="3" fontId="13" fillId="0" borderId="19" xfId="1" applyNumberFormat="1" applyFont="1" applyBorder="1" applyAlignment="1">
      <alignment horizontal="center"/>
    </xf>
    <xf numFmtId="0" fontId="16" fillId="0" borderId="1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/>
    </xf>
    <xf numFmtId="3" fontId="13" fillId="0" borderId="5" xfId="1" applyNumberFormat="1" applyFont="1" applyBorder="1" applyAlignment="1">
      <alignment horizontal="center"/>
    </xf>
    <xf numFmtId="3" fontId="13" fillId="0" borderId="4" xfId="1" applyNumberFormat="1" applyFont="1" applyBorder="1" applyAlignment="1">
      <alignment horizontal="center"/>
    </xf>
    <xf numFmtId="0" fontId="16" fillId="3" borderId="6" xfId="4" applyFont="1" applyFill="1" applyBorder="1" applyAlignment="1">
      <alignment horizontal="center" vertical="center" wrapText="1"/>
    </xf>
    <xf numFmtId="0" fontId="16" fillId="3" borderId="5" xfId="4" applyFont="1" applyFill="1" applyBorder="1" applyAlignment="1">
      <alignment horizontal="center" vertical="center" wrapText="1"/>
    </xf>
    <xf numFmtId="0" fontId="16" fillId="3" borderId="4" xfId="4" applyFont="1" applyFill="1" applyBorder="1" applyAlignment="1">
      <alignment horizontal="center" vertical="center" wrapText="1"/>
    </xf>
    <xf numFmtId="0" fontId="16" fillId="3" borderId="26" xfId="4" applyFont="1" applyFill="1" applyBorder="1" applyAlignment="1">
      <alignment horizontal="center" vertical="center" wrapText="1"/>
    </xf>
    <xf numFmtId="0" fontId="16" fillId="3" borderId="0" xfId="4" applyFont="1" applyFill="1" applyAlignment="1">
      <alignment horizontal="center" vertical="center" wrapText="1"/>
    </xf>
    <xf numFmtId="0" fontId="16" fillId="3" borderId="25" xfId="4" applyFont="1" applyFill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 vertical="center"/>
    </xf>
    <xf numFmtId="3" fontId="13" fillId="0" borderId="5" xfId="1" applyNumberFormat="1" applyFont="1" applyBorder="1" applyAlignment="1">
      <alignment horizontal="center" vertical="center"/>
    </xf>
    <xf numFmtId="3" fontId="13" fillId="0" borderId="4" xfId="1" applyNumberFormat="1" applyFont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vertical="center" wrapText="1"/>
    </xf>
    <xf numFmtId="3" fontId="13" fillId="0" borderId="20" xfId="1" applyNumberFormat="1" applyFont="1" applyBorder="1" applyAlignment="1">
      <alignment horizontal="center" vertical="center" wrapText="1"/>
    </xf>
    <xf numFmtId="3" fontId="13" fillId="0" borderId="19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vertical="center"/>
    </xf>
    <xf numFmtId="3" fontId="13" fillId="0" borderId="20" xfId="1" applyNumberFormat="1" applyFont="1" applyBorder="1" applyAlignment="1">
      <alignment horizontal="center" vertical="center"/>
    </xf>
    <xf numFmtId="3" fontId="13" fillId="0" borderId="19" xfId="1" applyNumberFormat="1" applyFont="1" applyBorder="1" applyAlignment="1">
      <alignment horizontal="center" vertical="center"/>
    </xf>
    <xf numFmtId="0" fontId="15" fillId="0" borderId="26" xfId="4" applyFont="1" applyBorder="1" applyAlignment="1">
      <alignment horizontal="center" vertical="center" wrapText="1"/>
    </xf>
    <xf numFmtId="0" fontId="15" fillId="0" borderId="0" xfId="4" applyFont="1" applyAlignment="1">
      <alignment horizontal="center" vertical="center" wrapText="1"/>
    </xf>
    <xf numFmtId="0" fontId="15" fillId="0" borderId="25" xfId="4" applyFont="1" applyBorder="1" applyAlignment="1">
      <alignment horizontal="center" vertical="center" wrapText="1"/>
    </xf>
    <xf numFmtId="14" fontId="5" fillId="0" borderId="11" xfId="4" applyNumberFormat="1" applyFont="1" applyBorder="1" applyAlignment="1">
      <alignment horizontal="center" vertical="center"/>
    </xf>
    <xf numFmtId="0" fontId="24" fillId="7" borderId="1" xfId="4" applyFont="1" applyFill="1" applyBorder="1" applyAlignment="1">
      <alignment horizontal="center" vertical="center"/>
    </xf>
    <xf numFmtId="0" fontId="24" fillId="6" borderId="1" xfId="4" applyFont="1" applyFill="1" applyBorder="1" applyAlignment="1">
      <alignment horizontal="center" vertical="center"/>
    </xf>
    <xf numFmtId="0" fontId="25" fillId="2" borderId="1" xfId="4" applyFont="1" applyFill="1" applyBorder="1" applyAlignment="1">
      <alignment horizontal="center" vertical="center"/>
    </xf>
    <xf numFmtId="0" fontId="24" fillId="0" borderId="1" xfId="4" applyFont="1" applyBorder="1" applyAlignment="1">
      <alignment horizontal="center" vertical="center"/>
    </xf>
    <xf numFmtId="166" fontId="20" fillId="0" borderId="1" xfId="4" applyNumberFormat="1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 wrapText="1"/>
    </xf>
    <xf numFmtId="168" fontId="21" fillId="0" borderId="1" xfId="8" applyNumberFormat="1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0" fontId="16" fillId="3" borderId="1" xfId="4" applyFont="1" applyFill="1" applyBorder="1" applyAlignment="1">
      <alignment horizontal="center" vertical="center" wrapText="1"/>
    </xf>
    <xf numFmtId="0" fontId="16" fillId="3" borderId="9" xfId="4" applyFont="1" applyFill="1" applyBorder="1" applyAlignment="1">
      <alignment horizontal="center" vertical="center" wrapText="1"/>
    </xf>
    <xf numFmtId="0" fontId="16" fillId="3" borderId="8" xfId="4" applyFont="1" applyFill="1" applyBorder="1" applyAlignment="1">
      <alignment horizontal="center" vertical="center" wrapText="1"/>
    </xf>
    <xf numFmtId="0" fontId="16" fillId="3" borderId="7" xfId="4" applyFont="1" applyFill="1" applyBorder="1" applyAlignment="1">
      <alignment horizontal="center" vertical="center" wrapText="1"/>
    </xf>
    <xf numFmtId="166" fontId="5" fillId="0" borderId="11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49" fontId="21" fillId="0" borderId="1" xfId="2" applyNumberFormat="1" applyFont="1" applyBorder="1" applyAlignment="1">
      <alignment horizontal="center" vertical="center" wrapText="1" shrinkToFit="1"/>
    </xf>
    <xf numFmtId="166" fontId="21" fillId="0" borderId="1" xfId="7" applyNumberFormat="1" applyFont="1" applyBorder="1" applyAlignment="1">
      <alignment horizontal="center" vertical="center" wrapText="1"/>
    </xf>
    <xf numFmtId="168" fontId="21" fillId="0" borderId="1" xfId="7" applyNumberFormat="1" applyFont="1" applyBorder="1" applyAlignment="1">
      <alignment horizontal="center" vertical="center" textRotation="90" wrapText="1"/>
    </xf>
    <xf numFmtId="168" fontId="21" fillId="0" borderId="2" xfId="7" applyNumberFormat="1" applyFont="1" applyBorder="1" applyAlignment="1">
      <alignment horizontal="center" vertical="center" textRotation="90" wrapText="1"/>
    </xf>
    <xf numFmtId="168" fontId="21" fillId="0" borderId="3" xfId="7" applyNumberFormat="1" applyFont="1" applyBorder="1" applyAlignment="1">
      <alignment horizontal="center" vertical="center" textRotation="90" wrapText="1"/>
    </xf>
    <xf numFmtId="0" fontId="21" fillId="0" borderId="1" xfId="7" applyFont="1" applyBorder="1" applyAlignment="1">
      <alignment horizontal="center" vertical="center" textRotation="90" wrapText="1"/>
    </xf>
    <xf numFmtId="166" fontId="27" fillId="0" borderId="1" xfId="2" applyNumberFormat="1" applyFont="1" applyBorder="1" applyAlignment="1">
      <alignment horizontal="center" vertical="center"/>
    </xf>
    <xf numFmtId="4" fontId="3" fillId="2" borderId="1" xfId="1" applyNumberFormat="1" applyFont="1" applyFill="1" applyBorder="1" applyAlignment="1">
      <alignment horizontal="center"/>
    </xf>
  </cellXfs>
  <cellStyles count="9">
    <cellStyle name="Bình thường 2" xfId="1" xr:uid="{9302FC41-4AF1-4C18-87F0-D03CC8699106}"/>
    <cellStyle name="Comma 2" xfId="5" xr:uid="{1E02E448-6E25-4EAB-B409-901543281A0A}"/>
    <cellStyle name="Normal" xfId="0" builtinId="0"/>
    <cellStyle name="Normal 2" xfId="4" xr:uid="{22676E8B-3EF5-43DA-BA57-53B11FC5021D}"/>
    <cellStyle name="Normal 24" xfId="3" xr:uid="{1730BAB9-DA3A-4762-9068-59F36274FF9F}"/>
    <cellStyle name="Normal 3" xfId="7" xr:uid="{0E60E177-5808-4ACE-82CD-6F48685F7377}"/>
    <cellStyle name="Normal_Form" xfId="6" xr:uid="{5FF7277C-E971-4693-93D8-13D2626A3FAF}"/>
    <cellStyle name="표준_계측(양식)" xfId="2" xr:uid="{A5F971F6-6984-40DE-BAC7-0CC71230C657}"/>
    <cellStyle name="常规_路堤稳定和沉降观测 - 沉降板" xfId="8" xr:uid="{68E65922-2343-47C7-9E2B-7F37FEA18E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</a:t>
            </a:r>
            <a:r>
              <a:rPr lang="en-US" sz="1500"/>
              <a:t>+</a:t>
            </a:r>
            <a:r>
              <a:rPr lang="vi-VN" sz="1500"/>
              <a:t>2</a:t>
            </a:r>
            <a:r>
              <a:rPr lang="en-SG" sz="1500"/>
              <a:t>6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'SL.115+260'!$L$12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'SL.115+260'!$A$14:$A$800</c:f>
              <c:numCache>
                <c:formatCode>dd/mm/yyyy;@</c:formatCode>
                <c:ptCount val="78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'SL.115+260'!$L$14:$L$800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-8.9999999999999805</c:v>
                </c:pt>
                <c:pt idx="18">
                  <c:v>-11.999999999999982</c:v>
                </c:pt>
                <c:pt idx="19">
                  <c:v>-15.999999999999986</c:v>
                </c:pt>
                <c:pt idx="20">
                  <c:v>-21.999999999999993</c:v>
                </c:pt>
                <c:pt idx="21">
                  <c:v>-31</c:v>
                </c:pt>
                <c:pt idx="22">
                  <c:v>-38.999999999999979</c:v>
                </c:pt>
                <c:pt idx="23">
                  <c:v>-43.999999999999986</c:v>
                </c:pt>
                <c:pt idx="24">
                  <c:v>-47.999999999999986</c:v>
                </c:pt>
                <c:pt idx="25">
                  <c:v>-56.999999999999993</c:v>
                </c:pt>
                <c:pt idx="26">
                  <c:v>-59</c:v>
                </c:pt>
                <c:pt idx="27">
                  <c:v>-63</c:v>
                </c:pt>
                <c:pt idx="28">
                  <c:v>-67</c:v>
                </c:pt>
                <c:pt idx="29">
                  <c:v>-75.000000000000014</c:v>
                </c:pt>
                <c:pt idx="30">
                  <c:v>-80.000000000000014</c:v>
                </c:pt>
                <c:pt idx="31">
                  <c:v>-83.999999999999957</c:v>
                </c:pt>
                <c:pt idx="32">
                  <c:v>-86.999999999999972</c:v>
                </c:pt>
                <c:pt idx="33">
                  <c:v>-95.999999999999972</c:v>
                </c:pt>
                <c:pt idx="34">
                  <c:v>-98.999999999999972</c:v>
                </c:pt>
                <c:pt idx="35">
                  <c:v>-103.99999999999999</c:v>
                </c:pt>
                <c:pt idx="36">
                  <c:v>-108.99999999999999</c:v>
                </c:pt>
                <c:pt idx="37">
                  <c:v>-112.99999999999999</c:v>
                </c:pt>
                <c:pt idx="38">
                  <c:v>-115.99999999999999</c:v>
                </c:pt>
                <c:pt idx="39">
                  <c:v>-121</c:v>
                </c:pt>
                <c:pt idx="40">
                  <c:v>-123</c:v>
                </c:pt>
                <c:pt idx="41">
                  <c:v>-131</c:v>
                </c:pt>
                <c:pt idx="42">
                  <c:v>-133</c:v>
                </c:pt>
                <c:pt idx="43">
                  <c:v>-134</c:v>
                </c:pt>
                <c:pt idx="44">
                  <c:v>-136</c:v>
                </c:pt>
                <c:pt idx="45">
                  <c:v>-138</c:v>
                </c:pt>
                <c:pt idx="46">
                  <c:v>-139</c:v>
                </c:pt>
                <c:pt idx="47">
                  <c:v>-140</c:v>
                </c:pt>
                <c:pt idx="48">
                  <c:v>-140</c:v>
                </c:pt>
                <c:pt idx="49">
                  <c:v>-141</c:v>
                </c:pt>
                <c:pt idx="50">
                  <c:v>-141</c:v>
                </c:pt>
                <c:pt idx="51">
                  <c:v>-141</c:v>
                </c:pt>
                <c:pt idx="52">
                  <c:v>-141</c:v>
                </c:pt>
                <c:pt idx="53">
                  <c:v>-141</c:v>
                </c:pt>
                <c:pt idx="54">
                  <c:v>-141</c:v>
                </c:pt>
                <c:pt idx="55">
                  <c:v>-141</c:v>
                </c:pt>
                <c:pt idx="56">
                  <c:v>-141</c:v>
                </c:pt>
                <c:pt idx="57">
                  <c:v>-141</c:v>
                </c:pt>
                <c:pt idx="58">
                  <c:v>-141</c:v>
                </c:pt>
                <c:pt idx="59">
                  <c:v>-141</c:v>
                </c:pt>
                <c:pt idx="60">
                  <c:v>-141</c:v>
                </c:pt>
                <c:pt idx="61">
                  <c:v>-141</c:v>
                </c:pt>
                <c:pt idx="62">
                  <c:v>-141</c:v>
                </c:pt>
                <c:pt idx="63">
                  <c:v>-141</c:v>
                </c:pt>
                <c:pt idx="64">
                  <c:v>-141</c:v>
                </c:pt>
                <c:pt idx="65">
                  <c:v>-141</c:v>
                </c:pt>
                <c:pt idx="66">
                  <c:v>-141</c:v>
                </c:pt>
                <c:pt idx="67">
                  <c:v>-141</c:v>
                </c:pt>
                <c:pt idx="68">
                  <c:v>-141</c:v>
                </c:pt>
                <c:pt idx="69">
                  <c:v>-141</c:v>
                </c:pt>
                <c:pt idx="70">
                  <c:v>-141</c:v>
                </c:pt>
                <c:pt idx="71">
                  <c:v>-141</c:v>
                </c:pt>
                <c:pt idx="72">
                  <c:v>-141</c:v>
                </c:pt>
                <c:pt idx="73">
                  <c:v>-141</c:v>
                </c:pt>
                <c:pt idx="74">
                  <c:v>-141</c:v>
                </c:pt>
                <c:pt idx="75">
                  <c:v>-141</c:v>
                </c:pt>
                <c:pt idx="76">
                  <c:v>-141</c:v>
                </c:pt>
                <c:pt idx="77">
                  <c:v>-141</c:v>
                </c:pt>
                <c:pt idx="78">
                  <c:v>-141</c:v>
                </c:pt>
                <c:pt idx="79">
                  <c:v>-141</c:v>
                </c:pt>
                <c:pt idx="80">
                  <c:v>-141</c:v>
                </c:pt>
                <c:pt idx="81">
                  <c:v>-141</c:v>
                </c:pt>
                <c:pt idx="82">
                  <c:v>-141</c:v>
                </c:pt>
                <c:pt idx="83">
                  <c:v>-141</c:v>
                </c:pt>
                <c:pt idx="84">
                  <c:v>-141</c:v>
                </c:pt>
                <c:pt idx="85">
                  <c:v>-141</c:v>
                </c:pt>
                <c:pt idx="86">
                  <c:v>-141</c:v>
                </c:pt>
                <c:pt idx="87">
                  <c:v>-141</c:v>
                </c:pt>
                <c:pt idx="88">
                  <c:v>-141</c:v>
                </c:pt>
                <c:pt idx="89">
                  <c:v>-141</c:v>
                </c:pt>
                <c:pt idx="90">
                  <c:v>-141</c:v>
                </c:pt>
                <c:pt idx="91">
                  <c:v>-141</c:v>
                </c:pt>
                <c:pt idx="92">
                  <c:v>-141</c:v>
                </c:pt>
                <c:pt idx="93">
                  <c:v>-141</c:v>
                </c:pt>
                <c:pt idx="94">
                  <c:v>-141</c:v>
                </c:pt>
                <c:pt idx="95">
                  <c:v>-141</c:v>
                </c:pt>
                <c:pt idx="96">
                  <c:v>-141</c:v>
                </c:pt>
                <c:pt idx="97">
                  <c:v>-141</c:v>
                </c:pt>
                <c:pt idx="98">
                  <c:v>-141</c:v>
                </c:pt>
                <c:pt idx="99">
                  <c:v>-141</c:v>
                </c:pt>
                <c:pt idx="100">
                  <c:v>-141</c:v>
                </c:pt>
                <c:pt idx="101">
                  <c:v>-141</c:v>
                </c:pt>
                <c:pt idx="102">
                  <c:v>-141</c:v>
                </c:pt>
                <c:pt idx="103">
                  <c:v>-141</c:v>
                </c:pt>
                <c:pt idx="104">
                  <c:v>-141</c:v>
                </c:pt>
                <c:pt idx="105">
                  <c:v>-141</c:v>
                </c:pt>
                <c:pt idx="106">
                  <c:v>-141</c:v>
                </c:pt>
                <c:pt idx="107">
                  <c:v>-141</c:v>
                </c:pt>
                <c:pt idx="108">
                  <c:v>-141</c:v>
                </c:pt>
                <c:pt idx="109">
                  <c:v>-141</c:v>
                </c:pt>
                <c:pt idx="110">
                  <c:v>-141</c:v>
                </c:pt>
                <c:pt idx="111">
                  <c:v>-141</c:v>
                </c:pt>
                <c:pt idx="112">
                  <c:v>-141</c:v>
                </c:pt>
                <c:pt idx="113">
                  <c:v>-141</c:v>
                </c:pt>
                <c:pt idx="114">
                  <c:v>-141</c:v>
                </c:pt>
                <c:pt idx="115">
                  <c:v>-141</c:v>
                </c:pt>
                <c:pt idx="116">
                  <c:v>-141</c:v>
                </c:pt>
                <c:pt idx="117">
                  <c:v>-141</c:v>
                </c:pt>
                <c:pt idx="118">
                  <c:v>-141</c:v>
                </c:pt>
                <c:pt idx="119">
                  <c:v>-141</c:v>
                </c:pt>
                <c:pt idx="120">
                  <c:v>-141</c:v>
                </c:pt>
                <c:pt idx="121">
                  <c:v>-141</c:v>
                </c:pt>
                <c:pt idx="122">
                  <c:v>-141</c:v>
                </c:pt>
                <c:pt idx="123">
                  <c:v>-141</c:v>
                </c:pt>
                <c:pt idx="124">
                  <c:v>-141</c:v>
                </c:pt>
                <c:pt idx="125">
                  <c:v>-141</c:v>
                </c:pt>
                <c:pt idx="126">
                  <c:v>-141</c:v>
                </c:pt>
                <c:pt idx="127">
                  <c:v>-141</c:v>
                </c:pt>
                <c:pt idx="128">
                  <c:v>-141</c:v>
                </c:pt>
                <c:pt idx="129">
                  <c:v>-141</c:v>
                </c:pt>
                <c:pt idx="130">
                  <c:v>-141</c:v>
                </c:pt>
                <c:pt idx="131">
                  <c:v>-141</c:v>
                </c:pt>
                <c:pt idx="132">
                  <c:v>-141</c:v>
                </c:pt>
                <c:pt idx="133">
                  <c:v>-141</c:v>
                </c:pt>
                <c:pt idx="134">
                  <c:v>-141</c:v>
                </c:pt>
                <c:pt idx="135">
                  <c:v>-141</c:v>
                </c:pt>
                <c:pt idx="136">
                  <c:v>-141</c:v>
                </c:pt>
                <c:pt idx="137">
                  <c:v>-141</c:v>
                </c:pt>
                <c:pt idx="138">
                  <c:v>-141</c:v>
                </c:pt>
                <c:pt idx="139">
                  <c:v>-141</c:v>
                </c:pt>
                <c:pt idx="140">
                  <c:v>-141</c:v>
                </c:pt>
                <c:pt idx="141">
                  <c:v>-141</c:v>
                </c:pt>
                <c:pt idx="142">
                  <c:v>-141</c:v>
                </c:pt>
                <c:pt idx="143">
                  <c:v>-141</c:v>
                </c:pt>
                <c:pt idx="144">
                  <c:v>-141</c:v>
                </c:pt>
                <c:pt idx="145">
                  <c:v>-141</c:v>
                </c:pt>
                <c:pt idx="146">
                  <c:v>-141</c:v>
                </c:pt>
                <c:pt idx="147">
                  <c:v>-141</c:v>
                </c:pt>
                <c:pt idx="148">
                  <c:v>-141</c:v>
                </c:pt>
                <c:pt idx="149">
                  <c:v>-141</c:v>
                </c:pt>
                <c:pt idx="150">
                  <c:v>-141</c:v>
                </c:pt>
                <c:pt idx="151">
                  <c:v>-149.99999999999997</c:v>
                </c:pt>
                <c:pt idx="152">
                  <c:v>-155.99999999999997</c:v>
                </c:pt>
                <c:pt idx="153">
                  <c:v>-160.99999999999997</c:v>
                </c:pt>
                <c:pt idx="154">
                  <c:v>-165.99999999999997</c:v>
                </c:pt>
                <c:pt idx="155">
                  <c:v>-175</c:v>
                </c:pt>
                <c:pt idx="156">
                  <c:v>-181</c:v>
                </c:pt>
                <c:pt idx="157">
                  <c:v>-186</c:v>
                </c:pt>
                <c:pt idx="158">
                  <c:v>-191</c:v>
                </c:pt>
                <c:pt idx="159">
                  <c:v>-196</c:v>
                </c:pt>
                <c:pt idx="160">
                  <c:v>-205.00000000000003</c:v>
                </c:pt>
                <c:pt idx="161">
                  <c:v>-207.99999999999997</c:v>
                </c:pt>
                <c:pt idx="162">
                  <c:v>-209.99999999999997</c:v>
                </c:pt>
                <c:pt idx="163">
                  <c:v>-213.99999999999997</c:v>
                </c:pt>
                <c:pt idx="164">
                  <c:v>-221.99999999999997</c:v>
                </c:pt>
                <c:pt idx="165">
                  <c:v>-226.99999999999997</c:v>
                </c:pt>
                <c:pt idx="166">
                  <c:v>-231.99999999999997</c:v>
                </c:pt>
                <c:pt idx="167">
                  <c:v>-236</c:v>
                </c:pt>
                <c:pt idx="168">
                  <c:v>-239</c:v>
                </c:pt>
                <c:pt idx="169">
                  <c:v>-241</c:v>
                </c:pt>
                <c:pt idx="170">
                  <c:v>-245</c:v>
                </c:pt>
                <c:pt idx="171">
                  <c:v>-247</c:v>
                </c:pt>
                <c:pt idx="172">
                  <c:v>-247</c:v>
                </c:pt>
                <c:pt idx="173">
                  <c:v>-247</c:v>
                </c:pt>
                <c:pt idx="174">
                  <c:v>-247</c:v>
                </c:pt>
                <c:pt idx="175">
                  <c:v>-247</c:v>
                </c:pt>
                <c:pt idx="176">
                  <c:v>-247</c:v>
                </c:pt>
                <c:pt idx="177">
                  <c:v>-247</c:v>
                </c:pt>
                <c:pt idx="178">
                  <c:v>-247</c:v>
                </c:pt>
                <c:pt idx="179">
                  <c:v>-247</c:v>
                </c:pt>
                <c:pt idx="180">
                  <c:v>-247</c:v>
                </c:pt>
                <c:pt idx="181">
                  <c:v>-247</c:v>
                </c:pt>
                <c:pt idx="182">
                  <c:v>-247</c:v>
                </c:pt>
                <c:pt idx="183">
                  <c:v>-247</c:v>
                </c:pt>
                <c:pt idx="184">
                  <c:v>-247</c:v>
                </c:pt>
                <c:pt idx="185">
                  <c:v>-247</c:v>
                </c:pt>
                <c:pt idx="186">
                  <c:v>-247</c:v>
                </c:pt>
                <c:pt idx="187">
                  <c:v>-247</c:v>
                </c:pt>
                <c:pt idx="188">
                  <c:v>-247</c:v>
                </c:pt>
                <c:pt idx="189">
                  <c:v>-247</c:v>
                </c:pt>
                <c:pt idx="190">
                  <c:v>-247</c:v>
                </c:pt>
                <c:pt idx="191">
                  <c:v>-247</c:v>
                </c:pt>
                <c:pt idx="192">
                  <c:v>-247</c:v>
                </c:pt>
                <c:pt idx="193">
                  <c:v>-247</c:v>
                </c:pt>
                <c:pt idx="194">
                  <c:v>-247</c:v>
                </c:pt>
                <c:pt idx="195">
                  <c:v>-247</c:v>
                </c:pt>
                <c:pt idx="196">
                  <c:v>-247</c:v>
                </c:pt>
                <c:pt idx="197">
                  <c:v>-247</c:v>
                </c:pt>
                <c:pt idx="198">
                  <c:v>-247</c:v>
                </c:pt>
                <c:pt idx="199">
                  <c:v>-247</c:v>
                </c:pt>
                <c:pt idx="200">
                  <c:v>-247</c:v>
                </c:pt>
                <c:pt idx="201">
                  <c:v>-247</c:v>
                </c:pt>
                <c:pt idx="202">
                  <c:v>-247</c:v>
                </c:pt>
                <c:pt idx="203">
                  <c:v>-247</c:v>
                </c:pt>
                <c:pt idx="204">
                  <c:v>-247</c:v>
                </c:pt>
                <c:pt idx="205">
                  <c:v>-247</c:v>
                </c:pt>
                <c:pt idx="206">
                  <c:v>-247</c:v>
                </c:pt>
                <c:pt idx="207">
                  <c:v>-247</c:v>
                </c:pt>
                <c:pt idx="208">
                  <c:v>-247</c:v>
                </c:pt>
                <c:pt idx="209">
                  <c:v>-247</c:v>
                </c:pt>
                <c:pt idx="210">
                  <c:v>-247</c:v>
                </c:pt>
                <c:pt idx="211">
                  <c:v>-247</c:v>
                </c:pt>
                <c:pt idx="212">
                  <c:v>-247</c:v>
                </c:pt>
                <c:pt idx="213">
                  <c:v>-247</c:v>
                </c:pt>
                <c:pt idx="214">
                  <c:v>-247</c:v>
                </c:pt>
                <c:pt idx="215">
                  <c:v>-247</c:v>
                </c:pt>
                <c:pt idx="216">
                  <c:v>-247</c:v>
                </c:pt>
                <c:pt idx="217">
                  <c:v>-247</c:v>
                </c:pt>
                <c:pt idx="218">
                  <c:v>-247</c:v>
                </c:pt>
                <c:pt idx="219">
                  <c:v>-247</c:v>
                </c:pt>
                <c:pt idx="220">
                  <c:v>-247</c:v>
                </c:pt>
                <c:pt idx="221">
                  <c:v>-247</c:v>
                </c:pt>
                <c:pt idx="222">
                  <c:v>-247</c:v>
                </c:pt>
                <c:pt idx="223">
                  <c:v>-247</c:v>
                </c:pt>
                <c:pt idx="224">
                  <c:v>-247</c:v>
                </c:pt>
                <c:pt idx="225">
                  <c:v>-247</c:v>
                </c:pt>
                <c:pt idx="226">
                  <c:v>-247</c:v>
                </c:pt>
                <c:pt idx="227">
                  <c:v>-247</c:v>
                </c:pt>
                <c:pt idx="228">
                  <c:v>-247</c:v>
                </c:pt>
                <c:pt idx="229">
                  <c:v>-247</c:v>
                </c:pt>
                <c:pt idx="230">
                  <c:v>-247</c:v>
                </c:pt>
                <c:pt idx="231">
                  <c:v>-247</c:v>
                </c:pt>
                <c:pt idx="232">
                  <c:v>-247</c:v>
                </c:pt>
                <c:pt idx="233">
                  <c:v>-247</c:v>
                </c:pt>
                <c:pt idx="234">
                  <c:v>-247</c:v>
                </c:pt>
                <c:pt idx="235">
                  <c:v>-247</c:v>
                </c:pt>
                <c:pt idx="236">
                  <c:v>-247</c:v>
                </c:pt>
                <c:pt idx="237">
                  <c:v>-247</c:v>
                </c:pt>
                <c:pt idx="238">
                  <c:v>-247</c:v>
                </c:pt>
                <c:pt idx="239">
                  <c:v>-247</c:v>
                </c:pt>
                <c:pt idx="240">
                  <c:v>-247</c:v>
                </c:pt>
                <c:pt idx="241">
                  <c:v>-247</c:v>
                </c:pt>
                <c:pt idx="242">
                  <c:v>-247</c:v>
                </c:pt>
                <c:pt idx="243">
                  <c:v>-247</c:v>
                </c:pt>
                <c:pt idx="244">
                  <c:v>-247</c:v>
                </c:pt>
                <c:pt idx="245">
                  <c:v>-247</c:v>
                </c:pt>
                <c:pt idx="246">
                  <c:v>-247</c:v>
                </c:pt>
                <c:pt idx="247">
                  <c:v>-247</c:v>
                </c:pt>
                <c:pt idx="248">
                  <c:v>-247</c:v>
                </c:pt>
                <c:pt idx="249">
                  <c:v>-247</c:v>
                </c:pt>
                <c:pt idx="250">
                  <c:v>-247</c:v>
                </c:pt>
                <c:pt idx="251">
                  <c:v>-247</c:v>
                </c:pt>
                <c:pt idx="252">
                  <c:v>-247</c:v>
                </c:pt>
                <c:pt idx="253">
                  <c:v>-247</c:v>
                </c:pt>
                <c:pt idx="254">
                  <c:v>-247</c:v>
                </c:pt>
                <c:pt idx="255">
                  <c:v>-247</c:v>
                </c:pt>
                <c:pt idx="256">
                  <c:v>-247</c:v>
                </c:pt>
                <c:pt idx="257">
                  <c:v>-247</c:v>
                </c:pt>
                <c:pt idx="258">
                  <c:v>-247</c:v>
                </c:pt>
                <c:pt idx="259">
                  <c:v>-247</c:v>
                </c:pt>
                <c:pt idx="260">
                  <c:v>-247</c:v>
                </c:pt>
                <c:pt idx="261">
                  <c:v>-247</c:v>
                </c:pt>
                <c:pt idx="262">
                  <c:v>-247</c:v>
                </c:pt>
                <c:pt idx="263">
                  <c:v>-247</c:v>
                </c:pt>
                <c:pt idx="264">
                  <c:v>-247</c:v>
                </c:pt>
                <c:pt idx="265">
                  <c:v>-247</c:v>
                </c:pt>
                <c:pt idx="266">
                  <c:v>-247</c:v>
                </c:pt>
                <c:pt idx="267">
                  <c:v>-247</c:v>
                </c:pt>
                <c:pt idx="268">
                  <c:v>-247</c:v>
                </c:pt>
                <c:pt idx="269">
                  <c:v>-247</c:v>
                </c:pt>
                <c:pt idx="270">
                  <c:v>-247</c:v>
                </c:pt>
                <c:pt idx="271">
                  <c:v>-247</c:v>
                </c:pt>
                <c:pt idx="272">
                  <c:v>-247</c:v>
                </c:pt>
                <c:pt idx="273">
                  <c:v>-247</c:v>
                </c:pt>
                <c:pt idx="274">
                  <c:v>-247</c:v>
                </c:pt>
                <c:pt idx="275">
                  <c:v>-247</c:v>
                </c:pt>
                <c:pt idx="276">
                  <c:v>-247</c:v>
                </c:pt>
                <c:pt idx="277">
                  <c:v>-247</c:v>
                </c:pt>
                <c:pt idx="278">
                  <c:v>-247</c:v>
                </c:pt>
                <c:pt idx="279">
                  <c:v>-247</c:v>
                </c:pt>
                <c:pt idx="280">
                  <c:v>-247</c:v>
                </c:pt>
                <c:pt idx="281">
                  <c:v>-247</c:v>
                </c:pt>
                <c:pt idx="282">
                  <c:v>-247</c:v>
                </c:pt>
                <c:pt idx="283">
                  <c:v>-247</c:v>
                </c:pt>
                <c:pt idx="284">
                  <c:v>-247</c:v>
                </c:pt>
                <c:pt idx="285">
                  <c:v>-247</c:v>
                </c:pt>
                <c:pt idx="286">
                  <c:v>-247</c:v>
                </c:pt>
                <c:pt idx="287">
                  <c:v>-247</c:v>
                </c:pt>
                <c:pt idx="288">
                  <c:v>-247</c:v>
                </c:pt>
                <c:pt idx="289">
                  <c:v>-247</c:v>
                </c:pt>
                <c:pt idx="290">
                  <c:v>-247</c:v>
                </c:pt>
                <c:pt idx="291">
                  <c:v>-247</c:v>
                </c:pt>
                <c:pt idx="292">
                  <c:v>-247</c:v>
                </c:pt>
                <c:pt idx="293">
                  <c:v>-247</c:v>
                </c:pt>
                <c:pt idx="294">
                  <c:v>-247</c:v>
                </c:pt>
                <c:pt idx="295">
                  <c:v>-247</c:v>
                </c:pt>
                <c:pt idx="296">
                  <c:v>-247</c:v>
                </c:pt>
                <c:pt idx="297">
                  <c:v>-247</c:v>
                </c:pt>
                <c:pt idx="298">
                  <c:v>-247</c:v>
                </c:pt>
                <c:pt idx="299">
                  <c:v>-247</c:v>
                </c:pt>
                <c:pt idx="300">
                  <c:v>-247</c:v>
                </c:pt>
                <c:pt idx="301">
                  <c:v>-247</c:v>
                </c:pt>
                <c:pt idx="302">
                  <c:v>-247</c:v>
                </c:pt>
                <c:pt idx="303">
                  <c:v>-247</c:v>
                </c:pt>
                <c:pt idx="304">
                  <c:v>-247</c:v>
                </c:pt>
                <c:pt idx="305">
                  <c:v>-247</c:v>
                </c:pt>
                <c:pt idx="306">
                  <c:v>-247</c:v>
                </c:pt>
                <c:pt idx="307">
                  <c:v>-247</c:v>
                </c:pt>
                <c:pt idx="308">
                  <c:v>-247</c:v>
                </c:pt>
                <c:pt idx="309">
                  <c:v>-247</c:v>
                </c:pt>
                <c:pt idx="310">
                  <c:v>-247</c:v>
                </c:pt>
                <c:pt idx="311">
                  <c:v>-247</c:v>
                </c:pt>
                <c:pt idx="312">
                  <c:v>-247</c:v>
                </c:pt>
                <c:pt idx="313">
                  <c:v>-247</c:v>
                </c:pt>
                <c:pt idx="314">
                  <c:v>-247</c:v>
                </c:pt>
                <c:pt idx="315">
                  <c:v>-247</c:v>
                </c:pt>
                <c:pt idx="316">
                  <c:v>-247</c:v>
                </c:pt>
                <c:pt idx="317">
                  <c:v>-247</c:v>
                </c:pt>
                <c:pt idx="318">
                  <c:v>-247</c:v>
                </c:pt>
                <c:pt idx="319">
                  <c:v>-247</c:v>
                </c:pt>
                <c:pt idx="320">
                  <c:v>-247</c:v>
                </c:pt>
                <c:pt idx="321">
                  <c:v>-247</c:v>
                </c:pt>
                <c:pt idx="322">
                  <c:v>-247</c:v>
                </c:pt>
                <c:pt idx="323">
                  <c:v>-247</c:v>
                </c:pt>
                <c:pt idx="324">
                  <c:v>-247</c:v>
                </c:pt>
                <c:pt idx="325">
                  <c:v>-247</c:v>
                </c:pt>
                <c:pt idx="326">
                  <c:v>-247</c:v>
                </c:pt>
                <c:pt idx="327">
                  <c:v>-247</c:v>
                </c:pt>
                <c:pt idx="328">
                  <c:v>-247</c:v>
                </c:pt>
                <c:pt idx="329">
                  <c:v>-247</c:v>
                </c:pt>
                <c:pt idx="330">
                  <c:v>-247</c:v>
                </c:pt>
                <c:pt idx="331">
                  <c:v>-247</c:v>
                </c:pt>
                <c:pt idx="332">
                  <c:v>-247</c:v>
                </c:pt>
                <c:pt idx="333">
                  <c:v>-247</c:v>
                </c:pt>
                <c:pt idx="334">
                  <c:v>-247</c:v>
                </c:pt>
                <c:pt idx="335">
                  <c:v>-247</c:v>
                </c:pt>
                <c:pt idx="336">
                  <c:v>-247</c:v>
                </c:pt>
                <c:pt idx="337">
                  <c:v>-247</c:v>
                </c:pt>
                <c:pt idx="338">
                  <c:v>-247</c:v>
                </c:pt>
                <c:pt idx="339">
                  <c:v>-247</c:v>
                </c:pt>
                <c:pt idx="340">
                  <c:v>-247</c:v>
                </c:pt>
                <c:pt idx="341">
                  <c:v>-247</c:v>
                </c:pt>
                <c:pt idx="342">
                  <c:v>-247</c:v>
                </c:pt>
                <c:pt idx="343">
                  <c:v>-247</c:v>
                </c:pt>
                <c:pt idx="344">
                  <c:v>-247</c:v>
                </c:pt>
                <c:pt idx="345">
                  <c:v>-247</c:v>
                </c:pt>
                <c:pt idx="346">
                  <c:v>-247</c:v>
                </c:pt>
                <c:pt idx="347">
                  <c:v>-247</c:v>
                </c:pt>
                <c:pt idx="348">
                  <c:v>-247</c:v>
                </c:pt>
                <c:pt idx="349">
                  <c:v>-247</c:v>
                </c:pt>
                <c:pt idx="350">
                  <c:v>-247</c:v>
                </c:pt>
                <c:pt idx="351">
                  <c:v>-247</c:v>
                </c:pt>
                <c:pt idx="352">
                  <c:v>-247</c:v>
                </c:pt>
                <c:pt idx="353">
                  <c:v>-247</c:v>
                </c:pt>
                <c:pt idx="354">
                  <c:v>-247</c:v>
                </c:pt>
                <c:pt idx="355">
                  <c:v>-247</c:v>
                </c:pt>
                <c:pt idx="356">
                  <c:v>-247</c:v>
                </c:pt>
                <c:pt idx="357">
                  <c:v>-247</c:v>
                </c:pt>
                <c:pt idx="358">
                  <c:v>-247</c:v>
                </c:pt>
                <c:pt idx="359">
                  <c:v>-247</c:v>
                </c:pt>
                <c:pt idx="360">
                  <c:v>-247</c:v>
                </c:pt>
                <c:pt idx="361">
                  <c:v>-247</c:v>
                </c:pt>
                <c:pt idx="362">
                  <c:v>-247</c:v>
                </c:pt>
                <c:pt idx="363">
                  <c:v>-247</c:v>
                </c:pt>
                <c:pt idx="364">
                  <c:v>-247</c:v>
                </c:pt>
                <c:pt idx="365">
                  <c:v>-247</c:v>
                </c:pt>
                <c:pt idx="366">
                  <c:v>-247</c:v>
                </c:pt>
                <c:pt idx="367">
                  <c:v>-247</c:v>
                </c:pt>
                <c:pt idx="368">
                  <c:v>-247</c:v>
                </c:pt>
                <c:pt idx="369">
                  <c:v>-247</c:v>
                </c:pt>
                <c:pt idx="370">
                  <c:v>-247</c:v>
                </c:pt>
                <c:pt idx="371">
                  <c:v>-247</c:v>
                </c:pt>
                <c:pt idx="372">
                  <c:v>-247</c:v>
                </c:pt>
                <c:pt idx="373">
                  <c:v>-247</c:v>
                </c:pt>
                <c:pt idx="374">
                  <c:v>-247</c:v>
                </c:pt>
                <c:pt idx="375">
                  <c:v>-247</c:v>
                </c:pt>
                <c:pt idx="376">
                  <c:v>-247</c:v>
                </c:pt>
                <c:pt idx="377">
                  <c:v>-247</c:v>
                </c:pt>
                <c:pt idx="378">
                  <c:v>-247</c:v>
                </c:pt>
                <c:pt idx="379">
                  <c:v>-247</c:v>
                </c:pt>
                <c:pt idx="380">
                  <c:v>-247</c:v>
                </c:pt>
                <c:pt idx="381">
                  <c:v>-247</c:v>
                </c:pt>
                <c:pt idx="382">
                  <c:v>-247</c:v>
                </c:pt>
                <c:pt idx="383">
                  <c:v>-247</c:v>
                </c:pt>
                <c:pt idx="384">
                  <c:v>-247</c:v>
                </c:pt>
                <c:pt idx="385">
                  <c:v>-247</c:v>
                </c:pt>
                <c:pt idx="386">
                  <c:v>-257</c:v>
                </c:pt>
                <c:pt idx="387">
                  <c:v>-265</c:v>
                </c:pt>
                <c:pt idx="388">
                  <c:v>-270.99999999999994</c:v>
                </c:pt>
                <c:pt idx="389">
                  <c:v>-276.99999999999994</c:v>
                </c:pt>
                <c:pt idx="390">
                  <c:v>-283</c:v>
                </c:pt>
                <c:pt idx="391">
                  <c:v>-293</c:v>
                </c:pt>
                <c:pt idx="392">
                  <c:v>-303</c:v>
                </c:pt>
                <c:pt idx="393">
                  <c:v>-307</c:v>
                </c:pt>
                <c:pt idx="394">
                  <c:v>-312</c:v>
                </c:pt>
                <c:pt idx="395">
                  <c:v>-318</c:v>
                </c:pt>
                <c:pt idx="396">
                  <c:v>-328</c:v>
                </c:pt>
                <c:pt idx="397">
                  <c:v>-338</c:v>
                </c:pt>
                <c:pt idx="398">
                  <c:v>-342</c:v>
                </c:pt>
                <c:pt idx="399">
                  <c:v>-346.00000000000006</c:v>
                </c:pt>
                <c:pt idx="400">
                  <c:v>-352.00000000000006</c:v>
                </c:pt>
                <c:pt idx="401">
                  <c:v>-362.00000000000006</c:v>
                </c:pt>
                <c:pt idx="402">
                  <c:v>-368.99999999999994</c:v>
                </c:pt>
                <c:pt idx="403">
                  <c:v>-376.99999999999994</c:v>
                </c:pt>
                <c:pt idx="404">
                  <c:v>-385.99999999999994</c:v>
                </c:pt>
                <c:pt idx="405">
                  <c:v>-393.99999999999994</c:v>
                </c:pt>
                <c:pt idx="406">
                  <c:v>-403.99999999999994</c:v>
                </c:pt>
                <c:pt idx="407">
                  <c:v>-413</c:v>
                </c:pt>
                <c:pt idx="408">
                  <c:v>-421</c:v>
                </c:pt>
                <c:pt idx="409">
                  <c:v>-430</c:v>
                </c:pt>
                <c:pt idx="410">
                  <c:v>-438</c:v>
                </c:pt>
                <c:pt idx="411">
                  <c:v>-445</c:v>
                </c:pt>
                <c:pt idx="412">
                  <c:v>-454</c:v>
                </c:pt>
                <c:pt idx="413">
                  <c:v>-462</c:v>
                </c:pt>
                <c:pt idx="414">
                  <c:v>-469</c:v>
                </c:pt>
                <c:pt idx="415">
                  <c:v>-478.00000000000006</c:v>
                </c:pt>
                <c:pt idx="416">
                  <c:v>-486.00000000000006</c:v>
                </c:pt>
                <c:pt idx="417">
                  <c:v>-494.99999999999994</c:v>
                </c:pt>
                <c:pt idx="418">
                  <c:v>-502.99999999999989</c:v>
                </c:pt>
                <c:pt idx="419">
                  <c:v>-510</c:v>
                </c:pt>
                <c:pt idx="420">
                  <c:v>-516.99999999999989</c:v>
                </c:pt>
                <c:pt idx="421">
                  <c:v>-522.99999999999989</c:v>
                </c:pt>
                <c:pt idx="422">
                  <c:v>-526.99999999999989</c:v>
                </c:pt>
                <c:pt idx="423">
                  <c:v>-534</c:v>
                </c:pt>
                <c:pt idx="424">
                  <c:v>-538.99999999999989</c:v>
                </c:pt>
                <c:pt idx="425">
                  <c:v>-544</c:v>
                </c:pt>
                <c:pt idx="426">
                  <c:v>-548</c:v>
                </c:pt>
                <c:pt idx="427">
                  <c:v>-550.99999999999989</c:v>
                </c:pt>
                <c:pt idx="428">
                  <c:v>-554.99999999999989</c:v>
                </c:pt>
                <c:pt idx="429">
                  <c:v>-562</c:v>
                </c:pt>
                <c:pt idx="430">
                  <c:v>-567</c:v>
                </c:pt>
                <c:pt idx="431">
                  <c:v>-572.00000000000011</c:v>
                </c:pt>
                <c:pt idx="432">
                  <c:v>-576.00000000000011</c:v>
                </c:pt>
                <c:pt idx="433">
                  <c:v>-578.00000000000011</c:v>
                </c:pt>
                <c:pt idx="434">
                  <c:v>-581</c:v>
                </c:pt>
                <c:pt idx="435">
                  <c:v>-583</c:v>
                </c:pt>
                <c:pt idx="436">
                  <c:v>-584.00000000000011</c:v>
                </c:pt>
                <c:pt idx="437">
                  <c:v>-586.00000000000011</c:v>
                </c:pt>
                <c:pt idx="438">
                  <c:v>-588.00000000000011</c:v>
                </c:pt>
                <c:pt idx="439">
                  <c:v>-590.00000000000011</c:v>
                </c:pt>
                <c:pt idx="440">
                  <c:v>-592.00000000000011</c:v>
                </c:pt>
                <c:pt idx="441">
                  <c:v>-595</c:v>
                </c:pt>
                <c:pt idx="442">
                  <c:v>-597</c:v>
                </c:pt>
                <c:pt idx="443">
                  <c:v>-600.00000000000011</c:v>
                </c:pt>
                <c:pt idx="444">
                  <c:v>-602.00000000000011</c:v>
                </c:pt>
                <c:pt idx="445">
                  <c:v>-603</c:v>
                </c:pt>
                <c:pt idx="446">
                  <c:v>-606.00000000000011</c:v>
                </c:pt>
                <c:pt idx="447">
                  <c:v>-608.00000000000011</c:v>
                </c:pt>
                <c:pt idx="448">
                  <c:v>-611</c:v>
                </c:pt>
                <c:pt idx="449">
                  <c:v>-613</c:v>
                </c:pt>
                <c:pt idx="450">
                  <c:v>-613.99999999999989</c:v>
                </c:pt>
                <c:pt idx="451">
                  <c:v>-615.99999999999989</c:v>
                </c:pt>
                <c:pt idx="452">
                  <c:v>-617.99999999999989</c:v>
                </c:pt>
                <c:pt idx="453">
                  <c:v>-619.99999999999989</c:v>
                </c:pt>
                <c:pt idx="454">
                  <c:v>-621.99999999999989</c:v>
                </c:pt>
                <c:pt idx="455">
                  <c:v>-623.99999999999989</c:v>
                </c:pt>
                <c:pt idx="456">
                  <c:v>-625.99999999999989</c:v>
                </c:pt>
                <c:pt idx="457">
                  <c:v>-629</c:v>
                </c:pt>
                <c:pt idx="458">
                  <c:v>-631</c:v>
                </c:pt>
                <c:pt idx="459">
                  <c:v>-633.99999999999989</c:v>
                </c:pt>
                <c:pt idx="460">
                  <c:v>-635.99999999999989</c:v>
                </c:pt>
                <c:pt idx="461">
                  <c:v>-637</c:v>
                </c:pt>
                <c:pt idx="462">
                  <c:v>-639</c:v>
                </c:pt>
                <c:pt idx="463">
                  <c:v>-641</c:v>
                </c:pt>
                <c:pt idx="464">
                  <c:v>-643</c:v>
                </c:pt>
                <c:pt idx="465">
                  <c:v>-645</c:v>
                </c:pt>
                <c:pt idx="466">
                  <c:v>-647.99999999999989</c:v>
                </c:pt>
                <c:pt idx="467">
                  <c:v>-649.99999999999989</c:v>
                </c:pt>
                <c:pt idx="468">
                  <c:v>-653</c:v>
                </c:pt>
                <c:pt idx="469">
                  <c:v>-655</c:v>
                </c:pt>
                <c:pt idx="470">
                  <c:v>-655.99999999999989</c:v>
                </c:pt>
                <c:pt idx="471">
                  <c:v>-657.99999999999989</c:v>
                </c:pt>
                <c:pt idx="472">
                  <c:v>-659.99999999999989</c:v>
                </c:pt>
                <c:pt idx="473">
                  <c:v>-661.99999999999989</c:v>
                </c:pt>
                <c:pt idx="474">
                  <c:v>-665</c:v>
                </c:pt>
                <c:pt idx="475">
                  <c:v>-667</c:v>
                </c:pt>
                <c:pt idx="476">
                  <c:v>-669.99999999999989</c:v>
                </c:pt>
                <c:pt idx="477">
                  <c:v>-671.99999999999989</c:v>
                </c:pt>
                <c:pt idx="478">
                  <c:v>-673.99999999999989</c:v>
                </c:pt>
                <c:pt idx="479">
                  <c:v>-675.99999999999989</c:v>
                </c:pt>
                <c:pt idx="480">
                  <c:v>-677.99999999999989</c:v>
                </c:pt>
                <c:pt idx="481">
                  <c:v>-681</c:v>
                </c:pt>
                <c:pt idx="482">
                  <c:v>-683</c:v>
                </c:pt>
                <c:pt idx="483">
                  <c:v>-686</c:v>
                </c:pt>
                <c:pt idx="484">
                  <c:v>-688</c:v>
                </c:pt>
                <c:pt idx="485">
                  <c:v>-689</c:v>
                </c:pt>
                <c:pt idx="486">
                  <c:v>-689</c:v>
                </c:pt>
                <c:pt idx="487">
                  <c:v>-689</c:v>
                </c:pt>
                <c:pt idx="488">
                  <c:v>-691.00000000000011</c:v>
                </c:pt>
                <c:pt idx="489">
                  <c:v>-691.00000000000011</c:v>
                </c:pt>
                <c:pt idx="490">
                  <c:v>-692</c:v>
                </c:pt>
                <c:pt idx="491">
                  <c:v>-692</c:v>
                </c:pt>
                <c:pt idx="492">
                  <c:v>-692</c:v>
                </c:pt>
                <c:pt idx="493">
                  <c:v>-698</c:v>
                </c:pt>
                <c:pt idx="494">
                  <c:v>-707.00000000000011</c:v>
                </c:pt>
                <c:pt idx="495">
                  <c:v>-713.00000000000011</c:v>
                </c:pt>
                <c:pt idx="496">
                  <c:v>-718</c:v>
                </c:pt>
                <c:pt idx="497">
                  <c:v>-728</c:v>
                </c:pt>
                <c:pt idx="498">
                  <c:v>-738</c:v>
                </c:pt>
                <c:pt idx="499">
                  <c:v>-748</c:v>
                </c:pt>
                <c:pt idx="500">
                  <c:v>-758</c:v>
                </c:pt>
                <c:pt idx="501">
                  <c:v>-768</c:v>
                </c:pt>
                <c:pt idx="502">
                  <c:v>-778</c:v>
                </c:pt>
                <c:pt idx="503">
                  <c:v>-788</c:v>
                </c:pt>
                <c:pt idx="504">
                  <c:v>-798</c:v>
                </c:pt>
                <c:pt idx="505">
                  <c:v>-808</c:v>
                </c:pt>
                <c:pt idx="506">
                  <c:v>-818.00000000000011</c:v>
                </c:pt>
                <c:pt idx="507">
                  <c:v>-845</c:v>
                </c:pt>
                <c:pt idx="508">
                  <c:v>-875</c:v>
                </c:pt>
                <c:pt idx="509">
                  <c:v>-899</c:v>
                </c:pt>
                <c:pt idx="510">
                  <c:v>-925</c:v>
                </c:pt>
                <c:pt idx="511">
                  <c:v>-947.00000000000011</c:v>
                </c:pt>
                <c:pt idx="512">
                  <c:v>-973.00000000000011</c:v>
                </c:pt>
                <c:pt idx="513">
                  <c:v>-991.00000000000011</c:v>
                </c:pt>
                <c:pt idx="514">
                  <c:v>-1011.0000000000001</c:v>
                </c:pt>
                <c:pt idx="515">
                  <c:v>-1036</c:v>
                </c:pt>
                <c:pt idx="516">
                  <c:v>-1058</c:v>
                </c:pt>
                <c:pt idx="517">
                  <c:v>-1078</c:v>
                </c:pt>
                <c:pt idx="518">
                  <c:v>-1096</c:v>
                </c:pt>
                <c:pt idx="519">
                  <c:v>-1112</c:v>
                </c:pt>
                <c:pt idx="520">
                  <c:v>-1128</c:v>
                </c:pt>
                <c:pt idx="521">
                  <c:v>-1142.0000000000002</c:v>
                </c:pt>
                <c:pt idx="522">
                  <c:v>-1156.0000000000002</c:v>
                </c:pt>
                <c:pt idx="523">
                  <c:v>-1168.0000000000002</c:v>
                </c:pt>
                <c:pt idx="524">
                  <c:v>-1180</c:v>
                </c:pt>
                <c:pt idx="525">
                  <c:v>-1194</c:v>
                </c:pt>
                <c:pt idx="526">
                  <c:v>-1207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F-41A4-A0AC-3F4E56DB36B6}"/>
            </c:ext>
          </c:extLst>
        </c:ser>
        <c:ser>
          <c:idx val="2"/>
          <c:order val="2"/>
          <c:tx>
            <c:strRef>
              <c:f>'SL.115+260'!$M$12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'SL.115+260'!$A$14:$A$800</c:f>
              <c:numCache>
                <c:formatCode>dd/mm/yyyy;@</c:formatCode>
                <c:ptCount val="78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'SL.115+260'!$M$14:$M$800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-8.0000000000000071</c:v>
                </c:pt>
                <c:pt idx="18">
                  <c:v>-11.000000000000011</c:v>
                </c:pt>
                <c:pt idx="19">
                  <c:v>-15.999999999999986</c:v>
                </c:pt>
                <c:pt idx="20">
                  <c:v>-18.999999999999989</c:v>
                </c:pt>
                <c:pt idx="21">
                  <c:v>-26.999999999999996</c:v>
                </c:pt>
                <c:pt idx="22">
                  <c:v>-28.999999999999996</c:v>
                </c:pt>
                <c:pt idx="23">
                  <c:v>-31</c:v>
                </c:pt>
                <c:pt idx="24">
                  <c:v>-34</c:v>
                </c:pt>
                <c:pt idx="25">
                  <c:v>-42.000000000000007</c:v>
                </c:pt>
                <c:pt idx="26">
                  <c:v>-47.000000000000014</c:v>
                </c:pt>
                <c:pt idx="27">
                  <c:v>-52.000000000000021</c:v>
                </c:pt>
                <c:pt idx="28">
                  <c:v>-57.000000000000021</c:v>
                </c:pt>
                <c:pt idx="29">
                  <c:v>-64.999999999999972</c:v>
                </c:pt>
                <c:pt idx="30">
                  <c:v>-66.999999999999972</c:v>
                </c:pt>
                <c:pt idx="31">
                  <c:v>-70.999999999999986</c:v>
                </c:pt>
                <c:pt idx="32">
                  <c:v>-77.999999999999986</c:v>
                </c:pt>
                <c:pt idx="33">
                  <c:v>-86</c:v>
                </c:pt>
                <c:pt idx="34">
                  <c:v>-90</c:v>
                </c:pt>
                <c:pt idx="35">
                  <c:v>-92</c:v>
                </c:pt>
                <c:pt idx="36">
                  <c:v>-94</c:v>
                </c:pt>
                <c:pt idx="37">
                  <c:v>-98</c:v>
                </c:pt>
                <c:pt idx="38">
                  <c:v>-105.00000000000001</c:v>
                </c:pt>
                <c:pt idx="39">
                  <c:v>-110.00000000000001</c:v>
                </c:pt>
                <c:pt idx="40">
                  <c:v>-112.00000000000001</c:v>
                </c:pt>
                <c:pt idx="41">
                  <c:v>-120.00000000000003</c:v>
                </c:pt>
                <c:pt idx="42">
                  <c:v>-122.00000000000003</c:v>
                </c:pt>
                <c:pt idx="43">
                  <c:v>-125.99999999999997</c:v>
                </c:pt>
                <c:pt idx="44">
                  <c:v>-127.99999999999997</c:v>
                </c:pt>
                <c:pt idx="45">
                  <c:v>-128.99999999999997</c:v>
                </c:pt>
                <c:pt idx="46">
                  <c:v>-129.99999999999997</c:v>
                </c:pt>
                <c:pt idx="47">
                  <c:v>-129.99999999999997</c:v>
                </c:pt>
                <c:pt idx="48">
                  <c:v>-129.99999999999997</c:v>
                </c:pt>
                <c:pt idx="49">
                  <c:v>-130.99999999999997</c:v>
                </c:pt>
                <c:pt idx="50">
                  <c:v>-130.99999999999997</c:v>
                </c:pt>
                <c:pt idx="51">
                  <c:v>-130.99999999999997</c:v>
                </c:pt>
                <c:pt idx="52">
                  <c:v>-130.99999999999997</c:v>
                </c:pt>
                <c:pt idx="53">
                  <c:v>-130.99999999999997</c:v>
                </c:pt>
                <c:pt idx="54">
                  <c:v>-130.99999999999997</c:v>
                </c:pt>
                <c:pt idx="55">
                  <c:v>-130.99999999999997</c:v>
                </c:pt>
                <c:pt idx="56">
                  <c:v>-130.99999999999997</c:v>
                </c:pt>
                <c:pt idx="57">
                  <c:v>-130.99999999999997</c:v>
                </c:pt>
                <c:pt idx="58">
                  <c:v>-130.99999999999997</c:v>
                </c:pt>
                <c:pt idx="59">
                  <c:v>-130.99999999999997</c:v>
                </c:pt>
                <c:pt idx="60">
                  <c:v>-130.99999999999997</c:v>
                </c:pt>
                <c:pt idx="61">
                  <c:v>-130.99999999999997</c:v>
                </c:pt>
                <c:pt idx="62">
                  <c:v>-130.99999999999997</c:v>
                </c:pt>
                <c:pt idx="63">
                  <c:v>-130.99999999999997</c:v>
                </c:pt>
                <c:pt idx="64">
                  <c:v>-130.99999999999997</c:v>
                </c:pt>
                <c:pt idx="65">
                  <c:v>-130.99999999999997</c:v>
                </c:pt>
                <c:pt idx="66">
                  <c:v>-130.99999999999997</c:v>
                </c:pt>
                <c:pt idx="67">
                  <c:v>-130.99999999999997</c:v>
                </c:pt>
                <c:pt idx="68">
                  <c:v>-130.99999999999997</c:v>
                </c:pt>
                <c:pt idx="69">
                  <c:v>-130.99999999999997</c:v>
                </c:pt>
                <c:pt idx="70">
                  <c:v>-130.99999999999997</c:v>
                </c:pt>
                <c:pt idx="71">
                  <c:v>-130.99999999999997</c:v>
                </c:pt>
                <c:pt idx="72">
                  <c:v>-130.99999999999997</c:v>
                </c:pt>
                <c:pt idx="73">
                  <c:v>-130.99999999999997</c:v>
                </c:pt>
                <c:pt idx="74">
                  <c:v>-130.99999999999997</c:v>
                </c:pt>
                <c:pt idx="75">
                  <c:v>-130.99999999999997</c:v>
                </c:pt>
                <c:pt idx="76">
                  <c:v>-130.99999999999997</c:v>
                </c:pt>
                <c:pt idx="77">
                  <c:v>-130.99999999999997</c:v>
                </c:pt>
                <c:pt idx="78">
                  <c:v>-130.99999999999997</c:v>
                </c:pt>
                <c:pt idx="79">
                  <c:v>-130.99999999999997</c:v>
                </c:pt>
                <c:pt idx="80">
                  <c:v>-130.99999999999997</c:v>
                </c:pt>
                <c:pt idx="81">
                  <c:v>-130.99999999999997</c:v>
                </c:pt>
                <c:pt idx="82">
                  <c:v>-130.99999999999997</c:v>
                </c:pt>
                <c:pt idx="83">
                  <c:v>-130.99999999999997</c:v>
                </c:pt>
                <c:pt idx="84">
                  <c:v>-130.99999999999997</c:v>
                </c:pt>
                <c:pt idx="85">
                  <c:v>-130.99999999999997</c:v>
                </c:pt>
                <c:pt idx="86">
                  <c:v>-130.99999999999997</c:v>
                </c:pt>
                <c:pt idx="87">
                  <c:v>-130.99999999999997</c:v>
                </c:pt>
                <c:pt idx="88">
                  <c:v>-130.99999999999997</c:v>
                </c:pt>
                <c:pt idx="89">
                  <c:v>-130.99999999999997</c:v>
                </c:pt>
                <c:pt idx="90">
                  <c:v>-130.99999999999997</c:v>
                </c:pt>
                <c:pt idx="91">
                  <c:v>-130.99999999999997</c:v>
                </c:pt>
                <c:pt idx="92">
                  <c:v>-130.99999999999997</c:v>
                </c:pt>
                <c:pt idx="93">
                  <c:v>-130.99999999999997</c:v>
                </c:pt>
                <c:pt idx="94">
                  <c:v>-130.99999999999997</c:v>
                </c:pt>
                <c:pt idx="95">
                  <c:v>-130.99999999999997</c:v>
                </c:pt>
                <c:pt idx="96">
                  <c:v>-130.99999999999997</c:v>
                </c:pt>
                <c:pt idx="97">
                  <c:v>-130.99999999999997</c:v>
                </c:pt>
                <c:pt idx="98">
                  <c:v>-130.99999999999997</c:v>
                </c:pt>
                <c:pt idx="99">
                  <c:v>-130.99999999999997</c:v>
                </c:pt>
                <c:pt idx="100">
                  <c:v>-130.99999999999997</c:v>
                </c:pt>
                <c:pt idx="101">
                  <c:v>-130.99999999999997</c:v>
                </c:pt>
                <c:pt idx="102">
                  <c:v>-130.99999999999997</c:v>
                </c:pt>
                <c:pt idx="103">
                  <c:v>-130.99999999999997</c:v>
                </c:pt>
                <c:pt idx="104">
                  <c:v>-130.99999999999997</c:v>
                </c:pt>
                <c:pt idx="105">
                  <c:v>-130.99999999999997</c:v>
                </c:pt>
                <c:pt idx="106">
                  <c:v>-130.99999999999997</c:v>
                </c:pt>
                <c:pt idx="107">
                  <c:v>-130.99999999999997</c:v>
                </c:pt>
                <c:pt idx="108">
                  <c:v>-130.99999999999997</c:v>
                </c:pt>
                <c:pt idx="109">
                  <c:v>-130.99999999999997</c:v>
                </c:pt>
                <c:pt idx="110">
                  <c:v>-130.99999999999997</c:v>
                </c:pt>
                <c:pt idx="111">
                  <c:v>-130.99999999999997</c:v>
                </c:pt>
                <c:pt idx="112">
                  <c:v>-130.99999999999997</c:v>
                </c:pt>
                <c:pt idx="113">
                  <c:v>-130.99999999999997</c:v>
                </c:pt>
                <c:pt idx="114">
                  <c:v>-130.99999999999997</c:v>
                </c:pt>
                <c:pt idx="115">
                  <c:v>-130.99999999999997</c:v>
                </c:pt>
                <c:pt idx="116">
                  <c:v>-130.99999999999997</c:v>
                </c:pt>
                <c:pt idx="117">
                  <c:v>-130.99999999999997</c:v>
                </c:pt>
                <c:pt idx="118">
                  <c:v>-130.99999999999997</c:v>
                </c:pt>
                <c:pt idx="119">
                  <c:v>-130.99999999999997</c:v>
                </c:pt>
                <c:pt idx="120">
                  <c:v>-130.99999999999997</c:v>
                </c:pt>
                <c:pt idx="121">
                  <c:v>-130.99999999999997</c:v>
                </c:pt>
                <c:pt idx="122">
                  <c:v>-130.99999999999997</c:v>
                </c:pt>
                <c:pt idx="123">
                  <c:v>-130.99999999999997</c:v>
                </c:pt>
                <c:pt idx="124">
                  <c:v>-130.99999999999997</c:v>
                </c:pt>
                <c:pt idx="125">
                  <c:v>-130.99999999999997</c:v>
                </c:pt>
                <c:pt idx="126">
                  <c:v>-130.99999999999997</c:v>
                </c:pt>
                <c:pt idx="127">
                  <c:v>-130.99999999999997</c:v>
                </c:pt>
                <c:pt idx="128">
                  <c:v>-130.99999999999997</c:v>
                </c:pt>
                <c:pt idx="129">
                  <c:v>-130.99999999999997</c:v>
                </c:pt>
                <c:pt idx="130">
                  <c:v>-130.99999999999997</c:v>
                </c:pt>
                <c:pt idx="131">
                  <c:v>-130.99999999999997</c:v>
                </c:pt>
                <c:pt idx="132">
                  <c:v>-130.99999999999997</c:v>
                </c:pt>
                <c:pt idx="133">
                  <c:v>-130.99999999999997</c:v>
                </c:pt>
                <c:pt idx="134">
                  <c:v>-130.99999999999997</c:v>
                </c:pt>
                <c:pt idx="135">
                  <c:v>-130.99999999999997</c:v>
                </c:pt>
                <c:pt idx="136">
                  <c:v>-130.99999999999997</c:v>
                </c:pt>
                <c:pt idx="137">
                  <c:v>-130.99999999999997</c:v>
                </c:pt>
                <c:pt idx="138">
                  <c:v>-130.99999999999997</c:v>
                </c:pt>
                <c:pt idx="139">
                  <c:v>-130.99999999999997</c:v>
                </c:pt>
                <c:pt idx="140">
                  <c:v>-130.99999999999997</c:v>
                </c:pt>
                <c:pt idx="141">
                  <c:v>-130.99999999999997</c:v>
                </c:pt>
                <c:pt idx="142">
                  <c:v>-130.99999999999997</c:v>
                </c:pt>
                <c:pt idx="143">
                  <c:v>-130.99999999999997</c:v>
                </c:pt>
                <c:pt idx="144">
                  <c:v>-130.99999999999997</c:v>
                </c:pt>
                <c:pt idx="145">
                  <c:v>-130.99999999999997</c:v>
                </c:pt>
                <c:pt idx="146">
                  <c:v>-130.99999999999997</c:v>
                </c:pt>
                <c:pt idx="147">
                  <c:v>-130.99999999999997</c:v>
                </c:pt>
                <c:pt idx="148">
                  <c:v>-130.99999999999997</c:v>
                </c:pt>
                <c:pt idx="149">
                  <c:v>-130.99999999999997</c:v>
                </c:pt>
                <c:pt idx="150">
                  <c:v>-130.99999999999997</c:v>
                </c:pt>
                <c:pt idx="151">
                  <c:v>-139.99999999999997</c:v>
                </c:pt>
                <c:pt idx="152">
                  <c:v>-146</c:v>
                </c:pt>
                <c:pt idx="153">
                  <c:v>-151</c:v>
                </c:pt>
                <c:pt idx="154">
                  <c:v>-157</c:v>
                </c:pt>
                <c:pt idx="155">
                  <c:v>-166</c:v>
                </c:pt>
                <c:pt idx="156">
                  <c:v>-172</c:v>
                </c:pt>
                <c:pt idx="157">
                  <c:v>-177.00000000000003</c:v>
                </c:pt>
                <c:pt idx="158">
                  <c:v>-183.00000000000003</c:v>
                </c:pt>
                <c:pt idx="159">
                  <c:v>-188.99999999999997</c:v>
                </c:pt>
                <c:pt idx="160">
                  <c:v>-197.99999999999997</c:v>
                </c:pt>
                <c:pt idx="161">
                  <c:v>-201.99999999999997</c:v>
                </c:pt>
                <c:pt idx="162">
                  <c:v>-207</c:v>
                </c:pt>
                <c:pt idx="163">
                  <c:v>-212</c:v>
                </c:pt>
                <c:pt idx="164">
                  <c:v>-221</c:v>
                </c:pt>
                <c:pt idx="165">
                  <c:v>-226</c:v>
                </c:pt>
                <c:pt idx="166">
                  <c:v>-230</c:v>
                </c:pt>
                <c:pt idx="167">
                  <c:v>-234</c:v>
                </c:pt>
                <c:pt idx="168">
                  <c:v>-237.00000000000003</c:v>
                </c:pt>
                <c:pt idx="169">
                  <c:v>-242.00000000000003</c:v>
                </c:pt>
                <c:pt idx="170">
                  <c:v>-247.00000000000003</c:v>
                </c:pt>
                <c:pt idx="171">
                  <c:v>-251</c:v>
                </c:pt>
                <c:pt idx="172">
                  <c:v>-251</c:v>
                </c:pt>
                <c:pt idx="173">
                  <c:v>-251</c:v>
                </c:pt>
                <c:pt idx="174">
                  <c:v>-251</c:v>
                </c:pt>
                <c:pt idx="175">
                  <c:v>-251</c:v>
                </c:pt>
                <c:pt idx="176">
                  <c:v>-251</c:v>
                </c:pt>
                <c:pt idx="177">
                  <c:v>-251</c:v>
                </c:pt>
                <c:pt idx="178">
                  <c:v>-251</c:v>
                </c:pt>
                <c:pt idx="179">
                  <c:v>-251</c:v>
                </c:pt>
                <c:pt idx="180">
                  <c:v>-251</c:v>
                </c:pt>
                <c:pt idx="181">
                  <c:v>-251</c:v>
                </c:pt>
                <c:pt idx="182">
                  <c:v>-251</c:v>
                </c:pt>
                <c:pt idx="183">
                  <c:v>-251</c:v>
                </c:pt>
                <c:pt idx="184">
                  <c:v>-251</c:v>
                </c:pt>
                <c:pt idx="185">
                  <c:v>-251</c:v>
                </c:pt>
                <c:pt idx="186">
                  <c:v>-251</c:v>
                </c:pt>
                <c:pt idx="187">
                  <c:v>-251</c:v>
                </c:pt>
                <c:pt idx="188">
                  <c:v>-251</c:v>
                </c:pt>
                <c:pt idx="189">
                  <c:v>-251</c:v>
                </c:pt>
                <c:pt idx="190">
                  <c:v>-251</c:v>
                </c:pt>
                <c:pt idx="191">
                  <c:v>-251</c:v>
                </c:pt>
                <c:pt idx="192">
                  <c:v>-251</c:v>
                </c:pt>
                <c:pt idx="193">
                  <c:v>-251</c:v>
                </c:pt>
                <c:pt idx="194">
                  <c:v>-251</c:v>
                </c:pt>
                <c:pt idx="195">
                  <c:v>-251</c:v>
                </c:pt>
                <c:pt idx="196">
                  <c:v>-251</c:v>
                </c:pt>
                <c:pt idx="197">
                  <c:v>-251</c:v>
                </c:pt>
                <c:pt idx="198">
                  <c:v>-251</c:v>
                </c:pt>
                <c:pt idx="199">
                  <c:v>-251</c:v>
                </c:pt>
                <c:pt idx="200">
                  <c:v>-251</c:v>
                </c:pt>
                <c:pt idx="201">
                  <c:v>-251</c:v>
                </c:pt>
                <c:pt idx="202">
                  <c:v>-251</c:v>
                </c:pt>
                <c:pt idx="203">
                  <c:v>-251</c:v>
                </c:pt>
                <c:pt idx="204">
                  <c:v>-251</c:v>
                </c:pt>
                <c:pt idx="205">
                  <c:v>-251</c:v>
                </c:pt>
                <c:pt idx="206">
                  <c:v>-251</c:v>
                </c:pt>
                <c:pt idx="207">
                  <c:v>-251</c:v>
                </c:pt>
                <c:pt idx="208">
                  <c:v>-251</c:v>
                </c:pt>
                <c:pt idx="209">
                  <c:v>-251</c:v>
                </c:pt>
                <c:pt idx="210">
                  <c:v>-251</c:v>
                </c:pt>
                <c:pt idx="211">
                  <c:v>-251</c:v>
                </c:pt>
                <c:pt idx="212">
                  <c:v>-251</c:v>
                </c:pt>
                <c:pt idx="213">
                  <c:v>-251</c:v>
                </c:pt>
                <c:pt idx="214">
                  <c:v>-251</c:v>
                </c:pt>
                <c:pt idx="215">
                  <c:v>-251</c:v>
                </c:pt>
                <c:pt idx="216">
                  <c:v>-251</c:v>
                </c:pt>
                <c:pt idx="217">
                  <c:v>-251</c:v>
                </c:pt>
                <c:pt idx="218">
                  <c:v>-251</c:v>
                </c:pt>
                <c:pt idx="219">
                  <c:v>-251</c:v>
                </c:pt>
                <c:pt idx="220">
                  <c:v>-251</c:v>
                </c:pt>
                <c:pt idx="221">
                  <c:v>-251</c:v>
                </c:pt>
                <c:pt idx="222">
                  <c:v>-251</c:v>
                </c:pt>
                <c:pt idx="223">
                  <c:v>-251</c:v>
                </c:pt>
                <c:pt idx="224">
                  <c:v>-251</c:v>
                </c:pt>
                <c:pt idx="225">
                  <c:v>-251</c:v>
                </c:pt>
                <c:pt idx="226">
                  <c:v>-251</c:v>
                </c:pt>
                <c:pt idx="227">
                  <c:v>-251</c:v>
                </c:pt>
                <c:pt idx="228">
                  <c:v>-251</c:v>
                </c:pt>
                <c:pt idx="229">
                  <c:v>-251</c:v>
                </c:pt>
                <c:pt idx="230">
                  <c:v>-251</c:v>
                </c:pt>
                <c:pt idx="231">
                  <c:v>-251</c:v>
                </c:pt>
                <c:pt idx="232">
                  <c:v>-251</c:v>
                </c:pt>
                <c:pt idx="233">
                  <c:v>-251</c:v>
                </c:pt>
                <c:pt idx="234">
                  <c:v>-251</c:v>
                </c:pt>
                <c:pt idx="235">
                  <c:v>-251</c:v>
                </c:pt>
                <c:pt idx="236">
                  <c:v>-251</c:v>
                </c:pt>
                <c:pt idx="237">
                  <c:v>-251</c:v>
                </c:pt>
                <c:pt idx="238">
                  <c:v>-251</c:v>
                </c:pt>
                <c:pt idx="239">
                  <c:v>-251</c:v>
                </c:pt>
                <c:pt idx="240">
                  <c:v>-251</c:v>
                </c:pt>
                <c:pt idx="241">
                  <c:v>-251</c:v>
                </c:pt>
                <c:pt idx="242">
                  <c:v>-251</c:v>
                </c:pt>
                <c:pt idx="243">
                  <c:v>-251</c:v>
                </c:pt>
                <c:pt idx="244">
                  <c:v>-251</c:v>
                </c:pt>
                <c:pt idx="245">
                  <c:v>-251</c:v>
                </c:pt>
                <c:pt idx="246">
                  <c:v>-251</c:v>
                </c:pt>
                <c:pt idx="247">
                  <c:v>-251</c:v>
                </c:pt>
                <c:pt idx="248">
                  <c:v>-251</c:v>
                </c:pt>
                <c:pt idx="249">
                  <c:v>-251</c:v>
                </c:pt>
                <c:pt idx="250">
                  <c:v>-251</c:v>
                </c:pt>
                <c:pt idx="251">
                  <c:v>-251</c:v>
                </c:pt>
                <c:pt idx="252">
                  <c:v>-251</c:v>
                </c:pt>
                <c:pt idx="253">
                  <c:v>-251</c:v>
                </c:pt>
                <c:pt idx="254">
                  <c:v>-251</c:v>
                </c:pt>
                <c:pt idx="255">
                  <c:v>-251</c:v>
                </c:pt>
                <c:pt idx="256">
                  <c:v>-251</c:v>
                </c:pt>
                <c:pt idx="257">
                  <c:v>-251</c:v>
                </c:pt>
                <c:pt idx="258">
                  <c:v>-251</c:v>
                </c:pt>
                <c:pt idx="259">
                  <c:v>-251</c:v>
                </c:pt>
                <c:pt idx="260">
                  <c:v>-251</c:v>
                </c:pt>
                <c:pt idx="261">
                  <c:v>-251</c:v>
                </c:pt>
                <c:pt idx="262">
                  <c:v>-251</c:v>
                </c:pt>
                <c:pt idx="263">
                  <c:v>-251</c:v>
                </c:pt>
                <c:pt idx="264">
                  <c:v>-251</c:v>
                </c:pt>
                <c:pt idx="265">
                  <c:v>-251</c:v>
                </c:pt>
                <c:pt idx="266">
                  <c:v>-251</c:v>
                </c:pt>
                <c:pt idx="267">
                  <c:v>-251</c:v>
                </c:pt>
                <c:pt idx="268">
                  <c:v>-251</c:v>
                </c:pt>
                <c:pt idx="269">
                  <c:v>-251</c:v>
                </c:pt>
                <c:pt idx="270">
                  <c:v>-251</c:v>
                </c:pt>
                <c:pt idx="271">
                  <c:v>-251</c:v>
                </c:pt>
                <c:pt idx="272">
                  <c:v>-251</c:v>
                </c:pt>
                <c:pt idx="273">
                  <c:v>-251</c:v>
                </c:pt>
                <c:pt idx="274">
                  <c:v>-251</c:v>
                </c:pt>
                <c:pt idx="275">
                  <c:v>-251</c:v>
                </c:pt>
                <c:pt idx="276">
                  <c:v>-251</c:v>
                </c:pt>
                <c:pt idx="277">
                  <c:v>-251</c:v>
                </c:pt>
                <c:pt idx="278">
                  <c:v>-251</c:v>
                </c:pt>
                <c:pt idx="279">
                  <c:v>-251</c:v>
                </c:pt>
                <c:pt idx="280">
                  <c:v>-251</c:v>
                </c:pt>
                <c:pt idx="281">
                  <c:v>-251</c:v>
                </c:pt>
                <c:pt idx="282">
                  <c:v>-251</c:v>
                </c:pt>
                <c:pt idx="283">
                  <c:v>-251</c:v>
                </c:pt>
                <c:pt idx="284">
                  <c:v>-251</c:v>
                </c:pt>
                <c:pt idx="285">
                  <c:v>-251</c:v>
                </c:pt>
                <c:pt idx="286">
                  <c:v>-251</c:v>
                </c:pt>
                <c:pt idx="287">
                  <c:v>-251</c:v>
                </c:pt>
                <c:pt idx="288">
                  <c:v>-251</c:v>
                </c:pt>
                <c:pt idx="289">
                  <c:v>-251</c:v>
                </c:pt>
                <c:pt idx="290">
                  <c:v>-251</c:v>
                </c:pt>
                <c:pt idx="291">
                  <c:v>-251</c:v>
                </c:pt>
                <c:pt idx="292">
                  <c:v>-251</c:v>
                </c:pt>
                <c:pt idx="293">
                  <c:v>-251</c:v>
                </c:pt>
                <c:pt idx="294">
                  <c:v>-251</c:v>
                </c:pt>
                <c:pt idx="295">
                  <c:v>-251</c:v>
                </c:pt>
                <c:pt idx="296">
                  <c:v>-251</c:v>
                </c:pt>
                <c:pt idx="297">
                  <c:v>-251</c:v>
                </c:pt>
                <c:pt idx="298">
                  <c:v>-251</c:v>
                </c:pt>
                <c:pt idx="299">
                  <c:v>-251</c:v>
                </c:pt>
                <c:pt idx="300">
                  <c:v>-251</c:v>
                </c:pt>
                <c:pt idx="301">
                  <c:v>-251</c:v>
                </c:pt>
                <c:pt idx="302">
                  <c:v>-251</c:v>
                </c:pt>
                <c:pt idx="303">
                  <c:v>-251</c:v>
                </c:pt>
                <c:pt idx="304">
                  <c:v>-251</c:v>
                </c:pt>
                <c:pt idx="305">
                  <c:v>-251</c:v>
                </c:pt>
                <c:pt idx="306">
                  <c:v>-251</c:v>
                </c:pt>
                <c:pt idx="307">
                  <c:v>-251</c:v>
                </c:pt>
                <c:pt idx="308">
                  <c:v>-251</c:v>
                </c:pt>
                <c:pt idx="309">
                  <c:v>-251</c:v>
                </c:pt>
                <c:pt idx="310">
                  <c:v>-251</c:v>
                </c:pt>
                <c:pt idx="311">
                  <c:v>-251</c:v>
                </c:pt>
                <c:pt idx="312">
                  <c:v>-251</c:v>
                </c:pt>
                <c:pt idx="313">
                  <c:v>-251</c:v>
                </c:pt>
                <c:pt idx="314">
                  <c:v>-251</c:v>
                </c:pt>
                <c:pt idx="315">
                  <c:v>-251</c:v>
                </c:pt>
                <c:pt idx="316">
                  <c:v>-251</c:v>
                </c:pt>
                <c:pt idx="317">
                  <c:v>-251</c:v>
                </c:pt>
                <c:pt idx="318">
                  <c:v>-251</c:v>
                </c:pt>
                <c:pt idx="319">
                  <c:v>-251</c:v>
                </c:pt>
                <c:pt idx="320">
                  <c:v>-251</c:v>
                </c:pt>
                <c:pt idx="321">
                  <c:v>-251</c:v>
                </c:pt>
                <c:pt idx="322">
                  <c:v>-251</c:v>
                </c:pt>
                <c:pt idx="323">
                  <c:v>-251</c:v>
                </c:pt>
                <c:pt idx="324">
                  <c:v>-251</c:v>
                </c:pt>
                <c:pt idx="325">
                  <c:v>-251</c:v>
                </c:pt>
                <c:pt idx="326">
                  <c:v>-251</c:v>
                </c:pt>
                <c:pt idx="327">
                  <c:v>-251</c:v>
                </c:pt>
                <c:pt idx="328">
                  <c:v>-251</c:v>
                </c:pt>
                <c:pt idx="329">
                  <c:v>-251</c:v>
                </c:pt>
                <c:pt idx="330">
                  <c:v>-251</c:v>
                </c:pt>
                <c:pt idx="331">
                  <c:v>-251</c:v>
                </c:pt>
                <c:pt idx="332">
                  <c:v>-251</c:v>
                </c:pt>
                <c:pt idx="333">
                  <c:v>-251</c:v>
                </c:pt>
                <c:pt idx="334">
                  <c:v>-251</c:v>
                </c:pt>
                <c:pt idx="335">
                  <c:v>-251</c:v>
                </c:pt>
                <c:pt idx="336">
                  <c:v>-251</c:v>
                </c:pt>
                <c:pt idx="337">
                  <c:v>-251</c:v>
                </c:pt>
                <c:pt idx="338">
                  <c:v>-251</c:v>
                </c:pt>
                <c:pt idx="339">
                  <c:v>-251</c:v>
                </c:pt>
                <c:pt idx="340">
                  <c:v>-251</c:v>
                </c:pt>
                <c:pt idx="341">
                  <c:v>-251</c:v>
                </c:pt>
                <c:pt idx="342">
                  <c:v>-251</c:v>
                </c:pt>
                <c:pt idx="343">
                  <c:v>-251</c:v>
                </c:pt>
                <c:pt idx="344">
                  <c:v>-251</c:v>
                </c:pt>
                <c:pt idx="345">
                  <c:v>-251</c:v>
                </c:pt>
                <c:pt idx="346">
                  <c:v>-251</c:v>
                </c:pt>
                <c:pt idx="347">
                  <c:v>-251</c:v>
                </c:pt>
                <c:pt idx="348">
                  <c:v>-251</c:v>
                </c:pt>
                <c:pt idx="349">
                  <c:v>-251</c:v>
                </c:pt>
                <c:pt idx="350">
                  <c:v>-251</c:v>
                </c:pt>
                <c:pt idx="351">
                  <c:v>-251</c:v>
                </c:pt>
                <c:pt idx="352">
                  <c:v>-251</c:v>
                </c:pt>
                <c:pt idx="353">
                  <c:v>-251</c:v>
                </c:pt>
                <c:pt idx="354">
                  <c:v>-251</c:v>
                </c:pt>
                <c:pt idx="355">
                  <c:v>-251</c:v>
                </c:pt>
                <c:pt idx="356">
                  <c:v>-251</c:v>
                </c:pt>
                <c:pt idx="357">
                  <c:v>-251</c:v>
                </c:pt>
                <c:pt idx="358">
                  <c:v>-251</c:v>
                </c:pt>
                <c:pt idx="359">
                  <c:v>-251</c:v>
                </c:pt>
                <c:pt idx="360">
                  <c:v>-251</c:v>
                </c:pt>
                <c:pt idx="361">
                  <c:v>-251</c:v>
                </c:pt>
                <c:pt idx="362">
                  <c:v>-251</c:v>
                </c:pt>
                <c:pt idx="363">
                  <c:v>-251</c:v>
                </c:pt>
                <c:pt idx="364">
                  <c:v>-251</c:v>
                </c:pt>
                <c:pt idx="365">
                  <c:v>-251</c:v>
                </c:pt>
                <c:pt idx="366">
                  <c:v>-251</c:v>
                </c:pt>
                <c:pt idx="367">
                  <c:v>-251</c:v>
                </c:pt>
                <c:pt idx="368">
                  <c:v>-251</c:v>
                </c:pt>
                <c:pt idx="369">
                  <c:v>-251</c:v>
                </c:pt>
                <c:pt idx="370">
                  <c:v>-251</c:v>
                </c:pt>
                <c:pt idx="371">
                  <c:v>-251</c:v>
                </c:pt>
                <c:pt idx="372">
                  <c:v>-251</c:v>
                </c:pt>
                <c:pt idx="373">
                  <c:v>-251</c:v>
                </c:pt>
                <c:pt idx="374">
                  <c:v>-251</c:v>
                </c:pt>
                <c:pt idx="375">
                  <c:v>-251</c:v>
                </c:pt>
                <c:pt idx="376">
                  <c:v>-251</c:v>
                </c:pt>
                <c:pt idx="377">
                  <c:v>-251</c:v>
                </c:pt>
                <c:pt idx="378">
                  <c:v>-251</c:v>
                </c:pt>
                <c:pt idx="379">
                  <c:v>-251</c:v>
                </c:pt>
                <c:pt idx="380">
                  <c:v>-251</c:v>
                </c:pt>
                <c:pt idx="381">
                  <c:v>-251</c:v>
                </c:pt>
                <c:pt idx="382">
                  <c:v>-251</c:v>
                </c:pt>
                <c:pt idx="383">
                  <c:v>-251</c:v>
                </c:pt>
                <c:pt idx="384">
                  <c:v>-251</c:v>
                </c:pt>
                <c:pt idx="385">
                  <c:v>-251</c:v>
                </c:pt>
                <c:pt idx="386">
                  <c:v>-261</c:v>
                </c:pt>
                <c:pt idx="387">
                  <c:v>-271</c:v>
                </c:pt>
                <c:pt idx="388">
                  <c:v>-277</c:v>
                </c:pt>
                <c:pt idx="389">
                  <c:v>-285.00000000000006</c:v>
                </c:pt>
                <c:pt idx="390">
                  <c:v>-293.00000000000006</c:v>
                </c:pt>
                <c:pt idx="391">
                  <c:v>-303.00000000000006</c:v>
                </c:pt>
                <c:pt idx="392">
                  <c:v>-312.00000000000006</c:v>
                </c:pt>
                <c:pt idx="393">
                  <c:v>-321.00000000000006</c:v>
                </c:pt>
                <c:pt idx="394">
                  <c:v>-330.00000000000006</c:v>
                </c:pt>
                <c:pt idx="395">
                  <c:v>-338.00000000000006</c:v>
                </c:pt>
                <c:pt idx="396">
                  <c:v>-348</c:v>
                </c:pt>
                <c:pt idx="397">
                  <c:v>-357</c:v>
                </c:pt>
                <c:pt idx="398">
                  <c:v>-365</c:v>
                </c:pt>
                <c:pt idx="399">
                  <c:v>-374</c:v>
                </c:pt>
                <c:pt idx="400">
                  <c:v>-382</c:v>
                </c:pt>
                <c:pt idx="401">
                  <c:v>-392</c:v>
                </c:pt>
                <c:pt idx="402">
                  <c:v>-400</c:v>
                </c:pt>
                <c:pt idx="403">
                  <c:v>-409.00000000000006</c:v>
                </c:pt>
                <c:pt idx="404">
                  <c:v>-417.00000000000006</c:v>
                </c:pt>
                <c:pt idx="405">
                  <c:v>-424.00000000000006</c:v>
                </c:pt>
                <c:pt idx="406">
                  <c:v>-433.00000000000006</c:v>
                </c:pt>
                <c:pt idx="407">
                  <c:v>-441.00000000000006</c:v>
                </c:pt>
                <c:pt idx="408">
                  <c:v>-450.00000000000006</c:v>
                </c:pt>
                <c:pt idx="409">
                  <c:v>-458.00000000000006</c:v>
                </c:pt>
                <c:pt idx="410">
                  <c:v>-465.00000000000006</c:v>
                </c:pt>
                <c:pt idx="411">
                  <c:v>-474</c:v>
                </c:pt>
                <c:pt idx="412">
                  <c:v>-482</c:v>
                </c:pt>
                <c:pt idx="413">
                  <c:v>-489</c:v>
                </c:pt>
                <c:pt idx="414">
                  <c:v>-498</c:v>
                </c:pt>
                <c:pt idx="415">
                  <c:v>-506</c:v>
                </c:pt>
                <c:pt idx="416">
                  <c:v>-515</c:v>
                </c:pt>
                <c:pt idx="417">
                  <c:v>-523</c:v>
                </c:pt>
                <c:pt idx="418">
                  <c:v>-531</c:v>
                </c:pt>
                <c:pt idx="419">
                  <c:v>-540</c:v>
                </c:pt>
                <c:pt idx="420">
                  <c:v>-548</c:v>
                </c:pt>
                <c:pt idx="421">
                  <c:v>-555</c:v>
                </c:pt>
                <c:pt idx="422">
                  <c:v>-564</c:v>
                </c:pt>
                <c:pt idx="423">
                  <c:v>-572.00000000000011</c:v>
                </c:pt>
                <c:pt idx="424">
                  <c:v>-579.00000000000011</c:v>
                </c:pt>
                <c:pt idx="425">
                  <c:v>-588.00000000000011</c:v>
                </c:pt>
                <c:pt idx="426">
                  <c:v>-596</c:v>
                </c:pt>
                <c:pt idx="427">
                  <c:v>-605</c:v>
                </c:pt>
                <c:pt idx="428">
                  <c:v>-613</c:v>
                </c:pt>
                <c:pt idx="429">
                  <c:v>-620</c:v>
                </c:pt>
                <c:pt idx="430">
                  <c:v>-628</c:v>
                </c:pt>
                <c:pt idx="431">
                  <c:v>-637</c:v>
                </c:pt>
                <c:pt idx="432">
                  <c:v>-645</c:v>
                </c:pt>
                <c:pt idx="433">
                  <c:v>-652</c:v>
                </c:pt>
                <c:pt idx="434">
                  <c:v>-661</c:v>
                </c:pt>
                <c:pt idx="435">
                  <c:v>-669</c:v>
                </c:pt>
                <c:pt idx="436">
                  <c:v>-676</c:v>
                </c:pt>
                <c:pt idx="437">
                  <c:v>-685</c:v>
                </c:pt>
                <c:pt idx="438">
                  <c:v>-693.00000000000011</c:v>
                </c:pt>
                <c:pt idx="439">
                  <c:v>-702.00000000000011</c:v>
                </c:pt>
                <c:pt idx="440">
                  <c:v>-710.00000000000011</c:v>
                </c:pt>
                <c:pt idx="441">
                  <c:v>-717.00000000000011</c:v>
                </c:pt>
                <c:pt idx="442">
                  <c:v>-724</c:v>
                </c:pt>
                <c:pt idx="443">
                  <c:v>-731</c:v>
                </c:pt>
                <c:pt idx="444">
                  <c:v>-736</c:v>
                </c:pt>
                <c:pt idx="445">
                  <c:v>-741</c:v>
                </c:pt>
                <c:pt idx="446">
                  <c:v>-745</c:v>
                </c:pt>
                <c:pt idx="447">
                  <c:v>-748</c:v>
                </c:pt>
                <c:pt idx="448">
                  <c:v>-750</c:v>
                </c:pt>
                <c:pt idx="449">
                  <c:v>-754</c:v>
                </c:pt>
                <c:pt idx="450">
                  <c:v>-757</c:v>
                </c:pt>
                <c:pt idx="451">
                  <c:v>-764</c:v>
                </c:pt>
                <c:pt idx="452">
                  <c:v>-769</c:v>
                </c:pt>
                <c:pt idx="453">
                  <c:v>-774</c:v>
                </c:pt>
                <c:pt idx="454">
                  <c:v>-778</c:v>
                </c:pt>
                <c:pt idx="455">
                  <c:v>-780.99999999999989</c:v>
                </c:pt>
                <c:pt idx="456">
                  <c:v>-782.99999999999989</c:v>
                </c:pt>
                <c:pt idx="457">
                  <c:v>-784</c:v>
                </c:pt>
                <c:pt idx="458">
                  <c:v>-786</c:v>
                </c:pt>
                <c:pt idx="459">
                  <c:v>-788</c:v>
                </c:pt>
                <c:pt idx="460">
                  <c:v>-790</c:v>
                </c:pt>
                <c:pt idx="461">
                  <c:v>-792</c:v>
                </c:pt>
                <c:pt idx="462">
                  <c:v>-794.99999999999989</c:v>
                </c:pt>
                <c:pt idx="463">
                  <c:v>-796.99999999999989</c:v>
                </c:pt>
                <c:pt idx="464">
                  <c:v>-800</c:v>
                </c:pt>
                <c:pt idx="465">
                  <c:v>-802</c:v>
                </c:pt>
                <c:pt idx="466">
                  <c:v>-802.99999999999989</c:v>
                </c:pt>
                <c:pt idx="467">
                  <c:v>-804.99999999999989</c:v>
                </c:pt>
                <c:pt idx="468">
                  <c:v>-806.99999999999989</c:v>
                </c:pt>
                <c:pt idx="469">
                  <c:v>-808.99999999999989</c:v>
                </c:pt>
                <c:pt idx="470">
                  <c:v>-814</c:v>
                </c:pt>
                <c:pt idx="471">
                  <c:v>-819</c:v>
                </c:pt>
                <c:pt idx="472">
                  <c:v>-823</c:v>
                </c:pt>
                <c:pt idx="473">
                  <c:v>-826.00000000000011</c:v>
                </c:pt>
                <c:pt idx="474">
                  <c:v>-828.00000000000011</c:v>
                </c:pt>
                <c:pt idx="475">
                  <c:v>-832.00000000000011</c:v>
                </c:pt>
                <c:pt idx="476">
                  <c:v>-835</c:v>
                </c:pt>
                <c:pt idx="477">
                  <c:v>-842.00000000000011</c:v>
                </c:pt>
                <c:pt idx="478">
                  <c:v>-847</c:v>
                </c:pt>
                <c:pt idx="479">
                  <c:v>-855</c:v>
                </c:pt>
                <c:pt idx="480">
                  <c:v>-864.00000000000011</c:v>
                </c:pt>
                <c:pt idx="481">
                  <c:v>-870.00000000000011</c:v>
                </c:pt>
                <c:pt idx="482">
                  <c:v>-874.00000000000011</c:v>
                </c:pt>
                <c:pt idx="483">
                  <c:v>-877</c:v>
                </c:pt>
                <c:pt idx="484">
                  <c:v>-882.00000000000011</c:v>
                </c:pt>
                <c:pt idx="485">
                  <c:v>-887</c:v>
                </c:pt>
                <c:pt idx="486">
                  <c:v>-897</c:v>
                </c:pt>
                <c:pt idx="487">
                  <c:v>-904.00000000000011</c:v>
                </c:pt>
                <c:pt idx="488">
                  <c:v>-909.99999999999989</c:v>
                </c:pt>
                <c:pt idx="489">
                  <c:v>-919.99999999999989</c:v>
                </c:pt>
                <c:pt idx="490">
                  <c:v>-927</c:v>
                </c:pt>
                <c:pt idx="491">
                  <c:v>-937</c:v>
                </c:pt>
                <c:pt idx="492">
                  <c:v>-947.00000000000011</c:v>
                </c:pt>
                <c:pt idx="493">
                  <c:v>-957.00000000000011</c:v>
                </c:pt>
                <c:pt idx="494">
                  <c:v>-964</c:v>
                </c:pt>
                <c:pt idx="495">
                  <c:v>-972</c:v>
                </c:pt>
                <c:pt idx="496">
                  <c:v>-978</c:v>
                </c:pt>
                <c:pt idx="497">
                  <c:v>-988</c:v>
                </c:pt>
                <c:pt idx="498">
                  <c:v>-998</c:v>
                </c:pt>
                <c:pt idx="499">
                  <c:v>-1008</c:v>
                </c:pt>
                <c:pt idx="500">
                  <c:v>-1018</c:v>
                </c:pt>
                <c:pt idx="501">
                  <c:v>-1028</c:v>
                </c:pt>
                <c:pt idx="502">
                  <c:v>-1038</c:v>
                </c:pt>
                <c:pt idx="503">
                  <c:v>-1048</c:v>
                </c:pt>
                <c:pt idx="504">
                  <c:v>-1058</c:v>
                </c:pt>
                <c:pt idx="505">
                  <c:v>-1068</c:v>
                </c:pt>
                <c:pt idx="506">
                  <c:v>-1078</c:v>
                </c:pt>
                <c:pt idx="507">
                  <c:v>-1108</c:v>
                </c:pt>
                <c:pt idx="508">
                  <c:v>-1144.0000000000002</c:v>
                </c:pt>
                <c:pt idx="509">
                  <c:v>-1170</c:v>
                </c:pt>
                <c:pt idx="510">
                  <c:v>-1200</c:v>
                </c:pt>
                <c:pt idx="511">
                  <c:v>-1220</c:v>
                </c:pt>
                <c:pt idx="512">
                  <c:v>-1248</c:v>
                </c:pt>
                <c:pt idx="513">
                  <c:v>-1264</c:v>
                </c:pt>
                <c:pt idx="514">
                  <c:v>-1289</c:v>
                </c:pt>
                <c:pt idx="515">
                  <c:v>-1324</c:v>
                </c:pt>
                <c:pt idx="516">
                  <c:v>-1352</c:v>
                </c:pt>
                <c:pt idx="517">
                  <c:v>-1376</c:v>
                </c:pt>
                <c:pt idx="518">
                  <c:v>-1398.0000000000002</c:v>
                </c:pt>
                <c:pt idx="519">
                  <c:v>-1420</c:v>
                </c:pt>
                <c:pt idx="520">
                  <c:v>-1441</c:v>
                </c:pt>
                <c:pt idx="521">
                  <c:v>-1461</c:v>
                </c:pt>
                <c:pt idx="522">
                  <c:v>-1475</c:v>
                </c:pt>
                <c:pt idx="523">
                  <c:v>-1485</c:v>
                </c:pt>
                <c:pt idx="524">
                  <c:v>-1495</c:v>
                </c:pt>
                <c:pt idx="525">
                  <c:v>-1504</c:v>
                </c:pt>
                <c:pt idx="526">
                  <c:v>-1512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4F-41A4-A0AC-3F4E56DB36B6}"/>
            </c:ext>
          </c:extLst>
        </c:ser>
        <c:ser>
          <c:idx val="3"/>
          <c:order val="3"/>
          <c:tx>
            <c:strRef>
              <c:f>'SL.115+260'!$N$12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'SL.115+260'!$A$14:$A$800</c:f>
              <c:numCache>
                <c:formatCode>dd/mm/yyyy;@</c:formatCode>
                <c:ptCount val="78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'SL.115+260'!$N$14:$N$800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-9.0000000000000071</c:v>
                </c:pt>
                <c:pt idx="18">
                  <c:v>-12.000000000000011</c:v>
                </c:pt>
                <c:pt idx="19">
                  <c:v>-16.000000000000014</c:v>
                </c:pt>
                <c:pt idx="20">
                  <c:v>-19.000000000000018</c:v>
                </c:pt>
                <c:pt idx="21">
                  <c:v>-28.000000000000025</c:v>
                </c:pt>
                <c:pt idx="22">
                  <c:v>-30.000000000000028</c:v>
                </c:pt>
                <c:pt idx="23">
                  <c:v>-33.999999999999972</c:v>
                </c:pt>
                <c:pt idx="24">
                  <c:v>-36.999999999999979</c:v>
                </c:pt>
                <c:pt idx="25">
                  <c:v>-45.999999999999986</c:v>
                </c:pt>
                <c:pt idx="26">
                  <c:v>-47.999999999999986</c:v>
                </c:pt>
                <c:pt idx="27">
                  <c:v>-49.999999999999986</c:v>
                </c:pt>
                <c:pt idx="28">
                  <c:v>-54.999999999999993</c:v>
                </c:pt>
                <c:pt idx="29">
                  <c:v>-63</c:v>
                </c:pt>
                <c:pt idx="30">
                  <c:v>-65</c:v>
                </c:pt>
                <c:pt idx="31">
                  <c:v>-67</c:v>
                </c:pt>
                <c:pt idx="32">
                  <c:v>-69</c:v>
                </c:pt>
                <c:pt idx="33">
                  <c:v>-78.000000000000014</c:v>
                </c:pt>
                <c:pt idx="34">
                  <c:v>-81.000000000000014</c:v>
                </c:pt>
                <c:pt idx="35">
                  <c:v>-85.000000000000014</c:v>
                </c:pt>
                <c:pt idx="36">
                  <c:v>-89.000000000000028</c:v>
                </c:pt>
                <c:pt idx="37">
                  <c:v>-92.000000000000028</c:v>
                </c:pt>
                <c:pt idx="38">
                  <c:v>-94.999999999999972</c:v>
                </c:pt>
                <c:pt idx="39">
                  <c:v>-96.999999999999972</c:v>
                </c:pt>
                <c:pt idx="40">
                  <c:v>-100.99999999999997</c:v>
                </c:pt>
                <c:pt idx="41">
                  <c:v>-108.99999999999999</c:v>
                </c:pt>
                <c:pt idx="42">
                  <c:v>-110.99999999999999</c:v>
                </c:pt>
                <c:pt idx="43">
                  <c:v>-114.99999999999999</c:v>
                </c:pt>
                <c:pt idx="44">
                  <c:v>-117</c:v>
                </c:pt>
                <c:pt idx="45">
                  <c:v>-121</c:v>
                </c:pt>
                <c:pt idx="46">
                  <c:v>-122</c:v>
                </c:pt>
                <c:pt idx="47">
                  <c:v>-124</c:v>
                </c:pt>
                <c:pt idx="48">
                  <c:v>-124</c:v>
                </c:pt>
                <c:pt idx="49">
                  <c:v>-125</c:v>
                </c:pt>
                <c:pt idx="50">
                  <c:v>-125</c:v>
                </c:pt>
                <c:pt idx="51">
                  <c:v>-125</c:v>
                </c:pt>
                <c:pt idx="52">
                  <c:v>-125</c:v>
                </c:pt>
                <c:pt idx="53">
                  <c:v>-125</c:v>
                </c:pt>
                <c:pt idx="54">
                  <c:v>-125</c:v>
                </c:pt>
                <c:pt idx="55">
                  <c:v>-125</c:v>
                </c:pt>
                <c:pt idx="56">
                  <c:v>-125</c:v>
                </c:pt>
                <c:pt idx="57">
                  <c:v>-125</c:v>
                </c:pt>
                <c:pt idx="58">
                  <c:v>-125</c:v>
                </c:pt>
                <c:pt idx="59">
                  <c:v>-125</c:v>
                </c:pt>
                <c:pt idx="60">
                  <c:v>-125</c:v>
                </c:pt>
                <c:pt idx="61">
                  <c:v>-125</c:v>
                </c:pt>
                <c:pt idx="62">
                  <c:v>-125</c:v>
                </c:pt>
                <c:pt idx="63">
                  <c:v>-125</c:v>
                </c:pt>
                <c:pt idx="64">
                  <c:v>-125</c:v>
                </c:pt>
                <c:pt idx="65">
                  <c:v>-125</c:v>
                </c:pt>
                <c:pt idx="66">
                  <c:v>-125</c:v>
                </c:pt>
                <c:pt idx="67">
                  <c:v>-125</c:v>
                </c:pt>
                <c:pt idx="68">
                  <c:v>-125</c:v>
                </c:pt>
                <c:pt idx="69">
                  <c:v>-125</c:v>
                </c:pt>
                <c:pt idx="70">
                  <c:v>-125</c:v>
                </c:pt>
                <c:pt idx="71">
                  <c:v>-125</c:v>
                </c:pt>
                <c:pt idx="72">
                  <c:v>-125</c:v>
                </c:pt>
                <c:pt idx="73">
                  <c:v>-125</c:v>
                </c:pt>
                <c:pt idx="74">
                  <c:v>-125</c:v>
                </c:pt>
                <c:pt idx="75">
                  <c:v>-125</c:v>
                </c:pt>
                <c:pt idx="76">
                  <c:v>-125</c:v>
                </c:pt>
                <c:pt idx="77">
                  <c:v>-125</c:v>
                </c:pt>
                <c:pt idx="78">
                  <c:v>-125</c:v>
                </c:pt>
                <c:pt idx="79">
                  <c:v>-125</c:v>
                </c:pt>
                <c:pt idx="80">
                  <c:v>-125</c:v>
                </c:pt>
                <c:pt idx="81">
                  <c:v>-125</c:v>
                </c:pt>
                <c:pt idx="82">
                  <c:v>-125</c:v>
                </c:pt>
                <c:pt idx="83">
                  <c:v>-125</c:v>
                </c:pt>
                <c:pt idx="84">
                  <c:v>-125</c:v>
                </c:pt>
                <c:pt idx="85">
                  <c:v>-125</c:v>
                </c:pt>
                <c:pt idx="86">
                  <c:v>-125</c:v>
                </c:pt>
                <c:pt idx="87">
                  <c:v>-125</c:v>
                </c:pt>
                <c:pt idx="88">
                  <c:v>-125</c:v>
                </c:pt>
                <c:pt idx="89">
                  <c:v>-125</c:v>
                </c:pt>
                <c:pt idx="90">
                  <c:v>-125</c:v>
                </c:pt>
                <c:pt idx="91">
                  <c:v>-125</c:v>
                </c:pt>
                <c:pt idx="92">
                  <c:v>-125</c:v>
                </c:pt>
                <c:pt idx="93">
                  <c:v>-125</c:v>
                </c:pt>
                <c:pt idx="94">
                  <c:v>-125</c:v>
                </c:pt>
                <c:pt idx="95">
                  <c:v>-125</c:v>
                </c:pt>
                <c:pt idx="96">
                  <c:v>-125</c:v>
                </c:pt>
                <c:pt idx="97">
                  <c:v>-125</c:v>
                </c:pt>
                <c:pt idx="98">
                  <c:v>-125</c:v>
                </c:pt>
                <c:pt idx="99">
                  <c:v>-125</c:v>
                </c:pt>
                <c:pt idx="100">
                  <c:v>-125</c:v>
                </c:pt>
                <c:pt idx="101">
                  <c:v>-125</c:v>
                </c:pt>
                <c:pt idx="102">
                  <c:v>-125</c:v>
                </c:pt>
                <c:pt idx="103">
                  <c:v>-125</c:v>
                </c:pt>
                <c:pt idx="104">
                  <c:v>-125</c:v>
                </c:pt>
                <c:pt idx="105">
                  <c:v>-125</c:v>
                </c:pt>
                <c:pt idx="106">
                  <c:v>-125</c:v>
                </c:pt>
                <c:pt idx="107">
                  <c:v>-125</c:v>
                </c:pt>
                <c:pt idx="108">
                  <c:v>-125</c:v>
                </c:pt>
                <c:pt idx="109">
                  <c:v>-125</c:v>
                </c:pt>
                <c:pt idx="110">
                  <c:v>-125</c:v>
                </c:pt>
                <c:pt idx="111">
                  <c:v>-125</c:v>
                </c:pt>
                <c:pt idx="112">
                  <c:v>-125</c:v>
                </c:pt>
                <c:pt idx="113">
                  <c:v>-125</c:v>
                </c:pt>
                <c:pt idx="114">
                  <c:v>-125</c:v>
                </c:pt>
                <c:pt idx="115">
                  <c:v>-125</c:v>
                </c:pt>
                <c:pt idx="116">
                  <c:v>-125</c:v>
                </c:pt>
                <c:pt idx="117">
                  <c:v>-125</c:v>
                </c:pt>
                <c:pt idx="118">
                  <c:v>-125</c:v>
                </c:pt>
                <c:pt idx="119">
                  <c:v>-125</c:v>
                </c:pt>
                <c:pt idx="120">
                  <c:v>-125</c:v>
                </c:pt>
                <c:pt idx="121">
                  <c:v>-125</c:v>
                </c:pt>
                <c:pt idx="122">
                  <c:v>-125</c:v>
                </c:pt>
                <c:pt idx="123">
                  <c:v>-125</c:v>
                </c:pt>
                <c:pt idx="124">
                  <c:v>-125</c:v>
                </c:pt>
                <c:pt idx="125">
                  <c:v>-125</c:v>
                </c:pt>
                <c:pt idx="126">
                  <c:v>-125</c:v>
                </c:pt>
                <c:pt idx="127">
                  <c:v>-125</c:v>
                </c:pt>
                <c:pt idx="128">
                  <c:v>-125</c:v>
                </c:pt>
                <c:pt idx="129">
                  <c:v>-125</c:v>
                </c:pt>
                <c:pt idx="130">
                  <c:v>-125</c:v>
                </c:pt>
                <c:pt idx="131">
                  <c:v>-125</c:v>
                </c:pt>
                <c:pt idx="132">
                  <c:v>-125</c:v>
                </c:pt>
                <c:pt idx="133">
                  <c:v>-125</c:v>
                </c:pt>
                <c:pt idx="134">
                  <c:v>-125</c:v>
                </c:pt>
                <c:pt idx="135">
                  <c:v>-125</c:v>
                </c:pt>
                <c:pt idx="136">
                  <c:v>-125</c:v>
                </c:pt>
                <c:pt idx="137">
                  <c:v>-125</c:v>
                </c:pt>
                <c:pt idx="138">
                  <c:v>-125</c:v>
                </c:pt>
                <c:pt idx="139">
                  <c:v>-125</c:v>
                </c:pt>
                <c:pt idx="140">
                  <c:v>-125</c:v>
                </c:pt>
                <c:pt idx="141">
                  <c:v>-125</c:v>
                </c:pt>
                <c:pt idx="142">
                  <c:v>-125</c:v>
                </c:pt>
                <c:pt idx="143">
                  <c:v>-125</c:v>
                </c:pt>
                <c:pt idx="144">
                  <c:v>-125</c:v>
                </c:pt>
                <c:pt idx="145">
                  <c:v>-125</c:v>
                </c:pt>
                <c:pt idx="146">
                  <c:v>-125</c:v>
                </c:pt>
                <c:pt idx="147">
                  <c:v>-125</c:v>
                </c:pt>
                <c:pt idx="148">
                  <c:v>-125</c:v>
                </c:pt>
                <c:pt idx="149">
                  <c:v>-125</c:v>
                </c:pt>
                <c:pt idx="150">
                  <c:v>-125</c:v>
                </c:pt>
                <c:pt idx="151">
                  <c:v>-133</c:v>
                </c:pt>
                <c:pt idx="152">
                  <c:v>-136</c:v>
                </c:pt>
                <c:pt idx="153">
                  <c:v>-140</c:v>
                </c:pt>
                <c:pt idx="154">
                  <c:v>-144.00000000000003</c:v>
                </c:pt>
                <c:pt idx="155">
                  <c:v>-152.00000000000003</c:v>
                </c:pt>
                <c:pt idx="156">
                  <c:v>-155.00000000000003</c:v>
                </c:pt>
                <c:pt idx="157">
                  <c:v>-158.99999999999997</c:v>
                </c:pt>
                <c:pt idx="158">
                  <c:v>-162.99999999999997</c:v>
                </c:pt>
                <c:pt idx="159">
                  <c:v>-166.99999999999997</c:v>
                </c:pt>
                <c:pt idx="160">
                  <c:v>-176</c:v>
                </c:pt>
                <c:pt idx="161">
                  <c:v>-180</c:v>
                </c:pt>
                <c:pt idx="162">
                  <c:v>-182</c:v>
                </c:pt>
                <c:pt idx="163">
                  <c:v>-187</c:v>
                </c:pt>
                <c:pt idx="164">
                  <c:v>-195</c:v>
                </c:pt>
                <c:pt idx="165">
                  <c:v>-199</c:v>
                </c:pt>
                <c:pt idx="166">
                  <c:v>-202</c:v>
                </c:pt>
                <c:pt idx="167">
                  <c:v>-203</c:v>
                </c:pt>
                <c:pt idx="168">
                  <c:v>-204.00000000000003</c:v>
                </c:pt>
                <c:pt idx="169">
                  <c:v>-205.00000000000003</c:v>
                </c:pt>
                <c:pt idx="170">
                  <c:v>-208.00000000000003</c:v>
                </c:pt>
                <c:pt idx="171">
                  <c:v>-209.00000000000003</c:v>
                </c:pt>
                <c:pt idx="172">
                  <c:v>-209.00000000000003</c:v>
                </c:pt>
                <c:pt idx="173">
                  <c:v>-209.00000000000003</c:v>
                </c:pt>
                <c:pt idx="174">
                  <c:v>-209.00000000000003</c:v>
                </c:pt>
                <c:pt idx="175">
                  <c:v>-209.00000000000003</c:v>
                </c:pt>
                <c:pt idx="176">
                  <c:v>-209.00000000000003</c:v>
                </c:pt>
                <c:pt idx="177">
                  <c:v>-209.00000000000003</c:v>
                </c:pt>
                <c:pt idx="178">
                  <c:v>-209.00000000000003</c:v>
                </c:pt>
                <c:pt idx="179">
                  <c:v>-209.00000000000003</c:v>
                </c:pt>
                <c:pt idx="180">
                  <c:v>-209.00000000000003</c:v>
                </c:pt>
                <c:pt idx="181">
                  <c:v>-209.00000000000003</c:v>
                </c:pt>
                <c:pt idx="182">
                  <c:v>-209.00000000000003</c:v>
                </c:pt>
                <c:pt idx="183">
                  <c:v>-209.00000000000003</c:v>
                </c:pt>
                <c:pt idx="184">
                  <c:v>-209.00000000000003</c:v>
                </c:pt>
                <c:pt idx="185">
                  <c:v>-209.00000000000003</c:v>
                </c:pt>
                <c:pt idx="186">
                  <c:v>-209.00000000000003</c:v>
                </c:pt>
                <c:pt idx="187">
                  <c:v>-209.00000000000003</c:v>
                </c:pt>
                <c:pt idx="188">
                  <c:v>-209.00000000000003</c:v>
                </c:pt>
                <c:pt idx="189">
                  <c:v>-209.00000000000003</c:v>
                </c:pt>
                <c:pt idx="190">
                  <c:v>-209.00000000000003</c:v>
                </c:pt>
                <c:pt idx="191">
                  <c:v>-209.00000000000003</c:v>
                </c:pt>
                <c:pt idx="192">
                  <c:v>-209.00000000000003</c:v>
                </c:pt>
                <c:pt idx="193">
                  <c:v>-209.00000000000003</c:v>
                </c:pt>
                <c:pt idx="194">
                  <c:v>-209.00000000000003</c:v>
                </c:pt>
                <c:pt idx="195">
                  <c:v>-209.00000000000003</c:v>
                </c:pt>
                <c:pt idx="196">
                  <c:v>-209.00000000000003</c:v>
                </c:pt>
                <c:pt idx="197">
                  <c:v>-209.00000000000003</c:v>
                </c:pt>
                <c:pt idx="198">
                  <c:v>-209.00000000000003</c:v>
                </c:pt>
                <c:pt idx="199">
                  <c:v>-209.00000000000003</c:v>
                </c:pt>
                <c:pt idx="200">
                  <c:v>-209.00000000000003</c:v>
                </c:pt>
                <c:pt idx="201">
                  <c:v>-209.00000000000003</c:v>
                </c:pt>
                <c:pt idx="202">
                  <c:v>-209.00000000000003</c:v>
                </c:pt>
                <c:pt idx="203">
                  <c:v>-209.00000000000003</c:v>
                </c:pt>
                <c:pt idx="204">
                  <c:v>-209.00000000000003</c:v>
                </c:pt>
                <c:pt idx="205">
                  <c:v>-209.00000000000003</c:v>
                </c:pt>
                <c:pt idx="206">
                  <c:v>-209.00000000000003</c:v>
                </c:pt>
                <c:pt idx="207">
                  <c:v>-209.00000000000003</c:v>
                </c:pt>
                <c:pt idx="208">
                  <c:v>-209.00000000000003</c:v>
                </c:pt>
                <c:pt idx="209">
                  <c:v>-209.00000000000003</c:v>
                </c:pt>
                <c:pt idx="210">
                  <c:v>-209.00000000000003</c:v>
                </c:pt>
                <c:pt idx="211">
                  <c:v>-209.00000000000003</c:v>
                </c:pt>
                <c:pt idx="212">
                  <c:v>-209.00000000000003</c:v>
                </c:pt>
                <c:pt idx="213">
                  <c:v>-209.00000000000003</c:v>
                </c:pt>
                <c:pt idx="214">
                  <c:v>-209.00000000000003</c:v>
                </c:pt>
                <c:pt idx="215">
                  <c:v>-209.00000000000003</c:v>
                </c:pt>
                <c:pt idx="216">
                  <c:v>-209.00000000000003</c:v>
                </c:pt>
                <c:pt idx="217">
                  <c:v>-209.00000000000003</c:v>
                </c:pt>
                <c:pt idx="218">
                  <c:v>-209.00000000000003</c:v>
                </c:pt>
                <c:pt idx="219">
                  <c:v>-209.00000000000003</c:v>
                </c:pt>
                <c:pt idx="220">
                  <c:v>-209.00000000000003</c:v>
                </c:pt>
                <c:pt idx="221">
                  <c:v>-209.00000000000003</c:v>
                </c:pt>
                <c:pt idx="222">
                  <c:v>-209.00000000000003</c:v>
                </c:pt>
                <c:pt idx="223">
                  <c:v>-209.00000000000003</c:v>
                </c:pt>
                <c:pt idx="224">
                  <c:v>-209.00000000000003</c:v>
                </c:pt>
                <c:pt idx="225">
                  <c:v>-209.00000000000003</c:v>
                </c:pt>
                <c:pt idx="226">
                  <c:v>-209.00000000000003</c:v>
                </c:pt>
                <c:pt idx="227">
                  <c:v>-209.00000000000003</c:v>
                </c:pt>
                <c:pt idx="228">
                  <c:v>-209.00000000000003</c:v>
                </c:pt>
                <c:pt idx="229">
                  <c:v>-209.00000000000003</c:v>
                </c:pt>
                <c:pt idx="230">
                  <c:v>-209.00000000000003</c:v>
                </c:pt>
                <c:pt idx="231">
                  <c:v>-209.00000000000003</c:v>
                </c:pt>
                <c:pt idx="232">
                  <c:v>-209.00000000000003</c:v>
                </c:pt>
                <c:pt idx="233">
                  <c:v>-209.00000000000003</c:v>
                </c:pt>
                <c:pt idx="234">
                  <c:v>-209.00000000000003</c:v>
                </c:pt>
                <c:pt idx="235">
                  <c:v>-209.00000000000003</c:v>
                </c:pt>
                <c:pt idx="236">
                  <c:v>-209.00000000000003</c:v>
                </c:pt>
                <c:pt idx="237">
                  <c:v>-209.00000000000003</c:v>
                </c:pt>
                <c:pt idx="238">
                  <c:v>-209.00000000000003</c:v>
                </c:pt>
                <c:pt idx="239">
                  <c:v>-209.00000000000003</c:v>
                </c:pt>
                <c:pt idx="240">
                  <c:v>-209.00000000000003</c:v>
                </c:pt>
                <c:pt idx="241">
                  <c:v>-209.00000000000003</c:v>
                </c:pt>
                <c:pt idx="242">
                  <c:v>-209.00000000000003</c:v>
                </c:pt>
                <c:pt idx="243">
                  <c:v>-209.00000000000003</c:v>
                </c:pt>
                <c:pt idx="244">
                  <c:v>-209.00000000000003</c:v>
                </c:pt>
                <c:pt idx="245">
                  <c:v>-209.00000000000003</c:v>
                </c:pt>
                <c:pt idx="246">
                  <c:v>-209.00000000000003</c:v>
                </c:pt>
                <c:pt idx="247">
                  <c:v>-209.00000000000003</c:v>
                </c:pt>
                <c:pt idx="248">
                  <c:v>-209.00000000000003</c:v>
                </c:pt>
                <c:pt idx="249">
                  <c:v>-209.00000000000003</c:v>
                </c:pt>
                <c:pt idx="250">
                  <c:v>-209.00000000000003</c:v>
                </c:pt>
                <c:pt idx="251">
                  <c:v>-209.00000000000003</c:v>
                </c:pt>
                <c:pt idx="252">
                  <c:v>-209.00000000000003</c:v>
                </c:pt>
                <c:pt idx="253">
                  <c:v>-209.00000000000003</c:v>
                </c:pt>
                <c:pt idx="254">
                  <c:v>-209.00000000000003</c:v>
                </c:pt>
                <c:pt idx="255">
                  <c:v>-209.00000000000003</c:v>
                </c:pt>
                <c:pt idx="256">
                  <c:v>-209.00000000000003</c:v>
                </c:pt>
                <c:pt idx="257">
                  <c:v>-209.00000000000003</c:v>
                </c:pt>
                <c:pt idx="258">
                  <c:v>-209.00000000000003</c:v>
                </c:pt>
                <c:pt idx="259">
                  <c:v>-209.00000000000003</c:v>
                </c:pt>
                <c:pt idx="260">
                  <c:v>-209.00000000000003</c:v>
                </c:pt>
                <c:pt idx="261">
                  <c:v>-209.00000000000003</c:v>
                </c:pt>
                <c:pt idx="262">
                  <c:v>-209.00000000000003</c:v>
                </c:pt>
                <c:pt idx="263">
                  <c:v>-209.00000000000003</c:v>
                </c:pt>
                <c:pt idx="264">
                  <c:v>-209.00000000000003</c:v>
                </c:pt>
                <c:pt idx="265">
                  <c:v>-209.00000000000003</c:v>
                </c:pt>
                <c:pt idx="266">
                  <c:v>-209.00000000000003</c:v>
                </c:pt>
                <c:pt idx="267">
                  <c:v>-209.00000000000003</c:v>
                </c:pt>
                <c:pt idx="268">
                  <c:v>-209.00000000000003</c:v>
                </c:pt>
                <c:pt idx="269">
                  <c:v>-209.00000000000003</c:v>
                </c:pt>
                <c:pt idx="270">
                  <c:v>-209.00000000000003</c:v>
                </c:pt>
                <c:pt idx="271">
                  <c:v>-209.00000000000003</c:v>
                </c:pt>
                <c:pt idx="272">
                  <c:v>-209.00000000000003</c:v>
                </c:pt>
                <c:pt idx="273">
                  <c:v>-209.00000000000003</c:v>
                </c:pt>
                <c:pt idx="274">
                  <c:v>-209.00000000000003</c:v>
                </c:pt>
                <c:pt idx="275">
                  <c:v>-209.00000000000003</c:v>
                </c:pt>
                <c:pt idx="276">
                  <c:v>-209.00000000000003</c:v>
                </c:pt>
                <c:pt idx="277">
                  <c:v>-209.00000000000003</c:v>
                </c:pt>
                <c:pt idx="278">
                  <c:v>-209.00000000000003</c:v>
                </c:pt>
                <c:pt idx="279">
                  <c:v>-209.00000000000003</c:v>
                </c:pt>
                <c:pt idx="280">
                  <c:v>-209.00000000000003</c:v>
                </c:pt>
                <c:pt idx="281">
                  <c:v>-209.00000000000003</c:v>
                </c:pt>
                <c:pt idx="282">
                  <c:v>-209.00000000000003</c:v>
                </c:pt>
                <c:pt idx="283">
                  <c:v>-209.00000000000003</c:v>
                </c:pt>
                <c:pt idx="284">
                  <c:v>-209.00000000000003</c:v>
                </c:pt>
                <c:pt idx="285">
                  <c:v>-209.00000000000003</c:v>
                </c:pt>
                <c:pt idx="286">
                  <c:v>-209.00000000000003</c:v>
                </c:pt>
                <c:pt idx="287">
                  <c:v>-209.00000000000003</c:v>
                </c:pt>
                <c:pt idx="288">
                  <c:v>-209.00000000000003</c:v>
                </c:pt>
                <c:pt idx="289">
                  <c:v>-209.00000000000003</c:v>
                </c:pt>
                <c:pt idx="290">
                  <c:v>-209.00000000000003</c:v>
                </c:pt>
                <c:pt idx="291">
                  <c:v>-209.00000000000003</c:v>
                </c:pt>
                <c:pt idx="292">
                  <c:v>-209.00000000000003</c:v>
                </c:pt>
                <c:pt idx="293">
                  <c:v>-209.00000000000003</c:v>
                </c:pt>
                <c:pt idx="294">
                  <c:v>-209.00000000000003</c:v>
                </c:pt>
                <c:pt idx="295">
                  <c:v>-209.00000000000003</c:v>
                </c:pt>
                <c:pt idx="296">
                  <c:v>-209.00000000000003</c:v>
                </c:pt>
                <c:pt idx="297">
                  <c:v>-209.00000000000003</c:v>
                </c:pt>
                <c:pt idx="298">
                  <c:v>-209.00000000000003</c:v>
                </c:pt>
                <c:pt idx="299">
                  <c:v>-209.00000000000003</c:v>
                </c:pt>
                <c:pt idx="300">
                  <c:v>-209.00000000000003</c:v>
                </c:pt>
                <c:pt idx="301">
                  <c:v>-209.00000000000003</c:v>
                </c:pt>
                <c:pt idx="302">
                  <c:v>-209.00000000000003</c:v>
                </c:pt>
                <c:pt idx="303">
                  <c:v>-209.00000000000003</c:v>
                </c:pt>
                <c:pt idx="304">
                  <c:v>-209.00000000000003</c:v>
                </c:pt>
                <c:pt idx="305">
                  <c:v>-209.00000000000003</c:v>
                </c:pt>
                <c:pt idx="306">
                  <c:v>-209.00000000000003</c:v>
                </c:pt>
                <c:pt idx="307">
                  <c:v>-209.00000000000003</c:v>
                </c:pt>
                <c:pt idx="308">
                  <c:v>-209.00000000000003</c:v>
                </c:pt>
                <c:pt idx="309">
                  <c:v>-209.00000000000003</c:v>
                </c:pt>
                <c:pt idx="310">
                  <c:v>-209.00000000000003</c:v>
                </c:pt>
                <c:pt idx="311">
                  <c:v>-209.00000000000003</c:v>
                </c:pt>
                <c:pt idx="312">
                  <c:v>-209.00000000000003</c:v>
                </c:pt>
                <c:pt idx="313">
                  <c:v>-209.00000000000003</c:v>
                </c:pt>
                <c:pt idx="314">
                  <c:v>-209.00000000000003</c:v>
                </c:pt>
                <c:pt idx="315">
                  <c:v>-209.00000000000003</c:v>
                </c:pt>
                <c:pt idx="316">
                  <c:v>-209.00000000000003</c:v>
                </c:pt>
                <c:pt idx="317">
                  <c:v>-209.00000000000003</c:v>
                </c:pt>
                <c:pt idx="318">
                  <c:v>-209.00000000000003</c:v>
                </c:pt>
                <c:pt idx="319">
                  <c:v>-209.00000000000003</c:v>
                </c:pt>
                <c:pt idx="320">
                  <c:v>-209.00000000000003</c:v>
                </c:pt>
                <c:pt idx="321">
                  <c:v>-209.00000000000003</c:v>
                </c:pt>
                <c:pt idx="322">
                  <c:v>-209.00000000000003</c:v>
                </c:pt>
                <c:pt idx="323">
                  <c:v>-209.00000000000003</c:v>
                </c:pt>
                <c:pt idx="324">
                  <c:v>-209.00000000000003</c:v>
                </c:pt>
                <c:pt idx="325">
                  <c:v>-209.00000000000003</c:v>
                </c:pt>
                <c:pt idx="326">
                  <c:v>-209.00000000000003</c:v>
                </c:pt>
                <c:pt idx="327">
                  <c:v>-209.00000000000003</c:v>
                </c:pt>
                <c:pt idx="328">
                  <c:v>-209.00000000000003</c:v>
                </c:pt>
                <c:pt idx="329">
                  <c:v>-209.00000000000003</c:v>
                </c:pt>
                <c:pt idx="330">
                  <c:v>-209.00000000000003</c:v>
                </c:pt>
                <c:pt idx="331">
                  <c:v>-209.00000000000003</c:v>
                </c:pt>
                <c:pt idx="332">
                  <c:v>-209.00000000000003</c:v>
                </c:pt>
                <c:pt idx="333">
                  <c:v>-209.00000000000003</c:v>
                </c:pt>
                <c:pt idx="334">
                  <c:v>-209.00000000000003</c:v>
                </c:pt>
                <c:pt idx="335">
                  <c:v>-209.00000000000003</c:v>
                </c:pt>
                <c:pt idx="336">
                  <c:v>-209.00000000000003</c:v>
                </c:pt>
                <c:pt idx="337">
                  <c:v>-209.00000000000003</c:v>
                </c:pt>
                <c:pt idx="338">
                  <c:v>-209.00000000000003</c:v>
                </c:pt>
                <c:pt idx="339">
                  <c:v>-209.00000000000003</c:v>
                </c:pt>
                <c:pt idx="340">
                  <c:v>-209.00000000000003</c:v>
                </c:pt>
                <c:pt idx="341">
                  <c:v>-209.00000000000003</c:v>
                </c:pt>
                <c:pt idx="342">
                  <c:v>-209.00000000000003</c:v>
                </c:pt>
                <c:pt idx="343">
                  <c:v>-209.00000000000003</c:v>
                </c:pt>
                <c:pt idx="344">
                  <c:v>-209.00000000000003</c:v>
                </c:pt>
                <c:pt idx="345">
                  <c:v>-209.00000000000003</c:v>
                </c:pt>
                <c:pt idx="346">
                  <c:v>-209.00000000000003</c:v>
                </c:pt>
                <c:pt idx="347">
                  <c:v>-209.00000000000003</c:v>
                </c:pt>
                <c:pt idx="348">
                  <c:v>-209.00000000000003</c:v>
                </c:pt>
                <c:pt idx="349">
                  <c:v>-209.00000000000003</c:v>
                </c:pt>
                <c:pt idx="350">
                  <c:v>-209.00000000000003</c:v>
                </c:pt>
                <c:pt idx="351">
                  <c:v>-209.00000000000003</c:v>
                </c:pt>
                <c:pt idx="352">
                  <c:v>-209.00000000000003</c:v>
                </c:pt>
                <c:pt idx="353">
                  <c:v>-209.00000000000003</c:v>
                </c:pt>
                <c:pt idx="354">
                  <c:v>-209.00000000000003</c:v>
                </c:pt>
                <c:pt idx="355">
                  <c:v>-209.00000000000003</c:v>
                </c:pt>
                <c:pt idx="356">
                  <c:v>-209.00000000000003</c:v>
                </c:pt>
                <c:pt idx="357">
                  <c:v>-209.00000000000003</c:v>
                </c:pt>
                <c:pt idx="358">
                  <c:v>-209.00000000000003</c:v>
                </c:pt>
                <c:pt idx="359">
                  <c:v>-209.00000000000003</c:v>
                </c:pt>
                <c:pt idx="360">
                  <c:v>-209.00000000000003</c:v>
                </c:pt>
                <c:pt idx="361">
                  <c:v>-209.00000000000003</c:v>
                </c:pt>
                <c:pt idx="362">
                  <c:v>-209.00000000000003</c:v>
                </c:pt>
                <c:pt idx="363">
                  <c:v>-209.00000000000003</c:v>
                </c:pt>
                <c:pt idx="364">
                  <c:v>-209.00000000000003</c:v>
                </c:pt>
                <c:pt idx="365">
                  <c:v>-209.00000000000003</c:v>
                </c:pt>
                <c:pt idx="366">
                  <c:v>-209.00000000000003</c:v>
                </c:pt>
                <c:pt idx="367">
                  <c:v>-209.00000000000003</c:v>
                </c:pt>
                <c:pt idx="368">
                  <c:v>-209.00000000000003</c:v>
                </c:pt>
                <c:pt idx="369">
                  <c:v>-209.00000000000003</c:v>
                </c:pt>
                <c:pt idx="370">
                  <c:v>-209.00000000000003</c:v>
                </c:pt>
                <c:pt idx="371">
                  <c:v>-209.00000000000003</c:v>
                </c:pt>
                <c:pt idx="372">
                  <c:v>-209.00000000000003</c:v>
                </c:pt>
                <c:pt idx="373">
                  <c:v>-209.00000000000003</c:v>
                </c:pt>
                <c:pt idx="374">
                  <c:v>-209.00000000000003</c:v>
                </c:pt>
                <c:pt idx="375">
                  <c:v>-209.00000000000003</c:v>
                </c:pt>
                <c:pt idx="376">
                  <c:v>-209.00000000000003</c:v>
                </c:pt>
                <c:pt idx="377">
                  <c:v>-209.00000000000003</c:v>
                </c:pt>
                <c:pt idx="378">
                  <c:v>-209.00000000000003</c:v>
                </c:pt>
                <c:pt idx="379">
                  <c:v>-209.00000000000003</c:v>
                </c:pt>
                <c:pt idx="380">
                  <c:v>-209.00000000000003</c:v>
                </c:pt>
                <c:pt idx="381">
                  <c:v>-209.00000000000003</c:v>
                </c:pt>
                <c:pt idx="382">
                  <c:v>-209.00000000000003</c:v>
                </c:pt>
                <c:pt idx="383">
                  <c:v>-209.00000000000003</c:v>
                </c:pt>
                <c:pt idx="384">
                  <c:v>-209.00000000000003</c:v>
                </c:pt>
                <c:pt idx="385">
                  <c:v>-209.00000000000003</c:v>
                </c:pt>
                <c:pt idx="386">
                  <c:v>-218.99999999999997</c:v>
                </c:pt>
                <c:pt idx="387">
                  <c:v>-228.99999999999997</c:v>
                </c:pt>
                <c:pt idx="388">
                  <c:v>-239</c:v>
                </c:pt>
                <c:pt idx="389">
                  <c:v>-246</c:v>
                </c:pt>
                <c:pt idx="390">
                  <c:v>-253</c:v>
                </c:pt>
                <c:pt idx="391">
                  <c:v>-263</c:v>
                </c:pt>
                <c:pt idx="392">
                  <c:v>-273</c:v>
                </c:pt>
                <c:pt idx="393">
                  <c:v>-280</c:v>
                </c:pt>
                <c:pt idx="394">
                  <c:v>-287.00000000000006</c:v>
                </c:pt>
                <c:pt idx="395">
                  <c:v>-294.00000000000006</c:v>
                </c:pt>
                <c:pt idx="396">
                  <c:v>-304.00000000000006</c:v>
                </c:pt>
                <c:pt idx="397">
                  <c:v>-313.99999999999994</c:v>
                </c:pt>
                <c:pt idx="398">
                  <c:v>-320.99999999999994</c:v>
                </c:pt>
                <c:pt idx="399">
                  <c:v>-327.99999999999994</c:v>
                </c:pt>
                <c:pt idx="400">
                  <c:v>-334.99999999999994</c:v>
                </c:pt>
                <c:pt idx="401">
                  <c:v>-345</c:v>
                </c:pt>
                <c:pt idx="402">
                  <c:v>-353</c:v>
                </c:pt>
                <c:pt idx="403">
                  <c:v>-361</c:v>
                </c:pt>
                <c:pt idx="404">
                  <c:v>-370</c:v>
                </c:pt>
                <c:pt idx="405">
                  <c:v>-378</c:v>
                </c:pt>
                <c:pt idx="406">
                  <c:v>-388</c:v>
                </c:pt>
                <c:pt idx="407">
                  <c:v>-397</c:v>
                </c:pt>
                <c:pt idx="408">
                  <c:v>-405</c:v>
                </c:pt>
                <c:pt idx="409">
                  <c:v>-414.00000000000006</c:v>
                </c:pt>
                <c:pt idx="410">
                  <c:v>-422.00000000000006</c:v>
                </c:pt>
                <c:pt idx="411">
                  <c:v>-431.00000000000006</c:v>
                </c:pt>
                <c:pt idx="412">
                  <c:v>-438.99999999999994</c:v>
                </c:pt>
                <c:pt idx="413">
                  <c:v>-445.99999999999994</c:v>
                </c:pt>
                <c:pt idx="414">
                  <c:v>-454.99999999999994</c:v>
                </c:pt>
                <c:pt idx="415">
                  <c:v>-462.99999999999994</c:v>
                </c:pt>
                <c:pt idx="416">
                  <c:v>-470</c:v>
                </c:pt>
                <c:pt idx="417">
                  <c:v>-479</c:v>
                </c:pt>
                <c:pt idx="418">
                  <c:v>-487</c:v>
                </c:pt>
                <c:pt idx="419">
                  <c:v>-496</c:v>
                </c:pt>
                <c:pt idx="420">
                  <c:v>-504</c:v>
                </c:pt>
                <c:pt idx="421">
                  <c:v>-511</c:v>
                </c:pt>
                <c:pt idx="422">
                  <c:v>-518</c:v>
                </c:pt>
                <c:pt idx="423">
                  <c:v>-521</c:v>
                </c:pt>
                <c:pt idx="424">
                  <c:v>-525</c:v>
                </c:pt>
                <c:pt idx="425">
                  <c:v>-530</c:v>
                </c:pt>
                <c:pt idx="426">
                  <c:v>-535</c:v>
                </c:pt>
                <c:pt idx="427">
                  <c:v>-539</c:v>
                </c:pt>
                <c:pt idx="428">
                  <c:v>-542</c:v>
                </c:pt>
                <c:pt idx="429">
                  <c:v>-544</c:v>
                </c:pt>
                <c:pt idx="430">
                  <c:v>-548</c:v>
                </c:pt>
                <c:pt idx="431">
                  <c:v>-551</c:v>
                </c:pt>
                <c:pt idx="432">
                  <c:v>-558</c:v>
                </c:pt>
                <c:pt idx="433">
                  <c:v>-563</c:v>
                </c:pt>
                <c:pt idx="434">
                  <c:v>-568</c:v>
                </c:pt>
                <c:pt idx="435">
                  <c:v>-572</c:v>
                </c:pt>
                <c:pt idx="436">
                  <c:v>-575</c:v>
                </c:pt>
                <c:pt idx="437">
                  <c:v>-579</c:v>
                </c:pt>
                <c:pt idx="438">
                  <c:v>-586</c:v>
                </c:pt>
                <c:pt idx="439">
                  <c:v>-591</c:v>
                </c:pt>
                <c:pt idx="440">
                  <c:v>-596</c:v>
                </c:pt>
                <c:pt idx="441">
                  <c:v>-600</c:v>
                </c:pt>
                <c:pt idx="442">
                  <c:v>-603</c:v>
                </c:pt>
                <c:pt idx="443">
                  <c:v>-605</c:v>
                </c:pt>
                <c:pt idx="444">
                  <c:v>-609</c:v>
                </c:pt>
                <c:pt idx="445">
                  <c:v>-612</c:v>
                </c:pt>
                <c:pt idx="446">
                  <c:v>-619</c:v>
                </c:pt>
                <c:pt idx="447">
                  <c:v>-624</c:v>
                </c:pt>
                <c:pt idx="448">
                  <c:v>-629</c:v>
                </c:pt>
                <c:pt idx="449">
                  <c:v>-634</c:v>
                </c:pt>
                <c:pt idx="450">
                  <c:v>-639</c:v>
                </c:pt>
                <c:pt idx="451">
                  <c:v>-643</c:v>
                </c:pt>
                <c:pt idx="452">
                  <c:v>-646</c:v>
                </c:pt>
                <c:pt idx="453">
                  <c:v>-648</c:v>
                </c:pt>
                <c:pt idx="454">
                  <c:v>-652</c:v>
                </c:pt>
                <c:pt idx="455">
                  <c:v>-655</c:v>
                </c:pt>
                <c:pt idx="456">
                  <c:v>-662</c:v>
                </c:pt>
                <c:pt idx="457">
                  <c:v>-667</c:v>
                </c:pt>
                <c:pt idx="458">
                  <c:v>-672</c:v>
                </c:pt>
                <c:pt idx="459">
                  <c:v>-676</c:v>
                </c:pt>
                <c:pt idx="460">
                  <c:v>-679</c:v>
                </c:pt>
                <c:pt idx="461">
                  <c:v>-683</c:v>
                </c:pt>
                <c:pt idx="462">
                  <c:v>-690</c:v>
                </c:pt>
                <c:pt idx="463">
                  <c:v>-695</c:v>
                </c:pt>
                <c:pt idx="464">
                  <c:v>-700</c:v>
                </c:pt>
                <c:pt idx="465">
                  <c:v>-704</c:v>
                </c:pt>
                <c:pt idx="466">
                  <c:v>-707</c:v>
                </c:pt>
                <c:pt idx="467">
                  <c:v>-709</c:v>
                </c:pt>
                <c:pt idx="468">
                  <c:v>-713</c:v>
                </c:pt>
                <c:pt idx="469">
                  <c:v>-716</c:v>
                </c:pt>
                <c:pt idx="470">
                  <c:v>-723</c:v>
                </c:pt>
                <c:pt idx="471">
                  <c:v>-728</c:v>
                </c:pt>
                <c:pt idx="472">
                  <c:v>-733</c:v>
                </c:pt>
                <c:pt idx="473">
                  <c:v>-737</c:v>
                </c:pt>
                <c:pt idx="474">
                  <c:v>-740</c:v>
                </c:pt>
                <c:pt idx="475">
                  <c:v>-744</c:v>
                </c:pt>
                <c:pt idx="476">
                  <c:v>-750.99999999999989</c:v>
                </c:pt>
                <c:pt idx="477">
                  <c:v>-756</c:v>
                </c:pt>
                <c:pt idx="478">
                  <c:v>-760.99999999999989</c:v>
                </c:pt>
                <c:pt idx="479">
                  <c:v>-764</c:v>
                </c:pt>
                <c:pt idx="480">
                  <c:v>-766</c:v>
                </c:pt>
                <c:pt idx="481">
                  <c:v>-770</c:v>
                </c:pt>
                <c:pt idx="482">
                  <c:v>-774.99999999999989</c:v>
                </c:pt>
                <c:pt idx="483">
                  <c:v>-780.99999999999989</c:v>
                </c:pt>
                <c:pt idx="484">
                  <c:v>-786</c:v>
                </c:pt>
                <c:pt idx="485">
                  <c:v>-790</c:v>
                </c:pt>
                <c:pt idx="486">
                  <c:v>-792.99999999999989</c:v>
                </c:pt>
                <c:pt idx="487">
                  <c:v>-796.99999999999989</c:v>
                </c:pt>
                <c:pt idx="488">
                  <c:v>-800</c:v>
                </c:pt>
                <c:pt idx="489">
                  <c:v>-802</c:v>
                </c:pt>
                <c:pt idx="490">
                  <c:v>-804.99999999999989</c:v>
                </c:pt>
                <c:pt idx="491">
                  <c:v>-808</c:v>
                </c:pt>
                <c:pt idx="492">
                  <c:v>-811</c:v>
                </c:pt>
                <c:pt idx="493">
                  <c:v>-815</c:v>
                </c:pt>
                <c:pt idx="494">
                  <c:v>-817</c:v>
                </c:pt>
                <c:pt idx="495">
                  <c:v>-820.00000000000011</c:v>
                </c:pt>
                <c:pt idx="496">
                  <c:v>-822.00000000000011</c:v>
                </c:pt>
                <c:pt idx="497">
                  <c:v>-829</c:v>
                </c:pt>
                <c:pt idx="498">
                  <c:v>-834.00000000000011</c:v>
                </c:pt>
                <c:pt idx="499">
                  <c:v>-840.00000000000011</c:v>
                </c:pt>
                <c:pt idx="500">
                  <c:v>-845</c:v>
                </c:pt>
                <c:pt idx="501">
                  <c:v>-852.00000000000011</c:v>
                </c:pt>
                <c:pt idx="502">
                  <c:v>-858.00000000000011</c:v>
                </c:pt>
                <c:pt idx="503">
                  <c:v>-865</c:v>
                </c:pt>
                <c:pt idx="504">
                  <c:v>-873</c:v>
                </c:pt>
                <c:pt idx="505">
                  <c:v>-879.99999999999989</c:v>
                </c:pt>
                <c:pt idx="506">
                  <c:v>-887.99999999999989</c:v>
                </c:pt>
                <c:pt idx="507">
                  <c:v>-911.99999999999989</c:v>
                </c:pt>
                <c:pt idx="508">
                  <c:v>-945.00000000000011</c:v>
                </c:pt>
                <c:pt idx="509">
                  <c:v>-965.00000000000011</c:v>
                </c:pt>
                <c:pt idx="510">
                  <c:v>-995.00000000000011</c:v>
                </c:pt>
                <c:pt idx="511">
                  <c:v>-1012.9999999999999</c:v>
                </c:pt>
                <c:pt idx="512">
                  <c:v>-1039</c:v>
                </c:pt>
                <c:pt idx="513">
                  <c:v>-1058</c:v>
                </c:pt>
                <c:pt idx="514">
                  <c:v>-1083</c:v>
                </c:pt>
                <c:pt idx="515">
                  <c:v>-1107</c:v>
                </c:pt>
                <c:pt idx="516">
                  <c:v>-1127</c:v>
                </c:pt>
                <c:pt idx="517">
                  <c:v>-1144</c:v>
                </c:pt>
                <c:pt idx="518">
                  <c:v>-1161</c:v>
                </c:pt>
                <c:pt idx="519">
                  <c:v>-1177</c:v>
                </c:pt>
                <c:pt idx="520">
                  <c:v>-1192</c:v>
                </c:pt>
                <c:pt idx="521">
                  <c:v>-1206</c:v>
                </c:pt>
                <c:pt idx="522">
                  <c:v>-1219</c:v>
                </c:pt>
                <c:pt idx="523">
                  <c:v>-1231</c:v>
                </c:pt>
                <c:pt idx="524">
                  <c:v>-1243</c:v>
                </c:pt>
                <c:pt idx="525">
                  <c:v>-1255</c:v>
                </c:pt>
                <c:pt idx="526">
                  <c:v>-1265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4F-41A4-A0AC-3F4E56DB3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'SL.115+260'!$C$12:$C$13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'SL.115+260'!$A$14:$A$701</c:f>
              <c:numCache>
                <c:formatCode>dd/mm/yyyy;@</c:formatCode>
                <c:ptCount val="688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'SL.115+260'!$C$14:$C$701</c:f>
              <c:numCache>
                <c:formatCode>0.000</c:formatCode>
                <c:ptCount val="688"/>
                <c:pt idx="0">
                  <c:v>-0.22</c:v>
                </c:pt>
                <c:pt idx="1">
                  <c:v>-0.22</c:v>
                </c:pt>
                <c:pt idx="2">
                  <c:v>-0.22</c:v>
                </c:pt>
                <c:pt idx="3">
                  <c:v>-0.22</c:v>
                </c:pt>
                <c:pt idx="4">
                  <c:v>-0.22</c:v>
                </c:pt>
                <c:pt idx="5">
                  <c:v>-0.22</c:v>
                </c:pt>
                <c:pt idx="6">
                  <c:v>-0.22</c:v>
                </c:pt>
                <c:pt idx="7">
                  <c:v>-0.22</c:v>
                </c:pt>
                <c:pt idx="8">
                  <c:v>-0.22</c:v>
                </c:pt>
                <c:pt idx="9">
                  <c:v>-0.22</c:v>
                </c:pt>
                <c:pt idx="10">
                  <c:v>-0.22</c:v>
                </c:pt>
                <c:pt idx="11">
                  <c:v>-0.22</c:v>
                </c:pt>
                <c:pt idx="12">
                  <c:v>-0.22</c:v>
                </c:pt>
                <c:pt idx="13">
                  <c:v>-0.22</c:v>
                </c:pt>
                <c:pt idx="14">
                  <c:v>-0.22</c:v>
                </c:pt>
                <c:pt idx="15">
                  <c:v>-0.22</c:v>
                </c:pt>
                <c:pt idx="16">
                  <c:v>-0.22</c:v>
                </c:pt>
                <c:pt idx="17">
                  <c:v>7.1999999999999995E-2</c:v>
                </c:pt>
                <c:pt idx="18">
                  <c:v>6.9000000000000006E-2</c:v>
                </c:pt>
                <c:pt idx="19">
                  <c:v>6.4000000000000001E-2</c:v>
                </c:pt>
                <c:pt idx="20">
                  <c:v>6.0999999999999999E-2</c:v>
                </c:pt>
                <c:pt idx="21">
                  <c:v>0.373</c:v>
                </c:pt>
                <c:pt idx="22">
                  <c:v>0.371</c:v>
                </c:pt>
                <c:pt idx="23">
                  <c:v>0.36899999999999999</c:v>
                </c:pt>
                <c:pt idx="24">
                  <c:v>0.36599999999999999</c:v>
                </c:pt>
                <c:pt idx="25">
                  <c:v>0.55800000000000005</c:v>
                </c:pt>
                <c:pt idx="26">
                  <c:v>0.55300000000000005</c:v>
                </c:pt>
                <c:pt idx="27">
                  <c:v>0.54800000000000004</c:v>
                </c:pt>
                <c:pt idx="28">
                  <c:v>0.54300000000000004</c:v>
                </c:pt>
                <c:pt idx="29">
                  <c:v>0.73499999999999999</c:v>
                </c:pt>
                <c:pt idx="30">
                  <c:v>0.73299999999999998</c:v>
                </c:pt>
                <c:pt idx="31">
                  <c:v>0.72899999999999998</c:v>
                </c:pt>
                <c:pt idx="32">
                  <c:v>0.72199999999999998</c:v>
                </c:pt>
                <c:pt idx="33">
                  <c:v>1.014</c:v>
                </c:pt>
                <c:pt idx="34">
                  <c:v>1.01</c:v>
                </c:pt>
                <c:pt idx="35">
                  <c:v>1.008</c:v>
                </c:pt>
                <c:pt idx="36">
                  <c:v>1.006</c:v>
                </c:pt>
                <c:pt idx="37">
                  <c:v>1.002</c:v>
                </c:pt>
                <c:pt idx="38">
                  <c:v>0.995</c:v>
                </c:pt>
                <c:pt idx="39">
                  <c:v>0.99</c:v>
                </c:pt>
                <c:pt idx="40">
                  <c:v>0.98799999999999999</c:v>
                </c:pt>
                <c:pt idx="41">
                  <c:v>0.98</c:v>
                </c:pt>
                <c:pt idx="42">
                  <c:v>0.97799999999999998</c:v>
                </c:pt>
                <c:pt idx="43">
                  <c:v>0.97399999999999998</c:v>
                </c:pt>
                <c:pt idx="44">
                  <c:v>0.97199999999999998</c:v>
                </c:pt>
                <c:pt idx="45">
                  <c:v>0.97099999999999997</c:v>
                </c:pt>
                <c:pt idx="46">
                  <c:v>0.97</c:v>
                </c:pt>
                <c:pt idx="47">
                  <c:v>0.97</c:v>
                </c:pt>
                <c:pt idx="48">
                  <c:v>0.97</c:v>
                </c:pt>
                <c:pt idx="49">
                  <c:v>0.96899999999999997</c:v>
                </c:pt>
                <c:pt idx="50">
                  <c:v>0.96899999999999997</c:v>
                </c:pt>
                <c:pt idx="51">
                  <c:v>0.96899999999999997</c:v>
                </c:pt>
                <c:pt idx="52">
                  <c:v>0.96899999999999997</c:v>
                </c:pt>
                <c:pt idx="53">
                  <c:v>0.96899999999999997</c:v>
                </c:pt>
                <c:pt idx="54">
                  <c:v>0.96899999999999997</c:v>
                </c:pt>
                <c:pt idx="55">
                  <c:v>0.96899999999999997</c:v>
                </c:pt>
                <c:pt idx="56">
                  <c:v>0.96899999999999997</c:v>
                </c:pt>
                <c:pt idx="57">
                  <c:v>0.96899999999999997</c:v>
                </c:pt>
                <c:pt idx="58">
                  <c:v>0.96899999999999997</c:v>
                </c:pt>
                <c:pt idx="59">
                  <c:v>0.96899999999999997</c:v>
                </c:pt>
                <c:pt idx="60">
                  <c:v>0.96899999999999997</c:v>
                </c:pt>
                <c:pt idx="61">
                  <c:v>0.96899999999999997</c:v>
                </c:pt>
                <c:pt idx="62">
                  <c:v>0.96899999999999997</c:v>
                </c:pt>
                <c:pt idx="63">
                  <c:v>0.96899999999999997</c:v>
                </c:pt>
                <c:pt idx="64">
                  <c:v>0.96899999999999997</c:v>
                </c:pt>
                <c:pt idx="65">
                  <c:v>0.96899999999999997</c:v>
                </c:pt>
                <c:pt idx="66">
                  <c:v>0.96899999999999997</c:v>
                </c:pt>
                <c:pt idx="67">
                  <c:v>0.96899999999999997</c:v>
                </c:pt>
                <c:pt idx="68">
                  <c:v>0.96899999999999997</c:v>
                </c:pt>
                <c:pt idx="69">
                  <c:v>0.96899999999999997</c:v>
                </c:pt>
                <c:pt idx="70">
                  <c:v>0.96899999999999997</c:v>
                </c:pt>
                <c:pt idx="71">
                  <c:v>0.96899999999999997</c:v>
                </c:pt>
                <c:pt idx="72">
                  <c:v>0.96899999999999997</c:v>
                </c:pt>
                <c:pt idx="73">
                  <c:v>0.96899999999999997</c:v>
                </c:pt>
                <c:pt idx="74">
                  <c:v>0.96899999999999997</c:v>
                </c:pt>
                <c:pt idx="75">
                  <c:v>0.96899999999999997</c:v>
                </c:pt>
                <c:pt idx="76">
                  <c:v>0.96899999999999997</c:v>
                </c:pt>
                <c:pt idx="77">
                  <c:v>0.96899999999999997</c:v>
                </c:pt>
                <c:pt idx="78">
                  <c:v>0.96899999999999997</c:v>
                </c:pt>
                <c:pt idx="79">
                  <c:v>0.96899999999999997</c:v>
                </c:pt>
                <c:pt idx="80">
                  <c:v>0.96899999999999997</c:v>
                </c:pt>
                <c:pt idx="81">
                  <c:v>0.96899999999999997</c:v>
                </c:pt>
                <c:pt idx="82">
                  <c:v>0.96899999999999997</c:v>
                </c:pt>
                <c:pt idx="83">
                  <c:v>0.96899999999999997</c:v>
                </c:pt>
                <c:pt idx="84">
                  <c:v>0.96899999999999997</c:v>
                </c:pt>
                <c:pt idx="85">
                  <c:v>0.96899999999999997</c:v>
                </c:pt>
                <c:pt idx="86">
                  <c:v>0.96899999999999997</c:v>
                </c:pt>
                <c:pt idx="87">
                  <c:v>0.96899999999999997</c:v>
                </c:pt>
                <c:pt idx="88">
                  <c:v>0.96899999999999997</c:v>
                </c:pt>
                <c:pt idx="89">
                  <c:v>0.96899999999999997</c:v>
                </c:pt>
                <c:pt idx="90">
                  <c:v>0.96899999999999997</c:v>
                </c:pt>
                <c:pt idx="91">
                  <c:v>0.96899999999999997</c:v>
                </c:pt>
                <c:pt idx="92">
                  <c:v>0.96899999999999997</c:v>
                </c:pt>
                <c:pt idx="93">
                  <c:v>0.96899999999999997</c:v>
                </c:pt>
                <c:pt idx="94">
                  <c:v>0.96899999999999997</c:v>
                </c:pt>
                <c:pt idx="95">
                  <c:v>0.96899999999999997</c:v>
                </c:pt>
                <c:pt idx="96">
                  <c:v>0.96899999999999997</c:v>
                </c:pt>
                <c:pt idx="97">
                  <c:v>0.96899999999999997</c:v>
                </c:pt>
                <c:pt idx="98">
                  <c:v>0.96899999999999997</c:v>
                </c:pt>
                <c:pt idx="99">
                  <c:v>0.96899999999999997</c:v>
                </c:pt>
                <c:pt idx="100">
                  <c:v>0.96899999999999997</c:v>
                </c:pt>
                <c:pt idx="101">
                  <c:v>0.96899999999999997</c:v>
                </c:pt>
                <c:pt idx="102">
                  <c:v>0.96899999999999997</c:v>
                </c:pt>
                <c:pt idx="103">
                  <c:v>0.96899999999999997</c:v>
                </c:pt>
                <c:pt idx="104">
                  <c:v>0.96899999999999997</c:v>
                </c:pt>
                <c:pt idx="105">
                  <c:v>0.96899999999999997</c:v>
                </c:pt>
                <c:pt idx="106">
                  <c:v>0.96899999999999997</c:v>
                </c:pt>
                <c:pt idx="107">
                  <c:v>0.96899999999999997</c:v>
                </c:pt>
                <c:pt idx="108">
                  <c:v>0.96899999999999997</c:v>
                </c:pt>
                <c:pt idx="109">
                  <c:v>0.96899999999999997</c:v>
                </c:pt>
                <c:pt idx="110">
                  <c:v>0.96899999999999997</c:v>
                </c:pt>
                <c:pt idx="111">
                  <c:v>0.96899999999999997</c:v>
                </c:pt>
                <c:pt idx="112">
                  <c:v>0.96899999999999997</c:v>
                </c:pt>
                <c:pt idx="113">
                  <c:v>0.96899999999999997</c:v>
                </c:pt>
                <c:pt idx="114">
                  <c:v>0.96899999999999997</c:v>
                </c:pt>
                <c:pt idx="115">
                  <c:v>0.96899999999999997</c:v>
                </c:pt>
                <c:pt idx="116">
                  <c:v>0.96899999999999997</c:v>
                </c:pt>
                <c:pt idx="117">
                  <c:v>0.96899999999999997</c:v>
                </c:pt>
                <c:pt idx="118">
                  <c:v>0.96899999999999997</c:v>
                </c:pt>
                <c:pt idx="119">
                  <c:v>0.96899999999999997</c:v>
                </c:pt>
                <c:pt idx="120">
                  <c:v>0.96899999999999997</c:v>
                </c:pt>
                <c:pt idx="121">
                  <c:v>0.96899999999999997</c:v>
                </c:pt>
                <c:pt idx="122">
                  <c:v>0.96899999999999997</c:v>
                </c:pt>
                <c:pt idx="123">
                  <c:v>0.96899999999999997</c:v>
                </c:pt>
                <c:pt idx="124">
                  <c:v>0.96899999999999997</c:v>
                </c:pt>
                <c:pt idx="125">
                  <c:v>0.96899999999999997</c:v>
                </c:pt>
                <c:pt idx="126">
                  <c:v>0.96899999999999997</c:v>
                </c:pt>
                <c:pt idx="127">
                  <c:v>0.96899999999999997</c:v>
                </c:pt>
                <c:pt idx="128">
                  <c:v>0.96899999999999997</c:v>
                </c:pt>
                <c:pt idx="129">
                  <c:v>0.96899999999999997</c:v>
                </c:pt>
                <c:pt idx="130">
                  <c:v>0.96899999999999997</c:v>
                </c:pt>
                <c:pt idx="131">
                  <c:v>0.96899999999999997</c:v>
                </c:pt>
                <c:pt idx="132">
                  <c:v>0.96899999999999997</c:v>
                </c:pt>
                <c:pt idx="133">
                  <c:v>0.96899999999999997</c:v>
                </c:pt>
                <c:pt idx="134">
                  <c:v>0.96899999999999997</c:v>
                </c:pt>
                <c:pt idx="135">
                  <c:v>0.96899999999999997</c:v>
                </c:pt>
                <c:pt idx="136">
                  <c:v>0.96899999999999997</c:v>
                </c:pt>
                <c:pt idx="137">
                  <c:v>0.96899999999999997</c:v>
                </c:pt>
                <c:pt idx="138">
                  <c:v>0.96899999999999997</c:v>
                </c:pt>
                <c:pt idx="139">
                  <c:v>0.96899999999999997</c:v>
                </c:pt>
                <c:pt idx="140">
                  <c:v>0.96899999999999997</c:v>
                </c:pt>
                <c:pt idx="141">
                  <c:v>0.96899999999999997</c:v>
                </c:pt>
                <c:pt idx="142">
                  <c:v>0.96899999999999997</c:v>
                </c:pt>
                <c:pt idx="143">
                  <c:v>0.96899999999999997</c:v>
                </c:pt>
                <c:pt idx="144">
                  <c:v>0.96899999999999997</c:v>
                </c:pt>
                <c:pt idx="145">
                  <c:v>0.96899999999999997</c:v>
                </c:pt>
                <c:pt idx="146">
                  <c:v>0.96899999999999997</c:v>
                </c:pt>
                <c:pt idx="147">
                  <c:v>0.96899999999999997</c:v>
                </c:pt>
                <c:pt idx="148">
                  <c:v>0.96899999999999997</c:v>
                </c:pt>
                <c:pt idx="149">
                  <c:v>0.96899999999999997</c:v>
                </c:pt>
                <c:pt idx="150">
                  <c:v>0.96899999999999997</c:v>
                </c:pt>
                <c:pt idx="151">
                  <c:v>1.26</c:v>
                </c:pt>
                <c:pt idx="152">
                  <c:v>1.254</c:v>
                </c:pt>
                <c:pt idx="153">
                  <c:v>1.2490000000000001</c:v>
                </c:pt>
                <c:pt idx="154">
                  <c:v>1.2430000000000001</c:v>
                </c:pt>
                <c:pt idx="155">
                  <c:v>1.534</c:v>
                </c:pt>
                <c:pt idx="156">
                  <c:v>1.528</c:v>
                </c:pt>
                <c:pt idx="157">
                  <c:v>1.5229999999999999</c:v>
                </c:pt>
                <c:pt idx="158">
                  <c:v>1.5169999999999999</c:v>
                </c:pt>
                <c:pt idx="159">
                  <c:v>1.5109999999999999</c:v>
                </c:pt>
                <c:pt idx="160">
                  <c:v>1.802</c:v>
                </c:pt>
                <c:pt idx="161">
                  <c:v>1.798</c:v>
                </c:pt>
                <c:pt idx="162">
                  <c:v>1.7929999999999999</c:v>
                </c:pt>
                <c:pt idx="163">
                  <c:v>1.788</c:v>
                </c:pt>
                <c:pt idx="164">
                  <c:v>2.0790000000000002</c:v>
                </c:pt>
                <c:pt idx="165">
                  <c:v>2.0739999999999998</c:v>
                </c:pt>
                <c:pt idx="166">
                  <c:v>2.0699999999999998</c:v>
                </c:pt>
                <c:pt idx="167">
                  <c:v>2.0659999999999998</c:v>
                </c:pt>
                <c:pt idx="168">
                  <c:v>2.0630000000000002</c:v>
                </c:pt>
                <c:pt idx="169">
                  <c:v>2.0579999999999998</c:v>
                </c:pt>
                <c:pt idx="170">
                  <c:v>2.0529999999999999</c:v>
                </c:pt>
                <c:pt idx="171">
                  <c:v>2.0489999999999999</c:v>
                </c:pt>
                <c:pt idx="172">
                  <c:v>2.0489999999999999</c:v>
                </c:pt>
                <c:pt idx="173">
                  <c:v>2.0489999999999999</c:v>
                </c:pt>
                <c:pt idx="174">
                  <c:v>2.0489999999999999</c:v>
                </c:pt>
                <c:pt idx="175">
                  <c:v>2.0489999999999999</c:v>
                </c:pt>
                <c:pt idx="176">
                  <c:v>2.0489999999999999</c:v>
                </c:pt>
                <c:pt idx="177">
                  <c:v>2.0489999999999999</c:v>
                </c:pt>
                <c:pt idx="178">
                  <c:v>2.0489999999999999</c:v>
                </c:pt>
                <c:pt idx="179">
                  <c:v>2.0489999999999999</c:v>
                </c:pt>
                <c:pt idx="180">
                  <c:v>2.0489999999999999</c:v>
                </c:pt>
                <c:pt idx="181">
                  <c:v>2.0489999999999999</c:v>
                </c:pt>
                <c:pt idx="182">
                  <c:v>2.0489999999999999</c:v>
                </c:pt>
                <c:pt idx="183">
                  <c:v>2.0489999999999999</c:v>
                </c:pt>
                <c:pt idx="184">
                  <c:v>2.0489999999999999</c:v>
                </c:pt>
                <c:pt idx="185">
                  <c:v>2.0489999999999999</c:v>
                </c:pt>
                <c:pt idx="186">
                  <c:v>2.0489999999999999</c:v>
                </c:pt>
                <c:pt idx="187">
                  <c:v>2.0489999999999999</c:v>
                </c:pt>
                <c:pt idx="188">
                  <c:v>2.0489999999999999</c:v>
                </c:pt>
                <c:pt idx="189">
                  <c:v>2.0489999999999999</c:v>
                </c:pt>
                <c:pt idx="190">
                  <c:v>2.0489999999999999</c:v>
                </c:pt>
                <c:pt idx="191">
                  <c:v>2.0489999999999999</c:v>
                </c:pt>
                <c:pt idx="192">
                  <c:v>2.0489999999999999</c:v>
                </c:pt>
                <c:pt idx="193">
                  <c:v>2.0489999999999999</c:v>
                </c:pt>
                <c:pt idx="194">
                  <c:v>2.0489999999999999</c:v>
                </c:pt>
                <c:pt idx="195">
                  <c:v>2.0489999999999999</c:v>
                </c:pt>
                <c:pt idx="196">
                  <c:v>2.0489999999999999</c:v>
                </c:pt>
                <c:pt idx="197">
                  <c:v>2.0489999999999999</c:v>
                </c:pt>
                <c:pt idx="198">
                  <c:v>2.0489999999999999</c:v>
                </c:pt>
                <c:pt idx="199">
                  <c:v>2.0489999999999999</c:v>
                </c:pt>
                <c:pt idx="200">
                  <c:v>2.0489999999999999</c:v>
                </c:pt>
                <c:pt idx="201">
                  <c:v>2.0489999999999999</c:v>
                </c:pt>
                <c:pt idx="202">
                  <c:v>2.0489999999999999</c:v>
                </c:pt>
                <c:pt idx="203">
                  <c:v>2.0489999999999999</c:v>
                </c:pt>
                <c:pt idx="204">
                  <c:v>2.0489999999999999</c:v>
                </c:pt>
                <c:pt idx="205">
                  <c:v>2.0489999999999999</c:v>
                </c:pt>
                <c:pt idx="206">
                  <c:v>2.0489999999999999</c:v>
                </c:pt>
                <c:pt idx="207">
                  <c:v>2.0489999999999999</c:v>
                </c:pt>
                <c:pt idx="208">
                  <c:v>2.0489999999999999</c:v>
                </c:pt>
                <c:pt idx="209">
                  <c:v>2.0489999999999999</c:v>
                </c:pt>
                <c:pt idx="210">
                  <c:v>2.0489999999999999</c:v>
                </c:pt>
                <c:pt idx="211">
                  <c:v>2.0489999999999999</c:v>
                </c:pt>
                <c:pt idx="212">
                  <c:v>2.0489999999999999</c:v>
                </c:pt>
                <c:pt idx="213">
                  <c:v>2.0489999999999999</c:v>
                </c:pt>
                <c:pt idx="214">
                  <c:v>2.0489999999999999</c:v>
                </c:pt>
                <c:pt idx="215">
                  <c:v>2.0489999999999999</c:v>
                </c:pt>
                <c:pt idx="216">
                  <c:v>2.0489999999999999</c:v>
                </c:pt>
                <c:pt idx="217">
                  <c:v>2.0489999999999999</c:v>
                </c:pt>
                <c:pt idx="218">
                  <c:v>2.0489999999999999</c:v>
                </c:pt>
                <c:pt idx="219">
                  <c:v>2.0489999999999999</c:v>
                </c:pt>
                <c:pt idx="220">
                  <c:v>2.0489999999999999</c:v>
                </c:pt>
                <c:pt idx="221">
                  <c:v>2.0489999999999999</c:v>
                </c:pt>
                <c:pt idx="222">
                  <c:v>2.0489999999999999</c:v>
                </c:pt>
                <c:pt idx="223">
                  <c:v>2.0489999999999999</c:v>
                </c:pt>
                <c:pt idx="224">
                  <c:v>2.0489999999999999</c:v>
                </c:pt>
                <c:pt idx="225">
                  <c:v>2.0489999999999999</c:v>
                </c:pt>
                <c:pt idx="226">
                  <c:v>2.0489999999999999</c:v>
                </c:pt>
                <c:pt idx="227">
                  <c:v>2.0489999999999999</c:v>
                </c:pt>
                <c:pt idx="228">
                  <c:v>2.0489999999999999</c:v>
                </c:pt>
                <c:pt idx="229">
                  <c:v>2.0489999999999999</c:v>
                </c:pt>
                <c:pt idx="230">
                  <c:v>2.0489999999999999</c:v>
                </c:pt>
                <c:pt idx="231">
                  <c:v>2.0489999999999999</c:v>
                </c:pt>
                <c:pt idx="232">
                  <c:v>2.0489999999999999</c:v>
                </c:pt>
                <c:pt idx="233">
                  <c:v>2.0489999999999999</c:v>
                </c:pt>
                <c:pt idx="234">
                  <c:v>2.0489999999999999</c:v>
                </c:pt>
                <c:pt idx="235">
                  <c:v>2.0489999999999999</c:v>
                </c:pt>
                <c:pt idx="236">
                  <c:v>2.0489999999999999</c:v>
                </c:pt>
                <c:pt idx="237">
                  <c:v>2.0489999999999999</c:v>
                </c:pt>
                <c:pt idx="238">
                  <c:v>2.0489999999999999</c:v>
                </c:pt>
                <c:pt idx="239">
                  <c:v>2.0489999999999999</c:v>
                </c:pt>
                <c:pt idx="240">
                  <c:v>2.0489999999999999</c:v>
                </c:pt>
                <c:pt idx="241">
                  <c:v>2.0489999999999999</c:v>
                </c:pt>
                <c:pt idx="242">
                  <c:v>2.0489999999999999</c:v>
                </c:pt>
                <c:pt idx="243">
                  <c:v>2.0489999999999999</c:v>
                </c:pt>
                <c:pt idx="244">
                  <c:v>2.0489999999999999</c:v>
                </c:pt>
                <c:pt idx="245">
                  <c:v>2.0489999999999999</c:v>
                </c:pt>
                <c:pt idx="246">
                  <c:v>2.0489999999999999</c:v>
                </c:pt>
                <c:pt idx="247">
                  <c:v>2.0489999999999999</c:v>
                </c:pt>
                <c:pt idx="248">
                  <c:v>2.0489999999999999</c:v>
                </c:pt>
                <c:pt idx="249">
                  <c:v>2.0489999999999999</c:v>
                </c:pt>
                <c:pt idx="250">
                  <c:v>2.0489999999999999</c:v>
                </c:pt>
                <c:pt idx="251">
                  <c:v>2.0489999999999999</c:v>
                </c:pt>
                <c:pt idx="252">
                  <c:v>2.0489999999999999</c:v>
                </c:pt>
                <c:pt idx="253">
                  <c:v>2.0489999999999999</c:v>
                </c:pt>
                <c:pt idx="254">
                  <c:v>2.0489999999999999</c:v>
                </c:pt>
                <c:pt idx="255">
                  <c:v>2.0489999999999999</c:v>
                </c:pt>
                <c:pt idx="256">
                  <c:v>2.0489999999999999</c:v>
                </c:pt>
                <c:pt idx="257">
                  <c:v>2.0489999999999999</c:v>
                </c:pt>
                <c:pt idx="258">
                  <c:v>2.0489999999999999</c:v>
                </c:pt>
                <c:pt idx="259">
                  <c:v>2.0489999999999999</c:v>
                </c:pt>
                <c:pt idx="260">
                  <c:v>2.0489999999999999</c:v>
                </c:pt>
                <c:pt idx="261">
                  <c:v>2.0489999999999999</c:v>
                </c:pt>
                <c:pt idx="262">
                  <c:v>2.0489999999999999</c:v>
                </c:pt>
                <c:pt idx="263">
                  <c:v>2.0489999999999999</c:v>
                </c:pt>
                <c:pt idx="264">
                  <c:v>2.0489999999999999</c:v>
                </c:pt>
                <c:pt idx="265">
                  <c:v>2.0489999999999999</c:v>
                </c:pt>
                <c:pt idx="266">
                  <c:v>2.0489999999999999</c:v>
                </c:pt>
                <c:pt idx="267">
                  <c:v>2.0489999999999999</c:v>
                </c:pt>
                <c:pt idx="268">
                  <c:v>2.0489999999999999</c:v>
                </c:pt>
                <c:pt idx="269">
                  <c:v>2.0489999999999999</c:v>
                </c:pt>
                <c:pt idx="270">
                  <c:v>2.0489999999999999</c:v>
                </c:pt>
                <c:pt idx="271">
                  <c:v>2.0489999999999999</c:v>
                </c:pt>
                <c:pt idx="272">
                  <c:v>2.0489999999999999</c:v>
                </c:pt>
                <c:pt idx="273">
                  <c:v>2.0489999999999999</c:v>
                </c:pt>
                <c:pt idx="274">
                  <c:v>2.0489999999999999</c:v>
                </c:pt>
                <c:pt idx="275">
                  <c:v>2.0489999999999999</c:v>
                </c:pt>
                <c:pt idx="276">
                  <c:v>2.0489999999999999</c:v>
                </c:pt>
                <c:pt idx="277">
                  <c:v>2.0489999999999999</c:v>
                </c:pt>
                <c:pt idx="278">
                  <c:v>2.0489999999999999</c:v>
                </c:pt>
                <c:pt idx="279">
                  <c:v>2.0489999999999999</c:v>
                </c:pt>
                <c:pt idx="280">
                  <c:v>2.0489999999999999</c:v>
                </c:pt>
                <c:pt idx="281">
                  <c:v>2.0489999999999999</c:v>
                </c:pt>
                <c:pt idx="282">
                  <c:v>2.0489999999999999</c:v>
                </c:pt>
                <c:pt idx="283">
                  <c:v>2.0489999999999999</c:v>
                </c:pt>
                <c:pt idx="284">
                  <c:v>2.0489999999999999</c:v>
                </c:pt>
                <c:pt idx="285">
                  <c:v>2.0489999999999999</c:v>
                </c:pt>
                <c:pt idx="286">
                  <c:v>2.0489999999999999</c:v>
                </c:pt>
                <c:pt idx="287">
                  <c:v>2.0489999999999999</c:v>
                </c:pt>
                <c:pt idx="288">
                  <c:v>2.0489999999999999</c:v>
                </c:pt>
                <c:pt idx="289">
                  <c:v>2.0489999999999999</c:v>
                </c:pt>
                <c:pt idx="290">
                  <c:v>2.0489999999999999</c:v>
                </c:pt>
                <c:pt idx="291">
                  <c:v>2.0489999999999999</c:v>
                </c:pt>
                <c:pt idx="292">
                  <c:v>2.0489999999999999</c:v>
                </c:pt>
                <c:pt idx="293">
                  <c:v>2.0489999999999999</c:v>
                </c:pt>
                <c:pt idx="294">
                  <c:v>2.0489999999999999</c:v>
                </c:pt>
                <c:pt idx="295">
                  <c:v>2.0489999999999999</c:v>
                </c:pt>
                <c:pt idx="296">
                  <c:v>2.0489999999999999</c:v>
                </c:pt>
                <c:pt idx="297">
                  <c:v>2.0489999999999999</c:v>
                </c:pt>
                <c:pt idx="298">
                  <c:v>2.0489999999999999</c:v>
                </c:pt>
                <c:pt idx="299">
                  <c:v>2.0489999999999999</c:v>
                </c:pt>
                <c:pt idx="300">
                  <c:v>2.0489999999999999</c:v>
                </c:pt>
                <c:pt idx="301">
                  <c:v>2.0489999999999999</c:v>
                </c:pt>
                <c:pt idx="302">
                  <c:v>2.0489999999999999</c:v>
                </c:pt>
                <c:pt idx="303">
                  <c:v>2.0489999999999999</c:v>
                </c:pt>
                <c:pt idx="304">
                  <c:v>2.0489999999999999</c:v>
                </c:pt>
                <c:pt idx="305">
                  <c:v>2.0489999999999999</c:v>
                </c:pt>
                <c:pt idx="306">
                  <c:v>2.0489999999999999</c:v>
                </c:pt>
                <c:pt idx="307">
                  <c:v>2.0489999999999999</c:v>
                </c:pt>
                <c:pt idx="308">
                  <c:v>2.0489999999999999</c:v>
                </c:pt>
                <c:pt idx="309">
                  <c:v>2.0489999999999999</c:v>
                </c:pt>
                <c:pt idx="310">
                  <c:v>2.0489999999999999</c:v>
                </c:pt>
                <c:pt idx="311">
                  <c:v>2.0489999999999999</c:v>
                </c:pt>
                <c:pt idx="312">
                  <c:v>2.0489999999999999</c:v>
                </c:pt>
                <c:pt idx="313">
                  <c:v>2.0489999999999999</c:v>
                </c:pt>
                <c:pt idx="314">
                  <c:v>2.0489999999999999</c:v>
                </c:pt>
                <c:pt idx="315">
                  <c:v>2.0489999999999999</c:v>
                </c:pt>
                <c:pt idx="316">
                  <c:v>2.0489999999999999</c:v>
                </c:pt>
                <c:pt idx="317">
                  <c:v>2.0489999999999999</c:v>
                </c:pt>
                <c:pt idx="318">
                  <c:v>2.0489999999999999</c:v>
                </c:pt>
                <c:pt idx="319">
                  <c:v>2.0489999999999999</c:v>
                </c:pt>
                <c:pt idx="320">
                  <c:v>2.0489999999999999</c:v>
                </c:pt>
                <c:pt idx="321">
                  <c:v>2.0489999999999999</c:v>
                </c:pt>
                <c:pt idx="322">
                  <c:v>2.0489999999999999</c:v>
                </c:pt>
                <c:pt idx="323">
                  <c:v>2.0489999999999999</c:v>
                </c:pt>
                <c:pt idx="324">
                  <c:v>2.0489999999999999</c:v>
                </c:pt>
                <c:pt idx="325">
                  <c:v>2.0489999999999999</c:v>
                </c:pt>
                <c:pt idx="326">
                  <c:v>2.0489999999999999</c:v>
                </c:pt>
                <c:pt idx="327">
                  <c:v>2.0489999999999999</c:v>
                </c:pt>
                <c:pt idx="328">
                  <c:v>2.0489999999999999</c:v>
                </c:pt>
                <c:pt idx="329">
                  <c:v>2.0489999999999999</c:v>
                </c:pt>
                <c:pt idx="330">
                  <c:v>2.0489999999999999</c:v>
                </c:pt>
                <c:pt idx="331">
                  <c:v>2.0489999999999999</c:v>
                </c:pt>
                <c:pt idx="332">
                  <c:v>2.0489999999999999</c:v>
                </c:pt>
                <c:pt idx="333">
                  <c:v>2.0489999999999999</c:v>
                </c:pt>
                <c:pt idx="334">
                  <c:v>2.0489999999999999</c:v>
                </c:pt>
                <c:pt idx="335">
                  <c:v>2.0489999999999999</c:v>
                </c:pt>
                <c:pt idx="336">
                  <c:v>2.0489999999999999</c:v>
                </c:pt>
                <c:pt idx="337">
                  <c:v>2.0489999999999999</c:v>
                </c:pt>
                <c:pt idx="338">
                  <c:v>2.0489999999999999</c:v>
                </c:pt>
                <c:pt idx="339">
                  <c:v>2.0489999999999999</c:v>
                </c:pt>
                <c:pt idx="340">
                  <c:v>2.0489999999999999</c:v>
                </c:pt>
                <c:pt idx="341">
                  <c:v>2.0489999999999999</c:v>
                </c:pt>
                <c:pt idx="342">
                  <c:v>2.0489999999999999</c:v>
                </c:pt>
                <c:pt idx="343">
                  <c:v>2.0489999999999999</c:v>
                </c:pt>
                <c:pt idx="344">
                  <c:v>2.0489999999999999</c:v>
                </c:pt>
                <c:pt idx="345">
                  <c:v>2.0489999999999999</c:v>
                </c:pt>
                <c:pt idx="346">
                  <c:v>2.0489999999999999</c:v>
                </c:pt>
                <c:pt idx="347">
                  <c:v>2.0489999999999999</c:v>
                </c:pt>
                <c:pt idx="348">
                  <c:v>2.0489999999999999</c:v>
                </c:pt>
                <c:pt idx="349">
                  <c:v>2.0489999999999999</c:v>
                </c:pt>
                <c:pt idx="350">
                  <c:v>2.0489999999999999</c:v>
                </c:pt>
                <c:pt idx="351">
                  <c:v>2.0489999999999999</c:v>
                </c:pt>
                <c:pt idx="352">
                  <c:v>2.0489999999999999</c:v>
                </c:pt>
                <c:pt idx="353">
                  <c:v>2.0489999999999999</c:v>
                </c:pt>
                <c:pt idx="354">
                  <c:v>2.0489999999999999</c:v>
                </c:pt>
                <c:pt idx="355">
                  <c:v>2.0489999999999999</c:v>
                </c:pt>
                <c:pt idx="356">
                  <c:v>2.0489999999999999</c:v>
                </c:pt>
                <c:pt idx="357">
                  <c:v>2.0489999999999999</c:v>
                </c:pt>
                <c:pt idx="358">
                  <c:v>2.0489999999999999</c:v>
                </c:pt>
                <c:pt idx="359">
                  <c:v>2.0489999999999999</c:v>
                </c:pt>
                <c:pt idx="360">
                  <c:v>2.0489999999999999</c:v>
                </c:pt>
                <c:pt idx="361">
                  <c:v>2.0489999999999999</c:v>
                </c:pt>
                <c:pt idx="362">
                  <c:v>2.0489999999999999</c:v>
                </c:pt>
                <c:pt idx="363">
                  <c:v>2.0489999999999999</c:v>
                </c:pt>
                <c:pt idx="364">
                  <c:v>2.0489999999999999</c:v>
                </c:pt>
                <c:pt idx="365">
                  <c:v>2.0489999999999999</c:v>
                </c:pt>
                <c:pt idx="366">
                  <c:v>2.0489999999999999</c:v>
                </c:pt>
                <c:pt idx="367">
                  <c:v>2.0489999999999999</c:v>
                </c:pt>
                <c:pt idx="368">
                  <c:v>2.0489999999999999</c:v>
                </c:pt>
                <c:pt idx="369">
                  <c:v>2.0489999999999999</c:v>
                </c:pt>
                <c:pt idx="370">
                  <c:v>2.0489999999999999</c:v>
                </c:pt>
                <c:pt idx="371">
                  <c:v>2.0489999999999999</c:v>
                </c:pt>
                <c:pt idx="372">
                  <c:v>2.0489999999999999</c:v>
                </c:pt>
                <c:pt idx="373">
                  <c:v>2.0489999999999999</c:v>
                </c:pt>
                <c:pt idx="374">
                  <c:v>2.0489999999999999</c:v>
                </c:pt>
                <c:pt idx="375">
                  <c:v>2.0489999999999999</c:v>
                </c:pt>
                <c:pt idx="376">
                  <c:v>2.0489999999999999</c:v>
                </c:pt>
                <c:pt idx="377">
                  <c:v>2.0489999999999999</c:v>
                </c:pt>
                <c:pt idx="378">
                  <c:v>2.0489999999999999</c:v>
                </c:pt>
                <c:pt idx="379">
                  <c:v>2.0489999999999999</c:v>
                </c:pt>
                <c:pt idx="380">
                  <c:v>2.0489999999999999</c:v>
                </c:pt>
                <c:pt idx="381">
                  <c:v>2.0489999999999999</c:v>
                </c:pt>
                <c:pt idx="382">
                  <c:v>2.0489999999999999</c:v>
                </c:pt>
                <c:pt idx="383">
                  <c:v>2.0489999999999999</c:v>
                </c:pt>
                <c:pt idx="384">
                  <c:v>2.0489999999999999</c:v>
                </c:pt>
                <c:pt idx="385">
                  <c:v>2.0489999999999999</c:v>
                </c:pt>
                <c:pt idx="386">
                  <c:v>2.3290000000000002</c:v>
                </c:pt>
                <c:pt idx="387">
                  <c:v>2.319</c:v>
                </c:pt>
                <c:pt idx="388">
                  <c:v>2.3130000000000002</c:v>
                </c:pt>
                <c:pt idx="389">
                  <c:v>2.3050000000000002</c:v>
                </c:pt>
                <c:pt idx="390">
                  <c:v>2.2970000000000002</c:v>
                </c:pt>
                <c:pt idx="391">
                  <c:v>2.5870000000000002</c:v>
                </c:pt>
                <c:pt idx="392">
                  <c:v>2.5779999999999998</c:v>
                </c:pt>
                <c:pt idx="393">
                  <c:v>2.569</c:v>
                </c:pt>
                <c:pt idx="394">
                  <c:v>2.56</c:v>
                </c:pt>
                <c:pt idx="395">
                  <c:v>2.552</c:v>
                </c:pt>
                <c:pt idx="396">
                  <c:v>2.8420000000000001</c:v>
                </c:pt>
                <c:pt idx="397">
                  <c:v>2.8330000000000002</c:v>
                </c:pt>
                <c:pt idx="398">
                  <c:v>2.8250000000000002</c:v>
                </c:pt>
                <c:pt idx="399">
                  <c:v>2.8159999999999998</c:v>
                </c:pt>
                <c:pt idx="400">
                  <c:v>2.8079999999999998</c:v>
                </c:pt>
                <c:pt idx="401">
                  <c:v>3.0979999999999999</c:v>
                </c:pt>
                <c:pt idx="402">
                  <c:v>3.09</c:v>
                </c:pt>
                <c:pt idx="403">
                  <c:v>3.081</c:v>
                </c:pt>
                <c:pt idx="404">
                  <c:v>3.073</c:v>
                </c:pt>
                <c:pt idx="405">
                  <c:v>3.0659999999999998</c:v>
                </c:pt>
                <c:pt idx="406">
                  <c:v>3.3570000000000002</c:v>
                </c:pt>
                <c:pt idx="407">
                  <c:v>3.3490000000000002</c:v>
                </c:pt>
                <c:pt idx="408">
                  <c:v>3.34</c:v>
                </c:pt>
                <c:pt idx="409">
                  <c:v>3.3319999999999999</c:v>
                </c:pt>
                <c:pt idx="410">
                  <c:v>3.3250000000000002</c:v>
                </c:pt>
                <c:pt idx="411">
                  <c:v>3.3159999999999998</c:v>
                </c:pt>
                <c:pt idx="412">
                  <c:v>3.3079999999999998</c:v>
                </c:pt>
                <c:pt idx="413">
                  <c:v>3.3010000000000002</c:v>
                </c:pt>
                <c:pt idx="414">
                  <c:v>3.2919999999999998</c:v>
                </c:pt>
                <c:pt idx="415">
                  <c:v>3.2839999999999998</c:v>
                </c:pt>
                <c:pt idx="416">
                  <c:v>3.2749999999999999</c:v>
                </c:pt>
                <c:pt idx="417">
                  <c:v>3.2669999999999999</c:v>
                </c:pt>
                <c:pt idx="418">
                  <c:v>3.2589999999999999</c:v>
                </c:pt>
                <c:pt idx="419">
                  <c:v>3.25</c:v>
                </c:pt>
                <c:pt idx="420">
                  <c:v>3.242</c:v>
                </c:pt>
                <c:pt idx="421">
                  <c:v>3.2349999999999999</c:v>
                </c:pt>
                <c:pt idx="422">
                  <c:v>3.226</c:v>
                </c:pt>
                <c:pt idx="423">
                  <c:v>3.218</c:v>
                </c:pt>
                <c:pt idx="424">
                  <c:v>3.2109999999999999</c:v>
                </c:pt>
                <c:pt idx="425">
                  <c:v>3.202</c:v>
                </c:pt>
                <c:pt idx="426">
                  <c:v>3.194</c:v>
                </c:pt>
                <c:pt idx="427">
                  <c:v>3.1850000000000001</c:v>
                </c:pt>
                <c:pt idx="428">
                  <c:v>3.177</c:v>
                </c:pt>
                <c:pt idx="429">
                  <c:v>3.17</c:v>
                </c:pt>
                <c:pt idx="430">
                  <c:v>3.1619999999999999</c:v>
                </c:pt>
                <c:pt idx="431">
                  <c:v>3.153</c:v>
                </c:pt>
                <c:pt idx="432">
                  <c:v>3.145</c:v>
                </c:pt>
                <c:pt idx="433">
                  <c:v>3.1379999999999999</c:v>
                </c:pt>
                <c:pt idx="434">
                  <c:v>3.129</c:v>
                </c:pt>
                <c:pt idx="435">
                  <c:v>3.121</c:v>
                </c:pt>
                <c:pt idx="436">
                  <c:v>3.1139999999999999</c:v>
                </c:pt>
                <c:pt idx="437">
                  <c:v>3.105</c:v>
                </c:pt>
                <c:pt idx="438">
                  <c:v>3.097</c:v>
                </c:pt>
                <c:pt idx="439">
                  <c:v>3.0880000000000001</c:v>
                </c:pt>
                <c:pt idx="440">
                  <c:v>3.08</c:v>
                </c:pt>
                <c:pt idx="441">
                  <c:v>3.073</c:v>
                </c:pt>
                <c:pt idx="442">
                  <c:v>3.0659999999999998</c:v>
                </c:pt>
                <c:pt idx="443">
                  <c:v>3.0590000000000002</c:v>
                </c:pt>
                <c:pt idx="444">
                  <c:v>3.0539999999999998</c:v>
                </c:pt>
                <c:pt idx="445">
                  <c:v>3.0489999999999999</c:v>
                </c:pt>
                <c:pt idx="446">
                  <c:v>3.0449999999999999</c:v>
                </c:pt>
                <c:pt idx="447">
                  <c:v>3.0419999999999998</c:v>
                </c:pt>
                <c:pt idx="448">
                  <c:v>3.04</c:v>
                </c:pt>
                <c:pt idx="449">
                  <c:v>3.036</c:v>
                </c:pt>
                <c:pt idx="450">
                  <c:v>3.0329999999999999</c:v>
                </c:pt>
                <c:pt idx="451">
                  <c:v>3.0259999999999998</c:v>
                </c:pt>
                <c:pt idx="452">
                  <c:v>3.0209999999999999</c:v>
                </c:pt>
                <c:pt idx="453">
                  <c:v>3.016</c:v>
                </c:pt>
                <c:pt idx="454">
                  <c:v>3.012</c:v>
                </c:pt>
                <c:pt idx="455">
                  <c:v>3.0089999999999999</c:v>
                </c:pt>
                <c:pt idx="456">
                  <c:v>3.0070000000000001</c:v>
                </c:pt>
                <c:pt idx="457">
                  <c:v>3.0059999999999998</c:v>
                </c:pt>
                <c:pt idx="458">
                  <c:v>3.004</c:v>
                </c:pt>
                <c:pt idx="459">
                  <c:v>3.0019999999999998</c:v>
                </c:pt>
                <c:pt idx="460">
                  <c:v>3</c:v>
                </c:pt>
                <c:pt idx="461">
                  <c:v>2.9980000000000002</c:v>
                </c:pt>
                <c:pt idx="462">
                  <c:v>2.9950000000000001</c:v>
                </c:pt>
                <c:pt idx="463">
                  <c:v>2.9929999999999999</c:v>
                </c:pt>
                <c:pt idx="464">
                  <c:v>2.99</c:v>
                </c:pt>
                <c:pt idx="465">
                  <c:v>2.988</c:v>
                </c:pt>
                <c:pt idx="466">
                  <c:v>2.9870000000000001</c:v>
                </c:pt>
                <c:pt idx="467">
                  <c:v>2.9849999999999999</c:v>
                </c:pt>
                <c:pt idx="468">
                  <c:v>2.9830000000000001</c:v>
                </c:pt>
                <c:pt idx="469">
                  <c:v>2.9809999999999999</c:v>
                </c:pt>
                <c:pt idx="470">
                  <c:v>2.976</c:v>
                </c:pt>
                <c:pt idx="471">
                  <c:v>2.9710000000000001</c:v>
                </c:pt>
                <c:pt idx="472">
                  <c:v>2.9670000000000001</c:v>
                </c:pt>
                <c:pt idx="473">
                  <c:v>2.964</c:v>
                </c:pt>
                <c:pt idx="474">
                  <c:v>2.9620000000000002</c:v>
                </c:pt>
                <c:pt idx="475">
                  <c:v>2.9580000000000002</c:v>
                </c:pt>
                <c:pt idx="476">
                  <c:v>2.9550000000000001</c:v>
                </c:pt>
                <c:pt idx="477">
                  <c:v>2.948</c:v>
                </c:pt>
                <c:pt idx="478">
                  <c:v>2.9430000000000001</c:v>
                </c:pt>
                <c:pt idx="479">
                  <c:v>2.9350000000000001</c:v>
                </c:pt>
                <c:pt idx="480">
                  <c:v>2.9260000000000002</c:v>
                </c:pt>
                <c:pt idx="481">
                  <c:v>2.92</c:v>
                </c:pt>
                <c:pt idx="482">
                  <c:v>2.9159999999999999</c:v>
                </c:pt>
                <c:pt idx="483">
                  <c:v>2.9129999999999998</c:v>
                </c:pt>
                <c:pt idx="484">
                  <c:v>2.9079999999999999</c:v>
                </c:pt>
                <c:pt idx="485">
                  <c:v>2.903</c:v>
                </c:pt>
                <c:pt idx="486">
                  <c:v>2.8929999999999998</c:v>
                </c:pt>
                <c:pt idx="487">
                  <c:v>3.1859999999999999</c:v>
                </c:pt>
                <c:pt idx="488">
                  <c:v>3.18</c:v>
                </c:pt>
                <c:pt idx="489">
                  <c:v>3.17</c:v>
                </c:pt>
                <c:pt idx="490">
                  <c:v>3.4630000000000001</c:v>
                </c:pt>
                <c:pt idx="491">
                  <c:v>3.4529999999999998</c:v>
                </c:pt>
                <c:pt idx="492">
                  <c:v>3.4430000000000001</c:v>
                </c:pt>
                <c:pt idx="493">
                  <c:v>3.7330000000000001</c:v>
                </c:pt>
                <c:pt idx="494">
                  <c:v>3.726</c:v>
                </c:pt>
                <c:pt idx="495">
                  <c:v>3.718</c:v>
                </c:pt>
                <c:pt idx="496">
                  <c:v>4.0119999999999996</c:v>
                </c:pt>
                <c:pt idx="497">
                  <c:v>4.0019999999999998</c:v>
                </c:pt>
                <c:pt idx="498">
                  <c:v>3.992</c:v>
                </c:pt>
                <c:pt idx="499">
                  <c:v>4.282</c:v>
                </c:pt>
                <c:pt idx="500">
                  <c:v>4.2720000000000002</c:v>
                </c:pt>
                <c:pt idx="501">
                  <c:v>4.2619999999999996</c:v>
                </c:pt>
                <c:pt idx="502">
                  <c:v>4.5519999999999996</c:v>
                </c:pt>
                <c:pt idx="503">
                  <c:v>4.5419999999999998</c:v>
                </c:pt>
                <c:pt idx="504">
                  <c:v>4.532</c:v>
                </c:pt>
                <c:pt idx="505">
                  <c:v>4.5220000000000002</c:v>
                </c:pt>
                <c:pt idx="506">
                  <c:v>4.8120000000000003</c:v>
                </c:pt>
                <c:pt idx="507">
                  <c:v>4.782</c:v>
                </c:pt>
                <c:pt idx="508">
                  <c:v>4.7460000000000004</c:v>
                </c:pt>
                <c:pt idx="509">
                  <c:v>4.72</c:v>
                </c:pt>
                <c:pt idx="510">
                  <c:v>4.6900000000000004</c:v>
                </c:pt>
                <c:pt idx="511">
                  <c:v>4.67</c:v>
                </c:pt>
                <c:pt idx="512">
                  <c:v>4.6420000000000003</c:v>
                </c:pt>
                <c:pt idx="513">
                  <c:v>4.6260000000000003</c:v>
                </c:pt>
                <c:pt idx="514">
                  <c:v>4.601</c:v>
                </c:pt>
                <c:pt idx="515">
                  <c:v>4.5659999999999998</c:v>
                </c:pt>
                <c:pt idx="516">
                  <c:v>4.5380000000000003</c:v>
                </c:pt>
                <c:pt idx="517">
                  <c:v>4.5140000000000002</c:v>
                </c:pt>
                <c:pt idx="518">
                  <c:v>4.492</c:v>
                </c:pt>
                <c:pt idx="519">
                  <c:v>4.47</c:v>
                </c:pt>
                <c:pt idx="520">
                  <c:v>4.4489999999999998</c:v>
                </c:pt>
                <c:pt idx="521">
                  <c:v>4.4290000000000003</c:v>
                </c:pt>
                <c:pt idx="522">
                  <c:v>4.415</c:v>
                </c:pt>
                <c:pt idx="523">
                  <c:v>4.4050000000000002</c:v>
                </c:pt>
                <c:pt idx="524">
                  <c:v>4.3949999999999996</c:v>
                </c:pt>
                <c:pt idx="525">
                  <c:v>4.3860000000000001</c:v>
                </c:pt>
                <c:pt idx="526">
                  <c:v>4.3780000000000001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4F-41A4-A0AC-3F4E56DB36B6}"/>
            </c:ext>
          </c:extLst>
        </c:ser>
        <c:ser>
          <c:idx val="4"/>
          <c:order val="4"/>
          <c:tx>
            <c:strRef>
              <c:f>'SL.115+260'!$E$12:$E$13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'SL.115+260'!$A$14:$A$700</c:f>
              <c:numCache>
                <c:formatCode>dd/mm/yyyy;@</c:formatCode>
                <c:ptCount val="68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'SL.115+260'!$D$14:$D$700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0.29099999999999998</c:v>
                </c:pt>
                <c:pt idx="18">
                  <c:v>0.29099999999999998</c:v>
                </c:pt>
                <c:pt idx="19">
                  <c:v>0.29099999999999998</c:v>
                </c:pt>
                <c:pt idx="20">
                  <c:v>0.29099999999999998</c:v>
                </c:pt>
                <c:pt idx="21">
                  <c:v>0.63200000000000001</c:v>
                </c:pt>
                <c:pt idx="22">
                  <c:v>0.63200000000000001</c:v>
                </c:pt>
                <c:pt idx="23">
                  <c:v>0.63200000000000001</c:v>
                </c:pt>
                <c:pt idx="24">
                  <c:v>0.63200000000000001</c:v>
                </c:pt>
                <c:pt idx="25">
                  <c:v>0.82299999999999995</c:v>
                </c:pt>
                <c:pt idx="26">
                  <c:v>0.82299999999999995</c:v>
                </c:pt>
                <c:pt idx="27">
                  <c:v>0.82299999999999995</c:v>
                </c:pt>
                <c:pt idx="28">
                  <c:v>0.82299999999999995</c:v>
                </c:pt>
                <c:pt idx="29">
                  <c:v>1.0149999999999999</c:v>
                </c:pt>
                <c:pt idx="30">
                  <c:v>1.0149999999999999</c:v>
                </c:pt>
                <c:pt idx="31">
                  <c:v>1.0149999999999999</c:v>
                </c:pt>
                <c:pt idx="32">
                  <c:v>1.0149999999999999</c:v>
                </c:pt>
                <c:pt idx="33">
                  <c:v>1.3059999999999998</c:v>
                </c:pt>
                <c:pt idx="34">
                  <c:v>1.3059999999999998</c:v>
                </c:pt>
                <c:pt idx="35">
                  <c:v>1.3059999999999998</c:v>
                </c:pt>
                <c:pt idx="36">
                  <c:v>1.3059999999999998</c:v>
                </c:pt>
                <c:pt idx="37">
                  <c:v>1.3059999999999998</c:v>
                </c:pt>
                <c:pt idx="38">
                  <c:v>1.3059999999999998</c:v>
                </c:pt>
                <c:pt idx="39">
                  <c:v>1.3059999999999998</c:v>
                </c:pt>
                <c:pt idx="40">
                  <c:v>1.3059999999999998</c:v>
                </c:pt>
                <c:pt idx="41">
                  <c:v>1.3059999999999998</c:v>
                </c:pt>
                <c:pt idx="42">
                  <c:v>1.3059999999999998</c:v>
                </c:pt>
                <c:pt idx="43">
                  <c:v>1.3059999999999998</c:v>
                </c:pt>
                <c:pt idx="44">
                  <c:v>1.3059999999999998</c:v>
                </c:pt>
                <c:pt idx="45">
                  <c:v>1.3059999999999998</c:v>
                </c:pt>
                <c:pt idx="46">
                  <c:v>1.3059999999999998</c:v>
                </c:pt>
                <c:pt idx="47">
                  <c:v>1.3059999999999998</c:v>
                </c:pt>
                <c:pt idx="48">
                  <c:v>1.3059999999999998</c:v>
                </c:pt>
                <c:pt idx="49">
                  <c:v>1.3059999999999998</c:v>
                </c:pt>
                <c:pt idx="50">
                  <c:v>1.3059999999999998</c:v>
                </c:pt>
                <c:pt idx="51">
                  <c:v>1.3059999999999998</c:v>
                </c:pt>
                <c:pt idx="52">
                  <c:v>1.3059999999999998</c:v>
                </c:pt>
                <c:pt idx="53">
                  <c:v>1.3059999999999998</c:v>
                </c:pt>
                <c:pt idx="54">
                  <c:v>1.3059999999999998</c:v>
                </c:pt>
                <c:pt idx="55">
                  <c:v>1.3059999999999998</c:v>
                </c:pt>
                <c:pt idx="56">
                  <c:v>1.3059999999999998</c:v>
                </c:pt>
                <c:pt idx="57">
                  <c:v>1.3059999999999998</c:v>
                </c:pt>
                <c:pt idx="58">
                  <c:v>1.3059999999999998</c:v>
                </c:pt>
                <c:pt idx="59">
                  <c:v>1.3059999999999998</c:v>
                </c:pt>
                <c:pt idx="60">
                  <c:v>1.3059999999999998</c:v>
                </c:pt>
                <c:pt idx="61">
                  <c:v>1.3059999999999998</c:v>
                </c:pt>
                <c:pt idx="62">
                  <c:v>1.3059999999999998</c:v>
                </c:pt>
                <c:pt idx="63">
                  <c:v>1.3059999999999998</c:v>
                </c:pt>
                <c:pt idx="64">
                  <c:v>1.3059999999999998</c:v>
                </c:pt>
                <c:pt idx="65">
                  <c:v>1.3059999999999998</c:v>
                </c:pt>
                <c:pt idx="66">
                  <c:v>1.3059999999999998</c:v>
                </c:pt>
                <c:pt idx="67">
                  <c:v>1.3059999999999998</c:v>
                </c:pt>
                <c:pt idx="68">
                  <c:v>1.3059999999999998</c:v>
                </c:pt>
                <c:pt idx="69">
                  <c:v>1.3059999999999998</c:v>
                </c:pt>
                <c:pt idx="70">
                  <c:v>1.3059999999999998</c:v>
                </c:pt>
                <c:pt idx="71">
                  <c:v>1.3059999999999998</c:v>
                </c:pt>
                <c:pt idx="72">
                  <c:v>1.3059999999999998</c:v>
                </c:pt>
                <c:pt idx="73">
                  <c:v>1.3059999999999998</c:v>
                </c:pt>
                <c:pt idx="74">
                  <c:v>1.3059999999999998</c:v>
                </c:pt>
                <c:pt idx="75">
                  <c:v>1.3059999999999998</c:v>
                </c:pt>
                <c:pt idx="76">
                  <c:v>1.3059999999999998</c:v>
                </c:pt>
                <c:pt idx="77">
                  <c:v>1.3059999999999998</c:v>
                </c:pt>
                <c:pt idx="78">
                  <c:v>1.3059999999999998</c:v>
                </c:pt>
                <c:pt idx="79">
                  <c:v>1.3059999999999998</c:v>
                </c:pt>
                <c:pt idx="80">
                  <c:v>1.3059999999999998</c:v>
                </c:pt>
                <c:pt idx="81">
                  <c:v>1.3059999999999998</c:v>
                </c:pt>
                <c:pt idx="82">
                  <c:v>1.3059999999999998</c:v>
                </c:pt>
                <c:pt idx="83">
                  <c:v>1.3059999999999998</c:v>
                </c:pt>
                <c:pt idx="84">
                  <c:v>1.3059999999999998</c:v>
                </c:pt>
                <c:pt idx="85">
                  <c:v>1.3059999999999998</c:v>
                </c:pt>
                <c:pt idx="86">
                  <c:v>1.3059999999999998</c:v>
                </c:pt>
                <c:pt idx="87">
                  <c:v>1.3059999999999998</c:v>
                </c:pt>
                <c:pt idx="88">
                  <c:v>1.3059999999999998</c:v>
                </c:pt>
                <c:pt idx="89">
                  <c:v>1.3059999999999998</c:v>
                </c:pt>
                <c:pt idx="90">
                  <c:v>1.3059999999999998</c:v>
                </c:pt>
                <c:pt idx="91">
                  <c:v>1.3059999999999998</c:v>
                </c:pt>
                <c:pt idx="92">
                  <c:v>1.3059999999999998</c:v>
                </c:pt>
                <c:pt idx="93">
                  <c:v>1.3059999999999998</c:v>
                </c:pt>
                <c:pt idx="94">
                  <c:v>1.3059999999999998</c:v>
                </c:pt>
                <c:pt idx="95">
                  <c:v>1.3059999999999998</c:v>
                </c:pt>
                <c:pt idx="96">
                  <c:v>1.3059999999999998</c:v>
                </c:pt>
                <c:pt idx="97">
                  <c:v>1.3059999999999998</c:v>
                </c:pt>
                <c:pt idx="98">
                  <c:v>1.3059999999999998</c:v>
                </c:pt>
                <c:pt idx="99">
                  <c:v>1.3059999999999998</c:v>
                </c:pt>
                <c:pt idx="100">
                  <c:v>1.3059999999999998</c:v>
                </c:pt>
                <c:pt idx="101">
                  <c:v>1.3059999999999998</c:v>
                </c:pt>
                <c:pt idx="102">
                  <c:v>1.3059999999999998</c:v>
                </c:pt>
                <c:pt idx="103">
                  <c:v>1.3059999999999998</c:v>
                </c:pt>
                <c:pt idx="104">
                  <c:v>1.3059999999999998</c:v>
                </c:pt>
                <c:pt idx="105">
                  <c:v>1.3059999999999998</c:v>
                </c:pt>
                <c:pt idx="106">
                  <c:v>1.3059999999999998</c:v>
                </c:pt>
                <c:pt idx="107">
                  <c:v>1.3059999999999998</c:v>
                </c:pt>
                <c:pt idx="108">
                  <c:v>1.3059999999999998</c:v>
                </c:pt>
                <c:pt idx="109">
                  <c:v>1.3059999999999998</c:v>
                </c:pt>
                <c:pt idx="110">
                  <c:v>1.3059999999999998</c:v>
                </c:pt>
                <c:pt idx="111">
                  <c:v>1.3059999999999998</c:v>
                </c:pt>
                <c:pt idx="112">
                  <c:v>1.3059999999999998</c:v>
                </c:pt>
                <c:pt idx="113">
                  <c:v>1.3059999999999998</c:v>
                </c:pt>
                <c:pt idx="114">
                  <c:v>1.3059999999999998</c:v>
                </c:pt>
                <c:pt idx="115">
                  <c:v>1.3059999999999998</c:v>
                </c:pt>
                <c:pt idx="116">
                  <c:v>1.3059999999999998</c:v>
                </c:pt>
                <c:pt idx="117">
                  <c:v>1.3059999999999998</c:v>
                </c:pt>
                <c:pt idx="118">
                  <c:v>1.3059999999999998</c:v>
                </c:pt>
                <c:pt idx="119">
                  <c:v>1.3059999999999998</c:v>
                </c:pt>
                <c:pt idx="120">
                  <c:v>1.3059999999999998</c:v>
                </c:pt>
                <c:pt idx="121">
                  <c:v>1.3059999999999998</c:v>
                </c:pt>
                <c:pt idx="122">
                  <c:v>1.3059999999999998</c:v>
                </c:pt>
                <c:pt idx="123">
                  <c:v>1.3059999999999998</c:v>
                </c:pt>
                <c:pt idx="124">
                  <c:v>1.3059999999999998</c:v>
                </c:pt>
                <c:pt idx="125">
                  <c:v>1.3059999999999998</c:v>
                </c:pt>
                <c:pt idx="126">
                  <c:v>1.3059999999999998</c:v>
                </c:pt>
                <c:pt idx="127">
                  <c:v>1.3059999999999998</c:v>
                </c:pt>
                <c:pt idx="128">
                  <c:v>1.3059999999999998</c:v>
                </c:pt>
                <c:pt idx="129">
                  <c:v>1.3059999999999998</c:v>
                </c:pt>
                <c:pt idx="130">
                  <c:v>1.3059999999999998</c:v>
                </c:pt>
                <c:pt idx="131">
                  <c:v>1.3059999999999998</c:v>
                </c:pt>
                <c:pt idx="132">
                  <c:v>1.3059999999999998</c:v>
                </c:pt>
                <c:pt idx="133">
                  <c:v>1.3059999999999998</c:v>
                </c:pt>
                <c:pt idx="134">
                  <c:v>1.3059999999999998</c:v>
                </c:pt>
                <c:pt idx="135">
                  <c:v>1.3059999999999998</c:v>
                </c:pt>
                <c:pt idx="136">
                  <c:v>1.3059999999999998</c:v>
                </c:pt>
                <c:pt idx="137">
                  <c:v>1.3059999999999998</c:v>
                </c:pt>
                <c:pt idx="138">
                  <c:v>1.3059999999999998</c:v>
                </c:pt>
                <c:pt idx="139">
                  <c:v>1.3059999999999998</c:v>
                </c:pt>
                <c:pt idx="140">
                  <c:v>1.3059999999999998</c:v>
                </c:pt>
                <c:pt idx="141">
                  <c:v>1.3059999999999998</c:v>
                </c:pt>
                <c:pt idx="142">
                  <c:v>1.3059999999999998</c:v>
                </c:pt>
                <c:pt idx="143">
                  <c:v>1.3059999999999998</c:v>
                </c:pt>
                <c:pt idx="144">
                  <c:v>1.3059999999999998</c:v>
                </c:pt>
                <c:pt idx="145">
                  <c:v>1.3059999999999998</c:v>
                </c:pt>
                <c:pt idx="146">
                  <c:v>1.3059999999999998</c:v>
                </c:pt>
                <c:pt idx="147">
                  <c:v>1.3059999999999998</c:v>
                </c:pt>
                <c:pt idx="148">
                  <c:v>1.3059999999999998</c:v>
                </c:pt>
                <c:pt idx="149">
                  <c:v>1.3059999999999998</c:v>
                </c:pt>
                <c:pt idx="150">
                  <c:v>1.3059999999999998</c:v>
                </c:pt>
                <c:pt idx="151">
                  <c:v>1.5979999999999999</c:v>
                </c:pt>
                <c:pt idx="152">
                  <c:v>1.5979999999999999</c:v>
                </c:pt>
                <c:pt idx="153">
                  <c:v>1.5979999999999999</c:v>
                </c:pt>
                <c:pt idx="154">
                  <c:v>1.5979999999999999</c:v>
                </c:pt>
                <c:pt idx="155">
                  <c:v>1.89</c:v>
                </c:pt>
                <c:pt idx="156">
                  <c:v>1.89</c:v>
                </c:pt>
                <c:pt idx="157">
                  <c:v>1.89</c:v>
                </c:pt>
                <c:pt idx="158">
                  <c:v>1.89</c:v>
                </c:pt>
                <c:pt idx="159">
                  <c:v>1.89</c:v>
                </c:pt>
                <c:pt idx="160">
                  <c:v>2.181</c:v>
                </c:pt>
                <c:pt idx="161">
                  <c:v>2.181</c:v>
                </c:pt>
                <c:pt idx="162">
                  <c:v>2.181</c:v>
                </c:pt>
                <c:pt idx="163">
                  <c:v>2.181</c:v>
                </c:pt>
                <c:pt idx="164">
                  <c:v>2.4729999999999999</c:v>
                </c:pt>
                <c:pt idx="165">
                  <c:v>2.4729999999999999</c:v>
                </c:pt>
                <c:pt idx="166">
                  <c:v>2.4729999999999999</c:v>
                </c:pt>
                <c:pt idx="167">
                  <c:v>2.4729999999999999</c:v>
                </c:pt>
                <c:pt idx="168">
                  <c:v>2.4729999999999999</c:v>
                </c:pt>
                <c:pt idx="169">
                  <c:v>2.4729999999999999</c:v>
                </c:pt>
                <c:pt idx="170">
                  <c:v>2.4729999999999999</c:v>
                </c:pt>
                <c:pt idx="171">
                  <c:v>2.4729999999999999</c:v>
                </c:pt>
                <c:pt idx="172">
                  <c:v>2.4729999999999999</c:v>
                </c:pt>
                <c:pt idx="173">
                  <c:v>2.4729999999999999</c:v>
                </c:pt>
                <c:pt idx="174">
                  <c:v>2.4729999999999999</c:v>
                </c:pt>
                <c:pt idx="175">
                  <c:v>2.4729999999999999</c:v>
                </c:pt>
                <c:pt idx="176">
                  <c:v>2.4729999999999999</c:v>
                </c:pt>
                <c:pt idx="177">
                  <c:v>2.4729999999999999</c:v>
                </c:pt>
                <c:pt idx="178">
                  <c:v>2.4729999999999999</c:v>
                </c:pt>
                <c:pt idx="179">
                  <c:v>2.4729999999999999</c:v>
                </c:pt>
                <c:pt idx="180">
                  <c:v>2.4729999999999999</c:v>
                </c:pt>
                <c:pt idx="181">
                  <c:v>2.4729999999999999</c:v>
                </c:pt>
                <c:pt idx="182">
                  <c:v>2.4729999999999999</c:v>
                </c:pt>
                <c:pt idx="183">
                  <c:v>2.4729999999999999</c:v>
                </c:pt>
                <c:pt idx="184">
                  <c:v>2.4729999999999999</c:v>
                </c:pt>
                <c:pt idx="185">
                  <c:v>2.4729999999999999</c:v>
                </c:pt>
                <c:pt idx="186">
                  <c:v>2.4729999999999999</c:v>
                </c:pt>
                <c:pt idx="187">
                  <c:v>2.4729999999999999</c:v>
                </c:pt>
                <c:pt idx="188">
                  <c:v>2.4729999999999999</c:v>
                </c:pt>
                <c:pt idx="189">
                  <c:v>2.4729999999999999</c:v>
                </c:pt>
                <c:pt idx="190">
                  <c:v>2.4729999999999999</c:v>
                </c:pt>
                <c:pt idx="191">
                  <c:v>2.4729999999999999</c:v>
                </c:pt>
                <c:pt idx="192">
                  <c:v>2.4729999999999999</c:v>
                </c:pt>
                <c:pt idx="193">
                  <c:v>2.4729999999999999</c:v>
                </c:pt>
                <c:pt idx="194">
                  <c:v>2.4729999999999999</c:v>
                </c:pt>
                <c:pt idx="195">
                  <c:v>2.4729999999999999</c:v>
                </c:pt>
                <c:pt idx="196">
                  <c:v>2.4729999999999999</c:v>
                </c:pt>
                <c:pt idx="197">
                  <c:v>2.4729999999999999</c:v>
                </c:pt>
                <c:pt idx="198">
                  <c:v>2.4729999999999999</c:v>
                </c:pt>
                <c:pt idx="199">
                  <c:v>2.4729999999999999</c:v>
                </c:pt>
                <c:pt idx="200">
                  <c:v>2.4729999999999999</c:v>
                </c:pt>
                <c:pt idx="201">
                  <c:v>2.4729999999999999</c:v>
                </c:pt>
                <c:pt idx="202">
                  <c:v>2.4729999999999999</c:v>
                </c:pt>
                <c:pt idx="203">
                  <c:v>2.4729999999999999</c:v>
                </c:pt>
                <c:pt idx="204">
                  <c:v>2.4729999999999999</c:v>
                </c:pt>
                <c:pt idx="205">
                  <c:v>2.4729999999999999</c:v>
                </c:pt>
                <c:pt idx="206">
                  <c:v>2.4729999999999999</c:v>
                </c:pt>
                <c:pt idx="207">
                  <c:v>2.4729999999999999</c:v>
                </c:pt>
                <c:pt idx="208">
                  <c:v>2.4729999999999999</c:v>
                </c:pt>
                <c:pt idx="209">
                  <c:v>2.4729999999999999</c:v>
                </c:pt>
                <c:pt idx="210">
                  <c:v>2.4729999999999999</c:v>
                </c:pt>
                <c:pt idx="211">
                  <c:v>2.4729999999999999</c:v>
                </c:pt>
                <c:pt idx="212">
                  <c:v>2.4729999999999999</c:v>
                </c:pt>
                <c:pt idx="213">
                  <c:v>2.4729999999999999</c:v>
                </c:pt>
                <c:pt idx="214">
                  <c:v>2.4729999999999999</c:v>
                </c:pt>
                <c:pt idx="215">
                  <c:v>2.4729999999999999</c:v>
                </c:pt>
                <c:pt idx="216">
                  <c:v>2.4729999999999999</c:v>
                </c:pt>
                <c:pt idx="217">
                  <c:v>2.4729999999999999</c:v>
                </c:pt>
                <c:pt idx="218">
                  <c:v>2.4729999999999999</c:v>
                </c:pt>
                <c:pt idx="219">
                  <c:v>2.4729999999999999</c:v>
                </c:pt>
                <c:pt idx="220">
                  <c:v>2.4729999999999999</c:v>
                </c:pt>
                <c:pt idx="221">
                  <c:v>2.4729999999999999</c:v>
                </c:pt>
                <c:pt idx="222">
                  <c:v>2.4729999999999999</c:v>
                </c:pt>
                <c:pt idx="223">
                  <c:v>2.4729999999999999</c:v>
                </c:pt>
                <c:pt idx="224">
                  <c:v>2.4729999999999999</c:v>
                </c:pt>
                <c:pt idx="225">
                  <c:v>2.4729999999999999</c:v>
                </c:pt>
                <c:pt idx="226">
                  <c:v>2.4729999999999999</c:v>
                </c:pt>
                <c:pt idx="227">
                  <c:v>2.4729999999999999</c:v>
                </c:pt>
                <c:pt idx="228">
                  <c:v>2.4729999999999999</c:v>
                </c:pt>
                <c:pt idx="229">
                  <c:v>2.4729999999999999</c:v>
                </c:pt>
                <c:pt idx="230">
                  <c:v>2.4729999999999999</c:v>
                </c:pt>
                <c:pt idx="231">
                  <c:v>2.4729999999999999</c:v>
                </c:pt>
                <c:pt idx="232">
                  <c:v>2.4729999999999999</c:v>
                </c:pt>
                <c:pt idx="233">
                  <c:v>2.4729999999999999</c:v>
                </c:pt>
                <c:pt idx="234">
                  <c:v>2.4729999999999999</c:v>
                </c:pt>
                <c:pt idx="235">
                  <c:v>2.4729999999999999</c:v>
                </c:pt>
                <c:pt idx="236">
                  <c:v>2.4729999999999999</c:v>
                </c:pt>
                <c:pt idx="237">
                  <c:v>2.4729999999999999</c:v>
                </c:pt>
                <c:pt idx="238">
                  <c:v>2.4729999999999999</c:v>
                </c:pt>
                <c:pt idx="239">
                  <c:v>2.4729999999999999</c:v>
                </c:pt>
                <c:pt idx="240">
                  <c:v>2.4729999999999999</c:v>
                </c:pt>
                <c:pt idx="241">
                  <c:v>2.4729999999999999</c:v>
                </c:pt>
                <c:pt idx="242">
                  <c:v>2.4729999999999999</c:v>
                </c:pt>
                <c:pt idx="243">
                  <c:v>2.4729999999999999</c:v>
                </c:pt>
                <c:pt idx="244">
                  <c:v>2.4729999999999999</c:v>
                </c:pt>
                <c:pt idx="245">
                  <c:v>2.4729999999999999</c:v>
                </c:pt>
                <c:pt idx="246">
                  <c:v>2.4729999999999999</c:v>
                </c:pt>
                <c:pt idx="247">
                  <c:v>2.4729999999999999</c:v>
                </c:pt>
                <c:pt idx="248">
                  <c:v>2.4729999999999999</c:v>
                </c:pt>
                <c:pt idx="249">
                  <c:v>2.4729999999999999</c:v>
                </c:pt>
                <c:pt idx="250">
                  <c:v>2.4729999999999999</c:v>
                </c:pt>
                <c:pt idx="251">
                  <c:v>2.4729999999999999</c:v>
                </c:pt>
                <c:pt idx="252">
                  <c:v>2.4729999999999999</c:v>
                </c:pt>
                <c:pt idx="253">
                  <c:v>2.4729999999999999</c:v>
                </c:pt>
                <c:pt idx="254">
                  <c:v>2.4729999999999999</c:v>
                </c:pt>
                <c:pt idx="255">
                  <c:v>2.4729999999999999</c:v>
                </c:pt>
                <c:pt idx="256">
                  <c:v>2.4729999999999999</c:v>
                </c:pt>
                <c:pt idx="257">
                  <c:v>2.4729999999999999</c:v>
                </c:pt>
                <c:pt idx="258">
                  <c:v>2.4729999999999999</c:v>
                </c:pt>
                <c:pt idx="259">
                  <c:v>2.4729999999999999</c:v>
                </c:pt>
                <c:pt idx="260">
                  <c:v>2.4729999999999999</c:v>
                </c:pt>
                <c:pt idx="261">
                  <c:v>2.4729999999999999</c:v>
                </c:pt>
                <c:pt idx="262">
                  <c:v>2.4729999999999999</c:v>
                </c:pt>
                <c:pt idx="263">
                  <c:v>2.4729999999999999</c:v>
                </c:pt>
                <c:pt idx="264">
                  <c:v>2.4729999999999999</c:v>
                </c:pt>
                <c:pt idx="265">
                  <c:v>2.4729999999999999</c:v>
                </c:pt>
                <c:pt idx="266">
                  <c:v>2.4729999999999999</c:v>
                </c:pt>
                <c:pt idx="267">
                  <c:v>2.4729999999999999</c:v>
                </c:pt>
                <c:pt idx="268">
                  <c:v>2.4729999999999999</c:v>
                </c:pt>
                <c:pt idx="269">
                  <c:v>2.4729999999999999</c:v>
                </c:pt>
                <c:pt idx="270">
                  <c:v>2.4729999999999999</c:v>
                </c:pt>
                <c:pt idx="271">
                  <c:v>2.4729999999999999</c:v>
                </c:pt>
                <c:pt idx="272">
                  <c:v>2.4729999999999999</c:v>
                </c:pt>
                <c:pt idx="273">
                  <c:v>2.4729999999999999</c:v>
                </c:pt>
                <c:pt idx="274">
                  <c:v>2.4729999999999999</c:v>
                </c:pt>
                <c:pt idx="275">
                  <c:v>2.4729999999999999</c:v>
                </c:pt>
                <c:pt idx="276">
                  <c:v>2.4729999999999999</c:v>
                </c:pt>
                <c:pt idx="277">
                  <c:v>2.4729999999999999</c:v>
                </c:pt>
                <c:pt idx="278">
                  <c:v>2.4729999999999999</c:v>
                </c:pt>
                <c:pt idx="279">
                  <c:v>2.4729999999999999</c:v>
                </c:pt>
                <c:pt idx="280">
                  <c:v>2.4729999999999999</c:v>
                </c:pt>
                <c:pt idx="281">
                  <c:v>2.4729999999999999</c:v>
                </c:pt>
                <c:pt idx="282">
                  <c:v>2.4729999999999999</c:v>
                </c:pt>
                <c:pt idx="283">
                  <c:v>2.4729999999999999</c:v>
                </c:pt>
                <c:pt idx="284">
                  <c:v>2.4729999999999999</c:v>
                </c:pt>
                <c:pt idx="285">
                  <c:v>2.4729999999999999</c:v>
                </c:pt>
                <c:pt idx="286">
                  <c:v>2.4729999999999999</c:v>
                </c:pt>
                <c:pt idx="287">
                  <c:v>2.4729999999999999</c:v>
                </c:pt>
                <c:pt idx="288">
                  <c:v>2.4729999999999999</c:v>
                </c:pt>
                <c:pt idx="289">
                  <c:v>2.4729999999999999</c:v>
                </c:pt>
                <c:pt idx="290">
                  <c:v>2.4729999999999999</c:v>
                </c:pt>
                <c:pt idx="291">
                  <c:v>2.4729999999999999</c:v>
                </c:pt>
                <c:pt idx="292">
                  <c:v>2.4729999999999999</c:v>
                </c:pt>
                <c:pt idx="293">
                  <c:v>2.4729999999999999</c:v>
                </c:pt>
                <c:pt idx="294">
                  <c:v>2.4729999999999999</c:v>
                </c:pt>
                <c:pt idx="295">
                  <c:v>2.4729999999999999</c:v>
                </c:pt>
                <c:pt idx="296">
                  <c:v>2.4729999999999999</c:v>
                </c:pt>
                <c:pt idx="297">
                  <c:v>2.4729999999999999</c:v>
                </c:pt>
                <c:pt idx="298">
                  <c:v>2.4729999999999999</c:v>
                </c:pt>
                <c:pt idx="299">
                  <c:v>2.4729999999999999</c:v>
                </c:pt>
                <c:pt idx="300">
                  <c:v>2.4729999999999999</c:v>
                </c:pt>
                <c:pt idx="301">
                  <c:v>2.4729999999999999</c:v>
                </c:pt>
                <c:pt idx="302">
                  <c:v>2.4729999999999999</c:v>
                </c:pt>
                <c:pt idx="303">
                  <c:v>2.4729999999999999</c:v>
                </c:pt>
                <c:pt idx="304">
                  <c:v>2.4729999999999999</c:v>
                </c:pt>
                <c:pt idx="305">
                  <c:v>2.4729999999999999</c:v>
                </c:pt>
                <c:pt idx="306">
                  <c:v>2.4729999999999999</c:v>
                </c:pt>
                <c:pt idx="307">
                  <c:v>2.4729999999999999</c:v>
                </c:pt>
                <c:pt idx="308">
                  <c:v>2.4729999999999999</c:v>
                </c:pt>
                <c:pt idx="309">
                  <c:v>2.4729999999999999</c:v>
                </c:pt>
                <c:pt idx="310">
                  <c:v>2.4729999999999999</c:v>
                </c:pt>
                <c:pt idx="311">
                  <c:v>2.4729999999999999</c:v>
                </c:pt>
                <c:pt idx="312">
                  <c:v>2.4729999999999999</c:v>
                </c:pt>
                <c:pt idx="313">
                  <c:v>2.4729999999999999</c:v>
                </c:pt>
                <c:pt idx="314">
                  <c:v>2.4729999999999999</c:v>
                </c:pt>
                <c:pt idx="315">
                  <c:v>2.4729999999999999</c:v>
                </c:pt>
                <c:pt idx="316">
                  <c:v>2.4729999999999999</c:v>
                </c:pt>
                <c:pt idx="317">
                  <c:v>2.4729999999999999</c:v>
                </c:pt>
                <c:pt idx="318">
                  <c:v>2.4729999999999999</c:v>
                </c:pt>
                <c:pt idx="319">
                  <c:v>2.4729999999999999</c:v>
                </c:pt>
                <c:pt idx="320">
                  <c:v>2.4729999999999999</c:v>
                </c:pt>
                <c:pt idx="321">
                  <c:v>2.4729999999999999</c:v>
                </c:pt>
                <c:pt idx="322">
                  <c:v>2.4729999999999999</c:v>
                </c:pt>
                <c:pt idx="323">
                  <c:v>2.4729999999999999</c:v>
                </c:pt>
                <c:pt idx="324">
                  <c:v>2.4729999999999999</c:v>
                </c:pt>
                <c:pt idx="325">
                  <c:v>2.4729999999999999</c:v>
                </c:pt>
                <c:pt idx="326">
                  <c:v>2.4729999999999999</c:v>
                </c:pt>
                <c:pt idx="327">
                  <c:v>2.4729999999999999</c:v>
                </c:pt>
                <c:pt idx="328">
                  <c:v>2.4729999999999999</c:v>
                </c:pt>
                <c:pt idx="329">
                  <c:v>2.4729999999999999</c:v>
                </c:pt>
                <c:pt idx="330">
                  <c:v>2.4729999999999999</c:v>
                </c:pt>
                <c:pt idx="331">
                  <c:v>2.4729999999999999</c:v>
                </c:pt>
                <c:pt idx="332">
                  <c:v>2.4729999999999999</c:v>
                </c:pt>
                <c:pt idx="333">
                  <c:v>2.4729999999999999</c:v>
                </c:pt>
                <c:pt idx="334">
                  <c:v>2.4729999999999999</c:v>
                </c:pt>
                <c:pt idx="335">
                  <c:v>2.4729999999999999</c:v>
                </c:pt>
                <c:pt idx="336">
                  <c:v>2.4729999999999999</c:v>
                </c:pt>
                <c:pt idx="337">
                  <c:v>2.4729999999999999</c:v>
                </c:pt>
                <c:pt idx="338">
                  <c:v>2.4729999999999999</c:v>
                </c:pt>
                <c:pt idx="339">
                  <c:v>2.4729999999999999</c:v>
                </c:pt>
                <c:pt idx="340">
                  <c:v>2.4729999999999999</c:v>
                </c:pt>
                <c:pt idx="341">
                  <c:v>2.4729999999999999</c:v>
                </c:pt>
                <c:pt idx="342">
                  <c:v>2.4729999999999999</c:v>
                </c:pt>
                <c:pt idx="343">
                  <c:v>2.4729999999999999</c:v>
                </c:pt>
                <c:pt idx="344">
                  <c:v>2.4729999999999999</c:v>
                </c:pt>
                <c:pt idx="345">
                  <c:v>2.4729999999999999</c:v>
                </c:pt>
                <c:pt idx="346">
                  <c:v>2.4729999999999999</c:v>
                </c:pt>
                <c:pt idx="347">
                  <c:v>2.4729999999999999</c:v>
                </c:pt>
                <c:pt idx="348">
                  <c:v>2.4729999999999999</c:v>
                </c:pt>
                <c:pt idx="349">
                  <c:v>2.4729999999999999</c:v>
                </c:pt>
                <c:pt idx="350">
                  <c:v>2.4729999999999999</c:v>
                </c:pt>
                <c:pt idx="351">
                  <c:v>2.4729999999999999</c:v>
                </c:pt>
                <c:pt idx="352">
                  <c:v>2.4729999999999999</c:v>
                </c:pt>
                <c:pt idx="353">
                  <c:v>2.4729999999999999</c:v>
                </c:pt>
                <c:pt idx="354">
                  <c:v>2.4729999999999999</c:v>
                </c:pt>
                <c:pt idx="355">
                  <c:v>2.4729999999999999</c:v>
                </c:pt>
                <c:pt idx="356">
                  <c:v>2.4729999999999999</c:v>
                </c:pt>
                <c:pt idx="357">
                  <c:v>2.4729999999999999</c:v>
                </c:pt>
                <c:pt idx="358">
                  <c:v>2.4729999999999999</c:v>
                </c:pt>
                <c:pt idx="359">
                  <c:v>2.4729999999999999</c:v>
                </c:pt>
                <c:pt idx="360">
                  <c:v>2.4729999999999999</c:v>
                </c:pt>
                <c:pt idx="361">
                  <c:v>2.4729999999999999</c:v>
                </c:pt>
                <c:pt idx="362">
                  <c:v>2.4729999999999999</c:v>
                </c:pt>
                <c:pt idx="363">
                  <c:v>2.4729999999999999</c:v>
                </c:pt>
                <c:pt idx="364">
                  <c:v>2.4729999999999999</c:v>
                </c:pt>
                <c:pt idx="365">
                  <c:v>2.4729999999999999</c:v>
                </c:pt>
                <c:pt idx="366">
                  <c:v>2.4729999999999999</c:v>
                </c:pt>
                <c:pt idx="367">
                  <c:v>2.4729999999999999</c:v>
                </c:pt>
                <c:pt idx="368">
                  <c:v>2.4729999999999999</c:v>
                </c:pt>
                <c:pt idx="369">
                  <c:v>2.4729999999999999</c:v>
                </c:pt>
                <c:pt idx="370">
                  <c:v>2.4729999999999999</c:v>
                </c:pt>
                <c:pt idx="371">
                  <c:v>2.4729999999999999</c:v>
                </c:pt>
                <c:pt idx="372">
                  <c:v>2.4729999999999999</c:v>
                </c:pt>
                <c:pt idx="373">
                  <c:v>2.4729999999999999</c:v>
                </c:pt>
                <c:pt idx="374">
                  <c:v>2.4729999999999999</c:v>
                </c:pt>
                <c:pt idx="375">
                  <c:v>2.4729999999999999</c:v>
                </c:pt>
                <c:pt idx="376">
                  <c:v>2.4729999999999999</c:v>
                </c:pt>
                <c:pt idx="377">
                  <c:v>2.4729999999999999</c:v>
                </c:pt>
                <c:pt idx="378">
                  <c:v>2.4729999999999999</c:v>
                </c:pt>
                <c:pt idx="379">
                  <c:v>2.4729999999999999</c:v>
                </c:pt>
                <c:pt idx="380">
                  <c:v>2.4729999999999999</c:v>
                </c:pt>
                <c:pt idx="381">
                  <c:v>2.4729999999999999</c:v>
                </c:pt>
                <c:pt idx="382">
                  <c:v>2.4729999999999999</c:v>
                </c:pt>
                <c:pt idx="383">
                  <c:v>2.4729999999999999</c:v>
                </c:pt>
                <c:pt idx="384">
                  <c:v>2.4729999999999999</c:v>
                </c:pt>
                <c:pt idx="385">
                  <c:v>2.4729999999999999</c:v>
                </c:pt>
                <c:pt idx="386">
                  <c:v>2.7530000000000001</c:v>
                </c:pt>
                <c:pt idx="387">
                  <c:v>2.7530000000000001</c:v>
                </c:pt>
                <c:pt idx="388">
                  <c:v>2.7530000000000001</c:v>
                </c:pt>
                <c:pt idx="389">
                  <c:v>2.7530000000000001</c:v>
                </c:pt>
                <c:pt idx="390">
                  <c:v>2.7530000000000001</c:v>
                </c:pt>
                <c:pt idx="391">
                  <c:v>3.0430000000000001</c:v>
                </c:pt>
                <c:pt idx="392">
                  <c:v>3.0430000000000001</c:v>
                </c:pt>
                <c:pt idx="393">
                  <c:v>3.0430000000000001</c:v>
                </c:pt>
                <c:pt idx="394">
                  <c:v>3.0430000000000001</c:v>
                </c:pt>
                <c:pt idx="395">
                  <c:v>3.0430000000000001</c:v>
                </c:pt>
                <c:pt idx="396">
                  <c:v>3.3330000000000002</c:v>
                </c:pt>
                <c:pt idx="397">
                  <c:v>3.3330000000000002</c:v>
                </c:pt>
                <c:pt idx="398">
                  <c:v>3.3330000000000002</c:v>
                </c:pt>
                <c:pt idx="399">
                  <c:v>3.3330000000000002</c:v>
                </c:pt>
                <c:pt idx="400">
                  <c:v>3.3330000000000002</c:v>
                </c:pt>
                <c:pt idx="401">
                  <c:v>3.6230000000000002</c:v>
                </c:pt>
                <c:pt idx="402">
                  <c:v>3.6230000000000002</c:v>
                </c:pt>
                <c:pt idx="403">
                  <c:v>3.6230000000000002</c:v>
                </c:pt>
                <c:pt idx="404">
                  <c:v>3.6230000000000002</c:v>
                </c:pt>
                <c:pt idx="405">
                  <c:v>3.6230000000000002</c:v>
                </c:pt>
                <c:pt idx="406">
                  <c:v>3.9130000000000003</c:v>
                </c:pt>
                <c:pt idx="407">
                  <c:v>3.9130000000000003</c:v>
                </c:pt>
                <c:pt idx="408">
                  <c:v>3.9130000000000003</c:v>
                </c:pt>
                <c:pt idx="409">
                  <c:v>3.9130000000000003</c:v>
                </c:pt>
                <c:pt idx="410">
                  <c:v>3.9130000000000003</c:v>
                </c:pt>
                <c:pt idx="411">
                  <c:v>3.9130000000000003</c:v>
                </c:pt>
                <c:pt idx="412">
                  <c:v>3.9130000000000003</c:v>
                </c:pt>
                <c:pt idx="413">
                  <c:v>3.9130000000000003</c:v>
                </c:pt>
                <c:pt idx="414">
                  <c:v>3.9130000000000003</c:v>
                </c:pt>
                <c:pt idx="415">
                  <c:v>3.9130000000000003</c:v>
                </c:pt>
                <c:pt idx="416">
                  <c:v>3.9130000000000003</c:v>
                </c:pt>
                <c:pt idx="417">
                  <c:v>3.9130000000000003</c:v>
                </c:pt>
                <c:pt idx="418">
                  <c:v>3.9130000000000003</c:v>
                </c:pt>
                <c:pt idx="419">
                  <c:v>3.9130000000000003</c:v>
                </c:pt>
                <c:pt idx="420">
                  <c:v>3.9130000000000003</c:v>
                </c:pt>
                <c:pt idx="421">
                  <c:v>3.9130000000000003</c:v>
                </c:pt>
                <c:pt idx="422">
                  <c:v>3.9130000000000003</c:v>
                </c:pt>
                <c:pt idx="423">
                  <c:v>3.9130000000000003</c:v>
                </c:pt>
                <c:pt idx="424">
                  <c:v>3.9130000000000003</c:v>
                </c:pt>
                <c:pt idx="425">
                  <c:v>3.9130000000000003</c:v>
                </c:pt>
                <c:pt idx="426">
                  <c:v>3.9130000000000003</c:v>
                </c:pt>
                <c:pt idx="427">
                  <c:v>3.9130000000000003</c:v>
                </c:pt>
                <c:pt idx="428">
                  <c:v>3.9130000000000003</c:v>
                </c:pt>
                <c:pt idx="429">
                  <c:v>3.9130000000000003</c:v>
                </c:pt>
                <c:pt idx="430">
                  <c:v>3.9130000000000003</c:v>
                </c:pt>
                <c:pt idx="431">
                  <c:v>3.9130000000000003</c:v>
                </c:pt>
                <c:pt idx="432">
                  <c:v>3.9130000000000003</c:v>
                </c:pt>
                <c:pt idx="433">
                  <c:v>3.9130000000000003</c:v>
                </c:pt>
                <c:pt idx="434">
                  <c:v>3.9130000000000003</c:v>
                </c:pt>
                <c:pt idx="435">
                  <c:v>3.9130000000000003</c:v>
                </c:pt>
                <c:pt idx="436">
                  <c:v>3.9130000000000003</c:v>
                </c:pt>
                <c:pt idx="437">
                  <c:v>3.9130000000000003</c:v>
                </c:pt>
                <c:pt idx="438">
                  <c:v>3.9130000000000003</c:v>
                </c:pt>
                <c:pt idx="439">
                  <c:v>3.9130000000000003</c:v>
                </c:pt>
                <c:pt idx="440">
                  <c:v>3.9130000000000003</c:v>
                </c:pt>
                <c:pt idx="441">
                  <c:v>3.9130000000000003</c:v>
                </c:pt>
                <c:pt idx="442">
                  <c:v>3.9130000000000003</c:v>
                </c:pt>
                <c:pt idx="443">
                  <c:v>3.9130000000000003</c:v>
                </c:pt>
                <c:pt idx="444">
                  <c:v>3.9130000000000003</c:v>
                </c:pt>
                <c:pt idx="445">
                  <c:v>3.9130000000000003</c:v>
                </c:pt>
                <c:pt idx="446">
                  <c:v>3.9130000000000003</c:v>
                </c:pt>
                <c:pt idx="447">
                  <c:v>3.9130000000000003</c:v>
                </c:pt>
                <c:pt idx="448">
                  <c:v>3.9130000000000003</c:v>
                </c:pt>
                <c:pt idx="449">
                  <c:v>3.9130000000000003</c:v>
                </c:pt>
                <c:pt idx="450">
                  <c:v>3.9130000000000003</c:v>
                </c:pt>
                <c:pt idx="451">
                  <c:v>3.9130000000000003</c:v>
                </c:pt>
                <c:pt idx="452">
                  <c:v>3.9130000000000003</c:v>
                </c:pt>
                <c:pt idx="453">
                  <c:v>3.9130000000000003</c:v>
                </c:pt>
                <c:pt idx="454">
                  <c:v>3.9130000000000003</c:v>
                </c:pt>
                <c:pt idx="455">
                  <c:v>3.9130000000000003</c:v>
                </c:pt>
                <c:pt idx="456">
                  <c:v>3.9130000000000003</c:v>
                </c:pt>
                <c:pt idx="457">
                  <c:v>3.9130000000000003</c:v>
                </c:pt>
                <c:pt idx="458">
                  <c:v>3.9130000000000003</c:v>
                </c:pt>
                <c:pt idx="459">
                  <c:v>3.9130000000000003</c:v>
                </c:pt>
                <c:pt idx="460">
                  <c:v>3.9130000000000003</c:v>
                </c:pt>
                <c:pt idx="461">
                  <c:v>3.9130000000000003</c:v>
                </c:pt>
                <c:pt idx="462">
                  <c:v>3.9130000000000003</c:v>
                </c:pt>
                <c:pt idx="463">
                  <c:v>3.9130000000000003</c:v>
                </c:pt>
                <c:pt idx="464">
                  <c:v>3.9130000000000003</c:v>
                </c:pt>
                <c:pt idx="465">
                  <c:v>3.9130000000000003</c:v>
                </c:pt>
                <c:pt idx="466">
                  <c:v>3.9130000000000003</c:v>
                </c:pt>
                <c:pt idx="467">
                  <c:v>3.9130000000000003</c:v>
                </c:pt>
                <c:pt idx="468">
                  <c:v>3.9130000000000003</c:v>
                </c:pt>
                <c:pt idx="469">
                  <c:v>3.9130000000000003</c:v>
                </c:pt>
                <c:pt idx="470">
                  <c:v>3.9130000000000003</c:v>
                </c:pt>
                <c:pt idx="471">
                  <c:v>3.9130000000000003</c:v>
                </c:pt>
                <c:pt idx="472">
                  <c:v>3.9130000000000003</c:v>
                </c:pt>
                <c:pt idx="473">
                  <c:v>3.9130000000000003</c:v>
                </c:pt>
                <c:pt idx="474">
                  <c:v>3.9130000000000003</c:v>
                </c:pt>
                <c:pt idx="475">
                  <c:v>3.9130000000000003</c:v>
                </c:pt>
                <c:pt idx="476">
                  <c:v>3.9130000000000003</c:v>
                </c:pt>
                <c:pt idx="477">
                  <c:v>3.9130000000000003</c:v>
                </c:pt>
                <c:pt idx="478">
                  <c:v>3.9130000000000003</c:v>
                </c:pt>
                <c:pt idx="479">
                  <c:v>3.9130000000000003</c:v>
                </c:pt>
                <c:pt idx="480">
                  <c:v>3.9130000000000003</c:v>
                </c:pt>
                <c:pt idx="481">
                  <c:v>3.9130000000000003</c:v>
                </c:pt>
                <c:pt idx="482">
                  <c:v>3.9130000000000003</c:v>
                </c:pt>
                <c:pt idx="483">
                  <c:v>3.9130000000000003</c:v>
                </c:pt>
                <c:pt idx="484">
                  <c:v>3.9130000000000003</c:v>
                </c:pt>
                <c:pt idx="485">
                  <c:v>3.9130000000000003</c:v>
                </c:pt>
                <c:pt idx="486">
                  <c:v>3.9130000000000003</c:v>
                </c:pt>
                <c:pt idx="487">
                  <c:v>4.2090000000000005</c:v>
                </c:pt>
                <c:pt idx="488">
                  <c:v>4.2090000000000005</c:v>
                </c:pt>
                <c:pt idx="489">
                  <c:v>4.2090000000000005</c:v>
                </c:pt>
                <c:pt idx="490">
                  <c:v>4.5060000000000002</c:v>
                </c:pt>
                <c:pt idx="491">
                  <c:v>4.5060000000000002</c:v>
                </c:pt>
                <c:pt idx="492">
                  <c:v>4.5060000000000002</c:v>
                </c:pt>
                <c:pt idx="493">
                  <c:v>4.8020000000000005</c:v>
                </c:pt>
                <c:pt idx="494">
                  <c:v>4.8020000000000005</c:v>
                </c:pt>
                <c:pt idx="495">
                  <c:v>4.8020000000000005</c:v>
                </c:pt>
                <c:pt idx="496">
                  <c:v>5.1000000000000005</c:v>
                </c:pt>
                <c:pt idx="497">
                  <c:v>5.1000000000000005</c:v>
                </c:pt>
                <c:pt idx="498">
                  <c:v>5.1000000000000005</c:v>
                </c:pt>
                <c:pt idx="499">
                  <c:v>5.3940000000000001</c:v>
                </c:pt>
                <c:pt idx="500">
                  <c:v>5.3940000000000001</c:v>
                </c:pt>
                <c:pt idx="501">
                  <c:v>5.3940000000000001</c:v>
                </c:pt>
                <c:pt idx="502">
                  <c:v>5.6879999999999997</c:v>
                </c:pt>
                <c:pt idx="503">
                  <c:v>5.6879999999999997</c:v>
                </c:pt>
                <c:pt idx="504">
                  <c:v>5.6879999999999997</c:v>
                </c:pt>
                <c:pt idx="505">
                  <c:v>5.6879999999999997</c:v>
                </c:pt>
                <c:pt idx="506">
                  <c:v>5.9799999999999995</c:v>
                </c:pt>
                <c:pt idx="507">
                  <c:v>5.9799999999999995</c:v>
                </c:pt>
                <c:pt idx="508">
                  <c:v>5.9799999999999995</c:v>
                </c:pt>
                <c:pt idx="509">
                  <c:v>5.9799999999999995</c:v>
                </c:pt>
                <c:pt idx="510">
                  <c:v>5.9799999999999995</c:v>
                </c:pt>
                <c:pt idx="511">
                  <c:v>5.9799999999999995</c:v>
                </c:pt>
                <c:pt idx="512">
                  <c:v>5.9799999999999995</c:v>
                </c:pt>
                <c:pt idx="513">
                  <c:v>5.9799999999999995</c:v>
                </c:pt>
                <c:pt idx="514">
                  <c:v>5.9799999999999995</c:v>
                </c:pt>
                <c:pt idx="515">
                  <c:v>5.9799999999999995</c:v>
                </c:pt>
                <c:pt idx="516">
                  <c:v>5.9799999999999995</c:v>
                </c:pt>
                <c:pt idx="517">
                  <c:v>5.9799999999999995</c:v>
                </c:pt>
                <c:pt idx="518">
                  <c:v>5.9799999999999995</c:v>
                </c:pt>
                <c:pt idx="519">
                  <c:v>5.9799999999999995</c:v>
                </c:pt>
                <c:pt idx="520">
                  <c:v>5.9799999999999995</c:v>
                </c:pt>
                <c:pt idx="521">
                  <c:v>5.9799999999999995</c:v>
                </c:pt>
                <c:pt idx="522">
                  <c:v>5.9799999999999995</c:v>
                </c:pt>
                <c:pt idx="523">
                  <c:v>5.9799999999999995</c:v>
                </c:pt>
                <c:pt idx="524">
                  <c:v>5.9799999999999995</c:v>
                </c:pt>
                <c:pt idx="525">
                  <c:v>5.9799999999999995</c:v>
                </c:pt>
                <c:pt idx="526">
                  <c:v>5.9799999999999995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4F-41A4-A0AC-3F4E56DB3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51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1000"/>
          <c:min val="-1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125098</xdr:colOff>
      <xdr:row>10</xdr:row>
      <xdr:rowOff>0</xdr:rowOff>
    </xdr:from>
    <xdr:to>
      <xdr:col>28</xdr:col>
      <xdr:colOff>312133</xdr:colOff>
      <xdr:row>29</xdr:row>
      <xdr:rowOff>29749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C032527E-C53E-4900-88CE-D46EDF42F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4">
          <cell r="A4" t="str">
            <v>BẢNG TÍNH TOÁN, ĐO BÓC KHỐI LƯỢNG HOÀN THÀNH ĐƯA VÀO QUYẾT TOÁN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4">
          <cell r="A4" t="str">
            <v>BẢNG TÍNH TOÁN, ĐO BÓC KHỐI LƯỢNG HOÀN THÀNH ĐƯA VÀO QUYẾT TOÁN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4">
          <cell r="A4" t="str">
            <v>BẢNG TÍNH TOÁN, ĐO BÓC KHỐI LƯỢNG HOÀN THÀNH ĐƯA VÀO QUYẾT TOÁN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4">
          <cell r="A4" t="str">
            <v>BẢNG TÍNH TOÁN, ĐO BÓC KHỐI LƯỢNG HOÀN THÀNH ĐƯA VÀO QUYẾT TOÁN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4">
          <cell r="A4" t="str">
            <v>BẢNG TÍNH TOÁN, ĐO BÓC KHỐI LƯỢNG HOÀN THÀNH ĐƯA VÀO QUYẾT TOÁN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4">
          <cell r="A4" t="str">
            <v>BẢNG TÍNH TOÁN, ĐO BÓC KHỐI LƯỢNG HOÀN THÀNH ĐƯA VÀO QUYẾT TOÁN</v>
          </cell>
        </row>
      </sheetData>
      <sheetData sheetId="10317">
        <row r="9">
          <cell r="A9" t="str">
            <v>A</v>
          </cell>
        </row>
      </sheetData>
      <sheetData sheetId="10318">
        <row r="4">
          <cell r="A4" t="str">
            <v>BẢNG TÍNH TOÁN, ĐO BÓC KHỐI LƯỢNG HOÀN THÀNH ĐƯA VÀO QUYẾT TOÁN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4">
          <cell r="A4" t="str">
            <v>BẢNG TÍNH TOÁN, ĐO BÓC KHỐI LƯỢNG HOÀN THÀNH ĐƯA VÀO QUYẾT TOÁN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4">
          <cell r="A4" t="str">
            <v>BẢNG TÍNH TOÁN, ĐO BÓC KHỐI LƯỢNG HOÀN THÀNH ĐƯA VÀO QUYẾT TOÁN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4">
          <cell r="A4" t="str">
            <v>BẢNG TÍNH TOÁN, ĐO BÓC KHỐI LƯỢNG HOÀN THÀNH ĐƯA VÀO QUYẾT TOÁN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4">
          <cell r="A4" t="str">
            <v>BẢNG TÍNH TOÁN, ĐO BÓC KHỐI LƯỢNG HOÀN THÀNH ĐƯA VÀO QUYẾT TOÁN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4">
          <cell r="A4" t="str">
            <v>BẢNG TÍNH TOÁN, ĐO BÓC KHỐI LƯỢNG HOÀN THÀNH ĐƯA VÀO QUYẾT TOÁN</v>
          </cell>
        </row>
      </sheetData>
      <sheetData sheetId="10378">
        <row r="9">
          <cell r="A9" t="str">
            <v>A</v>
          </cell>
        </row>
      </sheetData>
      <sheetData sheetId="10379">
        <row r="4">
          <cell r="A4" t="str">
            <v>BẢNG TÍNH TOÁN, ĐO BÓC KHỐI LƯỢNG HOÀN THÀNH ĐƯA VÀO QUYẾT TOÁN</v>
          </cell>
        </row>
      </sheetData>
      <sheetData sheetId="10380">
        <row r="4">
          <cell r="A4" t="str">
            <v>BẢNG TÍNH TOÁN, ĐO BÓC KHỐI LƯỢNG HOÀN THÀNH ĐƯA VÀO QUYẾT TOÁN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4">
          <cell r="A4" t="str">
            <v>BẢNG TÍNH TOÁN, ĐO BÓC KHỐI LƯỢNG HOÀN THÀNH ĐƯA VÀO QUYẾT TOÁN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4">
          <cell r="A4" t="str">
            <v>BẢNG TÍNH TOÁN, ĐO BÓC KHỐI LƯỢNG HOÀN THÀNH ĐƯA VÀO QUYẾT TOÁN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4">
          <cell r="A4" t="str">
            <v>BẢNG TÍNH TOÁN, ĐO BÓC KHỐI LƯỢNG HOÀN THÀNH ĐƯA VÀO QUYẾT TOÁN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4">
          <cell r="A4" t="str">
            <v>BẢNG TÍNH TOÁN, ĐO BÓC KHỐI LƯỢNG HOÀN THÀNH ĐƯA VÀO QUYẾT TOÁN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4">
          <cell r="A4" t="str">
            <v>BẢNG TÍNH TOÁN, ĐO BÓC KHỐI LƯỢNG HOÀN THÀNH ĐƯA VÀO QUYẾT TOÁN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4">
          <cell r="A4" t="str">
            <v>BẢNG TÍNH TOÁN, ĐO BÓC KHỐI LƯỢNG HOÀN THÀNH ĐƯA VÀO QUYẾT TOÁN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4">
          <cell r="A4" t="str">
            <v>BẢNG TÍNH TOÁN, ĐO BÓC KHỐI LƯỢNG HOÀN THÀNH ĐƯA VÀO QUYẾT TOÁN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4">
          <cell r="A4" t="str">
            <v>BẢNG TÍNH TOÁN, ĐO BÓC KHỐI LƯỢNG HOÀN THÀNH ĐƯA VÀO QUYẾT TOÁN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4">
          <cell r="A4" t="str">
            <v>BẢNG TÍNH TOÁN, ĐO BÓC KHỐI LƯỢNG HOÀN THÀNH ĐƯA VÀO QUYẾT TOÁN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4">
          <cell r="A4" t="str">
            <v>BẢNG TÍNH TOÁN, ĐO BÓC KHỐI LƯỢNG HOÀN THÀNH ĐƯA VÀO QUYẾT TOÁN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4">
          <cell r="A4" t="str">
            <v>BẢNG TÍNH TOÁN, ĐO BÓC KHỐI LƯỢNG HOÀN THÀNH ĐƯA VÀO QUYẾT TOÁN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4">
          <cell r="A4" t="str">
            <v>BẢNG TÍNH TOÁN, ĐO BÓC KHỐI LƯỢNG HOÀN THÀNH ĐƯA VÀO QUYẾT TOÁN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4">
          <cell r="A4" t="str">
            <v>BẢNG TÍNH TOÁN, ĐO BÓC KHỐI LƯỢNG HOÀN THÀNH ĐƯA VÀO QUYẾT TOÁN</v>
          </cell>
        </row>
      </sheetData>
      <sheetData sheetId="10560">
        <row r="4">
          <cell r="A4" t="str">
            <v>BẢNG TÍNH TOÁN, ĐO BÓC KHỐI LƯỢNG HOÀN THÀNH ĐƯA VÀO QUYẾT TOÁN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4">
          <cell r="A4" t="str">
            <v>BẢNG TÍNH TOÁN, ĐO BÓC KHỐI LƯỢNG HOÀN THÀNH ĐƯA VÀO QUYẾT TOÁN</v>
          </cell>
        </row>
      </sheetData>
      <sheetData sheetId="10589">
        <row r="9">
          <cell r="A9" t="str">
            <v>A</v>
          </cell>
        </row>
      </sheetData>
      <sheetData sheetId="10590">
        <row r="4">
          <cell r="A4" t="str">
            <v>BẢNG TÍNH TOÁN, ĐO BÓC KHỐI LƯỢNG HOÀN THÀNH ĐƯA VÀO QUYẾT TOÁN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4">
          <cell r="A4" t="str">
            <v>BẢNG TÍNH TOÁN, ĐO BÓC KHỐI LƯỢNG HOÀN THÀNH ĐƯA VÀO QUYẾT TOÁN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4">
          <cell r="A4" t="str">
            <v>BẢNG TÍNH TOÁN, ĐO BÓC KHỐI LƯỢNG HOÀN THÀNH ĐƯA VÀO QUYẾT TOÁN</v>
          </cell>
        </row>
      </sheetData>
      <sheetData sheetId="10617">
        <row r="4">
          <cell r="A4" t="str">
            <v>BẢNG TÍNH TOÁN, ĐO BÓC KHỐI LƯỢNG HOÀN THÀNH ĐƯA VÀO QUYẾT TOÁN</v>
          </cell>
        </row>
      </sheetData>
      <sheetData sheetId="10618">
        <row r="9">
          <cell r="A9" t="str">
            <v>A</v>
          </cell>
        </row>
      </sheetData>
      <sheetData sheetId="10619">
        <row r="4">
          <cell r="A4" t="str">
            <v>BẢNG TÍNH TOÁN, ĐO BÓC KHỐI LƯỢNG HOÀN THÀNH ĐƯA VÀO QUYẾT TOÁN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4">
          <cell r="A4" t="str">
            <v>BẢNG TÍNH TOÁN, ĐO BÓC KHỐI LƯỢNG HOÀN THÀNH ĐƯA VÀO QUYẾT TOÁN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4">
          <cell r="A4" t="str">
            <v>BẢNG TÍNH TOÁN, ĐO BÓC KHỐI LƯỢNG HOÀN THÀNH ĐƯA VÀO QUYẾT TOÁN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4">
          <cell r="A4" t="str">
            <v>BẢNG TÍNH TOÁN, ĐO BÓC KHỐI LƯỢNG HOÀN THÀNH ĐƯA VÀO QUYẾT TOÁN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4">
          <cell r="A4" t="str">
            <v>BẢNG TÍNH TOÁN, ĐO BÓC KHỐI LƯỢNG HOÀN THÀNH ĐƯA VÀO QUYẾT TOÁN</v>
          </cell>
        </row>
      </sheetData>
      <sheetData sheetId="10646">
        <row r="4">
          <cell r="A4" t="str">
            <v>BẢNG TÍNH TOÁN, ĐO BÓC KHỐI LƯỢNG HOÀN THÀNH ĐƯA VÀO QUYẾT TOÁN</v>
          </cell>
        </row>
      </sheetData>
      <sheetData sheetId="10647">
        <row r="4">
          <cell r="A4" t="str">
            <v>BẢNG TÍNH TOÁN, ĐO BÓC KHỐI LƯỢNG HOÀN THÀNH ĐƯA VÀO QUYẾT TOÁN</v>
          </cell>
        </row>
      </sheetData>
      <sheetData sheetId="10648">
        <row r="4">
          <cell r="A4" t="str">
            <v>BẢNG TÍNH TOÁN, ĐO BÓC KHỐI LƯỢNG HOÀN THÀNH ĐƯA VÀO QUYẾT TOÁN</v>
          </cell>
        </row>
      </sheetData>
      <sheetData sheetId="10649">
        <row r="4">
          <cell r="A4" t="str">
            <v>BẢNG TÍNH TOÁN, ĐO BÓC KHỐI LƯỢNG HOÀN THÀNH ĐƯA VÀO QUYẾT TOÁN</v>
          </cell>
        </row>
      </sheetData>
      <sheetData sheetId="10650">
        <row r="4">
          <cell r="A4" t="str">
            <v>BẢNG TÍNH TOÁN, ĐO BÓC KHỐI LƯỢNG HOÀN THÀNH ĐƯA VÀO QUYẾT TOÁN</v>
          </cell>
        </row>
      </sheetData>
      <sheetData sheetId="10651">
        <row r="4">
          <cell r="A4" t="str">
            <v>BẢNG TÍNH TOÁN, ĐO BÓC KHỐI LƯỢNG HOÀN THÀNH ĐƯA VÀO QUYẾT TOÁN</v>
          </cell>
        </row>
      </sheetData>
      <sheetData sheetId="10652">
        <row r="9">
          <cell r="A9" t="str">
            <v>A</v>
          </cell>
        </row>
      </sheetData>
      <sheetData sheetId="10653">
        <row r="4">
          <cell r="A4" t="str">
            <v>BẢNG TÍNH TOÁN, ĐO BÓC KHỐI LƯỢNG HOÀN THÀNH ĐƯA VÀO QUYẾT TOÁN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4">
          <cell r="A4" t="str">
            <v>BẢNG TÍNH TOÁN, ĐO BÓC KHỐI LƯỢNG HOÀN THÀNH ĐƯA VÀO QUYẾT TOÁN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/>
      <sheetData sheetId="11311"/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/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/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/>
      <sheetData sheetId="11346"/>
      <sheetData sheetId="11347"/>
      <sheetData sheetId="11348"/>
      <sheetData sheetId="11349"/>
      <sheetData sheetId="11350"/>
      <sheetData sheetId="11351">
        <row r="9">
          <cell r="A9" t="str">
            <v>A</v>
          </cell>
        </row>
      </sheetData>
      <sheetData sheetId="11352"/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/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/>
      <sheetData sheetId="11359">
        <row r="9">
          <cell r="A9" t="str">
            <v>A</v>
          </cell>
        </row>
      </sheetData>
      <sheetData sheetId="11360"/>
      <sheetData sheetId="11361"/>
      <sheetData sheetId="11362"/>
      <sheetData sheetId="11363"/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4">
          <cell r="A4" t="str">
            <v>BẢNG TÍNH TOÁN, ĐO BÓC KHỐI LƯỢNG HOÀN THÀNH ĐƯA VÀO QUYẾT TOÁN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4">
          <cell r="A4" t="str">
            <v>BẢNG TÍNH TOÁN, ĐO BÓC KHỐI LƯỢNG HOÀN THÀNH ĐƯA VÀO QUYẾT TOÁN</v>
          </cell>
        </row>
      </sheetData>
      <sheetData sheetId="11884">
        <row r="4">
          <cell r="A4" t="str">
            <v>BẢNG TÍNH TOÁN, ĐO BÓC KHỐI LƯỢNG HOÀN THÀNH ĐƯA VÀO QUYẾT TOÁN</v>
          </cell>
        </row>
      </sheetData>
      <sheetData sheetId="11885">
        <row r="4">
          <cell r="A4" t="str">
            <v>BẢNG TÍNH TOÁN, ĐO BÓC KHỐI LƯỢNG HOÀN THÀNH ĐƯA VÀO QUYẾT TOÁN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4">
          <cell r="A4" t="str">
            <v>BẢNG TÍNH TOÁN, ĐO BÓC KHỐI LƯỢNG HOÀN THÀNH ĐƯA VÀO QUYẾT TOÁN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4">
          <cell r="A4" t="str">
            <v>BẢNG TÍNH TOÁN, ĐO BÓC KHỐI LƯỢNG HOÀN THÀNH ĐƯA VÀO QUYẾT TOÁN</v>
          </cell>
        </row>
      </sheetData>
      <sheetData sheetId="11901">
        <row r="4">
          <cell r="A4" t="str">
            <v>BẢNG TÍNH TOÁN, ĐO BÓC KHỐI LƯỢNG HOÀN THÀNH ĐƯA VÀO QUYẾT TOÁN</v>
          </cell>
        </row>
      </sheetData>
      <sheetData sheetId="11902">
        <row r="4">
          <cell r="A4" t="str">
            <v>BẢNG TÍNH TOÁN, ĐO BÓC KHỐI LƯỢNG HOÀN THÀNH ĐƯA VÀO QUYẾT TOÁN</v>
          </cell>
        </row>
      </sheetData>
      <sheetData sheetId="11903">
        <row r="4">
          <cell r="A4" t="str">
            <v>BẢNG TÍNH TOÁN, ĐO BÓC KHỐI LƯỢNG HOÀN THÀNH ĐƯA VÀO QUYẾT TOÁN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4">
          <cell r="A4" t="str">
            <v>BẢNG TÍNH TOÁN, ĐO BÓC KHỐI LƯỢNG HOÀN THÀNH ĐƯA VÀO QUYẾT TOÁN</v>
          </cell>
        </row>
      </sheetData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>
        <row r="9">
          <cell r="A9" t="str">
            <v>A</v>
          </cell>
        </row>
      </sheetData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4">
          <cell r="A4" t="str">
            <v>BẢNG TÍNH TOÁN, ĐO BÓC KHỐI LƯỢNG HOÀN THÀNH ĐƯA VÀO QUYẾT TOÁN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4">
          <cell r="A4" t="str">
            <v>BẢNG TÍNH TOÁN, ĐO BÓC KHỐI LƯỢNG HOÀN THÀNH ĐƯA VÀO QUYẾT TOÁN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4">
          <cell r="A4" t="str">
            <v>BẢNG TÍNH TOÁN, ĐO BÓC KHỐI LƯỢNG HOÀN THÀNH ĐƯA VÀO QUYẾT TOÁN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4">
          <cell r="A4" t="str">
            <v>BẢNG TÍNH TOÁN, ĐO BÓC KHỐI LƯỢNG HOÀN THÀNH ĐƯA VÀO QUYẾT TOÁN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4">
          <cell r="A4" t="str">
            <v>BẢNG TÍNH TOÁN, ĐO BÓC KHỐI LƯỢNG HOÀN THÀNH ĐƯA VÀO QUYẾT TOÁN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4">
          <cell r="A4" t="str">
            <v>BẢNG TÍNH TOÁN, ĐO BÓC KHỐI LƯỢNG HOÀN THÀNH ĐƯA VÀO QUYẾT TOÁN</v>
          </cell>
        </row>
      </sheetData>
      <sheetData sheetId="12030">
        <row r="4">
          <cell r="A4" t="str">
            <v>BẢNG TÍNH TOÁN, ĐO BÓC KHỐI LƯỢNG HOÀN THÀNH ĐƯA VÀO QUYẾT TOÁN</v>
          </cell>
        </row>
      </sheetData>
      <sheetData sheetId="12031">
        <row r="4">
          <cell r="A4" t="str">
            <v>BẢNG TÍNH TOÁN, ĐO BÓC KHỐI LƯỢNG HOÀN THÀNH ĐƯA VÀO QUYẾT TOÁN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4">
          <cell r="A4" t="str">
            <v>BẢNG TÍNH TOÁN, ĐO BÓC KHỐI LƯỢNG HOÀN THÀNH ĐƯA VÀO QUYẾT TOÁN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4">
          <cell r="A4" t="str">
            <v>BẢNG TÍNH TOÁN, ĐO BÓC KHỐI LƯỢNG HOÀN THÀNH ĐƯA VÀO QUYẾT TOÁN</v>
          </cell>
        </row>
      </sheetData>
      <sheetData sheetId="12065">
        <row r="4">
          <cell r="A4" t="str">
            <v>BẢNG TÍNH TOÁN, ĐO BÓC KHỐI LƯỢNG HOÀN THÀNH ĐƯA VÀO QUYẾT TOÁN</v>
          </cell>
        </row>
      </sheetData>
      <sheetData sheetId="12066">
        <row r="4">
          <cell r="A4" t="str">
            <v>BẢNG TÍNH TOÁN, ĐO BÓC KHỐI LƯỢNG HOÀN THÀNH ĐƯA VÀO QUYẾT TOÁN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4">
          <cell r="A4" t="str">
            <v>BẢNG TÍNH TOÁN, ĐO BÓC KHỐI LƯỢNG HOÀN THÀNH ĐƯA VÀO QUYẾT TOÁN</v>
          </cell>
        </row>
      </sheetData>
      <sheetData sheetId="12069">
        <row r="4">
          <cell r="A4" t="str">
            <v>BẢNG TÍNH TOÁN, ĐO BÓC KHỐI LƯỢNG HOÀN THÀNH ĐƯA VÀO QUYẾT TOÁN</v>
          </cell>
        </row>
      </sheetData>
      <sheetData sheetId="12070">
        <row r="4">
          <cell r="A4" t="str">
            <v>BẢNG TÍNH TOÁN, ĐO BÓC KHỐI LƯỢNG HOÀN THÀNH ĐƯA VÀO QUYẾT TOÁN</v>
          </cell>
        </row>
      </sheetData>
      <sheetData sheetId="12071">
        <row r="4">
          <cell r="A4" t="str">
            <v>BẢNG TÍNH TOÁN, ĐO BÓC KHỐI LƯỢNG HOÀN THÀNH ĐƯA VÀO QUYẾT TOÁN</v>
          </cell>
        </row>
      </sheetData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4">
          <cell r="A4" t="str">
            <v>BẢNG TÍNH TOÁN, ĐO BÓC KHỐI LƯỢNG HOÀN THÀNH ĐƯA VÀO QUYẾT TOÁN</v>
          </cell>
        </row>
      </sheetData>
      <sheetData sheetId="12081">
        <row r="4">
          <cell r="A4" t="str">
            <v>BẢNG TÍNH TOÁN, ĐO BÓC KHỐI LƯỢNG HOÀN THÀNH ĐƯA VÀO QUYẾT TOÁN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4">
          <cell r="A4" t="str">
            <v>BẢNG TÍNH TOÁN, ĐO BÓC KHỐI LƯỢNG HOÀN THÀNH ĐƯA VÀO QUYẾT TOÁN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4">
          <cell r="A4" t="str">
            <v>BẢNG TÍNH TOÁN, ĐO BÓC KHỐI LƯỢNG HOÀN THÀNH ĐƯA VÀO QUYẾT TOÁN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4">
          <cell r="A4" t="str">
            <v>BẢNG TÍNH TOÁN, ĐO BÓC KHỐI LƯỢNG HOÀN THÀNH ĐƯA VÀO QUYẾT TOÁN</v>
          </cell>
        </row>
      </sheetData>
      <sheetData sheetId="12137">
        <row r="9">
          <cell r="A9" t="str">
            <v>A</v>
          </cell>
        </row>
      </sheetData>
      <sheetData sheetId="12138">
        <row r="4">
          <cell r="A4" t="str">
            <v>BẢNG TÍNH TOÁN, ĐO BÓC KHỐI LƯỢNG HOÀN THÀNH ĐƯA VÀO QUYẾT TOÁN</v>
          </cell>
        </row>
      </sheetData>
      <sheetData sheetId="12139">
        <row r="4">
          <cell r="A4" t="str">
            <v>BẢNG TÍNH TOÁN, ĐO BÓC KHỐI LƯỢNG HOÀN THÀNH ĐƯA VÀO QUYẾT TOÁN</v>
          </cell>
        </row>
      </sheetData>
      <sheetData sheetId="12140">
        <row r="9">
          <cell r="A9" t="str">
            <v>A</v>
          </cell>
        </row>
      </sheetData>
      <sheetData sheetId="12141">
        <row r="4">
          <cell r="A4" t="str">
            <v>BẢNG TÍNH TOÁN, ĐO BÓC KHỐI LƯỢNG HOÀN THÀNH ĐƯA VÀO QUYẾT TOÁN</v>
          </cell>
        </row>
      </sheetData>
      <sheetData sheetId="12142">
        <row r="4">
          <cell r="A4" t="str">
            <v>BẢNG TÍNH TOÁN, ĐO BÓC KHỐI LƯỢNG HOÀN THÀNH ĐƯA VÀO QUYẾT TOÁN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4">
          <cell r="A4" t="str">
            <v>BẢNG TÍNH TOÁN, ĐO BÓC KHỐI LƯỢNG HOÀN THÀNH ĐƯA VÀO QUYẾT TOÁN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>
        <row r="9">
          <cell r="A9" t="str">
            <v>A</v>
          </cell>
        </row>
      </sheetData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4">
          <cell r="A4" t="str">
            <v>BẢNG TÍNH TOÁN, ĐO BÓC KHỐI LƯỢNG HOÀN THÀNH ĐƯA VÀO QUYẾT TOÁN</v>
          </cell>
        </row>
      </sheetData>
      <sheetData sheetId="12278">
        <row r="4">
          <cell r="A4" t="str">
            <v>BẢNG TÍNH TOÁN, ĐO BÓC KHỐI LƯỢNG HOÀN THÀNH ĐƯA VÀO QUYẾT TOÁN</v>
          </cell>
        </row>
      </sheetData>
      <sheetData sheetId="12279">
        <row r="4">
          <cell r="A4" t="str">
            <v>BẢNG TÍNH TOÁN, ĐO BÓC KHỐI LƯỢNG HOÀN THÀNH ĐƯA VÀO QUYẾT TOÁN</v>
          </cell>
        </row>
      </sheetData>
      <sheetData sheetId="12280">
        <row r="4">
          <cell r="A4" t="str">
            <v>BẢNG TÍNH TOÁN, ĐO BÓC KHỐI LƯỢNG HOÀN THÀNH ĐƯA VÀO QUYẾT TOÁN</v>
          </cell>
        </row>
      </sheetData>
      <sheetData sheetId="12281">
        <row r="4">
          <cell r="A4" t="str">
            <v>BẢNG TÍNH TOÁN, ĐO BÓC KHỐI LƯỢNG HOÀN THÀNH ĐƯA VÀO QUYẾT TOÁN</v>
          </cell>
        </row>
      </sheetData>
      <sheetData sheetId="12282">
        <row r="4">
          <cell r="A4" t="str">
            <v>BẢNG TÍNH TOÁN, ĐO BÓC KHỐI LƯỢNG HOÀN THÀNH ĐƯA VÀO QUYẾT TOÁN</v>
          </cell>
        </row>
      </sheetData>
      <sheetData sheetId="12283">
        <row r="4">
          <cell r="A4" t="str">
            <v>BẢNG TÍNH TOÁN, ĐO BÓC KHỐI LƯỢNG HOÀN THÀNH ĐƯA VÀO QUYẾT TOÁN</v>
          </cell>
        </row>
      </sheetData>
      <sheetData sheetId="12284"/>
      <sheetData sheetId="12285"/>
      <sheetData sheetId="12286">
        <row r="4">
          <cell r="A4" t="str">
            <v>BẢNG TÍNH TOÁN, ĐO BÓC KHỐI LƯỢNG HOÀN THÀNH ĐƯA VÀO QUYẾT TOÁN</v>
          </cell>
        </row>
      </sheetData>
      <sheetData sheetId="12287">
        <row r="4">
          <cell r="A4" t="str">
            <v>BẢNG TÍNH TOÁN, ĐO BÓC KHỐI LƯỢNG HOÀN THÀNH ĐƯA VÀO QUYẾT TOÁN</v>
          </cell>
        </row>
      </sheetData>
      <sheetData sheetId="12288">
        <row r="4">
          <cell r="A4" t="str">
            <v>BẢNG TÍNH TOÁN, ĐO BÓC KHỐI LƯỢNG HOÀN THÀNH ĐƯA VÀO QUYẾT TOÁN</v>
          </cell>
        </row>
      </sheetData>
      <sheetData sheetId="12289">
        <row r="4">
          <cell r="A4" t="str">
            <v>BẢNG TÍNH TOÁN, ĐO BÓC KHỐI LƯỢNG HOÀN THÀNH ĐƯA VÀO QUYẾT TOÁN</v>
          </cell>
        </row>
      </sheetData>
      <sheetData sheetId="12290">
        <row r="4">
          <cell r="A4" t="str">
            <v>BẢNG TÍNH TOÁN, ĐO BÓC KHỐI LƯỢNG HOÀN THÀNH ĐƯA VÀO QUYẾT TOÁN</v>
          </cell>
        </row>
      </sheetData>
      <sheetData sheetId="12291">
        <row r="4">
          <cell r="A4" t="str">
            <v>BẢNG TÍNH TOÁN, ĐO BÓC KHỐI LƯỢNG HOÀN THÀNH ĐƯA VÀO QUYẾT TOÁN</v>
          </cell>
        </row>
      </sheetData>
      <sheetData sheetId="12292">
        <row r="4">
          <cell r="A4" t="str">
            <v>BẢNG TÍNH TOÁN, ĐO BÓC KHỐI LƯỢNG HOÀN THÀNH ĐƯA VÀO QUYẾT TOÁN</v>
          </cell>
        </row>
      </sheetData>
      <sheetData sheetId="12293">
        <row r="4">
          <cell r="A4" t="str">
            <v>BẢNG TÍNH TOÁN, ĐO BÓC KHỐI LƯỢNG HOÀN THÀNH ĐƯA VÀO QUYẾT TOÁN</v>
          </cell>
        </row>
      </sheetData>
      <sheetData sheetId="12294">
        <row r="4">
          <cell r="A4" t="str">
            <v>BẢNG TÍNH TOÁN, ĐO BÓC KHỐI LƯỢNG HOÀN THÀNH ĐƯA VÀO QUYẾT TOÁN</v>
          </cell>
        </row>
      </sheetData>
      <sheetData sheetId="12295">
        <row r="9">
          <cell r="A9" t="str">
            <v>A</v>
          </cell>
        </row>
      </sheetData>
      <sheetData sheetId="12296">
        <row r="4">
          <cell r="A4" t="str">
            <v>BẢNG TÍNH TOÁN, ĐO BÓC KHỐI LƯỢNG HOÀN THÀNH ĐƯA VÀO QUYẾT TOÁN</v>
          </cell>
        </row>
      </sheetData>
      <sheetData sheetId="12297">
        <row r="4">
          <cell r="A4" t="str">
            <v>BẢNG TÍNH TOÁN, ĐO BÓC KHỐI LƯỢNG HOÀN THÀNH ĐƯA VÀO QUYẾT TOÁN</v>
          </cell>
        </row>
      </sheetData>
      <sheetData sheetId="12298">
        <row r="4">
          <cell r="A4" t="str">
            <v>BẢNG TÍNH TOÁN, ĐO BÓC KHỐI LƯỢNG HOÀN THÀNH ĐƯA VÀO QUYẾT TOÁN</v>
          </cell>
        </row>
      </sheetData>
      <sheetData sheetId="12299">
        <row r="4">
          <cell r="A4" t="str">
            <v>BẢNG TÍNH TOÁN, ĐO BÓC KHỐI LƯỢNG HOÀN THÀNH ĐƯA VÀO QUYẾT TOÁN</v>
          </cell>
        </row>
      </sheetData>
      <sheetData sheetId="12300">
        <row r="4">
          <cell r="A4" t="str">
            <v>BẢNG TÍNH TOÁN, ĐO BÓC KHỐI LƯỢNG HOÀN THÀNH ĐƯA VÀO QUYẾT TOÁN</v>
          </cell>
        </row>
      </sheetData>
      <sheetData sheetId="12301">
        <row r="4">
          <cell r="A4" t="str">
            <v>BẢNG TÍNH TOÁN, ĐO BÓC KHỐI LƯỢNG HOÀN THÀNH ĐƯA VÀO QUYẾT TOÁN</v>
          </cell>
        </row>
      </sheetData>
      <sheetData sheetId="12302">
        <row r="4">
          <cell r="A4" t="str">
            <v>BẢNG TÍNH TOÁN, ĐO BÓC KHỐI LƯỢNG HOÀN THÀNH ĐƯA VÀO QUYẾT TOÁN</v>
          </cell>
        </row>
      </sheetData>
      <sheetData sheetId="12303">
        <row r="4">
          <cell r="A4" t="str">
            <v>BẢNG TÍNH TOÁN, ĐO BÓC KHỐI LƯỢNG HOÀN THÀNH ĐƯA VÀO QUYẾT TOÁN</v>
          </cell>
        </row>
      </sheetData>
      <sheetData sheetId="12304">
        <row r="4">
          <cell r="A4" t="str">
            <v>BẢNG TÍNH TOÁN, ĐO BÓC KHỐI LƯỢNG HOÀN THÀNH ĐƯA VÀO QUYẾT TOÁN</v>
          </cell>
        </row>
      </sheetData>
      <sheetData sheetId="12305">
        <row r="9">
          <cell r="A9" t="str">
            <v>A</v>
          </cell>
        </row>
      </sheetData>
      <sheetData sheetId="12306">
        <row r="4">
          <cell r="A4" t="str">
            <v>BẢNG TÍNH TOÁN, ĐO BÓC KHỐI LƯỢNG HOÀN THÀNH ĐƯA VÀO QUYẾT TOÁN</v>
          </cell>
        </row>
      </sheetData>
      <sheetData sheetId="12307">
        <row r="4">
          <cell r="A4" t="str">
            <v>BẢNG TÍNH TOÁN, ĐO BÓC KHỐI LƯỢNG HOÀN THÀNH ĐƯA VÀO QUYẾT TOÁN</v>
          </cell>
        </row>
      </sheetData>
      <sheetData sheetId="12308">
        <row r="4">
          <cell r="A4" t="str">
            <v>BẢNG TÍNH TOÁN, ĐO BÓC KHỐI LƯỢNG HOÀN THÀNH ĐƯA VÀO QUYẾT TOÁN</v>
          </cell>
        </row>
      </sheetData>
      <sheetData sheetId="12309">
        <row r="4">
          <cell r="A4" t="str">
            <v>BẢNG TÍNH TOÁN, ĐO BÓC KHỐI LƯỢNG HOÀN THÀNH ĐƯA VÀO QUYẾT TOÁN</v>
          </cell>
        </row>
      </sheetData>
      <sheetData sheetId="12310">
        <row r="9">
          <cell r="A9" t="str">
            <v>A</v>
          </cell>
        </row>
      </sheetData>
      <sheetData sheetId="12311">
        <row r="4">
          <cell r="A4" t="str">
            <v>BẢNG TÍNH TOÁN, ĐO BÓC KHỐI LƯỢNG HOÀN THÀNH ĐƯA VÀO QUYẾT TOÁN</v>
          </cell>
        </row>
      </sheetData>
      <sheetData sheetId="12312">
        <row r="4">
          <cell r="A4" t="str">
            <v>BẢNG TÍNH TOÁN, ĐO BÓC KHỐI LƯỢNG HOÀN THÀNH ĐƯA VÀO QUYẾT TOÁN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4">
          <cell r="A4" t="str">
            <v>BẢNG TÍNH TOÁN, ĐO BÓC KHỐI LƯỢNG HOÀN THÀNH ĐƯA VÀO QUYẾT TOÁN</v>
          </cell>
        </row>
      </sheetData>
      <sheetData sheetId="12320">
        <row r="4">
          <cell r="A4" t="str">
            <v>BẢNG TÍNH TOÁN, ĐO BÓC KHỐI LƯỢNG HOÀN THÀNH ĐƯA VÀO QUYẾT TOÁN</v>
          </cell>
        </row>
      </sheetData>
      <sheetData sheetId="12321"/>
      <sheetData sheetId="12322">
        <row r="4">
          <cell r="A4" t="str">
            <v>BẢNG TÍNH TOÁN, ĐO BÓC KHỐI LƯỢNG HOÀN THÀNH ĐƯA VÀO QUYẾT TOÁN</v>
          </cell>
        </row>
      </sheetData>
      <sheetData sheetId="12323">
        <row r="4">
          <cell r="A4" t="str">
            <v>BẢNG TÍNH TOÁN, ĐO BÓC KHỐI LƯỢNG HOÀN THÀNH ĐƯA VÀO QUYẾT TOÁN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>
        <row r="4">
          <cell r="A4" t="str">
            <v>BẢNG TÍNH TOÁN, ĐO BÓC KHỐI LƯỢNG HOÀN THÀNH ĐƯA VÀO QUYẾT TOÁN</v>
          </cell>
        </row>
      </sheetData>
      <sheetData sheetId="12330">
        <row r="4">
          <cell r="A4" t="str">
            <v>BẢNG TÍNH TOÁN, ĐO BÓC KHỐI LƯỢNG HOÀN THÀNH ĐƯA VÀO QUYẾT TOÁN</v>
          </cell>
        </row>
      </sheetData>
      <sheetData sheetId="12331">
        <row r="4">
          <cell r="A4" t="str">
            <v>BẢNG TÍNH TOÁN, ĐO BÓC KHỐI LƯỢNG HOÀN THÀNH ĐƯA VÀO QUYẾT TOÁN</v>
          </cell>
        </row>
      </sheetData>
      <sheetData sheetId="12332">
        <row r="4">
          <cell r="A4" t="str">
            <v>BẢNG TÍNH TOÁN, ĐO BÓC KHỐI LƯỢNG HOÀN THÀNH ĐƯA VÀO QUYẾT TOÁN</v>
          </cell>
        </row>
      </sheetData>
      <sheetData sheetId="12333">
        <row r="4">
          <cell r="A4" t="str">
            <v>BẢNG TÍNH TOÁN, ĐO BÓC KHỐI LƯỢNG HOÀN THÀNH ĐƯA VÀO QUYẾT TOÁN</v>
          </cell>
        </row>
      </sheetData>
      <sheetData sheetId="12334">
        <row r="4">
          <cell r="A4" t="str">
            <v>BẢNG TÍNH TOÁN, ĐO BÓC KHỐI LƯỢNG HOÀN THÀNH ĐƯA VÀO QUYẾT TOÁN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4">
          <cell r="A4" t="str">
            <v>BẢNG TÍNH TOÁN, ĐO BÓC KHỐI LƯỢNG HOÀN THÀNH ĐƯA VÀO QUYẾT TOÁN</v>
          </cell>
        </row>
      </sheetData>
      <sheetData sheetId="12339">
        <row r="4">
          <cell r="A4" t="str">
            <v>BẢNG TÍNH TOÁN, ĐO BÓC KHỐI LƯỢNG HOÀN THÀNH ĐƯA VÀO QUYẾT TOÁN</v>
          </cell>
        </row>
      </sheetData>
      <sheetData sheetId="12340">
        <row r="4">
          <cell r="A4" t="str">
            <v>BẢNG TÍNH TOÁN, ĐO BÓC KHỐI LƯỢNG HOÀN THÀNH ĐƯA VÀO QUYẾT TOÁN</v>
          </cell>
        </row>
      </sheetData>
      <sheetData sheetId="12341">
        <row r="4">
          <cell r="A4" t="str">
            <v>BẢNG TÍNH TOÁN, ĐO BÓC KHỐI LƯỢNG HOÀN THÀNH ĐƯA VÀO QUYẾT TOÁN</v>
          </cell>
        </row>
      </sheetData>
      <sheetData sheetId="12342">
        <row r="4">
          <cell r="A4" t="str">
            <v>BẢNG TÍNH TOÁN, ĐO BÓC KHỐI LƯỢNG HOÀN THÀNH ĐƯA VÀO QUYẾT TOÁN</v>
          </cell>
        </row>
      </sheetData>
      <sheetData sheetId="12343">
        <row r="4">
          <cell r="A4" t="str">
            <v>BẢNG TÍNH TOÁN, ĐO BÓC KHỐI LƯỢNG HOÀN THÀNH ĐƯA VÀO QUYẾT TOÁN</v>
          </cell>
        </row>
      </sheetData>
      <sheetData sheetId="12344">
        <row r="4">
          <cell r="A4" t="str">
            <v>BẢNG TÍNH TOÁN, ĐO BÓC KHỐI LƯỢNG HOÀN THÀNH ĐƯA VÀO QUYẾT TOÁN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4">
          <cell r="A4" t="str">
            <v>BẢNG TÍNH TOÁN, ĐO BÓC KHỐI LƯỢNG HOÀN THÀNH ĐƯA VÀO QUYẾT TOÁN</v>
          </cell>
        </row>
      </sheetData>
      <sheetData sheetId="12349">
        <row r="4">
          <cell r="A4" t="str">
            <v>BẢNG TÍNH TOÁN, ĐO BÓC KHỐI LƯỢNG HOÀN THÀNH ĐƯA VÀO QUYẾT TOÁN</v>
          </cell>
        </row>
      </sheetData>
      <sheetData sheetId="12350">
        <row r="9">
          <cell r="A9" t="str">
            <v>A</v>
          </cell>
        </row>
      </sheetData>
      <sheetData sheetId="12351">
        <row r="4">
          <cell r="A4" t="str">
            <v>BẢNG TÍNH TOÁN, ĐO BÓC KHỐI LƯỢNG HOÀN THÀNH ĐƯA VÀO QUYẾT TOÁN</v>
          </cell>
        </row>
      </sheetData>
      <sheetData sheetId="12352">
        <row r="4">
          <cell r="A4" t="str">
            <v>BẢNG TÍNH TOÁN, ĐO BÓC KHỐI LƯỢNG HOÀN THÀNH ĐƯA VÀO QUYẾT TOÁN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4">
          <cell r="A4" t="str">
            <v>BẢNG TÍNH TOÁN, ĐO BÓC KHỐI LƯỢNG HOÀN THÀNH ĐƯA VÀO QUYẾT TOÁN</v>
          </cell>
        </row>
      </sheetData>
      <sheetData sheetId="12359">
        <row r="4">
          <cell r="A4" t="str">
            <v>BẢNG TÍNH TOÁN, ĐO BÓC KHỐI LƯỢNG HOÀN THÀNH ĐƯA VÀO QUYẾT TOÁN</v>
          </cell>
        </row>
      </sheetData>
      <sheetData sheetId="12360">
        <row r="4">
          <cell r="A4" t="str">
            <v>BẢNG TÍNH TOÁN, ĐO BÓC KHỐI LƯỢNG HOÀN THÀNH ĐƯA VÀO QUYẾT TOÁN</v>
          </cell>
        </row>
      </sheetData>
      <sheetData sheetId="12361">
        <row r="4">
          <cell r="A4" t="str">
            <v>BẢNG TÍNH TOÁN, ĐO BÓC KHỐI LƯỢNG HOÀN THÀNH ĐƯA VÀO QUYẾT TOÁN</v>
          </cell>
        </row>
      </sheetData>
      <sheetData sheetId="12362">
        <row r="4">
          <cell r="A4" t="str">
            <v>BẢNG TÍNH TOÁN, ĐO BÓC KHỐI LƯỢNG HOÀN THÀNH ĐƯA VÀO QUYẾT TOÁN</v>
          </cell>
        </row>
      </sheetData>
      <sheetData sheetId="12363">
        <row r="4">
          <cell r="A4" t="str">
            <v>BẢNG TÍNH TOÁN, ĐO BÓC KHỐI LƯỢNG HOÀN THÀNH ĐƯA VÀO QUYẾT TOÁN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4">
          <cell r="A4" t="str">
            <v>BẢNG TÍNH TOÁN, ĐO BÓC KHỐI LƯỢNG HOÀN THÀNH ĐƯA VÀO QUYẾT TOÁN</v>
          </cell>
        </row>
      </sheetData>
      <sheetData sheetId="12369">
        <row r="4">
          <cell r="A4" t="str">
            <v>BẢNG TÍNH TOÁN, ĐO BÓC KHỐI LƯỢNG HOÀN THÀNH ĐƯA VÀO QUYẾT TOÁN</v>
          </cell>
        </row>
      </sheetData>
      <sheetData sheetId="12370">
        <row r="4">
          <cell r="A4" t="str">
            <v>BẢNG TÍNH TOÁN, ĐO BÓC KHỐI LƯỢNG HOÀN THÀNH ĐƯA VÀO QUYẾT TOÁN</v>
          </cell>
        </row>
      </sheetData>
      <sheetData sheetId="12371">
        <row r="4">
          <cell r="A4" t="str">
            <v>BẢNG TÍNH TOÁN, ĐO BÓC KHỐI LƯỢNG HOÀN THÀNH ĐƯA VÀO QUYẾT TOÁN</v>
          </cell>
        </row>
      </sheetData>
      <sheetData sheetId="12372">
        <row r="4">
          <cell r="A4" t="str">
            <v>BẢNG TÍNH TOÁN, ĐO BÓC KHỐI LƯỢNG HOÀN THÀNH ĐƯA VÀO QUYẾT TOÁN</v>
          </cell>
        </row>
      </sheetData>
      <sheetData sheetId="12373">
        <row r="4">
          <cell r="A4" t="str">
            <v>BẢNG TÍNH TOÁN, ĐO BÓC KHỐI LƯỢNG HOÀN THÀNH ĐƯA VÀO QUYẾT TOÁN</v>
          </cell>
        </row>
      </sheetData>
      <sheetData sheetId="12374">
        <row r="4">
          <cell r="A4" t="str">
            <v>BẢNG TÍNH TOÁN, ĐO BÓC KHỐI LƯỢNG HOÀN THÀNH ĐƯA VÀO QUYẾT TOÁN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4">
          <cell r="A4" t="str">
            <v>BẢNG TÍNH TOÁN, ĐO BÓC KHỐI LƯỢNG HOÀN THÀNH ĐƯA VÀO QUYẾT TOÁN</v>
          </cell>
        </row>
      </sheetData>
      <sheetData sheetId="12381">
        <row r="4">
          <cell r="A4" t="str">
            <v>BẢNG TÍNH TOÁN, ĐO BÓC KHỐI LƯỢNG HOÀN THÀNH ĐƯA VÀO QUYẾT TOÁN</v>
          </cell>
        </row>
      </sheetData>
      <sheetData sheetId="12382">
        <row r="9">
          <cell r="A9" t="str">
            <v>A</v>
          </cell>
        </row>
      </sheetData>
      <sheetData sheetId="12383">
        <row r="4">
          <cell r="A4" t="str">
            <v>BẢNG TÍNH TOÁN, ĐO BÓC KHỐI LƯỢNG HOÀN THÀNH ĐƯA VÀO QUYẾT TOÁN</v>
          </cell>
        </row>
      </sheetData>
      <sheetData sheetId="12384">
        <row r="4">
          <cell r="A4" t="str">
            <v>BẢNG TÍNH TOÁN, ĐO BÓC KHỐI LƯỢNG HOÀN THÀNH ĐƯA VÀO QUYẾT TOÁN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/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/>
      <sheetData sheetId="12448"/>
      <sheetData sheetId="12449">
        <row r="9">
          <cell r="A9" t="str">
            <v>A</v>
          </cell>
        </row>
      </sheetData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1836-9E53-425A-8670-341E94CCCB38}">
  <sheetPr codeName="Sheet28">
    <tabColor rgb="FF00B050"/>
    <pageSetUpPr fitToPage="1"/>
  </sheetPr>
  <dimension ref="A1:AF630"/>
  <sheetViews>
    <sheetView view="pageBreakPreview" zoomScaleNormal="70" zoomScaleSheetLayoutView="100" workbookViewId="0">
      <pane ySplit="14" topLeftCell="A487" activePane="bottomLeft" state="frozen"/>
      <selection activeCell="R439" sqref="R439:R450"/>
      <selection pane="bottomLeft" activeCell="Y513" sqref="Y513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11.2851562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hidden="1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210" t="s">
        <v>43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</row>
    <row r="3" spans="1:32" ht="19.5" hidden="1" customHeight="1">
      <c r="A3" s="210" t="s">
        <v>42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</row>
    <row r="4" spans="1:32" ht="19.5" hidden="1" customHeight="1">
      <c r="A4" s="21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</row>
    <row r="5" spans="1:32" ht="18.75" hidden="1" customHeight="1">
      <c r="A5" s="211" t="s">
        <v>41</v>
      </c>
      <c r="B5" s="212"/>
      <c r="C5" s="212"/>
      <c r="D5" s="212"/>
      <c r="E5" s="212"/>
      <c r="F5" s="212"/>
      <c r="G5" s="212"/>
      <c r="H5" s="213"/>
      <c r="I5" s="214" t="s">
        <v>40</v>
      </c>
      <c r="J5" s="215"/>
      <c r="K5" s="215"/>
      <c r="L5" s="215"/>
      <c r="M5" s="215"/>
      <c r="N5" s="215"/>
      <c r="O5" s="215"/>
      <c r="P5" s="215"/>
      <c r="Q5" s="215"/>
      <c r="R5" s="216"/>
      <c r="S5" s="214" t="s">
        <v>39</v>
      </c>
      <c r="T5" s="215"/>
      <c r="U5" s="215"/>
      <c r="V5" s="215"/>
      <c r="W5" s="215"/>
      <c r="X5" s="215"/>
      <c r="Y5" s="215"/>
      <c r="Z5" s="215"/>
      <c r="AA5" s="215"/>
      <c r="AB5" s="216"/>
    </row>
    <row r="6" spans="1:32" ht="17.25" hidden="1" customHeight="1">
      <c r="A6" s="191" t="s">
        <v>38</v>
      </c>
      <c r="B6" s="192"/>
      <c r="C6" s="192"/>
      <c r="D6" s="192"/>
      <c r="E6" s="192"/>
      <c r="F6" s="192"/>
      <c r="G6" s="192"/>
      <c r="H6" s="193"/>
      <c r="I6" s="20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05"/>
      <c r="K6" s="205"/>
      <c r="L6" s="205"/>
      <c r="M6" s="205"/>
      <c r="N6" s="205"/>
      <c r="O6" s="205"/>
      <c r="P6" s="205"/>
      <c r="Q6" s="205"/>
      <c r="R6" s="206"/>
      <c r="S6" s="207" t="s">
        <v>37</v>
      </c>
      <c r="T6" s="208"/>
      <c r="U6" s="208"/>
      <c r="V6" s="208"/>
      <c r="W6" s="208"/>
      <c r="X6" s="208"/>
      <c r="Y6" s="208"/>
      <c r="Z6" s="208"/>
      <c r="AA6" s="208"/>
      <c r="AB6" s="209"/>
    </row>
    <row r="7" spans="1:32" ht="21" hidden="1" customHeight="1">
      <c r="A7" s="194" t="s">
        <v>36</v>
      </c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6"/>
    </row>
    <row r="8" spans="1:32" ht="15" hidden="1">
      <c r="A8" s="54" t="s">
        <v>35</v>
      </c>
      <c r="B8" s="52"/>
      <c r="C8" s="52"/>
      <c r="D8" s="52"/>
      <c r="E8" s="52"/>
      <c r="F8" s="52"/>
      <c r="G8" s="52"/>
      <c r="H8" s="52"/>
      <c r="I8" s="52"/>
      <c r="J8" s="53"/>
      <c r="K8" s="53" t="s">
        <v>34</v>
      </c>
      <c r="L8" s="53"/>
      <c r="M8" s="53"/>
      <c r="N8" s="53"/>
      <c r="O8" s="52"/>
      <c r="P8" s="52"/>
      <c r="Q8" s="52"/>
      <c r="R8" s="52"/>
      <c r="S8" s="52"/>
      <c r="T8" s="52"/>
      <c r="U8" s="52"/>
      <c r="V8" s="52"/>
      <c r="W8" s="51"/>
      <c r="X8" s="51"/>
      <c r="Y8" s="51"/>
      <c r="Z8" s="51"/>
      <c r="AA8" s="51"/>
      <c r="AB8" s="50"/>
    </row>
    <row r="9" spans="1:32" ht="15" hidden="1">
      <c r="A9" s="48" t="s">
        <v>33</v>
      </c>
      <c r="B9" s="46"/>
      <c r="C9" s="46" t="s">
        <v>32</v>
      </c>
      <c r="D9" s="46"/>
      <c r="E9" s="46"/>
      <c r="F9" s="46"/>
      <c r="G9" s="46"/>
      <c r="H9" s="46"/>
      <c r="I9" s="46"/>
      <c r="J9" s="47"/>
      <c r="K9" s="47" t="s">
        <v>31</v>
      </c>
      <c r="L9" s="47"/>
      <c r="M9" s="49">
        <f>C14</f>
        <v>1069</v>
      </c>
      <c r="N9" s="47"/>
      <c r="O9" s="46"/>
      <c r="P9" s="46"/>
      <c r="Q9" s="46"/>
      <c r="R9" s="46"/>
      <c r="S9" s="46"/>
      <c r="T9" s="46"/>
      <c r="U9" s="46"/>
      <c r="V9" s="46"/>
      <c r="W9" s="45"/>
      <c r="X9" s="45"/>
      <c r="Y9" s="45"/>
      <c r="Z9" s="45"/>
      <c r="AA9" s="45"/>
      <c r="AB9" s="44"/>
    </row>
    <row r="10" spans="1:32" ht="15" hidden="1">
      <c r="A10" s="48" t="s">
        <v>30</v>
      </c>
      <c r="B10" s="46"/>
      <c r="C10" s="46" t="s">
        <v>29</v>
      </c>
      <c r="D10" s="46"/>
      <c r="E10" s="46"/>
      <c r="F10" s="46"/>
      <c r="G10" s="46"/>
      <c r="H10" s="46"/>
      <c r="I10" s="46"/>
      <c r="J10" s="47"/>
      <c r="K10" s="47" t="s">
        <v>28</v>
      </c>
      <c r="L10" s="47"/>
      <c r="M10" s="197">
        <f>B14</f>
        <v>45251</v>
      </c>
      <c r="N10" s="197"/>
      <c r="O10" s="46"/>
      <c r="P10" s="46"/>
      <c r="Q10" s="46"/>
      <c r="R10" s="46"/>
      <c r="S10" s="46"/>
      <c r="T10" s="46"/>
      <c r="U10" s="46"/>
      <c r="V10" s="46"/>
      <c r="W10" s="45"/>
      <c r="X10" s="45"/>
      <c r="Y10" s="45"/>
      <c r="Z10" s="45"/>
      <c r="AA10" s="45"/>
      <c r="AB10" s="44"/>
    </row>
    <row r="11" spans="1:32" ht="11.25" hidden="1" customHeight="1">
      <c r="A11" s="43"/>
      <c r="B11" s="40"/>
      <c r="C11" s="42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1"/>
      <c r="R11" s="41"/>
      <c r="S11" s="41"/>
      <c r="T11" s="40"/>
      <c r="U11" s="40"/>
      <c r="V11" s="40"/>
      <c r="W11" s="40"/>
      <c r="X11" s="40"/>
      <c r="Y11" s="40"/>
      <c r="Z11" s="40"/>
      <c r="AA11" s="40"/>
      <c r="AB11" s="39"/>
    </row>
    <row r="12" spans="1:32" ht="47.25" hidden="1" customHeight="1">
      <c r="A12" s="189" t="s">
        <v>27</v>
      </c>
      <c r="B12" s="189" t="s">
        <v>26</v>
      </c>
      <c r="C12" s="189" t="s">
        <v>25</v>
      </c>
      <c r="D12" s="189" t="s">
        <v>24</v>
      </c>
      <c r="E12" s="186" t="s">
        <v>23</v>
      </c>
      <c r="F12" s="187"/>
      <c r="G12" s="188"/>
      <c r="H12" s="186" t="s">
        <v>22</v>
      </c>
      <c r="I12" s="187"/>
      <c r="J12" s="188"/>
      <c r="K12" s="186" t="s">
        <v>21</v>
      </c>
      <c r="L12" s="187"/>
      <c r="M12" s="188"/>
      <c r="N12" s="186" t="s">
        <v>20</v>
      </c>
      <c r="O12" s="187"/>
      <c r="P12" s="188"/>
      <c r="Q12" s="198" t="s">
        <v>19</v>
      </c>
      <c r="R12" s="199"/>
      <c r="S12" s="200"/>
      <c r="T12" s="189" t="s">
        <v>18</v>
      </c>
      <c r="U12" s="201" t="s">
        <v>17</v>
      </c>
      <c r="V12" s="202"/>
      <c r="W12" s="203"/>
      <c r="X12" s="189" t="s">
        <v>16</v>
      </c>
      <c r="Y12" s="189" t="s">
        <v>15</v>
      </c>
      <c r="Z12" s="189" t="s">
        <v>14</v>
      </c>
      <c r="AA12" s="189" t="s">
        <v>13</v>
      </c>
      <c r="AB12" s="189" t="s">
        <v>12</v>
      </c>
    </row>
    <row r="13" spans="1:32" ht="33" hidden="1" customHeight="1">
      <c r="A13" s="190"/>
      <c r="B13" s="190"/>
      <c r="C13" s="190"/>
      <c r="D13" s="190"/>
      <c r="E13" s="38" t="s">
        <v>11</v>
      </c>
      <c r="F13" s="38" t="s">
        <v>10</v>
      </c>
      <c r="G13" s="38" t="s">
        <v>9</v>
      </c>
      <c r="H13" s="38" t="s">
        <v>11</v>
      </c>
      <c r="I13" s="38" t="s">
        <v>10</v>
      </c>
      <c r="J13" s="38" t="s">
        <v>9</v>
      </c>
      <c r="K13" s="38" t="s">
        <v>11</v>
      </c>
      <c r="L13" s="38" t="s">
        <v>10</v>
      </c>
      <c r="M13" s="38" t="s">
        <v>9</v>
      </c>
      <c r="N13" s="38" t="s">
        <v>11</v>
      </c>
      <c r="O13" s="38" t="s">
        <v>10</v>
      </c>
      <c r="P13" s="38" t="s">
        <v>9</v>
      </c>
      <c r="Q13" s="38" t="s">
        <v>11</v>
      </c>
      <c r="R13" s="38" t="s">
        <v>10</v>
      </c>
      <c r="S13" s="38" t="s">
        <v>9</v>
      </c>
      <c r="T13" s="190"/>
      <c r="U13" s="38" t="s">
        <v>11</v>
      </c>
      <c r="V13" s="38" t="s">
        <v>10</v>
      </c>
      <c r="W13" s="38" t="s">
        <v>9</v>
      </c>
      <c r="X13" s="190"/>
      <c r="Y13" s="190"/>
      <c r="Z13" s="190"/>
      <c r="AA13" s="190"/>
      <c r="AB13" s="190"/>
    </row>
    <row r="14" spans="1:32" s="29" customFormat="1" ht="15">
      <c r="A14" s="37">
        <v>0</v>
      </c>
      <c r="B14" s="36">
        <v>45251</v>
      </c>
      <c r="C14" s="35">
        <v>1069</v>
      </c>
      <c r="D14" s="34">
        <v>1725</v>
      </c>
      <c r="E14" s="32">
        <f t="shared" ref="E14:E77" si="1">C14+D14-H14</f>
        <v>994</v>
      </c>
      <c r="F14" s="32">
        <f t="shared" ref="F14:F77" si="2">C14+D14-I14</f>
        <v>1014</v>
      </c>
      <c r="G14" s="32">
        <f t="shared" ref="G14:G77" si="3">D14+C14-J14</f>
        <v>1044</v>
      </c>
      <c r="H14" s="32">
        <f t="shared" ref="H14:H77" si="4">K14+N14</f>
        <v>1800</v>
      </c>
      <c r="I14" s="32">
        <f t="shared" ref="I14:I77" si="5">L14+O14</f>
        <v>1780</v>
      </c>
      <c r="J14" s="32">
        <f t="shared" ref="J14:J77" si="6">M14+P14</f>
        <v>1750</v>
      </c>
      <c r="K14" s="32">
        <v>2000</v>
      </c>
      <c r="L14" s="32">
        <v>2000</v>
      </c>
      <c r="M14" s="32">
        <v>2000</v>
      </c>
      <c r="N14" s="32">
        <v>-200</v>
      </c>
      <c r="O14" s="32">
        <v>-220</v>
      </c>
      <c r="P14" s="32">
        <v>-250</v>
      </c>
      <c r="Q14" s="32">
        <v>0</v>
      </c>
      <c r="R14" s="32">
        <v>0</v>
      </c>
      <c r="S14" s="32">
        <v>0</v>
      </c>
      <c r="T14" s="32">
        <f t="shared" ref="T14:T77" si="7">D14+C14-V14</f>
        <v>3014</v>
      </c>
      <c r="U14" s="32">
        <f>N14</f>
        <v>-200</v>
      </c>
      <c r="V14" s="32">
        <f>O14</f>
        <v>-220</v>
      </c>
      <c r="W14" s="32">
        <f>P14</f>
        <v>-250</v>
      </c>
      <c r="X14" s="32"/>
      <c r="Y14" s="33"/>
      <c r="Z14" s="32"/>
      <c r="AA14" s="32"/>
      <c r="AB14" s="31" t="s">
        <v>8</v>
      </c>
      <c r="AF14" s="30"/>
    </row>
    <row r="15" spans="1:32" ht="15">
      <c r="A15" s="18">
        <v>1</v>
      </c>
      <c r="B15" s="17">
        <f t="shared" ref="B15:B78" si="8">B14+1</f>
        <v>45252</v>
      </c>
      <c r="C15" s="13">
        <f t="shared" ref="C15:C78" si="9">C14</f>
        <v>1069</v>
      </c>
      <c r="D15" s="12">
        <f t="shared" ref="D15:D46" si="10">D14-2</f>
        <v>1723</v>
      </c>
      <c r="E15" s="11">
        <f t="shared" si="1"/>
        <v>992</v>
      </c>
      <c r="F15" s="11">
        <f t="shared" si="2"/>
        <v>1012</v>
      </c>
      <c r="G15" s="11">
        <f t="shared" si="3"/>
        <v>1042</v>
      </c>
      <c r="H15" s="8">
        <f t="shared" si="4"/>
        <v>1800</v>
      </c>
      <c r="I15" s="8">
        <f t="shared" si="5"/>
        <v>1780</v>
      </c>
      <c r="J15" s="8">
        <f t="shared" si="6"/>
        <v>1750</v>
      </c>
      <c r="K15" s="8">
        <f t="shared" ref="K15:K46" si="11">K14</f>
        <v>2000</v>
      </c>
      <c r="L15" s="8">
        <f t="shared" ref="L15:L46" si="12">L14</f>
        <v>2000</v>
      </c>
      <c r="M15" s="8">
        <f t="shared" ref="M15:M46" si="13">M14</f>
        <v>2000</v>
      </c>
      <c r="N15" s="8">
        <f t="shared" ref="N15:N78" si="14">N14-Q15</f>
        <v>-200</v>
      </c>
      <c r="O15" s="8">
        <f t="shared" ref="O15:O78" si="15">O14-R15</f>
        <v>-220</v>
      </c>
      <c r="P15" s="8">
        <f t="shared" ref="P15:P78" si="16">P14-S15</f>
        <v>-250</v>
      </c>
      <c r="Q15" s="11">
        <v>0</v>
      </c>
      <c r="R15" s="11">
        <v>0</v>
      </c>
      <c r="S15" s="11">
        <v>0</v>
      </c>
      <c r="T15" s="10">
        <f t="shared" si="7"/>
        <v>3012</v>
      </c>
      <c r="U15" s="9">
        <f t="shared" ref="U15:U34" si="17">U14+$X15*1000-Q15</f>
        <v>-200</v>
      </c>
      <c r="V15" s="9">
        <f t="shared" ref="V15:V34" si="18">V14+$X15*1000-R15</f>
        <v>-220</v>
      </c>
      <c r="W15" s="9">
        <f t="shared" ref="W15:W34" si="19">W14+$X15*1000-S15</f>
        <v>-250</v>
      </c>
      <c r="X15" s="10"/>
      <c r="Y15" s="27"/>
      <c r="Z15" s="8"/>
      <c r="AA15" s="8"/>
      <c r="AB15" s="28"/>
    </row>
    <row r="16" spans="1:32" ht="15">
      <c r="A16" s="18">
        <v>2</v>
      </c>
      <c r="B16" s="17">
        <f t="shared" si="8"/>
        <v>45253</v>
      </c>
      <c r="C16" s="13">
        <f t="shared" si="9"/>
        <v>1069</v>
      </c>
      <c r="D16" s="12">
        <f t="shared" si="10"/>
        <v>1721</v>
      </c>
      <c r="E16" s="11">
        <f t="shared" si="1"/>
        <v>990</v>
      </c>
      <c r="F16" s="11">
        <f t="shared" si="2"/>
        <v>1010</v>
      </c>
      <c r="G16" s="11">
        <f t="shared" si="3"/>
        <v>1040</v>
      </c>
      <c r="H16" s="8">
        <f t="shared" si="4"/>
        <v>1800</v>
      </c>
      <c r="I16" s="8">
        <f t="shared" si="5"/>
        <v>1780</v>
      </c>
      <c r="J16" s="8">
        <f t="shared" si="6"/>
        <v>1750</v>
      </c>
      <c r="K16" s="8">
        <f t="shared" si="11"/>
        <v>2000</v>
      </c>
      <c r="L16" s="8">
        <f t="shared" si="12"/>
        <v>2000</v>
      </c>
      <c r="M16" s="8">
        <f t="shared" si="13"/>
        <v>2000</v>
      </c>
      <c r="N16" s="8">
        <f t="shared" si="14"/>
        <v>-200</v>
      </c>
      <c r="O16" s="8">
        <f t="shared" si="15"/>
        <v>-220</v>
      </c>
      <c r="P16" s="8">
        <f t="shared" si="16"/>
        <v>-250</v>
      </c>
      <c r="Q16" s="11">
        <v>0</v>
      </c>
      <c r="R16" s="11">
        <v>0</v>
      </c>
      <c r="S16" s="11">
        <v>0</v>
      </c>
      <c r="T16" s="10">
        <f t="shared" si="7"/>
        <v>3010</v>
      </c>
      <c r="U16" s="9">
        <f t="shared" si="17"/>
        <v>-200</v>
      </c>
      <c r="V16" s="9">
        <f t="shared" si="18"/>
        <v>-220</v>
      </c>
      <c r="W16" s="9">
        <f t="shared" si="19"/>
        <v>-250</v>
      </c>
      <c r="X16" s="9"/>
      <c r="Y16" s="27"/>
      <c r="Z16" s="8"/>
      <c r="AA16" s="8"/>
      <c r="AB16" s="26"/>
      <c r="AD16" s="24"/>
    </row>
    <row r="17" spans="1:31" ht="15.75">
      <c r="A17" s="18">
        <v>3</v>
      </c>
      <c r="B17" s="17">
        <f t="shared" si="8"/>
        <v>45254</v>
      </c>
      <c r="C17" s="13">
        <f t="shared" si="9"/>
        <v>1069</v>
      </c>
      <c r="D17" s="12">
        <f t="shared" si="10"/>
        <v>1719</v>
      </c>
      <c r="E17" s="11">
        <f t="shared" si="1"/>
        <v>988</v>
      </c>
      <c r="F17" s="11">
        <f t="shared" si="2"/>
        <v>1008</v>
      </c>
      <c r="G17" s="11">
        <f t="shared" si="3"/>
        <v>1038</v>
      </c>
      <c r="H17" s="8">
        <f t="shared" si="4"/>
        <v>1800</v>
      </c>
      <c r="I17" s="8">
        <f t="shared" si="5"/>
        <v>1780</v>
      </c>
      <c r="J17" s="8">
        <f t="shared" si="6"/>
        <v>1750</v>
      </c>
      <c r="K17" s="8">
        <f t="shared" si="11"/>
        <v>2000</v>
      </c>
      <c r="L17" s="8">
        <f t="shared" si="12"/>
        <v>2000</v>
      </c>
      <c r="M17" s="8">
        <f t="shared" si="13"/>
        <v>2000</v>
      </c>
      <c r="N17" s="8">
        <f t="shared" si="14"/>
        <v>-200</v>
      </c>
      <c r="O17" s="8">
        <f t="shared" si="15"/>
        <v>-220</v>
      </c>
      <c r="P17" s="8">
        <f t="shared" si="16"/>
        <v>-250</v>
      </c>
      <c r="Q17" s="11">
        <v>0</v>
      </c>
      <c r="R17" s="11">
        <v>0</v>
      </c>
      <c r="S17" s="11">
        <v>0</v>
      </c>
      <c r="T17" s="10">
        <f t="shared" si="7"/>
        <v>3008</v>
      </c>
      <c r="U17" s="9">
        <f t="shared" si="17"/>
        <v>-200</v>
      </c>
      <c r="V17" s="9">
        <f t="shared" si="18"/>
        <v>-220</v>
      </c>
      <c r="W17" s="9">
        <f t="shared" si="19"/>
        <v>-250</v>
      </c>
      <c r="X17" s="10"/>
      <c r="Y17" s="8"/>
      <c r="Z17" s="8"/>
      <c r="AA17" s="8"/>
      <c r="AB17" s="25"/>
      <c r="AD17" s="24"/>
      <c r="AE17" s="23">
        <v>45256</v>
      </c>
    </row>
    <row r="18" spans="1:31" ht="16.5" customHeight="1">
      <c r="A18" s="18">
        <v>4</v>
      </c>
      <c r="B18" s="17">
        <f t="shared" si="8"/>
        <v>45255</v>
      </c>
      <c r="C18" s="13">
        <f t="shared" si="9"/>
        <v>1069</v>
      </c>
      <c r="D18" s="12">
        <f t="shared" si="10"/>
        <v>1717</v>
      </c>
      <c r="E18" s="11">
        <f t="shared" si="1"/>
        <v>986</v>
      </c>
      <c r="F18" s="11">
        <f t="shared" si="2"/>
        <v>1006</v>
      </c>
      <c r="G18" s="11">
        <f t="shared" si="3"/>
        <v>1036</v>
      </c>
      <c r="H18" s="8">
        <f t="shared" si="4"/>
        <v>1800</v>
      </c>
      <c r="I18" s="8">
        <f t="shared" si="5"/>
        <v>1780</v>
      </c>
      <c r="J18" s="8">
        <f t="shared" si="6"/>
        <v>1750</v>
      </c>
      <c r="K18" s="8">
        <f t="shared" si="11"/>
        <v>2000</v>
      </c>
      <c r="L18" s="8">
        <f t="shared" si="12"/>
        <v>2000</v>
      </c>
      <c r="M18" s="8">
        <f t="shared" si="13"/>
        <v>2000</v>
      </c>
      <c r="N18" s="8">
        <f t="shared" si="14"/>
        <v>-200</v>
      </c>
      <c r="O18" s="8">
        <f t="shared" si="15"/>
        <v>-220</v>
      </c>
      <c r="P18" s="8">
        <f t="shared" si="16"/>
        <v>-250</v>
      </c>
      <c r="Q18" s="11">
        <v>0</v>
      </c>
      <c r="R18" s="11">
        <v>0</v>
      </c>
      <c r="S18" s="11">
        <v>0</v>
      </c>
      <c r="T18" s="10">
        <f t="shared" si="7"/>
        <v>3006</v>
      </c>
      <c r="U18" s="9">
        <f t="shared" si="17"/>
        <v>-200</v>
      </c>
      <c r="V18" s="9">
        <f t="shared" si="18"/>
        <v>-220</v>
      </c>
      <c r="W18" s="9">
        <f t="shared" si="19"/>
        <v>-250</v>
      </c>
      <c r="X18" s="10"/>
      <c r="Y18" s="8"/>
      <c r="Z18" s="8"/>
      <c r="AA18" s="8"/>
      <c r="AB18" s="19"/>
      <c r="AD18" s="24"/>
      <c r="AE18" s="23">
        <v>45260</v>
      </c>
    </row>
    <row r="19" spans="1:31" ht="16.5" customHeight="1">
      <c r="A19" s="18">
        <v>5</v>
      </c>
      <c r="B19" s="17">
        <f t="shared" si="8"/>
        <v>45256</v>
      </c>
      <c r="C19" s="13">
        <f t="shared" si="9"/>
        <v>1069</v>
      </c>
      <c r="D19" s="12">
        <f t="shared" si="10"/>
        <v>1715</v>
      </c>
      <c r="E19" s="11">
        <f t="shared" si="1"/>
        <v>984</v>
      </c>
      <c r="F19" s="11">
        <f t="shared" si="2"/>
        <v>1004</v>
      </c>
      <c r="G19" s="11">
        <f t="shared" si="3"/>
        <v>1034</v>
      </c>
      <c r="H19" s="8">
        <f t="shared" si="4"/>
        <v>1800</v>
      </c>
      <c r="I19" s="8">
        <f t="shared" si="5"/>
        <v>1780</v>
      </c>
      <c r="J19" s="8">
        <f t="shared" si="6"/>
        <v>1750</v>
      </c>
      <c r="K19" s="8">
        <f t="shared" si="11"/>
        <v>2000</v>
      </c>
      <c r="L19" s="8">
        <f t="shared" si="12"/>
        <v>2000</v>
      </c>
      <c r="M19" s="8">
        <f t="shared" si="13"/>
        <v>2000</v>
      </c>
      <c r="N19" s="8">
        <f t="shared" si="14"/>
        <v>-200</v>
      </c>
      <c r="O19" s="8">
        <f t="shared" si="15"/>
        <v>-220</v>
      </c>
      <c r="P19" s="8">
        <f t="shared" si="16"/>
        <v>-250</v>
      </c>
      <c r="Q19" s="11">
        <v>0</v>
      </c>
      <c r="R19" s="11">
        <v>0</v>
      </c>
      <c r="S19" s="11">
        <v>0</v>
      </c>
      <c r="T19" s="10">
        <f t="shared" si="7"/>
        <v>3004</v>
      </c>
      <c r="U19" s="9">
        <f t="shared" si="17"/>
        <v>-200</v>
      </c>
      <c r="V19" s="9">
        <f t="shared" si="18"/>
        <v>-220</v>
      </c>
      <c r="W19" s="9">
        <f t="shared" si="19"/>
        <v>-250</v>
      </c>
      <c r="X19" s="10"/>
      <c r="Y19" s="8"/>
      <c r="Z19" s="8"/>
      <c r="AA19" s="8"/>
      <c r="AB19" s="19"/>
      <c r="AD19" s="24"/>
      <c r="AE19" s="23">
        <v>45264</v>
      </c>
    </row>
    <row r="20" spans="1:31" ht="16.5" customHeight="1">
      <c r="A20" s="18">
        <v>6</v>
      </c>
      <c r="B20" s="17">
        <f t="shared" si="8"/>
        <v>45257</v>
      </c>
      <c r="C20" s="13">
        <f t="shared" si="9"/>
        <v>1069</v>
      </c>
      <c r="D20" s="12">
        <f t="shared" si="10"/>
        <v>1713</v>
      </c>
      <c r="E20" s="11">
        <f t="shared" si="1"/>
        <v>982</v>
      </c>
      <c r="F20" s="11">
        <f t="shared" si="2"/>
        <v>1002</v>
      </c>
      <c r="G20" s="11">
        <f t="shared" si="3"/>
        <v>1032</v>
      </c>
      <c r="H20" s="8">
        <f t="shared" si="4"/>
        <v>1800</v>
      </c>
      <c r="I20" s="8">
        <f t="shared" si="5"/>
        <v>1780</v>
      </c>
      <c r="J20" s="8">
        <f t="shared" si="6"/>
        <v>1750</v>
      </c>
      <c r="K20" s="8">
        <f t="shared" si="11"/>
        <v>2000</v>
      </c>
      <c r="L20" s="8">
        <f t="shared" si="12"/>
        <v>2000</v>
      </c>
      <c r="M20" s="8">
        <f t="shared" si="13"/>
        <v>2000</v>
      </c>
      <c r="N20" s="8">
        <f t="shared" si="14"/>
        <v>-200</v>
      </c>
      <c r="O20" s="8">
        <f t="shared" si="15"/>
        <v>-220</v>
      </c>
      <c r="P20" s="8">
        <f t="shared" si="16"/>
        <v>-250</v>
      </c>
      <c r="Q20" s="11">
        <v>0</v>
      </c>
      <c r="R20" s="11">
        <v>0</v>
      </c>
      <c r="S20" s="11">
        <v>0</v>
      </c>
      <c r="T20" s="10">
        <f t="shared" si="7"/>
        <v>3002</v>
      </c>
      <c r="U20" s="9">
        <f t="shared" si="17"/>
        <v>-200</v>
      </c>
      <c r="V20" s="9">
        <f t="shared" si="18"/>
        <v>-220</v>
      </c>
      <c r="W20" s="9">
        <f t="shared" si="19"/>
        <v>-250</v>
      </c>
      <c r="X20" s="10"/>
      <c r="Y20" s="8"/>
      <c r="Z20" s="8"/>
      <c r="AA20" s="8"/>
      <c r="AB20" s="19"/>
      <c r="AD20" s="24"/>
      <c r="AE20" s="23">
        <v>45268</v>
      </c>
    </row>
    <row r="21" spans="1:31" ht="16.5" customHeight="1">
      <c r="A21" s="18">
        <v>7</v>
      </c>
      <c r="B21" s="17">
        <f t="shared" si="8"/>
        <v>45258</v>
      </c>
      <c r="C21" s="13">
        <f t="shared" si="9"/>
        <v>1069</v>
      </c>
      <c r="D21" s="12">
        <f t="shared" si="10"/>
        <v>1711</v>
      </c>
      <c r="E21" s="11">
        <f t="shared" si="1"/>
        <v>980</v>
      </c>
      <c r="F21" s="11">
        <f t="shared" si="2"/>
        <v>1000</v>
      </c>
      <c r="G21" s="11">
        <f t="shared" si="3"/>
        <v>1030</v>
      </c>
      <c r="H21" s="8">
        <f t="shared" si="4"/>
        <v>1800</v>
      </c>
      <c r="I21" s="8">
        <f t="shared" si="5"/>
        <v>1780</v>
      </c>
      <c r="J21" s="8">
        <f t="shared" si="6"/>
        <v>1750</v>
      </c>
      <c r="K21" s="8">
        <f t="shared" si="11"/>
        <v>2000</v>
      </c>
      <c r="L21" s="8">
        <f t="shared" si="12"/>
        <v>2000</v>
      </c>
      <c r="M21" s="8">
        <f t="shared" si="13"/>
        <v>2000</v>
      </c>
      <c r="N21" s="8">
        <f t="shared" si="14"/>
        <v>-200</v>
      </c>
      <c r="O21" s="8">
        <f t="shared" si="15"/>
        <v>-220</v>
      </c>
      <c r="P21" s="8">
        <f t="shared" si="16"/>
        <v>-250</v>
      </c>
      <c r="Q21" s="11">
        <v>0</v>
      </c>
      <c r="R21" s="11">
        <v>0</v>
      </c>
      <c r="S21" s="11">
        <v>0</v>
      </c>
      <c r="T21" s="10">
        <f t="shared" si="7"/>
        <v>3000</v>
      </c>
      <c r="U21" s="9">
        <f t="shared" si="17"/>
        <v>-200</v>
      </c>
      <c r="V21" s="9">
        <f t="shared" si="18"/>
        <v>-220</v>
      </c>
      <c r="W21" s="9">
        <f t="shared" si="19"/>
        <v>-250</v>
      </c>
      <c r="X21" s="10"/>
      <c r="Y21" s="8"/>
      <c r="Z21" s="8"/>
      <c r="AA21" s="8"/>
      <c r="AB21" s="19"/>
      <c r="AD21" s="24"/>
      <c r="AE21" s="23">
        <v>45272</v>
      </c>
    </row>
    <row r="22" spans="1:31" ht="16.5" customHeight="1">
      <c r="A22" s="18">
        <v>8</v>
      </c>
      <c r="B22" s="17">
        <f t="shared" si="8"/>
        <v>45259</v>
      </c>
      <c r="C22" s="13">
        <f t="shared" si="9"/>
        <v>1069</v>
      </c>
      <c r="D22" s="12">
        <f t="shared" si="10"/>
        <v>1709</v>
      </c>
      <c r="E22" s="11">
        <f t="shared" si="1"/>
        <v>978</v>
      </c>
      <c r="F22" s="11">
        <f t="shared" si="2"/>
        <v>998</v>
      </c>
      <c r="G22" s="11">
        <f t="shared" si="3"/>
        <v>1028</v>
      </c>
      <c r="H22" s="8">
        <f t="shared" si="4"/>
        <v>1800</v>
      </c>
      <c r="I22" s="8">
        <f t="shared" si="5"/>
        <v>1780</v>
      </c>
      <c r="J22" s="8">
        <f t="shared" si="6"/>
        <v>1750</v>
      </c>
      <c r="K22" s="8">
        <f t="shared" si="11"/>
        <v>2000</v>
      </c>
      <c r="L22" s="8">
        <f t="shared" si="12"/>
        <v>2000</v>
      </c>
      <c r="M22" s="8">
        <f t="shared" si="13"/>
        <v>2000</v>
      </c>
      <c r="N22" s="8">
        <f t="shared" si="14"/>
        <v>-200</v>
      </c>
      <c r="O22" s="8">
        <f t="shared" si="15"/>
        <v>-220</v>
      </c>
      <c r="P22" s="8">
        <f t="shared" si="16"/>
        <v>-250</v>
      </c>
      <c r="Q22" s="11">
        <v>0</v>
      </c>
      <c r="R22" s="11">
        <v>0</v>
      </c>
      <c r="S22" s="11">
        <v>0</v>
      </c>
      <c r="T22" s="10">
        <f t="shared" si="7"/>
        <v>2998</v>
      </c>
      <c r="U22" s="9">
        <f t="shared" si="17"/>
        <v>-200</v>
      </c>
      <c r="V22" s="9">
        <f t="shared" si="18"/>
        <v>-220</v>
      </c>
      <c r="W22" s="9">
        <f t="shared" si="19"/>
        <v>-250</v>
      </c>
      <c r="X22" s="10"/>
      <c r="Y22" s="8"/>
      <c r="Z22" s="8"/>
      <c r="AA22" s="8"/>
      <c r="AB22" s="19"/>
      <c r="AD22" s="24"/>
      <c r="AE22" s="23">
        <v>45276</v>
      </c>
    </row>
    <row r="23" spans="1:31" ht="16.5" customHeight="1">
      <c r="A23" s="18">
        <v>9</v>
      </c>
      <c r="B23" s="17">
        <f t="shared" si="8"/>
        <v>45260</v>
      </c>
      <c r="C23" s="13">
        <f t="shared" si="9"/>
        <v>1069</v>
      </c>
      <c r="D23" s="12">
        <f t="shared" si="10"/>
        <v>1707</v>
      </c>
      <c r="E23" s="11">
        <f t="shared" si="1"/>
        <v>976</v>
      </c>
      <c r="F23" s="11">
        <f t="shared" si="2"/>
        <v>996</v>
      </c>
      <c r="G23" s="11">
        <f t="shared" si="3"/>
        <v>1026</v>
      </c>
      <c r="H23" s="8">
        <f t="shared" si="4"/>
        <v>1800</v>
      </c>
      <c r="I23" s="8">
        <f t="shared" si="5"/>
        <v>1780</v>
      </c>
      <c r="J23" s="8">
        <f t="shared" si="6"/>
        <v>1750</v>
      </c>
      <c r="K23" s="8">
        <f t="shared" si="11"/>
        <v>2000</v>
      </c>
      <c r="L23" s="8">
        <f t="shared" si="12"/>
        <v>2000</v>
      </c>
      <c r="M23" s="8">
        <f t="shared" si="13"/>
        <v>2000</v>
      </c>
      <c r="N23" s="8">
        <f t="shared" si="14"/>
        <v>-200</v>
      </c>
      <c r="O23" s="8">
        <f t="shared" si="15"/>
        <v>-220</v>
      </c>
      <c r="P23" s="8">
        <f t="shared" si="16"/>
        <v>-250</v>
      </c>
      <c r="Q23" s="11">
        <v>0</v>
      </c>
      <c r="R23" s="11">
        <v>0</v>
      </c>
      <c r="S23" s="11">
        <v>0</v>
      </c>
      <c r="T23" s="10">
        <f t="shared" si="7"/>
        <v>2996</v>
      </c>
      <c r="U23" s="9">
        <f t="shared" si="17"/>
        <v>-200</v>
      </c>
      <c r="V23" s="9">
        <f t="shared" si="18"/>
        <v>-220</v>
      </c>
      <c r="W23" s="9">
        <f t="shared" si="19"/>
        <v>-250</v>
      </c>
      <c r="X23" s="10"/>
      <c r="Y23" s="8"/>
      <c r="Z23" s="8"/>
      <c r="AA23" s="8"/>
      <c r="AB23" s="19"/>
      <c r="AD23" s="24"/>
      <c r="AE23" s="23">
        <v>45280</v>
      </c>
    </row>
    <row r="24" spans="1:31" ht="16.5" customHeight="1">
      <c r="A24" s="18">
        <v>10</v>
      </c>
      <c r="B24" s="17">
        <f t="shared" si="8"/>
        <v>45261</v>
      </c>
      <c r="C24" s="13">
        <f t="shared" si="9"/>
        <v>1069</v>
      </c>
      <c r="D24" s="12">
        <f t="shared" si="10"/>
        <v>1705</v>
      </c>
      <c r="E24" s="11">
        <f t="shared" si="1"/>
        <v>974</v>
      </c>
      <c r="F24" s="11">
        <f t="shared" si="2"/>
        <v>994</v>
      </c>
      <c r="G24" s="11">
        <f t="shared" si="3"/>
        <v>1024</v>
      </c>
      <c r="H24" s="8">
        <f t="shared" si="4"/>
        <v>1800</v>
      </c>
      <c r="I24" s="8">
        <f t="shared" si="5"/>
        <v>1780</v>
      </c>
      <c r="J24" s="8">
        <f t="shared" si="6"/>
        <v>1750</v>
      </c>
      <c r="K24" s="8">
        <f t="shared" si="11"/>
        <v>2000</v>
      </c>
      <c r="L24" s="8">
        <f t="shared" si="12"/>
        <v>2000</v>
      </c>
      <c r="M24" s="8">
        <f t="shared" si="13"/>
        <v>2000</v>
      </c>
      <c r="N24" s="8">
        <f t="shared" si="14"/>
        <v>-200</v>
      </c>
      <c r="O24" s="8">
        <f t="shared" si="15"/>
        <v>-220</v>
      </c>
      <c r="P24" s="8">
        <f t="shared" si="16"/>
        <v>-250</v>
      </c>
      <c r="Q24" s="11">
        <v>0</v>
      </c>
      <c r="R24" s="11">
        <v>0</v>
      </c>
      <c r="S24" s="11">
        <v>0</v>
      </c>
      <c r="T24" s="10">
        <f t="shared" si="7"/>
        <v>2994</v>
      </c>
      <c r="U24" s="9">
        <f t="shared" si="17"/>
        <v>-200</v>
      </c>
      <c r="V24" s="9">
        <f t="shared" si="18"/>
        <v>-220</v>
      </c>
      <c r="W24" s="9">
        <f t="shared" si="19"/>
        <v>-250</v>
      </c>
      <c r="X24" s="10"/>
      <c r="Y24" s="8"/>
      <c r="Z24" s="8"/>
      <c r="AA24" s="8"/>
      <c r="AB24" s="19"/>
      <c r="AD24" s="24"/>
      <c r="AE24" s="23">
        <v>45284</v>
      </c>
    </row>
    <row r="25" spans="1:31" ht="16.5" customHeight="1">
      <c r="A25" s="18">
        <v>11</v>
      </c>
      <c r="B25" s="17">
        <f t="shared" si="8"/>
        <v>45262</v>
      </c>
      <c r="C25" s="13">
        <f t="shared" si="9"/>
        <v>1069</v>
      </c>
      <c r="D25" s="12">
        <f t="shared" si="10"/>
        <v>1703</v>
      </c>
      <c r="E25" s="11">
        <f t="shared" si="1"/>
        <v>972</v>
      </c>
      <c r="F25" s="11">
        <f t="shared" si="2"/>
        <v>992</v>
      </c>
      <c r="G25" s="11">
        <f t="shared" si="3"/>
        <v>1022</v>
      </c>
      <c r="H25" s="8">
        <f t="shared" si="4"/>
        <v>1800</v>
      </c>
      <c r="I25" s="8">
        <f t="shared" si="5"/>
        <v>1780</v>
      </c>
      <c r="J25" s="8">
        <f t="shared" si="6"/>
        <v>1750</v>
      </c>
      <c r="K25" s="8">
        <f t="shared" si="11"/>
        <v>2000</v>
      </c>
      <c r="L25" s="8">
        <f t="shared" si="12"/>
        <v>2000</v>
      </c>
      <c r="M25" s="8">
        <f t="shared" si="13"/>
        <v>2000</v>
      </c>
      <c r="N25" s="8">
        <f t="shared" si="14"/>
        <v>-200</v>
      </c>
      <c r="O25" s="8">
        <f t="shared" si="15"/>
        <v>-220</v>
      </c>
      <c r="P25" s="8">
        <f t="shared" si="16"/>
        <v>-250</v>
      </c>
      <c r="Q25" s="11">
        <v>0</v>
      </c>
      <c r="R25" s="11">
        <v>0</v>
      </c>
      <c r="S25" s="11">
        <v>0</v>
      </c>
      <c r="T25" s="10">
        <f t="shared" si="7"/>
        <v>2992</v>
      </c>
      <c r="U25" s="9">
        <f t="shared" si="17"/>
        <v>-200</v>
      </c>
      <c r="V25" s="9">
        <f t="shared" si="18"/>
        <v>-220</v>
      </c>
      <c r="W25" s="9">
        <f t="shared" si="19"/>
        <v>-250</v>
      </c>
      <c r="X25" s="10"/>
      <c r="Y25" s="8"/>
      <c r="Z25" s="8"/>
      <c r="AA25" s="8"/>
      <c r="AB25" s="19"/>
      <c r="AD25" s="24"/>
      <c r="AE25" s="23">
        <v>45402</v>
      </c>
    </row>
    <row r="26" spans="1:31" ht="16.5" customHeight="1">
      <c r="A26" s="18">
        <v>12</v>
      </c>
      <c r="B26" s="17">
        <f t="shared" si="8"/>
        <v>45263</v>
      </c>
      <c r="C26" s="13">
        <f t="shared" si="9"/>
        <v>1069</v>
      </c>
      <c r="D26" s="12">
        <f t="shared" si="10"/>
        <v>1701</v>
      </c>
      <c r="E26" s="11">
        <f t="shared" si="1"/>
        <v>970</v>
      </c>
      <c r="F26" s="11">
        <f t="shared" si="2"/>
        <v>990</v>
      </c>
      <c r="G26" s="11">
        <f t="shared" si="3"/>
        <v>1020</v>
      </c>
      <c r="H26" s="8">
        <f t="shared" si="4"/>
        <v>1800</v>
      </c>
      <c r="I26" s="8">
        <f t="shared" si="5"/>
        <v>1780</v>
      </c>
      <c r="J26" s="8">
        <f t="shared" si="6"/>
        <v>1750</v>
      </c>
      <c r="K26" s="8">
        <f t="shared" si="11"/>
        <v>2000</v>
      </c>
      <c r="L26" s="8">
        <f t="shared" si="12"/>
        <v>2000</v>
      </c>
      <c r="M26" s="8">
        <f t="shared" si="13"/>
        <v>2000</v>
      </c>
      <c r="N26" s="8">
        <f t="shared" si="14"/>
        <v>-200</v>
      </c>
      <c r="O26" s="8">
        <f t="shared" si="15"/>
        <v>-220</v>
      </c>
      <c r="P26" s="8">
        <f t="shared" si="16"/>
        <v>-250</v>
      </c>
      <c r="Q26" s="11">
        <v>0</v>
      </c>
      <c r="R26" s="11">
        <v>0</v>
      </c>
      <c r="S26" s="11">
        <v>0</v>
      </c>
      <c r="T26" s="10">
        <f t="shared" si="7"/>
        <v>2990</v>
      </c>
      <c r="U26" s="9">
        <f t="shared" si="17"/>
        <v>-200</v>
      </c>
      <c r="V26" s="9">
        <f t="shared" si="18"/>
        <v>-220</v>
      </c>
      <c r="W26" s="9">
        <f t="shared" si="19"/>
        <v>-250</v>
      </c>
      <c r="X26" s="10"/>
      <c r="Y26" s="8"/>
      <c r="Z26" s="8"/>
      <c r="AA26" s="8"/>
      <c r="AB26" s="19"/>
      <c r="AD26" s="24"/>
      <c r="AE26" s="23">
        <v>45406</v>
      </c>
    </row>
    <row r="27" spans="1:31" ht="16.5" customHeight="1">
      <c r="A27" s="18">
        <v>13</v>
      </c>
      <c r="B27" s="17">
        <f t="shared" si="8"/>
        <v>45264</v>
      </c>
      <c r="C27" s="13">
        <f t="shared" si="9"/>
        <v>1069</v>
      </c>
      <c r="D27" s="12">
        <f t="shared" si="10"/>
        <v>1699</v>
      </c>
      <c r="E27" s="11">
        <f t="shared" si="1"/>
        <v>968</v>
      </c>
      <c r="F27" s="11">
        <f t="shared" si="2"/>
        <v>988</v>
      </c>
      <c r="G27" s="11">
        <f t="shared" si="3"/>
        <v>1018</v>
      </c>
      <c r="H27" s="8">
        <f t="shared" si="4"/>
        <v>1800</v>
      </c>
      <c r="I27" s="8">
        <f t="shared" si="5"/>
        <v>1780</v>
      </c>
      <c r="J27" s="8">
        <f t="shared" si="6"/>
        <v>1750</v>
      </c>
      <c r="K27" s="8">
        <f t="shared" si="11"/>
        <v>2000</v>
      </c>
      <c r="L27" s="8">
        <f t="shared" si="12"/>
        <v>2000</v>
      </c>
      <c r="M27" s="8">
        <f t="shared" si="13"/>
        <v>2000</v>
      </c>
      <c r="N27" s="8">
        <f t="shared" si="14"/>
        <v>-200</v>
      </c>
      <c r="O27" s="8">
        <f t="shared" si="15"/>
        <v>-220</v>
      </c>
      <c r="P27" s="8">
        <f t="shared" si="16"/>
        <v>-250</v>
      </c>
      <c r="Q27" s="11">
        <v>0</v>
      </c>
      <c r="R27" s="11">
        <v>0</v>
      </c>
      <c r="S27" s="11">
        <v>0</v>
      </c>
      <c r="T27" s="10">
        <f t="shared" si="7"/>
        <v>2988</v>
      </c>
      <c r="U27" s="9">
        <f t="shared" si="17"/>
        <v>-200</v>
      </c>
      <c r="V27" s="9">
        <f t="shared" si="18"/>
        <v>-220</v>
      </c>
      <c r="W27" s="9">
        <f t="shared" si="19"/>
        <v>-250</v>
      </c>
      <c r="X27" s="10"/>
      <c r="Y27" s="8"/>
      <c r="Z27" s="8"/>
      <c r="AA27" s="8"/>
      <c r="AB27" s="19"/>
      <c r="AD27" s="24"/>
      <c r="AE27" s="23">
        <v>45411</v>
      </c>
    </row>
    <row r="28" spans="1:31" ht="16.5" customHeight="1">
      <c r="A28" s="18">
        <v>14</v>
      </c>
      <c r="B28" s="17">
        <f t="shared" si="8"/>
        <v>45265</v>
      </c>
      <c r="C28" s="13">
        <f t="shared" si="9"/>
        <v>1069</v>
      </c>
      <c r="D28" s="12">
        <f t="shared" si="10"/>
        <v>1697</v>
      </c>
      <c r="E28" s="11">
        <f t="shared" si="1"/>
        <v>966</v>
      </c>
      <c r="F28" s="11">
        <f t="shared" si="2"/>
        <v>986</v>
      </c>
      <c r="G28" s="11">
        <f t="shared" si="3"/>
        <v>1016</v>
      </c>
      <c r="H28" s="8">
        <f t="shared" si="4"/>
        <v>1800</v>
      </c>
      <c r="I28" s="8">
        <f t="shared" si="5"/>
        <v>1780</v>
      </c>
      <c r="J28" s="8">
        <f t="shared" si="6"/>
        <v>1750</v>
      </c>
      <c r="K28" s="8">
        <f t="shared" si="11"/>
        <v>2000</v>
      </c>
      <c r="L28" s="8">
        <f t="shared" si="12"/>
        <v>2000</v>
      </c>
      <c r="M28" s="8">
        <f t="shared" si="13"/>
        <v>2000</v>
      </c>
      <c r="N28" s="8">
        <f t="shared" si="14"/>
        <v>-200</v>
      </c>
      <c r="O28" s="8">
        <f t="shared" si="15"/>
        <v>-220</v>
      </c>
      <c r="P28" s="8">
        <f t="shared" si="16"/>
        <v>-250</v>
      </c>
      <c r="Q28" s="11">
        <v>0</v>
      </c>
      <c r="R28" s="11">
        <v>0</v>
      </c>
      <c r="S28" s="11">
        <v>0</v>
      </c>
      <c r="T28" s="10">
        <f t="shared" si="7"/>
        <v>2986</v>
      </c>
      <c r="U28" s="9">
        <f t="shared" si="17"/>
        <v>-200</v>
      </c>
      <c r="V28" s="9">
        <f t="shared" si="18"/>
        <v>-220</v>
      </c>
      <c r="W28" s="9">
        <f t="shared" si="19"/>
        <v>-250</v>
      </c>
      <c r="X28" s="10"/>
      <c r="Y28" s="8"/>
      <c r="Z28" s="8"/>
      <c r="AA28" s="8"/>
      <c r="AB28" s="19"/>
      <c r="AD28" s="24"/>
      <c r="AE28" s="23">
        <v>45415</v>
      </c>
    </row>
    <row r="29" spans="1:31" ht="16.5" customHeight="1">
      <c r="A29" s="18">
        <v>15</v>
      </c>
      <c r="B29" s="17">
        <f t="shared" si="8"/>
        <v>45266</v>
      </c>
      <c r="C29" s="13">
        <f t="shared" si="9"/>
        <v>1069</v>
      </c>
      <c r="D29" s="12">
        <f t="shared" si="10"/>
        <v>1695</v>
      </c>
      <c r="E29" s="11">
        <f t="shared" si="1"/>
        <v>964</v>
      </c>
      <c r="F29" s="11">
        <f t="shared" si="2"/>
        <v>984</v>
      </c>
      <c r="G29" s="11">
        <f t="shared" si="3"/>
        <v>1014</v>
      </c>
      <c r="H29" s="8">
        <f t="shared" si="4"/>
        <v>1800</v>
      </c>
      <c r="I29" s="8">
        <f t="shared" si="5"/>
        <v>1780</v>
      </c>
      <c r="J29" s="8">
        <f t="shared" si="6"/>
        <v>1750</v>
      </c>
      <c r="K29" s="8">
        <f t="shared" si="11"/>
        <v>2000</v>
      </c>
      <c r="L29" s="8">
        <f t="shared" si="12"/>
        <v>2000</v>
      </c>
      <c r="M29" s="8">
        <f t="shared" si="13"/>
        <v>2000</v>
      </c>
      <c r="N29" s="8">
        <f t="shared" si="14"/>
        <v>-200</v>
      </c>
      <c r="O29" s="8">
        <f t="shared" si="15"/>
        <v>-220</v>
      </c>
      <c r="P29" s="8">
        <f t="shared" si="16"/>
        <v>-250</v>
      </c>
      <c r="Q29" s="11">
        <v>0</v>
      </c>
      <c r="R29" s="11">
        <v>0</v>
      </c>
      <c r="S29" s="11">
        <v>0</v>
      </c>
      <c r="T29" s="10">
        <f t="shared" si="7"/>
        <v>2984</v>
      </c>
      <c r="U29" s="9">
        <f t="shared" si="17"/>
        <v>-200</v>
      </c>
      <c r="V29" s="9">
        <f t="shared" si="18"/>
        <v>-220</v>
      </c>
      <c r="W29" s="9">
        <f t="shared" si="19"/>
        <v>-250</v>
      </c>
      <c r="X29" s="10"/>
      <c r="Y29" s="8"/>
      <c r="Z29" s="8"/>
      <c r="AA29" s="8"/>
      <c r="AB29" s="19"/>
    </row>
    <row r="30" spans="1:31" ht="16.5" customHeight="1">
      <c r="A30" s="18">
        <v>16</v>
      </c>
      <c r="B30" s="17">
        <f t="shared" si="8"/>
        <v>45267</v>
      </c>
      <c r="C30" s="13">
        <f t="shared" si="9"/>
        <v>1069</v>
      </c>
      <c r="D30" s="12">
        <f t="shared" si="10"/>
        <v>1693</v>
      </c>
      <c r="E30" s="11">
        <f t="shared" si="1"/>
        <v>962</v>
      </c>
      <c r="F30" s="11">
        <f t="shared" si="2"/>
        <v>982</v>
      </c>
      <c r="G30" s="11">
        <f t="shared" si="3"/>
        <v>1012</v>
      </c>
      <c r="H30" s="8">
        <f t="shared" si="4"/>
        <v>1800</v>
      </c>
      <c r="I30" s="8">
        <f t="shared" si="5"/>
        <v>1780</v>
      </c>
      <c r="J30" s="8">
        <f t="shared" si="6"/>
        <v>1750</v>
      </c>
      <c r="K30" s="8">
        <f t="shared" si="11"/>
        <v>2000</v>
      </c>
      <c r="L30" s="8">
        <f t="shared" si="12"/>
        <v>2000</v>
      </c>
      <c r="M30" s="8">
        <f t="shared" si="13"/>
        <v>2000</v>
      </c>
      <c r="N30" s="8">
        <f t="shared" si="14"/>
        <v>-200</v>
      </c>
      <c r="O30" s="8">
        <f t="shared" si="15"/>
        <v>-220</v>
      </c>
      <c r="P30" s="8">
        <f t="shared" si="16"/>
        <v>-250</v>
      </c>
      <c r="Q30" s="22">
        <v>0</v>
      </c>
      <c r="R30" s="22">
        <v>0</v>
      </c>
      <c r="S30" s="22">
        <v>0</v>
      </c>
      <c r="T30" s="10">
        <f t="shared" si="7"/>
        <v>2982</v>
      </c>
      <c r="U30" s="9">
        <f t="shared" si="17"/>
        <v>-200</v>
      </c>
      <c r="V30" s="9">
        <f t="shared" si="18"/>
        <v>-220</v>
      </c>
      <c r="W30" s="9">
        <f t="shared" si="19"/>
        <v>-250</v>
      </c>
      <c r="X30" s="10"/>
      <c r="Y30" s="8"/>
      <c r="Z30" s="8"/>
      <c r="AA30" s="8"/>
      <c r="AB30" s="19"/>
    </row>
    <row r="31" spans="1:31" ht="16.5" customHeight="1">
      <c r="A31" s="18">
        <v>17</v>
      </c>
      <c r="B31" s="17">
        <f t="shared" si="8"/>
        <v>45268</v>
      </c>
      <c r="C31" s="13">
        <f t="shared" si="9"/>
        <v>1069</v>
      </c>
      <c r="D31" s="12">
        <f t="shared" si="10"/>
        <v>1691</v>
      </c>
      <c r="E31" s="11">
        <f t="shared" si="1"/>
        <v>969</v>
      </c>
      <c r="F31" s="11">
        <f t="shared" si="2"/>
        <v>988</v>
      </c>
      <c r="G31" s="11">
        <f t="shared" si="3"/>
        <v>1019</v>
      </c>
      <c r="H31" s="8">
        <f t="shared" si="4"/>
        <v>1791</v>
      </c>
      <c r="I31" s="8">
        <f t="shared" si="5"/>
        <v>1772</v>
      </c>
      <c r="J31" s="8">
        <f t="shared" si="6"/>
        <v>1741</v>
      </c>
      <c r="K31" s="8">
        <f t="shared" si="11"/>
        <v>2000</v>
      </c>
      <c r="L31" s="8">
        <f t="shared" si="12"/>
        <v>2000</v>
      </c>
      <c r="M31" s="8">
        <f t="shared" si="13"/>
        <v>2000</v>
      </c>
      <c r="N31" s="8">
        <f t="shared" si="14"/>
        <v>-209</v>
      </c>
      <c r="O31" s="8">
        <f t="shared" si="15"/>
        <v>-228</v>
      </c>
      <c r="P31" s="8">
        <f t="shared" si="16"/>
        <v>-259</v>
      </c>
      <c r="Q31" s="11">
        <v>9</v>
      </c>
      <c r="R31" s="11">
        <v>8</v>
      </c>
      <c r="S31" s="11">
        <v>9</v>
      </c>
      <c r="T31" s="10">
        <f t="shared" si="7"/>
        <v>2688</v>
      </c>
      <c r="U31" s="21">
        <f t="shared" si="17"/>
        <v>91</v>
      </c>
      <c r="V31" s="21">
        <f t="shared" si="18"/>
        <v>72</v>
      </c>
      <c r="W31" s="21">
        <f t="shared" si="19"/>
        <v>41</v>
      </c>
      <c r="X31" s="16">
        <v>0.3</v>
      </c>
      <c r="Y31" s="8"/>
      <c r="Z31" s="8"/>
      <c r="AA31" s="8"/>
      <c r="AB31" s="19">
        <v>9</v>
      </c>
    </row>
    <row r="32" spans="1:31" ht="16.5" customHeight="1">
      <c r="A32" s="18">
        <v>18</v>
      </c>
      <c r="B32" s="17">
        <f t="shared" si="8"/>
        <v>45269</v>
      </c>
      <c r="C32" s="13">
        <f t="shared" si="9"/>
        <v>1069</v>
      </c>
      <c r="D32" s="12">
        <f t="shared" si="10"/>
        <v>1689</v>
      </c>
      <c r="E32" s="11">
        <f t="shared" si="1"/>
        <v>970</v>
      </c>
      <c r="F32" s="11">
        <f t="shared" si="2"/>
        <v>989</v>
      </c>
      <c r="G32" s="11">
        <f t="shared" si="3"/>
        <v>1020</v>
      </c>
      <c r="H32" s="8">
        <f t="shared" si="4"/>
        <v>1788</v>
      </c>
      <c r="I32" s="8">
        <f t="shared" si="5"/>
        <v>1769</v>
      </c>
      <c r="J32" s="8">
        <f t="shared" si="6"/>
        <v>1738</v>
      </c>
      <c r="K32" s="8">
        <f t="shared" si="11"/>
        <v>2000</v>
      </c>
      <c r="L32" s="8">
        <f t="shared" si="12"/>
        <v>2000</v>
      </c>
      <c r="M32" s="8">
        <f t="shared" si="13"/>
        <v>2000</v>
      </c>
      <c r="N32" s="8">
        <f t="shared" si="14"/>
        <v>-212</v>
      </c>
      <c r="O32" s="8">
        <f t="shared" si="15"/>
        <v>-231</v>
      </c>
      <c r="P32" s="8">
        <f t="shared" si="16"/>
        <v>-262</v>
      </c>
      <c r="Q32" s="11">
        <v>3</v>
      </c>
      <c r="R32" s="11">
        <v>3</v>
      </c>
      <c r="S32" s="11">
        <v>3</v>
      </c>
      <c r="T32" s="10">
        <f t="shared" si="7"/>
        <v>2689</v>
      </c>
      <c r="U32" s="9">
        <f t="shared" si="17"/>
        <v>88</v>
      </c>
      <c r="V32" s="9">
        <f t="shared" si="18"/>
        <v>69</v>
      </c>
      <c r="W32" s="9">
        <f t="shared" si="19"/>
        <v>38</v>
      </c>
      <c r="X32" s="10"/>
      <c r="Y32" s="8"/>
      <c r="Z32" s="8"/>
      <c r="AA32" s="8"/>
      <c r="AB32" s="19"/>
    </row>
    <row r="33" spans="1:28" ht="16.5" customHeight="1">
      <c r="A33" s="18">
        <v>19</v>
      </c>
      <c r="B33" s="17">
        <f t="shared" si="8"/>
        <v>45270</v>
      </c>
      <c r="C33" s="13">
        <f t="shared" si="9"/>
        <v>1069</v>
      </c>
      <c r="D33" s="12">
        <f t="shared" si="10"/>
        <v>1687</v>
      </c>
      <c r="E33" s="11">
        <f t="shared" si="1"/>
        <v>972</v>
      </c>
      <c r="F33" s="11">
        <f t="shared" si="2"/>
        <v>992</v>
      </c>
      <c r="G33" s="11">
        <f t="shared" si="3"/>
        <v>1022</v>
      </c>
      <c r="H33" s="8">
        <f t="shared" si="4"/>
        <v>1784</v>
      </c>
      <c r="I33" s="8">
        <f t="shared" si="5"/>
        <v>1764</v>
      </c>
      <c r="J33" s="8">
        <f t="shared" si="6"/>
        <v>1734</v>
      </c>
      <c r="K33" s="8">
        <f t="shared" si="11"/>
        <v>2000</v>
      </c>
      <c r="L33" s="8">
        <f t="shared" si="12"/>
        <v>2000</v>
      </c>
      <c r="M33" s="8">
        <f t="shared" si="13"/>
        <v>2000</v>
      </c>
      <c r="N33" s="8">
        <f t="shared" si="14"/>
        <v>-216</v>
      </c>
      <c r="O33" s="8">
        <f t="shared" si="15"/>
        <v>-236</v>
      </c>
      <c r="P33" s="8">
        <f t="shared" si="16"/>
        <v>-266</v>
      </c>
      <c r="Q33" s="11">
        <v>4</v>
      </c>
      <c r="R33" s="11">
        <v>5</v>
      </c>
      <c r="S33" s="11">
        <v>4</v>
      </c>
      <c r="T33" s="10">
        <f t="shared" si="7"/>
        <v>2692</v>
      </c>
      <c r="U33" s="9">
        <f t="shared" si="17"/>
        <v>84</v>
      </c>
      <c r="V33" s="9">
        <f t="shared" si="18"/>
        <v>64</v>
      </c>
      <c r="W33" s="9">
        <f t="shared" si="19"/>
        <v>34</v>
      </c>
      <c r="X33" s="10"/>
      <c r="Y33" s="8"/>
      <c r="Z33" s="8"/>
      <c r="AA33" s="8"/>
      <c r="AB33" s="19"/>
    </row>
    <row r="34" spans="1:28" ht="16.5" customHeight="1">
      <c r="A34" s="18">
        <v>20</v>
      </c>
      <c r="B34" s="17">
        <f t="shared" si="8"/>
        <v>45271</v>
      </c>
      <c r="C34" s="13">
        <f t="shared" si="9"/>
        <v>1069</v>
      </c>
      <c r="D34" s="12">
        <f t="shared" si="10"/>
        <v>1685</v>
      </c>
      <c r="E34" s="11">
        <f t="shared" si="1"/>
        <v>976</v>
      </c>
      <c r="F34" s="11">
        <f t="shared" si="2"/>
        <v>993</v>
      </c>
      <c r="G34" s="11">
        <f t="shared" si="3"/>
        <v>1023</v>
      </c>
      <c r="H34" s="8">
        <f t="shared" si="4"/>
        <v>1778</v>
      </c>
      <c r="I34" s="8">
        <f t="shared" si="5"/>
        <v>1761</v>
      </c>
      <c r="J34" s="8">
        <f t="shared" si="6"/>
        <v>1731</v>
      </c>
      <c r="K34" s="8">
        <f t="shared" si="11"/>
        <v>2000</v>
      </c>
      <c r="L34" s="8">
        <f t="shared" si="12"/>
        <v>2000</v>
      </c>
      <c r="M34" s="8">
        <f t="shared" si="13"/>
        <v>2000</v>
      </c>
      <c r="N34" s="8">
        <f t="shared" si="14"/>
        <v>-222</v>
      </c>
      <c r="O34" s="8">
        <f t="shared" si="15"/>
        <v>-239</v>
      </c>
      <c r="P34" s="8">
        <f t="shared" si="16"/>
        <v>-269</v>
      </c>
      <c r="Q34" s="11">
        <v>6</v>
      </c>
      <c r="R34" s="11">
        <v>3</v>
      </c>
      <c r="S34" s="11">
        <v>3</v>
      </c>
      <c r="T34" s="10">
        <f t="shared" si="7"/>
        <v>2693</v>
      </c>
      <c r="U34" s="9">
        <f t="shared" si="17"/>
        <v>78</v>
      </c>
      <c r="V34" s="9">
        <f t="shared" si="18"/>
        <v>61</v>
      </c>
      <c r="W34" s="9">
        <f t="shared" si="19"/>
        <v>31</v>
      </c>
      <c r="X34" s="10"/>
      <c r="Y34" s="8"/>
      <c r="Z34" s="8"/>
      <c r="AA34" s="8"/>
      <c r="AB34" s="19"/>
    </row>
    <row r="35" spans="1:28" ht="16.5" customHeight="1">
      <c r="A35" s="18">
        <v>21</v>
      </c>
      <c r="B35" s="17">
        <f t="shared" si="8"/>
        <v>45272</v>
      </c>
      <c r="C35" s="13">
        <f t="shared" si="9"/>
        <v>1069</v>
      </c>
      <c r="D35" s="12">
        <f t="shared" si="10"/>
        <v>1683</v>
      </c>
      <c r="E35" s="11">
        <f t="shared" si="1"/>
        <v>983</v>
      </c>
      <c r="F35" s="11">
        <f t="shared" si="2"/>
        <v>999</v>
      </c>
      <c r="G35" s="11">
        <f t="shared" si="3"/>
        <v>1030</v>
      </c>
      <c r="H35" s="8">
        <f t="shared" si="4"/>
        <v>1769</v>
      </c>
      <c r="I35" s="8">
        <f t="shared" si="5"/>
        <v>1753</v>
      </c>
      <c r="J35" s="8">
        <f t="shared" si="6"/>
        <v>1722</v>
      </c>
      <c r="K35" s="8">
        <f t="shared" si="11"/>
        <v>2000</v>
      </c>
      <c r="L35" s="8">
        <f t="shared" si="12"/>
        <v>2000</v>
      </c>
      <c r="M35" s="8">
        <f t="shared" si="13"/>
        <v>2000</v>
      </c>
      <c r="N35" s="8">
        <f t="shared" si="14"/>
        <v>-231</v>
      </c>
      <c r="O35" s="8">
        <f t="shared" si="15"/>
        <v>-247</v>
      </c>
      <c r="P35" s="8">
        <f t="shared" si="16"/>
        <v>-278</v>
      </c>
      <c r="Q35" s="11">
        <v>9</v>
      </c>
      <c r="R35" s="11">
        <v>8</v>
      </c>
      <c r="S35" s="11">
        <v>9</v>
      </c>
      <c r="T35" s="10">
        <f t="shared" si="7"/>
        <v>2379</v>
      </c>
      <c r="U35" s="9">
        <f t="shared" ref="U35:U98" si="20">U34+$X35*1000-Q35</f>
        <v>369</v>
      </c>
      <c r="V35" s="9">
        <f>V34+0.32*1000-R35</f>
        <v>373</v>
      </c>
      <c r="W35" s="9">
        <f>W34+0.35*1000-S35</f>
        <v>372</v>
      </c>
      <c r="X35" s="16">
        <v>0.3</v>
      </c>
      <c r="Y35" s="8"/>
      <c r="Z35" s="8"/>
      <c r="AA35" s="8"/>
      <c r="AB35" s="19">
        <v>8</v>
      </c>
    </row>
    <row r="36" spans="1:28" ht="16.5" customHeight="1">
      <c r="A36" s="18">
        <v>22</v>
      </c>
      <c r="B36" s="17">
        <f t="shared" si="8"/>
        <v>45273</v>
      </c>
      <c r="C36" s="13">
        <f t="shared" si="9"/>
        <v>1069</v>
      </c>
      <c r="D36" s="12">
        <f t="shared" si="10"/>
        <v>1681</v>
      </c>
      <c r="E36" s="11">
        <f t="shared" si="1"/>
        <v>989</v>
      </c>
      <c r="F36" s="11">
        <f t="shared" si="2"/>
        <v>999</v>
      </c>
      <c r="G36" s="11">
        <f t="shared" si="3"/>
        <v>1030</v>
      </c>
      <c r="H36" s="8">
        <f t="shared" si="4"/>
        <v>1761</v>
      </c>
      <c r="I36" s="8">
        <f t="shared" si="5"/>
        <v>1751</v>
      </c>
      <c r="J36" s="8">
        <f t="shared" si="6"/>
        <v>1720</v>
      </c>
      <c r="K36" s="8">
        <f t="shared" si="11"/>
        <v>2000</v>
      </c>
      <c r="L36" s="8">
        <f t="shared" si="12"/>
        <v>2000</v>
      </c>
      <c r="M36" s="8">
        <f t="shared" si="13"/>
        <v>2000</v>
      </c>
      <c r="N36" s="8">
        <f t="shared" si="14"/>
        <v>-239</v>
      </c>
      <c r="O36" s="8">
        <f t="shared" si="15"/>
        <v>-249</v>
      </c>
      <c r="P36" s="8">
        <f t="shared" si="16"/>
        <v>-280</v>
      </c>
      <c r="Q36" s="11">
        <v>8</v>
      </c>
      <c r="R36" s="11">
        <v>2</v>
      </c>
      <c r="S36" s="11">
        <v>2</v>
      </c>
      <c r="T36" s="10">
        <f t="shared" si="7"/>
        <v>2379</v>
      </c>
      <c r="U36" s="9">
        <f t="shared" si="20"/>
        <v>361</v>
      </c>
      <c r="V36" s="9">
        <f t="shared" ref="V36:V99" si="21">V35+$X36*1000-R36</f>
        <v>371</v>
      </c>
      <c r="W36" s="9">
        <f t="shared" ref="W36:W99" si="22">W35+$X36*1000-S36</f>
        <v>370</v>
      </c>
      <c r="X36" s="10"/>
      <c r="Y36" s="8"/>
      <c r="Z36" s="8"/>
      <c r="AA36" s="8"/>
      <c r="AB36" s="19"/>
    </row>
    <row r="37" spans="1:28" ht="16.5" customHeight="1">
      <c r="A37" s="18">
        <v>23</v>
      </c>
      <c r="B37" s="17">
        <f t="shared" si="8"/>
        <v>45274</v>
      </c>
      <c r="C37" s="13">
        <f t="shared" si="9"/>
        <v>1069</v>
      </c>
      <c r="D37" s="12">
        <f t="shared" si="10"/>
        <v>1679</v>
      </c>
      <c r="E37" s="11">
        <f t="shared" si="1"/>
        <v>992</v>
      </c>
      <c r="F37" s="11">
        <f t="shared" si="2"/>
        <v>999</v>
      </c>
      <c r="G37" s="11">
        <f t="shared" si="3"/>
        <v>1032</v>
      </c>
      <c r="H37" s="8">
        <f t="shared" si="4"/>
        <v>1756</v>
      </c>
      <c r="I37" s="8">
        <f t="shared" si="5"/>
        <v>1749</v>
      </c>
      <c r="J37" s="8">
        <f t="shared" si="6"/>
        <v>1716</v>
      </c>
      <c r="K37" s="8">
        <f t="shared" si="11"/>
        <v>2000</v>
      </c>
      <c r="L37" s="8">
        <f t="shared" si="12"/>
        <v>2000</v>
      </c>
      <c r="M37" s="8">
        <f t="shared" si="13"/>
        <v>2000</v>
      </c>
      <c r="N37" s="8">
        <f t="shared" si="14"/>
        <v>-244</v>
      </c>
      <c r="O37" s="8">
        <f t="shared" si="15"/>
        <v>-251</v>
      </c>
      <c r="P37" s="8">
        <f t="shared" si="16"/>
        <v>-284</v>
      </c>
      <c r="Q37" s="11">
        <v>5</v>
      </c>
      <c r="R37" s="11">
        <v>2</v>
      </c>
      <c r="S37" s="11">
        <v>4</v>
      </c>
      <c r="T37" s="10">
        <f t="shared" si="7"/>
        <v>2379</v>
      </c>
      <c r="U37" s="9">
        <f t="shared" si="20"/>
        <v>356</v>
      </c>
      <c r="V37" s="9">
        <f t="shared" si="21"/>
        <v>369</v>
      </c>
      <c r="W37" s="9">
        <f t="shared" si="22"/>
        <v>366</v>
      </c>
      <c r="X37" s="10"/>
      <c r="Y37" s="8"/>
      <c r="Z37" s="8"/>
      <c r="AA37" s="8"/>
      <c r="AB37" s="19"/>
    </row>
    <row r="38" spans="1:28" ht="16.5" customHeight="1">
      <c r="A38" s="18">
        <v>24</v>
      </c>
      <c r="B38" s="17">
        <f t="shared" si="8"/>
        <v>45275</v>
      </c>
      <c r="C38" s="13">
        <f t="shared" si="9"/>
        <v>1069</v>
      </c>
      <c r="D38" s="12">
        <f t="shared" si="10"/>
        <v>1677</v>
      </c>
      <c r="E38" s="11">
        <f t="shared" si="1"/>
        <v>994</v>
      </c>
      <c r="F38" s="11">
        <f t="shared" si="2"/>
        <v>1000</v>
      </c>
      <c r="G38" s="11">
        <f t="shared" si="3"/>
        <v>1033</v>
      </c>
      <c r="H38" s="8">
        <f t="shared" si="4"/>
        <v>1752</v>
      </c>
      <c r="I38" s="8">
        <f t="shared" si="5"/>
        <v>1746</v>
      </c>
      <c r="J38" s="8">
        <f t="shared" si="6"/>
        <v>1713</v>
      </c>
      <c r="K38" s="8">
        <f t="shared" si="11"/>
        <v>2000</v>
      </c>
      <c r="L38" s="8">
        <f t="shared" si="12"/>
        <v>2000</v>
      </c>
      <c r="M38" s="8">
        <f t="shared" si="13"/>
        <v>2000</v>
      </c>
      <c r="N38" s="8">
        <f t="shared" si="14"/>
        <v>-248</v>
      </c>
      <c r="O38" s="8">
        <f t="shared" si="15"/>
        <v>-254</v>
      </c>
      <c r="P38" s="8">
        <f t="shared" si="16"/>
        <v>-287</v>
      </c>
      <c r="Q38" s="11">
        <v>4</v>
      </c>
      <c r="R38" s="11">
        <v>3</v>
      </c>
      <c r="S38" s="11">
        <v>3</v>
      </c>
      <c r="T38" s="10">
        <f t="shared" si="7"/>
        <v>2380</v>
      </c>
      <c r="U38" s="9">
        <f t="shared" si="20"/>
        <v>352</v>
      </c>
      <c r="V38" s="9">
        <f t="shared" si="21"/>
        <v>366</v>
      </c>
      <c r="W38" s="9">
        <f t="shared" si="22"/>
        <v>363</v>
      </c>
      <c r="X38" s="10"/>
      <c r="Y38" s="8"/>
      <c r="Z38" s="8"/>
      <c r="AA38" s="8"/>
      <c r="AB38" s="19"/>
    </row>
    <row r="39" spans="1:28" ht="16.5" customHeight="1">
      <c r="A39" s="18">
        <v>25</v>
      </c>
      <c r="B39" s="17">
        <f t="shared" si="8"/>
        <v>45276</v>
      </c>
      <c r="C39" s="13">
        <f t="shared" si="9"/>
        <v>1069</v>
      </c>
      <c r="D39" s="12">
        <f t="shared" si="10"/>
        <v>1675</v>
      </c>
      <c r="E39" s="11">
        <f t="shared" si="1"/>
        <v>1001</v>
      </c>
      <c r="F39" s="11">
        <f t="shared" si="2"/>
        <v>1006</v>
      </c>
      <c r="G39" s="11">
        <f t="shared" si="3"/>
        <v>1040</v>
      </c>
      <c r="H39" s="8">
        <f t="shared" si="4"/>
        <v>1743</v>
      </c>
      <c r="I39" s="8">
        <f t="shared" si="5"/>
        <v>1738</v>
      </c>
      <c r="J39" s="8">
        <f t="shared" si="6"/>
        <v>1704</v>
      </c>
      <c r="K39" s="8">
        <f t="shared" si="11"/>
        <v>2000</v>
      </c>
      <c r="L39" s="8">
        <f t="shared" si="12"/>
        <v>2000</v>
      </c>
      <c r="M39" s="8">
        <f t="shared" si="13"/>
        <v>2000</v>
      </c>
      <c r="N39" s="8">
        <f t="shared" si="14"/>
        <v>-257</v>
      </c>
      <c r="O39" s="8">
        <f t="shared" si="15"/>
        <v>-262</v>
      </c>
      <c r="P39" s="8">
        <f t="shared" si="16"/>
        <v>-296</v>
      </c>
      <c r="Q39" s="11">
        <v>9</v>
      </c>
      <c r="R39" s="11">
        <v>8</v>
      </c>
      <c r="S39" s="11">
        <v>9</v>
      </c>
      <c r="T39" s="10">
        <f t="shared" si="7"/>
        <v>2186</v>
      </c>
      <c r="U39" s="9">
        <f t="shared" si="20"/>
        <v>543</v>
      </c>
      <c r="V39" s="9">
        <f t="shared" si="21"/>
        <v>558</v>
      </c>
      <c r="W39" s="9">
        <f t="shared" si="22"/>
        <v>554</v>
      </c>
      <c r="X39" s="16">
        <v>0.2</v>
      </c>
      <c r="Y39" s="8"/>
      <c r="Z39" s="8"/>
      <c r="AA39" s="8"/>
      <c r="AB39" s="19">
        <v>7</v>
      </c>
    </row>
    <row r="40" spans="1:28" ht="16.5" customHeight="1">
      <c r="A40" s="18">
        <v>26</v>
      </c>
      <c r="B40" s="17">
        <f t="shared" si="8"/>
        <v>45277</v>
      </c>
      <c r="C40" s="13">
        <f t="shared" si="9"/>
        <v>1069</v>
      </c>
      <c r="D40" s="12">
        <f t="shared" si="10"/>
        <v>1673</v>
      </c>
      <c r="E40" s="11">
        <f t="shared" si="1"/>
        <v>1001</v>
      </c>
      <c r="F40" s="11">
        <f t="shared" si="2"/>
        <v>1009</v>
      </c>
      <c r="G40" s="11">
        <f t="shared" si="3"/>
        <v>1040</v>
      </c>
      <c r="H40" s="8">
        <f t="shared" si="4"/>
        <v>1741</v>
      </c>
      <c r="I40" s="8">
        <f t="shared" si="5"/>
        <v>1733</v>
      </c>
      <c r="J40" s="8">
        <f t="shared" si="6"/>
        <v>1702</v>
      </c>
      <c r="K40" s="8">
        <f t="shared" si="11"/>
        <v>2000</v>
      </c>
      <c r="L40" s="8">
        <f t="shared" si="12"/>
        <v>2000</v>
      </c>
      <c r="M40" s="8">
        <f t="shared" si="13"/>
        <v>2000</v>
      </c>
      <c r="N40" s="8">
        <f t="shared" si="14"/>
        <v>-259</v>
      </c>
      <c r="O40" s="8">
        <f t="shared" si="15"/>
        <v>-267</v>
      </c>
      <c r="P40" s="8">
        <f t="shared" si="16"/>
        <v>-298</v>
      </c>
      <c r="Q40" s="11">
        <v>2</v>
      </c>
      <c r="R40" s="11">
        <v>5</v>
      </c>
      <c r="S40" s="11">
        <v>2</v>
      </c>
      <c r="T40" s="10">
        <f t="shared" si="7"/>
        <v>2189</v>
      </c>
      <c r="U40" s="9">
        <f t="shared" si="20"/>
        <v>541</v>
      </c>
      <c r="V40" s="9">
        <f t="shared" si="21"/>
        <v>553</v>
      </c>
      <c r="W40" s="9">
        <f t="shared" si="22"/>
        <v>552</v>
      </c>
      <c r="X40" s="10"/>
      <c r="Y40" s="8"/>
      <c r="Z40" s="8"/>
      <c r="AA40" s="8"/>
      <c r="AB40" s="19"/>
    </row>
    <row r="41" spans="1:28" ht="16.5" customHeight="1">
      <c r="A41" s="18">
        <v>27</v>
      </c>
      <c r="B41" s="17">
        <f t="shared" si="8"/>
        <v>45278</v>
      </c>
      <c r="C41" s="13">
        <f t="shared" si="9"/>
        <v>1069</v>
      </c>
      <c r="D41" s="12">
        <f t="shared" si="10"/>
        <v>1671</v>
      </c>
      <c r="E41" s="11">
        <f t="shared" si="1"/>
        <v>1003</v>
      </c>
      <c r="F41" s="11">
        <f t="shared" si="2"/>
        <v>1012</v>
      </c>
      <c r="G41" s="11">
        <f t="shared" si="3"/>
        <v>1040</v>
      </c>
      <c r="H41" s="8">
        <f t="shared" si="4"/>
        <v>1737</v>
      </c>
      <c r="I41" s="8">
        <f t="shared" si="5"/>
        <v>1728</v>
      </c>
      <c r="J41" s="8">
        <f t="shared" si="6"/>
        <v>1700</v>
      </c>
      <c r="K41" s="8">
        <f t="shared" si="11"/>
        <v>2000</v>
      </c>
      <c r="L41" s="8">
        <f t="shared" si="12"/>
        <v>2000</v>
      </c>
      <c r="M41" s="8">
        <f t="shared" si="13"/>
        <v>2000</v>
      </c>
      <c r="N41" s="8">
        <f t="shared" si="14"/>
        <v>-263</v>
      </c>
      <c r="O41" s="8">
        <f t="shared" si="15"/>
        <v>-272</v>
      </c>
      <c r="P41" s="8">
        <f t="shared" si="16"/>
        <v>-300</v>
      </c>
      <c r="Q41" s="11">
        <v>4</v>
      </c>
      <c r="R41" s="11">
        <v>5</v>
      </c>
      <c r="S41" s="11">
        <v>2</v>
      </c>
      <c r="T41" s="10">
        <f t="shared" si="7"/>
        <v>2192</v>
      </c>
      <c r="U41" s="9">
        <f t="shared" si="20"/>
        <v>537</v>
      </c>
      <c r="V41" s="9">
        <f t="shared" si="21"/>
        <v>548</v>
      </c>
      <c r="W41" s="9">
        <f t="shared" si="22"/>
        <v>550</v>
      </c>
      <c r="X41" s="10"/>
      <c r="Y41" s="8"/>
      <c r="Z41" s="8"/>
      <c r="AA41" s="8"/>
      <c r="AB41" s="19"/>
    </row>
    <row r="42" spans="1:28" ht="16.5" customHeight="1">
      <c r="A42" s="18">
        <v>28</v>
      </c>
      <c r="B42" s="17">
        <f t="shared" si="8"/>
        <v>45279</v>
      </c>
      <c r="C42" s="13">
        <f t="shared" si="9"/>
        <v>1069</v>
      </c>
      <c r="D42" s="12">
        <f t="shared" si="10"/>
        <v>1669</v>
      </c>
      <c r="E42" s="11">
        <f t="shared" si="1"/>
        <v>1005</v>
      </c>
      <c r="F42" s="11">
        <f t="shared" si="2"/>
        <v>1015</v>
      </c>
      <c r="G42" s="11">
        <f t="shared" si="3"/>
        <v>1043</v>
      </c>
      <c r="H42" s="8">
        <f t="shared" si="4"/>
        <v>1733</v>
      </c>
      <c r="I42" s="8">
        <f t="shared" si="5"/>
        <v>1723</v>
      </c>
      <c r="J42" s="8">
        <f t="shared" si="6"/>
        <v>1695</v>
      </c>
      <c r="K42" s="8">
        <f t="shared" si="11"/>
        <v>2000</v>
      </c>
      <c r="L42" s="8">
        <f t="shared" si="12"/>
        <v>2000</v>
      </c>
      <c r="M42" s="8">
        <f t="shared" si="13"/>
        <v>2000</v>
      </c>
      <c r="N42" s="8">
        <f t="shared" si="14"/>
        <v>-267</v>
      </c>
      <c r="O42" s="8">
        <f t="shared" si="15"/>
        <v>-277</v>
      </c>
      <c r="P42" s="8">
        <f t="shared" si="16"/>
        <v>-305</v>
      </c>
      <c r="Q42" s="11">
        <v>4</v>
      </c>
      <c r="R42" s="11">
        <v>5</v>
      </c>
      <c r="S42" s="11">
        <v>5</v>
      </c>
      <c r="T42" s="10">
        <f t="shared" si="7"/>
        <v>2195</v>
      </c>
      <c r="U42" s="9">
        <f t="shared" si="20"/>
        <v>533</v>
      </c>
      <c r="V42" s="9">
        <f t="shared" si="21"/>
        <v>543</v>
      </c>
      <c r="W42" s="9">
        <f t="shared" si="22"/>
        <v>545</v>
      </c>
      <c r="X42" s="10"/>
      <c r="Y42" s="8"/>
      <c r="Z42" s="8"/>
      <c r="AA42" s="8"/>
      <c r="AB42" s="19"/>
    </row>
    <row r="43" spans="1:28" ht="16.5" customHeight="1">
      <c r="A43" s="18">
        <v>29</v>
      </c>
      <c r="B43" s="17">
        <f t="shared" si="8"/>
        <v>45280</v>
      </c>
      <c r="C43" s="13">
        <f t="shared" si="9"/>
        <v>1069</v>
      </c>
      <c r="D43" s="12">
        <f t="shared" si="10"/>
        <v>1667</v>
      </c>
      <c r="E43" s="11">
        <f t="shared" si="1"/>
        <v>1011</v>
      </c>
      <c r="F43" s="11">
        <f t="shared" si="2"/>
        <v>1021</v>
      </c>
      <c r="G43" s="11">
        <f t="shared" si="3"/>
        <v>1049</v>
      </c>
      <c r="H43" s="8">
        <f t="shared" si="4"/>
        <v>1725</v>
      </c>
      <c r="I43" s="8">
        <f t="shared" si="5"/>
        <v>1715</v>
      </c>
      <c r="J43" s="8">
        <f t="shared" si="6"/>
        <v>1687</v>
      </c>
      <c r="K43" s="8">
        <f t="shared" si="11"/>
        <v>2000</v>
      </c>
      <c r="L43" s="8">
        <f t="shared" si="12"/>
        <v>2000</v>
      </c>
      <c r="M43" s="8">
        <f t="shared" si="13"/>
        <v>2000</v>
      </c>
      <c r="N43" s="8">
        <f t="shared" si="14"/>
        <v>-275</v>
      </c>
      <c r="O43" s="8">
        <f t="shared" si="15"/>
        <v>-285</v>
      </c>
      <c r="P43" s="8">
        <f t="shared" si="16"/>
        <v>-313</v>
      </c>
      <c r="Q43" s="11">
        <v>8</v>
      </c>
      <c r="R43" s="11">
        <v>8</v>
      </c>
      <c r="S43" s="11">
        <v>8</v>
      </c>
      <c r="T43" s="10">
        <f t="shared" si="7"/>
        <v>2001</v>
      </c>
      <c r="U43" s="9">
        <f t="shared" si="20"/>
        <v>725</v>
      </c>
      <c r="V43" s="9">
        <f t="shared" si="21"/>
        <v>735</v>
      </c>
      <c r="W43" s="9">
        <f t="shared" si="22"/>
        <v>737</v>
      </c>
      <c r="X43" s="16">
        <v>0.2</v>
      </c>
      <c r="Y43" s="8"/>
      <c r="Z43" s="8"/>
      <c r="AA43" s="8"/>
      <c r="AB43" s="19">
        <v>6</v>
      </c>
    </row>
    <row r="44" spans="1:28" ht="16.5" customHeight="1">
      <c r="A44" s="18">
        <v>30</v>
      </c>
      <c r="B44" s="17">
        <f t="shared" si="8"/>
        <v>45281</v>
      </c>
      <c r="C44" s="13">
        <f t="shared" si="9"/>
        <v>1069</v>
      </c>
      <c r="D44" s="12">
        <f t="shared" si="10"/>
        <v>1665</v>
      </c>
      <c r="E44" s="11">
        <f t="shared" si="1"/>
        <v>1014</v>
      </c>
      <c r="F44" s="11">
        <f t="shared" si="2"/>
        <v>1021</v>
      </c>
      <c r="G44" s="11">
        <f t="shared" si="3"/>
        <v>1049</v>
      </c>
      <c r="H44" s="8">
        <f t="shared" si="4"/>
        <v>1720</v>
      </c>
      <c r="I44" s="8">
        <f t="shared" si="5"/>
        <v>1713</v>
      </c>
      <c r="J44" s="8">
        <f t="shared" si="6"/>
        <v>1685</v>
      </c>
      <c r="K44" s="8">
        <f t="shared" si="11"/>
        <v>2000</v>
      </c>
      <c r="L44" s="8">
        <f t="shared" si="12"/>
        <v>2000</v>
      </c>
      <c r="M44" s="8">
        <f t="shared" si="13"/>
        <v>2000</v>
      </c>
      <c r="N44" s="8">
        <f t="shared" si="14"/>
        <v>-280</v>
      </c>
      <c r="O44" s="8">
        <f t="shared" si="15"/>
        <v>-287</v>
      </c>
      <c r="P44" s="8">
        <f t="shared" si="16"/>
        <v>-315</v>
      </c>
      <c r="Q44" s="11">
        <v>5</v>
      </c>
      <c r="R44" s="11">
        <v>2</v>
      </c>
      <c r="S44" s="11">
        <v>2</v>
      </c>
      <c r="T44" s="10">
        <f t="shared" si="7"/>
        <v>2001</v>
      </c>
      <c r="U44" s="9">
        <f t="shared" si="20"/>
        <v>720</v>
      </c>
      <c r="V44" s="9">
        <f t="shared" si="21"/>
        <v>733</v>
      </c>
      <c r="W44" s="9">
        <f t="shared" si="22"/>
        <v>735</v>
      </c>
      <c r="X44" s="10"/>
      <c r="Y44" s="8"/>
      <c r="Z44" s="8"/>
      <c r="AA44" s="8"/>
      <c r="AB44" s="19"/>
    </row>
    <row r="45" spans="1:28" ht="15">
      <c r="A45" s="18">
        <v>31</v>
      </c>
      <c r="B45" s="17">
        <f t="shared" si="8"/>
        <v>45282</v>
      </c>
      <c r="C45" s="13">
        <f t="shared" si="9"/>
        <v>1069</v>
      </c>
      <c r="D45" s="12">
        <f t="shared" si="10"/>
        <v>1663</v>
      </c>
      <c r="E45" s="11">
        <f t="shared" si="1"/>
        <v>1016</v>
      </c>
      <c r="F45" s="11">
        <f t="shared" si="2"/>
        <v>1023</v>
      </c>
      <c r="G45" s="11">
        <f t="shared" si="3"/>
        <v>1049</v>
      </c>
      <c r="H45" s="8">
        <f t="shared" si="4"/>
        <v>1716</v>
      </c>
      <c r="I45" s="8">
        <f t="shared" si="5"/>
        <v>1709</v>
      </c>
      <c r="J45" s="8">
        <f t="shared" si="6"/>
        <v>1683</v>
      </c>
      <c r="K45" s="8">
        <f t="shared" si="11"/>
        <v>2000</v>
      </c>
      <c r="L45" s="8">
        <f t="shared" si="12"/>
        <v>2000</v>
      </c>
      <c r="M45" s="8">
        <f t="shared" si="13"/>
        <v>2000</v>
      </c>
      <c r="N45" s="8">
        <f t="shared" si="14"/>
        <v>-284</v>
      </c>
      <c r="O45" s="8">
        <f t="shared" si="15"/>
        <v>-291</v>
      </c>
      <c r="P45" s="8">
        <f t="shared" si="16"/>
        <v>-317</v>
      </c>
      <c r="Q45" s="11">
        <v>4</v>
      </c>
      <c r="R45" s="11">
        <v>4</v>
      </c>
      <c r="S45" s="11">
        <v>2</v>
      </c>
      <c r="T45" s="10">
        <f t="shared" si="7"/>
        <v>2003</v>
      </c>
      <c r="U45" s="9">
        <f t="shared" si="20"/>
        <v>716</v>
      </c>
      <c r="V45" s="9">
        <f t="shared" si="21"/>
        <v>729</v>
      </c>
      <c r="W45" s="9">
        <f t="shared" si="22"/>
        <v>733</v>
      </c>
      <c r="X45" s="10"/>
      <c r="Y45" s="8"/>
      <c r="Z45" s="8"/>
      <c r="AA45" s="8"/>
      <c r="AB45" s="19"/>
    </row>
    <row r="46" spans="1:28" ht="15" customHeight="1">
      <c r="A46" s="18">
        <v>32</v>
      </c>
      <c r="B46" s="17">
        <f t="shared" si="8"/>
        <v>45283</v>
      </c>
      <c r="C46" s="13">
        <f t="shared" si="9"/>
        <v>1069</v>
      </c>
      <c r="D46" s="12">
        <f t="shared" si="10"/>
        <v>1661</v>
      </c>
      <c r="E46" s="11">
        <f t="shared" si="1"/>
        <v>1017</v>
      </c>
      <c r="F46" s="11">
        <f t="shared" si="2"/>
        <v>1028</v>
      </c>
      <c r="G46" s="11">
        <f t="shared" si="3"/>
        <v>1049</v>
      </c>
      <c r="H46" s="8">
        <f t="shared" si="4"/>
        <v>1713</v>
      </c>
      <c r="I46" s="8">
        <f t="shared" si="5"/>
        <v>1702</v>
      </c>
      <c r="J46" s="8">
        <f t="shared" si="6"/>
        <v>1681</v>
      </c>
      <c r="K46" s="8">
        <f t="shared" si="11"/>
        <v>2000</v>
      </c>
      <c r="L46" s="8">
        <f t="shared" si="12"/>
        <v>2000</v>
      </c>
      <c r="M46" s="8">
        <f t="shared" si="13"/>
        <v>2000</v>
      </c>
      <c r="N46" s="8">
        <f t="shared" si="14"/>
        <v>-287</v>
      </c>
      <c r="O46" s="8">
        <f t="shared" si="15"/>
        <v>-298</v>
      </c>
      <c r="P46" s="8">
        <f t="shared" si="16"/>
        <v>-319</v>
      </c>
      <c r="Q46" s="11">
        <v>3</v>
      </c>
      <c r="R46" s="11">
        <v>7</v>
      </c>
      <c r="S46" s="11">
        <v>2</v>
      </c>
      <c r="T46" s="10">
        <f t="shared" si="7"/>
        <v>2008</v>
      </c>
      <c r="U46" s="9">
        <f t="shared" si="20"/>
        <v>713</v>
      </c>
      <c r="V46" s="9">
        <f t="shared" si="21"/>
        <v>722</v>
      </c>
      <c r="W46" s="9">
        <f t="shared" si="22"/>
        <v>731</v>
      </c>
      <c r="X46" s="10"/>
      <c r="Y46" s="8"/>
      <c r="Z46" s="8"/>
      <c r="AA46" s="8"/>
      <c r="AB46" s="19"/>
    </row>
    <row r="47" spans="1:28" ht="15" customHeight="1">
      <c r="A47" s="18">
        <v>33</v>
      </c>
      <c r="B47" s="17">
        <f t="shared" si="8"/>
        <v>45284</v>
      </c>
      <c r="C47" s="13">
        <f t="shared" si="9"/>
        <v>1069</v>
      </c>
      <c r="D47" s="12">
        <f t="shared" ref="D47:D78" si="23">D46-2</f>
        <v>1659</v>
      </c>
      <c r="E47" s="11">
        <f t="shared" si="1"/>
        <v>1024</v>
      </c>
      <c r="F47" s="11">
        <f t="shared" si="2"/>
        <v>1034</v>
      </c>
      <c r="G47" s="11">
        <f t="shared" si="3"/>
        <v>1056</v>
      </c>
      <c r="H47" s="8">
        <f t="shared" si="4"/>
        <v>1704</v>
      </c>
      <c r="I47" s="8">
        <f t="shared" si="5"/>
        <v>1694</v>
      </c>
      <c r="J47" s="8">
        <f t="shared" si="6"/>
        <v>1672</v>
      </c>
      <c r="K47" s="8">
        <f t="shared" ref="K47:K78" si="24">K46</f>
        <v>2000</v>
      </c>
      <c r="L47" s="8">
        <f t="shared" ref="L47:L78" si="25">L46</f>
        <v>2000</v>
      </c>
      <c r="M47" s="8">
        <f t="shared" ref="M47:M78" si="26">M46</f>
        <v>2000</v>
      </c>
      <c r="N47" s="8">
        <f t="shared" si="14"/>
        <v>-296</v>
      </c>
      <c r="O47" s="8">
        <f t="shared" si="15"/>
        <v>-306</v>
      </c>
      <c r="P47" s="8">
        <f t="shared" si="16"/>
        <v>-328</v>
      </c>
      <c r="Q47" s="11">
        <v>9</v>
      </c>
      <c r="R47" s="11">
        <v>8</v>
      </c>
      <c r="S47" s="11">
        <v>9</v>
      </c>
      <c r="T47" s="10">
        <f t="shared" si="7"/>
        <v>1714</v>
      </c>
      <c r="U47" s="9">
        <f t="shared" si="20"/>
        <v>1004</v>
      </c>
      <c r="V47" s="9">
        <f t="shared" si="21"/>
        <v>1014</v>
      </c>
      <c r="W47" s="9">
        <f t="shared" si="22"/>
        <v>1022</v>
      </c>
      <c r="X47" s="16">
        <v>0.3</v>
      </c>
      <c r="Y47" s="8"/>
      <c r="Z47" s="8"/>
      <c r="AA47" s="8"/>
      <c r="AB47" s="19">
        <v>5</v>
      </c>
    </row>
    <row r="48" spans="1:28" ht="15" customHeight="1">
      <c r="A48" s="18">
        <v>34</v>
      </c>
      <c r="B48" s="17">
        <f t="shared" si="8"/>
        <v>45285</v>
      </c>
      <c r="C48" s="13">
        <f t="shared" si="9"/>
        <v>1069</v>
      </c>
      <c r="D48" s="12">
        <f t="shared" si="23"/>
        <v>1657</v>
      </c>
      <c r="E48" s="11">
        <f t="shared" si="1"/>
        <v>1025</v>
      </c>
      <c r="F48" s="11">
        <f t="shared" si="2"/>
        <v>1036</v>
      </c>
      <c r="G48" s="11">
        <f t="shared" si="3"/>
        <v>1057</v>
      </c>
      <c r="H48" s="8">
        <f t="shared" si="4"/>
        <v>1701</v>
      </c>
      <c r="I48" s="8">
        <f t="shared" si="5"/>
        <v>1690</v>
      </c>
      <c r="J48" s="8">
        <f t="shared" si="6"/>
        <v>1669</v>
      </c>
      <c r="K48" s="8">
        <f t="shared" si="24"/>
        <v>2000</v>
      </c>
      <c r="L48" s="8">
        <f t="shared" si="25"/>
        <v>2000</v>
      </c>
      <c r="M48" s="8">
        <f t="shared" si="26"/>
        <v>2000</v>
      </c>
      <c r="N48" s="8">
        <f t="shared" si="14"/>
        <v>-299</v>
      </c>
      <c r="O48" s="8">
        <f t="shared" si="15"/>
        <v>-310</v>
      </c>
      <c r="P48" s="8">
        <f t="shared" si="16"/>
        <v>-331</v>
      </c>
      <c r="Q48" s="11">
        <v>3</v>
      </c>
      <c r="R48" s="11">
        <v>4</v>
      </c>
      <c r="S48" s="11">
        <v>3</v>
      </c>
      <c r="T48" s="10">
        <f t="shared" si="7"/>
        <v>1716</v>
      </c>
      <c r="U48" s="9">
        <f t="shared" si="20"/>
        <v>1001</v>
      </c>
      <c r="V48" s="9">
        <f t="shared" si="21"/>
        <v>1010</v>
      </c>
      <c r="W48" s="9">
        <f t="shared" si="22"/>
        <v>1019</v>
      </c>
      <c r="X48" s="10"/>
      <c r="Y48" s="8"/>
      <c r="Z48" s="8"/>
      <c r="AA48" s="8"/>
      <c r="AB48" s="19"/>
    </row>
    <row r="49" spans="1:28" ht="15" customHeight="1">
      <c r="A49" s="18">
        <v>35</v>
      </c>
      <c r="B49" s="17">
        <f t="shared" si="8"/>
        <v>45286</v>
      </c>
      <c r="C49" s="13">
        <f t="shared" si="9"/>
        <v>1069</v>
      </c>
      <c r="D49" s="12">
        <f t="shared" si="23"/>
        <v>1655</v>
      </c>
      <c r="E49" s="11">
        <f t="shared" si="1"/>
        <v>1028</v>
      </c>
      <c r="F49" s="11">
        <f t="shared" si="2"/>
        <v>1036</v>
      </c>
      <c r="G49" s="11">
        <f t="shared" si="3"/>
        <v>1059</v>
      </c>
      <c r="H49" s="8">
        <f t="shared" si="4"/>
        <v>1696</v>
      </c>
      <c r="I49" s="8">
        <f t="shared" si="5"/>
        <v>1688</v>
      </c>
      <c r="J49" s="8">
        <f t="shared" si="6"/>
        <v>1665</v>
      </c>
      <c r="K49" s="8">
        <f t="shared" si="24"/>
        <v>2000</v>
      </c>
      <c r="L49" s="8">
        <f t="shared" si="25"/>
        <v>2000</v>
      </c>
      <c r="M49" s="8">
        <f t="shared" si="26"/>
        <v>2000</v>
      </c>
      <c r="N49" s="8">
        <f t="shared" si="14"/>
        <v>-304</v>
      </c>
      <c r="O49" s="8">
        <f t="shared" si="15"/>
        <v>-312</v>
      </c>
      <c r="P49" s="8">
        <f t="shared" si="16"/>
        <v>-335</v>
      </c>
      <c r="Q49" s="11">
        <v>5</v>
      </c>
      <c r="R49" s="11">
        <v>2</v>
      </c>
      <c r="S49" s="11">
        <v>4</v>
      </c>
      <c r="T49" s="10">
        <f t="shared" si="7"/>
        <v>1716</v>
      </c>
      <c r="U49" s="9">
        <f t="shared" si="20"/>
        <v>996</v>
      </c>
      <c r="V49" s="9">
        <f t="shared" si="21"/>
        <v>1008</v>
      </c>
      <c r="W49" s="9">
        <f t="shared" si="22"/>
        <v>1015</v>
      </c>
      <c r="X49" s="10"/>
      <c r="Y49" s="8"/>
      <c r="Z49" s="8"/>
      <c r="AA49" s="8"/>
      <c r="AB49" s="19"/>
    </row>
    <row r="50" spans="1:28" ht="15" customHeight="1">
      <c r="A50" s="18">
        <v>36</v>
      </c>
      <c r="B50" s="17">
        <f t="shared" si="8"/>
        <v>45287</v>
      </c>
      <c r="C50" s="13">
        <f t="shared" si="9"/>
        <v>1069</v>
      </c>
      <c r="D50" s="12">
        <f t="shared" si="23"/>
        <v>1653</v>
      </c>
      <c r="E50" s="11">
        <f t="shared" si="1"/>
        <v>1031</v>
      </c>
      <c r="F50" s="11">
        <f t="shared" si="2"/>
        <v>1036</v>
      </c>
      <c r="G50" s="11">
        <f t="shared" si="3"/>
        <v>1061</v>
      </c>
      <c r="H50" s="8">
        <f t="shared" si="4"/>
        <v>1691</v>
      </c>
      <c r="I50" s="8">
        <f t="shared" si="5"/>
        <v>1686</v>
      </c>
      <c r="J50" s="8">
        <f t="shared" si="6"/>
        <v>1661</v>
      </c>
      <c r="K50" s="8">
        <f t="shared" si="24"/>
        <v>2000</v>
      </c>
      <c r="L50" s="8">
        <f t="shared" si="25"/>
        <v>2000</v>
      </c>
      <c r="M50" s="8">
        <f t="shared" si="26"/>
        <v>2000</v>
      </c>
      <c r="N50" s="8">
        <f t="shared" si="14"/>
        <v>-309</v>
      </c>
      <c r="O50" s="8">
        <f t="shared" si="15"/>
        <v>-314</v>
      </c>
      <c r="P50" s="8">
        <f t="shared" si="16"/>
        <v>-339</v>
      </c>
      <c r="Q50" s="11">
        <v>5</v>
      </c>
      <c r="R50" s="11">
        <v>2</v>
      </c>
      <c r="S50" s="11">
        <v>4</v>
      </c>
      <c r="T50" s="10">
        <f t="shared" si="7"/>
        <v>1716</v>
      </c>
      <c r="U50" s="9">
        <f t="shared" si="20"/>
        <v>991</v>
      </c>
      <c r="V50" s="9">
        <f t="shared" si="21"/>
        <v>1006</v>
      </c>
      <c r="W50" s="9">
        <f t="shared" si="22"/>
        <v>1011</v>
      </c>
      <c r="X50" s="10"/>
      <c r="Y50" s="8"/>
      <c r="Z50" s="8"/>
      <c r="AA50" s="8"/>
      <c r="AB50" s="19"/>
    </row>
    <row r="51" spans="1:28" ht="15" customHeight="1">
      <c r="A51" s="18">
        <v>37</v>
      </c>
      <c r="B51" s="17">
        <f t="shared" si="8"/>
        <v>45288</v>
      </c>
      <c r="C51" s="13">
        <f t="shared" si="9"/>
        <v>1069</v>
      </c>
      <c r="D51" s="12">
        <f t="shared" si="23"/>
        <v>1651</v>
      </c>
      <c r="E51" s="11">
        <f t="shared" si="1"/>
        <v>1033</v>
      </c>
      <c r="F51" s="11">
        <f t="shared" si="2"/>
        <v>1038</v>
      </c>
      <c r="G51" s="11">
        <f t="shared" si="3"/>
        <v>1062</v>
      </c>
      <c r="H51" s="8">
        <f t="shared" si="4"/>
        <v>1687</v>
      </c>
      <c r="I51" s="8">
        <f t="shared" si="5"/>
        <v>1682</v>
      </c>
      <c r="J51" s="8">
        <f t="shared" si="6"/>
        <v>1658</v>
      </c>
      <c r="K51" s="8">
        <f t="shared" si="24"/>
        <v>2000</v>
      </c>
      <c r="L51" s="8">
        <f t="shared" si="25"/>
        <v>2000</v>
      </c>
      <c r="M51" s="8">
        <f t="shared" si="26"/>
        <v>2000</v>
      </c>
      <c r="N51" s="8">
        <f t="shared" si="14"/>
        <v>-313</v>
      </c>
      <c r="O51" s="8">
        <f t="shared" si="15"/>
        <v>-318</v>
      </c>
      <c r="P51" s="8">
        <f t="shared" si="16"/>
        <v>-342</v>
      </c>
      <c r="Q51" s="11">
        <v>4</v>
      </c>
      <c r="R51" s="11">
        <v>4</v>
      </c>
      <c r="S51" s="11">
        <v>3</v>
      </c>
      <c r="T51" s="10">
        <f t="shared" si="7"/>
        <v>1718</v>
      </c>
      <c r="U51" s="9">
        <f t="shared" si="20"/>
        <v>987</v>
      </c>
      <c r="V51" s="9">
        <f t="shared" si="21"/>
        <v>1002</v>
      </c>
      <c r="W51" s="9">
        <f t="shared" si="22"/>
        <v>1008</v>
      </c>
      <c r="X51" s="10"/>
      <c r="Y51" s="8"/>
      <c r="Z51" s="8"/>
      <c r="AA51" s="8"/>
      <c r="AB51" s="19"/>
    </row>
    <row r="52" spans="1:28" ht="15" customHeight="1">
      <c r="A52" s="18">
        <v>38</v>
      </c>
      <c r="B52" s="17">
        <f t="shared" si="8"/>
        <v>45289</v>
      </c>
      <c r="C52" s="13">
        <f t="shared" si="9"/>
        <v>1069</v>
      </c>
      <c r="D52" s="12">
        <f t="shared" si="23"/>
        <v>1649</v>
      </c>
      <c r="E52" s="11">
        <f t="shared" si="1"/>
        <v>1034</v>
      </c>
      <c r="F52" s="11">
        <f t="shared" si="2"/>
        <v>1043</v>
      </c>
      <c r="G52" s="11">
        <f t="shared" si="3"/>
        <v>1063</v>
      </c>
      <c r="H52" s="8">
        <f t="shared" si="4"/>
        <v>1684</v>
      </c>
      <c r="I52" s="8">
        <f t="shared" si="5"/>
        <v>1675</v>
      </c>
      <c r="J52" s="8">
        <f t="shared" si="6"/>
        <v>1655</v>
      </c>
      <c r="K52" s="8">
        <f t="shared" si="24"/>
        <v>2000</v>
      </c>
      <c r="L52" s="8">
        <f t="shared" si="25"/>
        <v>2000</v>
      </c>
      <c r="M52" s="8">
        <f t="shared" si="26"/>
        <v>2000</v>
      </c>
      <c r="N52" s="8">
        <f t="shared" si="14"/>
        <v>-316</v>
      </c>
      <c r="O52" s="8">
        <f t="shared" si="15"/>
        <v>-325</v>
      </c>
      <c r="P52" s="8">
        <f t="shared" si="16"/>
        <v>-345</v>
      </c>
      <c r="Q52" s="11">
        <v>3</v>
      </c>
      <c r="R52" s="11">
        <v>7</v>
      </c>
      <c r="S52" s="11">
        <v>3</v>
      </c>
      <c r="T52" s="10">
        <f t="shared" si="7"/>
        <v>1723</v>
      </c>
      <c r="U52" s="9">
        <f t="shared" si="20"/>
        <v>984</v>
      </c>
      <c r="V52" s="9">
        <f t="shared" si="21"/>
        <v>995</v>
      </c>
      <c r="W52" s="9">
        <f t="shared" si="22"/>
        <v>1005</v>
      </c>
      <c r="X52" s="10"/>
      <c r="Y52" s="8"/>
      <c r="Z52" s="8"/>
      <c r="AA52" s="8"/>
      <c r="AB52" s="19"/>
    </row>
    <row r="53" spans="1:28" ht="15" customHeight="1">
      <c r="A53" s="18">
        <v>39</v>
      </c>
      <c r="B53" s="17">
        <f t="shared" si="8"/>
        <v>45290</v>
      </c>
      <c r="C53" s="13">
        <f t="shared" si="9"/>
        <v>1069</v>
      </c>
      <c r="D53" s="12">
        <f t="shared" si="23"/>
        <v>1647</v>
      </c>
      <c r="E53" s="11">
        <f t="shared" si="1"/>
        <v>1037</v>
      </c>
      <c r="F53" s="11">
        <f t="shared" si="2"/>
        <v>1046</v>
      </c>
      <c r="G53" s="11">
        <f t="shared" si="3"/>
        <v>1063</v>
      </c>
      <c r="H53" s="8">
        <f t="shared" si="4"/>
        <v>1679</v>
      </c>
      <c r="I53" s="8">
        <f t="shared" si="5"/>
        <v>1670</v>
      </c>
      <c r="J53" s="8">
        <f t="shared" si="6"/>
        <v>1653</v>
      </c>
      <c r="K53" s="8">
        <f t="shared" si="24"/>
        <v>2000</v>
      </c>
      <c r="L53" s="8">
        <f t="shared" si="25"/>
        <v>2000</v>
      </c>
      <c r="M53" s="8">
        <f t="shared" si="26"/>
        <v>2000</v>
      </c>
      <c r="N53" s="8">
        <f t="shared" si="14"/>
        <v>-321</v>
      </c>
      <c r="O53" s="8">
        <f t="shared" si="15"/>
        <v>-330</v>
      </c>
      <c r="P53" s="8">
        <f t="shared" si="16"/>
        <v>-347</v>
      </c>
      <c r="Q53" s="11">
        <v>5</v>
      </c>
      <c r="R53" s="11">
        <v>5</v>
      </c>
      <c r="S53" s="11">
        <v>2</v>
      </c>
      <c r="T53" s="10">
        <f t="shared" si="7"/>
        <v>1726</v>
      </c>
      <c r="U53" s="9">
        <f t="shared" si="20"/>
        <v>979</v>
      </c>
      <c r="V53" s="9">
        <f t="shared" si="21"/>
        <v>990</v>
      </c>
      <c r="W53" s="9">
        <f t="shared" si="22"/>
        <v>1003</v>
      </c>
      <c r="X53" s="10"/>
      <c r="Y53" s="8"/>
      <c r="Z53" s="8"/>
      <c r="AA53" s="8"/>
      <c r="AB53" s="19"/>
    </row>
    <row r="54" spans="1:28" ht="15" customHeight="1">
      <c r="A54" s="18">
        <v>40</v>
      </c>
      <c r="B54" s="17">
        <f t="shared" si="8"/>
        <v>45291</v>
      </c>
      <c r="C54" s="13">
        <f t="shared" si="9"/>
        <v>1069</v>
      </c>
      <c r="D54" s="12">
        <f t="shared" si="23"/>
        <v>1645</v>
      </c>
      <c r="E54" s="11">
        <f t="shared" si="1"/>
        <v>1037</v>
      </c>
      <c r="F54" s="11">
        <f t="shared" si="2"/>
        <v>1046</v>
      </c>
      <c r="G54" s="11">
        <f t="shared" si="3"/>
        <v>1065</v>
      </c>
      <c r="H54" s="8">
        <f t="shared" si="4"/>
        <v>1677</v>
      </c>
      <c r="I54" s="8">
        <f t="shared" si="5"/>
        <v>1668</v>
      </c>
      <c r="J54" s="8">
        <f t="shared" si="6"/>
        <v>1649</v>
      </c>
      <c r="K54" s="8">
        <f t="shared" si="24"/>
        <v>2000</v>
      </c>
      <c r="L54" s="8">
        <f t="shared" si="25"/>
        <v>2000</v>
      </c>
      <c r="M54" s="8">
        <f t="shared" si="26"/>
        <v>2000</v>
      </c>
      <c r="N54" s="8">
        <f t="shared" si="14"/>
        <v>-323</v>
      </c>
      <c r="O54" s="8">
        <f t="shared" si="15"/>
        <v>-332</v>
      </c>
      <c r="P54" s="8">
        <f t="shared" si="16"/>
        <v>-351</v>
      </c>
      <c r="Q54" s="11">
        <v>2</v>
      </c>
      <c r="R54" s="11">
        <v>2</v>
      </c>
      <c r="S54" s="11">
        <v>4</v>
      </c>
      <c r="T54" s="10">
        <f t="shared" si="7"/>
        <v>1726</v>
      </c>
      <c r="U54" s="9">
        <f t="shared" si="20"/>
        <v>977</v>
      </c>
      <c r="V54" s="9">
        <f t="shared" si="21"/>
        <v>988</v>
      </c>
      <c r="W54" s="9">
        <f t="shared" si="22"/>
        <v>999</v>
      </c>
      <c r="X54" s="10"/>
      <c r="Y54" s="8"/>
      <c r="Z54" s="8"/>
      <c r="AA54" s="8"/>
      <c r="AB54" s="19"/>
    </row>
    <row r="55" spans="1:28" ht="15" customHeight="1">
      <c r="A55" s="18">
        <v>41</v>
      </c>
      <c r="B55" s="17">
        <f t="shared" si="8"/>
        <v>45292</v>
      </c>
      <c r="C55" s="13">
        <f t="shared" si="9"/>
        <v>1069</v>
      </c>
      <c r="D55" s="12">
        <f t="shared" si="23"/>
        <v>1643</v>
      </c>
      <c r="E55" s="11">
        <f t="shared" si="1"/>
        <v>1043</v>
      </c>
      <c r="F55" s="11">
        <f t="shared" si="2"/>
        <v>1052</v>
      </c>
      <c r="G55" s="11">
        <f t="shared" si="3"/>
        <v>1071</v>
      </c>
      <c r="H55" s="8">
        <f t="shared" si="4"/>
        <v>1669</v>
      </c>
      <c r="I55" s="8">
        <f t="shared" si="5"/>
        <v>1660</v>
      </c>
      <c r="J55" s="8">
        <f t="shared" si="6"/>
        <v>1641</v>
      </c>
      <c r="K55" s="8">
        <f t="shared" si="24"/>
        <v>2000</v>
      </c>
      <c r="L55" s="8">
        <f t="shared" si="25"/>
        <v>2000</v>
      </c>
      <c r="M55" s="8">
        <f t="shared" si="26"/>
        <v>2000</v>
      </c>
      <c r="N55" s="8">
        <f t="shared" si="14"/>
        <v>-331</v>
      </c>
      <c r="O55" s="8">
        <f t="shared" si="15"/>
        <v>-340</v>
      </c>
      <c r="P55" s="8">
        <f t="shared" si="16"/>
        <v>-359</v>
      </c>
      <c r="Q55" s="11">
        <v>8</v>
      </c>
      <c r="R55" s="11">
        <v>8</v>
      </c>
      <c r="S55" s="11">
        <v>8</v>
      </c>
      <c r="T55" s="10">
        <f t="shared" si="7"/>
        <v>1732</v>
      </c>
      <c r="U55" s="9">
        <f t="shared" si="20"/>
        <v>969</v>
      </c>
      <c r="V55" s="9">
        <f t="shared" si="21"/>
        <v>980</v>
      </c>
      <c r="W55" s="9">
        <f t="shared" si="22"/>
        <v>991</v>
      </c>
      <c r="X55" s="10"/>
      <c r="Y55" s="8"/>
      <c r="Z55" s="8"/>
      <c r="AA55" s="8"/>
      <c r="AB55" s="19"/>
    </row>
    <row r="56" spans="1:28" ht="15" customHeight="1">
      <c r="A56" s="18">
        <v>42</v>
      </c>
      <c r="B56" s="17">
        <f t="shared" si="8"/>
        <v>45293</v>
      </c>
      <c r="C56" s="13">
        <f t="shared" si="9"/>
        <v>1069</v>
      </c>
      <c r="D56" s="12">
        <f t="shared" si="23"/>
        <v>1641</v>
      </c>
      <c r="E56" s="11">
        <f t="shared" si="1"/>
        <v>1043</v>
      </c>
      <c r="F56" s="11">
        <f t="shared" si="2"/>
        <v>1052</v>
      </c>
      <c r="G56" s="11">
        <f t="shared" si="3"/>
        <v>1071</v>
      </c>
      <c r="H56" s="8">
        <f t="shared" si="4"/>
        <v>1667</v>
      </c>
      <c r="I56" s="8">
        <f t="shared" si="5"/>
        <v>1658</v>
      </c>
      <c r="J56" s="8">
        <f t="shared" si="6"/>
        <v>1639</v>
      </c>
      <c r="K56" s="8">
        <f t="shared" si="24"/>
        <v>2000</v>
      </c>
      <c r="L56" s="8">
        <f t="shared" si="25"/>
        <v>2000</v>
      </c>
      <c r="M56" s="8">
        <f t="shared" si="26"/>
        <v>2000</v>
      </c>
      <c r="N56" s="8">
        <f t="shared" si="14"/>
        <v>-333</v>
      </c>
      <c r="O56" s="8">
        <f t="shared" si="15"/>
        <v>-342</v>
      </c>
      <c r="P56" s="8">
        <f t="shared" si="16"/>
        <v>-361</v>
      </c>
      <c r="Q56" s="11">
        <v>2</v>
      </c>
      <c r="R56" s="11">
        <v>2</v>
      </c>
      <c r="S56" s="11">
        <v>2</v>
      </c>
      <c r="T56" s="10">
        <f t="shared" si="7"/>
        <v>1732</v>
      </c>
      <c r="U56" s="9">
        <f t="shared" si="20"/>
        <v>967</v>
      </c>
      <c r="V56" s="9">
        <f t="shared" si="21"/>
        <v>978</v>
      </c>
      <c r="W56" s="9">
        <f t="shared" si="22"/>
        <v>989</v>
      </c>
      <c r="X56" s="10"/>
      <c r="Y56" s="8"/>
      <c r="Z56" s="8"/>
      <c r="AA56" s="8"/>
      <c r="AB56" s="19"/>
    </row>
    <row r="57" spans="1:28" ht="15" customHeight="1">
      <c r="A57" s="18">
        <v>43</v>
      </c>
      <c r="B57" s="17">
        <f t="shared" si="8"/>
        <v>45294</v>
      </c>
      <c r="C57" s="13">
        <f t="shared" si="9"/>
        <v>1069</v>
      </c>
      <c r="D57" s="12">
        <f t="shared" si="23"/>
        <v>1639</v>
      </c>
      <c r="E57" s="11">
        <f t="shared" si="1"/>
        <v>1042</v>
      </c>
      <c r="F57" s="11">
        <f t="shared" si="2"/>
        <v>1054</v>
      </c>
      <c r="G57" s="11">
        <f t="shared" si="3"/>
        <v>1073</v>
      </c>
      <c r="H57" s="8">
        <f t="shared" si="4"/>
        <v>1666</v>
      </c>
      <c r="I57" s="8">
        <f t="shared" si="5"/>
        <v>1654</v>
      </c>
      <c r="J57" s="8">
        <f t="shared" si="6"/>
        <v>1635</v>
      </c>
      <c r="K57" s="8">
        <f t="shared" si="24"/>
        <v>2000</v>
      </c>
      <c r="L57" s="8">
        <f t="shared" si="25"/>
        <v>2000</v>
      </c>
      <c r="M57" s="8">
        <f t="shared" si="26"/>
        <v>2000</v>
      </c>
      <c r="N57" s="8">
        <f t="shared" si="14"/>
        <v>-334</v>
      </c>
      <c r="O57" s="8">
        <f t="shared" si="15"/>
        <v>-346</v>
      </c>
      <c r="P57" s="8">
        <f t="shared" si="16"/>
        <v>-365</v>
      </c>
      <c r="Q57" s="11">
        <v>1</v>
      </c>
      <c r="R57" s="11">
        <v>4</v>
      </c>
      <c r="S57" s="11">
        <v>4</v>
      </c>
      <c r="T57" s="10">
        <f t="shared" si="7"/>
        <v>1734</v>
      </c>
      <c r="U57" s="9">
        <f t="shared" si="20"/>
        <v>966</v>
      </c>
      <c r="V57" s="9">
        <f t="shared" si="21"/>
        <v>974</v>
      </c>
      <c r="W57" s="9">
        <f t="shared" si="22"/>
        <v>985</v>
      </c>
      <c r="X57" s="10"/>
      <c r="Y57" s="8"/>
      <c r="Z57" s="8"/>
      <c r="AA57" s="8"/>
      <c r="AB57" s="19"/>
    </row>
    <row r="58" spans="1:28" ht="15" customHeight="1">
      <c r="A58" s="18">
        <v>44</v>
      </c>
      <c r="B58" s="17">
        <f t="shared" si="8"/>
        <v>45295</v>
      </c>
      <c r="C58" s="13">
        <f t="shared" si="9"/>
        <v>1069</v>
      </c>
      <c r="D58" s="12">
        <f t="shared" si="23"/>
        <v>1637</v>
      </c>
      <c r="E58" s="11">
        <f t="shared" si="1"/>
        <v>1042</v>
      </c>
      <c r="F58" s="11">
        <f t="shared" si="2"/>
        <v>1054</v>
      </c>
      <c r="G58" s="11">
        <f t="shared" si="3"/>
        <v>1073</v>
      </c>
      <c r="H58" s="8">
        <f t="shared" si="4"/>
        <v>1664</v>
      </c>
      <c r="I58" s="8">
        <f t="shared" si="5"/>
        <v>1652</v>
      </c>
      <c r="J58" s="8">
        <f t="shared" si="6"/>
        <v>1633</v>
      </c>
      <c r="K58" s="8">
        <f t="shared" si="24"/>
        <v>2000</v>
      </c>
      <c r="L58" s="8">
        <f t="shared" si="25"/>
        <v>2000</v>
      </c>
      <c r="M58" s="8">
        <f t="shared" si="26"/>
        <v>2000</v>
      </c>
      <c r="N58" s="8">
        <f t="shared" si="14"/>
        <v>-336</v>
      </c>
      <c r="O58" s="8">
        <f t="shared" si="15"/>
        <v>-348</v>
      </c>
      <c r="P58" s="8">
        <f t="shared" si="16"/>
        <v>-367</v>
      </c>
      <c r="Q58" s="11">
        <v>2</v>
      </c>
      <c r="R58" s="11">
        <v>2</v>
      </c>
      <c r="S58" s="11">
        <v>2</v>
      </c>
      <c r="T58" s="10">
        <f t="shared" si="7"/>
        <v>1734</v>
      </c>
      <c r="U58" s="9">
        <f t="shared" si="20"/>
        <v>964</v>
      </c>
      <c r="V58" s="9">
        <f t="shared" si="21"/>
        <v>972</v>
      </c>
      <c r="W58" s="9">
        <f t="shared" si="22"/>
        <v>983</v>
      </c>
      <c r="X58" s="10"/>
      <c r="Y58" s="8"/>
      <c r="Z58" s="8"/>
      <c r="AA58" s="8"/>
      <c r="AB58" s="19"/>
    </row>
    <row r="59" spans="1:28" ht="15" customHeight="1">
      <c r="A59" s="18">
        <v>45</v>
      </c>
      <c r="B59" s="17">
        <f t="shared" si="8"/>
        <v>45296</v>
      </c>
      <c r="C59" s="13">
        <f t="shared" si="9"/>
        <v>1069</v>
      </c>
      <c r="D59" s="12">
        <f t="shared" si="23"/>
        <v>1635</v>
      </c>
      <c r="E59" s="11">
        <f t="shared" si="1"/>
        <v>1042</v>
      </c>
      <c r="F59" s="11">
        <f t="shared" si="2"/>
        <v>1053</v>
      </c>
      <c r="G59" s="11">
        <f t="shared" si="3"/>
        <v>1075</v>
      </c>
      <c r="H59" s="8">
        <f t="shared" si="4"/>
        <v>1662</v>
      </c>
      <c r="I59" s="8">
        <f t="shared" si="5"/>
        <v>1651</v>
      </c>
      <c r="J59" s="8">
        <f t="shared" si="6"/>
        <v>1629</v>
      </c>
      <c r="K59" s="8">
        <f t="shared" si="24"/>
        <v>2000</v>
      </c>
      <c r="L59" s="8">
        <f t="shared" si="25"/>
        <v>2000</v>
      </c>
      <c r="M59" s="8">
        <f t="shared" si="26"/>
        <v>2000</v>
      </c>
      <c r="N59" s="8">
        <f t="shared" si="14"/>
        <v>-338</v>
      </c>
      <c r="O59" s="8">
        <f t="shared" si="15"/>
        <v>-349</v>
      </c>
      <c r="P59" s="8">
        <f t="shared" si="16"/>
        <v>-371</v>
      </c>
      <c r="Q59" s="11">
        <v>2</v>
      </c>
      <c r="R59" s="20">
        <v>1</v>
      </c>
      <c r="S59" s="11">
        <v>4</v>
      </c>
      <c r="T59" s="10">
        <f t="shared" si="7"/>
        <v>1733</v>
      </c>
      <c r="U59" s="9">
        <f t="shared" si="20"/>
        <v>962</v>
      </c>
      <c r="V59" s="9">
        <f t="shared" si="21"/>
        <v>971</v>
      </c>
      <c r="W59" s="9">
        <f t="shared" si="22"/>
        <v>979</v>
      </c>
      <c r="X59" s="10"/>
      <c r="Y59" s="8"/>
      <c r="Z59" s="8"/>
      <c r="AA59" s="8"/>
      <c r="AB59" s="19"/>
    </row>
    <row r="60" spans="1:28" ht="15" customHeight="1">
      <c r="A60" s="18">
        <v>46</v>
      </c>
      <c r="B60" s="17">
        <f t="shared" si="8"/>
        <v>45297</v>
      </c>
      <c r="C60" s="13">
        <f t="shared" si="9"/>
        <v>1069</v>
      </c>
      <c r="D60" s="12">
        <f t="shared" si="23"/>
        <v>1633</v>
      </c>
      <c r="E60" s="11">
        <f t="shared" si="1"/>
        <v>1041</v>
      </c>
      <c r="F60" s="11">
        <f t="shared" si="2"/>
        <v>1052</v>
      </c>
      <c r="G60" s="11">
        <f t="shared" si="3"/>
        <v>1074</v>
      </c>
      <c r="H60" s="8">
        <f t="shared" si="4"/>
        <v>1661</v>
      </c>
      <c r="I60" s="8">
        <f t="shared" si="5"/>
        <v>1650</v>
      </c>
      <c r="J60" s="8">
        <f t="shared" si="6"/>
        <v>1628</v>
      </c>
      <c r="K60" s="8">
        <f t="shared" si="24"/>
        <v>2000</v>
      </c>
      <c r="L60" s="8">
        <f t="shared" si="25"/>
        <v>2000</v>
      </c>
      <c r="M60" s="8">
        <f t="shared" si="26"/>
        <v>2000</v>
      </c>
      <c r="N60" s="8">
        <f t="shared" si="14"/>
        <v>-339</v>
      </c>
      <c r="O60" s="8">
        <f t="shared" si="15"/>
        <v>-350</v>
      </c>
      <c r="P60" s="8">
        <f t="shared" si="16"/>
        <v>-372</v>
      </c>
      <c r="Q60" s="11">
        <v>1</v>
      </c>
      <c r="R60" s="20">
        <v>1</v>
      </c>
      <c r="S60" s="11">
        <v>1</v>
      </c>
      <c r="T60" s="10">
        <f t="shared" si="7"/>
        <v>1732</v>
      </c>
      <c r="U60" s="9">
        <f t="shared" si="20"/>
        <v>961</v>
      </c>
      <c r="V60" s="9">
        <f t="shared" si="21"/>
        <v>970</v>
      </c>
      <c r="W60" s="9">
        <f t="shared" si="22"/>
        <v>978</v>
      </c>
      <c r="X60" s="10"/>
      <c r="Y60" s="8"/>
      <c r="Z60" s="8"/>
      <c r="AA60" s="8"/>
      <c r="AB60" s="19"/>
    </row>
    <row r="61" spans="1:28" ht="15" customHeight="1">
      <c r="A61" s="18">
        <v>47</v>
      </c>
      <c r="B61" s="17">
        <f t="shared" si="8"/>
        <v>45298</v>
      </c>
      <c r="C61" s="13">
        <f t="shared" si="9"/>
        <v>1069</v>
      </c>
      <c r="D61" s="12">
        <f t="shared" si="23"/>
        <v>1631</v>
      </c>
      <c r="E61" s="11">
        <f t="shared" si="1"/>
        <v>1040</v>
      </c>
      <c r="F61" s="11">
        <f t="shared" si="2"/>
        <v>1050</v>
      </c>
      <c r="G61" s="11">
        <f t="shared" si="3"/>
        <v>1074</v>
      </c>
      <c r="H61" s="8">
        <f t="shared" si="4"/>
        <v>1660</v>
      </c>
      <c r="I61" s="8">
        <f t="shared" si="5"/>
        <v>1650</v>
      </c>
      <c r="J61" s="8">
        <f t="shared" si="6"/>
        <v>1626</v>
      </c>
      <c r="K61" s="8">
        <f t="shared" si="24"/>
        <v>2000</v>
      </c>
      <c r="L61" s="8">
        <f t="shared" si="25"/>
        <v>2000</v>
      </c>
      <c r="M61" s="8">
        <f t="shared" si="26"/>
        <v>2000</v>
      </c>
      <c r="N61" s="8">
        <f t="shared" si="14"/>
        <v>-340</v>
      </c>
      <c r="O61" s="8">
        <f t="shared" si="15"/>
        <v>-350</v>
      </c>
      <c r="P61" s="8">
        <f t="shared" si="16"/>
        <v>-374</v>
      </c>
      <c r="Q61" s="11">
        <v>1</v>
      </c>
      <c r="R61" s="20">
        <v>0</v>
      </c>
      <c r="S61" s="11">
        <v>2</v>
      </c>
      <c r="T61" s="10">
        <f t="shared" si="7"/>
        <v>1730</v>
      </c>
      <c r="U61" s="9">
        <f t="shared" si="20"/>
        <v>960</v>
      </c>
      <c r="V61" s="9">
        <f t="shared" si="21"/>
        <v>970</v>
      </c>
      <c r="W61" s="9">
        <f t="shared" si="22"/>
        <v>976</v>
      </c>
      <c r="X61" s="10"/>
      <c r="Y61" s="8"/>
      <c r="Z61" s="8"/>
      <c r="AA61" s="8"/>
      <c r="AB61" s="19"/>
    </row>
    <row r="62" spans="1:28" ht="15" customHeight="1">
      <c r="A62" s="18">
        <v>48</v>
      </c>
      <c r="B62" s="17">
        <f t="shared" si="8"/>
        <v>45299</v>
      </c>
      <c r="C62" s="13">
        <f t="shared" si="9"/>
        <v>1069</v>
      </c>
      <c r="D62" s="12">
        <f t="shared" si="23"/>
        <v>1629</v>
      </c>
      <c r="E62" s="11">
        <f t="shared" si="1"/>
        <v>1038</v>
      </c>
      <c r="F62" s="11">
        <f t="shared" si="2"/>
        <v>1048</v>
      </c>
      <c r="G62" s="11">
        <f t="shared" si="3"/>
        <v>1072</v>
      </c>
      <c r="H62" s="8">
        <f t="shared" si="4"/>
        <v>1660</v>
      </c>
      <c r="I62" s="8">
        <f t="shared" si="5"/>
        <v>1650</v>
      </c>
      <c r="J62" s="8">
        <f t="shared" si="6"/>
        <v>1626</v>
      </c>
      <c r="K62" s="8">
        <f t="shared" si="24"/>
        <v>2000</v>
      </c>
      <c r="L62" s="8">
        <f t="shared" si="25"/>
        <v>2000</v>
      </c>
      <c r="M62" s="8">
        <f t="shared" si="26"/>
        <v>2000</v>
      </c>
      <c r="N62" s="8">
        <f t="shared" si="14"/>
        <v>-340</v>
      </c>
      <c r="O62" s="8">
        <f t="shared" si="15"/>
        <v>-350</v>
      </c>
      <c r="P62" s="8">
        <f t="shared" si="16"/>
        <v>-374</v>
      </c>
      <c r="Q62" s="11">
        <v>0</v>
      </c>
      <c r="R62" s="11">
        <v>0</v>
      </c>
      <c r="S62" s="11">
        <v>0</v>
      </c>
      <c r="T62" s="10">
        <f t="shared" si="7"/>
        <v>1728</v>
      </c>
      <c r="U62" s="9">
        <f t="shared" si="20"/>
        <v>960</v>
      </c>
      <c r="V62" s="9">
        <f t="shared" si="21"/>
        <v>970</v>
      </c>
      <c r="W62" s="9">
        <f t="shared" si="22"/>
        <v>976</v>
      </c>
      <c r="X62" s="10"/>
      <c r="Y62" s="8"/>
      <c r="Z62" s="8"/>
      <c r="AA62" s="8"/>
      <c r="AB62" s="19"/>
    </row>
    <row r="63" spans="1:28" ht="15" customHeight="1">
      <c r="A63" s="18">
        <v>49</v>
      </c>
      <c r="B63" s="17">
        <f t="shared" si="8"/>
        <v>45300</v>
      </c>
      <c r="C63" s="13">
        <f t="shared" si="9"/>
        <v>1069</v>
      </c>
      <c r="D63" s="12">
        <f t="shared" si="23"/>
        <v>1627</v>
      </c>
      <c r="E63" s="11">
        <f t="shared" si="1"/>
        <v>1037</v>
      </c>
      <c r="F63" s="11">
        <f t="shared" si="2"/>
        <v>1047</v>
      </c>
      <c r="G63" s="11">
        <f t="shared" si="3"/>
        <v>1071</v>
      </c>
      <c r="H63" s="8">
        <f t="shared" si="4"/>
        <v>1659</v>
      </c>
      <c r="I63" s="8">
        <f t="shared" si="5"/>
        <v>1649</v>
      </c>
      <c r="J63" s="8">
        <f t="shared" si="6"/>
        <v>1625</v>
      </c>
      <c r="K63" s="8">
        <f t="shared" si="24"/>
        <v>2000</v>
      </c>
      <c r="L63" s="8">
        <f t="shared" si="25"/>
        <v>2000</v>
      </c>
      <c r="M63" s="8">
        <f t="shared" si="26"/>
        <v>2000</v>
      </c>
      <c r="N63" s="8">
        <f t="shared" si="14"/>
        <v>-341</v>
      </c>
      <c r="O63" s="8">
        <f t="shared" si="15"/>
        <v>-351</v>
      </c>
      <c r="P63" s="8">
        <f t="shared" si="16"/>
        <v>-375</v>
      </c>
      <c r="Q63" s="11">
        <v>1</v>
      </c>
      <c r="R63" s="11">
        <v>1</v>
      </c>
      <c r="S63" s="11">
        <v>1</v>
      </c>
      <c r="T63" s="10">
        <f t="shared" si="7"/>
        <v>1727</v>
      </c>
      <c r="U63" s="9">
        <f t="shared" si="20"/>
        <v>959</v>
      </c>
      <c r="V63" s="9">
        <f t="shared" si="21"/>
        <v>969</v>
      </c>
      <c r="W63" s="9">
        <f t="shared" si="22"/>
        <v>975</v>
      </c>
      <c r="X63" s="10"/>
      <c r="Y63" s="8"/>
      <c r="Z63" s="8"/>
      <c r="AA63" s="8"/>
      <c r="AB63" s="19"/>
    </row>
    <row r="64" spans="1:28" ht="15" customHeight="1">
      <c r="A64" s="18">
        <v>50</v>
      </c>
      <c r="B64" s="17">
        <f t="shared" si="8"/>
        <v>45301</v>
      </c>
      <c r="C64" s="13">
        <f t="shared" si="9"/>
        <v>1069</v>
      </c>
      <c r="D64" s="12">
        <f t="shared" si="23"/>
        <v>1625</v>
      </c>
      <c r="E64" s="11">
        <f t="shared" si="1"/>
        <v>1035</v>
      </c>
      <c r="F64" s="11">
        <f t="shared" si="2"/>
        <v>1045</v>
      </c>
      <c r="G64" s="11">
        <f t="shared" si="3"/>
        <v>1069</v>
      </c>
      <c r="H64" s="8">
        <f t="shared" si="4"/>
        <v>1659</v>
      </c>
      <c r="I64" s="8">
        <f t="shared" si="5"/>
        <v>1649</v>
      </c>
      <c r="J64" s="8">
        <f t="shared" si="6"/>
        <v>1625</v>
      </c>
      <c r="K64" s="8">
        <f t="shared" si="24"/>
        <v>2000</v>
      </c>
      <c r="L64" s="8">
        <f t="shared" si="25"/>
        <v>2000</v>
      </c>
      <c r="M64" s="8">
        <f t="shared" si="26"/>
        <v>2000</v>
      </c>
      <c r="N64" s="8">
        <f t="shared" si="14"/>
        <v>-341</v>
      </c>
      <c r="O64" s="8">
        <f t="shared" si="15"/>
        <v>-351</v>
      </c>
      <c r="P64" s="8">
        <f t="shared" si="16"/>
        <v>-375</v>
      </c>
      <c r="Q64" s="11">
        <v>0</v>
      </c>
      <c r="R64" s="11">
        <v>0</v>
      </c>
      <c r="S64" s="11">
        <v>0</v>
      </c>
      <c r="T64" s="10">
        <f t="shared" si="7"/>
        <v>1725</v>
      </c>
      <c r="U64" s="9">
        <f t="shared" si="20"/>
        <v>959</v>
      </c>
      <c r="V64" s="9">
        <f t="shared" si="21"/>
        <v>969</v>
      </c>
      <c r="W64" s="9">
        <f t="shared" si="22"/>
        <v>975</v>
      </c>
      <c r="X64" s="10"/>
      <c r="Y64" s="8"/>
      <c r="Z64" s="8"/>
      <c r="AA64" s="8"/>
      <c r="AB64" s="19"/>
    </row>
    <row r="65" spans="1:28" ht="15" customHeight="1">
      <c r="A65" s="18">
        <v>51</v>
      </c>
      <c r="B65" s="17">
        <f t="shared" si="8"/>
        <v>45302</v>
      </c>
      <c r="C65" s="13">
        <f t="shared" si="9"/>
        <v>1069</v>
      </c>
      <c r="D65" s="12">
        <f t="shared" si="23"/>
        <v>1623</v>
      </c>
      <c r="E65" s="11">
        <f t="shared" si="1"/>
        <v>1033</v>
      </c>
      <c r="F65" s="11">
        <f t="shared" si="2"/>
        <v>1043</v>
      </c>
      <c r="G65" s="11">
        <f t="shared" si="3"/>
        <v>1067</v>
      </c>
      <c r="H65" s="8">
        <f t="shared" si="4"/>
        <v>1659</v>
      </c>
      <c r="I65" s="8">
        <f t="shared" si="5"/>
        <v>1649</v>
      </c>
      <c r="J65" s="8">
        <f t="shared" si="6"/>
        <v>1625</v>
      </c>
      <c r="K65" s="8">
        <f t="shared" si="24"/>
        <v>2000</v>
      </c>
      <c r="L65" s="8">
        <f t="shared" si="25"/>
        <v>2000</v>
      </c>
      <c r="M65" s="8">
        <f t="shared" si="26"/>
        <v>2000</v>
      </c>
      <c r="N65" s="8">
        <f t="shared" si="14"/>
        <v>-341</v>
      </c>
      <c r="O65" s="8">
        <f t="shared" si="15"/>
        <v>-351</v>
      </c>
      <c r="P65" s="8">
        <f t="shared" si="16"/>
        <v>-375</v>
      </c>
      <c r="Q65" s="11">
        <v>0</v>
      </c>
      <c r="R65" s="11">
        <v>0</v>
      </c>
      <c r="S65" s="11">
        <v>0</v>
      </c>
      <c r="T65" s="10">
        <f t="shared" si="7"/>
        <v>1723</v>
      </c>
      <c r="U65" s="9">
        <f t="shared" si="20"/>
        <v>959</v>
      </c>
      <c r="V65" s="9">
        <f t="shared" si="21"/>
        <v>969</v>
      </c>
      <c r="W65" s="9">
        <f t="shared" si="22"/>
        <v>975</v>
      </c>
      <c r="X65" s="10"/>
      <c r="Y65" s="8"/>
      <c r="Z65" s="8"/>
      <c r="AA65" s="8"/>
      <c r="AB65" s="19"/>
    </row>
    <row r="66" spans="1:28" ht="15" customHeight="1">
      <c r="A66" s="18">
        <v>52</v>
      </c>
      <c r="B66" s="17">
        <f t="shared" si="8"/>
        <v>45303</v>
      </c>
      <c r="C66" s="13">
        <f t="shared" si="9"/>
        <v>1069</v>
      </c>
      <c r="D66" s="12">
        <f t="shared" si="23"/>
        <v>1621</v>
      </c>
      <c r="E66" s="11">
        <f t="shared" si="1"/>
        <v>1031</v>
      </c>
      <c r="F66" s="11">
        <f t="shared" si="2"/>
        <v>1041</v>
      </c>
      <c r="G66" s="11">
        <f t="shared" si="3"/>
        <v>1065</v>
      </c>
      <c r="H66" s="8">
        <f t="shared" si="4"/>
        <v>1659</v>
      </c>
      <c r="I66" s="8">
        <f t="shared" si="5"/>
        <v>1649</v>
      </c>
      <c r="J66" s="8">
        <f t="shared" si="6"/>
        <v>1625</v>
      </c>
      <c r="K66" s="8">
        <f t="shared" si="24"/>
        <v>2000</v>
      </c>
      <c r="L66" s="8">
        <f t="shared" si="25"/>
        <v>2000</v>
      </c>
      <c r="M66" s="8">
        <f t="shared" si="26"/>
        <v>2000</v>
      </c>
      <c r="N66" s="8">
        <f t="shared" si="14"/>
        <v>-341</v>
      </c>
      <c r="O66" s="8">
        <f t="shared" si="15"/>
        <v>-351</v>
      </c>
      <c r="P66" s="8">
        <f t="shared" si="16"/>
        <v>-375</v>
      </c>
      <c r="Q66" s="11">
        <v>0</v>
      </c>
      <c r="R66" s="11">
        <v>0</v>
      </c>
      <c r="S66" s="11">
        <v>0</v>
      </c>
      <c r="T66" s="10">
        <f t="shared" si="7"/>
        <v>1721</v>
      </c>
      <c r="U66" s="9">
        <f t="shared" si="20"/>
        <v>959</v>
      </c>
      <c r="V66" s="9">
        <f t="shared" si="21"/>
        <v>969</v>
      </c>
      <c r="W66" s="9">
        <f t="shared" si="22"/>
        <v>975</v>
      </c>
      <c r="X66" s="10"/>
      <c r="Y66" s="8"/>
      <c r="Z66" s="8"/>
      <c r="AA66" s="8"/>
      <c r="AB66" s="19"/>
    </row>
    <row r="67" spans="1:28" ht="15" customHeight="1">
      <c r="A67" s="18">
        <v>53</v>
      </c>
      <c r="B67" s="17">
        <f t="shared" si="8"/>
        <v>45304</v>
      </c>
      <c r="C67" s="13">
        <f t="shared" si="9"/>
        <v>1069</v>
      </c>
      <c r="D67" s="12">
        <f t="shared" si="23"/>
        <v>1619</v>
      </c>
      <c r="E67" s="11">
        <f t="shared" si="1"/>
        <v>1029</v>
      </c>
      <c r="F67" s="11">
        <f t="shared" si="2"/>
        <v>1039</v>
      </c>
      <c r="G67" s="11">
        <f t="shared" si="3"/>
        <v>1063</v>
      </c>
      <c r="H67" s="8">
        <f t="shared" si="4"/>
        <v>1659</v>
      </c>
      <c r="I67" s="8">
        <f t="shared" si="5"/>
        <v>1649</v>
      </c>
      <c r="J67" s="8">
        <f t="shared" si="6"/>
        <v>1625</v>
      </c>
      <c r="K67" s="8">
        <f t="shared" si="24"/>
        <v>2000</v>
      </c>
      <c r="L67" s="8">
        <f t="shared" si="25"/>
        <v>2000</v>
      </c>
      <c r="M67" s="8">
        <f t="shared" si="26"/>
        <v>2000</v>
      </c>
      <c r="N67" s="8">
        <f t="shared" si="14"/>
        <v>-341</v>
      </c>
      <c r="O67" s="8">
        <f t="shared" si="15"/>
        <v>-351</v>
      </c>
      <c r="P67" s="8">
        <f t="shared" si="16"/>
        <v>-375</v>
      </c>
      <c r="Q67" s="11">
        <v>0</v>
      </c>
      <c r="R67" s="11">
        <v>0</v>
      </c>
      <c r="S67" s="11">
        <v>0</v>
      </c>
      <c r="T67" s="10">
        <f t="shared" si="7"/>
        <v>1719</v>
      </c>
      <c r="U67" s="9">
        <f t="shared" si="20"/>
        <v>959</v>
      </c>
      <c r="V67" s="9">
        <f t="shared" si="21"/>
        <v>969</v>
      </c>
      <c r="W67" s="9">
        <f t="shared" si="22"/>
        <v>975</v>
      </c>
      <c r="X67" s="10"/>
      <c r="Y67" s="8"/>
      <c r="Z67" s="8"/>
      <c r="AA67" s="8"/>
      <c r="AB67" s="19"/>
    </row>
    <row r="68" spans="1:28" ht="15" customHeight="1">
      <c r="A68" s="18">
        <v>54</v>
      </c>
      <c r="B68" s="17">
        <f t="shared" si="8"/>
        <v>45305</v>
      </c>
      <c r="C68" s="13">
        <f t="shared" si="9"/>
        <v>1069</v>
      </c>
      <c r="D68" s="12">
        <f t="shared" si="23"/>
        <v>1617</v>
      </c>
      <c r="E68" s="11">
        <f t="shared" si="1"/>
        <v>1027</v>
      </c>
      <c r="F68" s="11">
        <f t="shared" si="2"/>
        <v>1037</v>
      </c>
      <c r="G68" s="11">
        <f t="shared" si="3"/>
        <v>1061</v>
      </c>
      <c r="H68" s="8">
        <f t="shared" si="4"/>
        <v>1659</v>
      </c>
      <c r="I68" s="8">
        <f t="shared" si="5"/>
        <v>1649</v>
      </c>
      <c r="J68" s="8">
        <f t="shared" si="6"/>
        <v>1625</v>
      </c>
      <c r="K68" s="8">
        <f t="shared" si="24"/>
        <v>2000</v>
      </c>
      <c r="L68" s="8">
        <f t="shared" si="25"/>
        <v>2000</v>
      </c>
      <c r="M68" s="8">
        <f t="shared" si="26"/>
        <v>2000</v>
      </c>
      <c r="N68" s="8">
        <f t="shared" si="14"/>
        <v>-341</v>
      </c>
      <c r="O68" s="8">
        <f t="shared" si="15"/>
        <v>-351</v>
      </c>
      <c r="P68" s="8">
        <f t="shared" si="16"/>
        <v>-375</v>
      </c>
      <c r="Q68" s="11">
        <v>0</v>
      </c>
      <c r="R68" s="11">
        <v>0</v>
      </c>
      <c r="S68" s="11">
        <v>0</v>
      </c>
      <c r="T68" s="10">
        <f t="shared" si="7"/>
        <v>1717</v>
      </c>
      <c r="U68" s="9">
        <f t="shared" si="20"/>
        <v>959</v>
      </c>
      <c r="V68" s="9">
        <f t="shared" si="21"/>
        <v>969</v>
      </c>
      <c r="W68" s="9">
        <f t="shared" si="22"/>
        <v>975</v>
      </c>
      <c r="X68" s="10"/>
      <c r="Y68" s="8"/>
      <c r="Z68" s="8"/>
      <c r="AA68" s="8"/>
      <c r="AB68" s="19"/>
    </row>
    <row r="69" spans="1:28" ht="15" customHeight="1">
      <c r="A69" s="18">
        <v>55</v>
      </c>
      <c r="B69" s="17">
        <f t="shared" si="8"/>
        <v>45306</v>
      </c>
      <c r="C69" s="13">
        <f t="shared" si="9"/>
        <v>1069</v>
      </c>
      <c r="D69" s="12">
        <f t="shared" si="23"/>
        <v>1615</v>
      </c>
      <c r="E69" s="11">
        <f t="shared" si="1"/>
        <v>1025</v>
      </c>
      <c r="F69" s="11">
        <f t="shared" si="2"/>
        <v>1035</v>
      </c>
      <c r="G69" s="11">
        <f t="shared" si="3"/>
        <v>1059</v>
      </c>
      <c r="H69" s="8">
        <f t="shared" si="4"/>
        <v>1659</v>
      </c>
      <c r="I69" s="8">
        <f t="shared" si="5"/>
        <v>1649</v>
      </c>
      <c r="J69" s="8">
        <f t="shared" si="6"/>
        <v>1625</v>
      </c>
      <c r="K69" s="8">
        <f t="shared" si="24"/>
        <v>2000</v>
      </c>
      <c r="L69" s="8">
        <f t="shared" si="25"/>
        <v>2000</v>
      </c>
      <c r="M69" s="8">
        <f t="shared" si="26"/>
        <v>2000</v>
      </c>
      <c r="N69" s="8">
        <f t="shared" si="14"/>
        <v>-341</v>
      </c>
      <c r="O69" s="8">
        <f t="shared" si="15"/>
        <v>-351</v>
      </c>
      <c r="P69" s="8">
        <f t="shared" si="16"/>
        <v>-375</v>
      </c>
      <c r="Q69" s="11">
        <v>0</v>
      </c>
      <c r="R69" s="11">
        <v>0</v>
      </c>
      <c r="S69" s="11">
        <v>0</v>
      </c>
      <c r="T69" s="10">
        <f t="shared" si="7"/>
        <v>1715</v>
      </c>
      <c r="U69" s="9">
        <f t="shared" si="20"/>
        <v>959</v>
      </c>
      <c r="V69" s="9">
        <f t="shared" si="21"/>
        <v>969</v>
      </c>
      <c r="W69" s="9">
        <f t="shared" si="22"/>
        <v>975</v>
      </c>
      <c r="X69" s="10"/>
      <c r="Y69" s="8"/>
      <c r="Z69" s="8"/>
      <c r="AA69" s="8"/>
      <c r="AB69" s="19"/>
    </row>
    <row r="70" spans="1:28" ht="15" customHeight="1">
      <c r="A70" s="18">
        <v>56</v>
      </c>
      <c r="B70" s="17">
        <f t="shared" si="8"/>
        <v>45307</v>
      </c>
      <c r="C70" s="13">
        <f t="shared" si="9"/>
        <v>1069</v>
      </c>
      <c r="D70" s="12">
        <f t="shared" si="23"/>
        <v>1613</v>
      </c>
      <c r="E70" s="11">
        <f t="shared" si="1"/>
        <v>1023</v>
      </c>
      <c r="F70" s="11">
        <f t="shared" si="2"/>
        <v>1033</v>
      </c>
      <c r="G70" s="11">
        <f t="shared" si="3"/>
        <v>1057</v>
      </c>
      <c r="H70" s="8">
        <f t="shared" si="4"/>
        <v>1659</v>
      </c>
      <c r="I70" s="8">
        <f t="shared" si="5"/>
        <v>1649</v>
      </c>
      <c r="J70" s="8">
        <f t="shared" si="6"/>
        <v>1625</v>
      </c>
      <c r="K70" s="8">
        <f t="shared" si="24"/>
        <v>2000</v>
      </c>
      <c r="L70" s="8">
        <f t="shared" si="25"/>
        <v>2000</v>
      </c>
      <c r="M70" s="8">
        <f t="shared" si="26"/>
        <v>2000</v>
      </c>
      <c r="N70" s="8">
        <f t="shared" si="14"/>
        <v>-341</v>
      </c>
      <c r="O70" s="8">
        <f t="shared" si="15"/>
        <v>-351</v>
      </c>
      <c r="P70" s="8">
        <f t="shared" si="16"/>
        <v>-375</v>
      </c>
      <c r="Q70" s="11">
        <v>0</v>
      </c>
      <c r="R70" s="11">
        <v>0</v>
      </c>
      <c r="S70" s="11">
        <v>0</v>
      </c>
      <c r="T70" s="10">
        <f t="shared" si="7"/>
        <v>1713</v>
      </c>
      <c r="U70" s="9">
        <f t="shared" si="20"/>
        <v>959</v>
      </c>
      <c r="V70" s="9">
        <f t="shared" si="21"/>
        <v>969</v>
      </c>
      <c r="W70" s="9">
        <f t="shared" si="22"/>
        <v>975</v>
      </c>
      <c r="X70" s="10"/>
      <c r="Y70" s="8"/>
      <c r="Z70" s="8"/>
      <c r="AA70" s="8"/>
      <c r="AB70" s="19"/>
    </row>
    <row r="71" spans="1:28" ht="15" customHeight="1">
      <c r="A71" s="18">
        <v>57</v>
      </c>
      <c r="B71" s="17">
        <f t="shared" si="8"/>
        <v>45308</v>
      </c>
      <c r="C71" s="13">
        <f t="shared" si="9"/>
        <v>1069</v>
      </c>
      <c r="D71" s="12">
        <f t="shared" si="23"/>
        <v>1611</v>
      </c>
      <c r="E71" s="11">
        <f t="shared" si="1"/>
        <v>1021</v>
      </c>
      <c r="F71" s="11">
        <f t="shared" si="2"/>
        <v>1031</v>
      </c>
      <c r="G71" s="11">
        <f t="shared" si="3"/>
        <v>1055</v>
      </c>
      <c r="H71" s="8">
        <f t="shared" si="4"/>
        <v>1659</v>
      </c>
      <c r="I71" s="8">
        <f t="shared" si="5"/>
        <v>1649</v>
      </c>
      <c r="J71" s="8">
        <f t="shared" si="6"/>
        <v>1625</v>
      </c>
      <c r="K71" s="8">
        <f t="shared" si="24"/>
        <v>2000</v>
      </c>
      <c r="L71" s="8">
        <f t="shared" si="25"/>
        <v>2000</v>
      </c>
      <c r="M71" s="8">
        <f t="shared" si="26"/>
        <v>2000</v>
      </c>
      <c r="N71" s="8">
        <f t="shared" si="14"/>
        <v>-341</v>
      </c>
      <c r="O71" s="8">
        <f t="shared" si="15"/>
        <v>-351</v>
      </c>
      <c r="P71" s="8">
        <f t="shared" si="16"/>
        <v>-375</v>
      </c>
      <c r="Q71" s="11">
        <v>0</v>
      </c>
      <c r="R71" s="11">
        <v>0</v>
      </c>
      <c r="S71" s="11">
        <v>0</v>
      </c>
      <c r="T71" s="10">
        <f t="shared" si="7"/>
        <v>1711</v>
      </c>
      <c r="U71" s="9">
        <f t="shared" si="20"/>
        <v>959</v>
      </c>
      <c r="V71" s="9">
        <f t="shared" si="21"/>
        <v>969</v>
      </c>
      <c r="W71" s="9">
        <f t="shared" si="22"/>
        <v>975</v>
      </c>
      <c r="X71" s="10"/>
      <c r="Y71" s="8"/>
      <c r="Z71" s="8"/>
      <c r="AA71" s="8"/>
      <c r="AB71" s="19"/>
    </row>
    <row r="72" spans="1:28" ht="15" customHeight="1">
      <c r="A72" s="18">
        <v>58</v>
      </c>
      <c r="B72" s="17">
        <f t="shared" si="8"/>
        <v>45309</v>
      </c>
      <c r="C72" s="13">
        <f t="shared" si="9"/>
        <v>1069</v>
      </c>
      <c r="D72" s="12">
        <f t="shared" si="23"/>
        <v>1609</v>
      </c>
      <c r="E72" s="11">
        <f t="shared" si="1"/>
        <v>1019</v>
      </c>
      <c r="F72" s="11">
        <f t="shared" si="2"/>
        <v>1029</v>
      </c>
      <c r="G72" s="11">
        <f t="shared" si="3"/>
        <v>1053</v>
      </c>
      <c r="H72" s="8">
        <f t="shared" si="4"/>
        <v>1659</v>
      </c>
      <c r="I72" s="8">
        <f t="shared" si="5"/>
        <v>1649</v>
      </c>
      <c r="J72" s="8">
        <f t="shared" si="6"/>
        <v>1625</v>
      </c>
      <c r="K72" s="8">
        <f t="shared" si="24"/>
        <v>2000</v>
      </c>
      <c r="L72" s="8">
        <f t="shared" si="25"/>
        <v>2000</v>
      </c>
      <c r="M72" s="8">
        <f t="shared" si="26"/>
        <v>2000</v>
      </c>
      <c r="N72" s="8">
        <f t="shared" si="14"/>
        <v>-341</v>
      </c>
      <c r="O72" s="8">
        <f t="shared" si="15"/>
        <v>-351</v>
      </c>
      <c r="P72" s="8">
        <f t="shared" si="16"/>
        <v>-375</v>
      </c>
      <c r="Q72" s="11">
        <v>0</v>
      </c>
      <c r="R72" s="11">
        <v>0</v>
      </c>
      <c r="S72" s="11">
        <v>0</v>
      </c>
      <c r="T72" s="10">
        <f t="shared" si="7"/>
        <v>1709</v>
      </c>
      <c r="U72" s="9">
        <f t="shared" si="20"/>
        <v>959</v>
      </c>
      <c r="V72" s="9">
        <f t="shared" si="21"/>
        <v>969</v>
      </c>
      <c r="W72" s="9">
        <f t="shared" si="22"/>
        <v>975</v>
      </c>
      <c r="X72" s="10"/>
      <c r="Y72" s="8"/>
      <c r="Z72" s="8"/>
      <c r="AA72" s="8"/>
      <c r="AB72" s="19"/>
    </row>
    <row r="73" spans="1:28" ht="15" customHeight="1">
      <c r="A73" s="18">
        <v>59</v>
      </c>
      <c r="B73" s="17">
        <f t="shared" si="8"/>
        <v>45310</v>
      </c>
      <c r="C73" s="13">
        <f t="shared" si="9"/>
        <v>1069</v>
      </c>
      <c r="D73" s="12">
        <f t="shared" si="23"/>
        <v>1607</v>
      </c>
      <c r="E73" s="11">
        <f t="shared" si="1"/>
        <v>1017</v>
      </c>
      <c r="F73" s="11">
        <f t="shared" si="2"/>
        <v>1027</v>
      </c>
      <c r="G73" s="11">
        <f t="shared" si="3"/>
        <v>1051</v>
      </c>
      <c r="H73" s="8">
        <f t="shared" si="4"/>
        <v>1659</v>
      </c>
      <c r="I73" s="8">
        <f t="shared" si="5"/>
        <v>1649</v>
      </c>
      <c r="J73" s="8">
        <f t="shared" si="6"/>
        <v>1625</v>
      </c>
      <c r="K73" s="8">
        <f t="shared" si="24"/>
        <v>2000</v>
      </c>
      <c r="L73" s="8">
        <f t="shared" si="25"/>
        <v>2000</v>
      </c>
      <c r="M73" s="8">
        <f t="shared" si="26"/>
        <v>2000</v>
      </c>
      <c r="N73" s="8">
        <f t="shared" si="14"/>
        <v>-341</v>
      </c>
      <c r="O73" s="8">
        <f t="shared" si="15"/>
        <v>-351</v>
      </c>
      <c r="P73" s="8">
        <f t="shared" si="16"/>
        <v>-375</v>
      </c>
      <c r="Q73" s="11">
        <v>0</v>
      </c>
      <c r="R73" s="11">
        <v>0</v>
      </c>
      <c r="S73" s="11">
        <v>0</v>
      </c>
      <c r="T73" s="10">
        <f t="shared" si="7"/>
        <v>1707</v>
      </c>
      <c r="U73" s="9">
        <f t="shared" si="20"/>
        <v>959</v>
      </c>
      <c r="V73" s="9">
        <f t="shared" si="21"/>
        <v>969</v>
      </c>
      <c r="W73" s="9">
        <f t="shared" si="22"/>
        <v>975</v>
      </c>
      <c r="X73" s="10"/>
      <c r="Y73" s="8"/>
      <c r="Z73" s="8"/>
      <c r="AA73" s="8"/>
      <c r="AB73" s="19"/>
    </row>
    <row r="74" spans="1:28" ht="15" customHeight="1">
      <c r="A74" s="18">
        <v>60</v>
      </c>
      <c r="B74" s="17">
        <f t="shared" si="8"/>
        <v>45311</v>
      </c>
      <c r="C74" s="13">
        <f t="shared" si="9"/>
        <v>1069</v>
      </c>
      <c r="D74" s="12">
        <f t="shared" si="23"/>
        <v>1605</v>
      </c>
      <c r="E74" s="11">
        <f t="shared" si="1"/>
        <v>1015</v>
      </c>
      <c r="F74" s="11">
        <f t="shared" si="2"/>
        <v>1025</v>
      </c>
      <c r="G74" s="11">
        <f t="shared" si="3"/>
        <v>1049</v>
      </c>
      <c r="H74" s="8">
        <f t="shared" si="4"/>
        <v>1659</v>
      </c>
      <c r="I74" s="8">
        <f t="shared" si="5"/>
        <v>1649</v>
      </c>
      <c r="J74" s="8">
        <f t="shared" si="6"/>
        <v>1625</v>
      </c>
      <c r="K74" s="8">
        <f t="shared" si="24"/>
        <v>2000</v>
      </c>
      <c r="L74" s="8">
        <f t="shared" si="25"/>
        <v>2000</v>
      </c>
      <c r="M74" s="8">
        <f t="shared" si="26"/>
        <v>2000</v>
      </c>
      <c r="N74" s="8">
        <f t="shared" si="14"/>
        <v>-341</v>
      </c>
      <c r="O74" s="8">
        <f t="shared" si="15"/>
        <v>-351</v>
      </c>
      <c r="P74" s="8">
        <f t="shared" si="16"/>
        <v>-375</v>
      </c>
      <c r="Q74" s="11">
        <v>0</v>
      </c>
      <c r="R74" s="11">
        <v>0</v>
      </c>
      <c r="S74" s="11">
        <v>0</v>
      </c>
      <c r="T74" s="10">
        <f t="shared" si="7"/>
        <v>1705</v>
      </c>
      <c r="U74" s="9">
        <f t="shared" si="20"/>
        <v>959</v>
      </c>
      <c r="V74" s="9">
        <f t="shared" si="21"/>
        <v>969</v>
      </c>
      <c r="W74" s="9">
        <f t="shared" si="22"/>
        <v>975</v>
      </c>
      <c r="X74" s="10"/>
      <c r="Y74" s="8"/>
      <c r="Z74" s="8"/>
      <c r="AA74" s="8"/>
      <c r="AB74" s="19"/>
    </row>
    <row r="75" spans="1:28" ht="15" customHeight="1">
      <c r="A75" s="18">
        <v>61</v>
      </c>
      <c r="B75" s="17">
        <f t="shared" si="8"/>
        <v>45312</v>
      </c>
      <c r="C75" s="13">
        <f t="shared" si="9"/>
        <v>1069</v>
      </c>
      <c r="D75" s="12">
        <f t="shared" si="23"/>
        <v>1603</v>
      </c>
      <c r="E75" s="11">
        <f t="shared" si="1"/>
        <v>1013</v>
      </c>
      <c r="F75" s="11">
        <f t="shared" si="2"/>
        <v>1023</v>
      </c>
      <c r="G75" s="11">
        <f t="shared" si="3"/>
        <v>1047</v>
      </c>
      <c r="H75" s="8">
        <f t="shared" si="4"/>
        <v>1659</v>
      </c>
      <c r="I75" s="8">
        <f t="shared" si="5"/>
        <v>1649</v>
      </c>
      <c r="J75" s="8">
        <f t="shared" si="6"/>
        <v>1625</v>
      </c>
      <c r="K75" s="8">
        <f t="shared" si="24"/>
        <v>2000</v>
      </c>
      <c r="L75" s="8">
        <f t="shared" si="25"/>
        <v>2000</v>
      </c>
      <c r="M75" s="8">
        <f t="shared" si="26"/>
        <v>2000</v>
      </c>
      <c r="N75" s="8">
        <f t="shared" si="14"/>
        <v>-341</v>
      </c>
      <c r="O75" s="8">
        <f t="shared" si="15"/>
        <v>-351</v>
      </c>
      <c r="P75" s="8">
        <f t="shared" si="16"/>
        <v>-375</v>
      </c>
      <c r="Q75" s="11">
        <v>0</v>
      </c>
      <c r="R75" s="11">
        <v>0</v>
      </c>
      <c r="S75" s="11">
        <v>0</v>
      </c>
      <c r="T75" s="10">
        <f t="shared" si="7"/>
        <v>1703</v>
      </c>
      <c r="U75" s="9">
        <f t="shared" si="20"/>
        <v>959</v>
      </c>
      <c r="V75" s="9">
        <f t="shared" si="21"/>
        <v>969</v>
      </c>
      <c r="W75" s="9">
        <f t="shared" si="22"/>
        <v>975</v>
      </c>
      <c r="X75" s="10"/>
      <c r="Y75" s="8"/>
      <c r="Z75" s="8"/>
      <c r="AA75" s="8"/>
      <c r="AB75" s="19"/>
    </row>
    <row r="76" spans="1:28" ht="15">
      <c r="A76" s="18">
        <v>62</v>
      </c>
      <c r="B76" s="17">
        <f t="shared" si="8"/>
        <v>45313</v>
      </c>
      <c r="C76" s="13">
        <f t="shared" si="9"/>
        <v>1069</v>
      </c>
      <c r="D76" s="12">
        <f t="shared" si="23"/>
        <v>1601</v>
      </c>
      <c r="E76" s="11">
        <f t="shared" si="1"/>
        <v>1011</v>
      </c>
      <c r="F76" s="11">
        <f t="shared" si="2"/>
        <v>1021</v>
      </c>
      <c r="G76" s="11">
        <f t="shared" si="3"/>
        <v>1045</v>
      </c>
      <c r="H76" s="8">
        <f t="shared" si="4"/>
        <v>1659</v>
      </c>
      <c r="I76" s="8">
        <f t="shared" si="5"/>
        <v>1649</v>
      </c>
      <c r="J76" s="8">
        <f t="shared" si="6"/>
        <v>1625</v>
      </c>
      <c r="K76" s="8">
        <f t="shared" si="24"/>
        <v>2000</v>
      </c>
      <c r="L76" s="8">
        <f t="shared" si="25"/>
        <v>2000</v>
      </c>
      <c r="M76" s="8">
        <f t="shared" si="26"/>
        <v>2000</v>
      </c>
      <c r="N76" s="8">
        <f t="shared" si="14"/>
        <v>-341</v>
      </c>
      <c r="O76" s="8">
        <f t="shared" si="15"/>
        <v>-351</v>
      </c>
      <c r="P76" s="8">
        <f t="shared" si="16"/>
        <v>-375</v>
      </c>
      <c r="Q76" s="11">
        <v>0</v>
      </c>
      <c r="R76" s="11">
        <v>0</v>
      </c>
      <c r="S76" s="11">
        <v>0</v>
      </c>
      <c r="T76" s="10">
        <f t="shared" si="7"/>
        <v>1701</v>
      </c>
      <c r="U76" s="9">
        <f t="shared" si="20"/>
        <v>959</v>
      </c>
      <c r="V76" s="9">
        <f t="shared" si="21"/>
        <v>969</v>
      </c>
      <c r="W76" s="9">
        <f t="shared" si="22"/>
        <v>975</v>
      </c>
      <c r="X76" s="10"/>
      <c r="Y76" s="8"/>
      <c r="Z76" s="8"/>
      <c r="AA76" s="8"/>
      <c r="AB76" s="19"/>
    </row>
    <row r="77" spans="1:28" ht="15" customHeight="1">
      <c r="A77" s="18">
        <v>63</v>
      </c>
      <c r="B77" s="17">
        <f t="shared" si="8"/>
        <v>45314</v>
      </c>
      <c r="C77" s="13">
        <f t="shared" si="9"/>
        <v>1069</v>
      </c>
      <c r="D77" s="12">
        <f t="shared" si="23"/>
        <v>1599</v>
      </c>
      <c r="E77" s="11">
        <f t="shared" si="1"/>
        <v>1009</v>
      </c>
      <c r="F77" s="11">
        <f t="shared" si="2"/>
        <v>1019</v>
      </c>
      <c r="G77" s="11">
        <f t="shared" si="3"/>
        <v>1043</v>
      </c>
      <c r="H77" s="8">
        <f t="shared" si="4"/>
        <v>1659</v>
      </c>
      <c r="I77" s="8">
        <f t="shared" si="5"/>
        <v>1649</v>
      </c>
      <c r="J77" s="8">
        <f t="shared" si="6"/>
        <v>1625</v>
      </c>
      <c r="K77" s="8">
        <f t="shared" si="24"/>
        <v>2000</v>
      </c>
      <c r="L77" s="8">
        <f t="shared" si="25"/>
        <v>2000</v>
      </c>
      <c r="M77" s="8">
        <f t="shared" si="26"/>
        <v>2000</v>
      </c>
      <c r="N77" s="8">
        <f t="shared" si="14"/>
        <v>-341</v>
      </c>
      <c r="O77" s="8">
        <f t="shared" si="15"/>
        <v>-351</v>
      </c>
      <c r="P77" s="8">
        <f t="shared" si="16"/>
        <v>-375</v>
      </c>
      <c r="Q77" s="11">
        <v>0</v>
      </c>
      <c r="R77" s="11">
        <v>0</v>
      </c>
      <c r="S77" s="11">
        <v>0</v>
      </c>
      <c r="T77" s="10">
        <f t="shared" si="7"/>
        <v>1699</v>
      </c>
      <c r="U77" s="9">
        <f t="shared" si="20"/>
        <v>959</v>
      </c>
      <c r="V77" s="9">
        <f t="shared" si="21"/>
        <v>969</v>
      </c>
      <c r="W77" s="9">
        <f t="shared" si="22"/>
        <v>975</v>
      </c>
      <c r="X77" s="10"/>
      <c r="Y77" s="8"/>
      <c r="Z77" s="8"/>
      <c r="AA77" s="8"/>
      <c r="AB77" s="19"/>
    </row>
    <row r="78" spans="1:28" ht="15" customHeight="1">
      <c r="A78" s="18">
        <v>64</v>
      </c>
      <c r="B78" s="17">
        <f t="shared" si="8"/>
        <v>45315</v>
      </c>
      <c r="C78" s="13">
        <f t="shared" si="9"/>
        <v>1069</v>
      </c>
      <c r="D78" s="12">
        <f t="shared" si="23"/>
        <v>1597</v>
      </c>
      <c r="E78" s="11">
        <f t="shared" ref="E78:E141" si="27">C78+D78-H78</f>
        <v>1007</v>
      </c>
      <c r="F78" s="11">
        <f t="shared" ref="F78:F141" si="28">C78+D78-I78</f>
        <v>1017</v>
      </c>
      <c r="G78" s="11">
        <f t="shared" ref="G78:G141" si="29">D78+C78-J78</f>
        <v>1041</v>
      </c>
      <c r="H78" s="8">
        <f t="shared" ref="H78:H141" si="30">K78+N78</f>
        <v>1659</v>
      </c>
      <c r="I78" s="8">
        <f t="shared" ref="I78:I141" si="31">L78+O78</f>
        <v>1649</v>
      </c>
      <c r="J78" s="8">
        <f t="shared" ref="J78:J141" si="32">M78+P78</f>
        <v>1625</v>
      </c>
      <c r="K78" s="8">
        <f t="shared" si="24"/>
        <v>2000</v>
      </c>
      <c r="L78" s="8">
        <f t="shared" si="25"/>
        <v>2000</v>
      </c>
      <c r="M78" s="8">
        <f t="shared" si="26"/>
        <v>2000</v>
      </c>
      <c r="N78" s="8">
        <f t="shared" si="14"/>
        <v>-341</v>
      </c>
      <c r="O78" s="8">
        <f t="shared" si="15"/>
        <v>-351</v>
      </c>
      <c r="P78" s="8">
        <f t="shared" si="16"/>
        <v>-375</v>
      </c>
      <c r="Q78" s="11">
        <v>0</v>
      </c>
      <c r="R78" s="11">
        <v>0</v>
      </c>
      <c r="S78" s="11">
        <v>0</v>
      </c>
      <c r="T78" s="10">
        <f t="shared" ref="T78:T141" si="33">D78+C78-V78</f>
        <v>1697</v>
      </c>
      <c r="U78" s="9">
        <f t="shared" si="20"/>
        <v>959</v>
      </c>
      <c r="V78" s="9">
        <f t="shared" si="21"/>
        <v>969</v>
      </c>
      <c r="W78" s="9">
        <f t="shared" si="22"/>
        <v>975</v>
      </c>
      <c r="X78" s="10"/>
      <c r="Y78" s="8"/>
      <c r="Z78" s="8"/>
      <c r="AA78" s="8"/>
      <c r="AB78" s="19"/>
    </row>
    <row r="79" spans="1:28" ht="15" customHeight="1">
      <c r="A79" s="18">
        <v>65</v>
      </c>
      <c r="B79" s="17">
        <f t="shared" ref="B79:B142" si="34">B78+1</f>
        <v>45316</v>
      </c>
      <c r="C79" s="13">
        <f t="shared" ref="C79:C142" si="35">C78</f>
        <v>1069</v>
      </c>
      <c r="D79" s="12">
        <f t="shared" ref="D79:D110" si="36">D78-2</f>
        <v>1595</v>
      </c>
      <c r="E79" s="11">
        <f t="shared" si="27"/>
        <v>1005</v>
      </c>
      <c r="F79" s="11">
        <f t="shared" si="28"/>
        <v>1015</v>
      </c>
      <c r="G79" s="11">
        <f t="shared" si="29"/>
        <v>1039</v>
      </c>
      <c r="H79" s="8">
        <f t="shared" si="30"/>
        <v>1659</v>
      </c>
      <c r="I79" s="8">
        <f t="shared" si="31"/>
        <v>1649</v>
      </c>
      <c r="J79" s="8">
        <f t="shared" si="32"/>
        <v>1625</v>
      </c>
      <c r="K79" s="8">
        <f t="shared" ref="K79:K110" si="37">K78</f>
        <v>2000</v>
      </c>
      <c r="L79" s="8">
        <f t="shared" ref="L79:L110" si="38">L78</f>
        <v>2000</v>
      </c>
      <c r="M79" s="8">
        <f t="shared" ref="M79:M110" si="39">M78</f>
        <v>2000</v>
      </c>
      <c r="N79" s="8">
        <f t="shared" ref="N79:N142" si="40">N78-Q79</f>
        <v>-341</v>
      </c>
      <c r="O79" s="8">
        <f t="shared" ref="O79:O142" si="41">O78-R79</f>
        <v>-351</v>
      </c>
      <c r="P79" s="8">
        <f t="shared" ref="P79:P142" si="42">P78-S79</f>
        <v>-375</v>
      </c>
      <c r="Q79" s="11">
        <v>0</v>
      </c>
      <c r="R79" s="11">
        <v>0</v>
      </c>
      <c r="S79" s="11">
        <v>0</v>
      </c>
      <c r="T79" s="10">
        <f t="shared" si="33"/>
        <v>1695</v>
      </c>
      <c r="U79" s="9">
        <f t="shared" si="20"/>
        <v>959</v>
      </c>
      <c r="V79" s="9">
        <f t="shared" si="21"/>
        <v>969</v>
      </c>
      <c r="W79" s="9">
        <f t="shared" si="22"/>
        <v>975</v>
      </c>
      <c r="X79" s="10"/>
      <c r="Y79" s="8"/>
      <c r="Z79" s="8"/>
      <c r="AA79" s="8"/>
      <c r="AB79" s="19"/>
    </row>
    <row r="80" spans="1:28" ht="15" customHeight="1">
      <c r="A80" s="18">
        <v>66</v>
      </c>
      <c r="B80" s="17">
        <f t="shared" si="34"/>
        <v>45317</v>
      </c>
      <c r="C80" s="13">
        <f t="shared" si="35"/>
        <v>1069</v>
      </c>
      <c r="D80" s="12">
        <f t="shared" si="36"/>
        <v>1593</v>
      </c>
      <c r="E80" s="11">
        <f t="shared" si="27"/>
        <v>1003</v>
      </c>
      <c r="F80" s="11">
        <f t="shared" si="28"/>
        <v>1013</v>
      </c>
      <c r="G80" s="11">
        <f t="shared" si="29"/>
        <v>1037</v>
      </c>
      <c r="H80" s="8">
        <f t="shared" si="30"/>
        <v>1659</v>
      </c>
      <c r="I80" s="8">
        <f t="shared" si="31"/>
        <v>1649</v>
      </c>
      <c r="J80" s="8">
        <f t="shared" si="32"/>
        <v>1625</v>
      </c>
      <c r="K80" s="8">
        <f t="shared" si="37"/>
        <v>2000</v>
      </c>
      <c r="L80" s="8">
        <f t="shared" si="38"/>
        <v>2000</v>
      </c>
      <c r="M80" s="8">
        <f t="shared" si="39"/>
        <v>2000</v>
      </c>
      <c r="N80" s="8">
        <f t="shared" si="40"/>
        <v>-341</v>
      </c>
      <c r="O80" s="8">
        <f t="shared" si="41"/>
        <v>-351</v>
      </c>
      <c r="P80" s="8">
        <f t="shared" si="42"/>
        <v>-375</v>
      </c>
      <c r="Q80" s="11">
        <v>0</v>
      </c>
      <c r="R80" s="11">
        <v>0</v>
      </c>
      <c r="S80" s="11">
        <v>0</v>
      </c>
      <c r="T80" s="10">
        <f t="shared" si="33"/>
        <v>1693</v>
      </c>
      <c r="U80" s="9">
        <f t="shared" si="20"/>
        <v>959</v>
      </c>
      <c r="V80" s="9">
        <f t="shared" si="21"/>
        <v>969</v>
      </c>
      <c r="W80" s="9">
        <f t="shared" si="22"/>
        <v>975</v>
      </c>
      <c r="X80" s="10"/>
      <c r="Y80" s="8"/>
      <c r="Z80" s="8"/>
      <c r="AA80" s="8"/>
      <c r="AB80" s="19"/>
    </row>
    <row r="81" spans="1:28" ht="15" customHeight="1">
      <c r="A81" s="18">
        <v>67</v>
      </c>
      <c r="B81" s="17">
        <f t="shared" si="34"/>
        <v>45318</v>
      </c>
      <c r="C81" s="13">
        <f t="shared" si="35"/>
        <v>1069</v>
      </c>
      <c r="D81" s="12">
        <f t="shared" si="36"/>
        <v>1591</v>
      </c>
      <c r="E81" s="11">
        <f t="shared" si="27"/>
        <v>1001</v>
      </c>
      <c r="F81" s="11">
        <f t="shared" si="28"/>
        <v>1011</v>
      </c>
      <c r="G81" s="11">
        <f t="shared" si="29"/>
        <v>1035</v>
      </c>
      <c r="H81" s="8">
        <f t="shared" si="30"/>
        <v>1659</v>
      </c>
      <c r="I81" s="8">
        <f t="shared" si="31"/>
        <v>1649</v>
      </c>
      <c r="J81" s="8">
        <f t="shared" si="32"/>
        <v>1625</v>
      </c>
      <c r="K81" s="8">
        <f t="shared" si="37"/>
        <v>2000</v>
      </c>
      <c r="L81" s="8">
        <f t="shared" si="38"/>
        <v>2000</v>
      </c>
      <c r="M81" s="8">
        <f t="shared" si="39"/>
        <v>2000</v>
      </c>
      <c r="N81" s="8">
        <f t="shared" si="40"/>
        <v>-341</v>
      </c>
      <c r="O81" s="8">
        <f t="shared" si="41"/>
        <v>-351</v>
      </c>
      <c r="P81" s="8">
        <f t="shared" si="42"/>
        <v>-375</v>
      </c>
      <c r="Q81" s="11">
        <v>0</v>
      </c>
      <c r="R81" s="11">
        <v>0</v>
      </c>
      <c r="S81" s="11">
        <v>0</v>
      </c>
      <c r="T81" s="10">
        <f t="shared" si="33"/>
        <v>1691</v>
      </c>
      <c r="U81" s="9">
        <f t="shared" si="20"/>
        <v>959</v>
      </c>
      <c r="V81" s="9">
        <f t="shared" si="21"/>
        <v>969</v>
      </c>
      <c r="W81" s="9">
        <f t="shared" si="22"/>
        <v>975</v>
      </c>
      <c r="X81" s="10"/>
      <c r="Y81" s="8"/>
      <c r="Z81" s="8"/>
      <c r="AA81" s="8"/>
      <c r="AB81" s="19"/>
    </row>
    <row r="82" spans="1:28" ht="15" customHeight="1">
      <c r="A82" s="18">
        <v>68</v>
      </c>
      <c r="B82" s="17">
        <f t="shared" si="34"/>
        <v>45319</v>
      </c>
      <c r="C82" s="13">
        <f t="shared" si="35"/>
        <v>1069</v>
      </c>
      <c r="D82" s="12">
        <f t="shared" si="36"/>
        <v>1589</v>
      </c>
      <c r="E82" s="11">
        <f t="shared" si="27"/>
        <v>999</v>
      </c>
      <c r="F82" s="11">
        <f t="shared" si="28"/>
        <v>1009</v>
      </c>
      <c r="G82" s="11">
        <f t="shared" si="29"/>
        <v>1033</v>
      </c>
      <c r="H82" s="8">
        <f t="shared" si="30"/>
        <v>1659</v>
      </c>
      <c r="I82" s="8">
        <f t="shared" si="31"/>
        <v>1649</v>
      </c>
      <c r="J82" s="8">
        <f t="shared" si="32"/>
        <v>1625</v>
      </c>
      <c r="K82" s="8">
        <f t="shared" si="37"/>
        <v>2000</v>
      </c>
      <c r="L82" s="8">
        <f t="shared" si="38"/>
        <v>2000</v>
      </c>
      <c r="M82" s="8">
        <f t="shared" si="39"/>
        <v>2000</v>
      </c>
      <c r="N82" s="8">
        <f t="shared" si="40"/>
        <v>-341</v>
      </c>
      <c r="O82" s="8">
        <f t="shared" si="41"/>
        <v>-351</v>
      </c>
      <c r="P82" s="8">
        <f t="shared" si="42"/>
        <v>-375</v>
      </c>
      <c r="Q82" s="11">
        <v>0</v>
      </c>
      <c r="R82" s="11">
        <v>0</v>
      </c>
      <c r="S82" s="11">
        <v>0</v>
      </c>
      <c r="T82" s="10">
        <f t="shared" si="33"/>
        <v>1689</v>
      </c>
      <c r="U82" s="9">
        <f t="shared" si="20"/>
        <v>959</v>
      </c>
      <c r="V82" s="9">
        <f t="shared" si="21"/>
        <v>969</v>
      </c>
      <c r="W82" s="9">
        <f t="shared" si="22"/>
        <v>975</v>
      </c>
      <c r="X82" s="10"/>
      <c r="Y82" s="8"/>
      <c r="Z82" s="8"/>
      <c r="AA82" s="8"/>
      <c r="AB82" s="19"/>
    </row>
    <row r="83" spans="1:28" ht="15" customHeight="1">
      <c r="A83" s="18">
        <v>69</v>
      </c>
      <c r="B83" s="17">
        <f t="shared" si="34"/>
        <v>45320</v>
      </c>
      <c r="C83" s="13">
        <f t="shared" si="35"/>
        <v>1069</v>
      </c>
      <c r="D83" s="12">
        <f t="shared" si="36"/>
        <v>1587</v>
      </c>
      <c r="E83" s="11">
        <f t="shared" si="27"/>
        <v>997</v>
      </c>
      <c r="F83" s="11">
        <f t="shared" si="28"/>
        <v>1007</v>
      </c>
      <c r="G83" s="11">
        <f t="shared" si="29"/>
        <v>1031</v>
      </c>
      <c r="H83" s="8">
        <f t="shared" si="30"/>
        <v>1659</v>
      </c>
      <c r="I83" s="8">
        <f t="shared" si="31"/>
        <v>1649</v>
      </c>
      <c r="J83" s="8">
        <f t="shared" si="32"/>
        <v>1625</v>
      </c>
      <c r="K83" s="8">
        <f t="shared" si="37"/>
        <v>2000</v>
      </c>
      <c r="L83" s="8">
        <f t="shared" si="38"/>
        <v>2000</v>
      </c>
      <c r="M83" s="8">
        <f t="shared" si="39"/>
        <v>2000</v>
      </c>
      <c r="N83" s="8">
        <f t="shared" si="40"/>
        <v>-341</v>
      </c>
      <c r="O83" s="8">
        <f t="shared" si="41"/>
        <v>-351</v>
      </c>
      <c r="P83" s="8">
        <f t="shared" si="42"/>
        <v>-375</v>
      </c>
      <c r="Q83" s="11">
        <v>0</v>
      </c>
      <c r="R83" s="11">
        <v>0</v>
      </c>
      <c r="S83" s="11">
        <v>0</v>
      </c>
      <c r="T83" s="10">
        <f t="shared" si="33"/>
        <v>1687</v>
      </c>
      <c r="U83" s="9">
        <f t="shared" si="20"/>
        <v>959</v>
      </c>
      <c r="V83" s="9">
        <f t="shared" si="21"/>
        <v>969</v>
      </c>
      <c r="W83" s="9">
        <f t="shared" si="22"/>
        <v>975</v>
      </c>
      <c r="X83" s="10"/>
      <c r="Y83" s="8"/>
      <c r="Z83" s="8"/>
      <c r="AA83" s="8"/>
      <c r="AB83" s="19"/>
    </row>
    <row r="84" spans="1:28" ht="15" customHeight="1">
      <c r="A84" s="18">
        <v>70</v>
      </c>
      <c r="B84" s="17">
        <f t="shared" si="34"/>
        <v>45321</v>
      </c>
      <c r="C84" s="13">
        <f t="shared" si="35"/>
        <v>1069</v>
      </c>
      <c r="D84" s="12">
        <f t="shared" si="36"/>
        <v>1585</v>
      </c>
      <c r="E84" s="11">
        <f t="shared" si="27"/>
        <v>995</v>
      </c>
      <c r="F84" s="11">
        <f t="shared" si="28"/>
        <v>1005</v>
      </c>
      <c r="G84" s="11">
        <f t="shared" si="29"/>
        <v>1029</v>
      </c>
      <c r="H84" s="8">
        <f t="shared" si="30"/>
        <v>1659</v>
      </c>
      <c r="I84" s="8">
        <f t="shared" si="31"/>
        <v>1649</v>
      </c>
      <c r="J84" s="8">
        <f t="shared" si="32"/>
        <v>1625</v>
      </c>
      <c r="K84" s="8">
        <f t="shared" si="37"/>
        <v>2000</v>
      </c>
      <c r="L84" s="8">
        <f t="shared" si="38"/>
        <v>2000</v>
      </c>
      <c r="M84" s="8">
        <f t="shared" si="39"/>
        <v>2000</v>
      </c>
      <c r="N84" s="8">
        <f t="shared" si="40"/>
        <v>-341</v>
      </c>
      <c r="O84" s="8">
        <f t="shared" si="41"/>
        <v>-351</v>
      </c>
      <c r="P84" s="8">
        <f t="shared" si="42"/>
        <v>-375</v>
      </c>
      <c r="Q84" s="11">
        <v>0</v>
      </c>
      <c r="R84" s="11">
        <v>0</v>
      </c>
      <c r="S84" s="11">
        <v>0</v>
      </c>
      <c r="T84" s="10">
        <f t="shared" si="33"/>
        <v>1685</v>
      </c>
      <c r="U84" s="9">
        <f t="shared" si="20"/>
        <v>959</v>
      </c>
      <c r="V84" s="9">
        <f t="shared" si="21"/>
        <v>969</v>
      </c>
      <c r="W84" s="9">
        <f t="shared" si="22"/>
        <v>975</v>
      </c>
      <c r="X84" s="10"/>
      <c r="Y84" s="8"/>
      <c r="Z84" s="8"/>
      <c r="AA84" s="8"/>
      <c r="AB84" s="19"/>
    </row>
    <row r="85" spans="1:28" ht="15" customHeight="1">
      <c r="A85" s="18">
        <v>71</v>
      </c>
      <c r="B85" s="17">
        <f t="shared" si="34"/>
        <v>45322</v>
      </c>
      <c r="C85" s="13">
        <f t="shared" si="35"/>
        <v>1069</v>
      </c>
      <c r="D85" s="12">
        <f t="shared" si="36"/>
        <v>1583</v>
      </c>
      <c r="E85" s="11">
        <f t="shared" si="27"/>
        <v>993</v>
      </c>
      <c r="F85" s="11">
        <f t="shared" si="28"/>
        <v>1003</v>
      </c>
      <c r="G85" s="11">
        <f t="shared" si="29"/>
        <v>1027</v>
      </c>
      <c r="H85" s="8">
        <f t="shared" si="30"/>
        <v>1659</v>
      </c>
      <c r="I85" s="8">
        <f t="shared" si="31"/>
        <v>1649</v>
      </c>
      <c r="J85" s="8">
        <f t="shared" si="32"/>
        <v>1625</v>
      </c>
      <c r="K85" s="8">
        <f t="shared" si="37"/>
        <v>2000</v>
      </c>
      <c r="L85" s="8">
        <f t="shared" si="38"/>
        <v>2000</v>
      </c>
      <c r="M85" s="8">
        <f t="shared" si="39"/>
        <v>2000</v>
      </c>
      <c r="N85" s="8">
        <f t="shared" si="40"/>
        <v>-341</v>
      </c>
      <c r="O85" s="8">
        <f t="shared" si="41"/>
        <v>-351</v>
      </c>
      <c r="P85" s="8">
        <f t="shared" si="42"/>
        <v>-375</v>
      </c>
      <c r="Q85" s="11">
        <v>0</v>
      </c>
      <c r="R85" s="11">
        <v>0</v>
      </c>
      <c r="S85" s="11">
        <v>0</v>
      </c>
      <c r="T85" s="10">
        <f t="shared" si="33"/>
        <v>1683</v>
      </c>
      <c r="U85" s="9">
        <f t="shared" si="20"/>
        <v>959</v>
      </c>
      <c r="V85" s="9">
        <f t="shared" si="21"/>
        <v>969</v>
      </c>
      <c r="W85" s="9">
        <f t="shared" si="22"/>
        <v>975</v>
      </c>
      <c r="X85" s="10"/>
      <c r="Y85" s="8"/>
      <c r="Z85" s="8"/>
      <c r="AA85" s="8"/>
      <c r="AB85" s="19"/>
    </row>
    <row r="86" spans="1:28" ht="15" customHeight="1">
      <c r="A86" s="18">
        <v>72</v>
      </c>
      <c r="B86" s="17">
        <f t="shared" si="34"/>
        <v>45323</v>
      </c>
      <c r="C86" s="13">
        <f t="shared" si="35"/>
        <v>1069</v>
      </c>
      <c r="D86" s="12">
        <f t="shared" si="36"/>
        <v>1581</v>
      </c>
      <c r="E86" s="11">
        <f t="shared" si="27"/>
        <v>991</v>
      </c>
      <c r="F86" s="11">
        <f t="shared" si="28"/>
        <v>1001</v>
      </c>
      <c r="G86" s="11">
        <f t="shared" si="29"/>
        <v>1025</v>
      </c>
      <c r="H86" s="8">
        <f t="shared" si="30"/>
        <v>1659</v>
      </c>
      <c r="I86" s="8">
        <f t="shared" si="31"/>
        <v>1649</v>
      </c>
      <c r="J86" s="8">
        <f t="shared" si="32"/>
        <v>1625</v>
      </c>
      <c r="K86" s="8">
        <f t="shared" si="37"/>
        <v>2000</v>
      </c>
      <c r="L86" s="8">
        <f t="shared" si="38"/>
        <v>2000</v>
      </c>
      <c r="M86" s="8">
        <f t="shared" si="39"/>
        <v>2000</v>
      </c>
      <c r="N86" s="8">
        <f t="shared" si="40"/>
        <v>-341</v>
      </c>
      <c r="O86" s="8">
        <f t="shared" si="41"/>
        <v>-351</v>
      </c>
      <c r="P86" s="8">
        <f t="shared" si="42"/>
        <v>-375</v>
      </c>
      <c r="Q86" s="11">
        <v>0</v>
      </c>
      <c r="R86" s="11">
        <v>0</v>
      </c>
      <c r="S86" s="11">
        <v>0</v>
      </c>
      <c r="T86" s="10">
        <f t="shared" si="33"/>
        <v>1681</v>
      </c>
      <c r="U86" s="9">
        <f t="shared" si="20"/>
        <v>959</v>
      </c>
      <c r="V86" s="9">
        <f t="shared" si="21"/>
        <v>969</v>
      </c>
      <c r="W86" s="9">
        <f t="shared" si="22"/>
        <v>975</v>
      </c>
      <c r="X86" s="10"/>
      <c r="Y86" s="8"/>
      <c r="Z86" s="8"/>
      <c r="AA86" s="8"/>
      <c r="AB86" s="19"/>
    </row>
    <row r="87" spans="1:28" ht="15" customHeight="1">
      <c r="A87" s="18">
        <v>73</v>
      </c>
      <c r="B87" s="17">
        <f t="shared" si="34"/>
        <v>45324</v>
      </c>
      <c r="C87" s="13">
        <f t="shared" si="35"/>
        <v>1069</v>
      </c>
      <c r="D87" s="12">
        <f t="shared" si="36"/>
        <v>1579</v>
      </c>
      <c r="E87" s="11">
        <f t="shared" si="27"/>
        <v>989</v>
      </c>
      <c r="F87" s="11">
        <f t="shared" si="28"/>
        <v>999</v>
      </c>
      <c r="G87" s="11">
        <f t="shared" si="29"/>
        <v>1023</v>
      </c>
      <c r="H87" s="8">
        <f t="shared" si="30"/>
        <v>1659</v>
      </c>
      <c r="I87" s="8">
        <f t="shared" si="31"/>
        <v>1649</v>
      </c>
      <c r="J87" s="8">
        <f t="shared" si="32"/>
        <v>1625</v>
      </c>
      <c r="K87" s="8">
        <f t="shared" si="37"/>
        <v>2000</v>
      </c>
      <c r="L87" s="8">
        <f t="shared" si="38"/>
        <v>2000</v>
      </c>
      <c r="M87" s="8">
        <f t="shared" si="39"/>
        <v>2000</v>
      </c>
      <c r="N87" s="8">
        <f t="shared" si="40"/>
        <v>-341</v>
      </c>
      <c r="O87" s="8">
        <f t="shared" si="41"/>
        <v>-351</v>
      </c>
      <c r="P87" s="8">
        <f t="shared" si="42"/>
        <v>-375</v>
      </c>
      <c r="Q87" s="11">
        <v>0</v>
      </c>
      <c r="R87" s="11">
        <v>0</v>
      </c>
      <c r="S87" s="11">
        <v>0</v>
      </c>
      <c r="T87" s="10">
        <f t="shared" si="33"/>
        <v>1679</v>
      </c>
      <c r="U87" s="9">
        <f t="shared" si="20"/>
        <v>959</v>
      </c>
      <c r="V87" s="9">
        <f t="shared" si="21"/>
        <v>969</v>
      </c>
      <c r="W87" s="9">
        <f t="shared" si="22"/>
        <v>975</v>
      </c>
      <c r="X87" s="10"/>
      <c r="Y87" s="8"/>
      <c r="Z87" s="8"/>
      <c r="AA87" s="8"/>
      <c r="AB87" s="19"/>
    </row>
    <row r="88" spans="1:28" ht="15" customHeight="1">
      <c r="A88" s="18">
        <v>74</v>
      </c>
      <c r="B88" s="17">
        <f t="shared" si="34"/>
        <v>45325</v>
      </c>
      <c r="C88" s="13">
        <f t="shared" si="35"/>
        <v>1069</v>
      </c>
      <c r="D88" s="12">
        <f t="shared" si="36"/>
        <v>1577</v>
      </c>
      <c r="E88" s="11">
        <f t="shared" si="27"/>
        <v>987</v>
      </c>
      <c r="F88" s="11">
        <f t="shared" si="28"/>
        <v>997</v>
      </c>
      <c r="G88" s="11">
        <f t="shared" si="29"/>
        <v>1021</v>
      </c>
      <c r="H88" s="8">
        <f t="shared" si="30"/>
        <v>1659</v>
      </c>
      <c r="I88" s="8">
        <f t="shared" si="31"/>
        <v>1649</v>
      </c>
      <c r="J88" s="8">
        <f t="shared" si="32"/>
        <v>1625</v>
      </c>
      <c r="K88" s="8">
        <f t="shared" si="37"/>
        <v>2000</v>
      </c>
      <c r="L88" s="8">
        <f t="shared" si="38"/>
        <v>2000</v>
      </c>
      <c r="M88" s="8">
        <f t="shared" si="39"/>
        <v>2000</v>
      </c>
      <c r="N88" s="8">
        <f t="shared" si="40"/>
        <v>-341</v>
      </c>
      <c r="O88" s="8">
        <f t="shared" si="41"/>
        <v>-351</v>
      </c>
      <c r="P88" s="8">
        <f t="shared" si="42"/>
        <v>-375</v>
      </c>
      <c r="Q88" s="11">
        <v>0</v>
      </c>
      <c r="R88" s="11">
        <v>0</v>
      </c>
      <c r="S88" s="11">
        <v>0</v>
      </c>
      <c r="T88" s="10">
        <f t="shared" si="33"/>
        <v>1677</v>
      </c>
      <c r="U88" s="9">
        <f t="shared" si="20"/>
        <v>959</v>
      </c>
      <c r="V88" s="9">
        <f t="shared" si="21"/>
        <v>969</v>
      </c>
      <c r="W88" s="9">
        <f t="shared" si="22"/>
        <v>975</v>
      </c>
      <c r="X88" s="10"/>
      <c r="Y88" s="8"/>
      <c r="Z88" s="8"/>
      <c r="AA88" s="8"/>
      <c r="AB88" s="19"/>
    </row>
    <row r="89" spans="1:28" ht="15" customHeight="1">
      <c r="A89" s="18">
        <v>75</v>
      </c>
      <c r="B89" s="17">
        <f t="shared" si="34"/>
        <v>45326</v>
      </c>
      <c r="C89" s="13">
        <f t="shared" si="35"/>
        <v>1069</v>
      </c>
      <c r="D89" s="12">
        <f t="shared" si="36"/>
        <v>1575</v>
      </c>
      <c r="E89" s="11">
        <f t="shared" si="27"/>
        <v>985</v>
      </c>
      <c r="F89" s="11">
        <f t="shared" si="28"/>
        <v>995</v>
      </c>
      <c r="G89" s="11">
        <f t="shared" si="29"/>
        <v>1019</v>
      </c>
      <c r="H89" s="8">
        <f t="shared" si="30"/>
        <v>1659</v>
      </c>
      <c r="I89" s="8">
        <f t="shared" si="31"/>
        <v>1649</v>
      </c>
      <c r="J89" s="8">
        <f t="shared" si="32"/>
        <v>1625</v>
      </c>
      <c r="K89" s="8">
        <f t="shared" si="37"/>
        <v>2000</v>
      </c>
      <c r="L89" s="8">
        <f t="shared" si="38"/>
        <v>2000</v>
      </c>
      <c r="M89" s="8">
        <f t="shared" si="39"/>
        <v>2000</v>
      </c>
      <c r="N89" s="8">
        <f t="shared" si="40"/>
        <v>-341</v>
      </c>
      <c r="O89" s="8">
        <f t="shared" si="41"/>
        <v>-351</v>
      </c>
      <c r="P89" s="8">
        <f t="shared" si="42"/>
        <v>-375</v>
      </c>
      <c r="Q89" s="11">
        <v>0</v>
      </c>
      <c r="R89" s="11">
        <v>0</v>
      </c>
      <c r="S89" s="11">
        <v>0</v>
      </c>
      <c r="T89" s="10">
        <f t="shared" si="33"/>
        <v>1675</v>
      </c>
      <c r="U89" s="9">
        <f t="shared" si="20"/>
        <v>959</v>
      </c>
      <c r="V89" s="9">
        <f t="shared" si="21"/>
        <v>969</v>
      </c>
      <c r="W89" s="9">
        <f t="shared" si="22"/>
        <v>975</v>
      </c>
      <c r="X89" s="10"/>
      <c r="Y89" s="8"/>
      <c r="Z89" s="8"/>
      <c r="AA89" s="8"/>
      <c r="AB89" s="19"/>
    </row>
    <row r="90" spans="1:28" ht="15" customHeight="1">
      <c r="A90" s="18">
        <v>76</v>
      </c>
      <c r="B90" s="17">
        <f t="shared" si="34"/>
        <v>45327</v>
      </c>
      <c r="C90" s="13">
        <f t="shared" si="35"/>
        <v>1069</v>
      </c>
      <c r="D90" s="12">
        <f t="shared" si="36"/>
        <v>1573</v>
      </c>
      <c r="E90" s="11">
        <f t="shared" si="27"/>
        <v>983</v>
      </c>
      <c r="F90" s="11">
        <f t="shared" si="28"/>
        <v>993</v>
      </c>
      <c r="G90" s="11">
        <f t="shared" si="29"/>
        <v>1017</v>
      </c>
      <c r="H90" s="8">
        <f t="shared" si="30"/>
        <v>1659</v>
      </c>
      <c r="I90" s="8">
        <f t="shared" si="31"/>
        <v>1649</v>
      </c>
      <c r="J90" s="8">
        <f t="shared" si="32"/>
        <v>1625</v>
      </c>
      <c r="K90" s="8">
        <f t="shared" si="37"/>
        <v>2000</v>
      </c>
      <c r="L90" s="8">
        <f t="shared" si="38"/>
        <v>2000</v>
      </c>
      <c r="M90" s="8">
        <f t="shared" si="39"/>
        <v>2000</v>
      </c>
      <c r="N90" s="8">
        <f t="shared" si="40"/>
        <v>-341</v>
      </c>
      <c r="O90" s="8">
        <f t="shared" si="41"/>
        <v>-351</v>
      </c>
      <c r="P90" s="8">
        <f t="shared" si="42"/>
        <v>-375</v>
      </c>
      <c r="Q90" s="11">
        <v>0</v>
      </c>
      <c r="R90" s="11">
        <v>0</v>
      </c>
      <c r="S90" s="11">
        <v>0</v>
      </c>
      <c r="T90" s="10">
        <f t="shared" si="33"/>
        <v>1673</v>
      </c>
      <c r="U90" s="9">
        <f t="shared" si="20"/>
        <v>959</v>
      </c>
      <c r="V90" s="9">
        <f t="shared" si="21"/>
        <v>969</v>
      </c>
      <c r="W90" s="9">
        <f t="shared" si="22"/>
        <v>975</v>
      </c>
      <c r="X90" s="10"/>
      <c r="Y90" s="8"/>
      <c r="Z90" s="8"/>
      <c r="AA90" s="8"/>
      <c r="AB90" s="19"/>
    </row>
    <row r="91" spans="1:28" ht="15" customHeight="1">
      <c r="A91" s="18">
        <v>77</v>
      </c>
      <c r="B91" s="17">
        <f t="shared" si="34"/>
        <v>45328</v>
      </c>
      <c r="C91" s="13">
        <f t="shared" si="35"/>
        <v>1069</v>
      </c>
      <c r="D91" s="12">
        <f t="shared" si="36"/>
        <v>1571</v>
      </c>
      <c r="E91" s="11">
        <f t="shared" si="27"/>
        <v>981</v>
      </c>
      <c r="F91" s="11">
        <f t="shared" si="28"/>
        <v>991</v>
      </c>
      <c r="G91" s="11">
        <f t="shared" si="29"/>
        <v>1015</v>
      </c>
      <c r="H91" s="8">
        <f t="shared" si="30"/>
        <v>1659</v>
      </c>
      <c r="I91" s="8">
        <f t="shared" si="31"/>
        <v>1649</v>
      </c>
      <c r="J91" s="8">
        <f t="shared" si="32"/>
        <v>1625</v>
      </c>
      <c r="K91" s="8">
        <f t="shared" si="37"/>
        <v>2000</v>
      </c>
      <c r="L91" s="8">
        <f t="shared" si="38"/>
        <v>2000</v>
      </c>
      <c r="M91" s="8">
        <f t="shared" si="39"/>
        <v>2000</v>
      </c>
      <c r="N91" s="8">
        <f t="shared" si="40"/>
        <v>-341</v>
      </c>
      <c r="O91" s="8">
        <f t="shared" si="41"/>
        <v>-351</v>
      </c>
      <c r="P91" s="8">
        <f t="shared" si="42"/>
        <v>-375</v>
      </c>
      <c r="Q91" s="11">
        <v>0</v>
      </c>
      <c r="R91" s="11">
        <v>0</v>
      </c>
      <c r="S91" s="11">
        <v>0</v>
      </c>
      <c r="T91" s="10">
        <f t="shared" si="33"/>
        <v>1671</v>
      </c>
      <c r="U91" s="9">
        <f t="shared" si="20"/>
        <v>959</v>
      </c>
      <c r="V91" s="9">
        <f t="shared" si="21"/>
        <v>969</v>
      </c>
      <c r="W91" s="9">
        <f t="shared" si="22"/>
        <v>975</v>
      </c>
      <c r="X91" s="10"/>
      <c r="Y91" s="8"/>
      <c r="Z91" s="8"/>
      <c r="AA91" s="8"/>
      <c r="AB91" s="19"/>
    </row>
    <row r="92" spans="1:28" ht="15" customHeight="1">
      <c r="A92" s="18">
        <v>78</v>
      </c>
      <c r="B92" s="17">
        <f t="shared" si="34"/>
        <v>45329</v>
      </c>
      <c r="C92" s="13">
        <f t="shared" si="35"/>
        <v>1069</v>
      </c>
      <c r="D92" s="12">
        <f t="shared" si="36"/>
        <v>1569</v>
      </c>
      <c r="E92" s="11">
        <f t="shared" si="27"/>
        <v>979</v>
      </c>
      <c r="F92" s="11">
        <f t="shared" si="28"/>
        <v>989</v>
      </c>
      <c r="G92" s="11">
        <f t="shared" si="29"/>
        <v>1013</v>
      </c>
      <c r="H92" s="8">
        <f t="shared" si="30"/>
        <v>1659</v>
      </c>
      <c r="I92" s="8">
        <f t="shared" si="31"/>
        <v>1649</v>
      </c>
      <c r="J92" s="8">
        <f t="shared" si="32"/>
        <v>1625</v>
      </c>
      <c r="K92" s="8">
        <f t="shared" si="37"/>
        <v>2000</v>
      </c>
      <c r="L92" s="8">
        <f t="shared" si="38"/>
        <v>2000</v>
      </c>
      <c r="M92" s="8">
        <f t="shared" si="39"/>
        <v>2000</v>
      </c>
      <c r="N92" s="8">
        <f t="shared" si="40"/>
        <v>-341</v>
      </c>
      <c r="O92" s="8">
        <f t="shared" si="41"/>
        <v>-351</v>
      </c>
      <c r="P92" s="8">
        <f t="shared" si="42"/>
        <v>-375</v>
      </c>
      <c r="Q92" s="11">
        <v>0</v>
      </c>
      <c r="R92" s="11">
        <v>0</v>
      </c>
      <c r="S92" s="11">
        <v>0</v>
      </c>
      <c r="T92" s="10">
        <f t="shared" si="33"/>
        <v>1669</v>
      </c>
      <c r="U92" s="9">
        <f t="shared" si="20"/>
        <v>959</v>
      </c>
      <c r="V92" s="9">
        <f t="shared" si="21"/>
        <v>969</v>
      </c>
      <c r="W92" s="9">
        <f t="shared" si="22"/>
        <v>975</v>
      </c>
      <c r="X92" s="10"/>
      <c r="Y92" s="8"/>
      <c r="Z92" s="8"/>
      <c r="AA92" s="8"/>
      <c r="AB92" s="19"/>
    </row>
    <row r="93" spans="1:28" ht="15" customHeight="1">
      <c r="A93" s="18">
        <v>79</v>
      </c>
      <c r="B93" s="17">
        <f t="shared" si="34"/>
        <v>45330</v>
      </c>
      <c r="C93" s="13">
        <f t="shared" si="35"/>
        <v>1069</v>
      </c>
      <c r="D93" s="12">
        <f t="shared" si="36"/>
        <v>1567</v>
      </c>
      <c r="E93" s="11">
        <f t="shared" si="27"/>
        <v>977</v>
      </c>
      <c r="F93" s="11">
        <f t="shared" si="28"/>
        <v>987</v>
      </c>
      <c r="G93" s="11">
        <f t="shared" si="29"/>
        <v>1011</v>
      </c>
      <c r="H93" s="8">
        <f t="shared" si="30"/>
        <v>1659</v>
      </c>
      <c r="I93" s="8">
        <f t="shared" si="31"/>
        <v>1649</v>
      </c>
      <c r="J93" s="8">
        <f t="shared" si="32"/>
        <v>1625</v>
      </c>
      <c r="K93" s="8">
        <f t="shared" si="37"/>
        <v>2000</v>
      </c>
      <c r="L93" s="8">
        <f t="shared" si="38"/>
        <v>2000</v>
      </c>
      <c r="M93" s="8">
        <f t="shared" si="39"/>
        <v>2000</v>
      </c>
      <c r="N93" s="8">
        <f t="shared" si="40"/>
        <v>-341</v>
      </c>
      <c r="O93" s="8">
        <f t="shared" si="41"/>
        <v>-351</v>
      </c>
      <c r="P93" s="8">
        <f t="shared" si="42"/>
        <v>-375</v>
      </c>
      <c r="Q93" s="11">
        <v>0</v>
      </c>
      <c r="R93" s="11">
        <v>0</v>
      </c>
      <c r="S93" s="11">
        <v>0</v>
      </c>
      <c r="T93" s="10">
        <f t="shared" si="33"/>
        <v>1667</v>
      </c>
      <c r="U93" s="9">
        <f t="shared" si="20"/>
        <v>959</v>
      </c>
      <c r="V93" s="9">
        <f t="shared" si="21"/>
        <v>969</v>
      </c>
      <c r="W93" s="9">
        <f t="shared" si="22"/>
        <v>975</v>
      </c>
      <c r="X93" s="10"/>
      <c r="Y93" s="8"/>
      <c r="Z93" s="8"/>
      <c r="AA93" s="8"/>
      <c r="AB93" s="19"/>
    </row>
    <row r="94" spans="1:28" ht="15" customHeight="1">
      <c r="A94" s="18">
        <v>80</v>
      </c>
      <c r="B94" s="17">
        <f t="shared" si="34"/>
        <v>45331</v>
      </c>
      <c r="C94" s="13">
        <f t="shared" si="35"/>
        <v>1069</v>
      </c>
      <c r="D94" s="12">
        <f t="shared" si="36"/>
        <v>1565</v>
      </c>
      <c r="E94" s="11">
        <f t="shared" si="27"/>
        <v>975</v>
      </c>
      <c r="F94" s="11">
        <f t="shared" si="28"/>
        <v>985</v>
      </c>
      <c r="G94" s="11">
        <f t="shared" si="29"/>
        <v>1009</v>
      </c>
      <c r="H94" s="8">
        <f t="shared" si="30"/>
        <v>1659</v>
      </c>
      <c r="I94" s="8">
        <f t="shared" si="31"/>
        <v>1649</v>
      </c>
      <c r="J94" s="8">
        <f t="shared" si="32"/>
        <v>1625</v>
      </c>
      <c r="K94" s="8">
        <f t="shared" si="37"/>
        <v>2000</v>
      </c>
      <c r="L94" s="8">
        <f t="shared" si="38"/>
        <v>2000</v>
      </c>
      <c r="M94" s="8">
        <f t="shared" si="39"/>
        <v>2000</v>
      </c>
      <c r="N94" s="8">
        <f t="shared" si="40"/>
        <v>-341</v>
      </c>
      <c r="O94" s="8">
        <f t="shared" si="41"/>
        <v>-351</v>
      </c>
      <c r="P94" s="8">
        <f t="shared" si="42"/>
        <v>-375</v>
      </c>
      <c r="Q94" s="11">
        <v>0</v>
      </c>
      <c r="R94" s="11">
        <v>0</v>
      </c>
      <c r="S94" s="11">
        <v>0</v>
      </c>
      <c r="T94" s="10">
        <f t="shared" si="33"/>
        <v>1665</v>
      </c>
      <c r="U94" s="9">
        <f t="shared" si="20"/>
        <v>959</v>
      </c>
      <c r="V94" s="9">
        <f t="shared" si="21"/>
        <v>969</v>
      </c>
      <c r="W94" s="9">
        <f t="shared" si="22"/>
        <v>975</v>
      </c>
      <c r="X94" s="10"/>
      <c r="Y94" s="8"/>
      <c r="Z94" s="8"/>
      <c r="AA94" s="8"/>
      <c r="AB94" s="19"/>
    </row>
    <row r="95" spans="1:28" ht="15" customHeight="1">
      <c r="A95" s="18">
        <v>81</v>
      </c>
      <c r="B95" s="17">
        <f t="shared" si="34"/>
        <v>45332</v>
      </c>
      <c r="C95" s="13">
        <f t="shared" si="35"/>
        <v>1069</v>
      </c>
      <c r="D95" s="12">
        <f t="shared" si="36"/>
        <v>1563</v>
      </c>
      <c r="E95" s="11">
        <f t="shared" si="27"/>
        <v>973</v>
      </c>
      <c r="F95" s="11">
        <f t="shared" si="28"/>
        <v>983</v>
      </c>
      <c r="G95" s="11">
        <f t="shared" si="29"/>
        <v>1007</v>
      </c>
      <c r="H95" s="8">
        <f t="shared" si="30"/>
        <v>1659</v>
      </c>
      <c r="I95" s="8">
        <f t="shared" si="31"/>
        <v>1649</v>
      </c>
      <c r="J95" s="8">
        <f t="shared" si="32"/>
        <v>1625</v>
      </c>
      <c r="K95" s="8">
        <f t="shared" si="37"/>
        <v>2000</v>
      </c>
      <c r="L95" s="8">
        <f t="shared" si="38"/>
        <v>2000</v>
      </c>
      <c r="M95" s="8">
        <f t="shared" si="39"/>
        <v>2000</v>
      </c>
      <c r="N95" s="8">
        <f t="shared" si="40"/>
        <v>-341</v>
      </c>
      <c r="O95" s="8">
        <f t="shared" si="41"/>
        <v>-351</v>
      </c>
      <c r="P95" s="8">
        <f t="shared" si="42"/>
        <v>-375</v>
      </c>
      <c r="Q95" s="11">
        <v>0</v>
      </c>
      <c r="R95" s="11">
        <v>0</v>
      </c>
      <c r="S95" s="11">
        <v>0</v>
      </c>
      <c r="T95" s="10">
        <f t="shared" si="33"/>
        <v>1663</v>
      </c>
      <c r="U95" s="9">
        <f t="shared" si="20"/>
        <v>959</v>
      </c>
      <c r="V95" s="9">
        <f t="shared" si="21"/>
        <v>969</v>
      </c>
      <c r="W95" s="9">
        <f t="shared" si="22"/>
        <v>975</v>
      </c>
      <c r="X95" s="10"/>
      <c r="Y95" s="8"/>
      <c r="Z95" s="8"/>
      <c r="AA95" s="8"/>
      <c r="AB95" s="19"/>
    </row>
    <row r="96" spans="1:28" ht="15" customHeight="1">
      <c r="A96" s="18">
        <v>82</v>
      </c>
      <c r="B96" s="17">
        <f t="shared" si="34"/>
        <v>45333</v>
      </c>
      <c r="C96" s="13">
        <f t="shared" si="35"/>
        <v>1069</v>
      </c>
      <c r="D96" s="12">
        <f t="shared" si="36"/>
        <v>1561</v>
      </c>
      <c r="E96" s="11">
        <f t="shared" si="27"/>
        <v>971</v>
      </c>
      <c r="F96" s="11">
        <f t="shared" si="28"/>
        <v>981</v>
      </c>
      <c r="G96" s="11">
        <f t="shared" si="29"/>
        <v>1005</v>
      </c>
      <c r="H96" s="8">
        <f t="shared" si="30"/>
        <v>1659</v>
      </c>
      <c r="I96" s="8">
        <f t="shared" si="31"/>
        <v>1649</v>
      </c>
      <c r="J96" s="8">
        <f t="shared" si="32"/>
        <v>1625</v>
      </c>
      <c r="K96" s="8">
        <f t="shared" si="37"/>
        <v>2000</v>
      </c>
      <c r="L96" s="8">
        <f t="shared" si="38"/>
        <v>2000</v>
      </c>
      <c r="M96" s="8">
        <f t="shared" si="39"/>
        <v>2000</v>
      </c>
      <c r="N96" s="8">
        <f t="shared" si="40"/>
        <v>-341</v>
      </c>
      <c r="O96" s="8">
        <f t="shared" si="41"/>
        <v>-351</v>
      </c>
      <c r="P96" s="8">
        <f t="shared" si="42"/>
        <v>-375</v>
      </c>
      <c r="Q96" s="11">
        <v>0</v>
      </c>
      <c r="R96" s="11">
        <v>0</v>
      </c>
      <c r="S96" s="11">
        <v>0</v>
      </c>
      <c r="T96" s="10">
        <f t="shared" si="33"/>
        <v>1661</v>
      </c>
      <c r="U96" s="9">
        <f t="shared" si="20"/>
        <v>959</v>
      </c>
      <c r="V96" s="9">
        <f t="shared" si="21"/>
        <v>969</v>
      </c>
      <c r="W96" s="9">
        <f t="shared" si="22"/>
        <v>975</v>
      </c>
      <c r="X96" s="10"/>
      <c r="Y96" s="8"/>
      <c r="Z96" s="8"/>
      <c r="AA96" s="8"/>
      <c r="AB96" s="19"/>
    </row>
    <row r="97" spans="1:28" ht="15" customHeight="1">
      <c r="A97" s="18">
        <v>83</v>
      </c>
      <c r="B97" s="17">
        <f t="shared" si="34"/>
        <v>45334</v>
      </c>
      <c r="C97" s="13">
        <f t="shared" si="35"/>
        <v>1069</v>
      </c>
      <c r="D97" s="12">
        <f t="shared" si="36"/>
        <v>1559</v>
      </c>
      <c r="E97" s="11">
        <f t="shared" si="27"/>
        <v>969</v>
      </c>
      <c r="F97" s="11">
        <f t="shared" si="28"/>
        <v>979</v>
      </c>
      <c r="G97" s="11">
        <f t="shared" si="29"/>
        <v>1003</v>
      </c>
      <c r="H97" s="8">
        <f t="shared" si="30"/>
        <v>1659</v>
      </c>
      <c r="I97" s="8">
        <f t="shared" si="31"/>
        <v>1649</v>
      </c>
      <c r="J97" s="8">
        <f t="shared" si="32"/>
        <v>1625</v>
      </c>
      <c r="K97" s="8">
        <f t="shared" si="37"/>
        <v>2000</v>
      </c>
      <c r="L97" s="8">
        <f t="shared" si="38"/>
        <v>2000</v>
      </c>
      <c r="M97" s="8">
        <f t="shared" si="39"/>
        <v>2000</v>
      </c>
      <c r="N97" s="8">
        <f t="shared" si="40"/>
        <v>-341</v>
      </c>
      <c r="O97" s="8">
        <f t="shared" si="41"/>
        <v>-351</v>
      </c>
      <c r="P97" s="8">
        <f t="shared" si="42"/>
        <v>-375</v>
      </c>
      <c r="Q97" s="11">
        <v>0</v>
      </c>
      <c r="R97" s="11">
        <v>0</v>
      </c>
      <c r="S97" s="11">
        <v>0</v>
      </c>
      <c r="T97" s="10">
        <f t="shared" si="33"/>
        <v>1659</v>
      </c>
      <c r="U97" s="9">
        <f t="shared" si="20"/>
        <v>959</v>
      </c>
      <c r="V97" s="9">
        <f t="shared" si="21"/>
        <v>969</v>
      </c>
      <c r="W97" s="9">
        <f t="shared" si="22"/>
        <v>975</v>
      </c>
      <c r="X97" s="10"/>
      <c r="Y97" s="8"/>
      <c r="Z97" s="8"/>
      <c r="AA97" s="8"/>
      <c r="AB97" s="19"/>
    </row>
    <row r="98" spans="1:28" ht="15" customHeight="1">
      <c r="A98" s="18">
        <v>84</v>
      </c>
      <c r="B98" s="17">
        <f t="shared" si="34"/>
        <v>45335</v>
      </c>
      <c r="C98" s="13">
        <f t="shared" si="35"/>
        <v>1069</v>
      </c>
      <c r="D98" s="12">
        <f t="shared" si="36"/>
        <v>1557</v>
      </c>
      <c r="E98" s="11">
        <f t="shared" si="27"/>
        <v>967</v>
      </c>
      <c r="F98" s="11">
        <f t="shared" si="28"/>
        <v>977</v>
      </c>
      <c r="G98" s="11">
        <f t="shared" si="29"/>
        <v>1001</v>
      </c>
      <c r="H98" s="8">
        <f t="shared" si="30"/>
        <v>1659</v>
      </c>
      <c r="I98" s="8">
        <f t="shared" si="31"/>
        <v>1649</v>
      </c>
      <c r="J98" s="8">
        <f t="shared" si="32"/>
        <v>1625</v>
      </c>
      <c r="K98" s="8">
        <f t="shared" si="37"/>
        <v>2000</v>
      </c>
      <c r="L98" s="8">
        <f t="shared" si="38"/>
        <v>2000</v>
      </c>
      <c r="M98" s="8">
        <f t="shared" si="39"/>
        <v>2000</v>
      </c>
      <c r="N98" s="8">
        <f t="shared" si="40"/>
        <v>-341</v>
      </c>
      <c r="O98" s="8">
        <f t="shared" si="41"/>
        <v>-351</v>
      </c>
      <c r="P98" s="8">
        <f t="shared" si="42"/>
        <v>-375</v>
      </c>
      <c r="Q98" s="11">
        <v>0</v>
      </c>
      <c r="R98" s="11">
        <v>0</v>
      </c>
      <c r="S98" s="11">
        <v>0</v>
      </c>
      <c r="T98" s="10">
        <f t="shared" si="33"/>
        <v>1657</v>
      </c>
      <c r="U98" s="9">
        <f t="shared" si="20"/>
        <v>959</v>
      </c>
      <c r="V98" s="9">
        <f t="shared" si="21"/>
        <v>969</v>
      </c>
      <c r="W98" s="9">
        <f t="shared" si="22"/>
        <v>975</v>
      </c>
      <c r="X98" s="10"/>
      <c r="Y98" s="8"/>
      <c r="Z98" s="8"/>
      <c r="AA98" s="8"/>
      <c r="AB98" s="19"/>
    </row>
    <row r="99" spans="1:28" ht="15" customHeight="1">
      <c r="A99" s="18">
        <v>85</v>
      </c>
      <c r="B99" s="17">
        <f t="shared" si="34"/>
        <v>45336</v>
      </c>
      <c r="C99" s="13">
        <f t="shared" si="35"/>
        <v>1069</v>
      </c>
      <c r="D99" s="12">
        <f t="shared" si="36"/>
        <v>1555</v>
      </c>
      <c r="E99" s="11">
        <f t="shared" si="27"/>
        <v>965</v>
      </c>
      <c r="F99" s="11">
        <f t="shared" si="28"/>
        <v>975</v>
      </c>
      <c r="G99" s="11">
        <f t="shared" si="29"/>
        <v>999</v>
      </c>
      <c r="H99" s="8">
        <f t="shared" si="30"/>
        <v>1659</v>
      </c>
      <c r="I99" s="8">
        <f t="shared" si="31"/>
        <v>1649</v>
      </c>
      <c r="J99" s="8">
        <f t="shared" si="32"/>
        <v>1625</v>
      </c>
      <c r="K99" s="8">
        <f t="shared" si="37"/>
        <v>2000</v>
      </c>
      <c r="L99" s="8">
        <f t="shared" si="38"/>
        <v>2000</v>
      </c>
      <c r="M99" s="8">
        <f t="shared" si="39"/>
        <v>2000</v>
      </c>
      <c r="N99" s="8">
        <f t="shared" si="40"/>
        <v>-341</v>
      </c>
      <c r="O99" s="8">
        <f t="shared" si="41"/>
        <v>-351</v>
      </c>
      <c r="P99" s="8">
        <f t="shared" si="42"/>
        <v>-375</v>
      </c>
      <c r="Q99" s="11">
        <v>0</v>
      </c>
      <c r="R99" s="11">
        <v>0</v>
      </c>
      <c r="S99" s="11">
        <v>0</v>
      </c>
      <c r="T99" s="10">
        <f t="shared" si="33"/>
        <v>1655</v>
      </c>
      <c r="U99" s="9">
        <f t="shared" ref="U99:U162" si="43">U98+$X99*1000-Q99</f>
        <v>959</v>
      </c>
      <c r="V99" s="9">
        <f t="shared" si="21"/>
        <v>969</v>
      </c>
      <c r="W99" s="9">
        <f t="shared" si="22"/>
        <v>975</v>
      </c>
      <c r="X99" s="10"/>
      <c r="Y99" s="8"/>
      <c r="Z99" s="8"/>
      <c r="AA99" s="8"/>
      <c r="AB99" s="19"/>
    </row>
    <row r="100" spans="1:28" ht="15" customHeight="1">
      <c r="A100" s="18">
        <v>86</v>
      </c>
      <c r="B100" s="17">
        <f t="shared" si="34"/>
        <v>45337</v>
      </c>
      <c r="C100" s="13">
        <f t="shared" si="35"/>
        <v>1069</v>
      </c>
      <c r="D100" s="12">
        <f t="shared" si="36"/>
        <v>1553</v>
      </c>
      <c r="E100" s="11">
        <f t="shared" si="27"/>
        <v>963</v>
      </c>
      <c r="F100" s="11">
        <f t="shared" si="28"/>
        <v>973</v>
      </c>
      <c r="G100" s="11">
        <f t="shared" si="29"/>
        <v>997</v>
      </c>
      <c r="H100" s="8">
        <f t="shared" si="30"/>
        <v>1659</v>
      </c>
      <c r="I100" s="8">
        <f t="shared" si="31"/>
        <v>1649</v>
      </c>
      <c r="J100" s="8">
        <f t="shared" si="32"/>
        <v>1625</v>
      </c>
      <c r="K100" s="8">
        <f t="shared" si="37"/>
        <v>2000</v>
      </c>
      <c r="L100" s="8">
        <f t="shared" si="38"/>
        <v>2000</v>
      </c>
      <c r="M100" s="8">
        <f t="shared" si="39"/>
        <v>2000</v>
      </c>
      <c r="N100" s="8">
        <f t="shared" si="40"/>
        <v>-341</v>
      </c>
      <c r="O100" s="8">
        <f t="shared" si="41"/>
        <v>-351</v>
      </c>
      <c r="P100" s="8">
        <f t="shared" si="42"/>
        <v>-375</v>
      </c>
      <c r="Q100" s="11">
        <v>0</v>
      </c>
      <c r="R100" s="11">
        <v>0</v>
      </c>
      <c r="S100" s="11">
        <v>0</v>
      </c>
      <c r="T100" s="10">
        <f t="shared" si="33"/>
        <v>1653</v>
      </c>
      <c r="U100" s="9">
        <f t="shared" si="43"/>
        <v>959</v>
      </c>
      <c r="V100" s="9">
        <f t="shared" ref="V100:V163" si="44">V99+$X100*1000-R100</f>
        <v>969</v>
      </c>
      <c r="W100" s="9">
        <f t="shared" ref="W100:W163" si="45">W99+$X100*1000-S100</f>
        <v>975</v>
      </c>
      <c r="X100" s="10"/>
      <c r="Y100" s="8"/>
      <c r="Z100" s="8"/>
      <c r="AA100" s="8"/>
      <c r="AB100" s="19"/>
    </row>
    <row r="101" spans="1:28" ht="15" customHeight="1">
      <c r="A101" s="18">
        <v>87</v>
      </c>
      <c r="B101" s="17">
        <f t="shared" si="34"/>
        <v>45338</v>
      </c>
      <c r="C101" s="13">
        <f t="shared" si="35"/>
        <v>1069</v>
      </c>
      <c r="D101" s="12">
        <f t="shared" si="36"/>
        <v>1551</v>
      </c>
      <c r="E101" s="11">
        <f t="shared" si="27"/>
        <v>961</v>
      </c>
      <c r="F101" s="11">
        <f t="shared" si="28"/>
        <v>971</v>
      </c>
      <c r="G101" s="11">
        <f t="shared" si="29"/>
        <v>995</v>
      </c>
      <c r="H101" s="8">
        <f t="shared" si="30"/>
        <v>1659</v>
      </c>
      <c r="I101" s="8">
        <f t="shared" si="31"/>
        <v>1649</v>
      </c>
      <c r="J101" s="8">
        <f t="shared" si="32"/>
        <v>1625</v>
      </c>
      <c r="K101" s="8">
        <f t="shared" si="37"/>
        <v>2000</v>
      </c>
      <c r="L101" s="8">
        <f t="shared" si="38"/>
        <v>2000</v>
      </c>
      <c r="M101" s="8">
        <f t="shared" si="39"/>
        <v>2000</v>
      </c>
      <c r="N101" s="8">
        <f t="shared" si="40"/>
        <v>-341</v>
      </c>
      <c r="O101" s="8">
        <f t="shared" si="41"/>
        <v>-351</v>
      </c>
      <c r="P101" s="8">
        <f t="shared" si="42"/>
        <v>-375</v>
      </c>
      <c r="Q101" s="11">
        <v>0</v>
      </c>
      <c r="R101" s="11">
        <v>0</v>
      </c>
      <c r="S101" s="11">
        <v>0</v>
      </c>
      <c r="T101" s="10">
        <f t="shared" si="33"/>
        <v>1651</v>
      </c>
      <c r="U101" s="9">
        <f t="shared" si="43"/>
        <v>959</v>
      </c>
      <c r="V101" s="9">
        <f t="shared" si="44"/>
        <v>969</v>
      </c>
      <c r="W101" s="9">
        <f t="shared" si="45"/>
        <v>975</v>
      </c>
      <c r="X101" s="10"/>
      <c r="Y101" s="8"/>
      <c r="Z101" s="8"/>
      <c r="AA101" s="8"/>
      <c r="AB101" s="19"/>
    </row>
    <row r="102" spans="1:28" ht="15" customHeight="1">
      <c r="A102" s="18">
        <v>88</v>
      </c>
      <c r="B102" s="17">
        <f t="shared" si="34"/>
        <v>45339</v>
      </c>
      <c r="C102" s="13">
        <f t="shared" si="35"/>
        <v>1069</v>
      </c>
      <c r="D102" s="12">
        <f t="shared" si="36"/>
        <v>1549</v>
      </c>
      <c r="E102" s="11">
        <f t="shared" si="27"/>
        <v>959</v>
      </c>
      <c r="F102" s="11">
        <f t="shared" si="28"/>
        <v>969</v>
      </c>
      <c r="G102" s="11">
        <f t="shared" si="29"/>
        <v>993</v>
      </c>
      <c r="H102" s="8">
        <f t="shared" si="30"/>
        <v>1659</v>
      </c>
      <c r="I102" s="8">
        <f t="shared" si="31"/>
        <v>1649</v>
      </c>
      <c r="J102" s="8">
        <f t="shared" si="32"/>
        <v>1625</v>
      </c>
      <c r="K102" s="8">
        <f t="shared" si="37"/>
        <v>2000</v>
      </c>
      <c r="L102" s="8">
        <f t="shared" si="38"/>
        <v>2000</v>
      </c>
      <c r="M102" s="8">
        <f t="shared" si="39"/>
        <v>2000</v>
      </c>
      <c r="N102" s="8">
        <f t="shared" si="40"/>
        <v>-341</v>
      </c>
      <c r="O102" s="8">
        <f t="shared" si="41"/>
        <v>-351</v>
      </c>
      <c r="P102" s="8">
        <f t="shared" si="42"/>
        <v>-375</v>
      </c>
      <c r="Q102" s="11">
        <v>0</v>
      </c>
      <c r="R102" s="11">
        <v>0</v>
      </c>
      <c r="S102" s="11">
        <v>0</v>
      </c>
      <c r="T102" s="10">
        <f t="shared" si="33"/>
        <v>1649</v>
      </c>
      <c r="U102" s="9">
        <f t="shared" si="43"/>
        <v>959</v>
      </c>
      <c r="V102" s="9">
        <f t="shared" si="44"/>
        <v>969</v>
      </c>
      <c r="W102" s="9">
        <f t="shared" si="45"/>
        <v>975</v>
      </c>
      <c r="X102" s="10"/>
      <c r="Y102" s="8"/>
      <c r="Z102" s="8"/>
      <c r="AA102" s="8"/>
      <c r="AB102" s="19"/>
    </row>
    <row r="103" spans="1:28" ht="15" customHeight="1">
      <c r="A103" s="18">
        <v>89</v>
      </c>
      <c r="B103" s="17">
        <f t="shared" si="34"/>
        <v>45340</v>
      </c>
      <c r="C103" s="13">
        <f t="shared" si="35"/>
        <v>1069</v>
      </c>
      <c r="D103" s="12">
        <f t="shared" si="36"/>
        <v>1547</v>
      </c>
      <c r="E103" s="11">
        <f t="shared" si="27"/>
        <v>957</v>
      </c>
      <c r="F103" s="11">
        <f t="shared" si="28"/>
        <v>967</v>
      </c>
      <c r="G103" s="11">
        <f t="shared" si="29"/>
        <v>991</v>
      </c>
      <c r="H103" s="8">
        <f t="shared" si="30"/>
        <v>1659</v>
      </c>
      <c r="I103" s="8">
        <f t="shared" si="31"/>
        <v>1649</v>
      </c>
      <c r="J103" s="8">
        <f t="shared" si="32"/>
        <v>1625</v>
      </c>
      <c r="K103" s="8">
        <f t="shared" si="37"/>
        <v>2000</v>
      </c>
      <c r="L103" s="8">
        <f t="shared" si="38"/>
        <v>2000</v>
      </c>
      <c r="M103" s="8">
        <f t="shared" si="39"/>
        <v>2000</v>
      </c>
      <c r="N103" s="8">
        <f t="shared" si="40"/>
        <v>-341</v>
      </c>
      <c r="O103" s="8">
        <f t="shared" si="41"/>
        <v>-351</v>
      </c>
      <c r="P103" s="8">
        <f t="shared" si="42"/>
        <v>-375</v>
      </c>
      <c r="Q103" s="11">
        <v>0</v>
      </c>
      <c r="R103" s="11">
        <v>0</v>
      </c>
      <c r="S103" s="11">
        <v>0</v>
      </c>
      <c r="T103" s="10">
        <f t="shared" si="33"/>
        <v>1647</v>
      </c>
      <c r="U103" s="9">
        <f t="shared" si="43"/>
        <v>959</v>
      </c>
      <c r="V103" s="9">
        <f t="shared" si="44"/>
        <v>969</v>
      </c>
      <c r="W103" s="9">
        <f t="shared" si="45"/>
        <v>975</v>
      </c>
      <c r="X103" s="10"/>
      <c r="Y103" s="8"/>
      <c r="Z103" s="8"/>
      <c r="AA103" s="8"/>
      <c r="AB103" s="19"/>
    </row>
    <row r="104" spans="1:28" ht="15" customHeight="1">
      <c r="A104" s="18">
        <v>90</v>
      </c>
      <c r="B104" s="17">
        <f t="shared" si="34"/>
        <v>45341</v>
      </c>
      <c r="C104" s="13">
        <f t="shared" si="35"/>
        <v>1069</v>
      </c>
      <c r="D104" s="12">
        <f t="shared" si="36"/>
        <v>1545</v>
      </c>
      <c r="E104" s="11">
        <f t="shared" si="27"/>
        <v>955</v>
      </c>
      <c r="F104" s="11">
        <f t="shared" si="28"/>
        <v>965</v>
      </c>
      <c r="G104" s="11">
        <f t="shared" si="29"/>
        <v>989</v>
      </c>
      <c r="H104" s="8">
        <f t="shared" si="30"/>
        <v>1659</v>
      </c>
      <c r="I104" s="8">
        <f t="shared" si="31"/>
        <v>1649</v>
      </c>
      <c r="J104" s="8">
        <f t="shared" si="32"/>
        <v>1625</v>
      </c>
      <c r="K104" s="8">
        <f t="shared" si="37"/>
        <v>2000</v>
      </c>
      <c r="L104" s="8">
        <f t="shared" si="38"/>
        <v>2000</v>
      </c>
      <c r="M104" s="8">
        <f t="shared" si="39"/>
        <v>2000</v>
      </c>
      <c r="N104" s="8">
        <f t="shared" si="40"/>
        <v>-341</v>
      </c>
      <c r="O104" s="8">
        <f t="shared" si="41"/>
        <v>-351</v>
      </c>
      <c r="P104" s="8">
        <f t="shared" si="42"/>
        <v>-375</v>
      </c>
      <c r="Q104" s="11">
        <v>0</v>
      </c>
      <c r="R104" s="11">
        <v>0</v>
      </c>
      <c r="S104" s="11">
        <v>0</v>
      </c>
      <c r="T104" s="10">
        <f t="shared" si="33"/>
        <v>1645</v>
      </c>
      <c r="U104" s="9">
        <f t="shared" si="43"/>
        <v>959</v>
      </c>
      <c r="V104" s="9">
        <f t="shared" si="44"/>
        <v>969</v>
      </c>
      <c r="W104" s="9">
        <f t="shared" si="45"/>
        <v>975</v>
      </c>
      <c r="X104" s="10"/>
      <c r="Y104" s="8"/>
      <c r="Z104" s="8"/>
      <c r="AA104" s="8"/>
      <c r="AB104" s="19"/>
    </row>
    <row r="105" spans="1:28" ht="15" customHeight="1">
      <c r="A105" s="18">
        <v>91</v>
      </c>
      <c r="B105" s="17">
        <f t="shared" si="34"/>
        <v>45342</v>
      </c>
      <c r="C105" s="13">
        <f t="shared" si="35"/>
        <v>1069</v>
      </c>
      <c r="D105" s="12">
        <f t="shared" si="36"/>
        <v>1543</v>
      </c>
      <c r="E105" s="11">
        <f t="shared" si="27"/>
        <v>953</v>
      </c>
      <c r="F105" s="11">
        <f t="shared" si="28"/>
        <v>963</v>
      </c>
      <c r="G105" s="11">
        <f t="shared" si="29"/>
        <v>987</v>
      </c>
      <c r="H105" s="8">
        <f t="shared" si="30"/>
        <v>1659</v>
      </c>
      <c r="I105" s="8">
        <f t="shared" si="31"/>
        <v>1649</v>
      </c>
      <c r="J105" s="8">
        <f t="shared" si="32"/>
        <v>1625</v>
      </c>
      <c r="K105" s="8">
        <f t="shared" si="37"/>
        <v>2000</v>
      </c>
      <c r="L105" s="8">
        <f t="shared" si="38"/>
        <v>2000</v>
      </c>
      <c r="M105" s="8">
        <f t="shared" si="39"/>
        <v>2000</v>
      </c>
      <c r="N105" s="8">
        <f t="shared" si="40"/>
        <v>-341</v>
      </c>
      <c r="O105" s="8">
        <f t="shared" si="41"/>
        <v>-351</v>
      </c>
      <c r="P105" s="8">
        <f t="shared" si="42"/>
        <v>-375</v>
      </c>
      <c r="Q105" s="11">
        <v>0</v>
      </c>
      <c r="R105" s="11">
        <v>0</v>
      </c>
      <c r="S105" s="11">
        <v>0</v>
      </c>
      <c r="T105" s="10">
        <f t="shared" si="33"/>
        <v>1643</v>
      </c>
      <c r="U105" s="9">
        <f t="shared" si="43"/>
        <v>959</v>
      </c>
      <c r="V105" s="9">
        <f t="shared" si="44"/>
        <v>969</v>
      </c>
      <c r="W105" s="9">
        <f t="shared" si="45"/>
        <v>975</v>
      </c>
      <c r="X105" s="10"/>
      <c r="Y105" s="8"/>
      <c r="Z105" s="8"/>
      <c r="AA105" s="8"/>
      <c r="AB105" s="19"/>
    </row>
    <row r="106" spans="1:28" ht="15" customHeight="1">
      <c r="A106" s="18">
        <v>92</v>
      </c>
      <c r="B106" s="17">
        <f t="shared" si="34"/>
        <v>45343</v>
      </c>
      <c r="C106" s="13">
        <f t="shared" si="35"/>
        <v>1069</v>
      </c>
      <c r="D106" s="12">
        <f t="shared" si="36"/>
        <v>1541</v>
      </c>
      <c r="E106" s="11">
        <f t="shared" si="27"/>
        <v>951</v>
      </c>
      <c r="F106" s="11">
        <f t="shared" si="28"/>
        <v>961</v>
      </c>
      <c r="G106" s="11">
        <f t="shared" si="29"/>
        <v>985</v>
      </c>
      <c r="H106" s="8">
        <f t="shared" si="30"/>
        <v>1659</v>
      </c>
      <c r="I106" s="8">
        <f t="shared" si="31"/>
        <v>1649</v>
      </c>
      <c r="J106" s="8">
        <f t="shared" si="32"/>
        <v>1625</v>
      </c>
      <c r="K106" s="8">
        <f t="shared" si="37"/>
        <v>2000</v>
      </c>
      <c r="L106" s="8">
        <f t="shared" si="38"/>
        <v>2000</v>
      </c>
      <c r="M106" s="8">
        <f t="shared" si="39"/>
        <v>2000</v>
      </c>
      <c r="N106" s="8">
        <f t="shared" si="40"/>
        <v>-341</v>
      </c>
      <c r="O106" s="8">
        <f t="shared" si="41"/>
        <v>-351</v>
      </c>
      <c r="P106" s="8">
        <f t="shared" si="42"/>
        <v>-375</v>
      </c>
      <c r="Q106" s="11">
        <v>0</v>
      </c>
      <c r="R106" s="11">
        <v>0</v>
      </c>
      <c r="S106" s="11">
        <v>0</v>
      </c>
      <c r="T106" s="10">
        <f t="shared" si="33"/>
        <v>1641</v>
      </c>
      <c r="U106" s="9">
        <f t="shared" si="43"/>
        <v>959</v>
      </c>
      <c r="V106" s="9">
        <f t="shared" si="44"/>
        <v>969</v>
      </c>
      <c r="W106" s="9">
        <f t="shared" si="45"/>
        <v>975</v>
      </c>
      <c r="X106" s="10"/>
      <c r="Y106" s="8"/>
      <c r="Z106" s="8"/>
      <c r="AA106" s="8"/>
      <c r="AB106" s="19"/>
    </row>
    <row r="107" spans="1:28" ht="15" customHeight="1">
      <c r="A107" s="18">
        <v>93</v>
      </c>
      <c r="B107" s="17">
        <f t="shared" si="34"/>
        <v>45344</v>
      </c>
      <c r="C107" s="13">
        <f t="shared" si="35"/>
        <v>1069</v>
      </c>
      <c r="D107" s="12">
        <f t="shared" si="36"/>
        <v>1539</v>
      </c>
      <c r="E107" s="11">
        <f t="shared" si="27"/>
        <v>949</v>
      </c>
      <c r="F107" s="11">
        <f t="shared" si="28"/>
        <v>959</v>
      </c>
      <c r="G107" s="11">
        <f t="shared" si="29"/>
        <v>983</v>
      </c>
      <c r="H107" s="8">
        <f t="shared" si="30"/>
        <v>1659</v>
      </c>
      <c r="I107" s="8">
        <f t="shared" si="31"/>
        <v>1649</v>
      </c>
      <c r="J107" s="8">
        <f t="shared" si="32"/>
        <v>1625</v>
      </c>
      <c r="K107" s="8">
        <f t="shared" si="37"/>
        <v>2000</v>
      </c>
      <c r="L107" s="8">
        <f t="shared" si="38"/>
        <v>2000</v>
      </c>
      <c r="M107" s="8">
        <f t="shared" si="39"/>
        <v>2000</v>
      </c>
      <c r="N107" s="8">
        <f t="shared" si="40"/>
        <v>-341</v>
      </c>
      <c r="O107" s="8">
        <f t="shared" si="41"/>
        <v>-351</v>
      </c>
      <c r="P107" s="8">
        <f t="shared" si="42"/>
        <v>-375</v>
      </c>
      <c r="Q107" s="11">
        <v>0</v>
      </c>
      <c r="R107" s="11">
        <v>0</v>
      </c>
      <c r="S107" s="11">
        <v>0</v>
      </c>
      <c r="T107" s="10">
        <f t="shared" si="33"/>
        <v>1639</v>
      </c>
      <c r="U107" s="9">
        <f t="shared" si="43"/>
        <v>959</v>
      </c>
      <c r="V107" s="9">
        <f t="shared" si="44"/>
        <v>969</v>
      </c>
      <c r="W107" s="9">
        <f t="shared" si="45"/>
        <v>975</v>
      </c>
      <c r="X107" s="10"/>
      <c r="Y107" s="8"/>
      <c r="Z107" s="8"/>
      <c r="AA107" s="8"/>
      <c r="AB107" s="19"/>
    </row>
    <row r="108" spans="1:28" ht="15" customHeight="1">
      <c r="A108" s="18">
        <v>94</v>
      </c>
      <c r="B108" s="17">
        <f t="shared" si="34"/>
        <v>45345</v>
      </c>
      <c r="C108" s="13">
        <f t="shared" si="35"/>
        <v>1069</v>
      </c>
      <c r="D108" s="12">
        <f t="shared" si="36"/>
        <v>1537</v>
      </c>
      <c r="E108" s="11">
        <f t="shared" si="27"/>
        <v>947</v>
      </c>
      <c r="F108" s="11">
        <f t="shared" si="28"/>
        <v>957</v>
      </c>
      <c r="G108" s="11">
        <f t="shared" si="29"/>
        <v>981</v>
      </c>
      <c r="H108" s="8">
        <f t="shared" si="30"/>
        <v>1659</v>
      </c>
      <c r="I108" s="8">
        <f t="shared" si="31"/>
        <v>1649</v>
      </c>
      <c r="J108" s="8">
        <f t="shared" si="32"/>
        <v>1625</v>
      </c>
      <c r="K108" s="8">
        <f t="shared" si="37"/>
        <v>2000</v>
      </c>
      <c r="L108" s="8">
        <f t="shared" si="38"/>
        <v>2000</v>
      </c>
      <c r="M108" s="8">
        <f t="shared" si="39"/>
        <v>2000</v>
      </c>
      <c r="N108" s="8">
        <f t="shared" si="40"/>
        <v>-341</v>
      </c>
      <c r="O108" s="8">
        <f t="shared" si="41"/>
        <v>-351</v>
      </c>
      <c r="P108" s="8">
        <f t="shared" si="42"/>
        <v>-375</v>
      </c>
      <c r="Q108" s="11">
        <v>0</v>
      </c>
      <c r="R108" s="11">
        <v>0</v>
      </c>
      <c r="S108" s="11">
        <v>0</v>
      </c>
      <c r="T108" s="10">
        <f t="shared" si="33"/>
        <v>1637</v>
      </c>
      <c r="U108" s="9">
        <f t="shared" si="43"/>
        <v>959</v>
      </c>
      <c r="V108" s="9">
        <f t="shared" si="44"/>
        <v>969</v>
      </c>
      <c r="W108" s="9">
        <f t="shared" si="45"/>
        <v>975</v>
      </c>
      <c r="X108" s="10"/>
      <c r="Y108" s="8"/>
      <c r="Z108" s="8"/>
      <c r="AA108" s="8"/>
      <c r="AB108" s="19"/>
    </row>
    <row r="109" spans="1:28" ht="15" customHeight="1">
      <c r="A109" s="18">
        <v>95</v>
      </c>
      <c r="B109" s="17">
        <f t="shared" si="34"/>
        <v>45346</v>
      </c>
      <c r="C109" s="13">
        <f t="shared" si="35"/>
        <v>1069</v>
      </c>
      <c r="D109" s="12">
        <f t="shared" si="36"/>
        <v>1535</v>
      </c>
      <c r="E109" s="11">
        <f t="shared" si="27"/>
        <v>945</v>
      </c>
      <c r="F109" s="11">
        <f t="shared" si="28"/>
        <v>955</v>
      </c>
      <c r="G109" s="11">
        <f t="shared" si="29"/>
        <v>979</v>
      </c>
      <c r="H109" s="8">
        <f t="shared" si="30"/>
        <v>1659</v>
      </c>
      <c r="I109" s="8">
        <f t="shared" si="31"/>
        <v>1649</v>
      </c>
      <c r="J109" s="8">
        <f t="shared" si="32"/>
        <v>1625</v>
      </c>
      <c r="K109" s="8">
        <f t="shared" si="37"/>
        <v>2000</v>
      </c>
      <c r="L109" s="8">
        <f t="shared" si="38"/>
        <v>2000</v>
      </c>
      <c r="M109" s="8">
        <f t="shared" si="39"/>
        <v>2000</v>
      </c>
      <c r="N109" s="8">
        <f t="shared" si="40"/>
        <v>-341</v>
      </c>
      <c r="O109" s="8">
        <f t="shared" si="41"/>
        <v>-351</v>
      </c>
      <c r="P109" s="8">
        <f t="shared" si="42"/>
        <v>-375</v>
      </c>
      <c r="Q109" s="11">
        <v>0</v>
      </c>
      <c r="R109" s="11">
        <v>0</v>
      </c>
      <c r="S109" s="11">
        <v>0</v>
      </c>
      <c r="T109" s="10">
        <f t="shared" si="33"/>
        <v>1635</v>
      </c>
      <c r="U109" s="9">
        <f t="shared" si="43"/>
        <v>959</v>
      </c>
      <c r="V109" s="9">
        <f t="shared" si="44"/>
        <v>969</v>
      </c>
      <c r="W109" s="9">
        <f t="shared" si="45"/>
        <v>975</v>
      </c>
      <c r="X109" s="10"/>
      <c r="Y109" s="8"/>
      <c r="Z109" s="8"/>
      <c r="AA109" s="8"/>
      <c r="AB109" s="19"/>
    </row>
    <row r="110" spans="1:28" ht="15" customHeight="1">
      <c r="A110" s="18">
        <v>96</v>
      </c>
      <c r="B110" s="17">
        <f t="shared" si="34"/>
        <v>45347</v>
      </c>
      <c r="C110" s="13">
        <f t="shared" si="35"/>
        <v>1069</v>
      </c>
      <c r="D110" s="12">
        <f t="shared" si="36"/>
        <v>1533</v>
      </c>
      <c r="E110" s="11">
        <f t="shared" si="27"/>
        <v>943</v>
      </c>
      <c r="F110" s="11">
        <f t="shared" si="28"/>
        <v>953</v>
      </c>
      <c r="G110" s="11">
        <f t="shared" si="29"/>
        <v>977</v>
      </c>
      <c r="H110" s="8">
        <f t="shared" si="30"/>
        <v>1659</v>
      </c>
      <c r="I110" s="8">
        <f t="shared" si="31"/>
        <v>1649</v>
      </c>
      <c r="J110" s="8">
        <f t="shared" si="32"/>
        <v>1625</v>
      </c>
      <c r="K110" s="8">
        <f t="shared" si="37"/>
        <v>2000</v>
      </c>
      <c r="L110" s="8">
        <f t="shared" si="38"/>
        <v>2000</v>
      </c>
      <c r="M110" s="8">
        <f t="shared" si="39"/>
        <v>2000</v>
      </c>
      <c r="N110" s="8">
        <f t="shared" si="40"/>
        <v>-341</v>
      </c>
      <c r="O110" s="8">
        <f t="shared" si="41"/>
        <v>-351</v>
      </c>
      <c r="P110" s="8">
        <f t="shared" si="42"/>
        <v>-375</v>
      </c>
      <c r="Q110" s="11">
        <v>0</v>
      </c>
      <c r="R110" s="11">
        <v>0</v>
      </c>
      <c r="S110" s="11">
        <v>0</v>
      </c>
      <c r="T110" s="10">
        <f t="shared" si="33"/>
        <v>1633</v>
      </c>
      <c r="U110" s="9">
        <f t="shared" si="43"/>
        <v>959</v>
      </c>
      <c r="V110" s="9">
        <f t="shared" si="44"/>
        <v>969</v>
      </c>
      <c r="W110" s="9">
        <f t="shared" si="45"/>
        <v>975</v>
      </c>
      <c r="X110" s="10"/>
      <c r="Y110" s="8"/>
      <c r="Z110" s="8"/>
      <c r="AA110" s="8"/>
      <c r="AB110" s="19"/>
    </row>
    <row r="111" spans="1:28" ht="15" customHeight="1">
      <c r="A111" s="18">
        <v>97</v>
      </c>
      <c r="B111" s="17">
        <f t="shared" si="34"/>
        <v>45348</v>
      </c>
      <c r="C111" s="13">
        <f t="shared" si="35"/>
        <v>1069</v>
      </c>
      <c r="D111" s="12">
        <f t="shared" ref="D111:D126" si="46">D110-2</f>
        <v>1531</v>
      </c>
      <c r="E111" s="11">
        <f t="shared" si="27"/>
        <v>941</v>
      </c>
      <c r="F111" s="11">
        <f t="shared" si="28"/>
        <v>951</v>
      </c>
      <c r="G111" s="11">
        <f t="shared" si="29"/>
        <v>975</v>
      </c>
      <c r="H111" s="8">
        <f t="shared" si="30"/>
        <v>1659</v>
      </c>
      <c r="I111" s="8">
        <f t="shared" si="31"/>
        <v>1649</v>
      </c>
      <c r="J111" s="8">
        <f t="shared" si="32"/>
        <v>1625</v>
      </c>
      <c r="K111" s="8">
        <f t="shared" ref="K111:K142" si="47">K110</f>
        <v>2000</v>
      </c>
      <c r="L111" s="8">
        <f t="shared" ref="L111:L142" si="48">L110</f>
        <v>2000</v>
      </c>
      <c r="M111" s="8">
        <f t="shared" ref="M111:M142" si="49">M110</f>
        <v>2000</v>
      </c>
      <c r="N111" s="8">
        <f t="shared" si="40"/>
        <v>-341</v>
      </c>
      <c r="O111" s="8">
        <f t="shared" si="41"/>
        <v>-351</v>
      </c>
      <c r="P111" s="8">
        <f t="shared" si="42"/>
        <v>-375</v>
      </c>
      <c r="Q111" s="11">
        <v>0</v>
      </c>
      <c r="R111" s="11">
        <v>0</v>
      </c>
      <c r="S111" s="11">
        <v>0</v>
      </c>
      <c r="T111" s="10">
        <f t="shared" si="33"/>
        <v>1631</v>
      </c>
      <c r="U111" s="9">
        <f t="shared" si="43"/>
        <v>959</v>
      </c>
      <c r="V111" s="9">
        <f t="shared" si="44"/>
        <v>969</v>
      </c>
      <c r="W111" s="9">
        <f t="shared" si="45"/>
        <v>975</v>
      </c>
      <c r="X111" s="10"/>
      <c r="Y111" s="8"/>
      <c r="Z111" s="8"/>
      <c r="AA111" s="8"/>
      <c r="AB111" s="19"/>
    </row>
    <row r="112" spans="1:28" ht="15" customHeight="1">
      <c r="A112" s="18">
        <v>98</v>
      </c>
      <c r="B112" s="17">
        <f t="shared" si="34"/>
        <v>45349</v>
      </c>
      <c r="C112" s="13">
        <f t="shared" si="35"/>
        <v>1069</v>
      </c>
      <c r="D112" s="12">
        <f t="shared" si="46"/>
        <v>1529</v>
      </c>
      <c r="E112" s="11">
        <f t="shared" si="27"/>
        <v>939</v>
      </c>
      <c r="F112" s="11">
        <f t="shared" si="28"/>
        <v>949</v>
      </c>
      <c r="G112" s="11">
        <f t="shared" si="29"/>
        <v>973</v>
      </c>
      <c r="H112" s="8">
        <f t="shared" si="30"/>
        <v>1659</v>
      </c>
      <c r="I112" s="8">
        <f t="shared" si="31"/>
        <v>1649</v>
      </c>
      <c r="J112" s="8">
        <f t="shared" si="32"/>
        <v>1625</v>
      </c>
      <c r="K112" s="8">
        <f t="shared" si="47"/>
        <v>2000</v>
      </c>
      <c r="L112" s="8">
        <f t="shared" si="48"/>
        <v>2000</v>
      </c>
      <c r="M112" s="8">
        <f t="shared" si="49"/>
        <v>2000</v>
      </c>
      <c r="N112" s="8">
        <f t="shared" si="40"/>
        <v>-341</v>
      </c>
      <c r="O112" s="8">
        <f t="shared" si="41"/>
        <v>-351</v>
      </c>
      <c r="P112" s="8">
        <f t="shared" si="42"/>
        <v>-375</v>
      </c>
      <c r="Q112" s="11">
        <v>0</v>
      </c>
      <c r="R112" s="11">
        <v>0</v>
      </c>
      <c r="S112" s="11">
        <v>0</v>
      </c>
      <c r="T112" s="10">
        <f t="shared" si="33"/>
        <v>1629</v>
      </c>
      <c r="U112" s="9">
        <f t="shared" si="43"/>
        <v>959</v>
      </c>
      <c r="V112" s="9">
        <f t="shared" si="44"/>
        <v>969</v>
      </c>
      <c r="W112" s="9">
        <f t="shared" si="45"/>
        <v>975</v>
      </c>
      <c r="X112" s="10"/>
      <c r="Y112" s="8"/>
      <c r="Z112" s="8"/>
      <c r="AA112" s="8"/>
      <c r="AB112" s="19"/>
    </row>
    <row r="113" spans="1:28" ht="15" customHeight="1">
      <c r="A113" s="18">
        <v>99</v>
      </c>
      <c r="B113" s="17">
        <f t="shared" si="34"/>
        <v>45350</v>
      </c>
      <c r="C113" s="13">
        <f t="shared" si="35"/>
        <v>1069</v>
      </c>
      <c r="D113" s="12">
        <f t="shared" si="46"/>
        <v>1527</v>
      </c>
      <c r="E113" s="11">
        <f t="shared" si="27"/>
        <v>937</v>
      </c>
      <c r="F113" s="11">
        <f t="shared" si="28"/>
        <v>947</v>
      </c>
      <c r="G113" s="11">
        <f t="shared" si="29"/>
        <v>971</v>
      </c>
      <c r="H113" s="8">
        <f t="shared" si="30"/>
        <v>1659</v>
      </c>
      <c r="I113" s="8">
        <f t="shared" si="31"/>
        <v>1649</v>
      </c>
      <c r="J113" s="8">
        <f t="shared" si="32"/>
        <v>1625</v>
      </c>
      <c r="K113" s="8">
        <f t="shared" si="47"/>
        <v>2000</v>
      </c>
      <c r="L113" s="8">
        <f t="shared" si="48"/>
        <v>2000</v>
      </c>
      <c r="M113" s="8">
        <f t="shared" si="49"/>
        <v>2000</v>
      </c>
      <c r="N113" s="8">
        <f t="shared" si="40"/>
        <v>-341</v>
      </c>
      <c r="O113" s="8">
        <f t="shared" si="41"/>
        <v>-351</v>
      </c>
      <c r="P113" s="8">
        <f t="shared" si="42"/>
        <v>-375</v>
      </c>
      <c r="Q113" s="11">
        <v>0</v>
      </c>
      <c r="R113" s="11">
        <v>0</v>
      </c>
      <c r="S113" s="11">
        <v>0</v>
      </c>
      <c r="T113" s="10">
        <f t="shared" si="33"/>
        <v>1627</v>
      </c>
      <c r="U113" s="9">
        <f t="shared" si="43"/>
        <v>959</v>
      </c>
      <c r="V113" s="9">
        <f t="shared" si="44"/>
        <v>969</v>
      </c>
      <c r="W113" s="9">
        <f t="shared" si="45"/>
        <v>975</v>
      </c>
      <c r="X113" s="10"/>
      <c r="Y113" s="8"/>
      <c r="Z113" s="8"/>
      <c r="AA113" s="8"/>
      <c r="AB113" s="19"/>
    </row>
    <row r="114" spans="1:28" ht="15" customHeight="1">
      <c r="A114" s="18">
        <v>100</v>
      </c>
      <c r="B114" s="17">
        <f t="shared" si="34"/>
        <v>45351</v>
      </c>
      <c r="C114" s="13">
        <f t="shared" si="35"/>
        <v>1069</v>
      </c>
      <c r="D114" s="12">
        <f t="shared" si="46"/>
        <v>1525</v>
      </c>
      <c r="E114" s="11">
        <f t="shared" si="27"/>
        <v>935</v>
      </c>
      <c r="F114" s="11">
        <f t="shared" si="28"/>
        <v>945</v>
      </c>
      <c r="G114" s="11">
        <f t="shared" si="29"/>
        <v>969</v>
      </c>
      <c r="H114" s="8">
        <f t="shared" si="30"/>
        <v>1659</v>
      </c>
      <c r="I114" s="8">
        <f t="shared" si="31"/>
        <v>1649</v>
      </c>
      <c r="J114" s="8">
        <f t="shared" si="32"/>
        <v>1625</v>
      </c>
      <c r="K114" s="8">
        <f t="shared" si="47"/>
        <v>2000</v>
      </c>
      <c r="L114" s="8">
        <f t="shared" si="48"/>
        <v>2000</v>
      </c>
      <c r="M114" s="8">
        <f t="shared" si="49"/>
        <v>2000</v>
      </c>
      <c r="N114" s="8">
        <f t="shared" si="40"/>
        <v>-341</v>
      </c>
      <c r="O114" s="8">
        <f t="shared" si="41"/>
        <v>-351</v>
      </c>
      <c r="P114" s="8">
        <f t="shared" si="42"/>
        <v>-375</v>
      </c>
      <c r="Q114" s="11">
        <v>0</v>
      </c>
      <c r="R114" s="11">
        <v>0</v>
      </c>
      <c r="S114" s="11">
        <v>0</v>
      </c>
      <c r="T114" s="10">
        <f t="shared" si="33"/>
        <v>1625</v>
      </c>
      <c r="U114" s="9">
        <f t="shared" si="43"/>
        <v>959</v>
      </c>
      <c r="V114" s="9">
        <f t="shared" si="44"/>
        <v>969</v>
      </c>
      <c r="W114" s="9">
        <f t="shared" si="45"/>
        <v>975</v>
      </c>
      <c r="X114" s="10"/>
      <c r="Y114" s="8"/>
      <c r="Z114" s="8"/>
      <c r="AA114" s="8"/>
      <c r="AB114" s="19"/>
    </row>
    <row r="115" spans="1:28" ht="15" customHeight="1">
      <c r="A115" s="18">
        <v>101</v>
      </c>
      <c r="B115" s="17">
        <f t="shared" si="34"/>
        <v>45352</v>
      </c>
      <c r="C115" s="13">
        <f t="shared" si="35"/>
        <v>1069</v>
      </c>
      <c r="D115" s="12">
        <f t="shared" si="46"/>
        <v>1523</v>
      </c>
      <c r="E115" s="11">
        <f t="shared" si="27"/>
        <v>933</v>
      </c>
      <c r="F115" s="11">
        <f t="shared" si="28"/>
        <v>943</v>
      </c>
      <c r="G115" s="11">
        <f t="shared" si="29"/>
        <v>967</v>
      </c>
      <c r="H115" s="8">
        <f t="shared" si="30"/>
        <v>1659</v>
      </c>
      <c r="I115" s="8">
        <f t="shared" si="31"/>
        <v>1649</v>
      </c>
      <c r="J115" s="8">
        <f t="shared" si="32"/>
        <v>1625</v>
      </c>
      <c r="K115" s="8">
        <f t="shared" si="47"/>
        <v>2000</v>
      </c>
      <c r="L115" s="8">
        <f t="shared" si="48"/>
        <v>2000</v>
      </c>
      <c r="M115" s="8">
        <f t="shared" si="49"/>
        <v>2000</v>
      </c>
      <c r="N115" s="8">
        <f t="shared" si="40"/>
        <v>-341</v>
      </c>
      <c r="O115" s="8">
        <f t="shared" si="41"/>
        <v>-351</v>
      </c>
      <c r="P115" s="8">
        <f t="shared" si="42"/>
        <v>-375</v>
      </c>
      <c r="Q115" s="11">
        <v>0</v>
      </c>
      <c r="R115" s="11">
        <v>0</v>
      </c>
      <c r="S115" s="11">
        <v>0</v>
      </c>
      <c r="T115" s="10">
        <f t="shared" si="33"/>
        <v>1623</v>
      </c>
      <c r="U115" s="9">
        <f t="shared" si="43"/>
        <v>959</v>
      </c>
      <c r="V115" s="9">
        <f t="shared" si="44"/>
        <v>969</v>
      </c>
      <c r="W115" s="9">
        <f t="shared" si="45"/>
        <v>975</v>
      </c>
      <c r="X115" s="10"/>
      <c r="Y115" s="8"/>
      <c r="Z115" s="8"/>
      <c r="AA115" s="8"/>
      <c r="AB115" s="19"/>
    </row>
    <row r="116" spans="1:28" ht="13.15" customHeight="1">
      <c r="A116" s="18">
        <v>102</v>
      </c>
      <c r="B116" s="17">
        <f t="shared" si="34"/>
        <v>45353</v>
      </c>
      <c r="C116" s="13">
        <f t="shared" si="35"/>
        <v>1069</v>
      </c>
      <c r="D116" s="12">
        <f t="shared" si="46"/>
        <v>1521</v>
      </c>
      <c r="E116" s="11">
        <f t="shared" si="27"/>
        <v>931</v>
      </c>
      <c r="F116" s="11">
        <f t="shared" si="28"/>
        <v>941</v>
      </c>
      <c r="G116" s="11">
        <f t="shared" si="29"/>
        <v>965</v>
      </c>
      <c r="H116" s="8">
        <f t="shared" si="30"/>
        <v>1659</v>
      </c>
      <c r="I116" s="8">
        <f t="shared" si="31"/>
        <v>1649</v>
      </c>
      <c r="J116" s="8">
        <f t="shared" si="32"/>
        <v>1625</v>
      </c>
      <c r="K116" s="8">
        <f t="shared" si="47"/>
        <v>2000</v>
      </c>
      <c r="L116" s="8">
        <f t="shared" si="48"/>
        <v>2000</v>
      </c>
      <c r="M116" s="8">
        <f t="shared" si="49"/>
        <v>2000</v>
      </c>
      <c r="N116" s="8">
        <f t="shared" si="40"/>
        <v>-341</v>
      </c>
      <c r="O116" s="8">
        <f t="shared" si="41"/>
        <v>-351</v>
      </c>
      <c r="P116" s="8">
        <f t="shared" si="42"/>
        <v>-375</v>
      </c>
      <c r="Q116" s="11">
        <v>0</v>
      </c>
      <c r="R116" s="11">
        <v>0</v>
      </c>
      <c r="S116" s="11">
        <v>0</v>
      </c>
      <c r="T116" s="10">
        <f t="shared" si="33"/>
        <v>1621</v>
      </c>
      <c r="U116" s="9">
        <f t="shared" si="43"/>
        <v>959</v>
      </c>
      <c r="V116" s="9">
        <f t="shared" si="44"/>
        <v>969</v>
      </c>
      <c r="W116" s="9">
        <f t="shared" si="45"/>
        <v>975</v>
      </c>
      <c r="X116" s="10"/>
      <c r="Y116" s="8"/>
      <c r="Z116" s="8"/>
      <c r="AA116" s="8"/>
      <c r="AB116" s="19"/>
    </row>
    <row r="117" spans="1:28" ht="13.15" customHeight="1">
      <c r="A117" s="18">
        <v>103</v>
      </c>
      <c r="B117" s="17">
        <f t="shared" si="34"/>
        <v>45354</v>
      </c>
      <c r="C117" s="13">
        <f t="shared" si="35"/>
        <v>1069</v>
      </c>
      <c r="D117" s="12">
        <f t="shared" si="46"/>
        <v>1519</v>
      </c>
      <c r="E117" s="11">
        <f t="shared" si="27"/>
        <v>929</v>
      </c>
      <c r="F117" s="11">
        <f t="shared" si="28"/>
        <v>939</v>
      </c>
      <c r="G117" s="11">
        <f t="shared" si="29"/>
        <v>963</v>
      </c>
      <c r="H117" s="8">
        <f t="shared" si="30"/>
        <v>1659</v>
      </c>
      <c r="I117" s="8">
        <f t="shared" si="31"/>
        <v>1649</v>
      </c>
      <c r="J117" s="8">
        <f t="shared" si="32"/>
        <v>1625</v>
      </c>
      <c r="K117" s="8">
        <f t="shared" si="47"/>
        <v>2000</v>
      </c>
      <c r="L117" s="8">
        <f t="shared" si="48"/>
        <v>2000</v>
      </c>
      <c r="M117" s="8">
        <f t="shared" si="49"/>
        <v>2000</v>
      </c>
      <c r="N117" s="8">
        <f t="shared" si="40"/>
        <v>-341</v>
      </c>
      <c r="O117" s="8">
        <f t="shared" si="41"/>
        <v>-351</v>
      </c>
      <c r="P117" s="8">
        <f t="shared" si="42"/>
        <v>-375</v>
      </c>
      <c r="Q117" s="11">
        <v>0</v>
      </c>
      <c r="R117" s="11">
        <v>0</v>
      </c>
      <c r="S117" s="11">
        <v>0</v>
      </c>
      <c r="T117" s="10">
        <f t="shared" si="33"/>
        <v>1619</v>
      </c>
      <c r="U117" s="9">
        <f t="shared" si="43"/>
        <v>959</v>
      </c>
      <c r="V117" s="9">
        <f t="shared" si="44"/>
        <v>969</v>
      </c>
      <c r="W117" s="9">
        <f t="shared" si="45"/>
        <v>975</v>
      </c>
      <c r="X117" s="10"/>
      <c r="Y117" s="8"/>
      <c r="Z117" s="8"/>
      <c r="AA117" s="8"/>
      <c r="AB117" s="19"/>
    </row>
    <row r="118" spans="1:28" ht="13.15" customHeight="1">
      <c r="A118" s="18">
        <v>104</v>
      </c>
      <c r="B118" s="17">
        <f t="shared" si="34"/>
        <v>45355</v>
      </c>
      <c r="C118" s="13">
        <f t="shared" si="35"/>
        <v>1069</v>
      </c>
      <c r="D118" s="12">
        <f t="shared" si="46"/>
        <v>1517</v>
      </c>
      <c r="E118" s="11">
        <f t="shared" si="27"/>
        <v>927</v>
      </c>
      <c r="F118" s="11">
        <f t="shared" si="28"/>
        <v>937</v>
      </c>
      <c r="G118" s="11">
        <f t="shared" si="29"/>
        <v>961</v>
      </c>
      <c r="H118" s="8">
        <f t="shared" si="30"/>
        <v>1659</v>
      </c>
      <c r="I118" s="8">
        <f t="shared" si="31"/>
        <v>1649</v>
      </c>
      <c r="J118" s="8">
        <f t="shared" si="32"/>
        <v>1625</v>
      </c>
      <c r="K118" s="8">
        <f t="shared" si="47"/>
        <v>2000</v>
      </c>
      <c r="L118" s="8">
        <f t="shared" si="48"/>
        <v>2000</v>
      </c>
      <c r="M118" s="8">
        <f t="shared" si="49"/>
        <v>2000</v>
      </c>
      <c r="N118" s="8">
        <f t="shared" si="40"/>
        <v>-341</v>
      </c>
      <c r="O118" s="8">
        <f t="shared" si="41"/>
        <v>-351</v>
      </c>
      <c r="P118" s="8">
        <f t="shared" si="42"/>
        <v>-375</v>
      </c>
      <c r="Q118" s="11">
        <v>0</v>
      </c>
      <c r="R118" s="11">
        <v>0</v>
      </c>
      <c r="S118" s="11">
        <v>0</v>
      </c>
      <c r="T118" s="10">
        <f t="shared" si="33"/>
        <v>1617</v>
      </c>
      <c r="U118" s="9">
        <f t="shared" si="43"/>
        <v>959</v>
      </c>
      <c r="V118" s="9">
        <f t="shared" si="44"/>
        <v>969</v>
      </c>
      <c r="W118" s="9">
        <f t="shared" si="45"/>
        <v>975</v>
      </c>
      <c r="X118" s="10"/>
      <c r="Y118" s="8"/>
      <c r="Z118" s="8"/>
      <c r="AA118" s="8"/>
      <c r="AB118" s="19"/>
    </row>
    <row r="119" spans="1:28" ht="13.15" customHeight="1">
      <c r="A119" s="18">
        <v>105</v>
      </c>
      <c r="B119" s="17">
        <f t="shared" si="34"/>
        <v>45356</v>
      </c>
      <c r="C119" s="13">
        <f t="shared" si="35"/>
        <v>1069</v>
      </c>
      <c r="D119" s="12">
        <f t="shared" si="46"/>
        <v>1515</v>
      </c>
      <c r="E119" s="11">
        <f t="shared" si="27"/>
        <v>925</v>
      </c>
      <c r="F119" s="11">
        <f t="shared" si="28"/>
        <v>935</v>
      </c>
      <c r="G119" s="11">
        <f t="shared" si="29"/>
        <v>959</v>
      </c>
      <c r="H119" s="8">
        <f t="shared" si="30"/>
        <v>1659</v>
      </c>
      <c r="I119" s="8">
        <f t="shared" si="31"/>
        <v>1649</v>
      </c>
      <c r="J119" s="8">
        <f t="shared" si="32"/>
        <v>1625</v>
      </c>
      <c r="K119" s="8">
        <f t="shared" si="47"/>
        <v>2000</v>
      </c>
      <c r="L119" s="8">
        <f t="shared" si="48"/>
        <v>2000</v>
      </c>
      <c r="M119" s="8">
        <f t="shared" si="49"/>
        <v>2000</v>
      </c>
      <c r="N119" s="8">
        <f t="shared" si="40"/>
        <v>-341</v>
      </c>
      <c r="O119" s="8">
        <f t="shared" si="41"/>
        <v>-351</v>
      </c>
      <c r="P119" s="8">
        <f t="shared" si="42"/>
        <v>-375</v>
      </c>
      <c r="Q119" s="11">
        <v>0</v>
      </c>
      <c r="R119" s="11">
        <v>0</v>
      </c>
      <c r="S119" s="11">
        <v>0</v>
      </c>
      <c r="T119" s="10">
        <f t="shared" si="33"/>
        <v>1615</v>
      </c>
      <c r="U119" s="9">
        <f t="shared" si="43"/>
        <v>959</v>
      </c>
      <c r="V119" s="9">
        <f t="shared" si="44"/>
        <v>969</v>
      </c>
      <c r="W119" s="9">
        <f t="shared" si="45"/>
        <v>975</v>
      </c>
      <c r="X119" s="10"/>
      <c r="Y119" s="8"/>
      <c r="Z119" s="8"/>
      <c r="AA119" s="8"/>
      <c r="AB119" s="19"/>
    </row>
    <row r="120" spans="1:28" ht="13.15" customHeight="1">
      <c r="A120" s="18">
        <v>106</v>
      </c>
      <c r="B120" s="17">
        <f t="shared" si="34"/>
        <v>45357</v>
      </c>
      <c r="C120" s="13">
        <f t="shared" si="35"/>
        <v>1069</v>
      </c>
      <c r="D120" s="12">
        <f t="shared" si="46"/>
        <v>1513</v>
      </c>
      <c r="E120" s="11">
        <f t="shared" si="27"/>
        <v>923</v>
      </c>
      <c r="F120" s="11">
        <f t="shared" si="28"/>
        <v>933</v>
      </c>
      <c r="G120" s="11">
        <f t="shared" si="29"/>
        <v>957</v>
      </c>
      <c r="H120" s="8">
        <f t="shared" si="30"/>
        <v>1659</v>
      </c>
      <c r="I120" s="8">
        <f t="shared" si="31"/>
        <v>1649</v>
      </c>
      <c r="J120" s="8">
        <f t="shared" si="32"/>
        <v>1625</v>
      </c>
      <c r="K120" s="8">
        <f t="shared" si="47"/>
        <v>2000</v>
      </c>
      <c r="L120" s="8">
        <f t="shared" si="48"/>
        <v>2000</v>
      </c>
      <c r="M120" s="8">
        <f t="shared" si="49"/>
        <v>2000</v>
      </c>
      <c r="N120" s="8">
        <f t="shared" si="40"/>
        <v>-341</v>
      </c>
      <c r="O120" s="8">
        <f t="shared" si="41"/>
        <v>-351</v>
      </c>
      <c r="P120" s="8">
        <f t="shared" si="42"/>
        <v>-375</v>
      </c>
      <c r="Q120" s="11">
        <v>0</v>
      </c>
      <c r="R120" s="11">
        <v>0</v>
      </c>
      <c r="S120" s="11">
        <v>0</v>
      </c>
      <c r="T120" s="10">
        <f t="shared" si="33"/>
        <v>1613</v>
      </c>
      <c r="U120" s="9">
        <f t="shared" si="43"/>
        <v>959</v>
      </c>
      <c r="V120" s="9">
        <f t="shared" si="44"/>
        <v>969</v>
      </c>
      <c r="W120" s="9">
        <f t="shared" si="45"/>
        <v>975</v>
      </c>
      <c r="X120" s="10"/>
      <c r="Y120" s="8"/>
      <c r="Z120" s="8"/>
      <c r="AA120" s="8"/>
      <c r="AB120" s="19"/>
    </row>
    <row r="121" spans="1:28" ht="13.15" customHeight="1">
      <c r="A121" s="18">
        <v>107</v>
      </c>
      <c r="B121" s="17">
        <f t="shared" si="34"/>
        <v>45358</v>
      </c>
      <c r="C121" s="13">
        <f t="shared" si="35"/>
        <v>1069</v>
      </c>
      <c r="D121" s="12">
        <f t="shared" si="46"/>
        <v>1511</v>
      </c>
      <c r="E121" s="11">
        <f t="shared" si="27"/>
        <v>921</v>
      </c>
      <c r="F121" s="11">
        <f t="shared" si="28"/>
        <v>931</v>
      </c>
      <c r="G121" s="11">
        <f t="shared" si="29"/>
        <v>955</v>
      </c>
      <c r="H121" s="8">
        <f t="shared" si="30"/>
        <v>1659</v>
      </c>
      <c r="I121" s="8">
        <f t="shared" si="31"/>
        <v>1649</v>
      </c>
      <c r="J121" s="8">
        <f t="shared" si="32"/>
        <v>1625</v>
      </c>
      <c r="K121" s="8">
        <f t="shared" si="47"/>
        <v>2000</v>
      </c>
      <c r="L121" s="8">
        <f t="shared" si="48"/>
        <v>2000</v>
      </c>
      <c r="M121" s="8">
        <f t="shared" si="49"/>
        <v>2000</v>
      </c>
      <c r="N121" s="8">
        <f t="shared" si="40"/>
        <v>-341</v>
      </c>
      <c r="O121" s="8">
        <f t="shared" si="41"/>
        <v>-351</v>
      </c>
      <c r="P121" s="8">
        <f t="shared" si="42"/>
        <v>-375</v>
      </c>
      <c r="Q121" s="11">
        <v>0</v>
      </c>
      <c r="R121" s="11">
        <v>0</v>
      </c>
      <c r="S121" s="11">
        <v>0</v>
      </c>
      <c r="T121" s="10">
        <f t="shared" si="33"/>
        <v>1611</v>
      </c>
      <c r="U121" s="9">
        <f t="shared" si="43"/>
        <v>959</v>
      </c>
      <c r="V121" s="9">
        <f t="shared" si="44"/>
        <v>969</v>
      </c>
      <c r="W121" s="9">
        <f t="shared" si="45"/>
        <v>975</v>
      </c>
      <c r="X121" s="10"/>
      <c r="Y121" s="8"/>
      <c r="Z121" s="8"/>
      <c r="AA121" s="8"/>
      <c r="AB121" s="19"/>
    </row>
    <row r="122" spans="1:28" ht="13.15" customHeight="1">
      <c r="A122" s="18">
        <v>108</v>
      </c>
      <c r="B122" s="17">
        <f t="shared" si="34"/>
        <v>45359</v>
      </c>
      <c r="C122" s="13">
        <f t="shared" si="35"/>
        <v>1069</v>
      </c>
      <c r="D122" s="12">
        <f t="shared" si="46"/>
        <v>1509</v>
      </c>
      <c r="E122" s="11">
        <f t="shared" si="27"/>
        <v>919</v>
      </c>
      <c r="F122" s="11">
        <f t="shared" si="28"/>
        <v>929</v>
      </c>
      <c r="G122" s="11">
        <f t="shared" si="29"/>
        <v>953</v>
      </c>
      <c r="H122" s="8">
        <f t="shared" si="30"/>
        <v>1659</v>
      </c>
      <c r="I122" s="8">
        <f t="shared" si="31"/>
        <v>1649</v>
      </c>
      <c r="J122" s="8">
        <f t="shared" si="32"/>
        <v>1625</v>
      </c>
      <c r="K122" s="8">
        <f t="shared" si="47"/>
        <v>2000</v>
      </c>
      <c r="L122" s="8">
        <f t="shared" si="48"/>
        <v>2000</v>
      </c>
      <c r="M122" s="8">
        <f t="shared" si="49"/>
        <v>2000</v>
      </c>
      <c r="N122" s="8">
        <f t="shared" si="40"/>
        <v>-341</v>
      </c>
      <c r="O122" s="8">
        <f t="shared" si="41"/>
        <v>-351</v>
      </c>
      <c r="P122" s="8">
        <f t="shared" si="42"/>
        <v>-375</v>
      </c>
      <c r="Q122" s="11">
        <v>0</v>
      </c>
      <c r="R122" s="11">
        <v>0</v>
      </c>
      <c r="S122" s="11">
        <v>0</v>
      </c>
      <c r="T122" s="10">
        <f t="shared" si="33"/>
        <v>1609</v>
      </c>
      <c r="U122" s="9">
        <f t="shared" si="43"/>
        <v>959</v>
      </c>
      <c r="V122" s="9">
        <f t="shared" si="44"/>
        <v>969</v>
      </c>
      <c r="W122" s="9">
        <f t="shared" si="45"/>
        <v>975</v>
      </c>
      <c r="X122" s="10"/>
      <c r="Y122" s="8"/>
      <c r="Z122" s="8"/>
      <c r="AA122" s="8"/>
      <c r="AB122" s="19"/>
    </row>
    <row r="123" spans="1:28" ht="13.15" customHeight="1">
      <c r="A123" s="18">
        <v>109</v>
      </c>
      <c r="B123" s="17">
        <f t="shared" si="34"/>
        <v>45360</v>
      </c>
      <c r="C123" s="13">
        <f t="shared" si="35"/>
        <v>1069</v>
      </c>
      <c r="D123" s="12">
        <f t="shared" si="46"/>
        <v>1507</v>
      </c>
      <c r="E123" s="11">
        <f t="shared" si="27"/>
        <v>917</v>
      </c>
      <c r="F123" s="11">
        <f t="shared" si="28"/>
        <v>927</v>
      </c>
      <c r="G123" s="11">
        <f t="shared" si="29"/>
        <v>951</v>
      </c>
      <c r="H123" s="8">
        <f t="shared" si="30"/>
        <v>1659</v>
      </c>
      <c r="I123" s="8">
        <f t="shared" si="31"/>
        <v>1649</v>
      </c>
      <c r="J123" s="8">
        <f t="shared" si="32"/>
        <v>1625</v>
      </c>
      <c r="K123" s="8">
        <f t="shared" si="47"/>
        <v>2000</v>
      </c>
      <c r="L123" s="8">
        <f t="shared" si="48"/>
        <v>2000</v>
      </c>
      <c r="M123" s="8">
        <f t="shared" si="49"/>
        <v>2000</v>
      </c>
      <c r="N123" s="8">
        <f t="shared" si="40"/>
        <v>-341</v>
      </c>
      <c r="O123" s="8">
        <f t="shared" si="41"/>
        <v>-351</v>
      </c>
      <c r="P123" s="8">
        <f t="shared" si="42"/>
        <v>-375</v>
      </c>
      <c r="Q123" s="11">
        <v>0</v>
      </c>
      <c r="R123" s="11">
        <v>0</v>
      </c>
      <c r="S123" s="11">
        <v>0</v>
      </c>
      <c r="T123" s="10">
        <f t="shared" si="33"/>
        <v>1607</v>
      </c>
      <c r="U123" s="9">
        <f t="shared" si="43"/>
        <v>959</v>
      </c>
      <c r="V123" s="9">
        <f t="shared" si="44"/>
        <v>969</v>
      </c>
      <c r="W123" s="9">
        <f t="shared" si="45"/>
        <v>975</v>
      </c>
      <c r="X123" s="10"/>
      <c r="Y123" s="8"/>
      <c r="Z123" s="8"/>
      <c r="AA123" s="8"/>
      <c r="AB123" s="19"/>
    </row>
    <row r="124" spans="1:28" ht="13.15" customHeight="1">
      <c r="A124" s="18">
        <v>110</v>
      </c>
      <c r="B124" s="17">
        <f t="shared" si="34"/>
        <v>45361</v>
      </c>
      <c r="C124" s="13">
        <f t="shared" si="35"/>
        <v>1069</v>
      </c>
      <c r="D124" s="12">
        <f t="shared" si="46"/>
        <v>1505</v>
      </c>
      <c r="E124" s="11">
        <f t="shared" si="27"/>
        <v>915</v>
      </c>
      <c r="F124" s="11">
        <f t="shared" si="28"/>
        <v>925</v>
      </c>
      <c r="G124" s="11">
        <f t="shared" si="29"/>
        <v>949</v>
      </c>
      <c r="H124" s="8">
        <f t="shared" si="30"/>
        <v>1659</v>
      </c>
      <c r="I124" s="8">
        <f t="shared" si="31"/>
        <v>1649</v>
      </c>
      <c r="J124" s="8">
        <f t="shared" si="32"/>
        <v>1625</v>
      </c>
      <c r="K124" s="8">
        <f t="shared" si="47"/>
        <v>2000</v>
      </c>
      <c r="L124" s="8">
        <f t="shared" si="48"/>
        <v>2000</v>
      </c>
      <c r="M124" s="8">
        <f t="shared" si="49"/>
        <v>2000</v>
      </c>
      <c r="N124" s="8">
        <f t="shared" si="40"/>
        <v>-341</v>
      </c>
      <c r="O124" s="8">
        <f t="shared" si="41"/>
        <v>-351</v>
      </c>
      <c r="P124" s="8">
        <f t="shared" si="42"/>
        <v>-375</v>
      </c>
      <c r="Q124" s="11">
        <v>0</v>
      </c>
      <c r="R124" s="11">
        <v>0</v>
      </c>
      <c r="S124" s="11">
        <v>0</v>
      </c>
      <c r="T124" s="10">
        <f t="shared" si="33"/>
        <v>1605</v>
      </c>
      <c r="U124" s="9">
        <f t="shared" si="43"/>
        <v>959</v>
      </c>
      <c r="V124" s="9">
        <f t="shared" si="44"/>
        <v>969</v>
      </c>
      <c r="W124" s="9">
        <f t="shared" si="45"/>
        <v>975</v>
      </c>
      <c r="X124" s="10"/>
      <c r="Y124" s="8"/>
      <c r="Z124" s="8"/>
      <c r="AA124" s="8"/>
      <c r="AB124" s="19"/>
    </row>
    <row r="125" spans="1:28" ht="13.15" customHeight="1">
      <c r="A125" s="18">
        <v>111</v>
      </c>
      <c r="B125" s="17">
        <f t="shared" si="34"/>
        <v>45362</v>
      </c>
      <c r="C125" s="13">
        <f t="shared" si="35"/>
        <v>1069</v>
      </c>
      <c r="D125" s="12">
        <f t="shared" si="46"/>
        <v>1503</v>
      </c>
      <c r="E125" s="11">
        <f t="shared" si="27"/>
        <v>913</v>
      </c>
      <c r="F125" s="11">
        <f t="shared" si="28"/>
        <v>923</v>
      </c>
      <c r="G125" s="11">
        <f t="shared" si="29"/>
        <v>947</v>
      </c>
      <c r="H125" s="8">
        <f t="shared" si="30"/>
        <v>1659</v>
      </c>
      <c r="I125" s="8">
        <f t="shared" si="31"/>
        <v>1649</v>
      </c>
      <c r="J125" s="8">
        <f t="shared" si="32"/>
        <v>1625</v>
      </c>
      <c r="K125" s="8">
        <f t="shared" si="47"/>
        <v>2000</v>
      </c>
      <c r="L125" s="8">
        <f t="shared" si="48"/>
        <v>2000</v>
      </c>
      <c r="M125" s="8">
        <f t="shared" si="49"/>
        <v>2000</v>
      </c>
      <c r="N125" s="8">
        <f t="shared" si="40"/>
        <v>-341</v>
      </c>
      <c r="O125" s="8">
        <f t="shared" si="41"/>
        <v>-351</v>
      </c>
      <c r="P125" s="8">
        <f t="shared" si="42"/>
        <v>-375</v>
      </c>
      <c r="Q125" s="11">
        <v>0</v>
      </c>
      <c r="R125" s="11">
        <v>0</v>
      </c>
      <c r="S125" s="11">
        <v>0</v>
      </c>
      <c r="T125" s="10">
        <f t="shared" si="33"/>
        <v>1603</v>
      </c>
      <c r="U125" s="9">
        <f t="shared" si="43"/>
        <v>959</v>
      </c>
      <c r="V125" s="9">
        <f t="shared" si="44"/>
        <v>969</v>
      </c>
      <c r="W125" s="9">
        <f t="shared" si="45"/>
        <v>975</v>
      </c>
      <c r="X125" s="10"/>
      <c r="Y125" s="8"/>
      <c r="Z125" s="8"/>
      <c r="AA125" s="8"/>
      <c r="AB125" s="19"/>
    </row>
    <row r="126" spans="1:28" ht="13.15" customHeight="1">
      <c r="A126" s="18">
        <v>112</v>
      </c>
      <c r="B126" s="17">
        <f t="shared" si="34"/>
        <v>45363</v>
      </c>
      <c r="C126" s="13">
        <f t="shared" si="35"/>
        <v>1069</v>
      </c>
      <c r="D126" s="12">
        <f t="shared" si="46"/>
        <v>1501</v>
      </c>
      <c r="E126" s="11">
        <f t="shared" si="27"/>
        <v>911</v>
      </c>
      <c r="F126" s="11">
        <f t="shared" si="28"/>
        <v>921</v>
      </c>
      <c r="G126" s="11">
        <f t="shared" si="29"/>
        <v>945</v>
      </c>
      <c r="H126" s="8">
        <f t="shared" si="30"/>
        <v>1659</v>
      </c>
      <c r="I126" s="8">
        <f t="shared" si="31"/>
        <v>1649</v>
      </c>
      <c r="J126" s="8">
        <f t="shared" si="32"/>
        <v>1625</v>
      </c>
      <c r="K126" s="8">
        <f t="shared" si="47"/>
        <v>2000</v>
      </c>
      <c r="L126" s="8">
        <f t="shared" si="48"/>
        <v>2000</v>
      </c>
      <c r="M126" s="8">
        <f t="shared" si="49"/>
        <v>2000</v>
      </c>
      <c r="N126" s="8">
        <f t="shared" si="40"/>
        <v>-341</v>
      </c>
      <c r="O126" s="8">
        <f t="shared" si="41"/>
        <v>-351</v>
      </c>
      <c r="P126" s="8">
        <f t="shared" si="42"/>
        <v>-375</v>
      </c>
      <c r="Q126" s="11">
        <v>0</v>
      </c>
      <c r="R126" s="11">
        <v>0</v>
      </c>
      <c r="S126" s="11">
        <v>0</v>
      </c>
      <c r="T126" s="10">
        <f t="shared" si="33"/>
        <v>1601</v>
      </c>
      <c r="U126" s="9">
        <f t="shared" si="43"/>
        <v>959</v>
      </c>
      <c r="V126" s="9">
        <f t="shared" si="44"/>
        <v>969</v>
      </c>
      <c r="W126" s="9">
        <f t="shared" si="45"/>
        <v>975</v>
      </c>
      <c r="X126" s="10"/>
      <c r="Y126" s="8"/>
      <c r="Z126" s="8"/>
      <c r="AA126" s="8"/>
      <c r="AB126" s="19"/>
    </row>
    <row r="127" spans="1:28" ht="13.15" customHeight="1">
      <c r="A127" s="18">
        <v>113</v>
      </c>
      <c r="B127" s="17">
        <f t="shared" si="34"/>
        <v>45364</v>
      </c>
      <c r="C127" s="13">
        <f t="shared" si="35"/>
        <v>1069</v>
      </c>
      <c r="D127" s="12">
        <f t="shared" ref="D127:D190" si="50">D126+2</f>
        <v>1503</v>
      </c>
      <c r="E127" s="11">
        <f t="shared" si="27"/>
        <v>913</v>
      </c>
      <c r="F127" s="11">
        <f t="shared" si="28"/>
        <v>923</v>
      </c>
      <c r="G127" s="11">
        <f t="shared" si="29"/>
        <v>947</v>
      </c>
      <c r="H127" s="8">
        <f t="shared" si="30"/>
        <v>1659</v>
      </c>
      <c r="I127" s="8">
        <f t="shared" si="31"/>
        <v>1649</v>
      </c>
      <c r="J127" s="8">
        <f t="shared" si="32"/>
        <v>1625</v>
      </c>
      <c r="K127" s="8">
        <f t="shared" si="47"/>
        <v>2000</v>
      </c>
      <c r="L127" s="8">
        <f t="shared" si="48"/>
        <v>2000</v>
      </c>
      <c r="M127" s="8">
        <f t="shared" si="49"/>
        <v>2000</v>
      </c>
      <c r="N127" s="8">
        <f t="shared" si="40"/>
        <v>-341</v>
      </c>
      <c r="O127" s="8">
        <f t="shared" si="41"/>
        <v>-351</v>
      </c>
      <c r="P127" s="8">
        <f t="shared" si="42"/>
        <v>-375</v>
      </c>
      <c r="Q127" s="11">
        <v>0</v>
      </c>
      <c r="R127" s="11">
        <v>0</v>
      </c>
      <c r="S127" s="11">
        <v>0</v>
      </c>
      <c r="T127" s="10">
        <f t="shared" si="33"/>
        <v>1603</v>
      </c>
      <c r="U127" s="9">
        <f t="shared" si="43"/>
        <v>959</v>
      </c>
      <c r="V127" s="9">
        <f t="shared" si="44"/>
        <v>969</v>
      </c>
      <c r="W127" s="9">
        <f t="shared" si="45"/>
        <v>975</v>
      </c>
      <c r="X127" s="10"/>
      <c r="Y127" s="8"/>
      <c r="Z127" s="8"/>
      <c r="AA127" s="8"/>
      <c r="AB127" s="19"/>
    </row>
    <row r="128" spans="1:28" ht="13.15" customHeight="1">
      <c r="A128" s="18">
        <v>114</v>
      </c>
      <c r="B128" s="17">
        <f t="shared" si="34"/>
        <v>45365</v>
      </c>
      <c r="C128" s="13">
        <f t="shared" si="35"/>
        <v>1069</v>
      </c>
      <c r="D128" s="12">
        <f t="shared" si="50"/>
        <v>1505</v>
      </c>
      <c r="E128" s="11">
        <f t="shared" si="27"/>
        <v>915</v>
      </c>
      <c r="F128" s="11">
        <f t="shared" si="28"/>
        <v>925</v>
      </c>
      <c r="G128" s="11">
        <f t="shared" si="29"/>
        <v>949</v>
      </c>
      <c r="H128" s="8">
        <f t="shared" si="30"/>
        <v>1659</v>
      </c>
      <c r="I128" s="8">
        <f t="shared" si="31"/>
        <v>1649</v>
      </c>
      <c r="J128" s="8">
        <f t="shared" si="32"/>
        <v>1625</v>
      </c>
      <c r="K128" s="8">
        <f t="shared" si="47"/>
        <v>2000</v>
      </c>
      <c r="L128" s="8">
        <f t="shared" si="48"/>
        <v>2000</v>
      </c>
      <c r="M128" s="8">
        <f t="shared" si="49"/>
        <v>2000</v>
      </c>
      <c r="N128" s="8">
        <f t="shared" si="40"/>
        <v>-341</v>
      </c>
      <c r="O128" s="8">
        <f t="shared" si="41"/>
        <v>-351</v>
      </c>
      <c r="P128" s="8">
        <f t="shared" si="42"/>
        <v>-375</v>
      </c>
      <c r="Q128" s="11">
        <v>0</v>
      </c>
      <c r="R128" s="11">
        <v>0</v>
      </c>
      <c r="S128" s="11">
        <v>0</v>
      </c>
      <c r="T128" s="10">
        <f t="shared" si="33"/>
        <v>1605</v>
      </c>
      <c r="U128" s="9">
        <f t="shared" si="43"/>
        <v>959</v>
      </c>
      <c r="V128" s="9">
        <f t="shared" si="44"/>
        <v>969</v>
      </c>
      <c r="W128" s="9">
        <f t="shared" si="45"/>
        <v>975</v>
      </c>
      <c r="X128" s="10"/>
      <c r="Y128" s="8"/>
      <c r="Z128" s="8"/>
      <c r="AA128" s="8"/>
      <c r="AB128" s="19"/>
    </row>
    <row r="129" spans="1:28" ht="13.15" customHeight="1">
      <c r="A129" s="18">
        <v>115</v>
      </c>
      <c r="B129" s="17">
        <f t="shared" si="34"/>
        <v>45366</v>
      </c>
      <c r="C129" s="13">
        <f t="shared" si="35"/>
        <v>1069</v>
      </c>
      <c r="D129" s="12">
        <f t="shared" si="50"/>
        <v>1507</v>
      </c>
      <c r="E129" s="11">
        <f t="shared" si="27"/>
        <v>917</v>
      </c>
      <c r="F129" s="11">
        <f t="shared" si="28"/>
        <v>927</v>
      </c>
      <c r="G129" s="11">
        <f t="shared" si="29"/>
        <v>951</v>
      </c>
      <c r="H129" s="8">
        <f t="shared" si="30"/>
        <v>1659</v>
      </c>
      <c r="I129" s="8">
        <f t="shared" si="31"/>
        <v>1649</v>
      </c>
      <c r="J129" s="8">
        <f t="shared" si="32"/>
        <v>1625</v>
      </c>
      <c r="K129" s="8">
        <f t="shared" si="47"/>
        <v>2000</v>
      </c>
      <c r="L129" s="8">
        <f t="shared" si="48"/>
        <v>2000</v>
      </c>
      <c r="M129" s="8">
        <f t="shared" si="49"/>
        <v>2000</v>
      </c>
      <c r="N129" s="8">
        <f t="shared" si="40"/>
        <v>-341</v>
      </c>
      <c r="O129" s="8">
        <f t="shared" si="41"/>
        <v>-351</v>
      </c>
      <c r="P129" s="8">
        <f t="shared" si="42"/>
        <v>-375</v>
      </c>
      <c r="Q129" s="11">
        <v>0</v>
      </c>
      <c r="R129" s="11">
        <v>0</v>
      </c>
      <c r="S129" s="11">
        <v>0</v>
      </c>
      <c r="T129" s="10">
        <f t="shared" si="33"/>
        <v>1607</v>
      </c>
      <c r="U129" s="9">
        <f t="shared" si="43"/>
        <v>959</v>
      </c>
      <c r="V129" s="9">
        <f t="shared" si="44"/>
        <v>969</v>
      </c>
      <c r="W129" s="9">
        <f t="shared" si="45"/>
        <v>975</v>
      </c>
      <c r="X129" s="10"/>
      <c r="Y129" s="8"/>
      <c r="Z129" s="8"/>
      <c r="AA129" s="8"/>
      <c r="AB129" s="19"/>
    </row>
    <row r="130" spans="1:28" ht="13.15" customHeight="1">
      <c r="A130" s="18">
        <v>116</v>
      </c>
      <c r="B130" s="17">
        <f t="shared" si="34"/>
        <v>45367</v>
      </c>
      <c r="C130" s="13">
        <f t="shared" si="35"/>
        <v>1069</v>
      </c>
      <c r="D130" s="12">
        <f t="shared" si="50"/>
        <v>1509</v>
      </c>
      <c r="E130" s="11">
        <f t="shared" si="27"/>
        <v>919</v>
      </c>
      <c r="F130" s="11">
        <f t="shared" si="28"/>
        <v>929</v>
      </c>
      <c r="G130" s="11">
        <f t="shared" si="29"/>
        <v>953</v>
      </c>
      <c r="H130" s="8">
        <f t="shared" si="30"/>
        <v>1659</v>
      </c>
      <c r="I130" s="8">
        <f t="shared" si="31"/>
        <v>1649</v>
      </c>
      <c r="J130" s="8">
        <f t="shared" si="32"/>
        <v>1625</v>
      </c>
      <c r="K130" s="8">
        <f t="shared" si="47"/>
        <v>2000</v>
      </c>
      <c r="L130" s="8">
        <f t="shared" si="48"/>
        <v>2000</v>
      </c>
      <c r="M130" s="8">
        <f t="shared" si="49"/>
        <v>2000</v>
      </c>
      <c r="N130" s="8">
        <f t="shared" si="40"/>
        <v>-341</v>
      </c>
      <c r="O130" s="8">
        <f t="shared" si="41"/>
        <v>-351</v>
      </c>
      <c r="P130" s="8">
        <f t="shared" si="42"/>
        <v>-375</v>
      </c>
      <c r="Q130" s="11">
        <v>0</v>
      </c>
      <c r="R130" s="11">
        <v>0</v>
      </c>
      <c r="S130" s="11">
        <v>0</v>
      </c>
      <c r="T130" s="10">
        <f t="shared" si="33"/>
        <v>1609</v>
      </c>
      <c r="U130" s="9">
        <f t="shared" si="43"/>
        <v>959</v>
      </c>
      <c r="V130" s="9">
        <f t="shared" si="44"/>
        <v>969</v>
      </c>
      <c r="W130" s="9">
        <f t="shared" si="45"/>
        <v>975</v>
      </c>
      <c r="X130" s="10"/>
      <c r="Y130" s="8"/>
      <c r="Z130" s="8"/>
      <c r="AA130" s="8"/>
      <c r="AB130" s="19"/>
    </row>
    <row r="131" spans="1:28" ht="13.15" customHeight="1">
      <c r="A131" s="18">
        <v>117</v>
      </c>
      <c r="B131" s="17">
        <f t="shared" si="34"/>
        <v>45368</v>
      </c>
      <c r="C131" s="13">
        <f t="shared" si="35"/>
        <v>1069</v>
      </c>
      <c r="D131" s="12">
        <f t="shared" si="50"/>
        <v>1511</v>
      </c>
      <c r="E131" s="11">
        <f t="shared" si="27"/>
        <v>921</v>
      </c>
      <c r="F131" s="11">
        <f t="shared" si="28"/>
        <v>931</v>
      </c>
      <c r="G131" s="11">
        <f t="shared" si="29"/>
        <v>955</v>
      </c>
      <c r="H131" s="8">
        <f t="shared" si="30"/>
        <v>1659</v>
      </c>
      <c r="I131" s="8">
        <f t="shared" si="31"/>
        <v>1649</v>
      </c>
      <c r="J131" s="8">
        <f t="shared" si="32"/>
        <v>1625</v>
      </c>
      <c r="K131" s="8">
        <f t="shared" si="47"/>
        <v>2000</v>
      </c>
      <c r="L131" s="8">
        <f t="shared" si="48"/>
        <v>2000</v>
      </c>
      <c r="M131" s="8">
        <f t="shared" si="49"/>
        <v>2000</v>
      </c>
      <c r="N131" s="8">
        <f t="shared" si="40"/>
        <v>-341</v>
      </c>
      <c r="O131" s="8">
        <f t="shared" si="41"/>
        <v>-351</v>
      </c>
      <c r="P131" s="8">
        <f t="shared" si="42"/>
        <v>-375</v>
      </c>
      <c r="Q131" s="11">
        <v>0</v>
      </c>
      <c r="R131" s="11">
        <v>0</v>
      </c>
      <c r="S131" s="11">
        <v>0</v>
      </c>
      <c r="T131" s="10">
        <f t="shared" si="33"/>
        <v>1611</v>
      </c>
      <c r="U131" s="9">
        <f t="shared" si="43"/>
        <v>959</v>
      </c>
      <c r="V131" s="9">
        <f t="shared" si="44"/>
        <v>969</v>
      </c>
      <c r="W131" s="9">
        <f t="shared" si="45"/>
        <v>975</v>
      </c>
      <c r="X131" s="10"/>
      <c r="Y131" s="8"/>
      <c r="Z131" s="8"/>
      <c r="AA131" s="8"/>
      <c r="AB131" s="19"/>
    </row>
    <row r="132" spans="1:28" ht="13.15" customHeight="1">
      <c r="A132" s="18">
        <v>118</v>
      </c>
      <c r="B132" s="17">
        <f t="shared" si="34"/>
        <v>45369</v>
      </c>
      <c r="C132" s="13">
        <f t="shared" si="35"/>
        <v>1069</v>
      </c>
      <c r="D132" s="12">
        <f t="shared" si="50"/>
        <v>1513</v>
      </c>
      <c r="E132" s="11">
        <f t="shared" si="27"/>
        <v>923</v>
      </c>
      <c r="F132" s="11">
        <f t="shared" si="28"/>
        <v>933</v>
      </c>
      <c r="G132" s="11">
        <f t="shared" si="29"/>
        <v>957</v>
      </c>
      <c r="H132" s="8">
        <f t="shared" si="30"/>
        <v>1659</v>
      </c>
      <c r="I132" s="8">
        <f t="shared" si="31"/>
        <v>1649</v>
      </c>
      <c r="J132" s="8">
        <f t="shared" si="32"/>
        <v>1625</v>
      </c>
      <c r="K132" s="8">
        <f t="shared" si="47"/>
        <v>2000</v>
      </c>
      <c r="L132" s="8">
        <f t="shared" si="48"/>
        <v>2000</v>
      </c>
      <c r="M132" s="8">
        <f t="shared" si="49"/>
        <v>2000</v>
      </c>
      <c r="N132" s="8">
        <f t="shared" si="40"/>
        <v>-341</v>
      </c>
      <c r="O132" s="8">
        <f t="shared" si="41"/>
        <v>-351</v>
      </c>
      <c r="P132" s="8">
        <f t="shared" si="42"/>
        <v>-375</v>
      </c>
      <c r="Q132" s="11">
        <v>0</v>
      </c>
      <c r="R132" s="11">
        <v>0</v>
      </c>
      <c r="S132" s="11">
        <v>0</v>
      </c>
      <c r="T132" s="10">
        <f t="shared" si="33"/>
        <v>1613</v>
      </c>
      <c r="U132" s="9">
        <f t="shared" si="43"/>
        <v>959</v>
      </c>
      <c r="V132" s="9">
        <f t="shared" si="44"/>
        <v>969</v>
      </c>
      <c r="W132" s="9">
        <f t="shared" si="45"/>
        <v>975</v>
      </c>
      <c r="X132" s="10"/>
      <c r="Y132" s="8"/>
      <c r="Z132" s="8"/>
      <c r="AA132" s="8"/>
      <c r="AB132" s="19"/>
    </row>
    <row r="133" spans="1:28" ht="13.15" customHeight="1">
      <c r="A133" s="18">
        <v>119</v>
      </c>
      <c r="B133" s="17">
        <f t="shared" si="34"/>
        <v>45370</v>
      </c>
      <c r="C133" s="13">
        <f t="shared" si="35"/>
        <v>1069</v>
      </c>
      <c r="D133" s="12">
        <f t="shared" si="50"/>
        <v>1515</v>
      </c>
      <c r="E133" s="11">
        <f t="shared" si="27"/>
        <v>925</v>
      </c>
      <c r="F133" s="11">
        <f t="shared" si="28"/>
        <v>935</v>
      </c>
      <c r="G133" s="11">
        <f t="shared" si="29"/>
        <v>959</v>
      </c>
      <c r="H133" s="8">
        <f t="shared" si="30"/>
        <v>1659</v>
      </c>
      <c r="I133" s="8">
        <f t="shared" si="31"/>
        <v>1649</v>
      </c>
      <c r="J133" s="8">
        <f t="shared" si="32"/>
        <v>1625</v>
      </c>
      <c r="K133" s="8">
        <f t="shared" si="47"/>
        <v>2000</v>
      </c>
      <c r="L133" s="8">
        <f t="shared" si="48"/>
        <v>2000</v>
      </c>
      <c r="M133" s="8">
        <f t="shared" si="49"/>
        <v>2000</v>
      </c>
      <c r="N133" s="8">
        <f t="shared" si="40"/>
        <v>-341</v>
      </c>
      <c r="O133" s="8">
        <f t="shared" si="41"/>
        <v>-351</v>
      </c>
      <c r="P133" s="8">
        <f t="shared" si="42"/>
        <v>-375</v>
      </c>
      <c r="Q133" s="11">
        <v>0</v>
      </c>
      <c r="R133" s="11">
        <v>0</v>
      </c>
      <c r="S133" s="11">
        <v>0</v>
      </c>
      <c r="T133" s="10">
        <f t="shared" si="33"/>
        <v>1615</v>
      </c>
      <c r="U133" s="9">
        <f t="shared" si="43"/>
        <v>959</v>
      </c>
      <c r="V133" s="9">
        <f t="shared" si="44"/>
        <v>969</v>
      </c>
      <c r="W133" s="9">
        <f t="shared" si="45"/>
        <v>975</v>
      </c>
      <c r="X133" s="10"/>
      <c r="Y133" s="8"/>
      <c r="Z133" s="8"/>
      <c r="AA133" s="8"/>
      <c r="AB133" s="19"/>
    </row>
    <row r="134" spans="1:28" ht="13.15" customHeight="1">
      <c r="A134" s="18">
        <v>120</v>
      </c>
      <c r="B134" s="17">
        <f t="shared" si="34"/>
        <v>45371</v>
      </c>
      <c r="C134" s="13">
        <f t="shared" si="35"/>
        <v>1069</v>
      </c>
      <c r="D134" s="12">
        <f t="shared" si="50"/>
        <v>1517</v>
      </c>
      <c r="E134" s="11">
        <f t="shared" si="27"/>
        <v>927</v>
      </c>
      <c r="F134" s="11">
        <f t="shared" si="28"/>
        <v>937</v>
      </c>
      <c r="G134" s="11">
        <f t="shared" si="29"/>
        <v>961</v>
      </c>
      <c r="H134" s="8">
        <f t="shared" si="30"/>
        <v>1659</v>
      </c>
      <c r="I134" s="8">
        <f t="shared" si="31"/>
        <v>1649</v>
      </c>
      <c r="J134" s="8">
        <f t="shared" si="32"/>
        <v>1625</v>
      </c>
      <c r="K134" s="8">
        <f t="shared" si="47"/>
        <v>2000</v>
      </c>
      <c r="L134" s="8">
        <f t="shared" si="48"/>
        <v>2000</v>
      </c>
      <c r="M134" s="8">
        <f t="shared" si="49"/>
        <v>2000</v>
      </c>
      <c r="N134" s="8">
        <f t="shared" si="40"/>
        <v>-341</v>
      </c>
      <c r="O134" s="8">
        <f t="shared" si="41"/>
        <v>-351</v>
      </c>
      <c r="P134" s="8">
        <f t="shared" si="42"/>
        <v>-375</v>
      </c>
      <c r="Q134" s="11">
        <v>0</v>
      </c>
      <c r="R134" s="11">
        <v>0</v>
      </c>
      <c r="S134" s="11">
        <v>0</v>
      </c>
      <c r="T134" s="10">
        <f t="shared" si="33"/>
        <v>1617</v>
      </c>
      <c r="U134" s="9">
        <f t="shared" si="43"/>
        <v>959</v>
      </c>
      <c r="V134" s="9">
        <f t="shared" si="44"/>
        <v>969</v>
      </c>
      <c r="W134" s="9">
        <f t="shared" si="45"/>
        <v>975</v>
      </c>
      <c r="X134" s="10"/>
      <c r="Y134" s="8"/>
      <c r="Z134" s="8"/>
      <c r="AA134" s="8"/>
      <c r="AB134" s="19"/>
    </row>
    <row r="135" spans="1:28" ht="13.15" customHeight="1">
      <c r="A135" s="18">
        <v>121</v>
      </c>
      <c r="B135" s="17">
        <f t="shared" si="34"/>
        <v>45372</v>
      </c>
      <c r="C135" s="13">
        <f t="shared" si="35"/>
        <v>1069</v>
      </c>
      <c r="D135" s="12">
        <f t="shared" si="50"/>
        <v>1519</v>
      </c>
      <c r="E135" s="11">
        <f t="shared" si="27"/>
        <v>929</v>
      </c>
      <c r="F135" s="11">
        <f t="shared" si="28"/>
        <v>939</v>
      </c>
      <c r="G135" s="11">
        <f t="shared" si="29"/>
        <v>963</v>
      </c>
      <c r="H135" s="8">
        <f t="shared" si="30"/>
        <v>1659</v>
      </c>
      <c r="I135" s="8">
        <f t="shared" si="31"/>
        <v>1649</v>
      </c>
      <c r="J135" s="8">
        <f t="shared" si="32"/>
        <v>1625</v>
      </c>
      <c r="K135" s="8">
        <f t="shared" si="47"/>
        <v>2000</v>
      </c>
      <c r="L135" s="8">
        <f t="shared" si="48"/>
        <v>2000</v>
      </c>
      <c r="M135" s="8">
        <f t="shared" si="49"/>
        <v>2000</v>
      </c>
      <c r="N135" s="8">
        <f t="shared" si="40"/>
        <v>-341</v>
      </c>
      <c r="O135" s="8">
        <f t="shared" si="41"/>
        <v>-351</v>
      </c>
      <c r="P135" s="8">
        <f t="shared" si="42"/>
        <v>-375</v>
      </c>
      <c r="Q135" s="11">
        <v>0</v>
      </c>
      <c r="R135" s="11">
        <v>0</v>
      </c>
      <c r="S135" s="11">
        <v>0</v>
      </c>
      <c r="T135" s="10">
        <f t="shared" si="33"/>
        <v>1619</v>
      </c>
      <c r="U135" s="9">
        <f t="shared" si="43"/>
        <v>959</v>
      </c>
      <c r="V135" s="9">
        <f t="shared" si="44"/>
        <v>969</v>
      </c>
      <c r="W135" s="9">
        <f t="shared" si="45"/>
        <v>975</v>
      </c>
      <c r="X135" s="10"/>
      <c r="Y135" s="8"/>
      <c r="Z135" s="8"/>
      <c r="AA135" s="8"/>
      <c r="AB135" s="19"/>
    </row>
    <row r="136" spans="1:28" ht="13.15" customHeight="1">
      <c r="A136" s="18">
        <v>122</v>
      </c>
      <c r="B136" s="17">
        <f t="shared" si="34"/>
        <v>45373</v>
      </c>
      <c r="C136" s="13">
        <f t="shared" si="35"/>
        <v>1069</v>
      </c>
      <c r="D136" s="12">
        <f t="shared" si="50"/>
        <v>1521</v>
      </c>
      <c r="E136" s="11">
        <f t="shared" si="27"/>
        <v>931</v>
      </c>
      <c r="F136" s="11">
        <f t="shared" si="28"/>
        <v>941</v>
      </c>
      <c r="G136" s="11">
        <f t="shared" si="29"/>
        <v>965</v>
      </c>
      <c r="H136" s="8">
        <f t="shared" si="30"/>
        <v>1659</v>
      </c>
      <c r="I136" s="8">
        <f t="shared" si="31"/>
        <v>1649</v>
      </c>
      <c r="J136" s="8">
        <f t="shared" si="32"/>
        <v>1625</v>
      </c>
      <c r="K136" s="8">
        <f t="shared" si="47"/>
        <v>2000</v>
      </c>
      <c r="L136" s="8">
        <f t="shared" si="48"/>
        <v>2000</v>
      </c>
      <c r="M136" s="8">
        <f t="shared" si="49"/>
        <v>2000</v>
      </c>
      <c r="N136" s="8">
        <f t="shared" si="40"/>
        <v>-341</v>
      </c>
      <c r="O136" s="8">
        <f t="shared" si="41"/>
        <v>-351</v>
      </c>
      <c r="P136" s="8">
        <f t="shared" si="42"/>
        <v>-375</v>
      </c>
      <c r="Q136" s="11">
        <v>0</v>
      </c>
      <c r="R136" s="11">
        <v>0</v>
      </c>
      <c r="S136" s="11">
        <v>0</v>
      </c>
      <c r="T136" s="10">
        <f t="shared" si="33"/>
        <v>1621</v>
      </c>
      <c r="U136" s="9">
        <f t="shared" si="43"/>
        <v>959</v>
      </c>
      <c r="V136" s="9">
        <f t="shared" si="44"/>
        <v>969</v>
      </c>
      <c r="W136" s="9">
        <f t="shared" si="45"/>
        <v>975</v>
      </c>
      <c r="X136" s="10"/>
      <c r="Y136" s="8"/>
      <c r="Z136" s="8"/>
      <c r="AA136" s="8"/>
      <c r="AB136" s="19"/>
    </row>
    <row r="137" spans="1:28" ht="13.15" customHeight="1">
      <c r="A137" s="18">
        <v>123</v>
      </c>
      <c r="B137" s="17">
        <f t="shared" si="34"/>
        <v>45374</v>
      </c>
      <c r="C137" s="13">
        <f t="shared" si="35"/>
        <v>1069</v>
      </c>
      <c r="D137" s="12">
        <f t="shared" si="50"/>
        <v>1523</v>
      </c>
      <c r="E137" s="11">
        <f t="shared" si="27"/>
        <v>933</v>
      </c>
      <c r="F137" s="11">
        <f t="shared" si="28"/>
        <v>943</v>
      </c>
      <c r="G137" s="11">
        <f t="shared" si="29"/>
        <v>967</v>
      </c>
      <c r="H137" s="8">
        <f t="shared" si="30"/>
        <v>1659</v>
      </c>
      <c r="I137" s="8">
        <f t="shared" si="31"/>
        <v>1649</v>
      </c>
      <c r="J137" s="8">
        <f t="shared" si="32"/>
        <v>1625</v>
      </c>
      <c r="K137" s="8">
        <f t="shared" si="47"/>
        <v>2000</v>
      </c>
      <c r="L137" s="8">
        <f t="shared" si="48"/>
        <v>2000</v>
      </c>
      <c r="M137" s="8">
        <f t="shared" si="49"/>
        <v>2000</v>
      </c>
      <c r="N137" s="8">
        <f t="shared" si="40"/>
        <v>-341</v>
      </c>
      <c r="O137" s="8">
        <f t="shared" si="41"/>
        <v>-351</v>
      </c>
      <c r="P137" s="8">
        <f t="shared" si="42"/>
        <v>-375</v>
      </c>
      <c r="Q137" s="11">
        <v>0</v>
      </c>
      <c r="R137" s="11">
        <v>0</v>
      </c>
      <c r="S137" s="11">
        <v>0</v>
      </c>
      <c r="T137" s="10">
        <f t="shared" si="33"/>
        <v>1623</v>
      </c>
      <c r="U137" s="9">
        <f t="shared" si="43"/>
        <v>959</v>
      </c>
      <c r="V137" s="9">
        <f t="shared" si="44"/>
        <v>969</v>
      </c>
      <c r="W137" s="9">
        <f t="shared" si="45"/>
        <v>975</v>
      </c>
      <c r="X137" s="10"/>
      <c r="Y137" s="8"/>
      <c r="Z137" s="8"/>
      <c r="AA137" s="8"/>
      <c r="AB137" s="19"/>
    </row>
    <row r="138" spans="1:28" ht="13.15" customHeight="1">
      <c r="A138" s="18">
        <v>124</v>
      </c>
      <c r="B138" s="17">
        <f t="shared" si="34"/>
        <v>45375</v>
      </c>
      <c r="C138" s="13">
        <f t="shared" si="35"/>
        <v>1069</v>
      </c>
      <c r="D138" s="12">
        <f t="shared" si="50"/>
        <v>1525</v>
      </c>
      <c r="E138" s="11">
        <f t="shared" si="27"/>
        <v>935</v>
      </c>
      <c r="F138" s="11">
        <f t="shared" si="28"/>
        <v>945</v>
      </c>
      <c r="G138" s="11">
        <f t="shared" si="29"/>
        <v>969</v>
      </c>
      <c r="H138" s="8">
        <f t="shared" si="30"/>
        <v>1659</v>
      </c>
      <c r="I138" s="8">
        <f t="shared" si="31"/>
        <v>1649</v>
      </c>
      <c r="J138" s="8">
        <f t="shared" si="32"/>
        <v>1625</v>
      </c>
      <c r="K138" s="8">
        <f t="shared" si="47"/>
        <v>2000</v>
      </c>
      <c r="L138" s="8">
        <f t="shared" si="48"/>
        <v>2000</v>
      </c>
      <c r="M138" s="8">
        <f t="shared" si="49"/>
        <v>2000</v>
      </c>
      <c r="N138" s="8">
        <f t="shared" si="40"/>
        <v>-341</v>
      </c>
      <c r="O138" s="8">
        <f t="shared" si="41"/>
        <v>-351</v>
      </c>
      <c r="P138" s="8">
        <f t="shared" si="42"/>
        <v>-375</v>
      </c>
      <c r="Q138" s="11">
        <v>0</v>
      </c>
      <c r="R138" s="11">
        <v>0</v>
      </c>
      <c r="S138" s="11">
        <v>0</v>
      </c>
      <c r="T138" s="10">
        <f t="shared" si="33"/>
        <v>1625</v>
      </c>
      <c r="U138" s="9">
        <f t="shared" si="43"/>
        <v>959</v>
      </c>
      <c r="V138" s="9">
        <f t="shared" si="44"/>
        <v>969</v>
      </c>
      <c r="W138" s="9">
        <f t="shared" si="45"/>
        <v>975</v>
      </c>
      <c r="X138" s="10"/>
      <c r="Y138" s="8"/>
      <c r="Z138" s="8"/>
      <c r="AA138" s="8"/>
      <c r="AB138" s="19"/>
    </row>
    <row r="139" spans="1:28" ht="13.15" customHeight="1">
      <c r="A139" s="18">
        <v>125</v>
      </c>
      <c r="B139" s="17">
        <f t="shared" si="34"/>
        <v>45376</v>
      </c>
      <c r="C139" s="13">
        <f t="shared" si="35"/>
        <v>1069</v>
      </c>
      <c r="D139" s="12">
        <f t="shared" si="50"/>
        <v>1527</v>
      </c>
      <c r="E139" s="11">
        <f t="shared" si="27"/>
        <v>937</v>
      </c>
      <c r="F139" s="11">
        <f t="shared" si="28"/>
        <v>947</v>
      </c>
      <c r="G139" s="11">
        <f t="shared" si="29"/>
        <v>971</v>
      </c>
      <c r="H139" s="8">
        <f t="shared" si="30"/>
        <v>1659</v>
      </c>
      <c r="I139" s="8">
        <f t="shared" si="31"/>
        <v>1649</v>
      </c>
      <c r="J139" s="8">
        <f t="shared" si="32"/>
        <v>1625</v>
      </c>
      <c r="K139" s="8">
        <f t="shared" si="47"/>
        <v>2000</v>
      </c>
      <c r="L139" s="8">
        <f t="shared" si="48"/>
        <v>2000</v>
      </c>
      <c r="M139" s="8">
        <f t="shared" si="49"/>
        <v>2000</v>
      </c>
      <c r="N139" s="8">
        <f t="shared" si="40"/>
        <v>-341</v>
      </c>
      <c r="O139" s="8">
        <f t="shared" si="41"/>
        <v>-351</v>
      </c>
      <c r="P139" s="8">
        <f t="shared" si="42"/>
        <v>-375</v>
      </c>
      <c r="Q139" s="11">
        <v>0</v>
      </c>
      <c r="R139" s="11">
        <v>0</v>
      </c>
      <c r="S139" s="11">
        <v>0</v>
      </c>
      <c r="T139" s="10">
        <f t="shared" si="33"/>
        <v>1627</v>
      </c>
      <c r="U139" s="9">
        <f t="shared" si="43"/>
        <v>959</v>
      </c>
      <c r="V139" s="9">
        <f t="shared" si="44"/>
        <v>969</v>
      </c>
      <c r="W139" s="9">
        <f t="shared" si="45"/>
        <v>975</v>
      </c>
      <c r="X139" s="10"/>
      <c r="Y139" s="8"/>
      <c r="Z139" s="8"/>
      <c r="AA139" s="8"/>
      <c r="AB139" s="19"/>
    </row>
    <row r="140" spans="1:28" ht="13.15" customHeight="1">
      <c r="A140" s="18">
        <v>126</v>
      </c>
      <c r="B140" s="17">
        <f t="shared" si="34"/>
        <v>45377</v>
      </c>
      <c r="C140" s="13">
        <f t="shared" si="35"/>
        <v>1069</v>
      </c>
      <c r="D140" s="12">
        <f t="shared" si="50"/>
        <v>1529</v>
      </c>
      <c r="E140" s="11">
        <f t="shared" si="27"/>
        <v>939</v>
      </c>
      <c r="F140" s="11">
        <f t="shared" si="28"/>
        <v>949</v>
      </c>
      <c r="G140" s="11">
        <f t="shared" si="29"/>
        <v>973</v>
      </c>
      <c r="H140" s="8">
        <f t="shared" si="30"/>
        <v>1659</v>
      </c>
      <c r="I140" s="8">
        <f t="shared" si="31"/>
        <v>1649</v>
      </c>
      <c r="J140" s="8">
        <f t="shared" si="32"/>
        <v>1625</v>
      </c>
      <c r="K140" s="8">
        <f t="shared" si="47"/>
        <v>2000</v>
      </c>
      <c r="L140" s="8">
        <f t="shared" si="48"/>
        <v>2000</v>
      </c>
      <c r="M140" s="8">
        <f t="shared" si="49"/>
        <v>2000</v>
      </c>
      <c r="N140" s="8">
        <f t="shared" si="40"/>
        <v>-341</v>
      </c>
      <c r="O140" s="8">
        <f t="shared" si="41"/>
        <v>-351</v>
      </c>
      <c r="P140" s="8">
        <f t="shared" si="42"/>
        <v>-375</v>
      </c>
      <c r="Q140" s="11">
        <v>0</v>
      </c>
      <c r="R140" s="11">
        <v>0</v>
      </c>
      <c r="S140" s="11">
        <v>0</v>
      </c>
      <c r="T140" s="10">
        <f t="shared" si="33"/>
        <v>1629</v>
      </c>
      <c r="U140" s="9">
        <f t="shared" si="43"/>
        <v>959</v>
      </c>
      <c r="V140" s="9">
        <f t="shared" si="44"/>
        <v>969</v>
      </c>
      <c r="W140" s="9">
        <f t="shared" si="45"/>
        <v>975</v>
      </c>
      <c r="X140" s="10"/>
      <c r="Y140" s="8"/>
      <c r="Z140" s="8"/>
      <c r="AA140" s="8"/>
      <c r="AB140" s="19"/>
    </row>
    <row r="141" spans="1:28" ht="13.15" customHeight="1">
      <c r="A141" s="18">
        <v>127</v>
      </c>
      <c r="B141" s="17">
        <f t="shared" si="34"/>
        <v>45378</v>
      </c>
      <c r="C141" s="13">
        <f t="shared" si="35"/>
        <v>1069</v>
      </c>
      <c r="D141" s="12">
        <f t="shared" si="50"/>
        <v>1531</v>
      </c>
      <c r="E141" s="11">
        <f t="shared" si="27"/>
        <v>941</v>
      </c>
      <c r="F141" s="11">
        <f t="shared" si="28"/>
        <v>951</v>
      </c>
      <c r="G141" s="11">
        <f t="shared" si="29"/>
        <v>975</v>
      </c>
      <c r="H141" s="8">
        <f t="shared" si="30"/>
        <v>1659</v>
      </c>
      <c r="I141" s="8">
        <f t="shared" si="31"/>
        <v>1649</v>
      </c>
      <c r="J141" s="8">
        <f t="shared" si="32"/>
        <v>1625</v>
      </c>
      <c r="K141" s="8">
        <f t="shared" si="47"/>
        <v>2000</v>
      </c>
      <c r="L141" s="8">
        <f t="shared" si="48"/>
        <v>2000</v>
      </c>
      <c r="M141" s="8">
        <f t="shared" si="49"/>
        <v>2000</v>
      </c>
      <c r="N141" s="8">
        <f t="shared" si="40"/>
        <v>-341</v>
      </c>
      <c r="O141" s="8">
        <f t="shared" si="41"/>
        <v>-351</v>
      </c>
      <c r="P141" s="8">
        <f t="shared" si="42"/>
        <v>-375</v>
      </c>
      <c r="Q141" s="11">
        <v>0</v>
      </c>
      <c r="R141" s="11">
        <v>0</v>
      </c>
      <c r="S141" s="11">
        <v>0</v>
      </c>
      <c r="T141" s="10">
        <f t="shared" si="33"/>
        <v>1631</v>
      </c>
      <c r="U141" s="9">
        <f t="shared" si="43"/>
        <v>959</v>
      </c>
      <c r="V141" s="9">
        <f t="shared" si="44"/>
        <v>969</v>
      </c>
      <c r="W141" s="9">
        <f t="shared" si="45"/>
        <v>975</v>
      </c>
      <c r="X141" s="10"/>
      <c r="Y141" s="8"/>
      <c r="Z141" s="8"/>
      <c r="AA141" s="8"/>
      <c r="AB141" s="19"/>
    </row>
    <row r="142" spans="1:28" ht="13.15" customHeight="1">
      <c r="A142" s="18">
        <v>128</v>
      </c>
      <c r="B142" s="17">
        <f t="shared" si="34"/>
        <v>45379</v>
      </c>
      <c r="C142" s="13">
        <f t="shared" si="35"/>
        <v>1069</v>
      </c>
      <c r="D142" s="12">
        <f t="shared" si="50"/>
        <v>1533</v>
      </c>
      <c r="E142" s="11">
        <f t="shared" ref="E142:E205" si="51">C142+D142-H142</f>
        <v>943</v>
      </c>
      <c r="F142" s="11">
        <f t="shared" ref="F142:F205" si="52">C142+D142-I142</f>
        <v>953</v>
      </c>
      <c r="G142" s="11">
        <f t="shared" ref="G142:G205" si="53">D142+C142-J142</f>
        <v>977</v>
      </c>
      <c r="H142" s="8">
        <f t="shared" ref="H142:H205" si="54">K142+N142</f>
        <v>1659</v>
      </c>
      <c r="I142" s="8">
        <f t="shared" ref="I142:I205" si="55">L142+O142</f>
        <v>1649</v>
      </c>
      <c r="J142" s="8">
        <f t="shared" ref="J142:J205" si="56">M142+P142</f>
        <v>1625</v>
      </c>
      <c r="K142" s="8">
        <f t="shared" si="47"/>
        <v>2000</v>
      </c>
      <c r="L142" s="8">
        <f t="shared" si="48"/>
        <v>2000</v>
      </c>
      <c r="M142" s="8">
        <f t="shared" si="49"/>
        <v>2000</v>
      </c>
      <c r="N142" s="8">
        <f t="shared" si="40"/>
        <v>-341</v>
      </c>
      <c r="O142" s="8">
        <f t="shared" si="41"/>
        <v>-351</v>
      </c>
      <c r="P142" s="8">
        <f t="shared" si="42"/>
        <v>-375</v>
      </c>
      <c r="Q142" s="11">
        <v>0</v>
      </c>
      <c r="R142" s="11">
        <v>0</v>
      </c>
      <c r="S142" s="11">
        <v>0</v>
      </c>
      <c r="T142" s="10">
        <f t="shared" ref="T142:T205" si="57">D142+C142-V142</f>
        <v>1633</v>
      </c>
      <c r="U142" s="9">
        <f t="shared" si="43"/>
        <v>959</v>
      </c>
      <c r="V142" s="9">
        <f t="shared" si="44"/>
        <v>969</v>
      </c>
      <c r="W142" s="9">
        <f t="shared" si="45"/>
        <v>975</v>
      </c>
      <c r="X142" s="10"/>
      <c r="Y142" s="8"/>
      <c r="Z142" s="8"/>
      <c r="AA142" s="8"/>
      <c r="AB142" s="19"/>
    </row>
    <row r="143" spans="1:28" ht="13.15" customHeight="1">
      <c r="A143" s="18">
        <v>129</v>
      </c>
      <c r="B143" s="17">
        <f t="shared" ref="B143:B206" si="58">B142+1</f>
        <v>45380</v>
      </c>
      <c r="C143" s="13">
        <f t="shared" ref="C143:C206" si="59">C142</f>
        <v>1069</v>
      </c>
      <c r="D143" s="12">
        <f t="shared" si="50"/>
        <v>1535</v>
      </c>
      <c r="E143" s="11">
        <f t="shared" si="51"/>
        <v>945</v>
      </c>
      <c r="F143" s="11">
        <f t="shared" si="52"/>
        <v>955</v>
      </c>
      <c r="G143" s="11">
        <f t="shared" si="53"/>
        <v>979</v>
      </c>
      <c r="H143" s="8">
        <f t="shared" si="54"/>
        <v>1659</v>
      </c>
      <c r="I143" s="8">
        <f t="shared" si="55"/>
        <v>1649</v>
      </c>
      <c r="J143" s="8">
        <f t="shared" si="56"/>
        <v>1625</v>
      </c>
      <c r="K143" s="8">
        <f t="shared" ref="K143:K172" si="60">K142</f>
        <v>2000</v>
      </c>
      <c r="L143" s="8">
        <f t="shared" ref="L143:L172" si="61">L142</f>
        <v>2000</v>
      </c>
      <c r="M143" s="8">
        <f t="shared" ref="M143:M172" si="62">M142</f>
        <v>2000</v>
      </c>
      <c r="N143" s="8">
        <f t="shared" ref="N143:N206" si="63">N142-Q143</f>
        <v>-341</v>
      </c>
      <c r="O143" s="8">
        <f t="shared" ref="O143:O206" si="64">O142-R143</f>
        <v>-351</v>
      </c>
      <c r="P143" s="8">
        <f t="shared" ref="P143:P206" si="65">P142-S143</f>
        <v>-375</v>
      </c>
      <c r="Q143" s="11">
        <v>0</v>
      </c>
      <c r="R143" s="11">
        <v>0</v>
      </c>
      <c r="S143" s="11">
        <v>0</v>
      </c>
      <c r="T143" s="10">
        <f t="shared" si="57"/>
        <v>1635</v>
      </c>
      <c r="U143" s="9">
        <f t="shared" si="43"/>
        <v>959</v>
      </c>
      <c r="V143" s="9">
        <f t="shared" si="44"/>
        <v>969</v>
      </c>
      <c r="W143" s="9">
        <f t="shared" si="45"/>
        <v>975</v>
      </c>
      <c r="X143" s="10"/>
      <c r="Y143" s="8"/>
      <c r="Z143" s="8"/>
      <c r="AA143" s="8"/>
      <c r="AB143" s="19"/>
    </row>
    <row r="144" spans="1:28" ht="13.15" customHeight="1">
      <c r="A144" s="18">
        <v>130</v>
      </c>
      <c r="B144" s="17">
        <f t="shared" si="58"/>
        <v>45381</v>
      </c>
      <c r="C144" s="13">
        <f t="shared" si="59"/>
        <v>1069</v>
      </c>
      <c r="D144" s="12">
        <f t="shared" si="50"/>
        <v>1537</v>
      </c>
      <c r="E144" s="11">
        <f t="shared" si="51"/>
        <v>947</v>
      </c>
      <c r="F144" s="11">
        <f t="shared" si="52"/>
        <v>957</v>
      </c>
      <c r="G144" s="11">
        <f t="shared" si="53"/>
        <v>981</v>
      </c>
      <c r="H144" s="8">
        <f t="shared" si="54"/>
        <v>1659</v>
      </c>
      <c r="I144" s="8">
        <f t="shared" si="55"/>
        <v>1649</v>
      </c>
      <c r="J144" s="8">
        <f t="shared" si="56"/>
        <v>1625</v>
      </c>
      <c r="K144" s="8">
        <f t="shared" si="60"/>
        <v>2000</v>
      </c>
      <c r="L144" s="8">
        <f t="shared" si="61"/>
        <v>2000</v>
      </c>
      <c r="M144" s="8">
        <f t="shared" si="62"/>
        <v>2000</v>
      </c>
      <c r="N144" s="8">
        <f t="shared" si="63"/>
        <v>-341</v>
      </c>
      <c r="O144" s="8">
        <f t="shared" si="64"/>
        <v>-351</v>
      </c>
      <c r="P144" s="8">
        <f t="shared" si="65"/>
        <v>-375</v>
      </c>
      <c r="Q144" s="11">
        <v>0</v>
      </c>
      <c r="R144" s="11">
        <v>0</v>
      </c>
      <c r="S144" s="11">
        <v>0</v>
      </c>
      <c r="T144" s="10">
        <f t="shared" si="57"/>
        <v>1637</v>
      </c>
      <c r="U144" s="9">
        <f t="shared" si="43"/>
        <v>959</v>
      </c>
      <c r="V144" s="9">
        <f t="shared" si="44"/>
        <v>969</v>
      </c>
      <c r="W144" s="9">
        <f t="shared" si="45"/>
        <v>975</v>
      </c>
      <c r="X144" s="10"/>
      <c r="Y144" s="8"/>
      <c r="Z144" s="8"/>
      <c r="AA144" s="8"/>
      <c r="AB144" s="19"/>
    </row>
    <row r="145" spans="1:28" ht="13.15" customHeight="1">
      <c r="A145" s="18">
        <v>131</v>
      </c>
      <c r="B145" s="17">
        <f t="shared" si="58"/>
        <v>45382</v>
      </c>
      <c r="C145" s="13">
        <f t="shared" si="59"/>
        <v>1069</v>
      </c>
      <c r="D145" s="12">
        <f t="shared" si="50"/>
        <v>1539</v>
      </c>
      <c r="E145" s="11">
        <f t="shared" si="51"/>
        <v>949</v>
      </c>
      <c r="F145" s="11">
        <f t="shared" si="52"/>
        <v>959</v>
      </c>
      <c r="G145" s="11">
        <f t="shared" si="53"/>
        <v>983</v>
      </c>
      <c r="H145" s="8">
        <f t="shared" si="54"/>
        <v>1659</v>
      </c>
      <c r="I145" s="8">
        <f t="shared" si="55"/>
        <v>1649</v>
      </c>
      <c r="J145" s="8">
        <f t="shared" si="56"/>
        <v>1625</v>
      </c>
      <c r="K145" s="8">
        <f t="shared" si="60"/>
        <v>2000</v>
      </c>
      <c r="L145" s="8">
        <f t="shared" si="61"/>
        <v>2000</v>
      </c>
      <c r="M145" s="8">
        <f t="shared" si="62"/>
        <v>2000</v>
      </c>
      <c r="N145" s="8">
        <f t="shared" si="63"/>
        <v>-341</v>
      </c>
      <c r="O145" s="8">
        <f t="shared" si="64"/>
        <v>-351</v>
      </c>
      <c r="P145" s="8">
        <f t="shared" si="65"/>
        <v>-375</v>
      </c>
      <c r="Q145" s="11">
        <v>0</v>
      </c>
      <c r="R145" s="11">
        <v>0</v>
      </c>
      <c r="S145" s="11">
        <v>0</v>
      </c>
      <c r="T145" s="10">
        <f t="shared" si="57"/>
        <v>1639</v>
      </c>
      <c r="U145" s="9">
        <f t="shared" si="43"/>
        <v>959</v>
      </c>
      <c r="V145" s="9">
        <f t="shared" si="44"/>
        <v>969</v>
      </c>
      <c r="W145" s="9">
        <f t="shared" si="45"/>
        <v>975</v>
      </c>
      <c r="X145" s="10"/>
      <c r="Y145" s="8"/>
      <c r="Z145" s="8"/>
      <c r="AA145" s="8"/>
      <c r="AB145" s="19"/>
    </row>
    <row r="146" spans="1:28" ht="13.15" customHeight="1">
      <c r="A146" s="18">
        <v>132</v>
      </c>
      <c r="B146" s="17">
        <f t="shared" si="58"/>
        <v>45383</v>
      </c>
      <c r="C146" s="13">
        <f t="shared" si="59"/>
        <v>1069</v>
      </c>
      <c r="D146" s="12">
        <f t="shared" si="50"/>
        <v>1541</v>
      </c>
      <c r="E146" s="11">
        <f t="shared" si="51"/>
        <v>951</v>
      </c>
      <c r="F146" s="11">
        <f t="shared" si="52"/>
        <v>961</v>
      </c>
      <c r="G146" s="11">
        <f t="shared" si="53"/>
        <v>985</v>
      </c>
      <c r="H146" s="8">
        <f t="shared" si="54"/>
        <v>1659</v>
      </c>
      <c r="I146" s="8">
        <f t="shared" si="55"/>
        <v>1649</v>
      </c>
      <c r="J146" s="8">
        <f t="shared" si="56"/>
        <v>1625</v>
      </c>
      <c r="K146" s="8">
        <f t="shared" si="60"/>
        <v>2000</v>
      </c>
      <c r="L146" s="8">
        <f t="shared" si="61"/>
        <v>2000</v>
      </c>
      <c r="M146" s="8">
        <f t="shared" si="62"/>
        <v>2000</v>
      </c>
      <c r="N146" s="8">
        <f t="shared" si="63"/>
        <v>-341</v>
      </c>
      <c r="O146" s="8">
        <f t="shared" si="64"/>
        <v>-351</v>
      </c>
      <c r="P146" s="8">
        <f t="shared" si="65"/>
        <v>-375</v>
      </c>
      <c r="Q146" s="11">
        <v>0</v>
      </c>
      <c r="R146" s="11">
        <v>0</v>
      </c>
      <c r="S146" s="11">
        <v>0</v>
      </c>
      <c r="T146" s="10">
        <f t="shared" si="57"/>
        <v>1641</v>
      </c>
      <c r="U146" s="9">
        <f t="shared" si="43"/>
        <v>959</v>
      </c>
      <c r="V146" s="9">
        <f t="shared" si="44"/>
        <v>969</v>
      </c>
      <c r="W146" s="9">
        <f t="shared" si="45"/>
        <v>975</v>
      </c>
      <c r="X146" s="10"/>
      <c r="Y146" s="8"/>
      <c r="Z146" s="8"/>
      <c r="AA146" s="8"/>
      <c r="AB146" s="19"/>
    </row>
    <row r="147" spans="1:28" ht="13.15" customHeight="1">
      <c r="A147" s="18">
        <v>133</v>
      </c>
      <c r="B147" s="17">
        <f t="shared" si="58"/>
        <v>45384</v>
      </c>
      <c r="C147" s="13">
        <f t="shared" si="59"/>
        <v>1069</v>
      </c>
      <c r="D147" s="12">
        <f t="shared" si="50"/>
        <v>1543</v>
      </c>
      <c r="E147" s="11">
        <f t="shared" si="51"/>
        <v>953</v>
      </c>
      <c r="F147" s="11">
        <f t="shared" si="52"/>
        <v>963</v>
      </c>
      <c r="G147" s="11">
        <f t="shared" si="53"/>
        <v>987</v>
      </c>
      <c r="H147" s="8">
        <f t="shared" si="54"/>
        <v>1659</v>
      </c>
      <c r="I147" s="8">
        <f t="shared" si="55"/>
        <v>1649</v>
      </c>
      <c r="J147" s="8">
        <f t="shared" si="56"/>
        <v>1625</v>
      </c>
      <c r="K147" s="8">
        <f t="shared" si="60"/>
        <v>2000</v>
      </c>
      <c r="L147" s="8">
        <f t="shared" si="61"/>
        <v>2000</v>
      </c>
      <c r="M147" s="8">
        <f t="shared" si="62"/>
        <v>2000</v>
      </c>
      <c r="N147" s="8">
        <f t="shared" si="63"/>
        <v>-341</v>
      </c>
      <c r="O147" s="8">
        <f t="shared" si="64"/>
        <v>-351</v>
      </c>
      <c r="P147" s="8">
        <f t="shared" si="65"/>
        <v>-375</v>
      </c>
      <c r="Q147" s="11">
        <v>0</v>
      </c>
      <c r="R147" s="11">
        <v>0</v>
      </c>
      <c r="S147" s="11">
        <v>0</v>
      </c>
      <c r="T147" s="10">
        <f t="shared" si="57"/>
        <v>1643</v>
      </c>
      <c r="U147" s="9">
        <f t="shared" si="43"/>
        <v>959</v>
      </c>
      <c r="V147" s="9">
        <f t="shared" si="44"/>
        <v>969</v>
      </c>
      <c r="W147" s="9">
        <f t="shared" si="45"/>
        <v>975</v>
      </c>
      <c r="X147" s="10"/>
      <c r="Y147" s="8"/>
      <c r="Z147" s="8"/>
      <c r="AA147" s="8"/>
      <c r="AB147" s="19"/>
    </row>
    <row r="148" spans="1:28" ht="13.15" customHeight="1">
      <c r="A148" s="18">
        <v>134</v>
      </c>
      <c r="B148" s="17">
        <f t="shared" si="58"/>
        <v>45385</v>
      </c>
      <c r="C148" s="13">
        <f t="shared" si="59"/>
        <v>1069</v>
      </c>
      <c r="D148" s="12">
        <f t="shared" si="50"/>
        <v>1545</v>
      </c>
      <c r="E148" s="11">
        <f t="shared" si="51"/>
        <v>955</v>
      </c>
      <c r="F148" s="11">
        <f t="shared" si="52"/>
        <v>965</v>
      </c>
      <c r="G148" s="11">
        <f t="shared" si="53"/>
        <v>989</v>
      </c>
      <c r="H148" s="8">
        <f t="shared" si="54"/>
        <v>1659</v>
      </c>
      <c r="I148" s="8">
        <f t="shared" si="55"/>
        <v>1649</v>
      </c>
      <c r="J148" s="8">
        <f t="shared" si="56"/>
        <v>1625</v>
      </c>
      <c r="K148" s="8">
        <f t="shared" si="60"/>
        <v>2000</v>
      </c>
      <c r="L148" s="8">
        <f t="shared" si="61"/>
        <v>2000</v>
      </c>
      <c r="M148" s="8">
        <f t="shared" si="62"/>
        <v>2000</v>
      </c>
      <c r="N148" s="8">
        <f t="shared" si="63"/>
        <v>-341</v>
      </c>
      <c r="O148" s="8">
        <f t="shared" si="64"/>
        <v>-351</v>
      </c>
      <c r="P148" s="8">
        <f t="shared" si="65"/>
        <v>-375</v>
      </c>
      <c r="Q148" s="11">
        <v>0</v>
      </c>
      <c r="R148" s="11">
        <v>0</v>
      </c>
      <c r="S148" s="11">
        <v>0</v>
      </c>
      <c r="T148" s="10">
        <f t="shared" si="57"/>
        <v>1645</v>
      </c>
      <c r="U148" s="9">
        <f t="shared" si="43"/>
        <v>959</v>
      </c>
      <c r="V148" s="9">
        <f t="shared" si="44"/>
        <v>969</v>
      </c>
      <c r="W148" s="9">
        <f t="shared" si="45"/>
        <v>975</v>
      </c>
      <c r="X148" s="10"/>
      <c r="Y148" s="8"/>
      <c r="Z148" s="8"/>
      <c r="AA148" s="8"/>
      <c r="AB148" s="19"/>
    </row>
    <row r="149" spans="1:28" ht="13.15" customHeight="1">
      <c r="A149" s="18">
        <v>135</v>
      </c>
      <c r="B149" s="17">
        <f t="shared" si="58"/>
        <v>45386</v>
      </c>
      <c r="C149" s="13">
        <f t="shared" si="59"/>
        <v>1069</v>
      </c>
      <c r="D149" s="12">
        <f t="shared" si="50"/>
        <v>1547</v>
      </c>
      <c r="E149" s="11">
        <f t="shared" si="51"/>
        <v>957</v>
      </c>
      <c r="F149" s="11">
        <f t="shared" si="52"/>
        <v>967</v>
      </c>
      <c r="G149" s="11">
        <f t="shared" si="53"/>
        <v>991</v>
      </c>
      <c r="H149" s="8">
        <f t="shared" si="54"/>
        <v>1659</v>
      </c>
      <c r="I149" s="8">
        <f t="shared" si="55"/>
        <v>1649</v>
      </c>
      <c r="J149" s="8">
        <f t="shared" si="56"/>
        <v>1625</v>
      </c>
      <c r="K149" s="8">
        <f t="shared" si="60"/>
        <v>2000</v>
      </c>
      <c r="L149" s="8">
        <f t="shared" si="61"/>
        <v>2000</v>
      </c>
      <c r="M149" s="8">
        <f t="shared" si="62"/>
        <v>2000</v>
      </c>
      <c r="N149" s="8">
        <f t="shared" si="63"/>
        <v>-341</v>
      </c>
      <c r="O149" s="8">
        <f t="shared" si="64"/>
        <v>-351</v>
      </c>
      <c r="P149" s="8">
        <f t="shared" si="65"/>
        <v>-375</v>
      </c>
      <c r="Q149" s="11">
        <v>0</v>
      </c>
      <c r="R149" s="11">
        <v>0</v>
      </c>
      <c r="S149" s="11">
        <v>0</v>
      </c>
      <c r="T149" s="10">
        <f t="shared" si="57"/>
        <v>1647</v>
      </c>
      <c r="U149" s="9">
        <f t="shared" si="43"/>
        <v>959</v>
      </c>
      <c r="V149" s="9">
        <f t="shared" si="44"/>
        <v>969</v>
      </c>
      <c r="W149" s="9">
        <f t="shared" si="45"/>
        <v>975</v>
      </c>
      <c r="X149" s="10"/>
      <c r="Y149" s="8"/>
      <c r="Z149" s="8"/>
      <c r="AA149" s="8"/>
      <c r="AB149" s="19"/>
    </row>
    <row r="150" spans="1:28" ht="13.15" customHeight="1">
      <c r="A150" s="18">
        <v>136</v>
      </c>
      <c r="B150" s="17">
        <f t="shared" si="58"/>
        <v>45387</v>
      </c>
      <c r="C150" s="13">
        <f t="shared" si="59"/>
        <v>1069</v>
      </c>
      <c r="D150" s="12">
        <f t="shared" si="50"/>
        <v>1549</v>
      </c>
      <c r="E150" s="11">
        <f t="shared" si="51"/>
        <v>959</v>
      </c>
      <c r="F150" s="11">
        <f t="shared" si="52"/>
        <v>969</v>
      </c>
      <c r="G150" s="11">
        <f t="shared" si="53"/>
        <v>993</v>
      </c>
      <c r="H150" s="8">
        <f t="shared" si="54"/>
        <v>1659</v>
      </c>
      <c r="I150" s="8">
        <f t="shared" si="55"/>
        <v>1649</v>
      </c>
      <c r="J150" s="8">
        <f t="shared" si="56"/>
        <v>1625</v>
      </c>
      <c r="K150" s="8">
        <f t="shared" si="60"/>
        <v>2000</v>
      </c>
      <c r="L150" s="8">
        <f t="shared" si="61"/>
        <v>2000</v>
      </c>
      <c r="M150" s="8">
        <f t="shared" si="62"/>
        <v>2000</v>
      </c>
      <c r="N150" s="8">
        <f t="shared" si="63"/>
        <v>-341</v>
      </c>
      <c r="O150" s="8">
        <f t="shared" si="64"/>
        <v>-351</v>
      </c>
      <c r="P150" s="8">
        <f t="shared" si="65"/>
        <v>-375</v>
      </c>
      <c r="Q150" s="11">
        <v>0</v>
      </c>
      <c r="R150" s="11">
        <v>0</v>
      </c>
      <c r="S150" s="11">
        <v>0</v>
      </c>
      <c r="T150" s="10">
        <f t="shared" si="57"/>
        <v>1649</v>
      </c>
      <c r="U150" s="9">
        <f t="shared" si="43"/>
        <v>959</v>
      </c>
      <c r="V150" s="9">
        <f t="shared" si="44"/>
        <v>969</v>
      </c>
      <c r="W150" s="9">
        <f t="shared" si="45"/>
        <v>975</v>
      </c>
      <c r="X150" s="10"/>
      <c r="Y150" s="8"/>
      <c r="Z150" s="8"/>
      <c r="AA150" s="8"/>
      <c r="AB150" s="19"/>
    </row>
    <row r="151" spans="1:28" ht="13.15" customHeight="1">
      <c r="A151" s="18">
        <v>137</v>
      </c>
      <c r="B151" s="17">
        <f t="shared" si="58"/>
        <v>45388</v>
      </c>
      <c r="C151" s="13">
        <f t="shared" si="59"/>
        <v>1069</v>
      </c>
      <c r="D151" s="12">
        <f t="shared" si="50"/>
        <v>1551</v>
      </c>
      <c r="E151" s="11">
        <f t="shared" si="51"/>
        <v>961</v>
      </c>
      <c r="F151" s="11">
        <f t="shared" si="52"/>
        <v>971</v>
      </c>
      <c r="G151" s="11">
        <f t="shared" si="53"/>
        <v>995</v>
      </c>
      <c r="H151" s="8">
        <f t="shared" si="54"/>
        <v>1659</v>
      </c>
      <c r="I151" s="8">
        <f t="shared" si="55"/>
        <v>1649</v>
      </c>
      <c r="J151" s="8">
        <f t="shared" si="56"/>
        <v>1625</v>
      </c>
      <c r="K151" s="8">
        <f t="shared" si="60"/>
        <v>2000</v>
      </c>
      <c r="L151" s="8">
        <f t="shared" si="61"/>
        <v>2000</v>
      </c>
      <c r="M151" s="8">
        <f t="shared" si="62"/>
        <v>2000</v>
      </c>
      <c r="N151" s="8">
        <f t="shared" si="63"/>
        <v>-341</v>
      </c>
      <c r="O151" s="8">
        <f t="shared" si="64"/>
        <v>-351</v>
      </c>
      <c r="P151" s="8">
        <f t="shared" si="65"/>
        <v>-375</v>
      </c>
      <c r="Q151" s="11">
        <v>0</v>
      </c>
      <c r="R151" s="11">
        <v>0</v>
      </c>
      <c r="S151" s="11">
        <v>0</v>
      </c>
      <c r="T151" s="10">
        <f t="shared" si="57"/>
        <v>1651</v>
      </c>
      <c r="U151" s="9">
        <f t="shared" si="43"/>
        <v>959</v>
      </c>
      <c r="V151" s="9">
        <f t="shared" si="44"/>
        <v>969</v>
      </c>
      <c r="W151" s="9">
        <f t="shared" si="45"/>
        <v>975</v>
      </c>
      <c r="X151" s="10"/>
      <c r="Y151" s="8"/>
      <c r="Z151" s="8"/>
      <c r="AA151" s="8"/>
      <c r="AB151" s="19"/>
    </row>
    <row r="152" spans="1:28" ht="13.15" customHeight="1">
      <c r="A152" s="18">
        <v>138</v>
      </c>
      <c r="B152" s="17">
        <f t="shared" si="58"/>
        <v>45389</v>
      </c>
      <c r="C152" s="13">
        <f t="shared" si="59"/>
        <v>1069</v>
      </c>
      <c r="D152" s="12">
        <f t="shared" si="50"/>
        <v>1553</v>
      </c>
      <c r="E152" s="11">
        <f t="shared" si="51"/>
        <v>963</v>
      </c>
      <c r="F152" s="11">
        <f t="shared" si="52"/>
        <v>973</v>
      </c>
      <c r="G152" s="11">
        <f t="shared" si="53"/>
        <v>997</v>
      </c>
      <c r="H152" s="8">
        <f t="shared" si="54"/>
        <v>1659</v>
      </c>
      <c r="I152" s="8">
        <f t="shared" si="55"/>
        <v>1649</v>
      </c>
      <c r="J152" s="8">
        <f t="shared" si="56"/>
        <v>1625</v>
      </c>
      <c r="K152" s="8">
        <f t="shared" si="60"/>
        <v>2000</v>
      </c>
      <c r="L152" s="8">
        <f t="shared" si="61"/>
        <v>2000</v>
      </c>
      <c r="M152" s="8">
        <f t="shared" si="62"/>
        <v>2000</v>
      </c>
      <c r="N152" s="8">
        <f t="shared" si="63"/>
        <v>-341</v>
      </c>
      <c r="O152" s="8">
        <f t="shared" si="64"/>
        <v>-351</v>
      </c>
      <c r="P152" s="8">
        <f t="shared" si="65"/>
        <v>-375</v>
      </c>
      <c r="Q152" s="11">
        <v>0</v>
      </c>
      <c r="R152" s="11">
        <v>0</v>
      </c>
      <c r="S152" s="11">
        <v>0</v>
      </c>
      <c r="T152" s="10">
        <f t="shared" si="57"/>
        <v>1653</v>
      </c>
      <c r="U152" s="9">
        <f t="shared" si="43"/>
        <v>959</v>
      </c>
      <c r="V152" s="9">
        <f t="shared" si="44"/>
        <v>969</v>
      </c>
      <c r="W152" s="9">
        <f t="shared" si="45"/>
        <v>975</v>
      </c>
      <c r="X152" s="10"/>
      <c r="Y152" s="8"/>
      <c r="Z152" s="8"/>
      <c r="AA152" s="8"/>
      <c r="AB152" s="19"/>
    </row>
    <row r="153" spans="1:28" ht="13.15" customHeight="1">
      <c r="A153" s="18">
        <v>139</v>
      </c>
      <c r="B153" s="17">
        <f t="shared" si="58"/>
        <v>45390</v>
      </c>
      <c r="C153" s="13">
        <f t="shared" si="59"/>
        <v>1069</v>
      </c>
      <c r="D153" s="12">
        <f t="shared" si="50"/>
        <v>1555</v>
      </c>
      <c r="E153" s="11">
        <f t="shared" si="51"/>
        <v>965</v>
      </c>
      <c r="F153" s="11">
        <f t="shared" si="52"/>
        <v>975</v>
      </c>
      <c r="G153" s="11">
        <f t="shared" si="53"/>
        <v>999</v>
      </c>
      <c r="H153" s="8">
        <f t="shared" si="54"/>
        <v>1659</v>
      </c>
      <c r="I153" s="8">
        <f t="shared" si="55"/>
        <v>1649</v>
      </c>
      <c r="J153" s="8">
        <f t="shared" si="56"/>
        <v>1625</v>
      </c>
      <c r="K153" s="8">
        <f t="shared" si="60"/>
        <v>2000</v>
      </c>
      <c r="L153" s="8">
        <f t="shared" si="61"/>
        <v>2000</v>
      </c>
      <c r="M153" s="8">
        <f t="shared" si="62"/>
        <v>2000</v>
      </c>
      <c r="N153" s="8">
        <f t="shared" si="63"/>
        <v>-341</v>
      </c>
      <c r="O153" s="8">
        <f t="shared" si="64"/>
        <v>-351</v>
      </c>
      <c r="P153" s="8">
        <f t="shared" si="65"/>
        <v>-375</v>
      </c>
      <c r="Q153" s="11">
        <v>0</v>
      </c>
      <c r="R153" s="11">
        <v>0</v>
      </c>
      <c r="S153" s="11">
        <v>0</v>
      </c>
      <c r="T153" s="10">
        <f t="shared" si="57"/>
        <v>1655</v>
      </c>
      <c r="U153" s="9">
        <f t="shared" si="43"/>
        <v>959</v>
      </c>
      <c r="V153" s="9">
        <f t="shared" si="44"/>
        <v>969</v>
      </c>
      <c r="W153" s="9">
        <f t="shared" si="45"/>
        <v>975</v>
      </c>
      <c r="X153" s="10"/>
      <c r="Y153" s="8"/>
      <c r="Z153" s="8"/>
      <c r="AA153" s="8"/>
      <c r="AB153" s="19"/>
    </row>
    <row r="154" spans="1:28" ht="13.15" customHeight="1">
      <c r="A154" s="18">
        <v>140</v>
      </c>
      <c r="B154" s="17">
        <f t="shared" si="58"/>
        <v>45391</v>
      </c>
      <c r="C154" s="13">
        <f t="shared" si="59"/>
        <v>1069</v>
      </c>
      <c r="D154" s="12">
        <f t="shared" si="50"/>
        <v>1557</v>
      </c>
      <c r="E154" s="11">
        <f t="shared" si="51"/>
        <v>967</v>
      </c>
      <c r="F154" s="11">
        <f t="shared" si="52"/>
        <v>977</v>
      </c>
      <c r="G154" s="11">
        <f t="shared" si="53"/>
        <v>1001</v>
      </c>
      <c r="H154" s="8">
        <f t="shared" si="54"/>
        <v>1659</v>
      </c>
      <c r="I154" s="8">
        <f t="shared" si="55"/>
        <v>1649</v>
      </c>
      <c r="J154" s="8">
        <f t="shared" si="56"/>
        <v>1625</v>
      </c>
      <c r="K154" s="8">
        <f t="shared" si="60"/>
        <v>2000</v>
      </c>
      <c r="L154" s="8">
        <f t="shared" si="61"/>
        <v>2000</v>
      </c>
      <c r="M154" s="8">
        <f t="shared" si="62"/>
        <v>2000</v>
      </c>
      <c r="N154" s="8">
        <f t="shared" si="63"/>
        <v>-341</v>
      </c>
      <c r="O154" s="8">
        <f t="shared" si="64"/>
        <v>-351</v>
      </c>
      <c r="P154" s="8">
        <f t="shared" si="65"/>
        <v>-375</v>
      </c>
      <c r="Q154" s="11">
        <v>0</v>
      </c>
      <c r="R154" s="11">
        <v>0</v>
      </c>
      <c r="S154" s="11">
        <v>0</v>
      </c>
      <c r="T154" s="10">
        <f t="shared" si="57"/>
        <v>1657</v>
      </c>
      <c r="U154" s="9">
        <f t="shared" si="43"/>
        <v>959</v>
      </c>
      <c r="V154" s="9">
        <f t="shared" si="44"/>
        <v>969</v>
      </c>
      <c r="W154" s="9">
        <f t="shared" si="45"/>
        <v>975</v>
      </c>
      <c r="X154" s="10"/>
      <c r="Y154" s="8"/>
      <c r="Z154" s="8"/>
      <c r="AA154" s="8"/>
      <c r="AB154" s="19"/>
    </row>
    <row r="155" spans="1:28" ht="13.15" customHeight="1">
      <c r="A155" s="18">
        <v>141</v>
      </c>
      <c r="B155" s="17">
        <f t="shared" si="58"/>
        <v>45392</v>
      </c>
      <c r="C155" s="13">
        <f t="shared" si="59"/>
        <v>1069</v>
      </c>
      <c r="D155" s="12">
        <f t="shared" si="50"/>
        <v>1559</v>
      </c>
      <c r="E155" s="11">
        <f t="shared" si="51"/>
        <v>969</v>
      </c>
      <c r="F155" s="11">
        <f t="shared" si="52"/>
        <v>979</v>
      </c>
      <c r="G155" s="11">
        <f t="shared" si="53"/>
        <v>1003</v>
      </c>
      <c r="H155" s="8">
        <f t="shared" si="54"/>
        <v>1659</v>
      </c>
      <c r="I155" s="8">
        <f t="shared" si="55"/>
        <v>1649</v>
      </c>
      <c r="J155" s="8">
        <f t="shared" si="56"/>
        <v>1625</v>
      </c>
      <c r="K155" s="8">
        <f t="shared" si="60"/>
        <v>2000</v>
      </c>
      <c r="L155" s="8">
        <f t="shared" si="61"/>
        <v>2000</v>
      </c>
      <c r="M155" s="8">
        <f t="shared" si="62"/>
        <v>2000</v>
      </c>
      <c r="N155" s="8">
        <f t="shared" si="63"/>
        <v>-341</v>
      </c>
      <c r="O155" s="8">
        <f t="shared" si="64"/>
        <v>-351</v>
      </c>
      <c r="P155" s="8">
        <f t="shared" si="65"/>
        <v>-375</v>
      </c>
      <c r="Q155" s="11">
        <v>0</v>
      </c>
      <c r="R155" s="11">
        <v>0</v>
      </c>
      <c r="S155" s="11">
        <v>0</v>
      </c>
      <c r="T155" s="10">
        <f t="shared" si="57"/>
        <v>1659</v>
      </c>
      <c r="U155" s="9">
        <f t="shared" si="43"/>
        <v>959</v>
      </c>
      <c r="V155" s="9">
        <f t="shared" si="44"/>
        <v>969</v>
      </c>
      <c r="W155" s="9">
        <f t="shared" si="45"/>
        <v>975</v>
      </c>
      <c r="X155" s="10"/>
      <c r="Y155" s="8"/>
      <c r="Z155" s="8"/>
      <c r="AA155" s="8"/>
      <c r="AB155" s="19"/>
    </row>
    <row r="156" spans="1:28" ht="13.15" customHeight="1">
      <c r="A156" s="18">
        <v>142</v>
      </c>
      <c r="B156" s="17">
        <f t="shared" si="58"/>
        <v>45393</v>
      </c>
      <c r="C156" s="13">
        <f t="shared" si="59"/>
        <v>1069</v>
      </c>
      <c r="D156" s="12">
        <f t="shared" si="50"/>
        <v>1561</v>
      </c>
      <c r="E156" s="11">
        <f t="shared" si="51"/>
        <v>971</v>
      </c>
      <c r="F156" s="11">
        <f t="shared" si="52"/>
        <v>981</v>
      </c>
      <c r="G156" s="11">
        <f t="shared" si="53"/>
        <v>1005</v>
      </c>
      <c r="H156" s="8">
        <f t="shared" si="54"/>
        <v>1659</v>
      </c>
      <c r="I156" s="8">
        <f t="shared" si="55"/>
        <v>1649</v>
      </c>
      <c r="J156" s="8">
        <f t="shared" si="56"/>
        <v>1625</v>
      </c>
      <c r="K156" s="8">
        <f t="shared" si="60"/>
        <v>2000</v>
      </c>
      <c r="L156" s="8">
        <f t="shared" si="61"/>
        <v>2000</v>
      </c>
      <c r="M156" s="8">
        <f t="shared" si="62"/>
        <v>2000</v>
      </c>
      <c r="N156" s="8">
        <f t="shared" si="63"/>
        <v>-341</v>
      </c>
      <c r="O156" s="8">
        <f t="shared" si="64"/>
        <v>-351</v>
      </c>
      <c r="P156" s="8">
        <f t="shared" si="65"/>
        <v>-375</v>
      </c>
      <c r="Q156" s="11">
        <v>0</v>
      </c>
      <c r="R156" s="11">
        <v>0</v>
      </c>
      <c r="S156" s="11">
        <v>0</v>
      </c>
      <c r="T156" s="10">
        <f t="shared" si="57"/>
        <v>1661</v>
      </c>
      <c r="U156" s="9">
        <f t="shared" si="43"/>
        <v>959</v>
      </c>
      <c r="V156" s="9">
        <f t="shared" si="44"/>
        <v>969</v>
      </c>
      <c r="W156" s="9">
        <f t="shared" si="45"/>
        <v>975</v>
      </c>
      <c r="X156" s="10"/>
      <c r="Y156" s="8"/>
      <c r="Z156" s="8"/>
      <c r="AA156" s="8"/>
      <c r="AB156" s="19"/>
    </row>
    <row r="157" spans="1:28" ht="13.15" customHeight="1">
      <c r="A157" s="18">
        <v>143</v>
      </c>
      <c r="B157" s="17">
        <f t="shared" si="58"/>
        <v>45394</v>
      </c>
      <c r="C157" s="13">
        <f t="shared" si="59"/>
        <v>1069</v>
      </c>
      <c r="D157" s="12">
        <f t="shared" si="50"/>
        <v>1563</v>
      </c>
      <c r="E157" s="11">
        <f t="shared" si="51"/>
        <v>973</v>
      </c>
      <c r="F157" s="11">
        <f t="shared" si="52"/>
        <v>983</v>
      </c>
      <c r="G157" s="11">
        <f t="shared" si="53"/>
        <v>1007</v>
      </c>
      <c r="H157" s="8">
        <f t="shared" si="54"/>
        <v>1659</v>
      </c>
      <c r="I157" s="8">
        <f t="shared" si="55"/>
        <v>1649</v>
      </c>
      <c r="J157" s="8">
        <f t="shared" si="56"/>
        <v>1625</v>
      </c>
      <c r="K157" s="8">
        <f t="shared" si="60"/>
        <v>2000</v>
      </c>
      <c r="L157" s="8">
        <f t="shared" si="61"/>
        <v>2000</v>
      </c>
      <c r="M157" s="8">
        <f t="shared" si="62"/>
        <v>2000</v>
      </c>
      <c r="N157" s="8">
        <f t="shared" si="63"/>
        <v>-341</v>
      </c>
      <c r="O157" s="8">
        <f t="shared" si="64"/>
        <v>-351</v>
      </c>
      <c r="P157" s="8">
        <f t="shared" si="65"/>
        <v>-375</v>
      </c>
      <c r="Q157" s="11">
        <v>0</v>
      </c>
      <c r="R157" s="11">
        <v>0</v>
      </c>
      <c r="S157" s="11">
        <v>0</v>
      </c>
      <c r="T157" s="10">
        <f t="shared" si="57"/>
        <v>1663</v>
      </c>
      <c r="U157" s="9">
        <f t="shared" si="43"/>
        <v>959</v>
      </c>
      <c r="V157" s="9">
        <f t="shared" si="44"/>
        <v>969</v>
      </c>
      <c r="W157" s="9">
        <f t="shared" si="45"/>
        <v>975</v>
      </c>
      <c r="X157" s="10"/>
      <c r="Y157" s="8"/>
      <c r="Z157" s="8"/>
      <c r="AA157" s="8"/>
      <c r="AB157" s="19"/>
    </row>
    <row r="158" spans="1:28" ht="13.15" customHeight="1">
      <c r="A158" s="18">
        <v>144</v>
      </c>
      <c r="B158" s="17">
        <f t="shared" si="58"/>
        <v>45395</v>
      </c>
      <c r="C158" s="13">
        <f t="shared" si="59"/>
        <v>1069</v>
      </c>
      <c r="D158" s="12">
        <f t="shared" si="50"/>
        <v>1565</v>
      </c>
      <c r="E158" s="11">
        <f t="shared" si="51"/>
        <v>975</v>
      </c>
      <c r="F158" s="11">
        <f t="shared" si="52"/>
        <v>985</v>
      </c>
      <c r="G158" s="11">
        <f t="shared" si="53"/>
        <v>1009</v>
      </c>
      <c r="H158" s="8">
        <f t="shared" si="54"/>
        <v>1659</v>
      </c>
      <c r="I158" s="8">
        <f t="shared" si="55"/>
        <v>1649</v>
      </c>
      <c r="J158" s="8">
        <f t="shared" si="56"/>
        <v>1625</v>
      </c>
      <c r="K158" s="8">
        <f t="shared" si="60"/>
        <v>2000</v>
      </c>
      <c r="L158" s="8">
        <f t="shared" si="61"/>
        <v>2000</v>
      </c>
      <c r="M158" s="8">
        <f t="shared" si="62"/>
        <v>2000</v>
      </c>
      <c r="N158" s="8">
        <f t="shared" si="63"/>
        <v>-341</v>
      </c>
      <c r="O158" s="8">
        <f t="shared" si="64"/>
        <v>-351</v>
      </c>
      <c r="P158" s="8">
        <f t="shared" si="65"/>
        <v>-375</v>
      </c>
      <c r="Q158" s="11">
        <v>0</v>
      </c>
      <c r="R158" s="11">
        <v>0</v>
      </c>
      <c r="S158" s="11">
        <v>0</v>
      </c>
      <c r="T158" s="10">
        <f t="shared" si="57"/>
        <v>1665</v>
      </c>
      <c r="U158" s="9">
        <f t="shared" si="43"/>
        <v>959</v>
      </c>
      <c r="V158" s="9">
        <f t="shared" si="44"/>
        <v>969</v>
      </c>
      <c r="W158" s="9">
        <f t="shared" si="45"/>
        <v>975</v>
      </c>
      <c r="X158" s="10"/>
      <c r="Y158" s="8"/>
      <c r="Z158" s="8"/>
      <c r="AA158" s="8"/>
      <c r="AB158" s="19"/>
    </row>
    <row r="159" spans="1:28" ht="13.15" customHeight="1">
      <c r="A159" s="18">
        <v>145</v>
      </c>
      <c r="B159" s="17">
        <f t="shared" si="58"/>
        <v>45396</v>
      </c>
      <c r="C159" s="13">
        <f t="shared" si="59"/>
        <v>1069</v>
      </c>
      <c r="D159" s="12">
        <f t="shared" si="50"/>
        <v>1567</v>
      </c>
      <c r="E159" s="11">
        <f t="shared" si="51"/>
        <v>977</v>
      </c>
      <c r="F159" s="11">
        <f t="shared" si="52"/>
        <v>987</v>
      </c>
      <c r="G159" s="11">
        <f t="shared" si="53"/>
        <v>1011</v>
      </c>
      <c r="H159" s="8">
        <f t="shared" si="54"/>
        <v>1659</v>
      </c>
      <c r="I159" s="8">
        <f t="shared" si="55"/>
        <v>1649</v>
      </c>
      <c r="J159" s="8">
        <f t="shared" si="56"/>
        <v>1625</v>
      </c>
      <c r="K159" s="8">
        <f t="shared" si="60"/>
        <v>2000</v>
      </c>
      <c r="L159" s="8">
        <f t="shared" si="61"/>
        <v>2000</v>
      </c>
      <c r="M159" s="8">
        <f t="shared" si="62"/>
        <v>2000</v>
      </c>
      <c r="N159" s="8">
        <f t="shared" si="63"/>
        <v>-341</v>
      </c>
      <c r="O159" s="8">
        <f t="shared" si="64"/>
        <v>-351</v>
      </c>
      <c r="P159" s="8">
        <f t="shared" si="65"/>
        <v>-375</v>
      </c>
      <c r="Q159" s="11">
        <v>0</v>
      </c>
      <c r="R159" s="11">
        <v>0</v>
      </c>
      <c r="S159" s="11">
        <v>0</v>
      </c>
      <c r="T159" s="10">
        <f t="shared" si="57"/>
        <v>1667</v>
      </c>
      <c r="U159" s="9">
        <f t="shared" si="43"/>
        <v>959</v>
      </c>
      <c r="V159" s="9">
        <f t="shared" si="44"/>
        <v>969</v>
      </c>
      <c r="W159" s="9">
        <f t="shared" si="45"/>
        <v>975</v>
      </c>
      <c r="X159" s="10"/>
      <c r="Y159" s="8"/>
      <c r="Z159" s="8"/>
      <c r="AA159" s="8"/>
      <c r="AB159" s="19"/>
    </row>
    <row r="160" spans="1:28" ht="13.15" customHeight="1">
      <c r="A160" s="18">
        <v>146</v>
      </c>
      <c r="B160" s="17">
        <f t="shared" si="58"/>
        <v>45397</v>
      </c>
      <c r="C160" s="13">
        <f t="shared" si="59"/>
        <v>1069</v>
      </c>
      <c r="D160" s="12">
        <f t="shared" si="50"/>
        <v>1569</v>
      </c>
      <c r="E160" s="11">
        <f t="shared" si="51"/>
        <v>979</v>
      </c>
      <c r="F160" s="11">
        <f t="shared" si="52"/>
        <v>989</v>
      </c>
      <c r="G160" s="11">
        <f t="shared" si="53"/>
        <v>1013</v>
      </c>
      <c r="H160" s="8">
        <f t="shared" si="54"/>
        <v>1659</v>
      </c>
      <c r="I160" s="8">
        <f t="shared" si="55"/>
        <v>1649</v>
      </c>
      <c r="J160" s="8">
        <f t="shared" si="56"/>
        <v>1625</v>
      </c>
      <c r="K160" s="8">
        <f t="shared" si="60"/>
        <v>2000</v>
      </c>
      <c r="L160" s="8">
        <f t="shared" si="61"/>
        <v>2000</v>
      </c>
      <c r="M160" s="8">
        <f t="shared" si="62"/>
        <v>2000</v>
      </c>
      <c r="N160" s="8">
        <f t="shared" si="63"/>
        <v>-341</v>
      </c>
      <c r="O160" s="8">
        <f t="shared" si="64"/>
        <v>-351</v>
      </c>
      <c r="P160" s="8">
        <f t="shared" si="65"/>
        <v>-375</v>
      </c>
      <c r="Q160" s="11">
        <v>0</v>
      </c>
      <c r="R160" s="11">
        <v>0</v>
      </c>
      <c r="S160" s="11">
        <v>0</v>
      </c>
      <c r="T160" s="10">
        <f t="shared" si="57"/>
        <v>1669</v>
      </c>
      <c r="U160" s="9">
        <f t="shared" si="43"/>
        <v>959</v>
      </c>
      <c r="V160" s="9">
        <f t="shared" si="44"/>
        <v>969</v>
      </c>
      <c r="W160" s="9">
        <f t="shared" si="45"/>
        <v>975</v>
      </c>
      <c r="X160" s="10"/>
      <c r="Y160" s="8"/>
      <c r="Z160" s="8"/>
      <c r="AA160" s="8"/>
      <c r="AB160" s="19"/>
    </row>
    <row r="161" spans="1:28" ht="13.15" customHeight="1">
      <c r="A161" s="18">
        <v>147</v>
      </c>
      <c r="B161" s="17">
        <f t="shared" si="58"/>
        <v>45398</v>
      </c>
      <c r="C161" s="13">
        <f t="shared" si="59"/>
        <v>1069</v>
      </c>
      <c r="D161" s="12">
        <f t="shared" si="50"/>
        <v>1571</v>
      </c>
      <c r="E161" s="11">
        <f t="shared" si="51"/>
        <v>981</v>
      </c>
      <c r="F161" s="11">
        <f t="shared" si="52"/>
        <v>991</v>
      </c>
      <c r="G161" s="11">
        <f t="shared" si="53"/>
        <v>1015</v>
      </c>
      <c r="H161" s="8">
        <f t="shared" si="54"/>
        <v>1659</v>
      </c>
      <c r="I161" s="8">
        <f t="shared" si="55"/>
        <v>1649</v>
      </c>
      <c r="J161" s="8">
        <f t="shared" si="56"/>
        <v>1625</v>
      </c>
      <c r="K161" s="8">
        <f t="shared" si="60"/>
        <v>2000</v>
      </c>
      <c r="L161" s="8">
        <f t="shared" si="61"/>
        <v>2000</v>
      </c>
      <c r="M161" s="8">
        <f t="shared" si="62"/>
        <v>2000</v>
      </c>
      <c r="N161" s="8">
        <f t="shared" si="63"/>
        <v>-341</v>
      </c>
      <c r="O161" s="8">
        <f t="shared" si="64"/>
        <v>-351</v>
      </c>
      <c r="P161" s="8">
        <f t="shared" si="65"/>
        <v>-375</v>
      </c>
      <c r="Q161" s="11">
        <v>0</v>
      </c>
      <c r="R161" s="11">
        <v>0</v>
      </c>
      <c r="S161" s="11">
        <v>0</v>
      </c>
      <c r="T161" s="10">
        <f t="shared" si="57"/>
        <v>1671</v>
      </c>
      <c r="U161" s="9">
        <f t="shared" si="43"/>
        <v>959</v>
      </c>
      <c r="V161" s="9">
        <f t="shared" si="44"/>
        <v>969</v>
      </c>
      <c r="W161" s="9">
        <f t="shared" si="45"/>
        <v>975</v>
      </c>
      <c r="X161" s="10"/>
      <c r="Y161" s="8"/>
      <c r="Z161" s="8"/>
      <c r="AA161" s="8"/>
      <c r="AB161" s="19"/>
    </row>
    <row r="162" spans="1:28" ht="13.15" customHeight="1">
      <c r="A162" s="18">
        <v>148</v>
      </c>
      <c r="B162" s="17">
        <f t="shared" si="58"/>
        <v>45399</v>
      </c>
      <c r="C162" s="13">
        <f t="shared" si="59"/>
        <v>1069</v>
      </c>
      <c r="D162" s="12">
        <f t="shared" si="50"/>
        <v>1573</v>
      </c>
      <c r="E162" s="11">
        <f t="shared" si="51"/>
        <v>983</v>
      </c>
      <c r="F162" s="11">
        <f t="shared" si="52"/>
        <v>993</v>
      </c>
      <c r="G162" s="11">
        <f t="shared" si="53"/>
        <v>1017</v>
      </c>
      <c r="H162" s="8">
        <f t="shared" si="54"/>
        <v>1659</v>
      </c>
      <c r="I162" s="8">
        <f t="shared" si="55"/>
        <v>1649</v>
      </c>
      <c r="J162" s="8">
        <f t="shared" si="56"/>
        <v>1625</v>
      </c>
      <c r="K162" s="8">
        <f t="shared" si="60"/>
        <v>2000</v>
      </c>
      <c r="L162" s="8">
        <f t="shared" si="61"/>
        <v>2000</v>
      </c>
      <c r="M162" s="8">
        <f t="shared" si="62"/>
        <v>2000</v>
      </c>
      <c r="N162" s="8">
        <f t="shared" si="63"/>
        <v>-341</v>
      </c>
      <c r="O162" s="8">
        <f t="shared" si="64"/>
        <v>-351</v>
      </c>
      <c r="P162" s="8">
        <f t="shared" si="65"/>
        <v>-375</v>
      </c>
      <c r="Q162" s="11">
        <v>0</v>
      </c>
      <c r="R162" s="11">
        <v>0</v>
      </c>
      <c r="S162" s="11">
        <v>0</v>
      </c>
      <c r="T162" s="10">
        <f t="shared" si="57"/>
        <v>1673</v>
      </c>
      <c r="U162" s="9">
        <f t="shared" si="43"/>
        <v>959</v>
      </c>
      <c r="V162" s="9">
        <f t="shared" si="44"/>
        <v>969</v>
      </c>
      <c r="W162" s="9">
        <f t="shared" si="45"/>
        <v>975</v>
      </c>
      <c r="X162" s="10"/>
      <c r="Y162" s="8"/>
      <c r="Z162" s="8"/>
      <c r="AA162" s="8"/>
      <c r="AB162" s="19"/>
    </row>
    <row r="163" spans="1:28" ht="13.15" customHeight="1">
      <c r="A163" s="18">
        <v>149</v>
      </c>
      <c r="B163" s="17">
        <f t="shared" si="58"/>
        <v>45400</v>
      </c>
      <c r="C163" s="13">
        <f t="shared" si="59"/>
        <v>1069</v>
      </c>
      <c r="D163" s="12">
        <f t="shared" si="50"/>
        <v>1575</v>
      </c>
      <c r="E163" s="11">
        <f t="shared" si="51"/>
        <v>985</v>
      </c>
      <c r="F163" s="11">
        <f t="shared" si="52"/>
        <v>995</v>
      </c>
      <c r="G163" s="11">
        <f t="shared" si="53"/>
        <v>1019</v>
      </c>
      <c r="H163" s="8">
        <f t="shared" si="54"/>
        <v>1659</v>
      </c>
      <c r="I163" s="8">
        <f t="shared" si="55"/>
        <v>1649</v>
      </c>
      <c r="J163" s="8">
        <f t="shared" si="56"/>
        <v>1625</v>
      </c>
      <c r="K163" s="8">
        <f t="shared" si="60"/>
        <v>2000</v>
      </c>
      <c r="L163" s="8">
        <f t="shared" si="61"/>
        <v>2000</v>
      </c>
      <c r="M163" s="8">
        <f t="shared" si="62"/>
        <v>2000</v>
      </c>
      <c r="N163" s="8">
        <f t="shared" si="63"/>
        <v>-341</v>
      </c>
      <c r="O163" s="8">
        <f t="shared" si="64"/>
        <v>-351</v>
      </c>
      <c r="P163" s="8">
        <f t="shared" si="65"/>
        <v>-375</v>
      </c>
      <c r="Q163" s="11">
        <v>0</v>
      </c>
      <c r="R163" s="11">
        <v>0</v>
      </c>
      <c r="S163" s="11">
        <v>0</v>
      </c>
      <c r="T163" s="10">
        <f t="shared" si="57"/>
        <v>1675</v>
      </c>
      <c r="U163" s="9">
        <f t="shared" ref="U163:U226" si="66">U162+$X163*1000-Q163</f>
        <v>959</v>
      </c>
      <c r="V163" s="9">
        <f t="shared" si="44"/>
        <v>969</v>
      </c>
      <c r="W163" s="9">
        <f t="shared" si="45"/>
        <v>975</v>
      </c>
      <c r="X163" s="10"/>
      <c r="Y163" s="8"/>
      <c r="Z163" s="8"/>
      <c r="AA163" s="8"/>
      <c r="AB163" s="19"/>
    </row>
    <row r="164" spans="1:28" ht="13.15" customHeight="1">
      <c r="A164" s="18">
        <v>150</v>
      </c>
      <c r="B164" s="17">
        <f t="shared" si="58"/>
        <v>45401</v>
      </c>
      <c r="C164" s="13">
        <f t="shared" si="59"/>
        <v>1069</v>
      </c>
      <c r="D164" s="12">
        <f t="shared" si="50"/>
        <v>1577</v>
      </c>
      <c r="E164" s="11">
        <f t="shared" si="51"/>
        <v>987</v>
      </c>
      <c r="F164" s="11">
        <f t="shared" si="52"/>
        <v>997</v>
      </c>
      <c r="G164" s="11">
        <f t="shared" si="53"/>
        <v>1021</v>
      </c>
      <c r="H164" s="8">
        <f t="shared" si="54"/>
        <v>1659</v>
      </c>
      <c r="I164" s="8">
        <f t="shared" si="55"/>
        <v>1649</v>
      </c>
      <c r="J164" s="8">
        <f t="shared" si="56"/>
        <v>1625</v>
      </c>
      <c r="K164" s="8">
        <f t="shared" si="60"/>
        <v>2000</v>
      </c>
      <c r="L164" s="8">
        <f t="shared" si="61"/>
        <v>2000</v>
      </c>
      <c r="M164" s="8">
        <f t="shared" si="62"/>
        <v>2000</v>
      </c>
      <c r="N164" s="8">
        <f t="shared" si="63"/>
        <v>-341</v>
      </c>
      <c r="O164" s="8">
        <f t="shared" si="64"/>
        <v>-351</v>
      </c>
      <c r="P164" s="8">
        <f t="shared" si="65"/>
        <v>-375</v>
      </c>
      <c r="Q164" s="11">
        <v>0</v>
      </c>
      <c r="R164" s="11">
        <v>0</v>
      </c>
      <c r="S164" s="11">
        <v>0</v>
      </c>
      <c r="T164" s="10">
        <f t="shared" si="57"/>
        <v>1677</v>
      </c>
      <c r="U164" s="9">
        <f t="shared" si="66"/>
        <v>959</v>
      </c>
      <c r="V164" s="9">
        <f t="shared" ref="V164:V227" si="67">V163+$X164*1000-R164</f>
        <v>969</v>
      </c>
      <c r="W164" s="9">
        <f t="shared" ref="W164:W227" si="68">W163+$X164*1000-S164</f>
        <v>975</v>
      </c>
      <c r="X164" s="10"/>
      <c r="Y164" s="8"/>
      <c r="Z164" s="8"/>
      <c r="AA164" s="8"/>
      <c r="AB164" s="19"/>
    </row>
    <row r="165" spans="1:28" ht="13.15" customHeight="1">
      <c r="A165" s="18">
        <v>151</v>
      </c>
      <c r="B165" s="17">
        <f t="shared" si="58"/>
        <v>45402</v>
      </c>
      <c r="C165" s="13">
        <f t="shared" si="59"/>
        <v>1069</v>
      </c>
      <c r="D165" s="12">
        <f t="shared" si="50"/>
        <v>1579</v>
      </c>
      <c r="E165" s="11">
        <f t="shared" si="51"/>
        <v>998</v>
      </c>
      <c r="F165" s="11">
        <f t="shared" si="52"/>
        <v>1008</v>
      </c>
      <c r="G165" s="11">
        <f t="shared" si="53"/>
        <v>1031</v>
      </c>
      <c r="H165" s="8">
        <f t="shared" si="54"/>
        <v>1650</v>
      </c>
      <c r="I165" s="8">
        <f t="shared" si="55"/>
        <v>1640</v>
      </c>
      <c r="J165" s="8">
        <f t="shared" si="56"/>
        <v>1617</v>
      </c>
      <c r="K165" s="8">
        <f t="shared" si="60"/>
        <v>2000</v>
      </c>
      <c r="L165" s="8">
        <f t="shared" si="61"/>
        <v>2000</v>
      </c>
      <c r="M165" s="8">
        <f t="shared" si="62"/>
        <v>2000</v>
      </c>
      <c r="N165" s="8">
        <f t="shared" si="63"/>
        <v>-350</v>
      </c>
      <c r="O165" s="8">
        <f t="shared" si="64"/>
        <v>-360</v>
      </c>
      <c r="P165" s="8">
        <f t="shared" si="65"/>
        <v>-383</v>
      </c>
      <c r="Q165" s="11">
        <v>9</v>
      </c>
      <c r="R165" s="11">
        <v>9</v>
      </c>
      <c r="S165" s="11">
        <v>8</v>
      </c>
      <c r="T165" s="10">
        <f t="shared" si="57"/>
        <v>1388</v>
      </c>
      <c r="U165" s="9">
        <f t="shared" si="66"/>
        <v>1250</v>
      </c>
      <c r="V165" s="9">
        <f t="shared" si="67"/>
        <v>1260</v>
      </c>
      <c r="W165" s="9">
        <f t="shared" si="68"/>
        <v>1267</v>
      </c>
      <c r="X165" s="16">
        <v>0.3</v>
      </c>
      <c r="Y165" s="8"/>
      <c r="Z165" s="8"/>
      <c r="AA165" s="8"/>
      <c r="AB165" s="19">
        <v>4</v>
      </c>
    </row>
    <row r="166" spans="1:28" ht="13.15" customHeight="1">
      <c r="A166" s="18">
        <v>152</v>
      </c>
      <c r="B166" s="17">
        <f t="shared" si="58"/>
        <v>45403</v>
      </c>
      <c r="C166" s="13">
        <f t="shared" si="59"/>
        <v>1069</v>
      </c>
      <c r="D166" s="12">
        <f t="shared" si="50"/>
        <v>1581</v>
      </c>
      <c r="E166" s="11">
        <f t="shared" si="51"/>
        <v>1006</v>
      </c>
      <c r="F166" s="11">
        <f t="shared" si="52"/>
        <v>1016</v>
      </c>
      <c r="G166" s="11">
        <f t="shared" si="53"/>
        <v>1036</v>
      </c>
      <c r="H166" s="8">
        <f t="shared" si="54"/>
        <v>1644</v>
      </c>
      <c r="I166" s="8">
        <f t="shared" si="55"/>
        <v>1634</v>
      </c>
      <c r="J166" s="8">
        <f t="shared" si="56"/>
        <v>1614</v>
      </c>
      <c r="K166" s="8">
        <f t="shared" si="60"/>
        <v>2000</v>
      </c>
      <c r="L166" s="8">
        <f t="shared" si="61"/>
        <v>2000</v>
      </c>
      <c r="M166" s="8">
        <f t="shared" si="62"/>
        <v>2000</v>
      </c>
      <c r="N166" s="8">
        <f t="shared" si="63"/>
        <v>-356</v>
      </c>
      <c r="O166" s="8">
        <f t="shared" si="64"/>
        <v>-366</v>
      </c>
      <c r="P166" s="8">
        <f t="shared" si="65"/>
        <v>-386</v>
      </c>
      <c r="Q166" s="11">
        <v>6</v>
      </c>
      <c r="R166" s="11">
        <v>6</v>
      </c>
      <c r="S166" s="11">
        <v>3</v>
      </c>
      <c r="T166" s="10">
        <f t="shared" si="57"/>
        <v>1396</v>
      </c>
      <c r="U166" s="9">
        <f t="shared" si="66"/>
        <v>1244</v>
      </c>
      <c r="V166" s="9">
        <f t="shared" si="67"/>
        <v>1254</v>
      </c>
      <c r="W166" s="9">
        <f t="shared" si="68"/>
        <v>1264</v>
      </c>
      <c r="X166" s="10"/>
      <c r="Y166" s="8"/>
      <c r="Z166" s="8"/>
      <c r="AA166" s="8"/>
      <c r="AB166" s="19"/>
    </row>
    <row r="167" spans="1:28" ht="13.15" customHeight="1">
      <c r="A167" s="18">
        <v>153</v>
      </c>
      <c r="B167" s="17">
        <f t="shared" si="58"/>
        <v>45404</v>
      </c>
      <c r="C167" s="13">
        <f t="shared" si="59"/>
        <v>1069</v>
      </c>
      <c r="D167" s="12">
        <f t="shared" si="50"/>
        <v>1583</v>
      </c>
      <c r="E167" s="11">
        <f t="shared" si="51"/>
        <v>1013</v>
      </c>
      <c r="F167" s="11">
        <f t="shared" si="52"/>
        <v>1023</v>
      </c>
      <c r="G167" s="11">
        <f t="shared" si="53"/>
        <v>1042</v>
      </c>
      <c r="H167" s="8">
        <f t="shared" si="54"/>
        <v>1639</v>
      </c>
      <c r="I167" s="8">
        <f t="shared" si="55"/>
        <v>1629</v>
      </c>
      <c r="J167" s="8">
        <f t="shared" si="56"/>
        <v>1610</v>
      </c>
      <c r="K167" s="8">
        <f t="shared" si="60"/>
        <v>2000</v>
      </c>
      <c r="L167" s="8">
        <f t="shared" si="61"/>
        <v>2000</v>
      </c>
      <c r="M167" s="8">
        <f t="shared" si="62"/>
        <v>2000</v>
      </c>
      <c r="N167" s="8">
        <f t="shared" si="63"/>
        <v>-361</v>
      </c>
      <c r="O167" s="8">
        <f t="shared" si="64"/>
        <v>-371</v>
      </c>
      <c r="P167" s="8">
        <f t="shared" si="65"/>
        <v>-390</v>
      </c>
      <c r="Q167" s="11">
        <v>5</v>
      </c>
      <c r="R167" s="11">
        <v>5</v>
      </c>
      <c r="S167" s="11">
        <v>4</v>
      </c>
      <c r="T167" s="10">
        <f t="shared" si="57"/>
        <v>1403</v>
      </c>
      <c r="U167" s="9">
        <f t="shared" si="66"/>
        <v>1239</v>
      </c>
      <c r="V167" s="9">
        <f t="shared" si="67"/>
        <v>1249</v>
      </c>
      <c r="W167" s="9">
        <f t="shared" si="68"/>
        <v>1260</v>
      </c>
      <c r="X167" s="10"/>
      <c r="Y167" s="8"/>
      <c r="Z167" s="8"/>
      <c r="AA167" s="8"/>
      <c r="AB167" s="19"/>
    </row>
    <row r="168" spans="1:28" ht="13.15" customHeight="1">
      <c r="A168" s="18">
        <v>154</v>
      </c>
      <c r="B168" s="17">
        <f t="shared" si="58"/>
        <v>45405</v>
      </c>
      <c r="C168" s="13">
        <f t="shared" si="59"/>
        <v>1069</v>
      </c>
      <c r="D168" s="12">
        <f t="shared" si="50"/>
        <v>1585</v>
      </c>
      <c r="E168" s="11">
        <f t="shared" si="51"/>
        <v>1020</v>
      </c>
      <c r="F168" s="11">
        <f t="shared" si="52"/>
        <v>1031</v>
      </c>
      <c r="G168" s="11">
        <f t="shared" si="53"/>
        <v>1048</v>
      </c>
      <c r="H168" s="8">
        <f t="shared" si="54"/>
        <v>1634</v>
      </c>
      <c r="I168" s="8">
        <f t="shared" si="55"/>
        <v>1623</v>
      </c>
      <c r="J168" s="8">
        <f t="shared" si="56"/>
        <v>1606</v>
      </c>
      <c r="K168" s="8">
        <f t="shared" si="60"/>
        <v>2000</v>
      </c>
      <c r="L168" s="8">
        <f t="shared" si="61"/>
        <v>2000</v>
      </c>
      <c r="M168" s="8">
        <f t="shared" si="62"/>
        <v>2000</v>
      </c>
      <c r="N168" s="8">
        <f t="shared" si="63"/>
        <v>-366</v>
      </c>
      <c r="O168" s="8">
        <f t="shared" si="64"/>
        <v>-377</v>
      </c>
      <c r="P168" s="8">
        <f t="shared" si="65"/>
        <v>-394</v>
      </c>
      <c r="Q168" s="11">
        <v>5</v>
      </c>
      <c r="R168" s="11">
        <v>6</v>
      </c>
      <c r="S168" s="11">
        <v>4</v>
      </c>
      <c r="T168" s="10">
        <f t="shared" si="57"/>
        <v>1411</v>
      </c>
      <c r="U168" s="9">
        <f t="shared" si="66"/>
        <v>1234</v>
      </c>
      <c r="V168" s="9">
        <f t="shared" si="67"/>
        <v>1243</v>
      </c>
      <c r="W168" s="9">
        <f t="shared" si="68"/>
        <v>1256</v>
      </c>
      <c r="X168" s="10"/>
      <c r="Y168" s="8"/>
      <c r="Z168" s="8"/>
      <c r="AA168" s="8"/>
      <c r="AB168" s="19"/>
    </row>
    <row r="169" spans="1:28" ht="13.15" customHeight="1">
      <c r="A169" s="18">
        <v>155</v>
      </c>
      <c r="B169" s="17">
        <f t="shared" si="58"/>
        <v>45406</v>
      </c>
      <c r="C169" s="13">
        <f t="shared" si="59"/>
        <v>1069</v>
      </c>
      <c r="D169" s="12">
        <f t="shared" si="50"/>
        <v>1587</v>
      </c>
      <c r="E169" s="11">
        <f t="shared" si="51"/>
        <v>1031</v>
      </c>
      <c r="F169" s="11">
        <f t="shared" si="52"/>
        <v>1042</v>
      </c>
      <c r="G169" s="11">
        <f t="shared" si="53"/>
        <v>1058</v>
      </c>
      <c r="H169" s="8">
        <f t="shared" si="54"/>
        <v>1625</v>
      </c>
      <c r="I169" s="8">
        <f t="shared" si="55"/>
        <v>1614</v>
      </c>
      <c r="J169" s="8">
        <f t="shared" si="56"/>
        <v>1598</v>
      </c>
      <c r="K169" s="8">
        <f t="shared" si="60"/>
        <v>2000</v>
      </c>
      <c r="L169" s="8">
        <f t="shared" si="61"/>
        <v>2000</v>
      </c>
      <c r="M169" s="8">
        <f t="shared" si="62"/>
        <v>2000</v>
      </c>
      <c r="N169" s="8">
        <f t="shared" si="63"/>
        <v>-375</v>
      </c>
      <c r="O169" s="8">
        <f t="shared" si="64"/>
        <v>-386</v>
      </c>
      <c r="P169" s="8">
        <f t="shared" si="65"/>
        <v>-402</v>
      </c>
      <c r="Q169" s="11">
        <v>9</v>
      </c>
      <c r="R169" s="11">
        <v>9</v>
      </c>
      <c r="S169" s="11">
        <v>8</v>
      </c>
      <c r="T169" s="10">
        <f t="shared" si="57"/>
        <v>1122</v>
      </c>
      <c r="U169" s="9">
        <f t="shared" si="66"/>
        <v>1525</v>
      </c>
      <c r="V169" s="9">
        <f t="shared" si="67"/>
        <v>1534</v>
      </c>
      <c r="W169" s="9">
        <f t="shared" si="68"/>
        <v>1548</v>
      </c>
      <c r="X169" s="16">
        <v>0.3</v>
      </c>
      <c r="Y169" s="8"/>
      <c r="Z169" s="8"/>
      <c r="AA169" s="8"/>
      <c r="AB169" s="19">
        <v>3</v>
      </c>
    </row>
    <row r="170" spans="1:28" ht="13.15" customHeight="1">
      <c r="A170" s="18">
        <v>156</v>
      </c>
      <c r="B170" s="17">
        <f t="shared" si="58"/>
        <v>45407</v>
      </c>
      <c r="C170" s="13">
        <f t="shared" si="59"/>
        <v>1069</v>
      </c>
      <c r="D170" s="12">
        <f t="shared" si="50"/>
        <v>1589</v>
      </c>
      <c r="E170" s="11">
        <f t="shared" si="51"/>
        <v>1039</v>
      </c>
      <c r="F170" s="11">
        <f t="shared" si="52"/>
        <v>1050</v>
      </c>
      <c r="G170" s="11">
        <f t="shared" si="53"/>
        <v>1063</v>
      </c>
      <c r="H170" s="8">
        <f t="shared" si="54"/>
        <v>1619</v>
      </c>
      <c r="I170" s="8">
        <f t="shared" si="55"/>
        <v>1608</v>
      </c>
      <c r="J170" s="8">
        <f t="shared" si="56"/>
        <v>1595</v>
      </c>
      <c r="K170" s="8">
        <f t="shared" si="60"/>
        <v>2000</v>
      </c>
      <c r="L170" s="8">
        <f t="shared" si="61"/>
        <v>2000</v>
      </c>
      <c r="M170" s="8">
        <f t="shared" si="62"/>
        <v>2000</v>
      </c>
      <c r="N170" s="8">
        <f t="shared" si="63"/>
        <v>-381</v>
      </c>
      <c r="O170" s="8">
        <f t="shared" si="64"/>
        <v>-392</v>
      </c>
      <c r="P170" s="8">
        <f t="shared" si="65"/>
        <v>-405</v>
      </c>
      <c r="Q170" s="11">
        <v>6</v>
      </c>
      <c r="R170" s="11">
        <v>6</v>
      </c>
      <c r="S170" s="11">
        <v>3</v>
      </c>
      <c r="T170" s="10">
        <f t="shared" si="57"/>
        <v>1130</v>
      </c>
      <c r="U170" s="9">
        <f t="shared" si="66"/>
        <v>1519</v>
      </c>
      <c r="V170" s="9">
        <f t="shared" si="67"/>
        <v>1528</v>
      </c>
      <c r="W170" s="9">
        <f t="shared" si="68"/>
        <v>1545</v>
      </c>
      <c r="X170" s="10"/>
      <c r="Y170" s="8"/>
      <c r="Z170" s="8"/>
      <c r="AA170" s="8"/>
      <c r="AB170" s="19"/>
    </row>
    <row r="171" spans="1:28" ht="13.15" customHeight="1">
      <c r="A171" s="18">
        <v>157</v>
      </c>
      <c r="B171" s="17">
        <f t="shared" si="58"/>
        <v>45408</v>
      </c>
      <c r="C171" s="13">
        <f t="shared" si="59"/>
        <v>1069</v>
      </c>
      <c r="D171" s="12">
        <f t="shared" si="50"/>
        <v>1591</v>
      </c>
      <c r="E171" s="11">
        <f t="shared" si="51"/>
        <v>1046</v>
      </c>
      <c r="F171" s="11">
        <f t="shared" si="52"/>
        <v>1057</v>
      </c>
      <c r="G171" s="11">
        <f t="shared" si="53"/>
        <v>1069</v>
      </c>
      <c r="H171" s="8">
        <f t="shared" si="54"/>
        <v>1614</v>
      </c>
      <c r="I171" s="8">
        <f t="shared" si="55"/>
        <v>1603</v>
      </c>
      <c r="J171" s="8">
        <f t="shared" si="56"/>
        <v>1591</v>
      </c>
      <c r="K171" s="8">
        <f t="shared" si="60"/>
        <v>2000</v>
      </c>
      <c r="L171" s="8">
        <f t="shared" si="61"/>
        <v>2000</v>
      </c>
      <c r="M171" s="8">
        <f t="shared" si="62"/>
        <v>2000</v>
      </c>
      <c r="N171" s="8">
        <f t="shared" si="63"/>
        <v>-386</v>
      </c>
      <c r="O171" s="8">
        <f t="shared" si="64"/>
        <v>-397</v>
      </c>
      <c r="P171" s="8">
        <f t="shared" si="65"/>
        <v>-409</v>
      </c>
      <c r="Q171" s="11">
        <v>5</v>
      </c>
      <c r="R171" s="11">
        <v>5</v>
      </c>
      <c r="S171" s="11">
        <v>4</v>
      </c>
      <c r="T171" s="10">
        <f t="shared" si="57"/>
        <v>1137</v>
      </c>
      <c r="U171" s="9">
        <f t="shared" si="66"/>
        <v>1514</v>
      </c>
      <c r="V171" s="9">
        <f t="shared" si="67"/>
        <v>1523</v>
      </c>
      <c r="W171" s="9">
        <f t="shared" si="68"/>
        <v>1541</v>
      </c>
      <c r="X171" s="10"/>
      <c r="Y171" s="8"/>
      <c r="Z171" s="8"/>
      <c r="AA171" s="8"/>
      <c r="AB171" s="19"/>
    </row>
    <row r="172" spans="1:28" ht="13.15" customHeight="1">
      <c r="A172" s="18">
        <v>158</v>
      </c>
      <c r="B172" s="17">
        <f t="shared" si="58"/>
        <v>45409</v>
      </c>
      <c r="C172" s="13">
        <f t="shared" si="59"/>
        <v>1069</v>
      </c>
      <c r="D172" s="12">
        <f t="shared" si="50"/>
        <v>1593</v>
      </c>
      <c r="E172" s="11">
        <f t="shared" si="51"/>
        <v>1053</v>
      </c>
      <c r="F172" s="11">
        <f t="shared" si="52"/>
        <v>1065</v>
      </c>
      <c r="G172" s="11">
        <f t="shared" si="53"/>
        <v>1075</v>
      </c>
      <c r="H172" s="8">
        <f t="shared" si="54"/>
        <v>1609</v>
      </c>
      <c r="I172" s="8">
        <f t="shared" si="55"/>
        <v>1597</v>
      </c>
      <c r="J172" s="8">
        <f t="shared" si="56"/>
        <v>1587</v>
      </c>
      <c r="K172" s="8">
        <f t="shared" si="60"/>
        <v>2000</v>
      </c>
      <c r="L172" s="8">
        <f t="shared" si="61"/>
        <v>2000</v>
      </c>
      <c r="M172" s="8">
        <f t="shared" si="62"/>
        <v>2000</v>
      </c>
      <c r="N172" s="8">
        <f t="shared" si="63"/>
        <v>-391</v>
      </c>
      <c r="O172" s="8">
        <f t="shared" si="64"/>
        <v>-403</v>
      </c>
      <c r="P172" s="8">
        <f t="shared" si="65"/>
        <v>-413</v>
      </c>
      <c r="Q172" s="11">
        <v>5</v>
      </c>
      <c r="R172" s="11">
        <v>6</v>
      </c>
      <c r="S172" s="11">
        <v>4</v>
      </c>
      <c r="T172" s="10">
        <f t="shared" si="57"/>
        <v>1145</v>
      </c>
      <c r="U172" s="9">
        <f t="shared" si="66"/>
        <v>1509</v>
      </c>
      <c r="V172" s="9">
        <f t="shared" si="67"/>
        <v>1517</v>
      </c>
      <c r="W172" s="9">
        <f t="shared" si="68"/>
        <v>1537</v>
      </c>
      <c r="X172" s="10"/>
      <c r="Y172" s="8"/>
      <c r="Z172" s="8"/>
      <c r="AA172" s="8"/>
      <c r="AB172" s="19" t="s">
        <v>7</v>
      </c>
    </row>
    <row r="173" spans="1:28" ht="13.15" customHeight="1">
      <c r="A173" s="18">
        <v>159</v>
      </c>
      <c r="B173" s="17">
        <f t="shared" si="58"/>
        <v>45410</v>
      </c>
      <c r="C173" s="13">
        <f t="shared" si="59"/>
        <v>1069</v>
      </c>
      <c r="D173" s="12">
        <f t="shared" si="50"/>
        <v>1595</v>
      </c>
      <c r="E173" s="11">
        <f t="shared" si="51"/>
        <v>60</v>
      </c>
      <c r="F173" s="11">
        <f t="shared" si="52"/>
        <v>73</v>
      </c>
      <c r="G173" s="11">
        <f t="shared" si="53"/>
        <v>81</v>
      </c>
      <c r="H173" s="8">
        <f t="shared" si="54"/>
        <v>2604</v>
      </c>
      <c r="I173" s="8">
        <f t="shared" si="55"/>
        <v>2591</v>
      </c>
      <c r="J173" s="8">
        <f t="shared" si="56"/>
        <v>2583</v>
      </c>
      <c r="K173" s="8">
        <f>K172+1000</f>
        <v>3000</v>
      </c>
      <c r="L173" s="8">
        <f>L172+1000</f>
        <v>3000</v>
      </c>
      <c r="M173" s="8">
        <f>M172+1000</f>
        <v>3000</v>
      </c>
      <c r="N173" s="8">
        <f t="shared" si="63"/>
        <v>-396</v>
      </c>
      <c r="O173" s="8">
        <f t="shared" si="64"/>
        <v>-409</v>
      </c>
      <c r="P173" s="8">
        <f t="shared" si="65"/>
        <v>-417</v>
      </c>
      <c r="Q173" s="11">
        <v>5</v>
      </c>
      <c r="R173" s="11">
        <v>6</v>
      </c>
      <c r="S173" s="11">
        <v>4</v>
      </c>
      <c r="T173" s="10">
        <f t="shared" si="57"/>
        <v>1153</v>
      </c>
      <c r="U173" s="9">
        <f t="shared" si="66"/>
        <v>1504</v>
      </c>
      <c r="V173" s="9">
        <f t="shared" si="67"/>
        <v>1511</v>
      </c>
      <c r="W173" s="9">
        <f t="shared" si="68"/>
        <v>1533</v>
      </c>
      <c r="X173" s="10"/>
      <c r="Y173" s="8"/>
      <c r="Z173" s="8"/>
      <c r="AA173" s="8"/>
      <c r="AB173" s="19" t="s">
        <v>6</v>
      </c>
    </row>
    <row r="174" spans="1:28" ht="13.15" customHeight="1">
      <c r="A174" s="18">
        <v>160</v>
      </c>
      <c r="B174" s="17">
        <f t="shared" si="58"/>
        <v>45411</v>
      </c>
      <c r="C174" s="13">
        <f t="shared" si="59"/>
        <v>1069</v>
      </c>
      <c r="D174" s="12">
        <f t="shared" si="50"/>
        <v>1597</v>
      </c>
      <c r="E174" s="11">
        <f t="shared" si="51"/>
        <v>71</v>
      </c>
      <c r="F174" s="11">
        <f t="shared" si="52"/>
        <v>84</v>
      </c>
      <c r="G174" s="11">
        <f t="shared" si="53"/>
        <v>92</v>
      </c>
      <c r="H174" s="8">
        <f t="shared" si="54"/>
        <v>2595</v>
      </c>
      <c r="I174" s="8">
        <f t="shared" si="55"/>
        <v>2582</v>
      </c>
      <c r="J174" s="8">
        <f t="shared" si="56"/>
        <v>2574</v>
      </c>
      <c r="K174" s="8">
        <f t="shared" ref="K174:K237" si="69">K173</f>
        <v>3000</v>
      </c>
      <c r="L174" s="8">
        <f t="shared" ref="L174:L237" si="70">L173</f>
        <v>3000</v>
      </c>
      <c r="M174" s="8">
        <f t="shared" ref="M174:M237" si="71">M173</f>
        <v>3000</v>
      </c>
      <c r="N174" s="8">
        <f t="shared" si="63"/>
        <v>-405</v>
      </c>
      <c r="O174" s="8">
        <f t="shared" si="64"/>
        <v>-418</v>
      </c>
      <c r="P174" s="8">
        <f t="shared" si="65"/>
        <v>-426</v>
      </c>
      <c r="Q174" s="11">
        <v>9</v>
      </c>
      <c r="R174" s="11">
        <v>9</v>
      </c>
      <c r="S174" s="11">
        <v>9</v>
      </c>
      <c r="T174" s="10">
        <f t="shared" si="57"/>
        <v>864</v>
      </c>
      <c r="U174" s="9">
        <f t="shared" si="66"/>
        <v>1795</v>
      </c>
      <c r="V174" s="9">
        <f t="shared" si="67"/>
        <v>1802</v>
      </c>
      <c r="W174" s="9">
        <f t="shared" si="68"/>
        <v>1824</v>
      </c>
      <c r="X174" s="16">
        <v>0.3</v>
      </c>
      <c r="Y174" s="8"/>
      <c r="Z174" s="8"/>
      <c r="AA174" s="8"/>
      <c r="AB174" s="19">
        <v>2</v>
      </c>
    </row>
    <row r="175" spans="1:28" ht="13.15" customHeight="1">
      <c r="A175" s="18">
        <v>161</v>
      </c>
      <c r="B175" s="17">
        <f t="shared" si="58"/>
        <v>45412</v>
      </c>
      <c r="C175" s="13">
        <f t="shared" si="59"/>
        <v>1069</v>
      </c>
      <c r="D175" s="12">
        <f t="shared" si="50"/>
        <v>1599</v>
      </c>
      <c r="E175" s="11">
        <f t="shared" si="51"/>
        <v>76</v>
      </c>
      <c r="F175" s="11">
        <f t="shared" si="52"/>
        <v>90</v>
      </c>
      <c r="G175" s="11">
        <f t="shared" si="53"/>
        <v>98</v>
      </c>
      <c r="H175" s="8">
        <f t="shared" si="54"/>
        <v>2592</v>
      </c>
      <c r="I175" s="8">
        <f t="shared" si="55"/>
        <v>2578</v>
      </c>
      <c r="J175" s="8">
        <f t="shared" si="56"/>
        <v>2570</v>
      </c>
      <c r="K175" s="8">
        <f t="shared" si="69"/>
        <v>3000</v>
      </c>
      <c r="L175" s="8">
        <f t="shared" si="70"/>
        <v>3000</v>
      </c>
      <c r="M175" s="8">
        <f t="shared" si="71"/>
        <v>3000</v>
      </c>
      <c r="N175" s="8">
        <f t="shared" si="63"/>
        <v>-408</v>
      </c>
      <c r="O175" s="8">
        <f t="shared" si="64"/>
        <v>-422</v>
      </c>
      <c r="P175" s="8">
        <f t="shared" si="65"/>
        <v>-430</v>
      </c>
      <c r="Q175" s="11">
        <v>3</v>
      </c>
      <c r="R175" s="11">
        <v>4</v>
      </c>
      <c r="S175" s="11">
        <v>4</v>
      </c>
      <c r="T175" s="10">
        <f t="shared" si="57"/>
        <v>870</v>
      </c>
      <c r="U175" s="9">
        <f t="shared" si="66"/>
        <v>1792</v>
      </c>
      <c r="V175" s="9">
        <f t="shared" si="67"/>
        <v>1798</v>
      </c>
      <c r="W175" s="9">
        <f t="shared" si="68"/>
        <v>1820</v>
      </c>
      <c r="X175" s="10"/>
      <c r="Y175" s="8"/>
      <c r="Z175" s="8"/>
      <c r="AA175" s="8"/>
      <c r="AB175" s="19"/>
    </row>
    <row r="176" spans="1:28" ht="13.15" customHeight="1">
      <c r="A176" s="18">
        <v>162</v>
      </c>
      <c r="B176" s="17">
        <f t="shared" si="58"/>
        <v>45413</v>
      </c>
      <c r="C176" s="13">
        <f t="shared" si="59"/>
        <v>1069</v>
      </c>
      <c r="D176" s="12">
        <f t="shared" si="50"/>
        <v>1601</v>
      </c>
      <c r="E176" s="11">
        <f t="shared" si="51"/>
        <v>80</v>
      </c>
      <c r="F176" s="11">
        <f t="shared" si="52"/>
        <v>97</v>
      </c>
      <c r="G176" s="11">
        <f t="shared" si="53"/>
        <v>102</v>
      </c>
      <c r="H176" s="8">
        <f t="shared" si="54"/>
        <v>2590</v>
      </c>
      <c r="I176" s="8">
        <f t="shared" si="55"/>
        <v>2573</v>
      </c>
      <c r="J176" s="8">
        <f t="shared" si="56"/>
        <v>2568</v>
      </c>
      <c r="K176" s="8">
        <f t="shared" si="69"/>
        <v>3000</v>
      </c>
      <c r="L176" s="8">
        <f t="shared" si="70"/>
        <v>3000</v>
      </c>
      <c r="M176" s="8">
        <f t="shared" si="71"/>
        <v>3000</v>
      </c>
      <c r="N176" s="8">
        <f t="shared" si="63"/>
        <v>-410</v>
      </c>
      <c r="O176" s="8">
        <f t="shared" si="64"/>
        <v>-427</v>
      </c>
      <c r="P176" s="8">
        <f t="shared" si="65"/>
        <v>-432</v>
      </c>
      <c r="Q176" s="11">
        <v>2</v>
      </c>
      <c r="R176" s="11">
        <v>5</v>
      </c>
      <c r="S176" s="11">
        <v>2</v>
      </c>
      <c r="T176" s="10">
        <f t="shared" si="57"/>
        <v>877</v>
      </c>
      <c r="U176" s="9">
        <f t="shared" si="66"/>
        <v>1790</v>
      </c>
      <c r="V176" s="9">
        <f t="shared" si="67"/>
        <v>1793</v>
      </c>
      <c r="W176" s="9">
        <f t="shared" si="68"/>
        <v>1818</v>
      </c>
      <c r="X176" s="10"/>
      <c r="Y176" s="8"/>
      <c r="Z176" s="8"/>
      <c r="AA176" s="8"/>
      <c r="AB176" s="19"/>
    </row>
    <row r="177" spans="1:28" ht="13.15" customHeight="1">
      <c r="A177" s="18">
        <v>163</v>
      </c>
      <c r="B177" s="17">
        <f t="shared" si="58"/>
        <v>45414</v>
      </c>
      <c r="C177" s="13">
        <f t="shared" si="59"/>
        <v>1069</v>
      </c>
      <c r="D177" s="12">
        <f t="shared" si="50"/>
        <v>1603</v>
      </c>
      <c r="E177" s="11">
        <f t="shared" si="51"/>
        <v>86</v>
      </c>
      <c r="F177" s="11">
        <f t="shared" si="52"/>
        <v>104</v>
      </c>
      <c r="G177" s="11">
        <f t="shared" si="53"/>
        <v>109</v>
      </c>
      <c r="H177" s="8">
        <f t="shared" si="54"/>
        <v>2586</v>
      </c>
      <c r="I177" s="8">
        <f t="shared" si="55"/>
        <v>2568</v>
      </c>
      <c r="J177" s="8">
        <f t="shared" si="56"/>
        <v>2563</v>
      </c>
      <c r="K177" s="8">
        <f t="shared" si="69"/>
        <v>3000</v>
      </c>
      <c r="L177" s="8">
        <f t="shared" si="70"/>
        <v>3000</v>
      </c>
      <c r="M177" s="8">
        <f t="shared" si="71"/>
        <v>3000</v>
      </c>
      <c r="N177" s="8">
        <f t="shared" si="63"/>
        <v>-414</v>
      </c>
      <c r="O177" s="8">
        <f t="shared" si="64"/>
        <v>-432</v>
      </c>
      <c r="P177" s="8">
        <f t="shared" si="65"/>
        <v>-437</v>
      </c>
      <c r="Q177" s="11">
        <v>4</v>
      </c>
      <c r="R177" s="11">
        <v>5</v>
      </c>
      <c r="S177" s="11">
        <v>5</v>
      </c>
      <c r="T177" s="10">
        <f t="shared" si="57"/>
        <v>884</v>
      </c>
      <c r="U177" s="9">
        <f t="shared" si="66"/>
        <v>1786</v>
      </c>
      <c r="V177" s="9">
        <f t="shared" si="67"/>
        <v>1788</v>
      </c>
      <c r="W177" s="9">
        <f t="shared" si="68"/>
        <v>1813</v>
      </c>
      <c r="X177" s="10"/>
      <c r="Y177" s="8"/>
      <c r="Z177" s="8"/>
      <c r="AA177" s="8"/>
      <c r="AB177" s="19"/>
    </row>
    <row r="178" spans="1:28" ht="13.15" customHeight="1">
      <c r="A178" s="18">
        <v>164</v>
      </c>
      <c r="B178" s="17">
        <f t="shared" si="58"/>
        <v>45415</v>
      </c>
      <c r="C178" s="13">
        <f t="shared" si="59"/>
        <v>1069</v>
      </c>
      <c r="D178" s="12">
        <f t="shared" si="50"/>
        <v>1605</v>
      </c>
      <c r="E178" s="11">
        <f t="shared" si="51"/>
        <v>96</v>
      </c>
      <c r="F178" s="11">
        <f t="shared" si="52"/>
        <v>115</v>
      </c>
      <c r="G178" s="11">
        <f t="shared" si="53"/>
        <v>119</v>
      </c>
      <c r="H178" s="8">
        <f t="shared" si="54"/>
        <v>2578</v>
      </c>
      <c r="I178" s="8">
        <f t="shared" si="55"/>
        <v>2559</v>
      </c>
      <c r="J178" s="8">
        <f t="shared" si="56"/>
        <v>2555</v>
      </c>
      <c r="K178" s="8">
        <f t="shared" si="69"/>
        <v>3000</v>
      </c>
      <c r="L178" s="8">
        <f t="shared" si="70"/>
        <v>3000</v>
      </c>
      <c r="M178" s="8">
        <f t="shared" si="71"/>
        <v>3000</v>
      </c>
      <c r="N178" s="8">
        <f t="shared" si="63"/>
        <v>-422</v>
      </c>
      <c r="O178" s="8">
        <f t="shared" si="64"/>
        <v>-441</v>
      </c>
      <c r="P178" s="8">
        <f t="shared" si="65"/>
        <v>-445</v>
      </c>
      <c r="Q178" s="11">
        <v>8</v>
      </c>
      <c r="R178" s="11">
        <v>9</v>
      </c>
      <c r="S178" s="11">
        <v>8</v>
      </c>
      <c r="T178" s="10">
        <f t="shared" si="57"/>
        <v>595</v>
      </c>
      <c r="U178" s="9">
        <f t="shared" si="66"/>
        <v>2078</v>
      </c>
      <c r="V178" s="9">
        <f t="shared" si="67"/>
        <v>2079</v>
      </c>
      <c r="W178" s="9">
        <f t="shared" si="68"/>
        <v>2105</v>
      </c>
      <c r="X178" s="16">
        <v>0.3</v>
      </c>
      <c r="Y178" s="8"/>
      <c r="Z178" s="8"/>
      <c r="AA178" s="8"/>
      <c r="AB178" s="19">
        <v>1</v>
      </c>
    </row>
    <row r="179" spans="1:28" ht="13.15" customHeight="1">
      <c r="A179" s="18">
        <v>165</v>
      </c>
      <c r="B179" s="17">
        <f t="shared" si="58"/>
        <v>45416</v>
      </c>
      <c r="C179" s="13">
        <f t="shared" si="59"/>
        <v>1069</v>
      </c>
      <c r="D179" s="12">
        <f t="shared" si="50"/>
        <v>1607</v>
      </c>
      <c r="E179" s="11">
        <f t="shared" si="51"/>
        <v>103</v>
      </c>
      <c r="F179" s="11">
        <f t="shared" si="52"/>
        <v>122</v>
      </c>
      <c r="G179" s="11">
        <f t="shared" si="53"/>
        <v>125</v>
      </c>
      <c r="H179" s="8">
        <f t="shared" si="54"/>
        <v>2573</v>
      </c>
      <c r="I179" s="8">
        <f t="shared" si="55"/>
        <v>2554</v>
      </c>
      <c r="J179" s="8">
        <f t="shared" si="56"/>
        <v>2551</v>
      </c>
      <c r="K179" s="8">
        <f t="shared" si="69"/>
        <v>3000</v>
      </c>
      <c r="L179" s="8">
        <f t="shared" si="70"/>
        <v>3000</v>
      </c>
      <c r="M179" s="8">
        <f t="shared" si="71"/>
        <v>3000</v>
      </c>
      <c r="N179" s="8">
        <f t="shared" si="63"/>
        <v>-427</v>
      </c>
      <c r="O179" s="8">
        <f t="shared" si="64"/>
        <v>-446</v>
      </c>
      <c r="P179" s="8">
        <f t="shared" si="65"/>
        <v>-449</v>
      </c>
      <c r="Q179" s="11">
        <v>5</v>
      </c>
      <c r="R179" s="11">
        <v>5</v>
      </c>
      <c r="S179" s="11">
        <v>4</v>
      </c>
      <c r="T179" s="10">
        <f t="shared" si="57"/>
        <v>602</v>
      </c>
      <c r="U179" s="9">
        <f t="shared" si="66"/>
        <v>2073</v>
      </c>
      <c r="V179" s="9">
        <f t="shared" si="67"/>
        <v>2074</v>
      </c>
      <c r="W179" s="9">
        <f t="shared" si="68"/>
        <v>2101</v>
      </c>
      <c r="X179" s="10"/>
      <c r="Y179" s="8"/>
      <c r="Z179" s="8"/>
      <c r="AA179" s="8"/>
      <c r="AB179" s="19"/>
    </row>
    <row r="180" spans="1:28" ht="13.15" customHeight="1">
      <c r="A180" s="18">
        <v>166</v>
      </c>
      <c r="B180" s="17">
        <f t="shared" si="58"/>
        <v>45417</v>
      </c>
      <c r="C180" s="13">
        <f t="shared" si="59"/>
        <v>1069</v>
      </c>
      <c r="D180" s="12">
        <f t="shared" si="50"/>
        <v>1609</v>
      </c>
      <c r="E180" s="11">
        <f t="shared" si="51"/>
        <v>110</v>
      </c>
      <c r="F180" s="11">
        <f t="shared" si="52"/>
        <v>128</v>
      </c>
      <c r="G180" s="11">
        <f t="shared" si="53"/>
        <v>130</v>
      </c>
      <c r="H180" s="8">
        <f t="shared" si="54"/>
        <v>2568</v>
      </c>
      <c r="I180" s="8">
        <f t="shared" si="55"/>
        <v>2550</v>
      </c>
      <c r="J180" s="8">
        <f t="shared" si="56"/>
        <v>2548</v>
      </c>
      <c r="K180" s="8">
        <f t="shared" si="69"/>
        <v>3000</v>
      </c>
      <c r="L180" s="8">
        <f t="shared" si="70"/>
        <v>3000</v>
      </c>
      <c r="M180" s="8">
        <f t="shared" si="71"/>
        <v>3000</v>
      </c>
      <c r="N180" s="8">
        <f t="shared" si="63"/>
        <v>-432</v>
      </c>
      <c r="O180" s="8">
        <f t="shared" si="64"/>
        <v>-450</v>
      </c>
      <c r="P180" s="8">
        <f t="shared" si="65"/>
        <v>-452</v>
      </c>
      <c r="Q180" s="11">
        <v>5</v>
      </c>
      <c r="R180" s="11">
        <v>4</v>
      </c>
      <c r="S180" s="11">
        <v>3</v>
      </c>
      <c r="T180" s="10">
        <f t="shared" si="57"/>
        <v>608</v>
      </c>
      <c r="U180" s="9">
        <f t="shared" si="66"/>
        <v>2068</v>
      </c>
      <c r="V180" s="9">
        <f t="shared" si="67"/>
        <v>2070</v>
      </c>
      <c r="W180" s="9">
        <f t="shared" si="68"/>
        <v>2098</v>
      </c>
      <c r="X180" s="10"/>
      <c r="Y180" s="8"/>
      <c r="Z180" s="8"/>
      <c r="AA180" s="8"/>
      <c r="AB180" s="19"/>
    </row>
    <row r="181" spans="1:28" ht="13.15" customHeight="1">
      <c r="A181" s="18">
        <v>167</v>
      </c>
      <c r="B181" s="17">
        <f t="shared" si="58"/>
        <v>45418</v>
      </c>
      <c r="C181" s="13">
        <f t="shared" si="59"/>
        <v>1069</v>
      </c>
      <c r="D181" s="12">
        <f t="shared" si="50"/>
        <v>1611</v>
      </c>
      <c r="E181" s="11">
        <f t="shared" si="51"/>
        <v>116</v>
      </c>
      <c r="F181" s="11">
        <f t="shared" si="52"/>
        <v>134</v>
      </c>
      <c r="G181" s="11">
        <f t="shared" si="53"/>
        <v>133</v>
      </c>
      <c r="H181" s="8">
        <f t="shared" si="54"/>
        <v>2564</v>
      </c>
      <c r="I181" s="8">
        <f t="shared" si="55"/>
        <v>2546</v>
      </c>
      <c r="J181" s="8">
        <f t="shared" si="56"/>
        <v>2547</v>
      </c>
      <c r="K181" s="8">
        <f t="shared" si="69"/>
        <v>3000</v>
      </c>
      <c r="L181" s="8">
        <f t="shared" si="70"/>
        <v>3000</v>
      </c>
      <c r="M181" s="8">
        <f t="shared" si="71"/>
        <v>3000</v>
      </c>
      <c r="N181" s="8">
        <f t="shared" si="63"/>
        <v>-436</v>
      </c>
      <c r="O181" s="8">
        <f t="shared" si="64"/>
        <v>-454</v>
      </c>
      <c r="P181" s="8">
        <f t="shared" si="65"/>
        <v>-453</v>
      </c>
      <c r="Q181" s="11">
        <v>4</v>
      </c>
      <c r="R181" s="11">
        <v>4</v>
      </c>
      <c r="S181" s="11">
        <v>1</v>
      </c>
      <c r="T181" s="10">
        <f t="shared" si="57"/>
        <v>614</v>
      </c>
      <c r="U181" s="9">
        <f t="shared" si="66"/>
        <v>2064</v>
      </c>
      <c r="V181" s="9">
        <f t="shared" si="67"/>
        <v>2066</v>
      </c>
      <c r="W181" s="9">
        <f t="shared" si="68"/>
        <v>2097</v>
      </c>
      <c r="X181" s="10"/>
      <c r="Y181" s="8"/>
      <c r="Z181" s="8"/>
      <c r="AA181" s="8"/>
      <c r="AB181" s="19"/>
    </row>
    <row r="182" spans="1:28" ht="13.15" customHeight="1">
      <c r="A182" s="18">
        <v>168</v>
      </c>
      <c r="B182" s="17">
        <f t="shared" si="58"/>
        <v>45419</v>
      </c>
      <c r="C182" s="13">
        <f t="shared" si="59"/>
        <v>1069</v>
      </c>
      <c r="D182" s="12">
        <f t="shared" si="50"/>
        <v>1613</v>
      </c>
      <c r="E182" s="11">
        <f t="shared" si="51"/>
        <v>121</v>
      </c>
      <c r="F182" s="11">
        <f t="shared" si="52"/>
        <v>139</v>
      </c>
      <c r="G182" s="11">
        <f t="shared" si="53"/>
        <v>136</v>
      </c>
      <c r="H182" s="8">
        <f t="shared" si="54"/>
        <v>2561</v>
      </c>
      <c r="I182" s="8">
        <f t="shared" si="55"/>
        <v>2543</v>
      </c>
      <c r="J182" s="8">
        <f t="shared" si="56"/>
        <v>2546</v>
      </c>
      <c r="K182" s="8">
        <f t="shared" si="69"/>
        <v>3000</v>
      </c>
      <c r="L182" s="8">
        <f t="shared" si="70"/>
        <v>3000</v>
      </c>
      <c r="M182" s="8">
        <f t="shared" si="71"/>
        <v>3000</v>
      </c>
      <c r="N182" s="8">
        <f t="shared" si="63"/>
        <v>-439</v>
      </c>
      <c r="O182" s="8">
        <f t="shared" si="64"/>
        <v>-457</v>
      </c>
      <c r="P182" s="8">
        <f t="shared" si="65"/>
        <v>-454</v>
      </c>
      <c r="Q182" s="11">
        <v>3</v>
      </c>
      <c r="R182" s="11">
        <v>3</v>
      </c>
      <c r="S182" s="11">
        <v>1</v>
      </c>
      <c r="T182" s="10">
        <f t="shared" si="57"/>
        <v>619</v>
      </c>
      <c r="U182" s="9">
        <f t="shared" si="66"/>
        <v>2061</v>
      </c>
      <c r="V182" s="9">
        <f t="shared" si="67"/>
        <v>2063</v>
      </c>
      <c r="W182" s="9">
        <f t="shared" si="68"/>
        <v>2096</v>
      </c>
      <c r="X182" s="10"/>
      <c r="Y182" s="8"/>
      <c r="Z182" s="8"/>
      <c r="AA182" s="8"/>
      <c r="AB182" s="19"/>
    </row>
    <row r="183" spans="1:28" ht="13.15" customHeight="1">
      <c r="A183" s="18">
        <v>169</v>
      </c>
      <c r="B183" s="17">
        <f t="shared" si="58"/>
        <v>45420</v>
      </c>
      <c r="C183" s="13">
        <f t="shared" si="59"/>
        <v>1069</v>
      </c>
      <c r="D183" s="12">
        <f t="shared" si="50"/>
        <v>1615</v>
      </c>
      <c r="E183" s="11">
        <f t="shared" si="51"/>
        <v>125</v>
      </c>
      <c r="F183" s="11">
        <f t="shared" si="52"/>
        <v>146</v>
      </c>
      <c r="G183" s="11">
        <f t="shared" si="53"/>
        <v>139</v>
      </c>
      <c r="H183" s="8">
        <f t="shared" si="54"/>
        <v>2559</v>
      </c>
      <c r="I183" s="8">
        <f t="shared" si="55"/>
        <v>2538</v>
      </c>
      <c r="J183" s="8">
        <f t="shared" si="56"/>
        <v>2545</v>
      </c>
      <c r="K183" s="8">
        <f t="shared" si="69"/>
        <v>3000</v>
      </c>
      <c r="L183" s="8">
        <f t="shared" si="70"/>
        <v>3000</v>
      </c>
      <c r="M183" s="8">
        <f t="shared" si="71"/>
        <v>3000</v>
      </c>
      <c r="N183" s="8">
        <f t="shared" si="63"/>
        <v>-441</v>
      </c>
      <c r="O183" s="8">
        <f t="shared" si="64"/>
        <v>-462</v>
      </c>
      <c r="P183" s="8">
        <f t="shared" si="65"/>
        <v>-455</v>
      </c>
      <c r="Q183" s="11">
        <v>2</v>
      </c>
      <c r="R183" s="11">
        <v>5</v>
      </c>
      <c r="S183" s="11">
        <v>1</v>
      </c>
      <c r="T183" s="10">
        <f t="shared" si="57"/>
        <v>626</v>
      </c>
      <c r="U183" s="9">
        <f t="shared" si="66"/>
        <v>2059</v>
      </c>
      <c r="V183" s="9">
        <f t="shared" si="67"/>
        <v>2058</v>
      </c>
      <c r="W183" s="9">
        <f t="shared" si="68"/>
        <v>2095</v>
      </c>
      <c r="X183" s="10"/>
      <c r="Y183" s="8"/>
      <c r="Z183" s="8"/>
      <c r="AA183" s="8"/>
      <c r="AB183" s="19"/>
    </row>
    <row r="184" spans="1:28" ht="13.15" customHeight="1">
      <c r="A184" s="18">
        <v>170</v>
      </c>
      <c r="B184" s="17">
        <f t="shared" si="58"/>
        <v>45421</v>
      </c>
      <c r="C184" s="13">
        <f t="shared" si="59"/>
        <v>1069</v>
      </c>
      <c r="D184" s="12">
        <f t="shared" si="50"/>
        <v>1617</v>
      </c>
      <c r="E184" s="11">
        <f t="shared" si="51"/>
        <v>131</v>
      </c>
      <c r="F184" s="11">
        <f t="shared" si="52"/>
        <v>153</v>
      </c>
      <c r="G184" s="11">
        <f t="shared" si="53"/>
        <v>144</v>
      </c>
      <c r="H184" s="8">
        <f t="shared" si="54"/>
        <v>2555</v>
      </c>
      <c r="I184" s="8">
        <f t="shared" si="55"/>
        <v>2533</v>
      </c>
      <c r="J184" s="8">
        <f t="shared" si="56"/>
        <v>2542</v>
      </c>
      <c r="K184" s="8">
        <f t="shared" si="69"/>
        <v>3000</v>
      </c>
      <c r="L184" s="8">
        <f t="shared" si="70"/>
        <v>3000</v>
      </c>
      <c r="M184" s="8">
        <f t="shared" si="71"/>
        <v>3000</v>
      </c>
      <c r="N184" s="8">
        <f t="shared" si="63"/>
        <v>-445</v>
      </c>
      <c r="O184" s="8">
        <f t="shared" si="64"/>
        <v>-467</v>
      </c>
      <c r="P184" s="8">
        <f t="shared" si="65"/>
        <v>-458</v>
      </c>
      <c r="Q184" s="11">
        <v>4</v>
      </c>
      <c r="R184" s="11">
        <v>5</v>
      </c>
      <c r="S184" s="11">
        <v>3</v>
      </c>
      <c r="T184" s="10">
        <f t="shared" si="57"/>
        <v>633</v>
      </c>
      <c r="U184" s="9">
        <f t="shared" si="66"/>
        <v>2055</v>
      </c>
      <c r="V184" s="9">
        <f t="shared" si="67"/>
        <v>2053</v>
      </c>
      <c r="W184" s="9">
        <f t="shared" si="68"/>
        <v>2092</v>
      </c>
      <c r="X184" s="10"/>
      <c r="Y184" s="8"/>
      <c r="Z184" s="8"/>
      <c r="AA184" s="8"/>
      <c r="AB184" s="19"/>
    </row>
    <row r="185" spans="1:28" ht="13.15" customHeight="1">
      <c r="A185" s="18">
        <v>171</v>
      </c>
      <c r="B185" s="17">
        <f t="shared" si="58"/>
        <v>45422</v>
      </c>
      <c r="C185" s="13">
        <f t="shared" si="59"/>
        <v>1069</v>
      </c>
      <c r="D185" s="12">
        <f t="shared" si="50"/>
        <v>1619</v>
      </c>
      <c r="E185" s="11">
        <f t="shared" si="51"/>
        <v>135</v>
      </c>
      <c r="F185" s="11">
        <f t="shared" si="52"/>
        <v>159</v>
      </c>
      <c r="G185" s="11">
        <f t="shared" si="53"/>
        <v>147</v>
      </c>
      <c r="H185" s="8">
        <f t="shared" si="54"/>
        <v>2553</v>
      </c>
      <c r="I185" s="8">
        <f t="shared" si="55"/>
        <v>2529</v>
      </c>
      <c r="J185" s="8">
        <f t="shared" si="56"/>
        <v>2541</v>
      </c>
      <c r="K185" s="8">
        <f t="shared" si="69"/>
        <v>3000</v>
      </c>
      <c r="L185" s="8">
        <f t="shared" si="70"/>
        <v>3000</v>
      </c>
      <c r="M185" s="8">
        <f t="shared" si="71"/>
        <v>3000</v>
      </c>
      <c r="N185" s="8">
        <f t="shared" si="63"/>
        <v>-447</v>
      </c>
      <c r="O185" s="8">
        <f t="shared" si="64"/>
        <v>-471</v>
      </c>
      <c r="P185" s="8">
        <f t="shared" si="65"/>
        <v>-459</v>
      </c>
      <c r="Q185" s="11">
        <v>2</v>
      </c>
      <c r="R185" s="11">
        <v>4</v>
      </c>
      <c r="S185" s="11">
        <v>1</v>
      </c>
      <c r="T185" s="10">
        <f t="shared" si="57"/>
        <v>639</v>
      </c>
      <c r="U185" s="9">
        <f t="shared" si="66"/>
        <v>2053</v>
      </c>
      <c r="V185" s="9">
        <f t="shared" si="67"/>
        <v>2049</v>
      </c>
      <c r="W185" s="9">
        <f t="shared" si="68"/>
        <v>2091</v>
      </c>
      <c r="X185" s="10"/>
      <c r="Y185" s="8"/>
      <c r="Z185" s="8"/>
      <c r="AA185" s="8"/>
      <c r="AB185" s="19"/>
    </row>
    <row r="186" spans="1:28" ht="13.15" customHeight="1">
      <c r="A186" s="18">
        <v>172</v>
      </c>
      <c r="B186" s="17">
        <f t="shared" si="58"/>
        <v>45423</v>
      </c>
      <c r="C186" s="13">
        <f t="shared" si="59"/>
        <v>1069</v>
      </c>
      <c r="D186" s="12">
        <f t="shared" si="50"/>
        <v>1621</v>
      </c>
      <c r="E186" s="11">
        <f t="shared" si="51"/>
        <v>137</v>
      </c>
      <c r="F186" s="11">
        <f t="shared" si="52"/>
        <v>161</v>
      </c>
      <c r="G186" s="11">
        <f t="shared" si="53"/>
        <v>149</v>
      </c>
      <c r="H186" s="8">
        <f t="shared" si="54"/>
        <v>2553</v>
      </c>
      <c r="I186" s="8">
        <f t="shared" si="55"/>
        <v>2529</v>
      </c>
      <c r="J186" s="8">
        <f t="shared" si="56"/>
        <v>2541</v>
      </c>
      <c r="K186" s="8">
        <f t="shared" si="69"/>
        <v>3000</v>
      </c>
      <c r="L186" s="8">
        <f t="shared" si="70"/>
        <v>3000</v>
      </c>
      <c r="M186" s="8">
        <f t="shared" si="71"/>
        <v>3000</v>
      </c>
      <c r="N186" s="8">
        <f t="shared" si="63"/>
        <v>-447</v>
      </c>
      <c r="O186" s="8">
        <f t="shared" si="64"/>
        <v>-471</v>
      </c>
      <c r="P186" s="8">
        <f t="shared" si="65"/>
        <v>-459</v>
      </c>
      <c r="Q186" s="20">
        <v>0</v>
      </c>
      <c r="R186" s="20">
        <v>0</v>
      </c>
      <c r="S186" s="20">
        <v>0</v>
      </c>
      <c r="T186" s="10">
        <f t="shared" si="57"/>
        <v>641</v>
      </c>
      <c r="U186" s="9">
        <f t="shared" si="66"/>
        <v>2053</v>
      </c>
      <c r="V186" s="9">
        <f t="shared" si="67"/>
        <v>2049</v>
      </c>
      <c r="W186" s="9">
        <f t="shared" si="68"/>
        <v>2091</v>
      </c>
      <c r="X186" s="10"/>
      <c r="Y186" s="8"/>
      <c r="Z186" s="8"/>
      <c r="AA186" s="8"/>
      <c r="AB186" s="19"/>
    </row>
    <row r="187" spans="1:28" ht="13.15" customHeight="1">
      <c r="A187" s="18">
        <v>173</v>
      </c>
      <c r="B187" s="17">
        <f t="shared" si="58"/>
        <v>45424</v>
      </c>
      <c r="C187" s="13">
        <f t="shared" si="59"/>
        <v>1069</v>
      </c>
      <c r="D187" s="12">
        <f t="shared" si="50"/>
        <v>1623</v>
      </c>
      <c r="E187" s="11">
        <f t="shared" si="51"/>
        <v>139</v>
      </c>
      <c r="F187" s="11">
        <f t="shared" si="52"/>
        <v>163</v>
      </c>
      <c r="G187" s="11">
        <f t="shared" si="53"/>
        <v>151</v>
      </c>
      <c r="H187" s="8">
        <f t="shared" si="54"/>
        <v>2553</v>
      </c>
      <c r="I187" s="8">
        <f t="shared" si="55"/>
        <v>2529</v>
      </c>
      <c r="J187" s="8">
        <f t="shared" si="56"/>
        <v>2541</v>
      </c>
      <c r="K187" s="8">
        <f t="shared" si="69"/>
        <v>3000</v>
      </c>
      <c r="L187" s="8">
        <f t="shared" si="70"/>
        <v>3000</v>
      </c>
      <c r="M187" s="8">
        <f t="shared" si="71"/>
        <v>3000</v>
      </c>
      <c r="N187" s="8">
        <f t="shared" si="63"/>
        <v>-447</v>
      </c>
      <c r="O187" s="8">
        <f t="shared" si="64"/>
        <v>-471</v>
      </c>
      <c r="P187" s="8">
        <f t="shared" si="65"/>
        <v>-459</v>
      </c>
      <c r="Q187" s="11">
        <v>0</v>
      </c>
      <c r="R187" s="11">
        <v>0</v>
      </c>
      <c r="S187" s="11">
        <v>0</v>
      </c>
      <c r="T187" s="10">
        <f t="shared" si="57"/>
        <v>643</v>
      </c>
      <c r="U187" s="9">
        <f t="shared" si="66"/>
        <v>2053</v>
      </c>
      <c r="V187" s="9">
        <f t="shared" si="67"/>
        <v>2049</v>
      </c>
      <c r="W187" s="9">
        <f t="shared" si="68"/>
        <v>2091</v>
      </c>
      <c r="X187" s="10"/>
      <c r="Y187" s="8"/>
      <c r="Z187" s="8"/>
      <c r="AA187" s="8"/>
      <c r="AB187" s="19"/>
    </row>
    <row r="188" spans="1:28" ht="13.15" customHeight="1">
      <c r="A188" s="18">
        <v>174</v>
      </c>
      <c r="B188" s="17">
        <f t="shared" si="58"/>
        <v>45425</v>
      </c>
      <c r="C188" s="13">
        <f t="shared" si="59"/>
        <v>1069</v>
      </c>
      <c r="D188" s="12">
        <f t="shared" si="50"/>
        <v>1625</v>
      </c>
      <c r="E188" s="11">
        <f t="shared" si="51"/>
        <v>141</v>
      </c>
      <c r="F188" s="11">
        <f t="shared" si="52"/>
        <v>165</v>
      </c>
      <c r="G188" s="11">
        <f t="shared" si="53"/>
        <v>153</v>
      </c>
      <c r="H188" s="8">
        <f t="shared" si="54"/>
        <v>2553</v>
      </c>
      <c r="I188" s="8">
        <f t="shared" si="55"/>
        <v>2529</v>
      </c>
      <c r="J188" s="8">
        <f t="shared" si="56"/>
        <v>2541</v>
      </c>
      <c r="K188" s="8">
        <f t="shared" si="69"/>
        <v>3000</v>
      </c>
      <c r="L188" s="8">
        <f t="shared" si="70"/>
        <v>3000</v>
      </c>
      <c r="M188" s="8">
        <f t="shared" si="71"/>
        <v>3000</v>
      </c>
      <c r="N188" s="8">
        <f t="shared" si="63"/>
        <v>-447</v>
      </c>
      <c r="O188" s="8">
        <f t="shared" si="64"/>
        <v>-471</v>
      </c>
      <c r="P188" s="8">
        <f t="shared" si="65"/>
        <v>-459</v>
      </c>
      <c r="Q188" s="11">
        <v>0</v>
      </c>
      <c r="R188" s="11">
        <v>0</v>
      </c>
      <c r="S188" s="11">
        <v>0</v>
      </c>
      <c r="T188" s="10">
        <f t="shared" si="57"/>
        <v>645</v>
      </c>
      <c r="U188" s="9">
        <f t="shared" si="66"/>
        <v>2053</v>
      </c>
      <c r="V188" s="9">
        <f t="shared" si="67"/>
        <v>2049</v>
      </c>
      <c r="W188" s="9">
        <f t="shared" si="68"/>
        <v>2091</v>
      </c>
      <c r="X188" s="10"/>
      <c r="Y188" s="8"/>
      <c r="Z188" s="8"/>
      <c r="AA188" s="8"/>
      <c r="AB188" s="19"/>
    </row>
    <row r="189" spans="1:28" ht="13.15" customHeight="1">
      <c r="A189" s="18">
        <v>175</v>
      </c>
      <c r="B189" s="17">
        <f t="shared" si="58"/>
        <v>45426</v>
      </c>
      <c r="C189" s="13">
        <f t="shared" si="59"/>
        <v>1069</v>
      </c>
      <c r="D189" s="12">
        <f t="shared" si="50"/>
        <v>1627</v>
      </c>
      <c r="E189" s="11">
        <f t="shared" si="51"/>
        <v>143</v>
      </c>
      <c r="F189" s="11">
        <f t="shared" si="52"/>
        <v>167</v>
      </c>
      <c r="G189" s="11">
        <f t="shared" si="53"/>
        <v>155</v>
      </c>
      <c r="H189" s="8">
        <f t="shared" si="54"/>
        <v>2553</v>
      </c>
      <c r="I189" s="8">
        <f t="shared" si="55"/>
        <v>2529</v>
      </c>
      <c r="J189" s="8">
        <f t="shared" si="56"/>
        <v>2541</v>
      </c>
      <c r="K189" s="8">
        <f t="shared" si="69"/>
        <v>3000</v>
      </c>
      <c r="L189" s="8">
        <f t="shared" si="70"/>
        <v>3000</v>
      </c>
      <c r="M189" s="8">
        <f t="shared" si="71"/>
        <v>3000</v>
      </c>
      <c r="N189" s="8">
        <f t="shared" si="63"/>
        <v>-447</v>
      </c>
      <c r="O189" s="8">
        <f t="shared" si="64"/>
        <v>-471</v>
      </c>
      <c r="P189" s="8">
        <f t="shared" si="65"/>
        <v>-459</v>
      </c>
      <c r="Q189" s="11">
        <v>0</v>
      </c>
      <c r="R189" s="11">
        <v>0</v>
      </c>
      <c r="S189" s="11">
        <v>0</v>
      </c>
      <c r="T189" s="10">
        <f t="shared" si="57"/>
        <v>647</v>
      </c>
      <c r="U189" s="9">
        <f t="shared" si="66"/>
        <v>2053</v>
      </c>
      <c r="V189" s="9">
        <f t="shared" si="67"/>
        <v>2049</v>
      </c>
      <c r="W189" s="9">
        <f t="shared" si="68"/>
        <v>2091</v>
      </c>
      <c r="X189" s="10"/>
      <c r="Y189" s="8"/>
      <c r="Z189" s="8"/>
      <c r="AA189" s="8"/>
      <c r="AB189" s="19"/>
    </row>
    <row r="190" spans="1:28" ht="13.15" customHeight="1">
      <c r="A190" s="18">
        <v>176</v>
      </c>
      <c r="B190" s="17">
        <f t="shared" si="58"/>
        <v>45427</v>
      </c>
      <c r="C190" s="13">
        <f t="shared" si="59"/>
        <v>1069</v>
      </c>
      <c r="D190" s="12">
        <f t="shared" si="50"/>
        <v>1629</v>
      </c>
      <c r="E190" s="11">
        <f t="shared" si="51"/>
        <v>145</v>
      </c>
      <c r="F190" s="11">
        <f t="shared" si="52"/>
        <v>169</v>
      </c>
      <c r="G190" s="11">
        <f t="shared" si="53"/>
        <v>157</v>
      </c>
      <c r="H190" s="8">
        <f t="shared" si="54"/>
        <v>2553</v>
      </c>
      <c r="I190" s="8">
        <f t="shared" si="55"/>
        <v>2529</v>
      </c>
      <c r="J190" s="8">
        <f t="shared" si="56"/>
        <v>2541</v>
      </c>
      <c r="K190" s="8">
        <f t="shared" si="69"/>
        <v>3000</v>
      </c>
      <c r="L190" s="8">
        <f t="shared" si="70"/>
        <v>3000</v>
      </c>
      <c r="M190" s="8">
        <f t="shared" si="71"/>
        <v>3000</v>
      </c>
      <c r="N190" s="8">
        <f t="shared" si="63"/>
        <v>-447</v>
      </c>
      <c r="O190" s="8">
        <f t="shared" si="64"/>
        <v>-471</v>
      </c>
      <c r="P190" s="8">
        <f t="shared" si="65"/>
        <v>-459</v>
      </c>
      <c r="Q190" s="11">
        <v>0</v>
      </c>
      <c r="R190" s="11">
        <v>0</v>
      </c>
      <c r="S190" s="11">
        <v>0</v>
      </c>
      <c r="T190" s="10">
        <f t="shared" si="57"/>
        <v>649</v>
      </c>
      <c r="U190" s="9">
        <f t="shared" si="66"/>
        <v>2053</v>
      </c>
      <c r="V190" s="9">
        <f t="shared" si="67"/>
        <v>2049</v>
      </c>
      <c r="W190" s="9">
        <f t="shared" si="68"/>
        <v>2091</v>
      </c>
      <c r="X190" s="10"/>
      <c r="Y190" s="8"/>
      <c r="Z190" s="8"/>
      <c r="AA190" s="8"/>
      <c r="AB190" s="19"/>
    </row>
    <row r="191" spans="1:28" ht="13.15" customHeight="1">
      <c r="A191" s="18">
        <v>177</v>
      </c>
      <c r="B191" s="17">
        <f t="shared" si="58"/>
        <v>45428</v>
      </c>
      <c r="C191" s="13">
        <f t="shared" si="59"/>
        <v>1069</v>
      </c>
      <c r="D191" s="12">
        <f t="shared" ref="D191:D254" si="72">D190+2</f>
        <v>1631</v>
      </c>
      <c r="E191" s="11">
        <f t="shared" si="51"/>
        <v>147</v>
      </c>
      <c r="F191" s="11">
        <f t="shared" si="52"/>
        <v>171</v>
      </c>
      <c r="G191" s="11">
        <f t="shared" si="53"/>
        <v>159</v>
      </c>
      <c r="H191" s="8">
        <f t="shared" si="54"/>
        <v>2553</v>
      </c>
      <c r="I191" s="8">
        <f t="shared" si="55"/>
        <v>2529</v>
      </c>
      <c r="J191" s="8">
        <f t="shared" si="56"/>
        <v>2541</v>
      </c>
      <c r="K191" s="8">
        <f t="shared" si="69"/>
        <v>3000</v>
      </c>
      <c r="L191" s="8">
        <f t="shared" si="70"/>
        <v>3000</v>
      </c>
      <c r="M191" s="8">
        <f t="shared" si="71"/>
        <v>3000</v>
      </c>
      <c r="N191" s="8">
        <f t="shared" si="63"/>
        <v>-447</v>
      </c>
      <c r="O191" s="8">
        <f t="shared" si="64"/>
        <v>-471</v>
      </c>
      <c r="P191" s="8">
        <f t="shared" si="65"/>
        <v>-459</v>
      </c>
      <c r="Q191" s="11">
        <v>0</v>
      </c>
      <c r="R191" s="11">
        <v>0</v>
      </c>
      <c r="S191" s="11">
        <v>0</v>
      </c>
      <c r="T191" s="10">
        <f t="shared" si="57"/>
        <v>651</v>
      </c>
      <c r="U191" s="9">
        <f t="shared" si="66"/>
        <v>2053</v>
      </c>
      <c r="V191" s="9">
        <f t="shared" si="67"/>
        <v>2049</v>
      </c>
      <c r="W191" s="9">
        <f t="shared" si="68"/>
        <v>2091</v>
      </c>
      <c r="X191" s="10"/>
      <c r="Y191" s="8"/>
      <c r="Z191" s="8"/>
      <c r="AA191" s="8"/>
      <c r="AB191" s="19"/>
    </row>
    <row r="192" spans="1:28" ht="13.15" customHeight="1">
      <c r="A192" s="18">
        <v>178</v>
      </c>
      <c r="B192" s="17">
        <f t="shared" si="58"/>
        <v>45429</v>
      </c>
      <c r="C192" s="13">
        <f t="shared" si="59"/>
        <v>1069</v>
      </c>
      <c r="D192" s="12">
        <f t="shared" si="72"/>
        <v>1633</v>
      </c>
      <c r="E192" s="11">
        <f t="shared" si="51"/>
        <v>149</v>
      </c>
      <c r="F192" s="11">
        <f t="shared" si="52"/>
        <v>173</v>
      </c>
      <c r="G192" s="11">
        <f t="shared" si="53"/>
        <v>161</v>
      </c>
      <c r="H192" s="8">
        <f t="shared" si="54"/>
        <v>2553</v>
      </c>
      <c r="I192" s="8">
        <f t="shared" si="55"/>
        <v>2529</v>
      </c>
      <c r="J192" s="8">
        <f t="shared" si="56"/>
        <v>2541</v>
      </c>
      <c r="K192" s="8">
        <f t="shared" si="69"/>
        <v>3000</v>
      </c>
      <c r="L192" s="8">
        <f t="shared" si="70"/>
        <v>3000</v>
      </c>
      <c r="M192" s="8">
        <f t="shared" si="71"/>
        <v>3000</v>
      </c>
      <c r="N192" s="8">
        <f t="shared" si="63"/>
        <v>-447</v>
      </c>
      <c r="O192" s="8">
        <f t="shared" si="64"/>
        <v>-471</v>
      </c>
      <c r="P192" s="8">
        <f t="shared" si="65"/>
        <v>-459</v>
      </c>
      <c r="Q192" s="11">
        <v>0</v>
      </c>
      <c r="R192" s="11">
        <v>0</v>
      </c>
      <c r="S192" s="11">
        <v>0</v>
      </c>
      <c r="T192" s="10">
        <f t="shared" si="57"/>
        <v>653</v>
      </c>
      <c r="U192" s="9">
        <f t="shared" si="66"/>
        <v>2053</v>
      </c>
      <c r="V192" s="9">
        <f t="shared" si="67"/>
        <v>2049</v>
      </c>
      <c r="W192" s="9">
        <f t="shared" si="68"/>
        <v>2091</v>
      </c>
      <c r="X192" s="10"/>
      <c r="Y192" s="8"/>
      <c r="Z192" s="8"/>
      <c r="AA192" s="8"/>
      <c r="AB192" s="8"/>
    </row>
    <row r="193" spans="1:28" ht="13.15" customHeight="1">
      <c r="A193" s="18">
        <v>179</v>
      </c>
      <c r="B193" s="17">
        <f t="shared" si="58"/>
        <v>45430</v>
      </c>
      <c r="C193" s="13">
        <f t="shared" si="59"/>
        <v>1069</v>
      </c>
      <c r="D193" s="12">
        <f t="shared" si="72"/>
        <v>1635</v>
      </c>
      <c r="E193" s="11">
        <f t="shared" si="51"/>
        <v>151</v>
      </c>
      <c r="F193" s="11">
        <f t="shared" si="52"/>
        <v>175</v>
      </c>
      <c r="G193" s="11">
        <f t="shared" si="53"/>
        <v>163</v>
      </c>
      <c r="H193" s="8">
        <f t="shared" si="54"/>
        <v>2553</v>
      </c>
      <c r="I193" s="8">
        <f t="shared" si="55"/>
        <v>2529</v>
      </c>
      <c r="J193" s="8">
        <f t="shared" si="56"/>
        <v>2541</v>
      </c>
      <c r="K193" s="8">
        <f t="shared" si="69"/>
        <v>3000</v>
      </c>
      <c r="L193" s="8">
        <f t="shared" si="70"/>
        <v>3000</v>
      </c>
      <c r="M193" s="8">
        <f t="shared" si="71"/>
        <v>3000</v>
      </c>
      <c r="N193" s="8">
        <f t="shared" si="63"/>
        <v>-447</v>
      </c>
      <c r="O193" s="8">
        <f t="shared" si="64"/>
        <v>-471</v>
      </c>
      <c r="P193" s="8">
        <f t="shared" si="65"/>
        <v>-459</v>
      </c>
      <c r="Q193" s="11">
        <v>0</v>
      </c>
      <c r="R193" s="11">
        <v>0</v>
      </c>
      <c r="S193" s="11">
        <v>0</v>
      </c>
      <c r="T193" s="10">
        <f t="shared" si="57"/>
        <v>655</v>
      </c>
      <c r="U193" s="9">
        <f t="shared" si="66"/>
        <v>2053</v>
      </c>
      <c r="V193" s="9">
        <f t="shared" si="67"/>
        <v>2049</v>
      </c>
      <c r="W193" s="9">
        <f t="shared" si="68"/>
        <v>2091</v>
      </c>
      <c r="X193" s="10"/>
      <c r="Y193" s="8"/>
      <c r="Z193" s="8"/>
      <c r="AA193" s="8"/>
      <c r="AB193" s="8"/>
    </row>
    <row r="194" spans="1:28" ht="13.15" customHeight="1">
      <c r="A194" s="18">
        <v>180</v>
      </c>
      <c r="B194" s="17">
        <f t="shared" si="58"/>
        <v>45431</v>
      </c>
      <c r="C194" s="13">
        <f t="shared" si="59"/>
        <v>1069</v>
      </c>
      <c r="D194" s="12">
        <f t="shared" si="72"/>
        <v>1637</v>
      </c>
      <c r="E194" s="11">
        <f t="shared" si="51"/>
        <v>153</v>
      </c>
      <c r="F194" s="11">
        <f t="shared" si="52"/>
        <v>177</v>
      </c>
      <c r="G194" s="11">
        <f t="shared" si="53"/>
        <v>165</v>
      </c>
      <c r="H194" s="8">
        <f t="shared" si="54"/>
        <v>2553</v>
      </c>
      <c r="I194" s="8">
        <f t="shared" si="55"/>
        <v>2529</v>
      </c>
      <c r="J194" s="8">
        <f t="shared" si="56"/>
        <v>2541</v>
      </c>
      <c r="K194" s="8">
        <f t="shared" si="69"/>
        <v>3000</v>
      </c>
      <c r="L194" s="8">
        <f t="shared" si="70"/>
        <v>3000</v>
      </c>
      <c r="M194" s="8">
        <f t="shared" si="71"/>
        <v>3000</v>
      </c>
      <c r="N194" s="8">
        <f t="shared" si="63"/>
        <v>-447</v>
      </c>
      <c r="O194" s="8">
        <f t="shared" si="64"/>
        <v>-471</v>
      </c>
      <c r="P194" s="8">
        <f t="shared" si="65"/>
        <v>-459</v>
      </c>
      <c r="Q194" s="11">
        <v>0</v>
      </c>
      <c r="R194" s="11">
        <v>0</v>
      </c>
      <c r="S194" s="11">
        <v>0</v>
      </c>
      <c r="T194" s="10">
        <f t="shared" si="57"/>
        <v>657</v>
      </c>
      <c r="U194" s="9">
        <f t="shared" si="66"/>
        <v>2053</v>
      </c>
      <c r="V194" s="9">
        <f t="shared" si="67"/>
        <v>2049</v>
      </c>
      <c r="W194" s="9">
        <f t="shared" si="68"/>
        <v>2091</v>
      </c>
      <c r="X194" s="10"/>
      <c r="Y194" s="8"/>
      <c r="Z194" s="8"/>
      <c r="AA194" s="8"/>
      <c r="AB194" s="8"/>
    </row>
    <row r="195" spans="1:28" ht="13.15" customHeight="1">
      <c r="A195" s="18">
        <v>181</v>
      </c>
      <c r="B195" s="17">
        <f t="shared" si="58"/>
        <v>45432</v>
      </c>
      <c r="C195" s="13">
        <f t="shared" si="59"/>
        <v>1069</v>
      </c>
      <c r="D195" s="12">
        <f t="shared" si="72"/>
        <v>1639</v>
      </c>
      <c r="E195" s="11">
        <f t="shared" si="51"/>
        <v>155</v>
      </c>
      <c r="F195" s="11">
        <f t="shared" si="52"/>
        <v>179</v>
      </c>
      <c r="G195" s="11">
        <f t="shared" si="53"/>
        <v>167</v>
      </c>
      <c r="H195" s="8">
        <f t="shared" si="54"/>
        <v>2553</v>
      </c>
      <c r="I195" s="8">
        <f t="shared" si="55"/>
        <v>2529</v>
      </c>
      <c r="J195" s="8">
        <f t="shared" si="56"/>
        <v>2541</v>
      </c>
      <c r="K195" s="8">
        <f t="shared" si="69"/>
        <v>3000</v>
      </c>
      <c r="L195" s="8">
        <f t="shared" si="70"/>
        <v>3000</v>
      </c>
      <c r="M195" s="8">
        <f t="shared" si="71"/>
        <v>3000</v>
      </c>
      <c r="N195" s="8">
        <f t="shared" si="63"/>
        <v>-447</v>
      </c>
      <c r="O195" s="8">
        <f t="shared" si="64"/>
        <v>-471</v>
      </c>
      <c r="P195" s="8">
        <f t="shared" si="65"/>
        <v>-459</v>
      </c>
      <c r="Q195" s="11">
        <v>0</v>
      </c>
      <c r="R195" s="11">
        <v>0</v>
      </c>
      <c r="S195" s="11">
        <v>0</v>
      </c>
      <c r="T195" s="10">
        <f t="shared" si="57"/>
        <v>659</v>
      </c>
      <c r="U195" s="9">
        <f t="shared" si="66"/>
        <v>2053</v>
      </c>
      <c r="V195" s="9">
        <f t="shared" si="67"/>
        <v>2049</v>
      </c>
      <c r="W195" s="9">
        <f t="shared" si="68"/>
        <v>2091</v>
      </c>
      <c r="X195" s="10"/>
      <c r="Y195" s="8"/>
      <c r="Z195" s="8"/>
      <c r="AA195" s="8"/>
      <c r="AB195" s="8"/>
    </row>
    <row r="196" spans="1:28" ht="13.15" customHeight="1">
      <c r="A196" s="18">
        <v>182</v>
      </c>
      <c r="B196" s="17">
        <f t="shared" si="58"/>
        <v>45433</v>
      </c>
      <c r="C196" s="13">
        <f t="shared" si="59"/>
        <v>1069</v>
      </c>
      <c r="D196" s="12">
        <f t="shared" si="72"/>
        <v>1641</v>
      </c>
      <c r="E196" s="11">
        <f t="shared" si="51"/>
        <v>157</v>
      </c>
      <c r="F196" s="11">
        <f t="shared" si="52"/>
        <v>181</v>
      </c>
      <c r="G196" s="11">
        <f t="shared" si="53"/>
        <v>169</v>
      </c>
      <c r="H196" s="8">
        <f t="shared" si="54"/>
        <v>2553</v>
      </c>
      <c r="I196" s="8">
        <f t="shared" si="55"/>
        <v>2529</v>
      </c>
      <c r="J196" s="8">
        <f t="shared" si="56"/>
        <v>2541</v>
      </c>
      <c r="K196" s="8">
        <f t="shared" si="69"/>
        <v>3000</v>
      </c>
      <c r="L196" s="8">
        <f t="shared" si="70"/>
        <v>3000</v>
      </c>
      <c r="M196" s="8">
        <f t="shared" si="71"/>
        <v>3000</v>
      </c>
      <c r="N196" s="8">
        <f t="shared" si="63"/>
        <v>-447</v>
      </c>
      <c r="O196" s="8">
        <f t="shared" si="64"/>
        <v>-471</v>
      </c>
      <c r="P196" s="8">
        <f t="shared" si="65"/>
        <v>-459</v>
      </c>
      <c r="Q196" s="11">
        <v>0</v>
      </c>
      <c r="R196" s="11">
        <v>0</v>
      </c>
      <c r="S196" s="11">
        <v>0</v>
      </c>
      <c r="T196" s="10">
        <f t="shared" si="57"/>
        <v>661</v>
      </c>
      <c r="U196" s="9">
        <f t="shared" si="66"/>
        <v>2053</v>
      </c>
      <c r="V196" s="9">
        <f t="shared" si="67"/>
        <v>2049</v>
      </c>
      <c r="W196" s="9">
        <f t="shared" si="68"/>
        <v>2091</v>
      </c>
      <c r="X196" s="10"/>
      <c r="Y196" s="8"/>
      <c r="Z196" s="8"/>
      <c r="AA196" s="8"/>
      <c r="AB196" s="8"/>
    </row>
    <row r="197" spans="1:28" ht="13.15" customHeight="1">
      <c r="A197" s="18">
        <v>183</v>
      </c>
      <c r="B197" s="17">
        <f t="shared" si="58"/>
        <v>45434</v>
      </c>
      <c r="C197" s="13">
        <f t="shared" si="59"/>
        <v>1069</v>
      </c>
      <c r="D197" s="12">
        <f t="shared" si="72"/>
        <v>1643</v>
      </c>
      <c r="E197" s="11">
        <f t="shared" si="51"/>
        <v>159</v>
      </c>
      <c r="F197" s="11">
        <f t="shared" si="52"/>
        <v>183</v>
      </c>
      <c r="G197" s="11">
        <f t="shared" si="53"/>
        <v>171</v>
      </c>
      <c r="H197" s="8">
        <f t="shared" si="54"/>
        <v>2553</v>
      </c>
      <c r="I197" s="8">
        <f t="shared" si="55"/>
        <v>2529</v>
      </c>
      <c r="J197" s="8">
        <f t="shared" si="56"/>
        <v>2541</v>
      </c>
      <c r="K197" s="8">
        <f t="shared" si="69"/>
        <v>3000</v>
      </c>
      <c r="L197" s="8">
        <f t="shared" si="70"/>
        <v>3000</v>
      </c>
      <c r="M197" s="8">
        <f t="shared" si="71"/>
        <v>3000</v>
      </c>
      <c r="N197" s="8">
        <f t="shared" si="63"/>
        <v>-447</v>
      </c>
      <c r="O197" s="8">
        <f t="shared" si="64"/>
        <v>-471</v>
      </c>
      <c r="P197" s="8">
        <f t="shared" si="65"/>
        <v>-459</v>
      </c>
      <c r="Q197" s="11">
        <v>0</v>
      </c>
      <c r="R197" s="11">
        <v>0</v>
      </c>
      <c r="S197" s="11">
        <v>0</v>
      </c>
      <c r="T197" s="10">
        <f t="shared" si="57"/>
        <v>663</v>
      </c>
      <c r="U197" s="9">
        <f t="shared" si="66"/>
        <v>2053</v>
      </c>
      <c r="V197" s="9">
        <f t="shared" si="67"/>
        <v>2049</v>
      </c>
      <c r="W197" s="9">
        <f t="shared" si="68"/>
        <v>2091</v>
      </c>
      <c r="X197" s="10"/>
      <c r="Y197" s="8"/>
      <c r="Z197" s="8"/>
      <c r="AA197" s="8"/>
      <c r="AB197" s="8"/>
    </row>
    <row r="198" spans="1:28" ht="13.15" customHeight="1">
      <c r="A198" s="18">
        <v>184</v>
      </c>
      <c r="B198" s="17">
        <f t="shared" si="58"/>
        <v>45435</v>
      </c>
      <c r="C198" s="13">
        <f t="shared" si="59"/>
        <v>1069</v>
      </c>
      <c r="D198" s="12">
        <f t="shared" si="72"/>
        <v>1645</v>
      </c>
      <c r="E198" s="11">
        <f t="shared" si="51"/>
        <v>161</v>
      </c>
      <c r="F198" s="11">
        <f t="shared" si="52"/>
        <v>185</v>
      </c>
      <c r="G198" s="11">
        <f t="shared" si="53"/>
        <v>173</v>
      </c>
      <c r="H198" s="8">
        <f t="shared" si="54"/>
        <v>2553</v>
      </c>
      <c r="I198" s="8">
        <f t="shared" si="55"/>
        <v>2529</v>
      </c>
      <c r="J198" s="8">
        <f t="shared" si="56"/>
        <v>2541</v>
      </c>
      <c r="K198" s="8">
        <f t="shared" si="69"/>
        <v>3000</v>
      </c>
      <c r="L198" s="8">
        <f t="shared" si="70"/>
        <v>3000</v>
      </c>
      <c r="M198" s="8">
        <f t="shared" si="71"/>
        <v>3000</v>
      </c>
      <c r="N198" s="8">
        <f t="shared" si="63"/>
        <v>-447</v>
      </c>
      <c r="O198" s="8">
        <f t="shared" si="64"/>
        <v>-471</v>
      </c>
      <c r="P198" s="8">
        <f t="shared" si="65"/>
        <v>-459</v>
      </c>
      <c r="Q198" s="11">
        <v>0</v>
      </c>
      <c r="R198" s="11">
        <v>0</v>
      </c>
      <c r="S198" s="11">
        <v>0</v>
      </c>
      <c r="T198" s="10">
        <f t="shared" si="57"/>
        <v>665</v>
      </c>
      <c r="U198" s="9">
        <f t="shared" si="66"/>
        <v>2053</v>
      </c>
      <c r="V198" s="9">
        <f t="shared" si="67"/>
        <v>2049</v>
      </c>
      <c r="W198" s="9">
        <f t="shared" si="68"/>
        <v>2091</v>
      </c>
      <c r="X198" s="10"/>
      <c r="Y198" s="8"/>
      <c r="Z198" s="8"/>
      <c r="AA198" s="8"/>
      <c r="AB198" s="8"/>
    </row>
    <row r="199" spans="1:28" ht="13.15" customHeight="1">
      <c r="A199" s="18">
        <v>185</v>
      </c>
      <c r="B199" s="17">
        <f t="shared" si="58"/>
        <v>45436</v>
      </c>
      <c r="C199" s="13">
        <f t="shared" si="59"/>
        <v>1069</v>
      </c>
      <c r="D199" s="12">
        <f t="shared" si="72"/>
        <v>1647</v>
      </c>
      <c r="E199" s="11">
        <f t="shared" si="51"/>
        <v>163</v>
      </c>
      <c r="F199" s="11">
        <f t="shared" si="52"/>
        <v>187</v>
      </c>
      <c r="G199" s="11">
        <f t="shared" si="53"/>
        <v>175</v>
      </c>
      <c r="H199" s="8">
        <f t="shared" si="54"/>
        <v>2553</v>
      </c>
      <c r="I199" s="8">
        <f t="shared" si="55"/>
        <v>2529</v>
      </c>
      <c r="J199" s="8">
        <f t="shared" si="56"/>
        <v>2541</v>
      </c>
      <c r="K199" s="8">
        <f t="shared" si="69"/>
        <v>3000</v>
      </c>
      <c r="L199" s="8">
        <f t="shared" si="70"/>
        <v>3000</v>
      </c>
      <c r="M199" s="8">
        <f t="shared" si="71"/>
        <v>3000</v>
      </c>
      <c r="N199" s="8">
        <f t="shared" si="63"/>
        <v>-447</v>
      </c>
      <c r="O199" s="8">
        <f t="shared" si="64"/>
        <v>-471</v>
      </c>
      <c r="P199" s="8">
        <f t="shared" si="65"/>
        <v>-459</v>
      </c>
      <c r="Q199" s="11">
        <v>0</v>
      </c>
      <c r="R199" s="11">
        <v>0</v>
      </c>
      <c r="S199" s="11">
        <v>0</v>
      </c>
      <c r="T199" s="10">
        <f t="shared" si="57"/>
        <v>667</v>
      </c>
      <c r="U199" s="9">
        <f t="shared" si="66"/>
        <v>2053</v>
      </c>
      <c r="V199" s="9">
        <f t="shared" si="67"/>
        <v>2049</v>
      </c>
      <c r="W199" s="9">
        <f t="shared" si="68"/>
        <v>2091</v>
      </c>
      <c r="X199" s="10"/>
      <c r="Y199" s="8"/>
      <c r="Z199" s="8"/>
      <c r="AA199" s="8"/>
      <c r="AB199" s="8"/>
    </row>
    <row r="200" spans="1:28" ht="13.15" customHeight="1">
      <c r="A200" s="18">
        <v>186</v>
      </c>
      <c r="B200" s="17">
        <f t="shared" si="58"/>
        <v>45437</v>
      </c>
      <c r="C200" s="13">
        <f t="shared" si="59"/>
        <v>1069</v>
      </c>
      <c r="D200" s="12">
        <f t="shared" si="72"/>
        <v>1649</v>
      </c>
      <c r="E200" s="11">
        <f t="shared" si="51"/>
        <v>165</v>
      </c>
      <c r="F200" s="11">
        <f t="shared" si="52"/>
        <v>189</v>
      </c>
      <c r="G200" s="11">
        <f t="shared" si="53"/>
        <v>177</v>
      </c>
      <c r="H200" s="8">
        <f t="shared" si="54"/>
        <v>2553</v>
      </c>
      <c r="I200" s="8">
        <f t="shared" si="55"/>
        <v>2529</v>
      </c>
      <c r="J200" s="8">
        <f t="shared" si="56"/>
        <v>2541</v>
      </c>
      <c r="K200" s="8">
        <f t="shared" si="69"/>
        <v>3000</v>
      </c>
      <c r="L200" s="8">
        <f t="shared" si="70"/>
        <v>3000</v>
      </c>
      <c r="M200" s="8">
        <f t="shared" si="71"/>
        <v>3000</v>
      </c>
      <c r="N200" s="8">
        <f t="shared" si="63"/>
        <v>-447</v>
      </c>
      <c r="O200" s="8">
        <f t="shared" si="64"/>
        <v>-471</v>
      </c>
      <c r="P200" s="8">
        <f t="shared" si="65"/>
        <v>-459</v>
      </c>
      <c r="Q200" s="11">
        <v>0</v>
      </c>
      <c r="R200" s="11">
        <v>0</v>
      </c>
      <c r="S200" s="11">
        <v>0</v>
      </c>
      <c r="T200" s="10">
        <f t="shared" si="57"/>
        <v>669</v>
      </c>
      <c r="U200" s="9">
        <f t="shared" si="66"/>
        <v>2053</v>
      </c>
      <c r="V200" s="9">
        <f t="shared" si="67"/>
        <v>2049</v>
      </c>
      <c r="W200" s="9">
        <f t="shared" si="68"/>
        <v>2091</v>
      </c>
      <c r="X200" s="10"/>
      <c r="Y200" s="8"/>
      <c r="Z200" s="8"/>
      <c r="AA200" s="8"/>
      <c r="AB200" s="8"/>
    </row>
    <row r="201" spans="1:28" ht="13.15" customHeight="1">
      <c r="A201" s="18">
        <v>187</v>
      </c>
      <c r="B201" s="17">
        <f t="shared" si="58"/>
        <v>45438</v>
      </c>
      <c r="C201" s="13">
        <f t="shared" si="59"/>
        <v>1069</v>
      </c>
      <c r="D201" s="12">
        <f t="shared" si="72"/>
        <v>1651</v>
      </c>
      <c r="E201" s="11">
        <f t="shared" si="51"/>
        <v>167</v>
      </c>
      <c r="F201" s="11">
        <f t="shared" si="52"/>
        <v>191</v>
      </c>
      <c r="G201" s="11">
        <f t="shared" si="53"/>
        <v>179</v>
      </c>
      <c r="H201" s="8">
        <f t="shared" si="54"/>
        <v>2553</v>
      </c>
      <c r="I201" s="8">
        <f t="shared" si="55"/>
        <v>2529</v>
      </c>
      <c r="J201" s="8">
        <f t="shared" si="56"/>
        <v>2541</v>
      </c>
      <c r="K201" s="8">
        <f t="shared" si="69"/>
        <v>3000</v>
      </c>
      <c r="L201" s="8">
        <f t="shared" si="70"/>
        <v>3000</v>
      </c>
      <c r="M201" s="8">
        <f t="shared" si="71"/>
        <v>3000</v>
      </c>
      <c r="N201" s="8">
        <f t="shared" si="63"/>
        <v>-447</v>
      </c>
      <c r="O201" s="8">
        <f t="shared" si="64"/>
        <v>-471</v>
      </c>
      <c r="P201" s="8">
        <f t="shared" si="65"/>
        <v>-459</v>
      </c>
      <c r="Q201" s="11">
        <v>0</v>
      </c>
      <c r="R201" s="11">
        <v>0</v>
      </c>
      <c r="S201" s="11">
        <v>0</v>
      </c>
      <c r="T201" s="10">
        <f t="shared" si="57"/>
        <v>671</v>
      </c>
      <c r="U201" s="9">
        <f t="shared" si="66"/>
        <v>2053</v>
      </c>
      <c r="V201" s="9">
        <f t="shared" si="67"/>
        <v>2049</v>
      </c>
      <c r="W201" s="9">
        <f t="shared" si="68"/>
        <v>2091</v>
      </c>
      <c r="X201" s="10"/>
      <c r="Y201" s="8"/>
      <c r="Z201" s="8"/>
      <c r="AA201" s="8"/>
      <c r="AB201" s="8"/>
    </row>
    <row r="202" spans="1:28" ht="13.15" customHeight="1">
      <c r="A202" s="18">
        <v>188</v>
      </c>
      <c r="B202" s="17">
        <f t="shared" si="58"/>
        <v>45439</v>
      </c>
      <c r="C202" s="13">
        <f t="shared" si="59"/>
        <v>1069</v>
      </c>
      <c r="D202" s="12">
        <f t="shared" si="72"/>
        <v>1653</v>
      </c>
      <c r="E202" s="11">
        <f t="shared" si="51"/>
        <v>169</v>
      </c>
      <c r="F202" s="11">
        <f t="shared" si="52"/>
        <v>193</v>
      </c>
      <c r="G202" s="11">
        <f t="shared" si="53"/>
        <v>181</v>
      </c>
      <c r="H202" s="8">
        <f t="shared" si="54"/>
        <v>2553</v>
      </c>
      <c r="I202" s="8">
        <f t="shared" si="55"/>
        <v>2529</v>
      </c>
      <c r="J202" s="8">
        <f t="shared" si="56"/>
        <v>2541</v>
      </c>
      <c r="K202" s="8">
        <f t="shared" si="69"/>
        <v>3000</v>
      </c>
      <c r="L202" s="8">
        <f t="shared" si="70"/>
        <v>3000</v>
      </c>
      <c r="M202" s="8">
        <f t="shared" si="71"/>
        <v>3000</v>
      </c>
      <c r="N202" s="8">
        <f t="shared" si="63"/>
        <v>-447</v>
      </c>
      <c r="O202" s="8">
        <f t="shared" si="64"/>
        <v>-471</v>
      </c>
      <c r="P202" s="8">
        <f t="shared" si="65"/>
        <v>-459</v>
      </c>
      <c r="Q202" s="11">
        <v>0</v>
      </c>
      <c r="R202" s="11">
        <v>0</v>
      </c>
      <c r="S202" s="11">
        <v>0</v>
      </c>
      <c r="T202" s="10">
        <f t="shared" si="57"/>
        <v>673</v>
      </c>
      <c r="U202" s="9">
        <f t="shared" si="66"/>
        <v>2053</v>
      </c>
      <c r="V202" s="9">
        <f t="shared" si="67"/>
        <v>2049</v>
      </c>
      <c r="W202" s="9">
        <f t="shared" si="68"/>
        <v>2091</v>
      </c>
      <c r="X202" s="10"/>
      <c r="Y202" s="8"/>
      <c r="Z202" s="8"/>
      <c r="AA202" s="8"/>
      <c r="AB202" s="8"/>
    </row>
    <row r="203" spans="1:28" ht="13.15" customHeight="1">
      <c r="A203" s="18">
        <v>189</v>
      </c>
      <c r="B203" s="17">
        <f t="shared" si="58"/>
        <v>45440</v>
      </c>
      <c r="C203" s="13">
        <f t="shared" si="59"/>
        <v>1069</v>
      </c>
      <c r="D203" s="12">
        <f t="shared" si="72"/>
        <v>1655</v>
      </c>
      <c r="E203" s="11">
        <f t="shared" si="51"/>
        <v>171</v>
      </c>
      <c r="F203" s="11">
        <f t="shared" si="52"/>
        <v>195</v>
      </c>
      <c r="G203" s="11">
        <f t="shared" si="53"/>
        <v>183</v>
      </c>
      <c r="H203" s="8">
        <f t="shared" si="54"/>
        <v>2553</v>
      </c>
      <c r="I203" s="8">
        <f t="shared" si="55"/>
        <v>2529</v>
      </c>
      <c r="J203" s="8">
        <f t="shared" si="56"/>
        <v>2541</v>
      </c>
      <c r="K203" s="8">
        <f t="shared" si="69"/>
        <v>3000</v>
      </c>
      <c r="L203" s="8">
        <f t="shared" si="70"/>
        <v>3000</v>
      </c>
      <c r="M203" s="8">
        <f t="shared" si="71"/>
        <v>3000</v>
      </c>
      <c r="N203" s="8">
        <f t="shared" si="63"/>
        <v>-447</v>
      </c>
      <c r="O203" s="8">
        <f t="shared" si="64"/>
        <v>-471</v>
      </c>
      <c r="P203" s="8">
        <f t="shared" si="65"/>
        <v>-459</v>
      </c>
      <c r="Q203" s="11">
        <v>0</v>
      </c>
      <c r="R203" s="11">
        <v>0</v>
      </c>
      <c r="S203" s="11">
        <v>0</v>
      </c>
      <c r="T203" s="10">
        <f t="shared" si="57"/>
        <v>675</v>
      </c>
      <c r="U203" s="9">
        <f t="shared" si="66"/>
        <v>2053</v>
      </c>
      <c r="V203" s="9">
        <f t="shared" si="67"/>
        <v>2049</v>
      </c>
      <c r="W203" s="9">
        <f t="shared" si="68"/>
        <v>2091</v>
      </c>
      <c r="X203" s="10"/>
      <c r="Y203" s="8"/>
      <c r="Z203" s="8"/>
      <c r="AA203" s="8"/>
      <c r="AB203" s="8"/>
    </row>
    <row r="204" spans="1:28" ht="13.15" customHeight="1">
      <c r="A204" s="18">
        <v>190</v>
      </c>
      <c r="B204" s="17">
        <f t="shared" si="58"/>
        <v>45441</v>
      </c>
      <c r="C204" s="13">
        <f t="shared" si="59"/>
        <v>1069</v>
      </c>
      <c r="D204" s="12">
        <f t="shared" si="72"/>
        <v>1657</v>
      </c>
      <c r="E204" s="11">
        <f t="shared" si="51"/>
        <v>173</v>
      </c>
      <c r="F204" s="11">
        <f t="shared" si="52"/>
        <v>197</v>
      </c>
      <c r="G204" s="11">
        <f t="shared" si="53"/>
        <v>185</v>
      </c>
      <c r="H204" s="8">
        <f t="shared" si="54"/>
        <v>2553</v>
      </c>
      <c r="I204" s="8">
        <f t="shared" si="55"/>
        <v>2529</v>
      </c>
      <c r="J204" s="8">
        <f t="shared" si="56"/>
        <v>2541</v>
      </c>
      <c r="K204" s="8">
        <f t="shared" si="69"/>
        <v>3000</v>
      </c>
      <c r="L204" s="8">
        <f t="shared" si="70"/>
        <v>3000</v>
      </c>
      <c r="M204" s="8">
        <f t="shared" si="71"/>
        <v>3000</v>
      </c>
      <c r="N204" s="8">
        <f t="shared" si="63"/>
        <v>-447</v>
      </c>
      <c r="O204" s="8">
        <f t="shared" si="64"/>
        <v>-471</v>
      </c>
      <c r="P204" s="8">
        <f t="shared" si="65"/>
        <v>-459</v>
      </c>
      <c r="Q204" s="11">
        <v>0</v>
      </c>
      <c r="R204" s="11">
        <v>0</v>
      </c>
      <c r="S204" s="11">
        <v>0</v>
      </c>
      <c r="T204" s="10">
        <f t="shared" si="57"/>
        <v>677</v>
      </c>
      <c r="U204" s="9">
        <f t="shared" si="66"/>
        <v>2053</v>
      </c>
      <c r="V204" s="9">
        <f t="shared" si="67"/>
        <v>2049</v>
      </c>
      <c r="W204" s="9">
        <f t="shared" si="68"/>
        <v>2091</v>
      </c>
      <c r="X204" s="10"/>
      <c r="Y204" s="8"/>
      <c r="Z204" s="8"/>
      <c r="AA204" s="8"/>
      <c r="AB204" s="8"/>
    </row>
    <row r="205" spans="1:28" ht="13.15" customHeight="1">
      <c r="A205" s="18">
        <v>191</v>
      </c>
      <c r="B205" s="17">
        <f t="shared" si="58"/>
        <v>45442</v>
      </c>
      <c r="C205" s="13">
        <f t="shared" si="59"/>
        <v>1069</v>
      </c>
      <c r="D205" s="12">
        <f t="shared" si="72"/>
        <v>1659</v>
      </c>
      <c r="E205" s="11">
        <f t="shared" si="51"/>
        <v>175</v>
      </c>
      <c r="F205" s="11">
        <f t="shared" si="52"/>
        <v>199</v>
      </c>
      <c r="G205" s="11">
        <f t="shared" si="53"/>
        <v>187</v>
      </c>
      <c r="H205" s="8">
        <f t="shared" si="54"/>
        <v>2553</v>
      </c>
      <c r="I205" s="8">
        <f t="shared" si="55"/>
        <v>2529</v>
      </c>
      <c r="J205" s="8">
        <f t="shared" si="56"/>
        <v>2541</v>
      </c>
      <c r="K205" s="8">
        <f t="shared" si="69"/>
        <v>3000</v>
      </c>
      <c r="L205" s="8">
        <f t="shared" si="70"/>
        <v>3000</v>
      </c>
      <c r="M205" s="8">
        <f t="shared" si="71"/>
        <v>3000</v>
      </c>
      <c r="N205" s="8">
        <f t="shared" si="63"/>
        <v>-447</v>
      </c>
      <c r="O205" s="8">
        <f t="shared" si="64"/>
        <v>-471</v>
      </c>
      <c r="P205" s="8">
        <f t="shared" si="65"/>
        <v>-459</v>
      </c>
      <c r="Q205" s="11">
        <v>0</v>
      </c>
      <c r="R205" s="11">
        <v>0</v>
      </c>
      <c r="S205" s="11">
        <v>0</v>
      </c>
      <c r="T205" s="10">
        <f t="shared" si="57"/>
        <v>679</v>
      </c>
      <c r="U205" s="9">
        <f t="shared" si="66"/>
        <v>2053</v>
      </c>
      <c r="V205" s="9">
        <f t="shared" si="67"/>
        <v>2049</v>
      </c>
      <c r="W205" s="9">
        <f t="shared" si="68"/>
        <v>2091</v>
      </c>
      <c r="X205" s="10"/>
      <c r="Y205" s="8"/>
      <c r="Z205" s="8"/>
      <c r="AA205" s="8"/>
      <c r="AB205" s="8"/>
    </row>
    <row r="206" spans="1:28" ht="13.15" customHeight="1">
      <c r="A206" s="18">
        <v>192</v>
      </c>
      <c r="B206" s="17">
        <f t="shared" si="58"/>
        <v>45443</v>
      </c>
      <c r="C206" s="13">
        <f t="shared" si="59"/>
        <v>1069</v>
      </c>
      <c r="D206" s="12">
        <f t="shared" si="72"/>
        <v>1661</v>
      </c>
      <c r="E206" s="11">
        <f t="shared" ref="E206:E269" si="73">C206+D206-H206</f>
        <v>177</v>
      </c>
      <c r="F206" s="11">
        <f t="shared" ref="F206:F269" si="74">C206+D206-I206</f>
        <v>201</v>
      </c>
      <c r="G206" s="11">
        <f t="shared" ref="G206:G269" si="75">D206+C206-J206</f>
        <v>189</v>
      </c>
      <c r="H206" s="8">
        <f t="shared" ref="H206:H269" si="76">K206+N206</f>
        <v>2553</v>
      </c>
      <c r="I206" s="8">
        <f t="shared" ref="I206:I269" si="77">L206+O206</f>
        <v>2529</v>
      </c>
      <c r="J206" s="8">
        <f t="shared" ref="J206:J269" si="78">M206+P206</f>
        <v>2541</v>
      </c>
      <c r="K206" s="8">
        <f t="shared" si="69"/>
        <v>3000</v>
      </c>
      <c r="L206" s="8">
        <f t="shared" si="70"/>
        <v>3000</v>
      </c>
      <c r="M206" s="8">
        <f t="shared" si="71"/>
        <v>3000</v>
      </c>
      <c r="N206" s="8">
        <f t="shared" si="63"/>
        <v>-447</v>
      </c>
      <c r="O206" s="8">
        <f t="shared" si="64"/>
        <v>-471</v>
      </c>
      <c r="P206" s="8">
        <f t="shared" si="65"/>
        <v>-459</v>
      </c>
      <c r="Q206" s="11">
        <v>0</v>
      </c>
      <c r="R206" s="11">
        <v>0</v>
      </c>
      <c r="S206" s="11">
        <v>0</v>
      </c>
      <c r="T206" s="10">
        <f t="shared" ref="T206:T269" si="79">D206+C206-V206</f>
        <v>681</v>
      </c>
      <c r="U206" s="9">
        <f t="shared" si="66"/>
        <v>2053</v>
      </c>
      <c r="V206" s="9">
        <f t="shared" si="67"/>
        <v>2049</v>
      </c>
      <c r="W206" s="9">
        <f t="shared" si="68"/>
        <v>2091</v>
      </c>
      <c r="X206" s="10"/>
      <c r="Y206" s="8"/>
      <c r="Z206" s="8"/>
      <c r="AA206" s="8"/>
      <c r="AB206" s="8"/>
    </row>
    <row r="207" spans="1:28" ht="13.15" customHeight="1">
      <c r="A207" s="18">
        <v>193</v>
      </c>
      <c r="B207" s="17">
        <f t="shared" ref="B207:B270" si="80">B206+1</f>
        <v>45444</v>
      </c>
      <c r="C207" s="13">
        <f t="shared" ref="C207:C270" si="81">C206</f>
        <v>1069</v>
      </c>
      <c r="D207" s="12">
        <f t="shared" si="72"/>
        <v>1663</v>
      </c>
      <c r="E207" s="11">
        <f t="shared" si="73"/>
        <v>179</v>
      </c>
      <c r="F207" s="11">
        <f t="shared" si="74"/>
        <v>203</v>
      </c>
      <c r="G207" s="11">
        <f t="shared" si="75"/>
        <v>191</v>
      </c>
      <c r="H207" s="8">
        <f t="shared" si="76"/>
        <v>2553</v>
      </c>
      <c r="I207" s="8">
        <f t="shared" si="77"/>
        <v>2529</v>
      </c>
      <c r="J207" s="8">
        <f t="shared" si="78"/>
        <v>2541</v>
      </c>
      <c r="K207" s="8">
        <f t="shared" si="69"/>
        <v>3000</v>
      </c>
      <c r="L207" s="8">
        <f t="shared" si="70"/>
        <v>3000</v>
      </c>
      <c r="M207" s="8">
        <f t="shared" si="71"/>
        <v>3000</v>
      </c>
      <c r="N207" s="8">
        <f t="shared" ref="N207:N270" si="82">N206-Q207</f>
        <v>-447</v>
      </c>
      <c r="O207" s="8">
        <f t="shared" ref="O207:O270" si="83">O206-R207</f>
        <v>-471</v>
      </c>
      <c r="P207" s="8">
        <f t="shared" ref="P207:P270" si="84">P206-S207</f>
        <v>-459</v>
      </c>
      <c r="Q207" s="11">
        <v>0</v>
      </c>
      <c r="R207" s="11">
        <v>0</v>
      </c>
      <c r="S207" s="11">
        <v>0</v>
      </c>
      <c r="T207" s="10">
        <f t="shared" si="79"/>
        <v>683</v>
      </c>
      <c r="U207" s="9">
        <f t="shared" si="66"/>
        <v>2053</v>
      </c>
      <c r="V207" s="9">
        <f t="shared" si="67"/>
        <v>2049</v>
      </c>
      <c r="W207" s="9">
        <f t="shared" si="68"/>
        <v>2091</v>
      </c>
      <c r="X207" s="10"/>
      <c r="Y207" s="8"/>
      <c r="Z207" s="8"/>
      <c r="AA207" s="8"/>
      <c r="AB207" s="8"/>
    </row>
    <row r="208" spans="1:28" ht="13.15" customHeight="1">
      <c r="A208" s="18">
        <v>194</v>
      </c>
      <c r="B208" s="17">
        <f t="shared" si="80"/>
        <v>45445</v>
      </c>
      <c r="C208" s="13">
        <f t="shared" si="81"/>
        <v>1069</v>
      </c>
      <c r="D208" s="12">
        <f t="shared" si="72"/>
        <v>1665</v>
      </c>
      <c r="E208" s="11">
        <f t="shared" si="73"/>
        <v>181</v>
      </c>
      <c r="F208" s="11">
        <f t="shared" si="74"/>
        <v>205</v>
      </c>
      <c r="G208" s="11">
        <f t="shared" si="75"/>
        <v>193</v>
      </c>
      <c r="H208" s="8">
        <f t="shared" si="76"/>
        <v>2553</v>
      </c>
      <c r="I208" s="8">
        <f t="shared" si="77"/>
        <v>2529</v>
      </c>
      <c r="J208" s="8">
        <f t="shared" si="78"/>
        <v>2541</v>
      </c>
      <c r="K208" s="8">
        <f t="shared" si="69"/>
        <v>3000</v>
      </c>
      <c r="L208" s="8">
        <f t="shared" si="70"/>
        <v>3000</v>
      </c>
      <c r="M208" s="8">
        <f t="shared" si="71"/>
        <v>3000</v>
      </c>
      <c r="N208" s="8">
        <f t="shared" si="82"/>
        <v>-447</v>
      </c>
      <c r="O208" s="8">
        <f t="shared" si="83"/>
        <v>-471</v>
      </c>
      <c r="P208" s="8">
        <f t="shared" si="84"/>
        <v>-459</v>
      </c>
      <c r="Q208" s="11">
        <v>0</v>
      </c>
      <c r="R208" s="11">
        <v>0</v>
      </c>
      <c r="S208" s="11">
        <v>0</v>
      </c>
      <c r="T208" s="10">
        <f t="shared" si="79"/>
        <v>685</v>
      </c>
      <c r="U208" s="9">
        <f t="shared" si="66"/>
        <v>2053</v>
      </c>
      <c r="V208" s="9">
        <f t="shared" si="67"/>
        <v>2049</v>
      </c>
      <c r="W208" s="9">
        <f t="shared" si="68"/>
        <v>2091</v>
      </c>
      <c r="X208" s="10"/>
      <c r="Y208" s="8"/>
      <c r="Z208" s="8"/>
      <c r="AA208" s="8"/>
      <c r="AB208" s="8"/>
    </row>
    <row r="209" spans="1:28" ht="13.15" customHeight="1">
      <c r="A209" s="18">
        <v>195</v>
      </c>
      <c r="B209" s="17">
        <f t="shared" si="80"/>
        <v>45446</v>
      </c>
      <c r="C209" s="13">
        <f t="shared" si="81"/>
        <v>1069</v>
      </c>
      <c r="D209" s="12">
        <f t="shared" si="72"/>
        <v>1667</v>
      </c>
      <c r="E209" s="11">
        <f t="shared" si="73"/>
        <v>183</v>
      </c>
      <c r="F209" s="11">
        <f t="shared" si="74"/>
        <v>207</v>
      </c>
      <c r="G209" s="11">
        <f t="shared" si="75"/>
        <v>195</v>
      </c>
      <c r="H209" s="8">
        <f t="shared" si="76"/>
        <v>2553</v>
      </c>
      <c r="I209" s="8">
        <f t="shared" si="77"/>
        <v>2529</v>
      </c>
      <c r="J209" s="8">
        <f t="shared" si="78"/>
        <v>2541</v>
      </c>
      <c r="K209" s="8">
        <f t="shared" si="69"/>
        <v>3000</v>
      </c>
      <c r="L209" s="8">
        <f t="shared" si="70"/>
        <v>3000</v>
      </c>
      <c r="M209" s="8">
        <f t="shared" si="71"/>
        <v>3000</v>
      </c>
      <c r="N209" s="8">
        <f t="shared" si="82"/>
        <v>-447</v>
      </c>
      <c r="O209" s="8">
        <f t="shared" si="83"/>
        <v>-471</v>
      </c>
      <c r="P209" s="8">
        <f t="shared" si="84"/>
        <v>-459</v>
      </c>
      <c r="Q209" s="11">
        <v>0</v>
      </c>
      <c r="R209" s="11">
        <v>0</v>
      </c>
      <c r="S209" s="11">
        <v>0</v>
      </c>
      <c r="T209" s="10">
        <f t="shared" si="79"/>
        <v>687</v>
      </c>
      <c r="U209" s="9">
        <f t="shared" si="66"/>
        <v>2053</v>
      </c>
      <c r="V209" s="9">
        <f t="shared" si="67"/>
        <v>2049</v>
      </c>
      <c r="W209" s="9">
        <f t="shared" si="68"/>
        <v>2091</v>
      </c>
      <c r="X209" s="10"/>
      <c r="Y209" s="8"/>
      <c r="Z209" s="8"/>
      <c r="AA209" s="8"/>
      <c r="AB209" s="8"/>
    </row>
    <row r="210" spans="1:28" ht="13.15" customHeight="1">
      <c r="A210" s="18">
        <v>196</v>
      </c>
      <c r="B210" s="17">
        <f t="shared" si="80"/>
        <v>45447</v>
      </c>
      <c r="C210" s="13">
        <f t="shared" si="81"/>
        <v>1069</v>
      </c>
      <c r="D210" s="12">
        <f t="shared" si="72"/>
        <v>1669</v>
      </c>
      <c r="E210" s="11">
        <f t="shared" si="73"/>
        <v>185</v>
      </c>
      <c r="F210" s="11">
        <f t="shared" si="74"/>
        <v>209</v>
      </c>
      <c r="G210" s="11">
        <f t="shared" si="75"/>
        <v>197</v>
      </c>
      <c r="H210" s="8">
        <f t="shared" si="76"/>
        <v>2553</v>
      </c>
      <c r="I210" s="8">
        <f t="shared" si="77"/>
        <v>2529</v>
      </c>
      <c r="J210" s="8">
        <f t="shared" si="78"/>
        <v>2541</v>
      </c>
      <c r="K210" s="8">
        <f t="shared" si="69"/>
        <v>3000</v>
      </c>
      <c r="L210" s="8">
        <f t="shared" si="70"/>
        <v>3000</v>
      </c>
      <c r="M210" s="8">
        <f t="shared" si="71"/>
        <v>3000</v>
      </c>
      <c r="N210" s="8">
        <f t="shared" si="82"/>
        <v>-447</v>
      </c>
      <c r="O210" s="8">
        <f t="shared" si="83"/>
        <v>-471</v>
      </c>
      <c r="P210" s="8">
        <f t="shared" si="84"/>
        <v>-459</v>
      </c>
      <c r="Q210" s="11">
        <v>0</v>
      </c>
      <c r="R210" s="11">
        <v>0</v>
      </c>
      <c r="S210" s="11">
        <v>0</v>
      </c>
      <c r="T210" s="10">
        <f t="shared" si="79"/>
        <v>689</v>
      </c>
      <c r="U210" s="9">
        <f t="shared" si="66"/>
        <v>2053</v>
      </c>
      <c r="V210" s="9">
        <f t="shared" si="67"/>
        <v>2049</v>
      </c>
      <c r="W210" s="9">
        <f t="shared" si="68"/>
        <v>2091</v>
      </c>
      <c r="X210" s="10"/>
      <c r="Y210" s="8"/>
      <c r="Z210" s="8"/>
      <c r="AA210" s="8"/>
      <c r="AB210" s="8"/>
    </row>
    <row r="211" spans="1:28" ht="13.15" customHeight="1">
      <c r="A211" s="18">
        <v>197</v>
      </c>
      <c r="B211" s="17">
        <f t="shared" si="80"/>
        <v>45448</v>
      </c>
      <c r="C211" s="13">
        <f t="shared" si="81"/>
        <v>1069</v>
      </c>
      <c r="D211" s="12">
        <f t="shared" si="72"/>
        <v>1671</v>
      </c>
      <c r="E211" s="11">
        <f t="shared" si="73"/>
        <v>187</v>
      </c>
      <c r="F211" s="11">
        <f t="shared" si="74"/>
        <v>211</v>
      </c>
      <c r="G211" s="11">
        <f t="shared" si="75"/>
        <v>199</v>
      </c>
      <c r="H211" s="8">
        <f t="shared" si="76"/>
        <v>2553</v>
      </c>
      <c r="I211" s="8">
        <f t="shared" si="77"/>
        <v>2529</v>
      </c>
      <c r="J211" s="8">
        <f t="shared" si="78"/>
        <v>2541</v>
      </c>
      <c r="K211" s="8">
        <f t="shared" si="69"/>
        <v>3000</v>
      </c>
      <c r="L211" s="8">
        <f t="shared" si="70"/>
        <v>3000</v>
      </c>
      <c r="M211" s="8">
        <f t="shared" si="71"/>
        <v>3000</v>
      </c>
      <c r="N211" s="8">
        <f t="shared" si="82"/>
        <v>-447</v>
      </c>
      <c r="O211" s="8">
        <f t="shared" si="83"/>
        <v>-471</v>
      </c>
      <c r="P211" s="8">
        <f t="shared" si="84"/>
        <v>-459</v>
      </c>
      <c r="Q211" s="11">
        <v>0</v>
      </c>
      <c r="R211" s="11">
        <v>0</v>
      </c>
      <c r="S211" s="11">
        <v>0</v>
      </c>
      <c r="T211" s="10">
        <f t="shared" si="79"/>
        <v>691</v>
      </c>
      <c r="U211" s="9">
        <f t="shared" si="66"/>
        <v>2053</v>
      </c>
      <c r="V211" s="9">
        <f t="shared" si="67"/>
        <v>2049</v>
      </c>
      <c r="W211" s="9">
        <f t="shared" si="68"/>
        <v>2091</v>
      </c>
      <c r="X211" s="10"/>
      <c r="Y211" s="8"/>
      <c r="Z211" s="8"/>
      <c r="AA211" s="8"/>
      <c r="AB211" s="8"/>
    </row>
    <row r="212" spans="1:28" ht="13.15" customHeight="1">
      <c r="A212" s="18">
        <v>198</v>
      </c>
      <c r="B212" s="17">
        <f t="shared" si="80"/>
        <v>45449</v>
      </c>
      <c r="C212" s="13">
        <f t="shared" si="81"/>
        <v>1069</v>
      </c>
      <c r="D212" s="12">
        <f t="shared" si="72"/>
        <v>1673</v>
      </c>
      <c r="E212" s="11">
        <f t="shared" si="73"/>
        <v>189</v>
      </c>
      <c r="F212" s="11">
        <f t="shared" si="74"/>
        <v>213</v>
      </c>
      <c r="G212" s="11">
        <f t="shared" si="75"/>
        <v>201</v>
      </c>
      <c r="H212" s="8">
        <f t="shared" si="76"/>
        <v>2553</v>
      </c>
      <c r="I212" s="8">
        <f t="shared" si="77"/>
        <v>2529</v>
      </c>
      <c r="J212" s="8">
        <f t="shared" si="78"/>
        <v>2541</v>
      </c>
      <c r="K212" s="8">
        <f t="shared" si="69"/>
        <v>3000</v>
      </c>
      <c r="L212" s="8">
        <f t="shared" si="70"/>
        <v>3000</v>
      </c>
      <c r="M212" s="8">
        <f t="shared" si="71"/>
        <v>3000</v>
      </c>
      <c r="N212" s="8">
        <f t="shared" si="82"/>
        <v>-447</v>
      </c>
      <c r="O212" s="8">
        <f t="shared" si="83"/>
        <v>-471</v>
      </c>
      <c r="P212" s="8">
        <f t="shared" si="84"/>
        <v>-459</v>
      </c>
      <c r="Q212" s="11">
        <v>0</v>
      </c>
      <c r="R212" s="11">
        <v>0</v>
      </c>
      <c r="S212" s="11">
        <v>0</v>
      </c>
      <c r="T212" s="10">
        <f t="shared" si="79"/>
        <v>693</v>
      </c>
      <c r="U212" s="9">
        <f t="shared" si="66"/>
        <v>2053</v>
      </c>
      <c r="V212" s="9">
        <f t="shared" si="67"/>
        <v>2049</v>
      </c>
      <c r="W212" s="9">
        <f t="shared" si="68"/>
        <v>2091</v>
      </c>
      <c r="X212" s="10"/>
      <c r="Y212" s="8"/>
      <c r="Z212" s="8"/>
      <c r="AA212" s="8"/>
      <c r="AB212" s="8"/>
    </row>
    <row r="213" spans="1:28" ht="13.15" customHeight="1">
      <c r="A213" s="18">
        <v>199</v>
      </c>
      <c r="B213" s="17">
        <f t="shared" si="80"/>
        <v>45450</v>
      </c>
      <c r="C213" s="13">
        <f t="shared" si="81"/>
        <v>1069</v>
      </c>
      <c r="D213" s="12">
        <f t="shared" si="72"/>
        <v>1675</v>
      </c>
      <c r="E213" s="11">
        <f t="shared" si="73"/>
        <v>191</v>
      </c>
      <c r="F213" s="11">
        <f t="shared" si="74"/>
        <v>215</v>
      </c>
      <c r="G213" s="11">
        <f t="shared" si="75"/>
        <v>203</v>
      </c>
      <c r="H213" s="8">
        <f t="shared" si="76"/>
        <v>2553</v>
      </c>
      <c r="I213" s="8">
        <f t="shared" si="77"/>
        <v>2529</v>
      </c>
      <c r="J213" s="8">
        <f t="shared" si="78"/>
        <v>2541</v>
      </c>
      <c r="K213" s="8">
        <f t="shared" si="69"/>
        <v>3000</v>
      </c>
      <c r="L213" s="8">
        <f t="shared" si="70"/>
        <v>3000</v>
      </c>
      <c r="M213" s="8">
        <f t="shared" si="71"/>
        <v>3000</v>
      </c>
      <c r="N213" s="8">
        <f t="shared" si="82"/>
        <v>-447</v>
      </c>
      <c r="O213" s="8">
        <f t="shared" si="83"/>
        <v>-471</v>
      </c>
      <c r="P213" s="8">
        <f t="shared" si="84"/>
        <v>-459</v>
      </c>
      <c r="Q213" s="11">
        <v>0</v>
      </c>
      <c r="R213" s="11">
        <v>0</v>
      </c>
      <c r="S213" s="11">
        <v>0</v>
      </c>
      <c r="T213" s="10">
        <f t="shared" si="79"/>
        <v>695</v>
      </c>
      <c r="U213" s="9">
        <f t="shared" si="66"/>
        <v>2053</v>
      </c>
      <c r="V213" s="9">
        <f t="shared" si="67"/>
        <v>2049</v>
      </c>
      <c r="W213" s="9">
        <f t="shared" si="68"/>
        <v>2091</v>
      </c>
      <c r="X213" s="10"/>
      <c r="Y213" s="8"/>
      <c r="Z213" s="8"/>
      <c r="AA213" s="8"/>
      <c r="AB213" s="8"/>
    </row>
    <row r="214" spans="1:28" ht="13.15" customHeight="1">
      <c r="A214" s="18">
        <v>200</v>
      </c>
      <c r="B214" s="17">
        <f t="shared" si="80"/>
        <v>45451</v>
      </c>
      <c r="C214" s="13">
        <f t="shared" si="81"/>
        <v>1069</v>
      </c>
      <c r="D214" s="12">
        <f t="shared" si="72"/>
        <v>1677</v>
      </c>
      <c r="E214" s="11">
        <f t="shared" si="73"/>
        <v>193</v>
      </c>
      <c r="F214" s="11">
        <f t="shared" si="74"/>
        <v>217</v>
      </c>
      <c r="G214" s="11">
        <f t="shared" si="75"/>
        <v>205</v>
      </c>
      <c r="H214" s="8">
        <f t="shared" si="76"/>
        <v>2553</v>
      </c>
      <c r="I214" s="8">
        <f t="shared" si="77"/>
        <v>2529</v>
      </c>
      <c r="J214" s="8">
        <f t="shared" si="78"/>
        <v>2541</v>
      </c>
      <c r="K214" s="8">
        <f t="shared" si="69"/>
        <v>3000</v>
      </c>
      <c r="L214" s="8">
        <f t="shared" si="70"/>
        <v>3000</v>
      </c>
      <c r="M214" s="8">
        <f t="shared" si="71"/>
        <v>3000</v>
      </c>
      <c r="N214" s="8">
        <f t="shared" si="82"/>
        <v>-447</v>
      </c>
      <c r="O214" s="8">
        <f t="shared" si="83"/>
        <v>-471</v>
      </c>
      <c r="P214" s="8">
        <f t="shared" si="84"/>
        <v>-459</v>
      </c>
      <c r="Q214" s="11">
        <v>0</v>
      </c>
      <c r="R214" s="11">
        <v>0</v>
      </c>
      <c r="S214" s="11">
        <v>0</v>
      </c>
      <c r="T214" s="10">
        <f t="shared" si="79"/>
        <v>697</v>
      </c>
      <c r="U214" s="9">
        <f t="shared" si="66"/>
        <v>2053</v>
      </c>
      <c r="V214" s="9">
        <f t="shared" si="67"/>
        <v>2049</v>
      </c>
      <c r="W214" s="9">
        <f t="shared" si="68"/>
        <v>2091</v>
      </c>
      <c r="X214" s="10"/>
      <c r="Y214" s="8"/>
      <c r="Z214" s="8"/>
      <c r="AA214" s="8"/>
      <c r="AB214" s="8"/>
    </row>
    <row r="215" spans="1:28" ht="13.15" customHeight="1">
      <c r="A215" s="18">
        <v>201</v>
      </c>
      <c r="B215" s="17">
        <f t="shared" si="80"/>
        <v>45452</v>
      </c>
      <c r="C215" s="13">
        <f t="shared" si="81"/>
        <v>1069</v>
      </c>
      <c r="D215" s="12">
        <f t="shared" si="72"/>
        <v>1679</v>
      </c>
      <c r="E215" s="11">
        <f t="shared" si="73"/>
        <v>195</v>
      </c>
      <c r="F215" s="11">
        <f t="shared" si="74"/>
        <v>219</v>
      </c>
      <c r="G215" s="11">
        <f t="shared" si="75"/>
        <v>207</v>
      </c>
      <c r="H215" s="8">
        <f t="shared" si="76"/>
        <v>2553</v>
      </c>
      <c r="I215" s="8">
        <f t="shared" si="77"/>
        <v>2529</v>
      </c>
      <c r="J215" s="8">
        <f t="shared" si="78"/>
        <v>2541</v>
      </c>
      <c r="K215" s="8">
        <f t="shared" si="69"/>
        <v>3000</v>
      </c>
      <c r="L215" s="8">
        <f t="shared" si="70"/>
        <v>3000</v>
      </c>
      <c r="M215" s="8">
        <f t="shared" si="71"/>
        <v>3000</v>
      </c>
      <c r="N215" s="8">
        <f t="shared" si="82"/>
        <v>-447</v>
      </c>
      <c r="O215" s="8">
        <f t="shared" si="83"/>
        <v>-471</v>
      </c>
      <c r="P215" s="8">
        <f t="shared" si="84"/>
        <v>-459</v>
      </c>
      <c r="Q215" s="11">
        <v>0</v>
      </c>
      <c r="R215" s="11">
        <v>0</v>
      </c>
      <c r="S215" s="11">
        <v>0</v>
      </c>
      <c r="T215" s="10">
        <f t="shared" si="79"/>
        <v>699</v>
      </c>
      <c r="U215" s="9">
        <f t="shared" si="66"/>
        <v>2053</v>
      </c>
      <c r="V215" s="9">
        <f t="shared" si="67"/>
        <v>2049</v>
      </c>
      <c r="W215" s="9">
        <f t="shared" si="68"/>
        <v>2091</v>
      </c>
      <c r="X215" s="10"/>
      <c r="Y215" s="8"/>
      <c r="Z215" s="8"/>
      <c r="AA215" s="8"/>
      <c r="AB215" s="8"/>
    </row>
    <row r="216" spans="1:28" ht="13.15" customHeight="1">
      <c r="A216" s="18">
        <v>202</v>
      </c>
      <c r="B216" s="17">
        <f t="shared" si="80"/>
        <v>45453</v>
      </c>
      <c r="C216" s="13">
        <f t="shared" si="81"/>
        <v>1069</v>
      </c>
      <c r="D216" s="12">
        <f t="shared" si="72"/>
        <v>1681</v>
      </c>
      <c r="E216" s="11">
        <f t="shared" si="73"/>
        <v>197</v>
      </c>
      <c r="F216" s="11">
        <f t="shared" si="74"/>
        <v>221</v>
      </c>
      <c r="G216" s="11">
        <f t="shared" si="75"/>
        <v>209</v>
      </c>
      <c r="H216" s="8">
        <f t="shared" si="76"/>
        <v>2553</v>
      </c>
      <c r="I216" s="8">
        <f t="shared" si="77"/>
        <v>2529</v>
      </c>
      <c r="J216" s="8">
        <f t="shared" si="78"/>
        <v>2541</v>
      </c>
      <c r="K216" s="8">
        <f t="shared" si="69"/>
        <v>3000</v>
      </c>
      <c r="L216" s="8">
        <f t="shared" si="70"/>
        <v>3000</v>
      </c>
      <c r="M216" s="8">
        <f t="shared" si="71"/>
        <v>3000</v>
      </c>
      <c r="N216" s="8">
        <f t="shared" si="82"/>
        <v>-447</v>
      </c>
      <c r="O216" s="8">
        <f t="shared" si="83"/>
        <v>-471</v>
      </c>
      <c r="P216" s="8">
        <f t="shared" si="84"/>
        <v>-459</v>
      </c>
      <c r="Q216" s="11">
        <v>0</v>
      </c>
      <c r="R216" s="11">
        <v>0</v>
      </c>
      <c r="S216" s="11">
        <v>0</v>
      </c>
      <c r="T216" s="10">
        <f t="shared" si="79"/>
        <v>701</v>
      </c>
      <c r="U216" s="9">
        <f t="shared" si="66"/>
        <v>2053</v>
      </c>
      <c r="V216" s="9">
        <f t="shared" si="67"/>
        <v>2049</v>
      </c>
      <c r="W216" s="9">
        <f t="shared" si="68"/>
        <v>2091</v>
      </c>
      <c r="X216" s="10"/>
      <c r="Y216" s="8"/>
      <c r="Z216" s="8"/>
      <c r="AA216" s="8"/>
      <c r="AB216" s="8"/>
    </row>
    <row r="217" spans="1:28" ht="13.15" customHeight="1">
      <c r="A217" s="18">
        <v>203</v>
      </c>
      <c r="B217" s="17">
        <f t="shared" si="80"/>
        <v>45454</v>
      </c>
      <c r="C217" s="13">
        <f t="shared" si="81"/>
        <v>1069</v>
      </c>
      <c r="D217" s="12">
        <f t="shared" si="72"/>
        <v>1683</v>
      </c>
      <c r="E217" s="11">
        <f t="shared" si="73"/>
        <v>199</v>
      </c>
      <c r="F217" s="11">
        <f t="shared" si="74"/>
        <v>223</v>
      </c>
      <c r="G217" s="11">
        <f t="shared" si="75"/>
        <v>211</v>
      </c>
      <c r="H217" s="8">
        <f t="shared" si="76"/>
        <v>2553</v>
      </c>
      <c r="I217" s="8">
        <f t="shared" si="77"/>
        <v>2529</v>
      </c>
      <c r="J217" s="8">
        <f t="shared" si="78"/>
        <v>2541</v>
      </c>
      <c r="K217" s="8">
        <f t="shared" si="69"/>
        <v>3000</v>
      </c>
      <c r="L217" s="8">
        <f t="shared" si="70"/>
        <v>3000</v>
      </c>
      <c r="M217" s="8">
        <f t="shared" si="71"/>
        <v>3000</v>
      </c>
      <c r="N217" s="8">
        <f t="shared" si="82"/>
        <v>-447</v>
      </c>
      <c r="O217" s="8">
        <f t="shared" si="83"/>
        <v>-471</v>
      </c>
      <c r="P217" s="8">
        <f t="shared" si="84"/>
        <v>-459</v>
      </c>
      <c r="Q217" s="11">
        <v>0</v>
      </c>
      <c r="R217" s="11">
        <v>0</v>
      </c>
      <c r="S217" s="11">
        <v>0</v>
      </c>
      <c r="T217" s="10">
        <f t="shared" si="79"/>
        <v>703</v>
      </c>
      <c r="U217" s="9">
        <f t="shared" si="66"/>
        <v>2053</v>
      </c>
      <c r="V217" s="9">
        <f t="shared" si="67"/>
        <v>2049</v>
      </c>
      <c r="W217" s="9">
        <f t="shared" si="68"/>
        <v>2091</v>
      </c>
      <c r="X217" s="10"/>
      <c r="Y217" s="8"/>
      <c r="Z217" s="8"/>
      <c r="AA217" s="8"/>
      <c r="AB217" s="8"/>
    </row>
    <row r="218" spans="1:28" ht="13.15" customHeight="1">
      <c r="A218" s="18">
        <v>204</v>
      </c>
      <c r="B218" s="17">
        <f t="shared" si="80"/>
        <v>45455</v>
      </c>
      <c r="C218" s="13">
        <f t="shared" si="81"/>
        <v>1069</v>
      </c>
      <c r="D218" s="12">
        <f t="shared" si="72"/>
        <v>1685</v>
      </c>
      <c r="E218" s="11">
        <f t="shared" si="73"/>
        <v>201</v>
      </c>
      <c r="F218" s="11">
        <f t="shared" si="74"/>
        <v>225</v>
      </c>
      <c r="G218" s="11">
        <f t="shared" si="75"/>
        <v>213</v>
      </c>
      <c r="H218" s="8">
        <f t="shared" si="76"/>
        <v>2553</v>
      </c>
      <c r="I218" s="8">
        <f t="shared" si="77"/>
        <v>2529</v>
      </c>
      <c r="J218" s="8">
        <f t="shared" si="78"/>
        <v>2541</v>
      </c>
      <c r="K218" s="8">
        <f t="shared" si="69"/>
        <v>3000</v>
      </c>
      <c r="L218" s="8">
        <f t="shared" si="70"/>
        <v>3000</v>
      </c>
      <c r="M218" s="8">
        <f t="shared" si="71"/>
        <v>3000</v>
      </c>
      <c r="N218" s="8">
        <f t="shared" si="82"/>
        <v>-447</v>
      </c>
      <c r="O218" s="8">
        <f t="shared" si="83"/>
        <v>-471</v>
      </c>
      <c r="P218" s="8">
        <f t="shared" si="84"/>
        <v>-459</v>
      </c>
      <c r="Q218" s="11">
        <v>0</v>
      </c>
      <c r="R218" s="11">
        <v>0</v>
      </c>
      <c r="S218" s="11">
        <v>0</v>
      </c>
      <c r="T218" s="10">
        <f t="shared" si="79"/>
        <v>705</v>
      </c>
      <c r="U218" s="9">
        <f t="shared" si="66"/>
        <v>2053</v>
      </c>
      <c r="V218" s="9">
        <f t="shared" si="67"/>
        <v>2049</v>
      </c>
      <c r="W218" s="9">
        <f t="shared" si="68"/>
        <v>2091</v>
      </c>
      <c r="X218" s="10"/>
      <c r="Y218" s="8"/>
      <c r="Z218" s="8"/>
      <c r="AA218" s="8"/>
      <c r="AB218" s="8"/>
    </row>
    <row r="219" spans="1:28" ht="13.15" customHeight="1">
      <c r="A219" s="18">
        <v>205</v>
      </c>
      <c r="B219" s="17">
        <f t="shared" si="80"/>
        <v>45456</v>
      </c>
      <c r="C219" s="13">
        <f t="shared" si="81"/>
        <v>1069</v>
      </c>
      <c r="D219" s="12">
        <f t="shared" si="72"/>
        <v>1687</v>
      </c>
      <c r="E219" s="11">
        <f t="shared" si="73"/>
        <v>203</v>
      </c>
      <c r="F219" s="11">
        <f t="shared" si="74"/>
        <v>227</v>
      </c>
      <c r="G219" s="11">
        <f t="shared" si="75"/>
        <v>215</v>
      </c>
      <c r="H219" s="8">
        <f t="shared" si="76"/>
        <v>2553</v>
      </c>
      <c r="I219" s="8">
        <f t="shared" si="77"/>
        <v>2529</v>
      </c>
      <c r="J219" s="8">
        <f t="shared" si="78"/>
        <v>2541</v>
      </c>
      <c r="K219" s="8">
        <f t="shared" si="69"/>
        <v>3000</v>
      </c>
      <c r="L219" s="8">
        <f t="shared" si="70"/>
        <v>3000</v>
      </c>
      <c r="M219" s="8">
        <f t="shared" si="71"/>
        <v>3000</v>
      </c>
      <c r="N219" s="8">
        <f t="shared" si="82"/>
        <v>-447</v>
      </c>
      <c r="O219" s="8">
        <f t="shared" si="83"/>
        <v>-471</v>
      </c>
      <c r="P219" s="8">
        <f t="shared" si="84"/>
        <v>-459</v>
      </c>
      <c r="Q219" s="11">
        <v>0</v>
      </c>
      <c r="R219" s="11">
        <v>0</v>
      </c>
      <c r="S219" s="11">
        <v>0</v>
      </c>
      <c r="T219" s="10">
        <f t="shared" si="79"/>
        <v>707</v>
      </c>
      <c r="U219" s="9">
        <f t="shared" si="66"/>
        <v>2053</v>
      </c>
      <c r="V219" s="9">
        <f t="shared" si="67"/>
        <v>2049</v>
      </c>
      <c r="W219" s="9">
        <f t="shared" si="68"/>
        <v>2091</v>
      </c>
      <c r="X219" s="10"/>
      <c r="Y219" s="8"/>
      <c r="Z219" s="8"/>
      <c r="AA219" s="8"/>
      <c r="AB219" s="8"/>
    </row>
    <row r="220" spans="1:28" ht="13.15" customHeight="1">
      <c r="A220" s="18">
        <v>206</v>
      </c>
      <c r="B220" s="17">
        <f t="shared" si="80"/>
        <v>45457</v>
      </c>
      <c r="C220" s="13">
        <f t="shared" si="81"/>
        <v>1069</v>
      </c>
      <c r="D220" s="12">
        <f t="shared" si="72"/>
        <v>1689</v>
      </c>
      <c r="E220" s="11">
        <f t="shared" si="73"/>
        <v>205</v>
      </c>
      <c r="F220" s="11">
        <f t="shared" si="74"/>
        <v>229</v>
      </c>
      <c r="G220" s="11">
        <f t="shared" si="75"/>
        <v>217</v>
      </c>
      <c r="H220" s="8">
        <f t="shared" si="76"/>
        <v>2553</v>
      </c>
      <c r="I220" s="8">
        <f t="shared" si="77"/>
        <v>2529</v>
      </c>
      <c r="J220" s="8">
        <f t="shared" si="78"/>
        <v>2541</v>
      </c>
      <c r="K220" s="8">
        <f t="shared" si="69"/>
        <v>3000</v>
      </c>
      <c r="L220" s="8">
        <f t="shared" si="70"/>
        <v>3000</v>
      </c>
      <c r="M220" s="8">
        <f t="shared" si="71"/>
        <v>3000</v>
      </c>
      <c r="N220" s="8">
        <f t="shared" si="82"/>
        <v>-447</v>
      </c>
      <c r="O220" s="8">
        <f t="shared" si="83"/>
        <v>-471</v>
      </c>
      <c r="P220" s="8">
        <f t="shared" si="84"/>
        <v>-459</v>
      </c>
      <c r="Q220" s="11">
        <v>0</v>
      </c>
      <c r="R220" s="11">
        <v>0</v>
      </c>
      <c r="S220" s="11">
        <v>0</v>
      </c>
      <c r="T220" s="10">
        <f t="shared" si="79"/>
        <v>709</v>
      </c>
      <c r="U220" s="9">
        <f t="shared" si="66"/>
        <v>2053</v>
      </c>
      <c r="V220" s="9">
        <f t="shared" si="67"/>
        <v>2049</v>
      </c>
      <c r="W220" s="9">
        <f t="shared" si="68"/>
        <v>2091</v>
      </c>
      <c r="X220" s="10"/>
      <c r="Y220" s="8"/>
      <c r="Z220" s="8"/>
      <c r="AA220" s="8"/>
      <c r="AB220" s="8"/>
    </row>
    <row r="221" spans="1:28" ht="13.15" customHeight="1">
      <c r="A221" s="18">
        <v>207</v>
      </c>
      <c r="B221" s="17">
        <f t="shared" si="80"/>
        <v>45458</v>
      </c>
      <c r="C221" s="13">
        <f t="shared" si="81"/>
        <v>1069</v>
      </c>
      <c r="D221" s="12">
        <f t="shared" si="72"/>
        <v>1691</v>
      </c>
      <c r="E221" s="11">
        <f t="shared" si="73"/>
        <v>207</v>
      </c>
      <c r="F221" s="11">
        <f t="shared" si="74"/>
        <v>231</v>
      </c>
      <c r="G221" s="11">
        <f t="shared" si="75"/>
        <v>219</v>
      </c>
      <c r="H221" s="8">
        <f t="shared" si="76"/>
        <v>2553</v>
      </c>
      <c r="I221" s="8">
        <f t="shared" si="77"/>
        <v>2529</v>
      </c>
      <c r="J221" s="8">
        <f t="shared" si="78"/>
        <v>2541</v>
      </c>
      <c r="K221" s="8">
        <f t="shared" si="69"/>
        <v>3000</v>
      </c>
      <c r="L221" s="8">
        <f t="shared" si="70"/>
        <v>3000</v>
      </c>
      <c r="M221" s="8">
        <f t="shared" si="71"/>
        <v>3000</v>
      </c>
      <c r="N221" s="8">
        <f t="shared" si="82"/>
        <v>-447</v>
      </c>
      <c r="O221" s="8">
        <f t="shared" si="83"/>
        <v>-471</v>
      </c>
      <c r="P221" s="8">
        <f t="shared" si="84"/>
        <v>-459</v>
      </c>
      <c r="Q221" s="11">
        <v>0</v>
      </c>
      <c r="R221" s="11">
        <v>0</v>
      </c>
      <c r="S221" s="11">
        <v>0</v>
      </c>
      <c r="T221" s="10">
        <f t="shared" si="79"/>
        <v>711</v>
      </c>
      <c r="U221" s="9">
        <f t="shared" si="66"/>
        <v>2053</v>
      </c>
      <c r="V221" s="9">
        <f t="shared" si="67"/>
        <v>2049</v>
      </c>
      <c r="W221" s="9">
        <f t="shared" si="68"/>
        <v>2091</v>
      </c>
      <c r="X221" s="10"/>
      <c r="Y221" s="8"/>
      <c r="Z221" s="8"/>
      <c r="AA221" s="8"/>
      <c r="AB221" s="8"/>
    </row>
    <row r="222" spans="1:28" ht="13.15" customHeight="1">
      <c r="A222" s="18">
        <v>208</v>
      </c>
      <c r="B222" s="17">
        <f t="shared" si="80"/>
        <v>45459</v>
      </c>
      <c r="C222" s="13">
        <f t="shared" si="81"/>
        <v>1069</v>
      </c>
      <c r="D222" s="12">
        <f t="shared" si="72"/>
        <v>1693</v>
      </c>
      <c r="E222" s="11">
        <f t="shared" si="73"/>
        <v>209</v>
      </c>
      <c r="F222" s="11">
        <f t="shared" si="74"/>
        <v>233</v>
      </c>
      <c r="G222" s="11">
        <f t="shared" si="75"/>
        <v>221</v>
      </c>
      <c r="H222" s="8">
        <f t="shared" si="76"/>
        <v>2553</v>
      </c>
      <c r="I222" s="8">
        <f t="shared" si="77"/>
        <v>2529</v>
      </c>
      <c r="J222" s="8">
        <f t="shared" si="78"/>
        <v>2541</v>
      </c>
      <c r="K222" s="8">
        <f t="shared" si="69"/>
        <v>3000</v>
      </c>
      <c r="L222" s="8">
        <f t="shared" si="70"/>
        <v>3000</v>
      </c>
      <c r="M222" s="8">
        <f t="shared" si="71"/>
        <v>3000</v>
      </c>
      <c r="N222" s="8">
        <f t="shared" si="82"/>
        <v>-447</v>
      </c>
      <c r="O222" s="8">
        <f t="shared" si="83"/>
        <v>-471</v>
      </c>
      <c r="P222" s="8">
        <f t="shared" si="84"/>
        <v>-459</v>
      </c>
      <c r="Q222" s="11">
        <v>0</v>
      </c>
      <c r="R222" s="11">
        <v>0</v>
      </c>
      <c r="S222" s="11">
        <v>0</v>
      </c>
      <c r="T222" s="10">
        <f t="shared" si="79"/>
        <v>713</v>
      </c>
      <c r="U222" s="9">
        <f t="shared" si="66"/>
        <v>2053</v>
      </c>
      <c r="V222" s="9">
        <f t="shared" si="67"/>
        <v>2049</v>
      </c>
      <c r="W222" s="9">
        <f t="shared" si="68"/>
        <v>2091</v>
      </c>
      <c r="X222" s="10"/>
      <c r="Y222" s="8"/>
      <c r="Z222" s="8"/>
      <c r="AA222" s="8"/>
      <c r="AB222" s="8"/>
    </row>
    <row r="223" spans="1:28" ht="13.15" customHeight="1">
      <c r="A223" s="18">
        <v>209</v>
      </c>
      <c r="B223" s="17">
        <f t="shared" si="80"/>
        <v>45460</v>
      </c>
      <c r="C223" s="13">
        <f t="shared" si="81"/>
        <v>1069</v>
      </c>
      <c r="D223" s="12">
        <f t="shared" si="72"/>
        <v>1695</v>
      </c>
      <c r="E223" s="11">
        <f t="shared" si="73"/>
        <v>211</v>
      </c>
      <c r="F223" s="11">
        <f t="shared" si="74"/>
        <v>235</v>
      </c>
      <c r="G223" s="11">
        <f t="shared" si="75"/>
        <v>223</v>
      </c>
      <c r="H223" s="8">
        <f t="shared" si="76"/>
        <v>2553</v>
      </c>
      <c r="I223" s="8">
        <f t="shared" si="77"/>
        <v>2529</v>
      </c>
      <c r="J223" s="8">
        <f t="shared" si="78"/>
        <v>2541</v>
      </c>
      <c r="K223" s="8">
        <f t="shared" si="69"/>
        <v>3000</v>
      </c>
      <c r="L223" s="8">
        <f t="shared" si="70"/>
        <v>3000</v>
      </c>
      <c r="M223" s="8">
        <f t="shared" si="71"/>
        <v>3000</v>
      </c>
      <c r="N223" s="8">
        <f t="shared" si="82"/>
        <v>-447</v>
      </c>
      <c r="O223" s="8">
        <f t="shared" si="83"/>
        <v>-471</v>
      </c>
      <c r="P223" s="8">
        <f t="shared" si="84"/>
        <v>-459</v>
      </c>
      <c r="Q223" s="11">
        <v>0</v>
      </c>
      <c r="R223" s="11">
        <v>0</v>
      </c>
      <c r="S223" s="11">
        <v>0</v>
      </c>
      <c r="T223" s="10">
        <f t="shared" si="79"/>
        <v>715</v>
      </c>
      <c r="U223" s="9">
        <f t="shared" si="66"/>
        <v>2053</v>
      </c>
      <c r="V223" s="9">
        <f t="shared" si="67"/>
        <v>2049</v>
      </c>
      <c r="W223" s="9">
        <f t="shared" si="68"/>
        <v>2091</v>
      </c>
      <c r="X223" s="10"/>
      <c r="Y223" s="8"/>
      <c r="Z223" s="8"/>
      <c r="AA223" s="8"/>
      <c r="AB223" s="8"/>
    </row>
    <row r="224" spans="1:28" ht="13.15" customHeight="1">
      <c r="A224" s="18">
        <v>210</v>
      </c>
      <c r="B224" s="17">
        <f t="shared" si="80"/>
        <v>45461</v>
      </c>
      <c r="C224" s="13">
        <f t="shared" si="81"/>
        <v>1069</v>
      </c>
      <c r="D224" s="12">
        <f t="shared" si="72"/>
        <v>1697</v>
      </c>
      <c r="E224" s="11">
        <f t="shared" si="73"/>
        <v>213</v>
      </c>
      <c r="F224" s="11">
        <f t="shared" si="74"/>
        <v>237</v>
      </c>
      <c r="G224" s="11">
        <f t="shared" si="75"/>
        <v>225</v>
      </c>
      <c r="H224" s="8">
        <f t="shared" si="76"/>
        <v>2553</v>
      </c>
      <c r="I224" s="8">
        <f t="shared" si="77"/>
        <v>2529</v>
      </c>
      <c r="J224" s="8">
        <f t="shared" si="78"/>
        <v>2541</v>
      </c>
      <c r="K224" s="8">
        <f t="shared" si="69"/>
        <v>3000</v>
      </c>
      <c r="L224" s="8">
        <f t="shared" si="70"/>
        <v>3000</v>
      </c>
      <c r="M224" s="8">
        <f t="shared" si="71"/>
        <v>3000</v>
      </c>
      <c r="N224" s="8">
        <f t="shared" si="82"/>
        <v>-447</v>
      </c>
      <c r="O224" s="8">
        <f t="shared" si="83"/>
        <v>-471</v>
      </c>
      <c r="P224" s="8">
        <f t="shared" si="84"/>
        <v>-459</v>
      </c>
      <c r="Q224" s="11">
        <v>0</v>
      </c>
      <c r="R224" s="11">
        <v>0</v>
      </c>
      <c r="S224" s="11">
        <v>0</v>
      </c>
      <c r="T224" s="10">
        <f t="shared" si="79"/>
        <v>717</v>
      </c>
      <c r="U224" s="9">
        <f t="shared" si="66"/>
        <v>2053</v>
      </c>
      <c r="V224" s="9">
        <f t="shared" si="67"/>
        <v>2049</v>
      </c>
      <c r="W224" s="9">
        <f t="shared" si="68"/>
        <v>2091</v>
      </c>
      <c r="X224" s="10"/>
      <c r="Y224" s="8"/>
      <c r="Z224" s="8"/>
      <c r="AA224" s="8"/>
      <c r="AB224" s="8"/>
    </row>
    <row r="225" spans="1:28" ht="13.15" customHeight="1">
      <c r="A225" s="18">
        <v>211</v>
      </c>
      <c r="B225" s="17">
        <f t="shared" si="80"/>
        <v>45462</v>
      </c>
      <c r="C225" s="13">
        <f t="shared" si="81"/>
        <v>1069</v>
      </c>
      <c r="D225" s="12">
        <f t="shared" si="72"/>
        <v>1699</v>
      </c>
      <c r="E225" s="11">
        <f t="shared" si="73"/>
        <v>215</v>
      </c>
      <c r="F225" s="11">
        <f t="shared" si="74"/>
        <v>239</v>
      </c>
      <c r="G225" s="11">
        <f t="shared" si="75"/>
        <v>227</v>
      </c>
      <c r="H225" s="8">
        <f t="shared" si="76"/>
        <v>2553</v>
      </c>
      <c r="I225" s="8">
        <f t="shared" si="77"/>
        <v>2529</v>
      </c>
      <c r="J225" s="8">
        <f t="shared" si="78"/>
        <v>2541</v>
      </c>
      <c r="K225" s="8">
        <f t="shared" si="69"/>
        <v>3000</v>
      </c>
      <c r="L225" s="8">
        <f t="shared" si="70"/>
        <v>3000</v>
      </c>
      <c r="M225" s="8">
        <f t="shared" si="71"/>
        <v>3000</v>
      </c>
      <c r="N225" s="8">
        <f t="shared" si="82"/>
        <v>-447</v>
      </c>
      <c r="O225" s="8">
        <f t="shared" si="83"/>
        <v>-471</v>
      </c>
      <c r="P225" s="8">
        <f t="shared" si="84"/>
        <v>-459</v>
      </c>
      <c r="Q225" s="11">
        <v>0</v>
      </c>
      <c r="R225" s="11">
        <v>0</v>
      </c>
      <c r="S225" s="11">
        <v>0</v>
      </c>
      <c r="T225" s="10">
        <f t="shared" si="79"/>
        <v>719</v>
      </c>
      <c r="U225" s="9">
        <f t="shared" si="66"/>
        <v>2053</v>
      </c>
      <c r="V225" s="9">
        <f t="shared" si="67"/>
        <v>2049</v>
      </c>
      <c r="W225" s="9">
        <f t="shared" si="68"/>
        <v>2091</v>
      </c>
      <c r="X225" s="10"/>
      <c r="Y225" s="8"/>
      <c r="Z225" s="8"/>
      <c r="AA225" s="8"/>
      <c r="AB225" s="8"/>
    </row>
    <row r="226" spans="1:28" ht="13.15" customHeight="1">
      <c r="A226" s="18">
        <v>212</v>
      </c>
      <c r="B226" s="17">
        <f t="shared" si="80"/>
        <v>45463</v>
      </c>
      <c r="C226" s="13">
        <f t="shared" si="81"/>
        <v>1069</v>
      </c>
      <c r="D226" s="12">
        <f t="shared" si="72"/>
        <v>1701</v>
      </c>
      <c r="E226" s="11">
        <f t="shared" si="73"/>
        <v>217</v>
      </c>
      <c r="F226" s="11">
        <f t="shared" si="74"/>
        <v>241</v>
      </c>
      <c r="G226" s="11">
        <f t="shared" si="75"/>
        <v>229</v>
      </c>
      <c r="H226" s="8">
        <f t="shared" si="76"/>
        <v>2553</v>
      </c>
      <c r="I226" s="8">
        <f t="shared" si="77"/>
        <v>2529</v>
      </c>
      <c r="J226" s="8">
        <f t="shared" si="78"/>
        <v>2541</v>
      </c>
      <c r="K226" s="8">
        <f t="shared" si="69"/>
        <v>3000</v>
      </c>
      <c r="L226" s="8">
        <f t="shared" si="70"/>
        <v>3000</v>
      </c>
      <c r="M226" s="8">
        <f t="shared" si="71"/>
        <v>3000</v>
      </c>
      <c r="N226" s="8">
        <f t="shared" si="82"/>
        <v>-447</v>
      </c>
      <c r="O226" s="8">
        <f t="shared" si="83"/>
        <v>-471</v>
      </c>
      <c r="P226" s="8">
        <f t="shared" si="84"/>
        <v>-459</v>
      </c>
      <c r="Q226" s="11">
        <v>0</v>
      </c>
      <c r="R226" s="11">
        <v>0</v>
      </c>
      <c r="S226" s="11">
        <v>0</v>
      </c>
      <c r="T226" s="10">
        <f t="shared" si="79"/>
        <v>721</v>
      </c>
      <c r="U226" s="9">
        <f t="shared" si="66"/>
        <v>2053</v>
      </c>
      <c r="V226" s="9">
        <f t="shared" si="67"/>
        <v>2049</v>
      </c>
      <c r="W226" s="9">
        <f t="shared" si="68"/>
        <v>2091</v>
      </c>
      <c r="X226" s="10"/>
      <c r="Y226" s="8"/>
      <c r="Z226" s="8"/>
      <c r="AA226" s="8"/>
      <c r="AB226" s="8"/>
    </row>
    <row r="227" spans="1:28" ht="13.15" customHeight="1">
      <c r="A227" s="18">
        <v>213</v>
      </c>
      <c r="B227" s="17">
        <f t="shared" si="80"/>
        <v>45464</v>
      </c>
      <c r="C227" s="13">
        <f t="shared" si="81"/>
        <v>1069</v>
      </c>
      <c r="D227" s="12">
        <f t="shared" si="72"/>
        <v>1703</v>
      </c>
      <c r="E227" s="11">
        <f t="shared" si="73"/>
        <v>219</v>
      </c>
      <c r="F227" s="11">
        <f t="shared" si="74"/>
        <v>243</v>
      </c>
      <c r="G227" s="11">
        <f t="shared" si="75"/>
        <v>231</v>
      </c>
      <c r="H227" s="8">
        <f t="shared" si="76"/>
        <v>2553</v>
      </c>
      <c r="I227" s="8">
        <f t="shared" si="77"/>
        <v>2529</v>
      </c>
      <c r="J227" s="8">
        <f t="shared" si="78"/>
        <v>2541</v>
      </c>
      <c r="K227" s="8">
        <f t="shared" si="69"/>
        <v>3000</v>
      </c>
      <c r="L227" s="8">
        <f t="shared" si="70"/>
        <v>3000</v>
      </c>
      <c r="M227" s="8">
        <f t="shared" si="71"/>
        <v>3000</v>
      </c>
      <c r="N227" s="8">
        <f t="shared" si="82"/>
        <v>-447</v>
      </c>
      <c r="O227" s="8">
        <f t="shared" si="83"/>
        <v>-471</v>
      </c>
      <c r="P227" s="8">
        <f t="shared" si="84"/>
        <v>-459</v>
      </c>
      <c r="Q227" s="11">
        <v>0</v>
      </c>
      <c r="R227" s="11">
        <v>0</v>
      </c>
      <c r="S227" s="11">
        <v>0</v>
      </c>
      <c r="T227" s="10">
        <f t="shared" si="79"/>
        <v>723</v>
      </c>
      <c r="U227" s="9">
        <f t="shared" ref="U227:U290" si="85">U226+$X227*1000-Q227</f>
        <v>2053</v>
      </c>
      <c r="V227" s="9">
        <f t="shared" si="67"/>
        <v>2049</v>
      </c>
      <c r="W227" s="9">
        <f t="shared" si="68"/>
        <v>2091</v>
      </c>
      <c r="X227" s="10"/>
      <c r="Y227" s="8"/>
      <c r="Z227" s="8"/>
      <c r="AA227" s="8"/>
      <c r="AB227" s="8"/>
    </row>
    <row r="228" spans="1:28" ht="13.15" customHeight="1">
      <c r="A228" s="18">
        <v>214</v>
      </c>
      <c r="B228" s="17">
        <f t="shared" si="80"/>
        <v>45465</v>
      </c>
      <c r="C228" s="13">
        <f t="shared" si="81"/>
        <v>1069</v>
      </c>
      <c r="D228" s="12">
        <f t="shared" si="72"/>
        <v>1705</v>
      </c>
      <c r="E228" s="11">
        <f t="shared" si="73"/>
        <v>221</v>
      </c>
      <c r="F228" s="11">
        <f t="shared" si="74"/>
        <v>245</v>
      </c>
      <c r="G228" s="11">
        <f t="shared" si="75"/>
        <v>233</v>
      </c>
      <c r="H228" s="8">
        <f t="shared" si="76"/>
        <v>2553</v>
      </c>
      <c r="I228" s="8">
        <f t="shared" si="77"/>
        <v>2529</v>
      </c>
      <c r="J228" s="8">
        <f t="shared" si="78"/>
        <v>2541</v>
      </c>
      <c r="K228" s="8">
        <f t="shared" si="69"/>
        <v>3000</v>
      </c>
      <c r="L228" s="8">
        <f t="shared" si="70"/>
        <v>3000</v>
      </c>
      <c r="M228" s="8">
        <f t="shared" si="71"/>
        <v>3000</v>
      </c>
      <c r="N228" s="8">
        <f t="shared" si="82"/>
        <v>-447</v>
      </c>
      <c r="O228" s="8">
        <f t="shared" si="83"/>
        <v>-471</v>
      </c>
      <c r="P228" s="8">
        <f t="shared" si="84"/>
        <v>-459</v>
      </c>
      <c r="Q228" s="11">
        <v>0</v>
      </c>
      <c r="R228" s="11">
        <v>0</v>
      </c>
      <c r="S228" s="11">
        <v>0</v>
      </c>
      <c r="T228" s="10">
        <f t="shared" si="79"/>
        <v>725</v>
      </c>
      <c r="U228" s="9">
        <f t="shared" si="85"/>
        <v>2053</v>
      </c>
      <c r="V228" s="9">
        <f t="shared" ref="V228:V291" si="86">V227+$X228*1000-R228</f>
        <v>2049</v>
      </c>
      <c r="W228" s="9">
        <f t="shared" ref="W228:W291" si="87">W227+$X228*1000-S228</f>
        <v>2091</v>
      </c>
      <c r="X228" s="10"/>
      <c r="Y228" s="8"/>
      <c r="Z228" s="8"/>
      <c r="AA228" s="8"/>
      <c r="AB228" s="8"/>
    </row>
    <row r="229" spans="1:28" ht="13.15" customHeight="1">
      <c r="A229" s="18">
        <v>215</v>
      </c>
      <c r="B229" s="17">
        <f t="shared" si="80"/>
        <v>45466</v>
      </c>
      <c r="C229" s="13">
        <f t="shared" si="81"/>
        <v>1069</v>
      </c>
      <c r="D229" s="12">
        <f t="shared" si="72"/>
        <v>1707</v>
      </c>
      <c r="E229" s="11">
        <f t="shared" si="73"/>
        <v>223</v>
      </c>
      <c r="F229" s="11">
        <f t="shared" si="74"/>
        <v>247</v>
      </c>
      <c r="G229" s="11">
        <f t="shared" si="75"/>
        <v>235</v>
      </c>
      <c r="H229" s="8">
        <f t="shared" si="76"/>
        <v>2553</v>
      </c>
      <c r="I229" s="8">
        <f t="shared" si="77"/>
        <v>2529</v>
      </c>
      <c r="J229" s="8">
        <f t="shared" si="78"/>
        <v>2541</v>
      </c>
      <c r="K229" s="8">
        <f t="shared" si="69"/>
        <v>3000</v>
      </c>
      <c r="L229" s="8">
        <f t="shared" si="70"/>
        <v>3000</v>
      </c>
      <c r="M229" s="8">
        <f t="shared" si="71"/>
        <v>3000</v>
      </c>
      <c r="N229" s="8">
        <f t="shared" si="82"/>
        <v>-447</v>
      </c>
      <c r="O229" s="8">
        <f t="shared" si="83"/>
        <v>-471</v>
      </c>
      <c r="P229" s="8">
        <f t="shared" si="84"/>
        <v>-459</v>
      </c>
      <c r="Q229" s="11">
        <v>0</v>
      </c>
      <c r="R229" s="11">
        <v>0</v>
      </c>
      <c r="S229" s="11">
        <v>0</v>
      </c>
      <c r="T229" s="10">
        <f t="shared" si="79"/>
        <v>727</v>
      </c>
      <c r="U229" s="9">
        <f t="shared" si="85"/>
        <v>2053</v>
      </c>
      <c r="V229" s="9">
        <f t="shared" si="86"/>
        <v>2049</v>
      </c>
      <c r="W229" s="9">
        <f t="shared" si="87"/>
        <v>2091</v>
      </c>
      <c r="X229" s="10"/>
      <c r="Y229" s="8"/>
      <c r="Z229" s="8"/>
      <c r="AA229" s="8"/>
      <c r="AB229" s="8"/>
    </row>
    <row r="230" spans="1:28" ht="13.15" customHeight="1">
      <c r="A230" s="18">
        <v>216</v>
      </c>
      <c r="B230" s="17">
        <f t="shared" si="80"/>
        <v>45467</v>
      </c>
      <c r="C230" s="13">
        <f t="shared" si="81"/>
        <v>1069</v>
      </c>
      <c r="D230" s="12">
        <f t="shared" si="72"/>
        <v>1709</v>
      </c>
      <c r="E230" s="11">
        <f t="shared" si="73"/>
        <v>225</v>
      </c>
      <c r="F230" s="11">
        <f t="shared" si="74"/>
        <v>249</v>
      </c>
      <c r="G230" s="11">
        <f t="shared" si="75"/>
        <v>237</v>
      </c>
      <c r="H230" s="8">
        <f t="shared" si="76"/>
        <v>2553</v>
      </c>
      <c r="I230" s="8">
        <f t="shared" si="77"/>
        <v>2529</v>
      </c>
      <c r="J230" s="8">
        <f t="shared" si="78"/>
        <v>2541</v>
      </c>
      <c r="K230" s="8">
        <f t="shared" si="69"/>
        <v>3000</v>
      </c>
      <c r="L230" s="8">
        <f t="shared" si="70"/>
        <v>3000</v>
      </c>
      <c r="M230" s="8">
        <f t="shared" si="71"/>
        <v>3000</v>
      </c>
      <c r="N230" s="8">
        <f t="shared" si="82"/>
        <v>-447</v>
      </c>
      <c r="O230" s="8">
        <f t="shared" si="83"/>
        <v>-471</v>
      </c>
      <c r="P230" s="8">
        <f t="shared" si="84"/>
        <v>-459</v>
      </c>
      <c r="Q230" s="11">
        <v>0</v>
      </c>
      <c r="R230" s="11">
        <v>0</v>
      </c>
      <c r="S230" s="11">
        <v>0</v>
      </c>
      <c r="T230" s="10">
        <f t="shared" si="79"/>
        <v>729</v>
      </c>
      <c r="U230" s="9">
        <f t="shared" si="85"/>
        <v>2053</v>
      </c>
      <c r="V230" s="9">
        <f t="shared" si="86"/>
        <v>2049</v>
      </c>
      <c r="W230" s="9">
        <f t="shared" si="87"/>
        <v>2091</v>
      </c>
      <c r="X230" s="10"/>
      <c r="Y230" s="8"/>
      <c r="Z230" s="8"/>
      <c r="AA230" s="8"/>
      <c r="AB230" s="8"/>
    </row>
    <row r="231" spans="1:28" ht="13.15" customHeight="1">
      <c r="A231" s="18">
        <v>217</v>
      </c>
      <c r="B231" s="17">
        <f t="shared" si="80"/>
        <v>45468</v>
      </c>
      <c r="C231" s="13">
        <f t="shared" si="81"/>
        <v>1069</v>
      </c>
      <c r="D231" s="12">
        <f t="shared" si="72"/>
        <v>1711</v>
      </c>
      <c r="E231" s="11">
        <f t="shared" si="73"/>
        <v>227</v>
      </c>
      <c r="F231" s="11">
        <f t="shared" si="74"/>
        <v>251</v>
      </c>
      <c r="G231" s="11">
        <f t="shared" si="75"/>
        <v>239</v>
      </c>
      <c r="H231" s="8">
        <f t="shared" si="76"/>
        <v>2553</v>
      </c>
      <c r="I231" s="8">
        <f t="shared" si="77"/>
        <v>2529</v>
      </c>
      <c r="J231" s="8">
        <f t="shared" si="78"/>
        <v>2541</v>
      </c>
      <c r="K231" s="8">
        <f t="shared" si="69"/>
        <v>3000</v>
      </c>
      <c r="L231" s="8">
        <f t="shared" si="70"/>
        <v>3000</v>
      </c>
      <c r="M231" s="8">
        <f t="shared" si="71"/>
        <v>3000</v>
      </c>
      <c r="N231" s="8">
        <f t="shared" si="82"/>
        <v>-447</v>
      </c>
      <c r="O231" s="8">
        <f t="shared" si="83"/>
        <v>-471</v>
      </c>
      <c r="P231" s="8">
        <f t="shared" si="84"/>
        <v>-459</v>
      </c>
      <c r="Q231" s="11">
        <v>0</v>
      </c>
      <c r="R231" s="11">
        <v>0</v>
      </c>
      <c r="S231" s="11">
        <v>0</v>
      </c>
      <c r="T231" s="10">
        <f t="shared" si="79"/>
        <v>731</v>
      </c>
      <c r="U231" s="9">
        <f t="shared" si="85"/>
        <v>2053</v>
      </c>
      <c r="V231" s="9">
        <f t="shared" si="86"/>
        <v>2049</v>
      </c>
      <c r="W231" s="9">
        <f t="shared" si="87"/>
        <v>2091</v>
      </c>
      <c r="X231" s="10"/>
      <c r="Y231" s="8"/>
      <c r="Z231" s="8"/>
      <c r="AA231" s="8"/>
      <c r="AB231" s="8"/>
    </row>
    <row r="232" spans="1:28" ht="13.15" customHeight="1">
      <c r="A232" s="18">
        <v>218</v>
      </c>
      <c r="B232" s="17">
        <f t="shared" si="80"/>
        <v>45469</v>
      </c>
      <c r="C232" s="13">
        <f t="shared" si="81"/>
        <v>1069</v>
      </c>
      <c r="D232" s="12">
        <f t="shared" si="72"/>
        <v>1713</v>
      </c>
      <c r="E232" s="11">
        <f t="shared" si="73"/>
        <v>229</v>
      </c>
      <c r="F232" s="11">
        <f t="shared" si="74"/>
        <v>253</v>
      </c>
      <c r="G232" s="11">
        <f t="shared" si="75"/>
        <v>241</v>
      </c>
      <c r="H232" s="8">
        <f t="shared" si="76"/>
        <v>2553</v>
      </c>
      <c r="I232" s="8">
        <f t="shared" si="77"/>
        <v>2529</v>
      </c>
      <c r="J232" s="8">
        <f t="shared" si="78"/>
        <v>2541</v>
      </c>
      <c r="K232" s="8">
        <f t="shared" si="69"/>
        <v>3000</v>
      </c>
      <c r="L232" s="8">
        <f t="shared" si="70"/>
        <v>3000</v>
      </c>
      <c r="M232" s="8">
        <f t="shared" si="71"/>
        <v>3000</v>
      </c>
      <c r="N232" s="8">
        <f t="shared" si="82"/>
        <v>-447</v>
      </c>
      <c r="O232" s="8">
        <f t="shared" si="83"/>
        <v>-471</v>
      </c>
      <c r="P232" s="8">
        <f t="shared" si="84"/>
        <v>-459</v>
      </c>
      <c r="Q232" s="11">
        <v>0</v>
      </c>
      <c r="R232" s="11">
        <v>0</v>
      </c>
      <c r="S232" s="11">
        <v>0</v>
      </c>
      <c r="T232" s="10">
        <f t="shared" si="79"/>
        <v>733</v>
      </c>
      <c r="U232" s="9">
        <f t="shared" si="85"/>
        <v>2053</v>
      </c>
      <c r="V232" s="9">
        <f t="shared" si="86"/>
        <v>2049</v>
      </c>
      <c r="W232" s="9">
        <f t="shared" si="87"/>
        <v>2091</v>
      </c>
      <c r="X232" s="10"/>
      <c r="Y232" s="8"/>
      <c r="Z232" s="8"/>
      <c r="AA232" s="8"/>
      <c r="AB232" s="8"/>
    </row>
    <row r="233" spans="1:28" ht="13.15" customHeight="1">
      <c r="A233" s="18">
        <v>219</v>
      </c>
      <c r="B233" s="17">
        <f t="shared" si="80"/>
        <v>45470</v>
      </c>
      <c r="C233" s="13">
        <f t="shared" si="81"/>
        <v>1069</v>
      </c>
      <c r="D233" s="12">
        <f t="shared" si="72"/>
        <v>1715</v>
      </c>
      <c r="E233" s="11">
        <f t="shared" si="73"/>
        <v>231</v>
      </c>
      <c r="F233" s="11">
        <f t="shared" si="74"/>
        <v>255</v>
      </c>
      <c r="G233" s="11">
        <f t="shared" si="75"/>
        <v>243</v>
      </c>
      <c r="H233" s="8">
        <f t="shared" si="76"/>
        <v>2553</v>
      </c>
      <c r="I233" s="8">
        <f t="shared" si="77"/>
        <v>2529</v>
      </c>
      <c r="J233" s="8">
        <f t="shared" si="78"/>
        <v>2541</v>
      </c>
      <c r="K233" s="8">
        <f t="shared" si="69"/>
        <v>3000</v>
      </c>
      <c r="L233" s="8">
        <f t="shared" si="70"/>
        <v>3000</v>
      </c>
      <c r="M233" s="8">
        <f t="shared" si="71"/>
        <v>3000</v>
      </c>
      <c r="N233" s="8">
        <f t="shared" si="82"/>
        <v>-447</v>
      </c>
      <c r="O233" s="8">
        <f t="shared" si="83"/>
        <v>-471</v>
      </c>
      <c r="P233" s="8">
        <f t="shared" si="84"/>
        <v>-459</v>
      </c>
      <c r="Q233" s="11">
        <v>0</v>
      </c>
      <c r="R233" s="11">
        <v>0</v>
      </c>
      <c r="S233" s="11">
        <v>0</v>
      </c>
      <c r="T233" s="10">
        <f t="shared" si="79"/>
        <v>735</v>
      </c>
      <c r="U233" s="9">
        <f t="shared" si="85"/>
        <v>2053</v>
      </c>
      <c r="V233" s="9">
        <f t="shared" si="86"/>
        <v>2049</v>
      </c>
      <c r="W233" s="9">
        <f t="shared" si="87"/>
        <v>2091</v>
      </c>
      <c r="X233" s="10"/>
      <c r="Y233" s="8"/>
      <c r="Z233" s="8"/>
      <c r="AA233" s="8"/>
      <c r="AB233" s="8"/>
    </row>
    <row r="234" spans="1:28" ht="13.15" customHeight="1">
      <c r="A234" s="18">
        <v>220</v>
      </c>
      <c r="B234" s="17">
        <f t="shared" si="80"/>
        <v>45471</v>
      </c>
      <c r="C234" s="13">
        <f t="shared" si="81"/>
        <v>1069</v>
      </c>
      <c r="D234" s="12">
        <f t="shared" si="72"/>
        <v>1717</v>
      </c>
      <c r="E234" s="11">
        <f t="shared" si="73"/>
        <v>233</v>
      </c>
      <c r="F234" s="11">
        <f t="shared" si="74"/>
        <v>257</v>
      </c>
      <c r="G234" s="11">
        <f t="shared" si="75"/>
        <v>245</v>
      </c>
      <c r="H234" s="8">
        <f t="shared" si="76"/>
        <v>2553</v>
      </c>
      <c r="I234" s="8">
        <f t="shared" si="77"/>
        <v>2529</v>
      </c>
      <c r="J234" s="8">
        <f t="shared" si="78"/>
        <v>2541</v>
      </c>
      <c r="K234" s="8">
        <f t="shared" si="69"/>
        <v>3000</v>
      </c>
      <c r="L234" s="8">
        <f t="shared" si="70"/>
        <v>3000</v>
      </c>
      <c r="M234" s="8">
        <f t="shared" si="71"/>
        <v>3000</v>
      </c>
      <c r="N234" s="8">
        <f t="shared" si="82"/>
        <v>-447</v>
      </c>
      <c r="O234" s="8">
        <f t="shared" si="83"/>
        <v>-471</v>
      </c>
      <c r="P234" s="8">
        <f t="shared" si="84"/>
        <v>-459</v>
      </c>
      <c r="Q234" s="11">
        <v>0</v>
      </c>
      <c r="R234" s="11">
        <v>0</v>
      </c>
      <c r="S234" s="11">
        <v>0</v>
      </c>
      <c r="T234" s="10">
        <f t="shared" si="79"/>
        <v>737</v>
      </c>
      <c r="U234" s="9">
        <f t="shared" si="85"/>
        <v>2053</v>
      </c>
      <c r="V234" s="9">
        <f t="shared" si="86"/>
        <v>2049</v>
      </c>
      <c r="W234" s="9">
        <f t="shared" si="87"/>
        <v>2091</v>
      </c>
      <c r="X234" s="10"/>
      <c r="Y234" s="8"/>
      <c r="Z234" s="8"/>
      <c r="AA234" s="8"/>
      <c r="AB234" s="8"/>
    </row>
    <row r="235" spans="1:28" ht="13.15" customHeight="1">
      <c r="A235" s="18">
        <v>221</v>
      </c>
      <c r="B235" s="17">
        <f t="shared" si="80"/>
        <v>45472</v>
      </c>
      <c r="C235" s="13">
        <f t="shared" si="81"/>
        <v>1069</v>
      </c>
      <c r="D235" s="12">
        <f t="shared" si="72"/>
        <v>1719</v>
      </c>
      <c r="E235" s="11">
        <f t="shared" si="73"/>
        <v>235</v>
      </c>
      <c r="F235" s="11">
        <f t="shared" si="74"/>
        <v>259</v>
      </c>
      <c r="G235" s="11">
        <f t="shared" si="75"/>
        <v>247</v>
      </c>
      <c r="H235" s="8">
        <f t="shared" si="76"/>
        <v>2553</v>
      </c>
      <c r="I235" s="8">
        <f t="shared" si="77"/>
        <v>2529</v>
      </c>
      <c r="J235" s="8">
        <f t="shared" si="78"/>
        <v>2541</v>
      </c>
      <c r="K235" s="8">
        <f t="shared" si="69"/>
        <v>3000</v>
      </c>
      <c r="L235" s="8">
        <f t="shared" si="70"/>
        <v>3000</v>
      </c>
      <c r="M235" s="8">
        <f t="shared" si="71"/>
        <v>3000</v>
      </c>
      <c r="N235" s="8">
        <f t="shared" si="82"/>
        <v>-447</v>
      </c>
      <c r="O235" s="8">
        <f t="shared" si="83"/>
        <v>-471</v>
      </c>
      <c r="P235" s="8">
        <f t="shared" si="84"/>
        <v>-459</v>
      </c>
      <c r="Q235" s="11">
        <v>0</v>
      </c>
      <c r="R235" s="11">
        <v>0</v>
      </c>
      <c r="S235" s="11">
        <v>0</v>
      </c>
      <c r="T235" s="10">
        <f t="shared" si="79"/>
        <v>739</v>
      </c>
      <c r="U235" s="9">
        <f t="shared" si="85"/>
        <v>2053</v>
      </c>
      <c r="V235" s="9">
        <f t="shared" si="86"/>
        <v>2049</v>
      </c>
      <c r="W235" s="9">
        <f t="shared" si="87"/>
        <v>2091</v>
      </c>
      <c r="X235" s="10"/>
      <c r="Y235" s="8"/>
      <c r="Z235" s="8"/>
      <c r="AA235" s="8"/>
      <c r="AB235" s="8"/>
    </row>
    <row r="236" spans="1:28" ht="13.15" customHeight="1">
      <c r="A236" s="18">
        <v>222</v>
      </c>
      <c r="B236" s="17">
        <f t="shared" si="80"/>
        <v>45473</v>
      </c>
      <c r="C236" s="13">
        <f t="shared" si="81"/>
        <v>1069</v>
      </c>
      <c r="D236" s="12">
        <f t="shared" si="72"/>
        <v>1721</v>
      </c>
      <c r="E236" s="11">
        <f t="shared" si="73"/>
        <v>237</v>
      </c>
      <c r="F236" s="11">
        <f t="shared" si="74"/>
        <v>261</v>
      </c>
      <c r="G236" s="11">
        <f t="shared" si="75"/>
        <v>249</v>
      </c>
      <c r="H236" s="8">
        <f t="shared" si="76"/>
        <v>2553</v>
      </c>
      <c r="I236" s="8">
        <f t="shared" si="77"/>
        <v>2529</v>
      </c>
      <c r="J236" s="8">
        <f t="shared" si="78"/>
        <v>2541</v>
      </c>
      <c r="K236" s="8">
        <f t="shared" si="69"/>
        <v>3000</v>
      </c>
      <c r="L236" s="8">
        <f t="shared" si="70"/>
        <v>3000</v>
      </c>
      <c r="M236" s="8">
        <f t="shared" si="71"/>
        <v>3000</v>
      </c>
      <c r="N236" s="8">
        <f t="shared" si="82"/>
        <v>-447</v>
      </c>
      <c r="O236" s="8">
        <f t="shared" si="83"/>
        <v>-471</v>
      </c>
      <c r="P236" s="8">
        <f t="shared" si="84"/>
        <v>-459</v>
      </c>
      <c r="Q236" s="11">
        <v>0</v>
      </c>
      <c r="R236" s="11">
        <v>0</v>
      </c>
      <c r="S236" s="11">
        <v>0</v>
      </c>
      <c r="T236" s="10">
        <f t="shared" si="79"/>
        <v>741</v>
      </c>
      <c r="U236" s="9">
        <f t="shared" si="85"/>
        <v>2053</v>
      </c>
      <c r="V236" s="9">
        <f t="shared" si="86"/>
        <v>2049</v>
      </c>
      <c r="W236" s="9">
        <f t="shared" si="87"/>
        <v>2091</v>
      </c>
      <c r="X236" s="10"/>
      <c r="Y236" s="8"/>
      <c r="Z236" s="8"/>
      <c r="AA236" s="8"/>
      <c r="AB236" s="8"/>
    </row>
    <row r="237" spans="1:28" ht="13.15" customHeight="1">
      <c r="A237" s="18">
        <v>223</v>
      </c>
      <c r="B237" s="17">
        <f t="shared" si="80"/>
        <v>45474</v>
      </c>
      <c r="C237" s="13">
        <f t="shared" si="81"/>
        <v>1069</v>
      </c>
      <c r="D237" s="12">
        <f t="shared" si="72"/>
        <v>1723</v>
      </c>
      <c r="E237" s="11">
        <f t="shared" si="73"/>
        <v>239</v>
      </c>
      <c r="F237" s="11">
        <f t="shared" si="74"/>
        <v>263</v>
      </c>
      <c r="G237" s="11">
        <f t="shared" si="75"/>
        <v>251</v>
      </c>
      <c r="H237" s="8">
        <f t="shared" si="76"/>
        <v>2553</v>
      </c>
      <c r="I237" s="8">
        <f t="shared" si="77"/>
        <v>2529</v>
      </c>
      <c r="J237" s="8">
        <f t="shared" si="78"/>
        <v>2541</v>
      </c>
      <c r="K237" s="8">
        <f t="shared" si="69"/>
        <v>3000</v>
      </c>
      <c r="L237" s="8">
        <f t="shared" si="70"/>
        <v>3000</v>
      </c>
      <c r="M237" s="8">
        <f t="shared" si="71"/>
        <v>3000</v>
      </c>
      <c r="N237" s="8">
        <f t="shared" si="82"/>
        <v>-447</v>
      </c>
      <c r="O237" s="8">
        <f t="shared" si="83"/>
        <v>-471</v>
      </c>
      <c r="P237" s="8">
        <f t="shared" si="84"/>
        <v>-459</v>
      </c>
      <c r="Q237" s="11">
        <v>0</v>
      </c>
      <c r="R237" s="11">
        <v>0</v>
      </c>
      <c r="S237" s="11">
        <v>0</v>
      </c>
      <c r="T237" s="10">
        <f t="shared" si="79"/>
        <v>743</v>
      </c>
      <c r="U237" s="9">
        <f t="shared" si="85"/>
        <v>2053</v>
      </c>
      <c r="V237" s="9">
        <f t="shared" si="86"/>
        <v>2049</v>
      </c>
      <c r="W237" s="9">
        <f t="shared" si="87"/>
        <v>2091</v>
      </c>
      <c r="X237" s="10"/>
      <c r="Y237" s="8"/>
      <c r="Z237" s="8"/>
      <c r="AA237" s="8"/>
      <c r="AB237" s="8"/>
    </row>
    <row r="238" spans="1:28" ht="13.15" customHeight="1">
      <c r="A238" s="18">
        <v>224</v>
      </c>
      <c r="B238" s="17">
        <f t="shared" si="80"/>
        <v>45475</v>
      </c>
      <c r="C238" s="13">
        <f t="shared" si="81"/>
        <v>1069</v>
      </c>
      <c r="D238" s="12">
        <f t="shared" si="72"/>
        <v>1725</v>
      </c>
      <c r="E238" s="11">
        <f t="shared" si="73"/>
        <v>241</v>
      </c>
      <c r="F238" s="11">
        <f t="shared" si="74"/>
        <v>265</v>
      </c>
      <c r="G238" s="11">
        <f t="shared" si="75"/>
        <v>253</v>
      </c>
      <c r="H238" s="8">
        <f t="shared" si="76"/>
        <v>2553</v>
      </c>
      <c r="I238" s="8">
        <f t="shared" si="77"/>
        <v>2529</v>
      </c>
      <c r="J238" s="8">
        <f t="shared" si="78"/>
        <v>2541</v>
      </c>
      <c r="K238" s="8">
        <f t="shared" ref="K238:K301" si="88">K237</f>
        <v>3000</v>
      </c>
      <c r="L238" s="8">
        <f t="shared" ref="L238:L301" si="89">L237</f>
        <v>3000</v>
      </c>
      <c r="M238" s="8">
        <f t="shared" ref="M238:M301" si="90">M237</f>
        <v>3000</v>
      </c>
      <c r="N238" s="8">
        <f t="shared" si="82"/>
        <v>-447</v>
      </c>
      <c r="O238" s="8">
        <f t="shared" si="83"/>
        <v>-471</v>
      </c>
      <c r="P238" s="8">
        <f t="shared" si="84"/>
        <v>-459</v>
      </c>
      <c r="Q238" s="11">
        <v>0</v>
      </c>
      <c r="R238" s="11">
        <v>0</v>
      </c>
      <c r="S238" s="11">
        <v>0</v>
      </c>
      <c r="T238" s="10">
        <f t="shared" si="79"/>
        <v>745</v>
      </c>
      <c r="U238" s="9">
        <f t="shared" si="85"/>
        <v>2053</v>
      </c>
      <c r="V238" s="9">
        <f t="shared" si="86"/>
        <v>2049</v>
      </c>
      <c r="W238" s="9">
        <f t="shared" si="87"/>
        <v>2091</v>
      </c>
      <c r="X238" s="10"/>
      <c r="Y238" s="8"/>
      <c r="Z238" s="8"/>
      <c r="AA238" s="8"/>
      <c r="AB238" s="8"/>
    </row>
    <row r="239" spans="1:28" ht="13.15" customHeight="1">
      <c r="A239" s="18">
        <v>225</v>
      </c>
      <c r="B239" s="17">
        <f t="shared" si="80"/>
        <v>45476</v>
      </c>
      <c r="C239" s="13">
        <f t="shared" si="81"/>
        <v>1069</v>
      </c>
      <c r="D239" s="12">
        <f t="shared" si="72"/>
        <v>1727</v>
      </c>
      <c r="E239" s="11">
        <f t="shared" si="73"/>
        <v>243</v>
      </c>
      <c r="F239" s="11">
        <f t="shared" si="74"/>
        <v>267</v>
      </c>
      <c r="G239" s="11">
        <f t="shared" si="75"/>
        <v>255</v>
      </c>
      <c r="H239" s="8">
        <f t="shared" si="76"/>
        <v>2553</v>
      </c>
      <c r="I239" s="8">
        <f t="shared" si="77"/>
        <v>2529</v>
      </c>
      <c r="J239" s="8">
        <f t="shared" si="78"/>
        <v>2541</v>
      </c>
      <c r="K239" s="8">
        <f t="shared" si="88"/>
        <v>3000</v>
      </c>
      <c r="L239" s="8">
        <f t="shared" si="89"/>
        <v>3000</v>
      </c>
      <c r="M239" s="8">
        <f t="shared" si="90"/>
        <v>3000</v>
      </c>
      <c r="N239" s="8">
        <f t="shared" si="82"/>
        <v>-447</v>
      </c>
      <c r="O239" s="8">
        <f t="shared" si="83"/>
        <v>-471</v>
      </c>
      <c r="P239" s="8">
        <f t="shared" si="84"/>
        <v>-459</v>
      </c>
      <c r="Q239" s="11">
        <v>0</v>
      </c>
      <c r="R239" s="11">
        <v>0</v>
      </c>
      <c r="S239" s="11">
        <v>0</v>
      </c>
      <c r="T239" s="10">
        <f t="shared" si="79"/>
        <v>747</v>
      </c>
      <c r="U239" s="9">
        <f t="shared" si="85"/>
        <v>2053</v>
      </c>
      <c r="V239" s="9">
        <f t="shared" si="86"/>
        <v>2049</v>
      </c>
      <c r="W239" s="9">
        <f t="shared" si="87"/>
        <v>2091</v>
      </c>
      <c r="X239" s="10"/>
      <c r="Y239" s="8"/>
      <c r="Z239" s="8"/>
      <c r="AA239" s="8"/>
      <c r="AB239" s="8"/>
    </row>
    <row r="240" spans="1:28" ht="13.15" customHeight="1">
      <c r="A240" s="18">
        <v>226</v>
      </c>
      <c r="B240" s="17">
        <f t="shared" si="80"/>
        <v>45477</v>
      </c>
      <c r="C240" s="13">
        <f t="shared" si="81"/>
        <v>1069</v>
      </c>
      <c r="D240" s="12">
        <f t="shared" si="72"/>
        <v>1729</v>
      </c>
      <c r="E240" s="11">
        <f t="shared" si="73"/>
        <v>245</v>
      </c>
      <c r="F240" s="11">
        <f t="shared" si="74"/>
        <v>269</v>
      </c>
      <c r="G240" s="11">
        <f t="shared" si="75"/>
        <v>257</v>
      </c>
      <c r="H240" s="8">
        <f t="shared" si="76"/>
        <v>2553</v>
      </c>
      <c r="I240" s="8">
        <f t="shared" si="77"/>
        <v>2529</v>
      </c>
      <c r="J240" s="8">
        <f t="shared" si="78"/>
        <v>2541</v>
      </c>
      <c r="K240" s="8">
        <f t="shared" si="88"/>
        <v>3000</v>
      </c>
      <c r="L240" s="8">
        <f t="shared" si="89"/>
        <v>3000</v>
      </c>
      <c r="M240" s="8">
        <f t="shared" si="90"/>
        <v>3000</v>
      </c>
      <c r="N240" s="8">
        <f t="shared" si="82"/>
        <v>-447</v>
      </c>
      <c r="O240" s="8">
        <f t="shared" si="83"/>
        <v>-471</v>
      </c>
      <c r="P240" s="8">
        <f t="shared" si="84"/>
        <v>-459</v>
      </c>
      <c r="Q240" s="11">
        <v>0</v>
      </c>
      <c r="R240" s="11">
        <v>0</v>
      </c>
      <c r="S240" s="11">
        <v>0</v>
      </c>
      <c r="T240" s="10">
        <f t="shared" si="79"/>
        <v>749</v>
      </c>
      <c r="U240" s="9">
        <f t="shared" si="85"/>
        <v>2053</v>
      </c>
      <c r="V240" s="9">
        <f t="shared" si="86"/>
        <v>2049</v>
      </c>
      <c r="W240" s="9">
        <f t="shared" si="87"/>
        <v>2091</v>
      </c>
      <c r="X240" s="10"/>
      <c r="Y240" s="8"/>
      <c r="Z240" s="8"/>
      <c r="AA240" s="8"/>
      <c r="AB240" s="8"/>
    </row>
    <row r="241" spans="1:28" ht="13.15" customHeight="1">
      <c r="A241" s="18">
        <v>227</v>
      </c>
      <c r="B241" s="17">
        <f t="shared" si="80"/>
        <v>45478</v>
      </c>
      <c r="C241" s="13">
        <f t="shared" si="81"/>
        <v>1069</v>
      </c>
      <c r="D241" s="12">
        <f t="shared" si="72"/>
        <v>1731</v>
      </c>
      <c r="E241" s="11">
        <f t="shared" si="73"/>
        <v>247</v>
      </c>
      <c r="F241" s="11">
        <f t="shared" si="74"/>
        <v>271</v>
      </c>
      <c r="G241" s="11">
        <f t="shared" si="75"/>
        <v>259</v>
      </c>
      <c r="H241" s="8">
        <f t="shared" si="76"/>
        <v>2553</v>
      </c>
      <c r="I241" s="8">
        <f t="shared" si="77"/>
        <v>2529</v>
      </c>
      <c r="J241" s="8">
        <f t="shared" si="78"/>
        <v>2541</v>
      </c>
      <c r="K241" s="8">
        <f t="shared" si="88"/>
        <v>3000</v>
      </c>
      <c r="L241" s="8">
        <f t="shared" si="89"/>
        <v>3000</v>
      </c>
      <c r="M241" s="8">
        <f t="shared" si="90"/>
        <v>3000</v>
      </c>
      <c r="N241" s="8">
        <f t="shared" si="82"/>
        <v>-447</v>
      </c>
      <c r="O241" s="8">
        <f t="shared" si="83"/>
        <v>-471</v>
      </c>
      <c r="P241" s="8">
        <f t="shared" si="84"/>
        <v>-459</v>
      </c>
      <c r="Q241" s="11">
        <v>0</v>
      </c>
      <c r="R241" s="11">
        <v>0</v>
      </c>
      <c r="S241" s="11">
        <v>0</v>
      </c>
      <c r="T241" s="10">
        <f t="shared" si="79"/>
        <v>751</v>
      </c>
      <c r="U241" s="9">
        <f t="shared" si="85"/>
        <v>2053</v>
      </c>
      <c r="V241" s="9">
        <f t="shared" si="86"/>
        <v>2049</v>
      </c>
      <c r="W241" s="9">
        <f t="shared" si="87"/>
        <v>2091</v>
      </c>
      <c r="X241" s="10"/>
      <c r="Y241" s="8"/>
      <c r="Z241" s="8"/>
      <c r="AA241" s="8"/>
      <c r="AB241" s="8"/>
    </row>
    <row r="242" spans="1:28" ht="13.15" customHeight="1">
      <c r="A242" s="18">
        <v>228</v>
      </c>
      <c r="B242" s="17">
        <f t="shared" si="80"/>
        <v>45479</v>
      </c>
      <c r="C242" s="13">
        <f t="shared" si="81"/>
        <v>1069</v>
      </c>
      <c r="D242" s="12">
        <f t="shared" si="72"/>
        <v>1733</v>
      </c>
      <c r="E242" s="11">
        <f t="shared" si="73"/>
        <v>249</v>
      </c>
      <c r="F242" s="11">
        <f t="shared" si="74"/>
        <v>273</v>
      </c>
      <c r="G242" s="11">
        <f t="shared" si="75"/>
        <v>261</v>
      </c>
      <c r="H242" s="8">
        <f t="shared" si="76"/>
        <v>2553</v>
      </c>
      <c r="I242" s="8">
        <f t="shared" si="77"/>
        <v>2529</v>
      </c>
      <c r="J242" s="8">
        <f t="shared" si="78"/>
        <v>2541</v>
      </c>
      <c r="K242" s="8">
        <f t="shared" si="88"/>
        <v>3000</v>
      </c>
      <c r="L242" s="8">
        <f t="shared" si="89"/>
        <v>3000</v>
      </c>
      <c r="M242" s="8">
        <f t="shared" si="90"/>
        <v>3000</v>
      </c>
      <c r="N242" s="8">
        <f t="shared" si="82"/>
        <v>-447</v>
      </c>
      <c r="O242" s="8">
        <f t="shared" si="83"/>
        <v>-471</v>
      </c>
      <c r="P242" s="8">
        <f t="shared" si="84"/>
        <v>-459</v>
      </c>
      <c r="Q242" s="11">
        <v>0</v>
      </c>
      <c r="R242" s="11">
        <v>0</v>
      </c>
      <c r="S242" s="11">
        <v>0</v>
      </c>
      <c r="T242" s="10">
        <f t="shared" si="79"/>
        <v>753</v>
      </c>
      <c r="U242" s="9">
        <f t="shared" si="85"/>
        <v>2053</v>
      </c>
      <c r="V242" s="9">
        <f t="shared" si="86"/>
        <v>2049</v>
      </c>
      <c r="W242" s="9">
        <f t="shared" si="87"/>
        <v>2091</v>
      </c>
      <c r="X242" s="10"/>
      <c r="Y242" s="8"/>
      <c r="Z242" s="8"/>
      <c r="AA242" s="8"/>
      <c r="AB242" s="8"/>
    </row>
    <row r="243" spans="1:28" ht="13.15" customHeight="1">
      <c r="A243" s="18">
        <v>229</v>
      </c>
      <c r="B243" s="17">
        <f t="shared" si="80"/>
        <v>45480</v>
      </c>
      <c r="C243" s="13">
        <f t="shared" si="81"/>
        <v>1069</v>
      </c>
      <c r="D243" s="12">
        <f t="shared" si="72"/>
        <v>1735</v>
      </c>
      <c r="E243" s="11">
        <f t="shared" si="73"/>
        <v>251</v>
      </c>
      <c r="F243" s="11">
        <f t="shared" si="74"/>
        <v>275</v>
      </c>
      <c r="G243" s="11">
        <f t="shared" si="75"/>
        <v>263</v>
      </c>
      <c r="H243" s="8">
        <f t="shared" si="76"/>
        <v>2553</v>
      </c>
      <c r="I243" s="8">
        <f t="shared" si="77"/>
        <v>2529</v>
      </c>
      <c r="J243" s="8">
        <f t="shared" si="78"/>
        <v>2541</v>
      </c>
      <c r="K243" s="8">
        <f t="shared" si="88"/>
        <v>3000</v>
      </c>
      <c r="L243" s="8">
        <f t="shared" si="89"/>
        <v>3000</v>
      </c>
      <c r="M243" s="8">
        <f t="shared" si="90"/>
        <v>3000</v>
      </c>
      <c r="N243" s="8">
        <f t="shared" si="82"/>
        <v>-447</v>
      </c>
      <c r="O243" s="8">
        <f t="shared" si="83"/>
        <v>-471</v>
      </c>
      <c r="P243" s="8">
        <f t="shared" si="84"/>
        <v>-459</v>
      </c>
      <c r="Q243" s="11">
        <v>0</v>
      </c>
      <c r="R243" s="11">
        <v>0</v>
      </c>
      <c r="S243" s="11">
        <v>0</v>
      </c>
      <c r="T243" s="10">
        <f t="shared" si="79"/>
        <v>755</v>
      </c>
      <c r="U243" s="9">
        <f t="shared" si="85"/>
        <v>2053</v>
      </c>
      <c r="V243" s="9">
        <f t="shared" si="86"/>
        <v>2049</v>
      </c>
      <c r="W243" s="9">
        <f t="shared" si="87"/>
        <v>2091</v>
      </c>
      <c r="X243" s="10"/>
      <c r="Y243" s="8"/>
      <c r="Z243" s="8"/>
      <c r="AA243" s="8"/>
      <c r="AB243" s="8"/>
    </row>
    <row r="244" spans="1:28" ht="13.15" customHeight="1">
      <c r="A244" s="18">
        <v>230</v>
      </c>
      <c r="B244" s="17">
        <f t="shared" si="80"/>
        <v>45481</v>
      </c>
      <c r="C244" s="13">
        <f t="shared" si="81"/>
        <v>1069</v>
      </c>
      <c r="D244" s="12">
        <f t="shared" si="72"/>
        <v>1737</v>
      </c>
      <c r="E244" s="11">
        <f t="shared" si="73"/>
        <v>253</v>
      </c>
      <c r="F244" s="11">
        <f t="shared" si="74"/>
        <v>277</v>
      </c>
      <c r="G244" s="11">
        <f t="shared" si="75"/>
        <v>265</v>
      </c>
      <c r="H244" s="8">
        <f t="shared" si="76"/>
        <v>2553</v>
      </c>
      <c r="I244" s="8">
        <f t="shared" si="77"/>
        <v>2529</v>
      </c>
      <c r="J244" s="8">
        <f t="shared" si="78"/>
        <v>2541</v>
      </c>
      <c r="K244" s="8">
        <f t="shared" si="88"/>
        <v>3000</v>
      </c>
      <c r="L244" s="8">
        <f t="shared" si="89"/>
        <v>3000</v>
      </c>
      <c r="M244" s="8">
        <f t="shared" si="90"/>
        <v>3000</v>
      </c>
      <c r="N244" s="8">
        <f t="shared" si="82"/>
        <v>-447</v>
      </c>
      <c r="O244" s="8">
        <f t="shared" si="83"/>
        <v>-471</v>
      </c>
      <c r="P244" s="8">
        <f t="shared" si="84"/>
        <v>-459</v>
      </c>
      <c r="Q244" s="11">
        <v>0</v>
      </c>
      <c r="R244" s="11">
        <v>0</v>
      </c>
      <c r="S244" s="11">
        <v>0</v>
      </c>
      <c r="T244" s="10">
        <f t="shared" si="79"/>
        <v>757</v>
      </c>
      <c r="U244" s="9">
        <f t="shared" si="85"/>
        <v>2053</v>
      </c>
      <c r="V244" s="9">
        <f t="shared" si="86"/>
        <v>2049</v>
      </c>
      <c r="W244" s="9">
        <f t="shared" si="87"/>
        <v>2091</v>
      </c>
      <c r="X244" s="10"/>
      <c r="Y244" s="8"/>
      <c r="Z244" s="8"/>
      <c r="AA244" s="8"/>
      <c r="AB244" s="8"/>
    </row>
    <row r="245" spans="1:28" ht="13.15" customHeight="1">
      <c r="A245" s="18">
        <v>231</v>
      </c>
      <c r="B245" s="17">
        <f t="shared" si="80"/>
        <v>45482</v>
      </c>
      <c r="C245" s="13">
        <f t="shared" si="81"/>
        <v>1069</v>
      </c>
      <c r="D245" s="12">
        <f t="shared" si="72"/>
        <v>1739</v>
      </c>
      <c r="E245" s="11">
        <f t="shared" si="73"/>
        <v>255</v>
      </c>
      <c r="F245" s="11">
        <f t="shared" si="74"/>
        <v>279</v>
      </c>
      <c r="G245" s="11">
        <f t="shared" si="75"/>
        <v>267</v>
      </c>
      <c r="H245" s="8">
        <f t="shared" si="76"/>
        <v>2553</v>
      </c>
      <c r="I245" s="8">
        <f t="shared" si="77"/>
        <v>2529</v>
      </c>
      <c r="J245" s="8">
        <f t="shared" si="78"/>
        <v>2541</v>
      </c>
      <c r="K245" s="8">
        <f t="shared" si="88"/>
        <v>3000</v>
      </c>
      <c r="L245" s="8">
        <f t="shared" si="89"/>
        <v>3000</v>
      </c>
      <c r="M245" s="8">
        <f t="shared" si="90"/>
        <v>3000</v>
      </c>
      <c r="N245" s="8">
        <f t="shared" si="82"/>
        <v>-447</v>
      </c>
      <c r="O245" s="8">
        <f t="shared" si="83"/>
        <v>-471</v>
      </c>
      <c r="P245" s="8">
        <f t="shared" si="84"/>
        <v>-459</v>
      </c>
      <c r="Q245" s="11">
        <v>0</v>
      </c>
      <c r="R245" s="11">
        <v>0</v>
      </c>
      <c r="S245" s="11">
        <v>0</v>
      </c>
      <c r="T245" s="10">
        <f t="shared" si="79"/>
        <v>759</v>
      </c>
      <c r="U245" s="9">
        <f t="shared" si="85"/>
        <v>2053</v>
      </c>
      <c r="V245" s="9">
        <f t="shared" si="86"/>
        <v>2049</v>
      </c>
      <c r="W245" s="9">
        <f t="shared" si="87"/>
        <v>2091</v>
      </c>
      <c r="X245" s="10"/>
      <c r="Y245" s="8"/>
      <c r="Z245" s="8"/>
      <c r="AA245" s="8"/>
      <c r="AB245" s="8"/>
    </row>
    <row r="246" spans="1:28" ht="13.15" customHeight="1">
      <c r="A246" s="18">
        <v>232</v>
      </c>
      <c r="B246" s="17">
        <f t="shared" si="80"/>
        <v>45483</v>
      </c>
      <c r="C246" s="13">
        <f t="shared" si="81"/>
        <v>1069</v>
      </c>
      <c r="D246" s="12">
        <f t="shared" si="72"/>
        <v>1741</v>
      </c>
      <c r="E246" s="11">
        <f t="shared" si="73"/>
        <v>257</v>
      </c>
      <c r="F246" s="11">
        <f t="shared" si="74"/>
        <v>281</v>
      </c>
      <c r="G246" s="11">
        <f t="shared" si="75"/>
        <v>269</v>
      </c>
      <c r="H246" s="8">
        <f t="shared" si="76"/>
        <v>2553</v>
      </c>
      <c r="I246" s="8">
        <f t="shared" si="77"/>
        <v>2529</v>
      </c>
      <c r="J246" s="8">
        <f t="shared" si="78"/>
        <v>2541</v>
      </c>
      <c r="K246" s="8">
        <f t="shared" si="88"/>
        <v>3000</v>
      </c>
      <c r="L246" s="8">
        <f t="shared" si="89"/>
        <v>3000</v>
      </c>
      <c r="M246" s="8">
        <f t="shared" si="90"/>
        <v>3000</v>
      </c>
      <c r="N246" s="8">
        <f t="shared" si="82"/>
        <v>-447</v>
      </c>
      <c r="O246" s="8">
        <f t="shared" si="83"/>
        <v>-471</v>
      </c>
      <c r="P246" s="8">
        <f t="shared" si="84"/>
        <v>-459</v>
      </c>
      <c r="Q246" s="11">
        <v>0</v>
      </c>
      <c r="R246" s="11">
        <v>0</v>
      </c>
      <c r="S246" s="11">
        <v>0</v>
      </c>
      <c r="T246" s="10">
        <f t="shared" si="79"/>
        <v>761</v>
      </c>
      <c r="U246" s="9">
        <f t="shared" si="85"/>
        <v>2053</v>
      </c>
      <c r="V246" s="9">
        <f t="shared" si="86"/>
        <v>2049</v>
      </c>
      <c r="W246" s="9">
        <f t="shared" si="87"/>
        <v>2091</v>
      </c>
      <c r="X246" s="10"/>
      <c r="Y246" s="8"/>
      <c r="Z246" s="8"/>
      <c r="AA246" s="8"/>
      <c r="AB246" s="8"/>
    </row>
    <row r="247" spans="1:28" ht="13.15" customHeight="1">
      <c r="A247" s="18">
        <v>233</v>
      </c>
      <c r="B247" s="17">
        <f t="shared" si="80"/>
        <v>45484</v>
      </c>
      <c r="C247" s="13">
        <f t="shared" si="81"/>
        <v>1069</v>
      </c>
      <c r="D247" s="12">
        <f t="shared" si="72"/>
        <v>1743</v>
      </c>
      <c r="E247" s="11">
        <f t="shared" si="73"/>
        <v>259</v>
      </c>
      <c r="F247" s="11">
        <f t="shared" si="74"/>
        <v>283</v>
      </c>
      <c r="G247" s="11">
        <f t="shared" si="75"/>
        <v>271</v>
      </c>
      <c r="H247" s="8">
        <f t="shared" si="76"/>
        <v>2553</v>
      </c>
      <c r="I247" s="8">
        <f t="shared" si="77"/>
        <v>2529</v>
      </c>
      <c r="J247" s="8">
        <f t="shared" si="78"/>
        <v>2541</v>
      </c>
      <c r="K247" s="8">
        <f t="shared" si="88"/>
        <v>3000</v>
      </c>
      <c r="L247" s="8">
        <f t="shared" si="89"/>
        <v>3000</v>
      </c>
      <c r="M247" s="8">
        <f t="shared" si="90"/>
        <v>3000</v>
      </c>
      <c r="N247" s="8">
        <f t="shared" si="82"/>
        <v>-447</v>
      </c>
      <c r="O247" s="8">
        <f t="shared" si="83"/>
        <v>-471</v>
      </c>
      <c r="P247" s="8">
        <f t="shared" si="84"/>
        <v>-459</v>
      </c>
      <c r="Q247" s="11">
        <v>0</v>
      </c>
      <c r="R247" s="11">
        <v>0</v>
      </c>
      <c r="S247" s="11">
        <v>0</v>
      </c>
      <c r="T247" s="10">
        <f t="shared" si="79"/>
        <v>763</v>
      </c>
      <c r="U247" s="9">
        <f t="shared" si="85"/>
        <v>2053</v>
      </c>
      <c r="V247" s="9">
        <f t="shared" si="86"/>
        <v>2049</v>
      </c>
      <c r="W247" s="9">
        <f t="shared" si="87"/>
        <v>2091</v>
      </c>
      <c r="X247" s="10"/>
      <c r="Y247" s="8"/>
      <c r="Z247" s="8"/>
      <c r="AA247" s="8"/>
      <c r="AB247" s="8"/>
    </row>
    <row r="248" spans="1:28" ht="13.15" customHeight="1">
      <c r="A248" s="18">
        <v>234</v>
      </c>
      <c r="B248" s="17">
        <f t="shared" si="80"/>
        <v>45485</v>
      </c>
      <c r="C248" s="13">
        <f t="shared" si="81"/>
        <v>1069</v>
      </c>
      <c r="D248" s="12">
        <f t="shared" si="72"/>
        <v>1745</v>
      </c>
      <c r="E248" s="11">
        <f t="shared" si="73"/>
        <v>261</v>
      </c>
      <c r="F248" s="11">
        <f t="shared" si="74"/>
        <v>285</v>
      </c>
      <c r="G248" s="11">
        <f t="shared" si="75"/>
        <v>273</v>
      </c>
      <c r="H248" s="8">
        <f t="shared" si="76"/>
        <v>2553</v>
      </c>
      <c r="I248" s="8">
        <f t="shared" si="77"/>
        <v>2529</v>
      </c>
      <c r="J248" s="8">
        <f t="shared" si="78"/>
        <v>2541</v>
      </c>
      <c r="K248" s="8">
        <f t="shared" si="88"/>
        <v>3000</v>
      </c>
      <c r="L248" s="8">
        <f t="shared" si="89"/>
        <v>3000</v>
      </c>
      <c r="M248" s="8">
        <f t="shared" si="90"/>
        <v>3000</v>
      </c>
      <c r="N248" s="8">
        <f t="shared" si="82"/>
        <v>-447</v>
      </c>
      <c r="O248" s="8">
        <f t="shared" si="83"/>
        <v>-471</v>
      </c>
      <c r="P248" s="8">
        <f t="shared" si="84"/>
        <v>-459</v>
      </c>
      <c r="Q248" s="11">
        <v>0</v>
      </c>
      <c r="R248" s="11">
        <v>0</v>
      </c>
      <c r="S248" s="11">
        <v>0</v>
      </c>
      <c r="T248" s="10">
        <f t="shared" si="79"/>
        <v>765</v>
      </c>
      <c r="U248" s="9">
        <f t="shared" si="85"/>
        <v>2053</v>
      </c>
      <c r="V248" s="9">
        <f t="shared" si="86"/>
        <v>2049</v>
      </c>
      <c r="W248" s="9">
        <f t="shared" si="87"/>
        <v>2091</v>
      </c>
      <c r="X248" s="10"/>
      <c r="Y248" s="8"/>
      <c r="Z248" s="8"/>
      <c r="AA248" s="8"/>
      <c r="AB248" s="8"/>
    </row>
    <row r="249" spans="1:28" ht="13.15" customHeight="1">
      <c r="A249" s="18">
        <v>235</v>
      </c>
      <c r="B249" s="17">
        <f t="shared" si="80"/>
        <v>45486</v>
      </c>
      <c r="C249" s="13">
        <f t="shared" si="81"/>
        <v>1069</v>
      </c>
      <c r="D249" s="12">
        <f t="shared" si="72"/>
        <v>1747</v>
      </c>
      <c r="E249" s="11">
        <f t="shared" si="73"/>
        <v>263</v>
      </c>
      <c r="F249" s="11">
        <f t="shared" si="74"/>
        <v>287</v>
      </c>
      <c r="G249" s="11">
        <f t="shared" si="75"/>
        <v>275</v>
      </c>
      <c r="H249" s="8">
        <f t="shared" si="76"/>
        <v>2553</v>
      </c>
      <c r="I249" s="8">
        <f t="shared" si="77"/>
        <v>2529</v>
      </c>
      <c r="J249" s="8">
        <f t="shared" si="78"/>
        <v>2541</v>
      </c>
      <c r="K249" s="8">
        <f t="shared" si="88"/>
        <v>3000</v>
      </c>
      <c r="L249" s="8">
        <f t="shared" si="89"/>
        <v>3000</v>
      </c>
      <c r="M249" s="8">
        <f t="shared" si="90"/>
        <v>3000</v>
      </c>
      <c r="N249" s="8">
        <f t="shared" si="82"/>
        <v>-447</v>
      </c>
      <c r="O249" s="8">
        <f t="shared" si="83"/>
        <v>-471</v>
      </c>
      <c r="P249" s="8">
        <f t="shared" si="84"/>
        <v>-459</v>
      </c>
      <c r="Q249" s="11">
        <v>0</v>
      </c>
      <c r="R249" s="11">
        <v>0</v>
      </c>
      <c r="S249" s="11">
        <v>0</v>
      </c>
      <c r="T249" s="10">
        <f t="shared" si="79"/>
        <v>767</v>
      </c>
      <c r="U249" s="9">
        <f t="shared" si="85"/>
        <v>2053</v>
      </c>
      <c r="V249" s="9">
        <f t="shared" si="86"/>
        <v>2049</v>
      </c>
      <c r="W249" s="9">
        <f t="shared" si="87"/>
        <v>2091</v>
      </c>
      <c r="X249" s="10"/>
      <c r="Y249" s="8"/>
      <c r="Z249" s="8"/>
      <c r="AA249" s="8"/>
      <c r="AB249" s="8"/>
    </row>
    <row r="250" spans="1:28" ht="13.15" customHeight="1">
      <c r="A250" s="18">
        <v>236</v>
      </c>
      <c r="B250" s="17">
        <f t="shared" si="80"/>
        <v>45487</v>
      </c>
      <c r="C250" s="13">
        <f t="shared" si="81"/>
        <v>1069</v>
      </c>
      <c r="D250" s="12">
        <f t="shared" si="72"/>
        <v>1749</v>
      </c>
      <c r="E250" s="11">
        <f t="shared" si="73"/>
        <v>265</v>
      </c>
      <c r="F250" s="11">
        <f t="shared" si="74"/>
        <v>289</v>
      </c>
      <c r="G250" s="11">
        <f t="shared" si="75"/>
        <v>277</v>
      </c>
      <c r="H250" s="8">
        <f t="shared" si="76"/>
        <v>2553</v>
      </c>
      <c r="I250" s="8">
        <f t="shared" si="77"/>
        <v>2529</v>
      </c>
      <c r="J250" s="8">
        <f t="shared" si="78"/>
        <v>2541</v>
      </c>
      <c r="K250" s="8">
        <f t="shared" si="88"/>
        <v>3000</v>
      </c>
      <c r="L250" s="8">
        <f t="shared" si="89"/>
        <v>3000</v>
      </c>
      <c r="M250" s="8">
        <f t="shared" si="90"/>
        <v>3000</v>
      </c>
      <c r="N250" s="8">
        <f t="shared" si="82"/>
        <v>-447</v>
      </c>
      <c r="O250" s="8">
        <f t="shared" si="83"/>
        <v>-471</v>
      </c>
      <c r="P250" s="8">
        <f t="shared" si="84"/>
        <v>-459</v>
      </c>
      <c r="Q250" s="11">
        <v>0</v>
      </c>
      <c r="R250" s="11">
        <v>0</v>
      </c>
      <c r="S250" s="11">
        <v>0</v>
      </c>
      <c r="T250" s="10">
        <f t="shared" si="79"/>
        <v>769</v>
      </c>
      <c r="U250" s="9">
        <f t="shared" si="85"/>
        <v>2053</v>
      </c>
      <c r="V250" s="9">
        <f t="shared" si="86"/>
        <v>2049</v>
      </c>
      <c r="W250" s="9">
        <f t="shared" si="87"/>
        <v>2091</v>
      </c>
      <c r="X250" s="10"/>
      <c r="Y250" s="8"/>
      <c r="Z250" s="8"/>
      <c r="AA250" s="8"/>
      <c r="AB250" s="8"/>
    </row>
    <row r="251" spans="1:28" ht="13.15" customHeight="1">
      <c r="A251" s="18">
        <v>237</v>
      </c>
      <c r="B251" s="17">
        <f t="shared" si="80"/>
        <v>45488</v>
      </c>
      <c r="C251" s="13">
        <f t="shared" si="81"/>
        <v>1069</v>
      </c>
      <c r="D251" s="12">
        <f t="shared" si="72"/>
        <v>1751</v>
      </c>
      <c r="E251" s="11">
        <f t="shared" si="73"/>
        <v>267</v>
      </c>
      <c r="F251" s="11">
        <f t="shared" si="74"/>
        <v>291</v>
      </c>
      <c r="G251" s="11">
        <f t="shared" si="75"/>
        <v>279</v>
      </c>
      <c r="H251" s="8">
        <f t="shared" si="76"/>
        <v>2553</v>
      </c>
      <c r="I251" s="8">
        <f t="shared" si="77"/>
        <v>2529</v>
      </c>
      <c r="J251" s="8">
        <f t="shared" si="78"/>
        <v>2541</v>
      </c>
      <c r="K251" s="8">
        <f t="shared" si="88"/>
        <v>3000</v>
      </c>
      <c r="L251" s="8">
        <f t="shared" si="89"/>
        <v>3000</v>
      </c>
      <c r="M251" s="8">
        <f t="shared" si="90"/>
        <v>3000</v>
      </c>
      <c r="N251" s="8">
        <f t="shared" si="82"/>
        <v>-447</v>
      </c>
      <c r="O251" s="8">
        <f t="shared" si="83"/>
        <v>-471</v>
      </c>
      <c r="P251" s="8">
        <f t="shared" si="84"/>
        <v>-459</v>
      </c>
      <c r="Q251" s="11">
        <v>0</v>
      </c>
      <c r="R251" s="11">
        <v>0</v>
      </c>
      <c r="S251" s="11">
        <v>0</v>
      </c>
      <c r="T251" s="10">
        <f t="shared" si="79"/>
        <v>771</v>
      </c>
      <c r="U251" s="9">
        <f t="shared" si="85"/>
        <v>2053</v>
      </c>
      <c r="V251" s="9">
        <f t="shared" si="86"/>
        <v>2049</v>
      </c>
      <c r="W251" s="9">
        <f t="shared" si="87"/>
        <v>2091</v>
      </c>
      <c r="X251" s="10"/>
      <c r="Y251" s="8"/>
      <c r="Z251" s="8"/>
      <c r="AA251" s="8"/>
      <c r="AB251" s="8"/>
    </row>
    <row r="252" spans="1:28" ht="13.15" customHeight="1">
      <c r="A252" s="18">
        <v>238</v>
      </c>
      <c r="B252" s="17">
        <f t="shared" si="80"/>
        <v>45489</v>
      </c>
      <c r="C252" s="13">
        <f t="shared" si="81"/>
        <v>1069</v>
      </c>
      <c r="D252" s="12">
        <f t="shared" si="72"/>
        <v>1753</v>
      </c>
      <c r="E252" s="11">
        <f t="shared" si="73"/>
        <v>269</v>
      </c>
      <c r="F252" s="11">
        <f t="shared" si="74"/>
        <v>293</v>
      </c>
      <c r="G252" s="11">
        <f t="shared" si="75"/>
        <v>281</v>
      </c>
      <c r="H252" s="8">
        <f t="shared" si="76"/>
        <v>2553</v>
      </c>
      <c r="I252" s="8">
        <f t="shared" si="77"/>
        <v>2529</v>
      </c>
      <c r="J252" s="8">
        <f t="shared" si="78"/>
        <v>2541</v>
      </c>
      <c r="K252" s="8">
        <f t="shared" si="88"/>
        <v>3000</v>
      </c>
      <c r="L252" s="8">
        <f t="shared" si="89"/>
        <v>3000</v>
      </c>
      <c r="M252" s="8">
        <f t="shared" si="90"/>
        <v>3000</v>
      </c>
      <c r="N252" s="8">
        <f t="shared" si="82"/>
        <v>-447</v>
      </c>
      <c r="O252" s="8">
        <f t="shared" si="83"/>
        <v>-471</v>
      </c>
      <c r="P252" s="8">
        <f t="shared" si="84"/>
        <v>-459</v>
      </c>
      <c r="Q252" s="11">
        <v>0</v>
      </c>
      <c r="R252" s="11">
        <v>0</v>
      </c>
      <c r="S252" s="11">
        <v>0</v>
      </c>
      <c r="T252" s="10">
        <f t="shared" si="79"/>
        <v>773</v>
      </c>
      <c r="U252" s="9">
        <f t="shared" si="85"/>
        <v>2053</v>
      </c>
      <c r="V252" s="9">
        <f t="shared" si="86"/>
        <v>2049</v>
      </c>
      <c r="W252" s="9">
        <f t="shared" si="87"/>
        <v>2091</v>
      </c>
      <c r="X252" s="10"/>
      <c r="Y252" s="8"/>
      <c r="Z252" s="8"/>
      <c r="AA252" s="8"/>
      <c r="AB252" s="8"/>
    </row>
    <row r="253" spans="1:28" ht="13.15" customHeight="1">
      <c r="A253" s="18">
        <v>239</v>
      </c>
      <c r="B253" s="17">
        <f t="shared" si="80"/>
        <v>45490</v>
      </c>
      <c r="C253" s="13">
        <f t="shared" si="81"/>
        <v>1069</v>
      </c>
      <c r="D253" s="12">
        <f t="shared" si="72"/>
        <v>1755</v>
      </c>
      <c r="E253" s="11">
        <f t="shared" si="73"/>
        <v>271</v>
      </c>
      <c r="F253" s="11">
        <f t="shared" si="74"/>
        <v>295</v>
      </c>
      <c r="G253" s="11">
        <f t="shared" si="75"/>
        <v>283</v>
      </c>
      <c r="H253" s="8">
        <f t="shared" si="76"/>
        <v>2553</v>
      </c>
      <c r="I253" s="8">
        <f t="shared" si="77"/>
        <v>2529</v>
      </c>
      <c r="J253" s="8">
        <f t="shared" si="78"/>
        <v>2541</v>
      </c>
      <c r="K253" s="8">
        <f t="shared" si="88"/>
        <v>3000</v>
      </c>
      <c r="L253" s="8">
        <f t="shared" si="89"/>
        <v>3000</v>
      </c>
      <c r="M253" s="8">
        <f t="shared" si="90"/>
        <v>3000</v>
      </c>
      <c r="N253" s="8">
        <f t="shared" si="82"/>
        <v>-447</v>
      </c>
      <c r="O253" s="8">
        <f t="shared" si="83"/>
        <v>-471</v>
      </c>
      <c r="P253" s="8">
        <f t="shared" si="84"/>
        <v>-459</v>
      </c>
      <c r="Q253" s="11">
        <v>0</v>
      </c>
      <c r="R253" s="11">
        <v>0</v>
      </c>
      <c r="S253" s="11">
        <v>0</v>
      </c>
      <c r="T253" s="10">
        <f t="shared" si="79"/>
        <v>775</v>
      </c>
      <c r="U253" s="9">
        <f t="shared" si="85"/>
        <v>2053</v>
      </c>
      <c r="V253" s="9">
        <f t="shared" si="86"/>
        <v>2049</v>
      </c>
      <c r="W253" s="9">
        <f t="shared" si="87"/>
        <v>2091</v>
      </c>
      <c r="X253" s="10"/>
      <c r="Y253" s="8"/>
      <c r="Z253" s="8"/>
      <c r="AA253" s="8"/>
      <c r="AB253" s="8"/>
    </row>
    <row r="254" spans="1:28" ht="13.15" customHeight="1">
      <c r="A254" s="18">
        <v>240</v>
      </c>
      <c r="B254" s="17">
        <f t="shared" si="80"/>
        <v>45491</v>
      </c>
      <c r="C254" s="13">
        <f t="shared" si="81"/>
        <v>1069</v>
      </c>
      <c r="D254" s="12">
        <f t="shared" si="72"/>
        <v>1757</v>
      </c>
      <c r="E254" s="11">
        <f t="shared" si="73"/>
        <v>273</v>
      </c>
      <c r="F254" s="11">
        <f t="shared" si="74"/>
        <v>297</v>
      </c>
      <c r="G254" s="11">
        <f t="shared" si="75"/>
        <v>285</v>
      </c>
      <c r="H254" s="8">
        <f t="shared" si="76"/>
        <v>2553</v>
      </c>
      <c r="I254" s="8">
        <f t="shared" si="77"/>
        <v>2529</v>
      </c>
      <c r="J254" s="8">
        <f t="shared" si="78"/>
        <v>2541</v>
      </c>
      <c r="K254" s="8">
        <f t="shared" si="88"/>
        <v>3000</v>
      </c>
      <c r="L254" s="8">
        <f t="shared" si="89"/>
        <v>3000</v>
      </c>
      <c r="M254" s="8">
        <f t="shared" si="90"/>
        <v>3000</v>
      </c>
      <c r="N254" s="8">
        <f t="shared" si="82"/>
        <v>-447</v>
      </c>
      <c r="O254" s="8">
        <f t="shared" si="83"/>
        <v>-471</v>
      </c>
      <c r="P254" s="8">
        <f t="shared" si="84"/>
        <v>-459</v>
      </c>
      <c r="Q254" s="11">
        <v>0</v>
      </c>
      <c r="R254" s="11">
        <v>0</v>
      </c>
      <c r="S254" s="11">
        <v>0</v>
      </c>
      <c r="T254" s="10">
        <f t="shared" si="79"/>
        <v>777</v>
      </c>
      <c r="U254" s="9">
        <f t="shared" si="85"/>
        <v>2053</v>
      </c>
      <c r="V254" s="9">
        <f t="shared" si="86"/>
        <v>2049</v>
      </c>
      <c r="W254" s="9">
        <f t="shared" si="87"/>
        <v>2091</v>
      </c>
      <c r="X254" s="10"/>
      <c r="Y254" s="8"/>
      <c r="Z254" s="8"/>
      <c r="AA254" s="8"/>
      <c r="AB254" s="8"/>
    </row>
    <row r="255" spans="1:28" ht="13.15" customHeight="1">
      <c r="A255" s="18">
        <v>241</v>
      </c>
      <c r="B255" s="17">
        <f t="shared" si="80"/>
        <v>45492</v>
      </c>
      <c r="C255" s="13">
        <f t="shared" si="81"/>
        <v>1069</v>
      </c>
      <c r="D255" s="12">
        <f t="shared" ref="D255:D318" si="91">D254+2</f>
        <v>1759</v>
      </c>
      <c r="E255" s="11">
        <f t="shared" si="73"/>
        <v>275</v>
      </c>
      <c r="F255" s="11">
        <f t="shared" si="74"/>
        <v>299</v>
      </c>
      <c r="G255" s="11">
        <f t="shared" si="75"/>
        <v>287</v>
      </c>
      <c r="H255" s="8">
        <f t="shared" si="76"/>
        <v>2553</v>
      </c>
      <c r="I255" s="8">
        <f t="shared" si="77"/>
        <v>2529</v>
      </c>
      <c r="J255" s="8">
        <f t="shared" si="78"/>
        <v>2541</v>
      </c>
      <c r="K255" s="8">
        <f t="shared" si="88"/>
        <v>3000</v>
      </c>
      <c r="L255" s="8">
        <f t="shared" si="89"/>
        <v>3000</v>
      </c>
      <c r="M255" s="8">
        <f t="shared" si="90"/>
        <v>3000</v>
      </c>
      <c r="N255" s="8">
        <f t="shared" si="82"/>
        <v>-447</v>
      </c>
      <c r="O255" s="8">
        <f t="shared" si="83"/>
        <v>-471</v>
      </c>
      <c r="P255" s="8">
        <f t="shared" si="84"/>
        <v>-459</v>
      </c>
      <c r="Q255" s="11">
        <v>0</v>
      </c>
      <c r="R255" s="11">
        <v>0</v>
      </c>
      <c r="S255" s="11">
        <v>0</v>
      </c>
      <c r="T255" s="10">
        <f t="shared" si="79"/>
        <v>779</v>
      </c>
      <c r="U255" s="9">
        <f t="shared" si="85"/>
        <v>2053</v>
      </c>
      <c r="V255" s="9">
        <f t="shared" si="86"/>
        <v>2049</v>
      </c>
      <c r="W255" s="9">
        <f t="shared" si="87"/>
        <v>2091</v>
      </c>
      <c r="X255" s="10"/>
      <c r="Y255" s="8"/>
      <c r="Z255" s="8"/>
      <c r="AA255" s="8"/>
      <c r="AB255" s="8"/>
    </row>
    <row r="256" spans="1:28" ht="13.15" customHeight="1">
      <c r="A256" s="18">
        <v>242</v>
      </c>
      <c r="B256" s="17">
        <f t="shared" si="80"/>
        <v>45493</v>
      </c>
      <c r="C256" s="13">
        <f t="shared" si="81"/>
        <v>1069</v>
      </c>
      <c r="D256" s="12">
        <f t="shared" si="91"/>
        <v>1761</v>
      </c>
      <c r="E256" s="11">
        <f t="shared" si="73"/>
        <v>277</v>
      </c>
      <c r="F256" s="11">
        <f t="shared" si="74"/>
        <v>301</v>
      </c>
      <c r="G256" s="11">
        <f t="shared" si="75"/>
        <v>289</v>
      </c>
      <c r="H256" s="8">
        <f t="shared" si="76"/>
        <v>2553</v>
      </c>
      <c r="I256" s="8">
        <f t="shared" si="77"/>
        <v>2529</v>
      </c>
      <c r="J256" s="8">
        <f t="shared" si="78"/>
        <v>2541</v>
      </c>
      <c r="K256" s="8">
        <f t="shared" si="88"/>
        <v>3000</v>
      </c>
      <c r="L256" s="8">
        <f t="shared" si="89"/>
        <v>3000</v>
      </c>
      <c r="M256" s="8">
        <f t="shared" si="90"/>
        <v>3000</v>
      </c>
      <c r="N256" s="8">
        <f t="shared" si="82"/>
        <v>-447</v>
      </c>
      <c r="O256" s="8">
        <f t="shared" si="83"/>
        <v>-471</v>
      </c>
      <c r="P256" s="8">
        <f t="shared" si="84"/>
        <v>-459</v>
      </c>
      <c r="Q256" s="11">
        <v>0</v>
      </c>
      <c r="R256" s="11">
        <v>0</v>
      </c>
      <c r="S256" s="11">
        <v>0</v>
      </c>
      <c r="T256" s="10">
        <f t="shared" si="79"/>
        <v>781</v>
      </c>
      <c r="U256" s="9">
        <f t="shared" si="85"/>
        <v>2053</v>
      </c>
      <c r="V256" s="9">
        <f t="shared" si="86"/>
        <v>2049</v>
      </c>
      <c r="W256" s="9">
        <f t="shared" si="87"/>
        <v>2091</v>
      </c>
      <c r="X256" s="10"/>
      <c r="Y256" s="8"/>
      <c r="Z256" s="8"/>
      <c r="AA256" s="8"/>
      <c r="AB256" s="8"/>
    </row>
    <row r="257" spans="1:28" ht="13.15" customHeight="1">
      <c r="A257" s="18">
        <v>243</v>
      </c>
      <c r="B257" s="17">
        <f t="shared" si="80"/>
        <v>45494</v>
      </c>
      <c r="C257" s="13">
        <f t="shared" si="81"/>
        <v>1069</v>
      </c>
      <c r="D257" s="12">
        <f t="shared" si="91"/>
        <v>1763</v>
      </c>
      <c r="E257" s="11">
        <f t="shared" si="73"/>
        <v>279</v>
      </c>
      <c r="F257" s="11">
        <f t="shared" si="74"/>
        <v>303</v>
      </c>
      <c r="G257" s="11">
        <f t="shared" si="75"/>
        <v>291</v>
      </c>
      <c r="H257" s="8">
        <f t="shared" si="76"/>
        <v>2553</v>
      </c>
      <c r="I257" s="8">
        <f t="shared" si="77"/>
        <v>2529</v>
      </c>
      <c r="J257" s="8">
        <f t="shared" si="78"/>
        <v>2541</v>
      </c>
      <c r="K257" s="8">
        <f t="shared" si="88"/>
        <v>3000</v>
      </c>
      <c r="L257" s="8">
        <f t="shared" si="89"/>
        <v>3000</v>
      </c>
      <c r="M257" s="8">
        <f t="shared" si="90"/>
        <v>3000</v>
      </c>
      <c r="N257" s="8">
        <f t="shared" si="82"/>
        <v>-447</v>
      </c>
      <c r="O257" s="8">
        <f t="shared" si="83"/>
        <v>-471</v>
      </c>
      <c r="P257" s="8">
        <f t="shared" si="84"/>
        <v>-459</v>
      </c>
      <c r="Q257" s="11">
        <v>0</v>
      </c>
      <c r="R257" s="11">
        <v>0</v>
      </c>
      <c r="S257" s="11">
        <v>0</v>
      </c>
      <c r="T257" s="10">
        <f t="shared" si="79"/>
        <v>783</v>
      </c>
      <c r="U257" s="9">
        <f t="shared" si="85"/>
        <v>2053</v>
      </c>
      <c r="V257" s="9">
        <f t="shared" si="86"/>
        <v>2049</v>
      </c>
      <c r="W257" s="9">
        <f t="shared" si="87"/>
        <v>2091</v>
      </c>
      <c r="X257" s="10"/>
      <c r="Y257" s="8"/>
      <c r="Z257" s="8"/>
      <c r="AA257" s="8"/>
      <c r="AB257" s="8"/>
    </row>
    <row r="258" spans="1:28" ht="13.15" customHeight="1">
      <c r="A258" s="18">
        <v>244</v>
      </c>
      <c r="B258" s="17">
        <f t="shared" si="80"/>
        <v>45495</v>
      </c>
      <c r="C258" s="13">
        <f t="shared" si="81"/>
        <v>1069</v>
      </c>
      <c r="D258" s="12">
        <f t="shared" si="91"/>
        <v>1765</v>
      </c>
      <c r="E258" s="11">
        <f t="shared" si="73"/>
        <v>281</v>
      </c>
      <c r="F258" s="11">
        <f t="shared" si="74"/>
        <v>305</v>
      </c>
      <c r="G258" s="11">
        <f t="shared" si="75"/>
        <v>293</v>
      </c>
      <c r="H258" s="8">
        <f t="shared" si="76"/>
        <v>2553</v>
      </c>
      <c r="I258" s="8">
        <f t="shared" si="77"/>
        <v>2529</v>
      </c>
      <c r="J258" s="8">
        <f t="shared" si="78"/>
        <v>2541</v>
      </c>
      <c r="K258" s="8">
        <f t="shared" si="88"/>
        <v>3000</v>
      </c>
      <c r="L258" s="8">
        <f t="shared" si="89"/>
        <v>3000</v>
      </c>
      <c r="M258" s="8">
        <f t="shared" si="90"/>
        <v>3000</v>
      </c>
      <c r="N258" s="8">
        <f t="shared" si="82"/>
        <v>-447</v>
      </c>
      <c r="O258" s="8">
        <f t="shared" si="83"/>
        <v>-471</v>
      </c>
      <c r="P258" s="8">
        <f t="shared" si="84"/>
        <v>-459</v>
      </c>
      <c r="Q258" s="11">
        <v>0</v>
      </c>
      <c r="R258" s="11">
        <v>0</v>
      </c>
      <c r="S258" s="11">
        <v>0</v>
      </c>
      <c r="T258" s="10">
        <f t="shared" si="79"/>
        <v>785</v>
      </c>
      <c r="U258" s="9">
        <f t="shared" si="85"/>
        <v>2053</v>
      </c>
      <c r="V258" s="9">
        <f t="shared" si="86"/>
        <v>2049</v>
      </c>
      <c r="W258" s="9">
        <f t="shared" si="87"/>
        <v>2091</v>
      </c>
      <c r="X258" s="10"/>
      <c r="Y258" s="8"/>
      <c r="Z258" s="8"/>
      <c r="AA258" s="8"/>
      <c r="AB258" s="8"/>
    </row>
    <row r="259" spans="1:28" ht="13.15" customHeight="1">
      <c r="A259" s="18">
        <v>245</v>
      </c>
      <c r="B259" s="17">
        <f t="shared" si="80"/>
        <v>45496</v>
      </c>
      <c r="C259" s="13">
        <f t="shared" si="81"/>
        <v>1069</v>
      </c>
      <c r="D259" s="12">
        <f t="shared" si="91"/>
        <v>1767</v>
      </c>
      <c r="E259" s="11">
        <f t="shared" si="73"/>
        <v>283</v>
      </c>
      <c r="F259" s="11">
        <f t="shared" si="74"/>
        <v>307</v>
      </c>
      <c r="G259" s="11">
        <f t="shared" si="75"/>
        <v>295</v>
      </c>
      <c r="H259" s="8">
        <f t="shared" si="76"/>
        <v>2553</v>
      </c>
      <c r="I259" s="8">
        <f t="shared" si="77"/>
        <v>2529</v>
      </c>
      <c r="J259" s="8">
        <f t="shared" si="78"/>
        <v>2541</v>
      </c>
      <c r="K259" s="8">
        <f t="shared" si="88"/>
        <v>3000</v>
      </c>
      <c r="L259" s="8">
        <f t="shared" si="89"/>
        <v>3000</v>
      </c>
      <c r="M259" s="8">
        <f t="shared" si="90"/>
        <v>3000</v>
      </c>
      <c r="N259" s="8">
        <f t="shared" si="82"/>
        <v>-447</v>
      </c>
      <c r="O259" s="8">
        <f t="shared" si="83"/>
        <v>-471</v>
      </c>
      <c r="P259" s="8">
        <f t="shared" si="84"/>
        <v>-459</v>
      </c>
      <c r="Q259" s="11">
        <v>0</v>
      </c>
      <c r="R259" s="11">
        <v>0</v>
      </c>
      <c r="S259" s="11">
        <v>0</v>
      </c>
      <c r="T259" s="10">
        <f t="shared" si="79"/>
        <v>787</v>
      </c>
      <c r="U259" s="9">
        <f t="shared" si="85"/>
        <v>2053</v>
      </c>
      <c r="V259" s="9">
        <f t="shared" si="86"/>
        <v>2049</v>
      </c>
      <c r="W259" s="9">
        <f t="shared" si="87"/>
        <v>2091</v>
      </c>
      <c r="X259" s="10"/>
      <c r="Y259" s="8"/>
      <c r="Z259" s="8"/>
      <c r="AA259" s="8"/>
      <c r="AB259" s="8"/>
    </row>
    <row r="260" spans="1:28" ht="13.15" customHeight="1">
      <c r="A260" s="18">
        <v>246</v>
      </c>
      <c r="B260" s="17">
        <f t="shared" si="80"/>
        <v>45497</v>
      </c>
      <c r="C260" s="13">
        <f t="shared" si="81"/>
        <v>1069</v>
      </c>
      <c r="D260" s="12">
        <f t="shared" si="91"/>
        <v>1769</v>
      </c>
      <c r="E260" s="11">
        <f t="shared" si="73"/>
        <v>285</v>
      </c>
      <c r="F260" s="11">
        <f t="shared" si="74"/>
        <v>309</v>
      </c>
      <c r="G260" s="11">
        <f t="shared" si="75"/>
        <v>297</v>
      </c>
      <c r="H260" s="8">
        <f t="shared" si="76"/>
        <v>2553</v>
      </c>
      <c r="I260" s="8">
        <f t="shared" si="77"/>
        <v>2529</v>
      </c>
      <c r="J260" s="8">
        <f t="shared" si="78"/>
        <v>2541</v>
      </c>
      <c r="K260" s="8">
        <f t="shared" si="88"/>
        <v>3000</v>
      </c>
      <c r="L260" s="8">
        <f t="shared" si="89"/>
        <v>3000</v>
      </c>
      <c r="M260" s="8">
        <f t="shared" si="90"/>
        <v>3000</v>
      </c>
      <c r="N260" s="8">
        <f t="shared" si="82"/>
        <v>-447</v>
      </c>
      <c r="O260" s="8">
        <f t="shared" si="83"/>
        <v>-471</v>
      </c>
      <c r="P260" s="8">
        <f t="shared" si="84"/>
        <v>-459</v>
      </c>
      <c r="Q260" s="11">
        <v>0</v>
      </c>
      <c r="R260" s="11">
        <v>0</v>
      </c>
      <c r="S260" s="11">
        <v>0</v>
      </c>
      <c r="T260" s="10">
        <f t="shared" si="79"/>
        <v>789</v>
      </c>
      <c r="U260" s="9">
        <f t="shared" si="85"/>
        <v>2053</v>
      </c>
      <c r="V260" s="9">
        <f t="shared" si="86"/>
        <v>2049</v>
      </c>
      <c r="W260" s="9">
        <f t="shared" si="87"/>
        <v>2091</v>
      </c>
      <c r="X260" s="10"/>
      <c r="Y260" s="8"/>
      <c r="Z260" s="8"/>
      <c r="AA260" s="8"/>
      <c r="AB260" s="8"/>
    </row>
    <row r="261" spans="1:28" ht="13.15" customHeight="1">
      <c r="A261" s="18">
        <v>247</v>
      </c>
      <c r="B261" s="17">
        <f t="shared" si="80"/>
        <v>45498</v>
      </c>
      <c r="C261" s="13">
        <f t="shared" si="81"/>
        <v>1069</v>
      </c>
      <c r="D261" s="12">
        <f t="shared" si="91"/>
        <v>1771</v>
      </c>
      <c r="E261" s="11">
        <f t="shared" si="73"/>
        <v>287</v>
      </c>
      <c r="F261" s="11">
        <f t="shared" si="74"/>
        <v>311</v>
      </c>
      <c r="G261" s="11">
        <f t="shared" si="75"/>
        <v>299</v>
      </c>
      <c r="H261" s="8">
        <f t="shared" si="76"/>
        <v>2553</v>
      </c>
      <c r="I261" s="8">
        <f t="shared" si="77"/>
        <v>2529</v>
      </c>
      <c r="J261" s="8">
        <f t="shared" si="78"/>
        <v>2541</v>
      </c>
      <c r="K261" s="8">
        <f t="shared" si="88"/>
        <v>3000</v>
      </c>
      <c r="L261" s="8">
        <f t="shared" si="89"/>
        <v>3000</v>
      </c>
      <c r="M261" s="8">
        <f t="shared" si="90"/>
        <v>3000</v>
      </c>
      <c r="N261" s="8">
        <f t="shared" si="82"/>
        <v>-447</v>
      </c>
      <c r="O261" s="8">
        <f t="shared" si="83"/>
        <v>-471</v>
      </c>
      <c r="P261" s="8">
        <f t="shared" si="84"/>
        <v>-459</v>
      </c>
      <c r="Q261" s="11">
        <v>0</v>
      </c>
      <c r="R261" s="11">
        <v>0</v>
      </c>
      <c r="S261" s="11">
        <v>0</v>
      </c>
      <c r="T261" s="10">
        <f t="shared" si="79"/>
        <v>791</v>
      </c>
      <c r="U261" s="9">
        <f t="shared" si="85"/>
        <v>2053</v>
      </c>
      <c r="V261" s="9">
        <f t="shared" si="86"/>
        <v>2049</v>
      </c>
      <c r="W261" s="9">
        <f t="shared" si="87"/>
        <v>2091</v>
      </c>
      <c r="X261" s="10"/>
      <c r="Y261" s="8"/>
      <c r="Z261" s="8"/>
      <c r="AA261" s="8"/>
      <c r="AB261" s="8"/>
    </row>
    <row r="262" spans="1:28" ht="13.15" customHeight="1">
      <c r="A262" s="18">
        <v>248</v>
      </c>
      <c r="B262" s="17">
        <f t="shared" si="80"/>
        <v>45499</v>
      </c>
      <c r="C262" s="13">
        <f t="shared" si="81"/>
        <v>1069</v>
      </c>
      <c r="D262" s="12">
        <f t="shared" si="91"/>
        <v>1773</v>
      </c>
      <c r="E262" s="11">
        <f t="shared" si="73"/>
        <v>289</v>
      </c>
      <c r="F262" s="11">
        <f t="shared" si="74"/>
        <v>313</v>
      </c>
      <c r="G262" s="11">
        <f t="shared" si="75"/>
        <v>301</v>
      </c>
      <c r="H262" s="8">
        <f t="shared" si="76"/>
        <v>2553</v>
      </c>
      <c r="I262" s="8">
        <f t="shared" si="77"/>
        <v>2529</v>
      </c>
      <c r="J262" s="8">
        <f t="shared" si="78"/>
        <v>2541</v>
      </c>
      <c r="K262" s="8">
        <f t="shared" si="88"/>
        <v>3000</v>
      </c>
      <c r="L262" s="8">
        <f t="shared" si="89"/>
        <v>3000</v>
      </c>
      <c r="M262" s="8">
        <f t="shared" si="90"/>
        <v>3000</v>
      </c>
      <c r="N262" s="8">
        <f t="shared" si="82"/>
        <v>-447</v>
      </c>
      <c r="O262" s="8">
        <f t="shared" si="83"/>
        <v>-471</v>
      </c>
      <c r="P262" s="8">
        <f t="shared" si="84"/>
        <v>-459</v>
      </c>
      <c r="Q262" s="11">
        <v>0</v>
      </c>
      <c r="R262" s="11">
        <v>0</v>
      </c>
      <c r="S262" s="11">
        <v>0</v>
      </c>
      <c r="T262" s="10">
        <f t="shared" si="79"/>
        <v>793</v>
      </c>
      <c r="U262" s="9">
        <f t="shared" si="85"/>
        <v>2053</v>
      </c>
      <c r="V262" s="9">
        <f t="shared" si="86"/>
        <v>2049</v>
      </c>
      <c r="W262" s="9">
        <f t="shared" si="87"/>
        <v>2091</v>
      </c>
      <c r="X262" s="10"/>
      <c r="Y262" s="8"/>
      <c r="Z262" s="8"/>
      <c r="AA262" s="8"/>
      <c r="AB262" s="8"/>
    </row>
    <row r="263" spans="1:28" ht="13.15" customHeight="1">
      <c r="A263" s="18">
        <v>249</v>
      </c>
      <c r="B263" s="17">
        <f t="shared" si="80"/>
        <v>45500</v>
      </c>
      <c r="C263" s="13">
        <f t="shared" si="81"/>
        <v>1069</v>
      </c>
      <c r="D263" s="12">
        <f t="shared" si="91"/>
        <v>1775</v>
      </c>
      <c r="E263" s="11">
        <f t="shared" si="73"/>
        <v>291</v>
      </c>
      <c r="F263" s="11">
        <f t="shared" si="74"/>
        <v>315</v>
      </c>
      <c r="G263" s="11">
        <f t="shared" si="75"/>
        <v>303</v>
      </c>
      <c r="H263" s="8">
        <f t="shared" si="76"/>
        <v>2553</v>
      </c>
      <c r="I263" s="8">
        <f t="shared" si="77"/>
        <v>2529</v>
      </c>
      <c r="J263" s="8">
        <f t="shared" si="78"/>
        <v>2541</v>
      </c>
      <c r="K263" s="8">
        <f t="shared" si="88"/>
        <v>3000</v>
      </c>
      <c r="L263" s="8">
        <f t="shared" si="89"/>
        <v>3000</v>
      </c>
      <c r="M263" s="8">
        <f t="shared" si="90"/>
        <v>3000</v>
      </c>
      <c r="N263" s="8">
        <f t="shared" si="82"/>
        <v>-447</v>
      </c>
      <c r="O263" s="8">
        <f t="shared" si="83"/>
        <v>-471</v>
      </c>
      <c r="P263" s="8">
        <f t="shared" si="84"/>
        <v>-459</v>
      </c>
      <c r="Q263" s="11">
        <v>0</v>
      </c>
      <c r="R263" s="11">
        <v>0</v>
      </c>
      <c r="S263" s="11">
        <v>0</v>
      </c>
      <c r="T263" s="10">
        <f t="shared" si="79"/>
        <v>795</v>
      </c>
      <c r="U263" s="9">
        <f t="shared" si="85"/>
        <v>2053</v>
      </c>
      <c r="V263" s="9">
        <f t="shared" si="86"/>
        <v>2049</v>
      </c>
      <c r="W263" s="9">
        <f t="shared" si="87"/>
        <v>2091</v>
      </c>
      <c r="X263" s="10"/>
      <c r="Y263" s="8"/>
      <c r="Z263" s="8"/>
      <c r="AA263" s="8"/>
      <c r="AB263" s="8"/>
    </row>
    <row r="264" spans="1:28" ht="13.15" customHeight="1">
      <c r="A264" s="18">
        <v>250</v>
      </c>
      <c r="B264" s="17">
        <f t="shared" si="80"/>
        <v>45501</v>
      </c>
      <c r="C264" s="13">
        <f t="shared" si="81"/>
        <v>1069</v>
      </c>
      <c r="D264" s="12">
        <f t="shared" si="91"/>
        <v>1777</v>
      </c>
      <c r="E264" s="11">
        <f t="shared" si="73"/>
        <v>293</v>
      </c>
      <c r="F264" s="11">
        <f t="shared" si="74"/>
        <v>317</v>
      </c>
      <c r="G264" s="11">
        <f t="shared" si="75"/>
        <v>305</v>
      </c>
      <c r="H264" s="8">
        <f t="shared" si="76"/>
        <v>2553</v>
      </c>
      <c r="I264" s="8">
        <f t="shared" si="77"/>
        <v>2529</v>
      </c>
      <c r="J264" s="8">
        <f t="shared" si="78"/>
        <v>2541</v>
      </c>
      <c r="K264" s="8">
        <f t="shared" si="88"/>
        <v>3000</v>
      </c>
      <c r="L264" s="8">
        <f t="shared" si="89"/>
        <v>3000</v>
      </c>
      <c r="M264" s="8">
        <f t="shared" si="90"/>
        <v>3000</v>
      </c>
      <c r="N264" s="8">
        <f t="shared" si="82"/>
        <v>-447</v>
      </c>
      <c r="O264" s="8">
        <f t="shared" si="83"/>
        <v>-471</v>
      </c>
      <c r="P264" s="8">
        <f t="shared" si="84"/>
        <v>-459</v>
      </c>
      <c r="Q264" s="11">
        <v>0</v>
      </c>
      <c r="R264" s="11">
        <v>0</v>
      </c>
      <c r="S264" s="11">
        <v>0</v>
      </c>
      <c r="T264" s="10">
        <f t="shared" si="79"/>
        <v>797</v>
      </c>
      <c r="U264" s="9">
        <f t="shared" si="85"/>
        <v>2053</v>
      </c>
      <c r="V264" s="9">
        <f t="shared" si="86"/>
        <v>2049</v>
      </c>
      <c r="W264" s="9">
        <f t="shared" si="87"/>
        <v>2091</v>
      </c>
      <c r="X264" s="10"/>
      <c r="Y264" s="8"/>
      <c r="Z264" s="8"/>
      <c r="AA264" s="8"/>
      <c r="AB264" s="8"/>
    </row>
    <row r="265" spans="1:28" ht="13.15" customHeight="1">
      <c r="A265" s="18">
        <v>251</v>
      </c>
      <c r="B265" s="17">
        <f t="shared" si="80"/>
        <v>45502</v>
      </c>
      <c r="C265" s="13">
        <f t="shared" si="81"/>
        <v>1069</v>
      </c>
      <c r="D265" s="12">
        <f t="shared" si="91"/>
        <v>1779</v>
      </c>
      <c r="E265" s="11">
        <f t="shared" si="73"/>
        <v>295</v>
      </c>
      <c r="F265" s="11">
        <f t="shared" si="74"/>
        <v>319</v>
      </c>
      <c r="G265" s="11">
        <f t="shared" si="75"/>
        <v>307</v>
      </c>
      <c r="H265" s="8">
        <f t="shared" si="76"/>
        <v>2553</v>
      </c>
      <c r="I265" s="8">
        <f t="shared" si="77"/>
        <v>2529</v>
      </c>
      <c r="J265" s="8">
        <f t="shared" si="78"/>
        <v>2541</v>
      </c>
      <c r="K265" s="8">
        <f t="shared" si="88"/>
        <v>3000</v>
      </c>
      <c r="L265" s="8">
        <f t="shared" si="89"/>
        <v>3000</v>
      </c>
      <c r="M265" s="8">
        <f t="shared" si="90"/>
        <v>3000</v>
      </c>
      <c r="N265" s="8">
        <f t="shared" si="82"/>
        <v>-447</v>
      </c>
      <c r="O265" s="8">
        <f t="shared" si="83"/>
        <v>-471</v>
      </c>
      <c r="P265" s="8">
        <f t="shared" si="84"/>
        <v>-459</v>
      </c>
      <c r="Q265" s="11">
        <v>0</v>
      </c>
      <c r="R265" s="11">
        <v>0</v>
      </c>
      <c r="S265" s="11">
        <v>0</v>
      </c>
      <c r="T265" s="10">
        <f t="shared" si="79"/>
        <v>799</v>
      </c>
      <c r="U265" s="9">
        <f t="shared" si="85"/>
        <v>2053</v>
      </c>
      <c r="V265" s="9">
        <f t="shared" si="86"/>
        <v>2049</v>
      </c>
      <c r="W265" s="9">
        <f t="shared" si="87"/>
        <v>2091</v>
      </c>
      <c r="X265" s="10"/>
      <c r="Y265" s="8"/>
      <c r="Z265" s="8"/>
      <c r="AA265" s="8"/>
      <c r="AB265" s="8"/>
    </row>
    <row r="266" spans="1:28" ht="13.15" customHeight="1">
      <c r="A266" s="18">
        <v>252</v>
      </c>
      <c r="B266" s="17">
        <f t="shared" si="80"/>
        <v>45503</v>
      </c>
      <c r="C266" s="13">
        <f t="shared" si="81"/>
        <v>1069</v>
      </c>
      <c r="D266" s="12">
        <f t="shared" si="91"/>
        <v>1781</v>
      </c>
      <c r="E266" s="11">
        <f t="shared" si="73"/>
        <v>297</v>
      </c>
      <c r="F266" s="11">
        <f t="shared" si="74"/>
        <v>321</v>
      </c>
      <c r="G266" s="11">
        <f t="shared" si="75"/>
        <v>309</v>
      </c>
      <c r="H266" s="8">
        <f t="shared" si="76"/>
        <v>2553</v>
      </c>
      <c r="I266" s="8">
        <f t="shared" si="77"/>
        <v>2529</v>
      </c>
      <c r="J266" s="8">
        <f t="shared" si="78"/>
        <v>2541</v>
      </c>
      <c r="K266" s="8">
        <f t="shared" si="88"/>
        <v>3000</v>
      </c>
      <c r="L266" s="8">
        <f t="shared" si="89"/>
        <v>3000</v>
      </c>
      <c r="M266" s="8">
        <f t="shared" si="90"/>
        <v>3000</v>
      </c>
      <c r="N266" s="8">
        <f t="shared" si="82"/>
        <v>-447</v>
      </c>
      <c r="O266" s="8">
        <f t="shared" si="83"/>
        <v>-471</v>
      </c>
      <c r="P266" s="8">
        <f t="shared" si="84"/>
        <v>-459</v>
      </c>
      <c r="Q266" s="11">
        <v>0</v>
      </c>
      <c r="R266" s="11">
        <v>0</v>
      </c>
      <c r="S266" s="11">
        <v>0</v>
      </c>
      <c r="T266" s="10">
        <f t="shared" si="79"/>
        <v>801</v>
      </c>
      <c r="U266" s="9">
        <f t="shared" si="85"/>
        <v>2053</v>
      </c>
      <c r="V266" s="9">
        <f t="shared" si="86"/>
        <v>2049</v>
      </c>
      <c r="W266" s="9">
        <f t="shared" si="87"/>
        <v>2091</v>
      </c>
      <c r="X266" s="10"/>
      <c r="Y266" s="8"/>
      <c r="Z266" s="8"/>
      <c r="AA266" s="8"/>
      <c r="AB266" s="8"/>
    </row>
    <row r="267" spans="1:28" ht="13.15" customHeight="1">
      <c r="A267" s="18">
        <v>253</v>
      </c>
      <c r="B267" s="17">
        <f t="shared" si="80"/>
        <v>45504</v>
      </c>
      <c r="C267" s="13">
        <f t="shared" si="81"/>
        <v>1069</v>
      </c>
      <c r="D267" s="12">
        <f t="shared" si="91"/>
        <v>1783</v>
      </c>
      <c r="E267" s="11">
        <f t="shared" si="73"/>
        <v>299</v>
      </c>
      <c r="F267" s="11">
        <f t="shared" si="74"/>
        <v>323</v>
      </c>
      <c r="G267" s="11">
        <f t="shared" si="75"/>
        <v>311</v>
      </c>
      <c r="H267" s="8">
        <f t="shared" si="76"/>
        <v>2553</v>
      </c>
      <c r="I267" s="8">
        <f t="shared" si="77"/>
        <v>2529</v>
      </c>
      <c r="J267" s="8">
        <f t="shared" si="78"/>
        <v>2541</v>
      </c>
      <c r="K267" s="8">
        <f t="shared" si="88"/>
        <v>3000</v>
      </c>
      <c r="L267" s="8">
        <f t="shared" si="89"/>
        <v>3000</v>
      </c>
      <c r="M267" s="8">
        <f t="shared" si="90"/>
        <v>3000</v>
      </c>
      <c r="N267" s="8">
        <f t="shared" si="82"/>
        <v>-447</v>
      </c>
      <c r="O267" s="8">
        <f t="shared" si="83"/>
        <v>-471</v>
      </c>
      <c r="P267" s="8">
        <f t="shared" si="84"/>
        <v>-459</v>
      </c>
      <c r="Q267" s="11">
        <v>0</v>
      </c>
      <c r="R267" s="11">
        <v>0</v>
      </c>
      <c r="S267" s="11">
        <v>0</v>
      </c>
      <c r="T267" s="10">
        <f t="shared" si="79"/>
        <v>803</v>
      </c>
      <c r="U267" s="9">
        <f t="shared" si="85"/>
        <v>2053</v>
      </c>
      <c r="V267" s="9">
        <f t="shared" si="86"/>
        <v>2049</v>
      </c>
      <c r="W267" s="9">
        <f t="shared" si="87"/>
        <v>2091</v>
      </c>
      <c r="X267" s="10"/>
      <c r="Y267" s="8"/>
      <c r="Z267" s="8"/>
      <c r="AA267" s="8"/>
      <c r="AB267" s="8"/>
    </row>
    <row r="268" spans="1:28" ht="13.15" customHeight="1">
      <c r="A268" s="18">
        <v>254</v>
      </c>
      <c r="B268" s="17">
        <f t="shared" si="80"/>
        <v>45505</v>
      </c>
      <c r="C268" s="13">
        <f t="shared" si="81"/>
        <v>1069</v>
      </c>
      <c r="D268" s="12">
        <f t="shared" si="91"/>
        <v>1785</v>
      </c>
      <c r="E268" s="11">
        <f t="shared" si="73"/>
        <v>301</v>
      </c>
      <c r="F268" s="11">
        <f t="shared" si="74"/>
        <v>325</v>
      </c>
      <c r="G268" s="11">
        <f t="shared" si="75"/>
        <v>313</v>
      </c>
      <c r="H268" s="8">
        <f t="shared" si="76"/>
        <v>2553</v>
      </c>
      <c r="I268" s="8">
        <f t="shared" si="77"/>
        <v>2529</v>
      </c>
      <c r="J268" s="8">
        <f t="shared" si="78"/>
        <v>2541</v>
      </c>
      <c r="K268" s="8">
        <f t="shared" si="88"/>
        <v>3000</v>
      </c>
      <c r="L268" s="8">
        <f t="shared" si="89"/>
        <v>3000</v>
      </c>
      <c r="M268" s="8">
        <f t="shared" si="90"/>
        <v>3000</v>
      </c>
      <c r="N268" s="8">
        <f t="shared" si="82"/>
        <v>-447</v>
      </c>
      <c r="O268" s="8">
        <f t="shared" si="83"/>
        <v>-471</v>
      </c>
      <c r="P268" s="8">
        <f t="shared" si="84"/>
        <v>-459</v>
      </c>
      <c r="Q268" s="11">
        <v>0</v>
      </c>
      <c r="R268" s="11">
        <v>0</v>
      </c>
      <c r="S268" s="11">
        <v>0</v>
      </c>
      <c r="T268" s="10">
        <f t="shared" si="79"/>
        <v>805</v>
      </c>
      <c r="U268" s="9">
        <f t="shared" si="85"/>
        <v>2053</v>
      </c>
      <c r="V268" s="9">
        <f t="shared" si="86"/>
        <v>2049</v>
      </c>
      <c r="W268" s="9">
        <f t="shared" si="87"/>
        <v>2091</v>
      </c>
      <c r="X268" s="10"/>
      <c r="Y268" s="8"/>
      <c r="Z268" s="8"/>
      <c r="AA268" s="8"/>
      <c r="AB268" s="8"/>
    </row>
    <row r="269" spans="1:28" ht="13.15" customHeight="1">
      <c r="A269" s="18">
        <v>255</v>
      </c>
      <c r="B269" s="17">
        <f t="shared" si="80"/>
        <v>45506</v>
      </c>
      <c r="C269" s="13">
        <f t="shared" si="81"/>
        <v>1069</v>
      </c>
      <c r="D269" s="12">
        <f t="shared" si="91"/>
        <v>1787</v>
      </c>
      <c r="E269" s="11">
        <f t="shared" si="73"/>
        <v>303</v>
      </c>
      <c r="F269" s="11">
        <f t="shared" si="74"/>
        <v>327</v>
      </c>
      <c r="G269" s="11">
        <f t="shared" si="75"/>
        <v>315</v>
      </c>
      <c r="H269" s="8">
        <f t="shared" si="76"/>
        <v>2553</v>
      </c>
      <c r="I269" s="8">
        <f t="shared" si="77"/>
        <v>2529</v>
      </c>
      <c r="J269" s="8">
        <f t="shared" si="78"/>
        <v>2541</v>
      </c>
      <c r="K269" s="8">
        <f t="shared" si="88"/>
        <v>3000</v>
      </c>
      <c r="L269" s="8">
        <f t="shared" si="89"/>
        <v>3000</v>
      </c>
      <c r="M269" s="8">
        <f t="shared" si="90"/>
        <v>3000</v>
      </c>
      <c r="N269" s="8">
        <f t="shared" si="82"/>
        <v>-447</v>
      </c>
      <c r="O269" s="8">
        <f t="shared" si="83"/>
        <v>-471</v>
      </c>
      <c r="P269" s="8">
        <f t="shared" si="84"/>
        <v>-459</v>
      </c>
      <c r="Q269" s="11">
        <v>0</v>
      </c>
      <c r="R269" s="11">
        <v>0</v>
      </c>
      <c r="S269" s="11">
        <v>0</v>
      </c>
      <c r="T269" s="10">
        <f t="shared" si="79"/>
        <v>807</v>
      </c>
      <c r="U269" s="9">
        <f t="shared" si="85"/>
        <v>2053</v>
      </c>
      <c r="V269" s="9">
        <f t="shared" si="86"/>
        <v>2049</v>
      </c>
      <c r="W269" s="9">
        <f t="shared" si="87"/>
        <v>2091</v>
      </c>
      <c r="X269" s="10"/>
      <c r="Y269" s="8"/>
      <c r="Z269" s="8"/>
      <c r="AA269" s="8"/>
      <c r="AB269" s="8"/>
    </row>
    <row r="270" spans="1:28" ht="13.15" customHeight="1">
      <c r="A270" s="18">
        <v>256</v>
      </c>
      <c r="B270" s="17">
        <f t="shared" si="80"/>
        <v>45507</v>
      </c>
      <c r="C270" s="13">
        <f t="shared" si="81"/>
        <v>1069</v>
      </c>
      <c r="D270" s="12">
        <f t="shared" si="91"/>
        <v>1789</v>
      </c>
      <c r="E270" s="11">
        <f t="shared" ref="E270:E333" si="92">C270+D270-H270</f>
        <v>305</v>
      </c>
      <c r="F270" s="11">
        <f t="shared" ref="F270:F333" si="93">C270+D270-I270</f>
        <v>329</v>
      </c>
      <c r="G270" s="11">
        <f t="shared" ref="G270:G333" si="94">D270+C270-J270</f>
        <v>317</v>
      </c>
      <c r="H270" s="8">
        <f t="shared" ref="H270:H333" si="95">K270+N270</f>
        <v>2553</v>
      </c>
      <c r="I270" s="8">
        <f t="shared" ref="I270:I333" si="96">L270+O270</f>
        <v>2529</v>
      </c>
      <c r="J270" s="8">
        <f t="shared" ref="J270:J333" si="97">M270+P270</f>
        <v>2541</v>
      </c>
      <c r="K270" s="8">
        <f t="shared" si="88"/>
        <v>3000</v>
      </c>
      <c r="L270" s="8">
        <f t="shared" si="89"/>
        <v>3000</v>
      </c>
      <c r="M270" s="8">
        <f t="shared" si="90"/>
        <v>3000</v>
      </c>
      <c r="N270" s="8">
        <f t="shared" si="82"/>
        <v>-447</v>
      </c>
      <c r="O270" s="8">
        <f t="shared" si="83"/>
        <v>-471</v>
      </c>
      <c r="P270" s="8">
        <f t="shared" si="84"/>
        <v>-459</v>
      </c>
      <c r="Q270" s="11">
        <v>0</v>
      </c>
      <c r="R270" s="11">
        <v>0</v>
      </c>
      <c r="S270" s="11">
        <v>0</v>
      </c>
      <c r="T270" s="10">
        <f t="shared" ref="T270:T333" si="98">D270+C270-V270</f>
        <v>809</v>
      </c>
      <c r="U270" s="9">
        <f t="shared" si="85"/>
        <v>2053</v>
      </c>
      <c r="V270" s="9">
        <f t="shared" si="86"/>
        <v>2049</v>
      </c>
      <c r="W270" s="9">
        <f t="shared" si="87"/>
        <v>2091</v>
      </c>
      <c r="X270" s="10"/>
      <c r="Y270" s="8"/>
      <c r="Z270" s="8"/>
      <c r="AA270" s="8"/>
      <c r="AB270" s="8"/>
    </row>
    <row r="271" spans="1:28" ht="13.15" customHeight="1">
      <c r="A271" s="18">
        <v>257</v>
      </c>
      <c r="B271" s="17">
        <f t="shared" ref="B271:B334" si="99">B270+1</f>
        <v>45508</v>
      </c>
      <c r="C271" s="13">
        <f t="shared" ref="C271:C334" si="100">C270</f>
        <v>1069</v>
      </c>
      <c r="D271" s="12">
        <f t="shared" si="91"/>
        <v>1791</v>
      </c>
      <c r="E271" s="11">
        <f t="shared" si="92"/>
        <v>307</v>
      </c>
      <c r="F271" s="11">
        <f t="shared" si="93"/>
        <v>331</v>
      </c>
      <c r="G271" s="11">
        <f t="shared" si="94"/>
        <v>319</v>
      </c>
      <c r="H271" s="8">
        <f t="shared" si="95"/>
        <v>2553</v>
      </c>
      <c r="I271" s="8">
        <f t="shared" si="96"/>
        <v>2529</v>
      </c>
      <c r="J271" s="8">
        <f t="shared" si="97"/>
        <v>2541</v>
      </c>
      <c r="K271" s="8">
        <f t="shared" si="88"/>
        <v>3000</v>
      </c>
      <c r="L271" s="8">
        <f t="shared" si="89"/>
        <v>3000</v>
      </c>
      <c r="M271" s="8">
        <f t="shared" si="90"/>
        <v>3000</v>
      </c>
      <c r="N271" s="8">
        <f t="shared" ref="N271:N334" si="101">N270-Q271</f>
        <v>-447</v>
      </c>
      <c r="O271" s="8">
        <f t="shared" ref="O271:O334" si="102">O270-R271</f>
        <v>-471</v>
      </c>
      <c r="P271" s="8">
        <f t="shared" ref="P271:P334" si="103">P270-S271</f>
        <v>-459</v>
      </c>
      <c r="Q271" s="11">
        <v>0</v>
      </c>
      <c r="R271" s="11">
        <v>0</v>
      </c>
      <c r="S271" s="11">
        <v>0</v>
      </c>
      <c r="T271" s="10">
        <f t="shared" si="98"/>
        <v>811</v>
      </c>
      <c r="U271" s="9">
        <f t="shared" si="85"/>
        <v>2053</v>
      </c>
      <c r="V271" s="9">
        <f t="shared" si="86"/>
        <v>2049</v>
      </c>
      <c r="W271" s="9">
        <f t="shared" si="87"/>
        <v>2091</v>
      </c>
      <c r="X271" s="10"/>
      <c r="Y271" s="8"/>
      <c r="Z271" s="8"/>
      <c r="AA271" s="8"/>
      <c r="AB271" s="8"/>
    </row>
    <row r="272" spans="1:28" ht="13.15" customHeight="1">
      <c r="A272" s="18">
        <v>258</v>
      </c>
      <c r="B272" s="17">
        <f t="shared" si="99"/>
        <v>45509</v>
      </c>
      <c r="C272" s="13">
        <f t="shared" si="100"/>
        <v>1069</v>
      </c>
      <c r="D272" s="12">
        <f t="shared" si="91"/>
        <v>1793</v>
      </c>
      <c r="E272" s="11">
        <f t="shared" si="92"/>
        <v>309</v>
      </c>
      <c r="F272" s="11">
        <f t="shared" si="93"/>
        <v>333</v>
      </c>
      <c r="G272" s="11">
        <f t="shared" si="94"/>
        <v>321</v>
      </c>
      <c r="H272" s="8">
        <f t="shared" si="95"/>
        <v>2553</v>
      </c>
      <c r="I272" s="8">
        <f t="shared" si="96"/>
        <v>2529</v>
      </c>
      <c r="J272" s="8">
        <f t="shared" si="97"/>
        <v>2541</v>
      </c>
      <c r="K272" s="8">
        <f t="shared" si="88"/>
        <v>3000</v>
      </c>
      <c r="L272" s="8">
        <f t="shared" si="89"/>
        <v>3000</v>
      </c>
      <c r="M272" s="8">
        <f t="shared" si="90"/>
        <v>3000</v>
      </c>
      <c r="N272" s="8">
        <f t="shared" si="101"/>
        <v>-447</v>
      </c>
      <c r="O272" s="8">
        <f t="shared" si="102"/>
        <v>-471</v>
      </c>
      <c r="P272" s="8">
        <f t="shared" si="103"/>
        <v>-459</v>
      </c>
      <c r="Q272" s="11">
        <v>0</v>
      </c>
      <c r="R272" s="11">
        <v>0</v>
      </c>
      <c r="S272" s="11">
        <v>0</v>
      </c>
      <c r="T272" s="10">
        <f t="shared" si="98"/>
        <v>813</v>
      </c>
      <c r="U272" s="9">
        <f t="shared" si="85"/>
        <v>2053</v>
      </c>
      <c r="V272" s="9">
        <f t="shared" si="86"/>
        <v>2049</v>
      </c>
      <c r="W272" s="9">
        <f t="shared" si="87"/>
        <v>2091</v>
      </c>
      <c r="X272" s="10"/>
      <c r="Y272" s="8"/>
      <c r="Z272" s="8"/>
      <c r="AA272" s="8"/>
      <c r="AB272" s="8"/>
    </row>
    <row r="273" spans="1:28" ht="13.15" customHeight="1">
      <c r="A273" s="18">
        <v>259</v>
      </c>
      <c r="B273" s="17">
        <f t="shared" si="99"/>
        <v>45510</v>
      </c>
      <c r="C273" s="13">
        <f t="shared" si="100"/>
        <v>1069</v>
      </c>
      <c r="D273" s="12">
        <f t="shared" si="91"/>
        <v>1795</v>
      </c>
      <c r="E273" s="11">
        <f t="shared" si="92"/>
        <v>311</v>
      </c>
      <c r="F273" s="11">
        <f t="shared" si="93"/>
        <v>335</v>
      </c>
      <c r="G273" s="11">
        <f t="shared" si="94"/>
        <v>323</v>
      </c>
      <c r="H273" s="8">
        <f t="shared" si="95"/>
        <v>2553</v>
      </c>
      <c r="I273" s="8">
        <f t="shared" si="96"/>
        <v>2529</v>
      </c>
      <c r="J273" s="8">
        <f t="shared" si="97"/>
        <v>2541</v>
      </c>
      <c r="K273" s="8">
        <f t="shared" si="88"/>
        <v>3000</v>
      </c>
      <c r="L273" s="8">
        <f t="shared" si="89"/>
        <v>3000</v>
      </c>
      <c r="M273" s="8">
        <f t="shared" si="90"/>
        <v>3000</v>
      </c>
      <c r="N273" s="8">
        <f t="shared" si="101"/>
        <v>-447</v>
      </c>
      <c r="O273" s="8">
        <f t="shared" si="102"/>
        <v>-471</v>
      </c>
      <c r="P273" s="8">
        <f t="shared" si="103"/>
        <v>-459</v>
      </c>
      <c r="Q273" s="11">
        <v>0</v>
      </c>
      <c r="R273" s="11">
        <v>0</v>
      </c>
      <c r="S273" s="11">
        <v>0</v>
      </c>
      <c r="T273" s="10">
        <f t="shared" si="98"/>
        <v>815</v>
      </c>
      <c r="U273" s="9">
        <f t="shared" si="85"/>
        <v>2053</v>
      </c>
      <c r="V273" s="9">
        <f t="shared" si="86"/>
        <v>2049</v>
      </c>
      <c r="W273" s="9">
        <f t="shared" si="87"/>
        <v>2091</v>
      </c>
      <c r="X273" s="10"/>
      <c r="Y273" s="8"/>
      <c r="Z273" s="8"/>
      <c r="AA273" s="8"/>
      <c r="AB273" s="8"/>
    </row>
    <row r="274" spans="1:28" ht="13.15" customHeight="1">
      <c r="A274" s="18">
        <v>260</v>
      </c>
      <c r="B274" s="17">
        <f t="shared" si="99"/>
        <v>45511</v>
      </c>
      <c r="C274" s="13">
        <f t="shared" si="100"/>
        <v>1069</v>
      </c>
      <c r="D274" s="12">
        <f t="shared" si="91"/>
        <v>1797</v>
      </c>
      <c r="E274" s="11">
        <f t="shared" si="92"/>
        <v>313</v>
      </c>
      <c r="F274" s="11">
        <f t="shared" si="93"/>
        <v>337</v>
      </c>
      <c r="G274" s="11">
        <f t="shared" si="94"/>
        <v>325</v>
      </c>
      <c r="H274" s="8">
        <f t="shared" si="95"/>
        <v>2553</v>
      </c>
      <c r="I274" s="8">
        <f t="shared" si="96"/>
        <v>2529</v>
      </c>
      <c r="J274" s="8">
        <f t="shared" si="97"/>
        <v>2541</v>
      </c>
      <c r="K274" s="8">
        <f t="shared" si="88"/>
        <v>3000</v>
      </c>
      <c r="L274" s="8">
        <f t="shared" si="89"/>
        <v>3000</v>
      </c>
      <c r="M274" s="8">
        <f t="shared" si="90"/>
        <v>3000</v>
      </c>
      <c r="N274" s="8">
        <f t="shared" si="101"/>
        <v>-447</v>
      </c>
      <c r="O274" s="8">
        <f t="shared" si="102"/>
        <v>-471</v>
      </c>
      <c r="P274" s="8">
        <f t="shared" si="103"/>
        <v>-459</v>
      </c>
      <c r="Q274" s="11">
        <v>0</v>
      </c>
      <c r="R274" s="11">
        <v>0</v>
      </c>
      <c r="S274" s="11">
        <v>0</v>
      </c>
      <c r="T274" s="10">
        <f t="shared" si="98"/>
        <v>817</v>
      </c>
      <c r="U274" s="9">
        <f t="shared" si="85"/>
        <v>2053</v>
      </c>
      <c r="V274" s="9">
        <f t="shared" si="86"/>
        <v>2049</v>
      </c>
      <c r="W274" s="9">
        <f t="shared" si="87"/>
        <v>2091</v>
      </c>
      <c r="X274" s="10"/>
      <c r="Y274" s="8"/>
      <c r="Z274" s="8"/>
      <c r="AA274" s="8"/>
      <c r="AB274" s="8"/>
    </row>
    <row r="275" spans="1:28" ht="13.15" customHeight="1">
      <c r="A275" s="18">
        <v>261</v>
      </c>
      <c r="B275" s="17">
        <f t="shared" si="99"/>
        <v>45512</v>
      </c>
      <c r="C275" s="13">
        <f t="shared" si="100"/>
        <v>1069</v>
      </c>
      <c r="D275" s="12">
        <f t="shared" si="91"/>
        <v>1799</v>
      </c>
      <c r="E275" s="11">
        <f t="shared" si="92"/>
        <v>315</v>
      </c>
      <c r="F275" s="11">
        <f t="shared" si="93"/>
        <v>339</v>
      </c>
      <c r="G275" s="11">
        <f t="shared" si="94"/>
        <v>327</v>
      </c>
      <c r="H275" s="8">
        <f t="shared" si="95"/>
        <v>2553</v>
      </c>
      <c r="I275" s="8">
        <f t="shared" si="96"/>
        <v>2529</v>
      </c>
      <c r="J275" s="8">
        <f t="shared" si="97"/>
        <v>2541</v>
      </c>
      <c r="K275" s="8">
        <f t="shared" si="88"/>
        <v>3000</v>
      </c>
      <c r="L275" s="8">
        <f t="shared" si="89"/>
        <v>3000</v>
      </c>
      <c r="M275" s="8">
        <f t="shared" si="90"/>
        <v>3000</v>
      </c>
      <c r="N275" s="8">
        <f t="shared" si="101"/>
        <v>-447</v>
      </c>
      <c r="O275" s="8">
        <f t="shared" si="102"/>
        <v>-471</v>
      </c>
      <c r="P275" s="8">
        <f t="shared" si="103"/>
        <v>-459</v>
      </c>
      <c r="Q275" s="11">
        <v>0</v>
      </c>
      <c r="R275" s="11">
        <v>0</v>
      </c>
      <c r="S275" s="11">
        <v>0</v>
      </c>
      <c r="T275" s="10">
        <f t="shared" si="98"/>
        <v>819</v>
      </c>
      <c r="U275" s="9">
        <f t="shared" si="85"/>
        <v>2053</v>
      </c>
      <c r="V275" s="9">
        <f t="shared" si="86"/>
        <v>2049</v>
      </c>
      <c r="W275" s="9">
        <f t="shared" si="87"/>
        <v>2091</v>
      </c>
      <c r="X275" s="10"/>
      <c r="Y275" s="8"/>
      <c r="Z275" s="8"/>
      <c r="AA275" s="8"/>
      <c r="AB275" s="8"/>
    </row>
    <row r="276" spans="1:28" ht="13.15" customHeight="1">
      <c r="A276" s="18">
        <v>262</v>
      </c>
      <c r="B276" s="17">
        <f t="shared" si="99"/>
        <v>45513</v>
      </c>
      <c r="C276" s="13">
        <f t="shared" si="100"/>
        <v>1069</v>
      </c>
      <c r="D276" s="12">
        <f t="shared" si="91"/>
        <v>1801</v>
      </c>
      <c r="E276" s="11">
        <f t="shared" si="92"/>
        <v>317</v>
      </c>
      <c r="F276" s="11">
        <f t="shared" si="93"/>
        <v>341</v>
      </c>
      <c r="G276" s="11">
        <f t="shared" si="94"/>
        <v>329</v>
      </c>
      <c r="H276" s="8">
        <f t="shared" si="95"/>
        <v>2553</v>
      </c>
      <c r="I276" s="8">
        <f t="shared" si="96"/>
        <v>2529</v>
      </c>
      <c r="J276" s="8">
        <f t="shared" si="97"/>
        <v>2541</v>
      </c>
      <c r="K276" s="8">
        <f t="shared" si="88"/>
        <v>3000</v>
      </c>
      <c r="L276" s="8">
        <f t="shared" si="89"/>
        <v>3000</v>
      </c>
      <c r="M276" s="8">
        <f t="shared" si="90"/>
        <v>3000</v>
      </c>
      <c r="N276" s="8">
        <f t="shared" si="101"/>
        <v>-447</v>
      </c>
      <c r="O276" s="8">
        <f t="shared" si="102"/>
        <v>-471</v>
      </c>
      <c r="P276" s="8">
        <f t="shared" si="103"/>
        <v>-459</v>
      </c>
      <c r="Q276" s="11">
        <v>0</v>
      </c>
      <c r="R276" s="11">
        <v>0</v>
      </c>
      <c r="S276" s="11">
        <v>0</v>
      </c>
      <c r="T276" s="10">
        <f t="shared" si="98"/>
        <v>821</v>
      </c>
      <c r="U276" s="9">
        <f t="shared" si="85"/>
        <v>2053</v>
      </c>
      <c r="V276" s="9">
        <f t="shared" si="86"/>
        <v>2049</v>
      </c>
      <c r="W276" s="9">
        <f t="shared" si="87"/>
        <v>2091</v>
      </c>
      <c r="X276" s="10"/>
      <c r="Y276" s="8"/>
      <c r="Z276" s="8"/>
      <c r="AA276" s="8"/>
      <c r="AB276" s="8"/>
    </row>
    <row r="277" spans="1:28" ht="13.15" customHeight="1">
      <c r="A277" s="18">
        <v>263</v>
      </c>
      <c r="B277" s="17">
        <f t="shared" si="99"/>
        <v>45514</v>
      </c>
      <c r="C277" s="13">
        <f t="shared" si="100"/>
        <v>1069</v>
      </c>
      <c r="D277" s="12">
        <f t="shared" si="91"/>
        <v>1803</v>
      </c>
      <c r="E277" s="11">
        <f t="shared" si="92"/>
        <v>319</v>
      </c>
      <c r="F277" s="11">
        <f t="shared" si="93"/>
        <v>343</v>
      </c>
      <c r="G277" s="11">
        <f t="shared" si="94"/>
        <v>331</v>
      </c>
      <c r="H277" s="8">
        <f t="shared" si="95"/>
        <v>2553</v>
      </c>
      <c r="I277" s="8">
        <f t="shared" si="96"/>
        <v>2529</v>
      </c>
      <c r="J277" s="8">
        <f t="shared" si="97"/>
        <v>2541</v>
      </c>
      <c r="K277" s="8">
        <f t="shared" si="88"/>
        <v>3000</v>
      </c>
      <c r="L277" s="8">
        <f t="shared" si="89"/>
        <v>3000</v>
      </c>
      <c r="M277" s="8">
        <f t="shared" si="90"/>
        <v>3000</v>
      </c>
      <c r="N277" s="8">
        <f t="shared" si="101"/>
        <v>-447</v>
      </c>
      <c r="O277" s="8">
        <f t="shared" si="102"/>
        <v>-471</v>
      </c>
      <c r="P277" s="8">
        <f t="shared" si="103"/>
        <v>-459</v>
      </c>
      <c r="Q277" s="11">
        <v>0</v>
      </c>
      <c r="R277" s="11">
        <v>0</v>
      </c>
      <c r="S277" s="11">
        <v>0</v>
      </c>
      <c r="T277" s="10">
        <f t="shared" si="98"/>
        <v>823</v>
      </c>
      <c r="U277" s="9">
        <f t="shared" si="85"/>
        <v>2053</v>
      </c>
      <c r="V277" s="9">
        <f t="shared" si="86"/>
        <v>2049</v>
      </c>
      <c r="W277" s="9">
        <f t="shared" si="87"/>
        <v>2091</v>
      </c>
      <c r="X277" s="10"/>
      <c r="Y277" s="8"/>
      <c r="Z277" s="8"/>
      <c r="AA277" s="8"/>
      <c r="AB277" s="8"/>
    </row>
    <row r="278" spans="1:28" ht="13.15" customHeight="1">
      <c r="A278" s="18">
        <v>264</v>
      </c>
      <c r="B278" s="17">
        <f t="shared" si="99"/>
        <v>45515</v>
      </c>
      <c r="C278" s="13">
        <f t="shared" si="100"/>
        <v>1069</v>
      </c>
      <c r="D278" s="12">
        <f t="shared" si="91"/>
        <v>1805</v>
      </c>
      <c r="E278" s="11">
        <f t="shared" si="92"/>
        <v>321</v>
      </c>
      <c r="F278" s="11">
        <f t="shared" si="93"/>
        <v>345</v>
      </c>
      <c r="G278" s="11">
        <f t="shared" si="94"/>
        <v>333</v>
      </c>
      <c r="H278" s="8">
        <f t="shared" si="95"/>
        <v>2553</v>
      </c>
      <c r="I278" s="8">
        <f t="shared" si="96"/>
        <v>2529</v>
      </c>
      <c r="J278" s="8">
        <f t="shared" si="97"/>
        <v>2541</v>
      </c>
      <c r="K278" s="8">
        <f t="shared" si="88"/>
        <v>3000</v>
      </c>
      <c r="L278" s="8">
        <f t="shared" si="89"/>
        <v>3000</v>
      </c>
      <c r="M278" s="8">
        <f t="shared" si="90"/>
        <v>3000</v>
      </c>
      <c r="N278" s="8">
        <f t="shared" si="101"/>
        <v>-447</v>
      </c>
      <c r="O278" s="8">
        <f t="shared" si="102"/>
        <v>-471</v>
      </c>
      <c r="P278" s="8">
        <f t="shared" si="103"/>
        <v>-459</v>
      </c>
      <c r="Q278" s="11">
        <v>0</v>
      </c>
      <c r="R278" s="11">
        <v>0</v>
      </c>
      <c r="S278" s="11">
        <v>0</v>
      </c>
      <c r="T278" s="10">
        <f t="shared" si="98"/>
        <v>825</v>
      </c>
      <c r="U278" s="9">
        <f t="shared" si="85"/>
        <v>2053</v>
      </c>
      <c r="V278" s="9">
        <f t="shared" si="86"/>
        <v>2049</v>
      </c>
      <c r="W278" s="9">
        <f t="shared" si="87"/>
        <v>2091</v>
      </c>
      <c r="X278" s="10"/>
      <c r="Y278" s="8"/>
      <c r="Z278" s="8"/>
      <c r="AA278" s="8"/>
      <c r="AB278" s="8"/>
    </row>
    <row r="279" spans="1:28" ht="13.15" customHeight="1">
      <c r="A279" s="18">
        <v>265</v>
      </c>
      <c r="B279" s="17">
        <f t="shared" si="99"/>
        <v>45516</v>
      </c>
      <c r="C279" s="13">
        <f t="shared" si="100"/>
        <v>1069</v>
      </c>
      <c r="D279" s="12">
        <f t="shared" si="91"/>
        <v>1807</v>
      </c>
      <c r="E279" s="11">
        <f t="shared" si="92"/>
        <v>323</v>
      </c>
      <c r="F279" s="11">
        <f t="shared" si="93"/>
        <v>347</v>
      </c>
      <c r="G279" s="11">
        <f t="shared" si="94"/>
        <v>335</v>
      </c>
      <c r="H279" s="8">
        <f t="shared" si="95"/>
        <v>2553</v>
      </c>
      <c r="I279" s="8">
        <f t="shared" si="96"/>
        <v>2529</v>
      </c>
      <c r="J279" s="8">
        <f t="shared" si="97"/>
        <v>2541</v>
      </c>
      <c r="K279" s="8">
        <f t="shared" si="88"/>
        <v>3000</v>
      </c>
      <c r="L279" s="8">
        <f t="shared" si="89"/>
        <v>3000</v>
      </c>
      <c r="M279" s="8">
        <f t="shared" si="90"/>
        <v>3000</v>
      </c>
      <c r="N279" s="8">
        <f t="shared" si="101"/>
        <v>-447</v>
      </c>
      <c r="O279" s="8">
        <f t="shared" si="102"/>
        <v>-471</v>
      </c>
      <c r="P279" s="8">
        <f t="shared" si="103"/>
        <v>-459</v>
      </c>
      <c r="Q279" s="11">
        <v>0</v>
      </c>
      <c r="R279" s="11">
        <v>0</v>
      </c>
      <c r="S279" s="11">
        <v>0</v>
      </c>
      <c r="T279" s="10">
        <f t="shared" si="98"/>
        <v>827</v>
      </c>
      <c r="U279" s="9">
        <f t="shared" si="85"/>
        <v>2053</v>
      </c>
      <c r="V279" s="9">
        <f t="shared" si="86"/>
        <v>2049</v>
      </c>
      <c r="W279" s="9">
        <f t="shared" si="87"/>
        <v>2091</v>
      </c>
      <c r="X279" s="10"/>
      <c r="Y279" s="8"/>
      <c r="Z279" s="8"/>
      <c r="AA279" s="8"/>
      <c r="AB279" s="8"/>
    </row>
    <row r="280" spans="1:28" ht="13.15" customHeight="1">
      <c r="A280" s="18">
        <v>266</v>
      </c>
      <c r="B280" s="17">
        <f t="shared" si="99"/>
        <v>45517</v>
      </c>
      <c r="C280" s="13">
        <f t="shared" si="100"/>
        <v>1069</v>
      </c>
      <c r="D280" s="12">
        <f t="shared" si="91"/>
        <v>1809</v>
      </c>
      <c r="E280" s="11">
        <f t="shared" si="92"/>
        <v>325</v>
      </c>
      <c r="F280" s="11">
        <f t="shared" si="93"/>
        <v>349</v>
      </c>
      <c r="G280" s="11">
        <f t="shared" si="94"/>
        <v>337</v>
      </c>
      <c r="H280" s="8">
        <f t="shared" si="95"/>
        <v>2553</v>
      </c>
      <c r="I280" s="8">
        <f t="shared" si="96"/>
        <v>2529</v>
      </c>
      <c r="J280" s="8">
        <f t="shared" si="97"/>
        <v>2541</v>
      </c>
      <c r="K280" s="8">
        <f t="shared" si="88"/>
        <v>3000</v>
      </c>
      <c r="L280" s="8">
        <f t="shared" si="89"/>
        <v>3000</v>
      </c>
      <c r="M280" s="8">
        <f t="shared" si="90"/>
        <v>3000</v>
      </c>
      <c r="N280" s="8">
        <f t="shared" si="101"/>
        <v>-447</v>
      </c>
      <c r="O280" s="8">
        <f t="shared" si="102"/>
        <v>-471</v>
      </c>
      <c r="P280" s="8">
        <f t="shared" si="103"/>
        <v>-459</v>
      </c>
      <c r="Q280" s="11">
        <v>0</v>
      </c>
      <c r="R280" s="11">
        <v>0</v>
      </c>
      <c r="S280" s="11">
        <v>0</v>
      </c>
      <c r="T280" s="10">
        <f t="shared" si="98"/>
        <v>829</v>
      </c>
      <c r="U280" s="9">
        <f t="shared" si="85"/>
        <v>2053</v>
      </c>
      <c r="V280" s="9">
        <f t="shared" si="86"/>
        <v>2049</v>
      </c>
      <c r="W280" s="9">
        <f t="shared" si="87"/>
        <v>2091</v>
      </c>
      <c r="X280" s="10"/>
      <c r="Y280" s="8"/>
      <c r="Z280" s="8"/>
      <c r="AA280" s="8"/>
      <c r="AB280" s="8"/>
    </row>
    <row r="281" spans="1:28" ht="13.15" customHeight="1">
      <c r="A281" s="18">
        <v>267</v>
      </c>
      <c r="B281" s="17">
        <f t="shared" si="99"/>
        <v>45518</v>
      </c>
      <c r="C281" s="13">
        <f t="shared" si="100"/>
        <v>1069</v>
      </c>
      <c r="D281" s="12">
        <f t="shared" si="91"/>
        <v>1811</v>
      </c>
      <c r="E281" s="11">
        <f t="shared" si="92"/>
        <v>327</v>
      </c>
      <c r="F281" s="11">
        <f t="shared" si="93"/>
        <v>351</v>
      </c>
      <c r="G281" s="11">
        <f t="shared" si="94"/>
        <v>339</v>
      </c>
      <c r="H281" s="8">
        <f t="shared" si="95"/>
        <v>2553</v>
      </c>
      <c r="I281" s="8">
        <f t="shared" si="96"/>
        <v>2529</v>
      </c>
      <c r="J281" s="8">
        <f t="shared" si="97"/>
        <v>2541</v>
      </c>
      <c r="K281" s="8">
        <f t="shared" si="88"/>
        <v>3000</v>
      </c>
      <c r="L281" s="8">
        <f t="shared" si="89"/>
        <v>3000</v>
      </c>
      <c r="M281" s="8">
        <f t="shared" si="90"/>
        <v>3000</v>
      </c>
      <c r="N281" s="8">
        <f t="shared" si="101"/>
        <v>-447</v>
      </c>
      <c r="O281" s="8">
        <f t="shared" si="102"/>
        <v>-471</v>
      </c>
      <c r="P281" s="8">
        <f t="shared" si="103"/>
        <v>-459</v>
      </c>
      <c r="Q281" s="11">
        <v>0</v>
      </c>
      <c r="R281" s="11">
        <v>0</v>
      </c>
      <c r="S281" s="11">
        <v>0</v>
      </c>
      <c r="T281" s="10">
        <f t="shared" si="98"/>
        <v>831</v>
      </c>
      <c r="U281" s="9">
        <f t="shared" si="85"/>
        <v>2053</v>
      </c>
      <c r="V281" s="9">
        <f t="shared" si="86"/>
        <v>2049</v>
      </c>
      <c r="W281" s="9">
        <f t="shared" si="87"/>
        <v>2091</v>
      </c>
      <c r="X281" s="10"/>
      <c r="Y281" s="8"/>
      <c r="Z281" s="8"/>
      <c r="AA281" s="8"/>
      <c r="AB281" s="8"/>
    </row>
    <row r="282" spans="1:28" ht="13.15" customHeight="1">
      <c r="A282" s="18">
        <v>268</v>
      </c>
      <c r="B282" s="17">
        <f t="shared" si="99"/>
        <v>45519</v>
      </c>
      <c r="C282" s="13">
        <f t="shared" si="100"/>
        <v>1069</v>
      </c>
      <c r="D282" s="12">
        <f t="shared" si="91"/>
        <v>1813</v>
      </c>
      <c r="E282" s="11">
        <f t="shared" si="92"/>
        <v>329</v>
      </c>
      <c r="F282" s="11">
        <f t="shared" si="93"/>
        <v>353</v>
      </c>
      <c r="G282" s="11">
        <f t="shared" si="94"/>
        <v>341</v>
      </c>
      <c r="H282" s="8">
        <f t="shared" si="95"/>
        <v>2553</v>
      </c>
      <c r="I282" s="8">
        <f t="shared" si="96"/>
        <v>2529</v>
      </c>
      <c r="J282" s="8">
        <f t="shared" si="97"/>
        <v>2541</v>
      </c>
      <c r="K282" s="8">
        <f t="shared" si="88"/>
        <v>3000</v>
      </c>
      <c r="L282" s="8">
        <f t="shared" si="89"/>
        <v>3000</v>
      </c>
      <c r="M282" s="8">
        <f t="shared" si="90"/>
        <v>3000</v>
      </c>
      <c r="N282" s="8">
        <f t="shared" si="101"/>
        <v>-447</v>
      </c>
      <c r="O282" s="8">
        <f t="shared" si="102"/>
        <v>-471</v>
      </c>
      <c r="P282" s="8">
        <f t="shared" si="103"/>
        <v>-459</v>
      </c>
      <c r="Q282" s="11">
        <v>0</v>
      </c>
      <c r="R282" s="11">
        <v>0</v>
      </c>
      <c r="S282" s="11">
        <v>0</v>
      </c>
      <c r="T282" s="10">
        <f t="shared" si="98"/>
        <v>833</v>
      </c>
      <c r="U282" s="9">
        <f t="shared" si="85"/>
        <v>2053</v>
      </c>
      <c r="V282" s="9">
        <f t="shared" si="86"/>
        <v>2049</v>
      </c>
      <c r="W282" s="9">
        <f t="shared" si="87"/>
        <v>2091</v>
      </c>
      <c r="X282" s="10"/>
      <c r="Y282" s="8"/>
      <c r="Z282" s="8"/>
      <c r="AA282" s="8"/>
      <c r="AB282" s="8"/>
    </row>
    <row r="283" spans="1:28" ht="13.15" customHeight="1">
      <c r="A283" s="18">
        <v>269</v>
      </c>
      <c r="B283" s="17">
        <f t="shared" si="99"/>
        <v>45520</v>
      </c>
      <c r="C283" s="13">
        <f t="shared" si="100"/>
        <v>1069</v>
      </c>
      <c r="D283" s="12">
        <f t="shared" si="91"/>
        <v>1815</v>
      </c>
      <c r="E283" s="11">
        <f t="shared" si="92"/>
        <v>331</v>
      </c>
      <c r="F283" s="11">
        <f t="shared" si="93"/>
        <v>355</v>
      </c>
      <c r="G283" s="11">
        <f t="shared" si="94"/>
        <v>343</v>
      </c>
      <c r="H283" s="8">
        <f t="shared" si="95"/>
        <v>2553</v>
      </c>
      <c r="I283" s="8">
        <f t="shared" si="96"/>
        <v>2529</v>
      </c>
      <c r="J283" s="8">
        <f t="shared" si="97"/>
        <v>2541</v>
      </c>
      <c r="K283" s="8">
        <f t="shared" si="88"/>
        <v>3000</v>
      </c>
      <c r="L283" s="8">
        <f t="shared" si="89"/>
        <v>3000</v>
      </c>
      <c r="M283" s="8">
        <f t="shared" si="90"/>
        <v>3000</v>
      </c>
      <c r="N283" s="8">
        <f t="shared" si="101"/>
        <v>-447</v>
      </c>
      <c r="O283" s="8">
        <f t="shared" si="102"/>
        <v>-471</v>
      </c>
      <c r="P283" s="8">
        <f t="shared" si="103"/>
        <v>-459</v>
      </c>
      <c r="Q283" s="11">
        <v>0</v>
      </c>
      <c r="R283" s="11">
        <v>0</v>
      </c>
      <c r="S283" s="11">
        <v>0</v>
      </c>
      <c r="T283" s="10">
        <f t="shared" si="98"/>
        <v>835</v>
      </c>
      <c r="U283" s="9">
        <f t="shared" si="85"/>
        <v>2053</v>
      </c>
      <c r="V283" s="9">
        <f t="shared" si="86"/>
        <v>2049</v>
      </c>
      <c r="W283" s="9">
        <f t="shared" si="87"/>
        <v>2091</v>
      </c>
      <c r="X283" s="10"/>
      <c r="Y283" s="8"/>
      <c r="Z283" s="8"/>
      <c r="AA283" s="8"/>
      <c r="AB283" s="8"/>
    </row>
    <row r="284" spans="1:28" ht="13.15" customHeight="1">
      <c r="A284" s="18">
        <v>270</v>
      </c>
      <c r="B284" s="17">
        <f t="shared" si="99"/>
        <v>45521</v>
      </c>
      <c r="C284" s="13">
        <f t="shared" si="100"/>
        <v>1069</v>
      </c>
      <c r="D284" s="12">
        <f t="shared" si="91"/>
        <v>1817</v>
      </c>
      <c r="E284" s="11">
        <f t="shared" si="92"/>
        <v>333</v>
      </c>
      <c r="F284" s="11">
        <f t="shared" si="93"/>
        <v>357</v>
      </c>
      <c r="G284" s="11">
        <f t="shared" si="94"/>
        <v>345</v>
      </c>
      <c r="H284" s="8">
        <f t="shared" si="95"/>
        <v>2553</v>
      </c>
      <c r="I284" s="8">
        <f t="shared" si="96"/>
        <v>2529</v>
      </c>
      <c r="J284" s="8">
        <f t="shared" si="97"/>
        <v>2541</v>
      </c>
      <c r="K284" s="8">
        <f t="shared" si="88"/>
        <v>3000</v>
      </c>
      <c r="L284" s="8">
        <f t="shared" si="89"/>
        <v>3000</v>
      </c>
      <c r="M284" s="8">
        <f t="shared" si="90"/>
        <v>3000</v>
      </c>
      <c r="N284" s="8">
        <f t="shared" si="101"/>
        <v>-447</v>
      </c>
      <c r="O284" s="8">
        <f t="shared" si="102"/>
        <v>-471</v>
      </c>
      <c r="P284" s="8">
        <f t="shared" si="103"/>
        <v>-459</v>
      </c>
      <c r="Q284" s="11">
        <v>0</v>
      </c>
      <c r="R284" s="11">
        <v>0</v>
      </c>
      <c r="S284" s="11">
        <v>0</v>
      </c>
      <c r="T284" s="10">
        <f t="shared" si="98"/>
        <v>837</v>
      </c>
      <c r="U284" s="9">
        <f t="shared" si="85"/>
        <v>2053</v>
      </c>
      <c r="V284" s="9">
        <f t="shared" si="86"/>
        <v>2049</v>
      </c>
      <c r="W284" s="9">
        <f t="shared" si="87"/>
        <v>2091</v>
      </c>
      <c r="X284" s="10"/>
      <c r="Y284" s="8"/>
      <c r="Z284" s="8"/>
      <c r="AA284" s="8"/>
      <c r="AB284" s="8"/>
    </row>
    <row r="285" spans="1:28" ht="13.15" customHeight="1">
      <c r="A285" s="18">
        <v>271</v>
      </c>
      <c r="B285" s="17">
        <f t="shared" si="99"/>
        <v>45522</v>
      </c>
      <c r="C285" s="13">
        <f t="shared" si="100"/>
        <v>1069</v>
      </c>
      <c r="D285" s="12">
        <f t="shared" si="91"/>
        <v>1819</v>
      </c>
      <c r="E285" s="11">
        <f t="shared" si="92"/>
        <v>335</v>
      </c>
      <c r="F285" s="11">
        <f t="shared" si="93"/>
        <v>359</v>
      </c>
      <c r="G285" s="11">
        <f t="shared" si="94"/>
        <v>347</v>
      </c>
      <c r="H285" s="8">
        <f t="shared" si="95"/>
        <v>2553</v>
      </c>
      <c r="I285" s="8">
        <f t="shared" si="96"/>
        <v>2529</v>
      </c>
      <c r="J285" s="8">
        <f t="shared" si="97"/>
        <v>2541</v>
      </c>
      <c r="K285" s="8">
        <f t="shared" si="88"/>
        <v>3000</v>
      </c>
      <c r="L285" s="8">
        <f t="shared" si="89"/>
        <v>3000</v>
      </c>
      <c r="M285" s="8">
        <f t="shared" si="90"/>
        <v>3000</v>
      </c>
      <c r="N285" s="8">
        <f t="shared" si="101"/>
        <v>-447</v>
      </c>
      <c r="O285" s="8">
        <f t="shared" si="102"/>
        <v>-471</v>
      </c>
      <c r="P285" s="8">
        <f t="shared" si="103"/>
        <v>-459</v>
      </c>
      <c r="Q285" s="11">
        <v>0</v>
      </c>
      <c r="R285" s="11">
        <v>0</v>
      </c>
      <c r="S285" s="11">
        <v>0</v>
      </c>
      <c r="T285" s="10">
        <f t="shared" si="98"/>
        <v>839</v>
      </c>
      <c r="U285" s="9">
        <f t="shared" si="85"/>
        <v>2053</v>
      </c>
      <c r="V285" s="9">
        <f t="shared" si="86"/>
        <v>2049</v>
      </c>
      <c r="W285" s="9">
        <f t="shared" si="87"/>
        <v>2091</v>
      </c>
      <c r="X285" s="10"/>
      <c r="Y285" s="8"/>
      <c r="Z285" s="8"/>
      <c r="AA285" s="8"/>
      <c r="AB285" s="8"/>
    </row>
    <row r="286" spans="1:28" ht="13.15" customHeight="1">
      <c r="A286" s="18">
        <v>272</v>
      </c>
      <c r="B286" s="17">
        <f t="shared" si="99"/>
        <v>45523</v>
      </c>
      <c r="C286" s="13">
        <f t="shared" si="100"/>
        <v>1069</v>
      </c>
      <c r="D286" s="12">
        <f t="shared" si="91"/>
        <v>1821</v>
      </c>
      <c r="E286" s="11">
        <f t="shared" si="92"/>
        <v>337</v>
      </c>
      <c r="F286" s="11">
        <f t="shared" si="93"/>
        <v>361</v>
      </c>
      <c r="G286" s="11">
        <f t="shared" si="94"/>
        <v>349</v>
      </c>
      <c r="H286" s="8">
        <f t="shared" si="95"/>
        <v>2553</v>
      </c>
      <c r="I286" s="8">
        <f t="shared" si="96"/>
        <v>2529</v>
      </c>
      <c r="J286" s="8">
        <f t="shared" si="97"/>
        <v>2541</v>
      </c>
      <c r="K286" s="8">
        <f t="shared" si="88"/>
        <v>3000</v>
      </c>
      <c r="L286" s="8">
        <f t="shared" si="89"/>
        <v>3000</v>
      </c>
      <c r="M286" s="8">
        <f t="shared" si="90"/>
        <v>3000</v>
      </c>
      <c r="N286" s="8">
        <f t="shared" si="101"/>
        <v>-447</v>
      </c>
      <c r="O286" s="8">
        <f t="shared" si="102"/>
        <v>-471</v>
      </c>
      <c r="P286" s="8">
        <f t="shared" si="103"/>
        <v>-459</v>
      </c>
      <c r="Q286" s="11">
        <v>0</v>
      </c>
      <c r="R286" s="11">
        <v>0</v>
      </c>
      <c r="S286" s="11">
        <v>0</v>
      </c>
      <c r="T286" s="10">
        <f t="shared" si="98"/>
        <v>841</v>
      </c>
      <c r="U286" s="9">
        <f t="shared" si="85"/>
        <v>2053</v>
      </c>
      <c r="V286" s="9">
        <f t="shared" si="86"/>
        <v>2049</v>
      </c>
      <c r="W286" s="9">
        <f t="shared" si="87"/>
        <v>2091</v>
      </c>
      <c r="X286" s="10"/>
      <c r="Y286" s="8"/>
      <c r="Z286" s="8"/>
      <c r="AA286" s="8"/>
      <c r="AB286" s="8"/>
    </row>
    <row r="287" spans="1:28" ht="13.15" customHeight="1">
      <c r="A287" s="18">
        <v>273</v>
      </c>
      <c r="B287" s="17">
        <f t="shared" si="99"/>
        <v>45524</v>
      </c>
      <c r="C287" s="13">
        <f t="shared" si="100"/>
        <v>1069</v>
      </c>
      <c r="D287" s="12">
        <f t="shared" si="91"/>
        <v>1823</v>
      </c>
      <c r="E287" s="11">
        <f t="shared" si="92"/>
        <v>339</v>
      </c>
      <c r="F287" s="11">
        <f t="shared" si="93"/>
        <v>363</v>
      </c>
      <c r="G287" s="11">
        <f t="shared" si="94"/>
        <v>351</v>
      </c>
      <c r="H287" s="8">
        <f t="shared" si="95"/>
        <v>2553</v>
      </c>
      <c r="I287" s="8">
        <f t="shared" si="96"/>
        <v>2529</v>
      </c>
      <c r="J287" s="8">
        <f t="shared" si="97"/>
        <v>2541</v>
      </c>
      <c r="K287" s="8">
        <f t="shared" si="88"/>
        <v>3000</v>
      </c>
      <c r="L287" s="8">
        <f t="shared" si="89"/>
        <v>3000</v>
      </c>
      <c r="M287" s="8">
        <f t="shared" si="90"/>
        <v>3000</v>
      </c>
      <c r="N287" s="8">
        <f t="shared" si="101"/>
        <v>-447</v>
      </c>
      <c r="O287" s="8">
        <f t="shared" si="102"/>
        <v>-471</v>
      </c>
      <c r="P287" s="8">
        <f t="shared" si="103"/>
        <v>-459</v>
      </c>
      <c r="Q287" s="11">
        <v>0</v>
      </c>
      <c r="R287" s="11">
        <v>0</v>
      </c>
      <c r="S287" s="11">
        <v>0</v>
      </c>
      <c r="T287" s="10">
        <f t="shared" si="98"/>
        <v>843</v>
      </c>
      <c r="U287" s="9">
        <f t="shared" si="85"/>
        <v>2053</v>
      </c>
      <c r="V287" s="9">
        <f t="shared" si="86"/>
        <v>2049</v>
      </c>
      <c r="W287" s="9">
        <f t="shared" si="87"/>
        <v>2091</v>
      </c>
      <c r="X287" s="10"/>
      <c r="Y287" s="8"/>
      <c r="Z287" s="8"/>
      <c r="AA287" s="8"/>
      <c r="AB287" s="8"/>
    </row>
    <row r="288" spans="1:28" ht="13.15" customHeight="1">
      <c r="A288" s="18">
        <v>274</v>
      </c>
      <c r="B288" s="17">
        <f t="shared" si="99"/>
        <v>45525</v>
      </c>
      <c r="C288" s="13">
        <f t="shared" si="100"/>
        <v>1069</v>
      </c>
      <c r="D288" s="12">
        <f t="shared" si="91"/>
        <v>1825</v>
      </c>
      <c r="E288" s="11">
        <f t="shared" si="92"/>
        <v>341</v>
      </c>
      <c r="F288" s="11">
        <f t="shared" si="93"/>
        <v>365</v>
      </c>
      <c r="G288" s="11">
        <f t="shared" si="94"/>
        <v>353</v>
      </c>
      <c r="H288" s="8">
        <f t="shared" si="95"/>
        <v>2553</v>
      </c>
      <c r="I288" s="8">
        <f t="shared" si="96"/>
        <v>2529</v>
      </c>
      <c r="J288" s="8">
        <f t="shared" si="97"/>
        <v>2541</v>
      </c>
      <c r="K288" s="8">
        <f t="shared" si="88"/>
        <v>3000</v>
      </c>
      <c r="L288" s="8">
        <f t="shared" si="89"/>
        <v>3000</v>
      </c>
      <c r="M288" s="8">
        <f t="shared" si="90"/>
        <v>3000</v>
      </c>
      <c r="N288" s="8">
        <f t="shared" si="101"/>
        <v>-447</v>
      </c>
      <c r="O288" s="8">
        <f t="shared" si="102"/>
        <v>-471</v>
      </c>
      <c r="P288" s="8">
        <f t="shared" si="103"/>
        <v>-459</v>
      </c>
      <c r="Q288" s="11">
        <v>0</v>
      </c>
      <c r="R288" s="11">
        <v>0</v>
      </c>
      <c r="S288" s="11">
        <v>0</v>
      </c>
      <c r="T288" s="10">
        <f t="shared" si="98"/>
        <v>845</v>
      </c>
      <c r="U288" s="9">
        <f t="shared" si="85"/>
        <v>2053</v>
      </c>
      <c r="V288" s="9">
        <f t="shared" si="86"/>
        <v>2049</v>
      </c>
      <c r="W288" s="9">
        <f t="shared" si="87"/>
        <v>2091</v>
      </c>
      <c r="X288" s="10"/>
      <c r="Y288" s="8"/>
      <c r="Z288" s="8"/>
      <c r="AA288" s="8"/>
      <c r="AB288" s="8"/>
    </row>
    <row r="289" spans="1:28" ht="13.15" customHeight="1">
      <c r="A289" s="18">
        <v>275</v>
      </c>
      <c r="B289" s="17">
        <f t="shared" si="99"/>
        <v>45526</v>
      </c>
      <c r="C289" s="13">
        <f t="shared" si="100"/>
        <v>1069</v>
      </c>
      <c r="D289" s="12">
        <f t="shared" si="91"/>
        <v>1827</v>
      </c>
      <c r="E289" s="11">
        <f t="shared" si="92"/>
        <v>343</v>
      </c>
      <c r="F289" s="11">
        <f t="shared" si="93"/>
        <v>367</v>
      </c>
      <c r="G289" s="11">
        <f t="shared" si="94"/>
        <v>355</v>
      </c>
      <c r="H289" s="8">
        <f t="shared" si="95"/>
        <v>2553</v>
      </c>
      <c r="I289" s="8">
        <f t="shared" si="96"/>
        <v>2529</v>
      </c>
      <c r="J289" s="8">
        <f t="shared" si="97"/>
        <v>2541</v>
      </c>
      <c r="K289" s="8">
        <f t="shared" si="88"/>
        <v>3000</v>
      </c>
      <c r="L289" s="8">
        <f t="shared" si="89"/>
        <v>3000</v>
      </c>
      <c r="M289" s="8">
        <f t="shared" si="90"/>
        <v>3000</v>
      </c>
      <c r="N289" s="8">
        <f t="shared" si="101"/>
        <v>-447</v>
      </c>
      <c r="O289" s="8">
        <f t="shared" si="102"/>
        <v>-471</v>
      </c>
      <c r="P289" s="8">
        <f t="shared" si="103"/>
        <v>-459</v>
      </c>
      <c r="Q289" s="11">
        <v>0</v>
      </c>
      <c r="R289" s="11">
        <v>0</v>
      </c>
      <c r="S289" s="11">
        <v>0</v>
      </c>
      <c r="T289" s="10">
        <f t="shared" si="98"/>
        <v>847</v>
      </c>
      <c r="U289" s="9">
        <f t="shared" si="85"/>
        <v>2053</v>
      </c>
      <c r="V289" s="9">
        <f t="shared" si="86"/>
        <v>2049</v>
      </c>
      <c r="W289" s="9">
        <f t="shared" si="87"/>
        <v>2091</v>
      </c>
      <c r="X289" s="10"/>
      <c r="Y289" s="8"/>
      <c r="Z289" s="8"/>
      <c r="AA289" s="8"/>
      <c r="AB289" s="8"/>
    </row>
    <row r="290" spans="1:28" ht="13.15" customHeight="1">
      <c r="A290" s="18">
        <v>276</v>
      </c>
      <c r="B290" s="17">
        <f t="shared" si="99"/>
        <v>45527</v>
      </c>
      <c r="C290" s="13">
        <f t="shared" si="100"/>
        <v>1069</v>
      </c>
      <c r="D290" s="12">
        <f t="shared" si="91"/>
        <v>1829</v>
      </c>
      <c r="E290" s="11">
        <f t="shared" si="92"/>
        <v>345</v>
      </c>
      <c r="F290" s="11">
        <f t="shared" si="93"/>
        <v>369</v>
      </c>
      <c r="G290" s="11">
        <f t="shared" si="94"/>
        <v>357</v>
      </c>
      <c r="H290" s="8">
        <f t="shared" si="95"/>
        <v>2553</v>
      </c>
      <c r="I290" s="8">
        <f t="shared" si="96"/>
        <v>2529</v>
      </c>
      <c r="J290" s="8">
        <f t="shared" si="97"/>
        <v>2541</v>
      </c>
      <c r="K290" s="8">
        <f t="shared" si="88"/>
        <v>3000</v>
      </c>
      <c r="L290" s="8">
        <f t="shared" si="89"/>
        <v>3000</v>
      </c>
      <c r="M290" s="8">
        <f t="shared" si="90"/>
        <v>3000</v>
      </c>
      <c r="N290" s="8">
        <f t="shared" si="101"/>
        <v>-447</v>
      </c>
      <c r="O290" s="8">
        <f t="shared" si="102"/>
        <v>-471</v>
      </c>
      <c r="P290" s="8">
        <f t="shared" si="103"/>
        <v>-459</v>
      </c>
      <c r="Q290" s="11">
        <v>0</v>
      </c>
      <c r="R290" s="11">
        <v>0</v>
      </c>
      <c r="S290" s="11">
        <v>0</v>
      </c>
      <c r="T290" s="10">
        <f t="shared" si="98"/>
        <v>849</v>
      </c>
      <c r="U290" s="9">
        <f t="shared" si="85"/>
        <v>2053</v>
      </c>
      <c r="V290" s="9">
        <f t="shared" si="86"/>
        <v>2049</v>
      </c>
      <c r="W290" s="9">
        <f t="shared" si="87"/>
        <v>2091</v>
      </c>
      <c r="X290" s="10"/>
      <c r="Y290" s="8"/>
      <c r="Z290" s="8"/>
      <c r="AA290" s="8"/>
      <c r="AB290" s="8"/>
    </row>
    <row r="291" spans="1:28" ht="13.15" customHeight="1">
      <c r="A291" s="18">
        <v>277</v>
      </c>
      <c r="B291" s="17">
        <f t="shared" si="99"/>
        <v>45528</v>
      </c>
      <c r="C291" s="13">
        <f t="shared" si="100"/>
        <v>1069</v>
      </c>
      <c r="D291" s="12">
        <f t="shared" si="91"/>
        <v>1831</v>
      </c>
      <c r="E291" s="11">
        <f t="shared" si="92"/>
        <v>347</v>
      </c>
      <c r="F291" s="11">
        <f t="shared" si="93"/>
        <v>371</v>
      </c>
      <c r="G291" s="11">
        <f t="shared" si="94"/>
        <v>359</v>
      </c>
      <c r="H291" s="8">
        <f t="shared" si="95"/>
        <v>2553</v>
      </c>
      <c r="I291" s="8">
        <f t="shared" si="96"/>
        <v>2529</v>
      </c>
      <c r="J291" s="8">
        <f t="shared" si="97"/>
        <v>2541</v>
      </c>
      <c r="K291" s="8">
        <f t="shared" si="88"/>
        <v>3000</v>
      </c>
      <c r="L291" s="8">
        <f t="shared" si="89"/>
        <v>3000</v>
      </c>
      <c r="M291" s="8">
        <f t="shared" si="90"/>
        <v>3000</v>
      </c>
      <c r="N291" s="8">
        <f t="shared" si="101"/>
        <v>-447</v>
      </c>
      <c r="O291" s="8">
        <f t="shared" si="102"/>
        <v>-471</v>
      </c>
      <c r="P291" s="8">
        <f t="shared" si="103"/>
        <v>-459</v>
      </c>
      <c r="Q291" s="11">
        <v>0</v>
      </c>
      <c r="R291" s="11">
        <v>0</v>
      </c>
      <c r="S291" s="11">
        <v>0</v>
      </c>
      <c r="T291" s="10">
        <f t="shared" si="98"/>
        <v>851</v>
      </c>
      <c r="U291" s="9">
        <f t="shared" ref="U291:U354" si="104">U290+$X291*1000-Q291</f>
        <v>2053</v>
      </c>
      <c r="V291" s="9">
        <f t="shared" si="86"/>
        <v>2049</v>
      </c>
      <c r="W291" s="9">
        <f t="shared" si="87"/>
        <v>2091</v>
      </c>
      <c r="X291" s="10"/>
      <c r="Y291" s="8"/>
      <c r="Z291" s="8"/>
      <c r="AA291" s="8"/>
      <c r="AB291" s="8"/>
    </row>
    <row r="292" spans="1:28" ht="13.15" customHeight="1">
      <c r="A292" s="18">
        <v>278</v>
      </c>
      <c r="B292" s="17">
        <f t="shared" si="99"/>
        <v>45529</v>
      </c>
      <c r="C292" s="13">
        <f t="shared" si="100"/>
        <v>1069</v>
      </c>
      <c r="D292" s="12">
        <f t="shared" si="91"/>
        <v>1833</v>
      </c>
      <c r="E292" s="11">
        <f t="shared" si="92"/>
        <v>349</v>
      </c>
      <c r="F292" s="11">
        <f t="shared" si="93"/>
        <v>373</v>
      </c>
      <c r="G292" s="11">
        <f t="shared" si="94"/>
        <v>361</v>
      </c>
      <c r="H292" s="8">
        <f t="shared" si="95"/>
        <v>2553</v>
      </c>
      <c r="I292" s="8">
        <f t="shared" si="96"/>
        <v>2529</v>
      </c>
      <c r="J292" s="8">
        <f t="shared" si="97"/>
        <v>2541</v>
      </c>
      <c r="K292" s="8">
        <f t="shared" si="88"/>
        <v>3000</v>
      </c>
      <c r="L292" s="8">
        <f t="shared" si="89"/>
        <v>3000</v>
      </c>
      <c r="M292" s="8">
        <f t="shared" si="90"/>
        <v>3000</v>
      </c>
      <c r="N292" s="8">
        <f t="shared" si="101"/>
        <v>-447</v>
      </c>
      <c r="O292" s="8">
        <f t="shared" si="102"/>
        <v>-471</v>
      </c>
      <c r="P292" s="8">
        <f t="shared" si="103"/>
        <v>-459</v>
      </c>
      <c r="Q292" s="11">
        <v>0</v>
      </c>
      <c r="R292" s="11">
        <v>0</v>
      </c>
      <c r="S292" s="11">
        <v>0</v>
      </c>
      <c r="T292" s="10">
        <f t="shared" si="98"/>
        <v>853</v>
      </c>
      <c r="U292" s="9">
        <f t="shared" si="104"/>
        <v>2053</v>
      </c>
      <c r="V292" s="9">
        <f t="shared" ref="V292:V355" si="105">V291+$X292*1000-R292</f>
        <v>2049</v>
      </c>
      <c r="W292" s="9">
        <f t="shared" ref="W292:W355" si="106">W291+$X292*1000-S292</f>
        <v>2091</v>
      </c>
      <c r="X292" s="10"/>
      <c r="Y292" s="8"/>
      <c r="Z292" s="8"/>
      <c r="AA292" s="8"/>
      <c r="AB292" s="8"/>
    </row>
    <row r="293" spans="1:28" ht="13.15" customHeight="1">
      <c r="A293" s="18">
        <v>279</v>
      </c>
      <c r="B293" s="17">
        <f t="shared" si="99"/>
        <v>45530</v>
      </c>
      <c r="C293" s="13">
        <f t="shared" si="100"/>
        <v>1069</v>
      </c>
      <c r="D293" s="12">
        <f t="shared" si="91"/>
        <v>1835</v>
      </c>
      <c r="E293" s="11">
        <f t="shared" si="92"/>
        <v>351</v>
      </c>
      <c r="F293" s="11">
        <f t="shared" si="93"/>
        <v>375</v>
      </c>
      <c r="G293" s="11">
        <f t="shared" si="94"/>
        <v>363</v>
      </c>
      <c r="H293" s="8">
        <f t="shared" si="95"/>
        <v>2553</v>
      </c>
      <c r="I293" s="8">
        <f t="shared" si="96"/>
        <v>2529</v>
      </c>
      <c r="J293" s="8">
        <f t="shared" si="97"/>
        <v>2541</v>
      </c>
      <c r="K293" s="8">
        <f t="shared" si="88"/>
        <v>3000</v>
      </c>
      <c r="L293" s="8">
        <f t="shared" si="89"/>
        <v>3000</v>
      </c>
      <c r="M293" s="8">
        <f t="shared" si="90"/>
        <v>3000</v>
      </c>
      <c r="N293" s="8">
        <f t="shared" si="101"/>
        <v>-447</v>
      </c>
      <c r="O293" s="8">
        <f t="shared" si="102"/>
        <v>-471</v>
      </c>
      <c r="P293" s="8">
        <f t="shared" si="103"/>
        <v>-459</v>
      </c>
      <c r="Q293" s="11">
        <v>0</v>
      </c>
      <c r="R293" s="11">
        <v>0</v>
      </c>
      <c r="S293" s="11">
        <v>0</v>
      </c>
      <c r="T293" s="10">
        <f t="shared" si="98"/>
        <v>855</v>
      </c>
      <c r="U293" s="9">
        <f t="shared" si="104"/>
        <v>2053</v>
      </c>
      <c r="V293" s="9">
        <f t="shared" si="105"/>
        <v>2049</v>
      </c>
      <c r="W293" s="9">
        <f t="shared" si="106"/>
        <v>2091</v>
      </c>
      <c r="X293" s="10"/>
      <c r="Y293" s="8"/>
      <c r="Z293" s="8"/>
      <c r="AA293" s="8"/>
      <c r="AB293" s="8"/>
    </row>
    <row r="294" spans="1:28" ht="13.15" customHeight="1">
      <c r="A294" s="18">
        <v>280</v>
      </c>
      <c r="B294" s="17">
        <f t="shared" si="99"/>
        <v>45531</v>
      </c>
      <c r="C294" s="13">
        <f t="shared" si="100"/>
        <v>1069</v>
      </c>
      <c r="D294" s="12">
        <f t="shared" si="91"/>
        <v>1837</v>
      </c>
      <c r="E294" s="11">
        <f t="shared" si="92"/>
        <v>353</v>
      </c>
      <c r="F294" s="11">
        <f t="shared" si="93"/>
        <v>377</v>
      </c>
      <c r="G294" s="11">
        <f t="shared" si="94"/>
        <v>365</v>
      </c>
      <c r="H294" s="8">
        <f t="shared" si="95"/>
        <v>2553</v>
      </c>
      <c r="I294" s="8">
        <f t="shared" si="96"/>
        <v>2529</v>
      </c>
      <c r="J294" s="8">
        <f t="shared" si="97"/>
        <v>2541</v>
      </c>
      <c r="K294" s="8">
        <f t="shared" si="88"/>
        <v>3000</v>
      </c>
      <c r="L294" s="8">
        <f t="shared" si="89"/>
        <v>3000</v>
      </c>
      <c r="M294" s="8">
        <f t="shared" si="90"/>
        <v>3000</v>
      </c>
      <c r="N294" s="8">
        <f t="shared" si="101"/>
        <v>-447</v>
      </c>
      <c r="O294" s="8">
        <f t="shared" si="102"/>
        <v>-471</v>
      </c>
      <c r="P294" s="8">
        <f t="shared" si="103"/>
        <v>-459</v>
      </c>
      <c r="Q294" s="11">
        <v>0</v>
      </c>
      <c r="R294" s="11">
        <v>0</v>
      </c>
      <c r="S294" s="11">
        <v>0</v>
      </c>
      <c r="T294" s="10">
        <f t="shared" si="98"/>
        <v>857</v>
      </c>
      <c r="U294" s="9">
        <f t="shared" si="104"/>
        <v>2053</v>
      </c>
      <c r="V294" s="9">
        <f t="shared" si="105"/>
        <v>2049</v>
      </c>
      <c r="W294" s="9">
        <f t="shared" si="106"/>
        <v>2091</v>
      </c>
      <c r="X294" s="10"/>
      <c r="Y294" s="8"/>
      <c r="Z294" s="8"/>
      <c r="AA294" s="8"/>
      <c r="AB294" s="8"/>
    </row>
    <row r="295" spans="1:28" ht="13.15" customHeight="1">
      <c r="A295" s="18">
        <v>281</v>
      </c>
      <c r="B295" s="17">
        <f t="shared" si="99"/>
        <v>45532</v>
      </c>
      <c r="C295" s="13">
        <f t="shared" si="100"/>
        <v>1069</v>
      </c>
      <c r="D295" s="12">
        <f t="shared" si="91"/>
        <v>1839</v>
      </c>
      <c r="E295" s="11">
        <f t="shared" si="92"/>
        <v>355</v>
      </c>
      <c r="F295" s="11">
        <f t="shared" si="93"/>
        <v>379</v>
      </c>
      <c r="G295" s="11">
        <f t="shared" si="94"/>
        <v>367</v>
      </c>
      <c r="H295" s="8">
        <f t="shared" si="95"/>
        <v>2553</v>
      </c>
      <c r="I295" s="8">
        <f t="shared" si="96"/>
        <v>2529</v>
      </c>
      <c r="J295" s="8">
        <f t="shared" si="97"/>
        <v>2541</v>
      </c>
      <c r="K295" s="8">
        <f t="shared" si="88"/>
        <v>3000</v>
      </c>
      <c r="L295" s="8">
        <f t="shared" si="89"/>
        <v>3000</v>
      </c>
      <c r="M295" s="8">
        <f t="shared" si="90"/>
        <v>3000</v>
      </c>
      <c r="N295" s="8">
        <f t="shared" si="101"/>
        <v>-447</v>
      </c>
      <c r="O295" s="8">
        <f t="shared" si="102"/>
        <v>-471</v>
      </c>
      <c r="P295" s="8">
        <f t="shared" si="103"/>
        <v>-459</v>
      </c>
      <c r="Q295" s="11">
        <v>0</v>
      </c>
      <c r="R295" s="11">
        <v>0</v>
      </c>
      <c r="S295" s="11">
        <v>0</v>
      </c>
      <c r="T295" s="10">
        <f t="shared" si="98"/>
        <v>859</v>
      </c>
      <c r="U295" s="9">
        <f t="shared" si="104"/>
        <v>2053</v>
      </c>
      <c r="V295" s="9">
        <f t="shared" si="105"/>
        <v>2049</v>
      </c>
      <c r="W295" s="9">
        <f t="shared" si="106"/>
        <v>2091</v>
      </c>
      <c r="X295" s="10"/>
      <c r="Y295" s="8"/>
      <c r="Z295" s="8"/>
      <c r="AA295" s="8"/>
      <c r="AB295" s="8"/>
    </row>
    <row r="296" spans="1:28" ht="13.15" customHeight="1">
      <c r="A296" s="18">
        <v>282</v>
      </c>
      <c r="B296" s="17">
        <f t="shared" si="99"/>
        <v>45533</v>
      </c>
      <c r="C296" s="13">
        <f t="shared" si="100"/>
        <v>1069</v>
      </c>
      <c r="D296" s="12">
        <f t="shared" si="91"/>
        <v>1841</v>
      </c>
      <c r="E296" s="11">
        <f t="shared" si="92"/>
        <v>357</v>
      </c>
      <c r="F296" s="11">
        <f t="shared" si="93"/>
        <v>381</v>
      </c>
      <c r="G296" s="11">
        <f t="shared" si="94"/>
        <v>369</v>
      </c>
      <c r="H296" s="8">
        <f t="shared" si="95"/>
        <v>2553</v>
      </c>
      <c r="I296" s="8">
        <f t="shared" si="96"/>
        <v>2529</v>
      </c>
      <c r="J296" s="8">
        <f t="shared" si="97"/>
        <v>2541</v>
      </c>
      <c r="K296" s="8">
        <f t="shared" si="88"/>
        <v>3000</v>
      </c>
      <c r="L296" s="8">
        <f t="shared" si="89"/>
        <v>3000</v>
      </c>
      <c r="M296" s="8">
        <f t="shared" si="90"/>
        <v>3000</v>
      </c>
      <c r="N296" s="8">
        <f t="shared" si="101"/>
        <v>-447</v>
      </c>
      <c r="O296" s="8">
        <f t="shared" si="102"/>
        <v>-471</v>
      </c>
      <c r="P296" s="8">
        <f t="shared" si="103"/>
        <v>-459</v>
      </c>
      <c r="Q296" s="11">
        <v>0</v>
      </c>
      <c r="R296" s="11">
        <v>0</v>
      </c>
      <c r="S296" s="11">
        <v>0</v>
      </c>
      <c r="T296" s="10">
        <f t="shared" si="98"/>
        <v>861</v>
      </c>
      <c r="U296" s="9">
        <f t="shared" si="104"/>
        <v>2053</v>
      </c>
      <c r="V296" s="9">
        <f t="shared" si="105"/>
        <v>2049</v>
      </c>
      <c r="W296" s="9">
        <f t="shared" si="106"/>
        <v>2091</v>
      </c>
      <c r="X296" s="10"/>
      <c r="Y296" s="8"/>
      <c r="Z296" s="8"/>
      <c r="AA296" s="8"/>
      <c r="AB296" s="8"/>
    </row>
    <row r="297" spans="1:28" ht="13.15" customHeight="1">
      <c r="A297" s="18">
        <v>283</v>
      </c>
      <c r="B297" s="17">
        <f t="shared" si="99"/>
        <v>45534</v>
      </c>
      <c r="C297" s="13">
        <f t="shared" si="100"/>
        <v>1069</v>
      </c>
      <c r="D297" s="12">
        <f t="shared" si="91"/>
        <v>1843</v>
      </c>
      <c r="E297" s="11">
        <f t="shared" si="92"/>
        <v>359</v>
      </c>
      <c r="F297" s="11">
        <f t="shared" si="93"/>
        <v>383</v>
      </c>
      <c r="G297" s="11">
        <f t="shared" si="94"/>
        <v>371</v>
      </c>
      <c r="H297" s="8">
        <f t="shared" si="95"/>
        <v>2553</v>
      </c>
      <c r="I297" s="8">
        <f t="shared" si="96"/>
        <v>2529</v>
      </c>
      <c r="J297" s="8">
        <f t="shared" si="97"/>
        <v>2541</v>
      </c>
      <c r="K297" s="8">
        <f t="shared" si="88"/>
        <v>3000</v>
      </c>
      <c r="L297" s="8">
        <f t="shared" si="89"/>
        <v>3000</v>
      </c>
      <c r="M297" s="8">
        <f t="shared" si="90"/>
        <v>3000</v>
      </c>
      <c r="N297" s="8">
        <f t="shared" si="101"/>
        <v>-447</v>
      </c>
      <c r="O297" s="8">
        <f t="shared" si="102"/>
        <v>-471</v>
      </c>
      <c r="P297" s="8">
        <f t="shared" si="103"/>
        <v>-459</v>
      </c>
      <c r="Q297" s="11">
        <v>0</v>
      </c>
      <c r="R297" s="11">
        <v>0</v>
      </c>
      <c r="S297" s="11">
        <v>0</v>
      </c>
      <c r="T297" s="10">
        <f t="shared" si="98"/>
        <v>863</v>
      </c>
      <c r="U297" s="9">
        <f t="shared" si="104"/>
        <v>2053</v>
      </c>
      <c r="V297" s="9">
        <f t="shared" si="105"/>
        <v>2049</v>
      </c>
      <c r="W297" s="9">
        <f t="shared" si="106"/>
        <v>2091</v>
      </c>
      <c r="X297" s="10"/>
      <c r="Y297" s="8"/>
      <c r="Z297" s="8"/>
      <c r="AA297" s="8"/>
      <c r="AB297" s="8"/>
    </row>
    <row r="298" spans="1:28" ht="13.15" customHeight="1">
      <c r="A298" s="18">
        <f t="shared" ref="A298:A361" si="107">+A297+1</f>
        <v>284</v>
      </c>
      <c r="B298" s="17">
        <f t="shared" si="99"/>
        <v>45535</v>
      </c>
      <c r="C298" s="13">
        <f t="shared" si="100"/>
        <v>1069</v>
      </c>
      <c r="D298" s="12">
        <f t="shared" si="91"/>
        <v>1845</v>
      </c>
      <c r="E298" s="11">
        <f t="shared" si="92"/>
        <v>361</v>
      </c>
      <c r="F298" s="11">
        <f t="shared" si="93"/>
        <v>385</v>
      </c>
      <c r="G298" s="11">
        <f t="shared" si="94"/>
        <v>373</v>
      </c>
      <c r="H298" s="8">
        <f t="shared" si="95"/>
        <v>2553</v>
      </c>
      <c r="I298" s="8">
        <f t="shared" si="96"/>
        <v>2529</v>
      </c>
      <c r="J298" s="8">
        <f t="shared" si="97"/>
        <v>2541</v>
      </c>
      <c r="K298" s="8">
        <f t="shared" si="88"/>
        <v>3000</v>
      </c>
      <c r="L298" s="8">
        <f t="shared" si="89"/>
        <v>3000</v>
      </c>
      <c r="M298" s="8">
        <f t="shared" si="90"/>
        <v>3000</v>
      </c>
      <c r="N298" s="8">
        <f t="shared" si="101"/>
        <v>-447</v>
      </c>
      <c r="O298" s="8">
        <f t="shared" si="102"/>
        <v>-471</v>
      </c>
      <c r="P298" s="8">
        <f t="shared" si="103"/>
        <v>-459</v>
      </c>
      <c r="Q298" s="11">
        <v>0</v>
      </c>
      <c r="R298" s="11">
        <v>0</v>
      </c>
      <c r="S298" s="11">
        <v>0</v>
      </c>
      <c r="T298" s="10">
        <f t="shared" si="98"/>
        <v>865</v>
      </c>
      <c r="U298" s="9">
        <f t="shared" si="104"/>
        <v>2053</v>
      </c>
      <c r="V298" s="9">
        <f t="shared" si="105"/>
        <v>2049</v>
      </c>
      <c r="W298" s="9">
        <f t="shared" si="106"/>
        <v>2091</v>
      </c>
      <c r="X298" s="10"/>
      <c r="Y298" s="8"/>
      <c r="Z298" s="8"/>
      <c r="AA298" s="8"/>
      <c r="AB298" s="8"/>
    </row>
    <row r="299" spans="1:28" ht="13.15" customHeight="1">
      <c r="A299" s="18">
        <f t="shared" si="107"/>
        <v>285</v>
      </c>
      <c r="B299" s="17">
        <f t="shared" si="99"/>
        <v>45536</v>
      </c>
      <c r="C299" s="13">
        <f t="shared" si="100"/>
        <v>1069</v>
      </c>
      <c r="D299" s="12">
        <f t="shared" si="91"/>
        <v>1847</v>
      </c>
      <c r="E299" s="11">
        <f t="shared" si="92"/>
        <v>363</v>
      </c>
      <c r="F299" s="11">
        <f t="shared" si="93"/>
        <v>387</v>
      </c>
      <c r="G299" s="11">
        <f t="shared" si="94"/>
        <v>375</v>
      </c>
      <c r="H299" s="8">
        <f t="shared" si="95"/>
        <v>2553</v>
      </c>
      <c r="I299" s="8">
        <f t="shared" si="96"/>
        <v>2529</v>
      </c>
      <c r="J299" s="8">
        <f t="shared" si="97"/>
        <v>2541</v>
      </c>
      <c r="K299" s="8">
        <f t="shared" si="88"/>
        <v>3000</v>
      </c>
      <c r="L299" s="8">
        <f t="shared" si="89"/>
        <v>3000</v>
      </c>
      <c r="M299" s="8">
        <f t="shared" si="90"/>
        <v>3000</v>
      </c>
      <c r="N299" s="8">
        <f t="shared" si="101"/>
        <v>-447</v>
      </c>
      <c r="O299" s="8">
        <f t="shared" si="102"/>
        <v>-471</v>
      </c>
      <c r="P299" s="8">
        <f t="shared" si="103"/>
        <v>-459</v>
      </c>
      <c r="Q299" s="11">
        <v>0</v>
      </c>
      <c r="R299" s="11">
        <v>0</v>
      </c>
      <c r="S299" s="11">
        <v>0</v>
      </c>
      <c r="T299" s="10">
        <f t="shared" si="98"/>
        <v>867</v>
      </c>
      <c r="U299" s="9">
        <f t="shared" si="104"/>
        <v>2053</v>
      </c>
      <c r="V299" s="9">
        <f t="shared" si="105"/>
        <v>2049</v>
      </c>
      <c r="W299" s="9">
        <f t="shared" si="106"/>
        <v>2091</v>
      </c>
      <c r="X299" s="10"/>
      <c r="Y299" s="8"/>
      <c r="Z299" s="8"/>
      <c r="AA299" s="8"/>
      <c r="AB299" s="8"/>
    </row>
    <row r="300" spans="1:28" ht="13.15" customHeight="1">
      <c r="A300" s="18">
        <f t="shared" si="107"/>
        <v>286</v>
      </c>
      <c r="B300" s="17">
        <f t="shared" si="99"/>
        <v>45537</v>
      </c>
      <c r="C300" s="13">
        <f t="shared" si="100"/>
        <v>1069</v>
      </c>
      <c r="D300" s="12">
        <f t="shared" si="91"/>
        <v>1849</v>
      </c>
      <c r="E300" s="11">
        <f t="shared" si="92"/>
        <v>365</v>
      </c>
      <c r="F300" s="11">
        <f t="shared" si="93"/>
        <v>389</v>
      </c>
      <c r="G300" s="11">
        <f t="shared" si="94"/>
        <v>377</v>
      </c>
      <c r="H300" s="8">
        <f t="shared" si="95"/>
        <v>2553</v>
      </c>
      <c r="I300" s="8">
        <f t="shared" si="96"/>
        <v>2529</v>
      </c>
      <c r="J300" s="8">
        <f t="shared" si="97"/>
        <v>2541</v>
      </c>
      <c r="K300" s="8">
        <f t="shared" si="88"/>
        <v>3000</v>
      </c>
      <c r="L300" s="8">
        <f t="shared" si="89"/>
        <v>3000</v>
      </c>
      <c r="M300" s="8">
        <f t="shared" si="90"/>
        <v>3000</v>
      </c>
      <c r="N300" s="8">
        <f t="shared" si="101"/>
        <v>-447</v>
      </c>
      <c r="O300" s="8">
        <f t="shared" si="102"/>
        <v>-471</v>
      </c>
      <c r="P300" s="8">
        <f t="shared" si="103"/>
        <v>-459</v>
      </c>
      <c r="Q300" s="11">
        <v>0</v>
      </c>
      <c r="R300" s="11">
        <v>0</v>
      </c>
      <c r="S300" s="11">
        <v>0</v>
      </c>
      <c r="T300" s="10">
        <f t="shared" si="98"/>
        <v>869</v>
      </c>
      <c r="U300" s="9">
        <f t="shared" si="104"/>
        <v>2053</v>
      </c>
      <c r="V300" s="9">
        <f t="shared" si="105"/>
        <v>2049</v>
      </c>
      <c r="W300" s="9">
        <f t="shared" si="106"/>
        <v>2091</v>
      </c>
      <c r="X300" s="10"/>
      <c r="Y300" s="8"/>
      <c r="Z300" s="8"/>
      <c r="AA300" s="8"/>
      <c r="AB300" s="8"/>
    </row>
    <row r="301" spans="1:28" ht="13.15" customHeight="1">
      <c r="A301" s="18">
        <f t="shared" si="107"/>
        <v>287</v>
      </c>
      <c r="B301" s="17">
        <f t="shared" si="99"/>
        <v>45538</v>
      </c>
      <c r="C301" s="13">
        <f t="shared" si="100"/>
        <v>1069</v>
      </c>
      <c r="D301" s="12">
        <f t="shared" si="91"/>
        <v>1851</v>
      </c>
      <c r="E301" s="11">
        <f t="shared" si="92"/>
        <v>367</v>
      </c>
      <c r="F301" s="11">
        <f t="shared" si="93"/>
        <v>391</v>
      </c>
      <c r="G301" s="11">
        <f t="shared" si="94"/>
        <v>379</v>
      </c>
      <c r="H301" s="8">
        <f t="shared" si="95"/>
        <v>2553</v>
      </c>
      <c r="I301" s="8">
        <f t="shared" si="96"/>
        <v>2529</v>
      </c>
      <c r="J301" s="8">
        <f t="shared" si="97"/>
        <v>2541</v>
      </c>
      <c r="K301" s="8">
        <f t="shared" si="88"/>
        <v>3000</v>
      </c>
      <c r="L301" s="8">
        <f t="shared" si="89"/>
        <v>3000</v>
      </c>
      <c r="M301" s="8">
        <f t="shared" si="90"/>
        <v>3000</v>
      </c>
      <c r="N301" s="8">
        <f t="shared" si="101"/>
        <v>-447</v>
      </c>
      <c r="O301" s="8">
        <f t="shared" si="102"/>
        <v>-471</v>
      </c>
      <c r="P301" s="8">
        <f t="shared" si="103"/>
        <v>-459</v>
      </c>
      <c r="Q301" s="11">
        <v>0</v>
      </c>
      <c r="R301" s="11">
        <v>0</v>
      </c>
      <c r="S301" s="11">
        <v>0</v>
      </c>
      <c r="T301" s="10">
        <f t="shared" si="98"/>
        <v>871</v>
      </c>
      <c r="U301" s="9">
        <f t="shared" si="104"/>
        <v>2053</v>
      </c>
      <c r="V301" s="9">
        <f t="shared" si="105"/>
        <v>2049</v>
      </c>
      <c r="W301" s="9">
        <f t="shared" si="106"/>
        <v>2091</v>
      </c>
      <c r="X301" s="10"/>
      <c r="Y301" s="8"/>
      <c r="Z301" s="8"/>
      <c r="AA301" s="8"/>
      <c r="AB301" s="8"/>
    </row>
    <row r="302" spans="1:28" ht="13.15" customHeight="1">
      <c r="A302" s="18">
        <f t="shared" si="107"/>
        <v>288</v>
      </c>
      <c r="B302" s="17">
        <f t="shared" si="99"/>
        <v>45539</v>
      </c>
      <c r="C302" s="13">
        <f t="shared" si="100"/>
        <v>1069</v>
      </c>
      <c r="D302" s="12">
        <f t="shared" si="91"/>
        <v>1853</v>
      </c>
      <c r="E302" s="11">
        <f t="shared" si="92"/>
        <v>369</v>
      </c>
      <c r="F302" s="11">
        <f t="shared" si="93"/>
        <v>393</v>
      </c>
      <c r="G302" s="11">
        <f t="shared" si="94"/>
        <v>381</v>
      </c>
      <c r="H302" s="8">
        <f t="shared" si="95"/>
        <v>2553</v>
      </c>
      <c r="I302" s="8">
        <f t="shared" si="96"/>
        <v>2529</v>
      </c>
      <c r="J302" s="8">
        <f t="shared" si="97"/>
        <v>2541</v>
      </c>
      <c r="K302" s="8">
        <f t="shared" ref="K302:K365" si="108">K301</f>
        <v>3000</v>
      </c>
      <c r="L302" s="8">
        <f t="shared" ref="L302:L365" si="109">L301</f>
        <v>3000</v>
      </c>
      <c r="M302" s="8">
        <f t="shared" ref="M302:M365" si="110">M301</f>
        <v>3000</v>
      </c>
      <c r="N302" s="8">
        <f t="shared" si="101"/>
        <v>-447</v>
      </c>
      <c r="O302" s="8">
        <f t="shared" si="102"/>
        <v>-471</v>
      </c>
      <c r="P302" s="8">
        <f t="shared" si="103"/>
        <v>-459</v>
      </c>
      <c r="Q302" s="11">
        <v>0</v>
      </c>
      <c r="R302" s="11">
        <v>0</v>
      </c>
      <c r="S302" s="11">
        <v>0</v>
      </c>
      <c r="T302" s="10">
        <f t="shared" si="98"/>
        <v>873</v>
      </c>
      <c r="U302" s="9">
        <f t="shared" si="104"/>
        <v>2053</v>
      </c>
      <c r="V302" s="9">
        <f t="shared" si="105"/>
        <v>2049</v>
      </c>
      <c r="W302" s="9">
        <f t="shared" si="106"/>
        <v>2091</v>
      </c>
      <c r="X302" s="10"/>
      <c r="Y302" s="8"/>
      <c r="Z302" s="8"/>
      <c r="AA302" s="8"/>
      <c r="AB302" s="8"/>
    </row>
    <row r="303" spans="1:28" ht="13.15" customHeight="1">
      <c r="A303" s="18">
        <f t="shared" si="107"/>
        <v>289</v>
      </c>
      <c r="B303" s="17">
        <f t="shared" si="99"/>
        <v>45540</v>
      </c>
      <c r="C303" s="13">
        <f t="shared" si="100"/>
        <v>1069</v>
      </c>
      <c r="D303" s="12">
        <f t="shared" si="91"/>
        <v>1855</v>
      </c>
      <c r="E303" s="11">
        <f t="shared" si="92"/>
        <v>371</v>
      </c>
      <c r="F303" s="11">
        <f t="shared" si="93"/>
        <v>395</v>
      </c>
      <c r="G303" s="11">
        <f t="shared" si="94"/>
        <v>383</v>
      </c>
      <c r="H303" s="8">
        <f t="shared" si="95"/>
        <v>2553</v>
      </c>
      <c r="I303" s="8">
        <f t="shared" si="96"/>
        <v>2529</v>
      </c>
      <c r="J303" s="8">
        <f t="shared" si="97"/>
        <v>2541</v>
      </c>
      <c r="K303" s="8">
        <f t="shared" si="108"/>
        <v>3000</v>
      </c>
      <c r="L303" s="8">
        <f t="shared" si="109"/>
        <v>3000</v>
      </c>
      <c r="M303" s="8">
        <f t="shared" si="110"/>
        <v>3000</v>
      </c>
      <c r="N303" s="8">
        <f t="shared" si="101"/>
        <v>-447</v>
      </c>
      <c r="O303" s="8">
        <f t="shared" si="102"/>
        <v>-471</v>
      </c>
      <c r="P303" s="8">
        <f t="shared" si="103"/>
        <v>-459</v>
      </c>
      <c r="Q303" s="11">
        <v>0</v>
      </c>
      <c r="R303" s="11">
        <v>0</v>
      </c>
      <c r="S303" s="11">
        <v>0</v>
      </c>
      <c r="T303" s="10">
        <f t="shared" si="98"/>
        <v>875</v>
      </c>
      <c r="U303" s="9">
        <f t="shared" si="104"/>
        <v>2053</v>
      </c>
      <c r="V303" s="9">
        <f t="shared" si="105"/>
        <v>2049</v>
      </c>
      <c r="W303" s="9">
        <f t="shared" si="106"/>
        <v>2091</v>
      </c>
      <c r="X303" s="10"/>
      <c r="Y303" s="8"/>
      <c r="Z303" s="8"/>
      <c r="AA303" s="8"/>
      <c r="AB303" s="8"/>
    </row>
    <row r="304" spans="1:28" ht="13.15" customHeight="1">
      <c r="A304" s="18">
        <f t="shared" si="107"/>
        <v>290</v>
      </c>
      <c r="B304" s="17">
        <f t="shared" si="99"/>
        <v>45541</v>
      </c>
      <c r="C304" s="13">
        <f t="shared" si="100"/>
        <v>1069</v>
      </c>
      <c r="D304" s="12">
        <f t="shared" si="91"/>
        <v>1857</v>
      </c>
      <c r="E304" s="11">
        <f t="shared" si="92"/>
        <v>373</v>
      </c>
      <c r="F304" s="11">
        <f t="shared" si="93"/>
        <v>397</v>
      </c>
      <c r="G304" s="11">
        <f t="shared" si="94"/>
        <v>385</v>
      </c>
      <c r="H304" s="8">
        <f t="shared" si="95"/>
        <v>2553</v>
      </c>
      <c r="I304" s="8">
        <f t="shared" si="96"/>
        <v>2529</v>
      </c>
      <c r="J304" s="8">
        <f t="shared" si="97"/>
        <v>2541</v>
      </c>
      <c r="K304" s="8">
        <f t="shared" si="108"/>
        <v>3000</v>
      </c>
      <c r="L304" s="8">
        <f t="shared" si="109"/>
        <v>3000</v>
      </c>
      <c r="M304" s="8">
        <f t="shared" si="110"/>
        <v>3000</v>
      </c>
      <c r="N304" s="8">
        <f t="shared" si="101"/>
        <v>-447</v>
      </c>
      <c r="O304" s="8">
        <f t="shared" si="102"/>
        <v>-471</v>
      </c>
      <c r="P304" s="8">
        <f t="shared" si="103"/>
        <v>-459</v>
      </c>
      <c r="Q304" s="11">
        <v>0</v>
      </c>
      <c r="R304" s="11">
        <v>0</v>
      </c>
      <c r="S304" s="11">
        <v>0</v>
      </c>
      <c r="T304" s="10">
        <f t="shared" si="98"/>
        <v>877</v>
      </c>
      <c r="U304" s="9">
        <f t="shared" si="104"/>
        <v>2053</v>
      </c>
      <c r="V304" s="9">
        <f t="shared" si="105"/>
        <v>2049</v>
      </c>
      <c r="W304" s="9">
        <f t="shared" si="106"/>
        <v>2091</v>
      </c>
      <c r="X304" s="10"/>
      <c r="Y304" s="8"/>
      <c r="Z304" s="8"/>
      <c r="AA304" s="8"/>
      <c r="AB304" s="8"/>
    </row>
    <row r="305" spans="1:28" ht="13.15" customHeight="1">
      <c r="A305" s="18">
        <f t="shared" si="107"/>
        <v>291</v>
      </c>
      <c r="B305" s="17">
        <f t="shared" si="99"/>
        <v>45542</v>
      </c>
      <c r="C305" s="13">
        <f t="shared" si="100"/>
        <v>1069</v>
      </c>
      <c r="D305" s="12">
        <f t="shared" si="91"/>
        <v>1859</v>
      </c>
      <c r="E305" s="11">
        <f t="shared" si="92"/>
        <v>375</v>
      </c>
      <c r="F305" s="11">
        <f t="shared" si="93"/>
        <v>399</v>
      </c>
      <c r="G305" s="11">
        <f t="shared" si="94"/>
        <v>387</v>
      </c>
      <c r="H305" s="8">
        <f t="shared" si="95"/>
        <v>2553</v>
      </c>
      <c r="I305" s="8">
        <f t="shared" si="96"/>
        <v>2529</v>
      </c>
      <c r="J305" s="8">
        <f t="shared" si="97"/>
        <v>2541</v>
      </c>
      <c r="K305" s="8">
        <f t="shared" si="108"/>
        <v>3000</v>
      </c>
      <c r="L305" s="8">
        <f t="shared" si="109"/>
        <v>3000</v>
      </c>
      <c r="M305" s="8">
        <f t="shared" si="110"/>
        <v>3000</v>
      </c>
      <c r="N305" s="8">
        <f t="shared" si="101"/>
        <v>-447</v>
      </c>
      <c r="O305" s="8">
        <f t="shared" si="102"/>
        <v>-471</v>
      </c>
      <c r="P305" s="8">
        <f t="shared" si="103"/>
        <v>-459</v>
      </c>
      <c r="Q305" s="11">
        <v>0</v>
      </c>
      <c r="R305" s="11">
        <v>0</v>
      </c>
      <c r="S305" s="11">
        <v>0</v>
      </c>
      <c r="T305" s="10">
        <f t="shared" si="98"/>
        <v>879</v>
      </c>
      <c r="U305" s="9">
        <f t="shared" si="104"/>
        <v>2053</v>
      </c>
      <c r="V305" s="9">
        <f t="shared" si="105"/>
        <v>2049</v>
      </c>
      <c r="W305" s="9">
        <f t="shared" si="106"/>
        <v>2091</v>
      </c>
      <c r="X305" s="10"/>
      <c r="Y305" s="8"/>
      <c r="Z305" s="8"/>
      <c r="AA305" s="8"/>
      <c r="AB305" s="8"/>
    </row>
    <row r="306" spans="1:28" ht="13.15" customHeight="1">
      <c r="A306" s="18">
        <f t="shared" si="107"/>
        <v>292</v>
      </c>
      <c r="B306" s="17">
        <f t="shared" si="99"/>
        <v>45543</v>
      </c>
      <c r="C306" s="13">
        <f t="shared" si="100"/>
        <v>1069</v>
      </c>
      <c r="D306" s="12">
        <f t="shared" si="91"/>
        <v>1861</v>
      </c>
      <c r="E306" s="11">
        <f t="shared" si="92"/>
        <v>377</v>
      </c>
      <c r="F306" s="11">
        <f t="shared" si="93"/>
        <v>401</v>
      </c>
      <c r="G306" s="11">
        <f t="shared" si="94"/>
        <v>389</v>
      </c>
      <c r="H306" s="8">
        <f t="shared" si="95"/>
        <v>2553</v>
      </c>
      <c r="I306" s="8">
        <f t="shared" si="96"/>
        <v>2529</v>
      </c>
      <c r="J306" s="8">
        <f t="shared" si="97"/>
        <v>2541</v>
      </c>
      <c r="K306" s="8">
        <f t="shared" si="108"/>
        <v>3000</v>
      </c>
      <c r="L306" s="8">
        <f t="shared" si="109"/>
        <v>3000</v>
      </c>
      <c r="M306" s="8">
        <f t="shared" si="110"/>
        <v>3000</v>
      </c>
      <c r="N306" s="8">
        <f t="shared" si="101"/>
        <v>-447</v>
      </c>
      <c r="O306" s="8">
        <f t="shared" si="102"/>
        <v>-471</v>
      </c>
      <c r="P306" s="8">
        <f t="shared" si="103"/>
        <v>-459</v>
      </c>
      <c r="Q306" s="11">
        <v>0</v>
      </c>
      <c r="R306" s="11">
        <v>0</v>
      </c>
      <c r="S306" s="11">
        <v>0</v>
      </c>
      <c r="T306" s="10">
        <f t="shared" si="98"/>
        <v>881</v>
      </c>
      <c r="U306" s="9">
        <f t="shared" si="104"/>
        <v>2053</v>
      </c>
      <c r="V306" s="9">
        <f t="shared" si="105"/>
        <v>2049</v>
      </c>
      <c r="W306" s="9">
        <f t="shared" si="106"/>
        <v>2091</v>
      </c>
      <c r="X306" s="10"/>
      <c r="Y306" s="8"/>
      <c r="Z306" s="8"/>
      <c r="AA306" s="8"/>
      <c r="AB306" s="8"/>
    </row>
    <row r="307" spans="1:28" ht="13.15" customHeight="1">
      <c r="A307" s="18">
        <f t="shared" si="107"/>
        <v>293</v>
      </c>
      <c r="B307" s="17">
        <f t="shared" si="99"/>
        <v>45544</v>
      </c>
      <c r="C307" s="13">
        <f t="shared" si="100"/>
        <v>1069</v>
      </c>
      <c r="D307" s="12">
        <f t="shared" si="91"/>
        <v>1863</v>
      </c>
      <c r="E307" s="11">
        <f t="shared" si="92"/>
        <v>379</v>
      </c>
      <c r="F307" s="11">
        <f t="shared" si="93"/>
        <v>403</v>
      </c>
      <c r="G307" s="11">
        <f t="shared" si="94"/>
        <v>391</v>
      </c>
      <c r="H307" s="8">
        <f t="shared" si="95"/>
        <v>2553</v>
      </c>
      <c r="I307" s="8">
        <f t="shared" si="96"/>
        <v>2529</v>
      </c>
      <c r="J307" s="8">
        <f t="shared" si="97"/>
        <v>2541</v>
      </c>
      <c r="K307" s="8">
        <f t="shared" si="108"/>
        <v>3000</v>
      </c>
      <c r="L307" s="8">
        <f t="shared" si="109"/>
        <v>3000</v>
      </c>
      <c r="M307" s="8">
        <f t="shared" si="110"/>
        <v>3000</v>
      </c>
      <c r="N307" s="8">
        <f t="shared" si="101"/>
        <v>-447</v>
      </c>
      <c r="O307" s="8">
        <f t="shared" si="102"/>
        <v>-471</v>
      </c>
      <c r="P307" s="8">
        <f t="shared" si="103"/>
        <v>-459</v>
      </c>
      <c r="Q307" s="11">
        <v>0</v>
      </c>
      <c r="R307" s="11">
        <v>0</v>
      </c>
      <c r="S307" s="11">
        <v>0</v>
      </c>
      <c r="T307" s="10">
        <f t="shared" si="98"/>
        <v>883</v>
      </c>
      <c r="U307" s="9">
        <f t="shared" si="104"/>
        <v>2053</v>
      </c>
      <c r="V307" s="9">
        <f t="shared" si="105"/>
        <v>2049</v>
      </c>
      <c r="W307" s="9">
        <f t="shared" si="106"/>
        <v>2091</v>
      </c>
      <c r="X307" s="10"/>
      <c r="Y307" s="8"/>
      <c r="Z307" s="8"/>
      <c r="AA307" s="8"/>
      <c r="AB307" s="8"/>
    </row>
    <row r="308" spans="1:28" ht="13.15" customHeight="1">
      <c r="A308" s="18">
        <f t="shared" si="107"/>
        <v>294</v>
      </c>
      <c r="B308" s="17">
        <f t="shared" si="99"/>
        <v>45545</v>
      </c>
      <c r="C308" s="13">
        <f t="shared" si="100"/>
        <v>1069</v>
      </c>
      <c r="D308" s="12">
        <f t="shared" si="91"/>
        <v>1865</v>
      </c>
      <c r="E308" s="11">
        <f t="shared" si="92"/>
        <v>381</v>
      </c>
      <c r="F308" s="11">
        <f t="shared" si="93"/>
        <v>405</v>
      </c>
      <c r="G308" s="11">
        <f t="shared" si="94"/>
        <v>393</v>
      </c>
      <c r="H308" s="8">
        <f t="shared" si="95"/>
        <v>2553</v>
      </c>
      <c r="I308" s="8">
        <f t="shared" si="96"/>
        <v>2529</v>
      </c>
      <c r="J308" s="8">
        <f t="shared" si="97"/>
        <v>2541</v>
      </c>
      <c r="K308" s="8">
        <f t="shared" si="108"/>
        <v>3000</v>
      </c>
      <c r="L308" s="8">
        <f t="shared" si="109"/>
        <v>3000</v>
      </c>
      <c r="M308" s="8">
        <f t="shared" si="110"/>
        <v>3000</v>
      </c>
      <c r="N308" s="8">
        <f t="shared" si="101"/>
        <v>-447</v>
      </c>
      <c r="O308" s="8">
        <f t="shared" si="102"/>
        <v>-471</v>
      </c>
      <c r="P308" s="8">
        <f t="shared" si="103"/>
        <v>-459</v>
      </c>
      <c r="Q308" s="11">
        <v>0</v>
      </c>
      <c r="R308" s="11">
        <v>0</v>
      </c>
      <c r="S308" s="11">
        <v>0</v>
      </c>
      <c r="T308" s="10">
        <f t="shared" si="98"/>
        <v>885</v>
      </c>
      <c r="U308" s="9">
        <f t="shared" si="104"/>
        <v>2053</v>
      </c>
      <c r="V308" s="9">
        <f t="shared" si="105"/>
        <v>2049</v>
      </c>
      <c r="W308" s="9">
        <f t="shared" si="106"/>
        <v>2091</v>
      </c>
      <c r="X308" s="10"/>
      <c r="Y308" s="8"/>
      <c r="Z308" s="8"/>
      <c r="AA308" s="8"/>
      <c r="AB308" s="8"/>
    </row>
    <row r="309" spans="1:28" ht="13.15" customHeight="1">
      <c r="A309" s="18">
        <f t="shared" si="107"/>
        <v>295</v>
      </c>
      <c r="B309" s="17">
        <f t="shared" si="99"/>
        <v>45546</v>
      </c>
      <c r="C309" s="13">
        <f t="shared" si="100"/>
        <v>1069</v>
      </c>
      <c r="D309" s="12">
        <f t="shared" si="91"/>
        <v>1867</v>
      </c>
      <c r="E309" s="11">
        <f t="shared" si="92"/>
        <v>383</v>
      </c>
      <c r="F309" s="11">
        <f t="shared" si="93"/>
        <v>407</v>
      </c>
      <c r="G309" s="11">
        <f t="shared" si="94"/>
        <v>395</v>
      </c>
      <c r="H309" s="8">
        <f t="shared" si="95"/>
        <v>2553</v>
      </c>
      <c r="I309" s="8">
        <f t="shared" si="96"/>
        <v>2529</v>
      </c>
      <c r="J309" s="8">
        <f t="shared" si="97"/>
        <v>2541</v>
      </c>
      <c r="K309" s="8">
        <f t="shared" si="108"/>
        <v>3000</v>
      </c>
      <c r="L309" s="8">
        <f t="shared" si="109"/>
        <v>3000</v>
      </c>
      <c r="M309" s="8">
        <f t="shared" si="110"/>
        <v>3000</v>
      </c>
      <c r="N309" s="8">
        <f t="shared" si="101"/>
        <v>-447</v>
      </c>
      <c r="O309" s="8">
        <f t="shared" si="102"/>
        <v>-471</v>
      </c>
      <c r="P309" s="8">
        <f t="shared" si="103"/>
        <v>-459</v>
      </c>
      <c r="Q309" s="11">
        <v>0</v>
      </c>
      <c r="R309" s="11">
        <v>0</v>
      </c>
      <c r="S309" s="11">
        <v>0</v>
      </c>
      <c r="T309" s="10">
        <f t="shared" si="98"/>
        <v>887</v>
      </c>
      <c r="U309" s="9">
        <f t="shared" si="104"/>
        <v>2053</v>
      </c>
      <c r="V309" s="9">
        <f t="shared" si="105"/>
        <v>2049</v>
      </c>
      <c r="W309" s="9">
        <f t="shared" si="106"/>
        <v>2091</v>
      </c>
      <c r="X309" s="10"/>
      <c r="Y309" s="8"/>
      <c r="Z309" s="8"/>
      <c r="AA309" s="8"/>
      <c r="AB309" s="8"/>
    </row>
    <row r="310" spans="1:28" ht="13.15" customHeight="1">
      <c r="A310" s="18">
        <f t="shared" si="107"/>
        <v>296</v>
      </c>
      <c r="B310" s="17">
        <f t="shared" si="99"/>
        <v>45547</v>
      </c>
      <c r="C310" s="13">
        <f t="shared" si="100"/>
        <v>1069</v>
      </c>
      <c r="D310" s="12">
        <f t="shared" si="91"/>
        <v>1869</v>
      </c>
      <c r="E310" s="11">
        <f t="shared" si="92"/>
        <v>385</v>
      </c>
      <c r="F310" s="11">
        <f t="shared" si="93"/>
        <v>409</v>
      </c>
      <c r="G310" s="11">
        <f t="shared" si="94"/>
        <v>397</v>
      </c>
      <c r="H310" s="8">
        <f t="shared" si="95"/>
        <v>2553</v>
      </c>
      <c r="I310" s="8">
        <f t="shared" si="96"/>
        <v>2529</v>
      </c>
      <c r="J310" s="8">
        <f t="shared" si="97"/>
        <v>2541</v>
      </c>
      <c r="K310" s="8">
        <f t="shared" si="108"/>
        <v>3000</v>
      </c>
      <c r="L310" s="8">
        <f t="shared" si="109"/>
        <v>3000</v>
      </c>
      <c r="M310" s="8">
        <f t="shared" si="110"/>
        <v>3000</v>
      </c>
      <c r="N310" s="8">
        <f t="shared" si="101"/>
        <v>-447</v>
      </c>
      <c r="O310" s="8">
        <f t="shared" si="102"/>
        <v>-471</v>
      </c>
      <c r="P310" s="8">
        <f t="shared" si="103"/>
        <v>-459</v>
      </c>
      <c r="Q310" s="11">
        <v>0</v>
      </c>
      <c r="R310" s="11">
        <v>0</v>
      </c>
      <c r="S310" s="11">
        <v>0</v>
      </c>
      <c r="T310" s="10">
        <f t="shared" si="98"/>
        <v>889</v>
      </c>
      <c r="U310" s="9">
        <f t="shared" si="104"/>
        <v>2053</v>
      </c>
      <c r="V310" s="9">
        <f t="shared" si="105"/>
        <v>2049</v>
      </c>
      <c r="W310" s="9">
        <f t="shared" si="106"/>
        <v>2091</v>
      </c>
      <c r="X310" s="10"/>
      <c r="Y310" s="8"/>
      <c r="Z310" s="8"/>
      <c r="AA310" s="8"/>
      <c r="AB310" s="8"/>
    </row>
    <row r="311" spans="1:28" ht="13.15" customHeight="1">
      <c r="A311" s="18">
        <f t="shared" si="107"/>
        <v>297</v>
      </c>
      <c r="B311" s="17">
        <f t="shared" si="99"/>
        <v>45548</v>
      </c>
      <c r="C311" s="13">
        <f t="shared" si="100"/>
        <v>1069</v>
      </c>
      <c r="D311" s="12">
        <f t="shared" si="91"/>
        <v>1871</v>
      </c>
      <c r="E311" s="11">
        <f t="shared" si="92"/>
        <v>387</v>
      </c>
      <c r="F311" s="11">
        <f t="shared" si="93"/>
        <v>411</v>
      </c>
      <c r="G311" s="11">
        <f t="shared" si="94"/>
        <v>399</v>
      </c>
      <c r="H311" s="8">
        <f t="shared" si="95"/>
        <v>2553</v>
      </c>
      <c r="I311" s="8">
        <f t="shared" si="96"/>
        <v>2529</v>
      </c>
      <c r="J311" s="8">
        <f t="shared" si="97"/>
        <v>2541</v>
      </c>
      <c r="K311" s="8">
        <f t="shared" si="108"/>
        <v>3000</v>
      </c>
      <c r="L311" s="8">
        <f t="shared" si="109"/>
        <v>3000</v>
      </c>
      <c r="M311" s="8">
        <f t="shared" si="110"/>
        <v>3000</v>
      </c>
      <c r="N311" s="8">
        <f t="shared" si="101"/>
        <v>-447</v>
      </c>
      <c r="O311" s="8">
        <f t="shared" si="102"/>
        <v>-471</v>
      </c>
      <c r="P311" s="8">
        <f t="shared" si="103"/>
        <v>-459</v>
      </c>
      <c r="Q311" s="11">
        <v>0</v>
      </c>
      <c r="R311" s="11">
        <v>0</v>
      </c>
      <c r="S311" s="11">
        <v>0</v>
      </c>
      <c r="T311" s="10">
        <f t="shared" si="98"/>
        <v>891</v>
      </c>
      <c r="U311" s="9">
        <f t="shared" si="104"/>
        <v>2053</v>
      </c>
      <c r="V311" s="9">
        <f t="shared" si="105"/>
        <v>2049</v>
      </c>
      <c r="W311" s="9">
        <f t="shared" si="106"/>
        <v>2091</v>
      </c>
      <c r="X311" s="10"/>
      <c r="Y311" s="8"/>
      <c r="Z311" s="8"/>
      <c r="AA311" s="8"/>
      <c r="AB311" s="8"/>
    </row>
    <row r="312" spans="1:28" ht="13.15" customHeight="1">
      <c r="A312" s="18">
        <f t="shared" si="107"/>
        <v>298</v>
      </c>
      <c r="B312" s="17">
        <f t="shared" si="99"/>
        <v>45549</v>
      </c>
      <c r="C312" s="13">
        <f t="shared" si="100"/>
        <v>1069</v>
      </c>
      <c r="D312" s="12">
        <f t="shared" si="91"/>
        <v>1873</v>
      </c>
      <c r="E312" s="11">
        <f t="shared" si="92"/>
        <v>389</v>
      </c>
      <c r="F312" s="11">
        <f t="shared" si="93"/>
        <v>413</v>
      </c>
      <c r="G312" s="11">
        <f t="shared" si="94"/>
        <v>401</v>
      </c>
      <c r="H312" s="8">
        <f t="shared" si="95"/>
        <v>2553</v>
      </c>
      <c r="I312" s="8">
        <f t="shared" si="96"/>
        <v>2529</v>
      </c>
      <c r="J312" s="8">
        <f t="shared" si="97"/>
        <v>2541</v>
      </c>
      <c r="K312" s="8">
        <f t="shared" si="108"/>
        <v>3000</v>
      </c>
      <c r="L312" s="8">
        <f t="shared" si="109"/>
        <v>3000</v>
      </c>
      <c r="M312" s="8">
        <f t="shared" si="110"/>
        <v>3000</v>
      </c>
      <c r="N312" s="8">
        <f t="shared" si="101"/>
        <v>-447</v>
      </c>
      <c r="O312" s="8">
        <f t="shared" si="102"/>
        <v>-471</v>
      </c>
      <c r="P312" s="8">
        <f t="shared" si="103"/>
        <v>-459</v>
      </c>
      <c r="Q312" s="11">
        <v>0</v>
      </c>
      <c r="R312" s="11">
        <v>0</v>
      </c>
      <c r="S312" s="11">
        <v>0</v>
      </c>
      <c r="T312" s="10">
        <f t="shared" si="98"/>
        <v>893</v>
      </c>
      <c r="U312" s="9">
        <f t="shared" si="104"/>
        <v>2053</v>
      </c>
      <c r="V312" s="9">
        <f t="shared" si="105"/>
        <v>2049</v>
      </c>
      <c r="W312" s="9">
        <f t="shared" si="106"/>
        <v>2091</v>
      </c>
      <c r="X312" s="10"/>
      <c r="Y312" s="8"/>
      <c r="Z312" s="8"/>
      <c r="AA312" s="8"/>
      <c r="AB312" s="8"/>
    </row>
    <row r="313" spans="1:28" ht="13.15" customHeight="1">
      <c r="A313" s="18">
        <f t="shared" si="107"/>
        <v>299</v>
      </c>
      <c r="B313" s="17">
        <f t="shared" si="99"/>
        <v>45550</v>
      </c>
      <c r="C313" s="13">
        <f t="shared" si="100"/>
        <v>1069</v>
      </c>
      <c r="D313" s="12">
        <f t="shared" si="91"/>
        <v>1875</v>
      </c>
      <c r="E313" s="11">
        <f t="shared" si="92"/>
        <v>391</v>
      </c>
      <c r="F313" s="11">
        <f t="shared" si="93"/>
        <v>415</v>
      </c>
      <c r="G313" s="11">
        <f t="shared" si="94"/>
        <v>403</v>
      </c>
      <c r="H313" s="8">
        <f t="shared" si="95"/>
        <v>2553</v>
      </c>
      <c r="I313" s="8">
        <f t="shared" si="96"/>
        <v>2529</v>
      </c>
      <c r="J313" s="8">
        <f t="shared" si="97"/>
        <v>2541</v>
      </c>
      <c r="K313" s="8">
        <f t="shared" si="108"/>
        <v>3000</v>
      </c>
      <c r="L313" s="8">
        <f t="shared" si="109"/>
        <v>3000</v>
      </c>
      <c r="M313" s="8">
        <f t="shared" si="110"/>
        <v>3000</v>
      </c>
      <c r="N313" s="8">
        <f t="shared" si="101"/>
        <v>-447</v>
      </c>
      <c r="O313" s="8">
        <f t="shared" si="102"/>
        <v>-471</v>
      </c>
      <c r="P313" s="8">
        <f t="shared" si="103"/>
        <v>-459</v>
      </c>
      <c r="Q313" s="11">
        <v>0</v>
      </c>
      <c r="R313" s="11">
        <v>0</v>
      </c>
      <c r="S313" s="11">
        <v>0</v>
      </c>
      <c r="T313" s="10">
        <f t="shared" si="98"/>
        <v>895</v>
      </c>
      <c r="U313" s="9">
        <f t="shared" si="104"/>
        <v>2053</v>
      </c>
      <c r="V313" s="9">
        <f t="shared" si="105"/>
        <v>2049</v>
      </c>
      <c r="W313" s="9">
        <f t="shared" si="106"/>
        <v>2091</v>
      </c>
      <c r="X313" s="10"/>
      <c r="Y313" s="8"/>
      <c r="Z313" s="8"/>
      <c r="AA313" s="8"/>
      <c r="AB313" s="8"/>
    </row>
    <row r="314" spans="1:28" ht="13.15" customHeight="1">
      <c r="A314" s="18">
        <f t="shared" si="107"/>
        <v>300</v>
      </c>
      <c r="B314" s="17">
        <f t="shared" si="99"/>
        <v>45551</v>
      </c>
      <c r="C314" s="13">
        <f t="shared" si="100"/>
        <v>1069</v>
      </c>
      <c r="D314" s="12">
        <f t="shared" si="91"/>
        <v>1877</v>
      </c>
      <c r="E314" s="11">
        <f t="shared" si="92"/>
        <v>393</v>
      </c>
      <c r="F314" s="11">
        <f t="shared" si="93"/>
        <v>417</v>
      </c>
      <c r="G314" s="11">
        <f t="shared" si="94"/>
        <v>405</v>
      </c>
      <c r="H314" s="8">
        <f t="shared" si="95"/>
        <v>2553</v>
      </c>
      <c r="I314" s="8">
        <f t="shared" si="96"/>
        <v>2529</v>
      </c>
      <c r="J314" s="8">
        <f t="shared" si="97"/>
        <v>2541</v>
      </c>
      <c r="K314" s="8">
        <f t="shared" si="108"/>
        <v>3000</v>
      </c>
      <c r="L314" s="8">
        <f t="shared" si="109"/>
        <v>3000</v>
      </c>
      <c r="M314" s="8">
        <f t="shared" si="110"/>
        <v>3000</v>
      </c>
      <c r="N314" s="8">
        <f t="shared" si="101"/>
        <v>-447</v>
      </c>
      <c r="O314" s="8">
        <f t="shared" si="102"/>
        <v>-471</v>
      </c>
      <c r="P314" s="8">
        <f t="shared" si="103"/>
        <v>-459</v>
      </c>
      <c r="Q314" s="11">
        <v>0</v>
      </c>
      <c r="R314" s="11">
        <v>0</v>
      </c>
      <c r="S314" s="11">
        <v>0</v>
      </c>
      <c r="T314" s="10">
        <f t="shared" si="98"/>
        <v>897</v>
      </c>
      <c r="U314" s="9">
        <f t="shared" si="104"/>
        <v>2053</v>
      </c>
      <c r="V314" s="9">
        <f t="shared" si="105"/>
        <v>2049</v>
      </c>
      <c r="W314" s="9">
        <f t="shared" si="106"/>
        <v>2091</v>
      </c>
      <c r="X314" s="10"/>
      <c r="Y314" s="8"/>
      <c r="Z314" s="8"/>
      <c r="AA314" s="8"/>
      <c r="AB314" s="8"/>
    </row>
    <row r="315" spans="1:28" ht="13.15" customHeight="1">
      <c r="A315" s="18">
        <f t="shared" si="107"/>
        <v>301</v>
      </c>
      <c r="B315" s="17">
        <f t="shared" si="99"/>
        <v>45552</v>
      </c>
      <c r="C315" s="13">
        <f t="shared" si="100"/>
        <v>1069</v>
      </c>
      <c r="D315" s="12">
        <f t="shared" si="91"/>
        <v>1879</v>
      </c>
      <c r="E315" s="11">
        <f t="shared" si="92"/>
        <v>395</v>
      </c>
      <c r="F315" s="11">
        <f t="shared" si="93"/>
        <v>419</v>
      </c>
      <c r="G315" s="11">
        <f t="shared" si="94"/>
        <v>407</v>
      </c>
      <c r="H315" s="8">
        <f t="shared" si="95"/>
        <v>2553</v>
      </c>
      <c r="I315" s="8">
        <f t="shared" si="96"/>
        <v>2529</v>
      </c>
      <c r="J315" s="8">
        <f t="shared" si="97"/>
        <v>2541</v>
      </c>
      <c r="K315" s="8">
        <f t="shared" si="108"/>
        <v>3000</v>
      </c>
      <c r="L315" s="8">
        <f t="shared" si="109"/>
        <v>3000</v>
      </c>
      <c r="M315" s="8">
        <f t="shared" si="110"/>
        <v>3000</v>
      </c>
      <c r="N315" s="8">
        <f t="shared" si="101"/>
        <v>-447</v>
      </c>
      <c r="O315" s="8">
        <f t="shared" si="102"/>
        <v>-471</v>
      </c>
      <c r="P315" s="8">
        <f t="shared" si="103"/>
        <v>-459</v>
      </c>
      <c r="Q315" s="11">
        <v>0</v>
      </c>
      <c r="R315" s="11">
        <v>0</v>
      </c>
      <c r="S315" s="11">
        <v>0</v>
      </c>
      <c r="T315" s="10">
        <f t="shared" si="98"/>
        <v>899</v>
      </c>
      <c r="U315" s="9">
        <f t="shared" si="104"/>
        <v>2053</v>
      </c>
      <c r="V315" s="9">
        <f t="shared" si="105"/>
        <v>2049</v>
      </c>
      <c r="W315" s="9">
        <f t="shared" si="106"/>
        <v>2091</v>
      </c>
      <c r="X315" s="10"/>
      <c r="Y315" s="8"/>
      <c r="Z315" s="8"/>
      <c r="AA315" s="8"/>
      <c r="AB315" s="8"/>
    </row>
    <row r="316" spans="1:28" ht="13.15" customHeight="1">
      <c r="A316" s="18">
        <f t="shared" si="107"/>
        <v>302</v>
      </c>
      <c r="B316" s="17">
        <f t="shared" si="99"/>
        <v>45553</v>
      </c>
      <c r="C316" s="13">
        <f t="shared" si="100"/>
        <v>1069</v>
      </c>
      <c r="D316" s="12">
        <f t="shared" si="91"/>
        <v>1881</v>
      </c>
      <c r="E316" s="11">
        <f t="shared" si="92"/>
        <v>397</v>
      </c>
      <c r="F316" s="11">
        <f t="shared" si="93"/>
        <v>421</v>
      </c>
      <c r="G316" s="11">
        <f t="shared" si="94"/>
        <v>409</v>
      </c>
      <c r="H316" s="8">
        <f t="shared" si="95"/>
        <v>2553</v>
      </c>
      <c r="I316" s="8">
        <f t="shared" si="96"/>
        <v>2529</v>
      </c>
      <c r="J316" s="8">
        <f t="shared" si="97"/>
        <v>2541</v>
      </c>
      <c r="K316" s="8">
        <f t="shared" si="108"/>
        <v>3000</v>
      </c>
      <c r="L316" s="8">
        <f t="shared" si="109"/>
        <v>3000</v>
      </c>
      <c r="M316" s="8">
        <f t="shared" si="110"/>
        <v>3000</v>
      </c>
      <c r="N316" s="8">
        <f t="shared" si="101"/>
        <v>-447</v>
      </c>
      <c r="O316" s="8">
        <f t="shared" si="102"/>
        <v>-471</v>
      </c>
      <c r="P316" s="8">
        <f t="shared" si="103"/>
        <v>-459</v>
      </c>
      <c r="Q316" s="11">
        <v>0</v>
      </c>
      <c r="R316" s="11">
        <v>0</v>
      </c>
      <c r="S316" s="11">
        <v>0</v>
      </c>
      <c r="T316" s="10">
        <f t="shared" si="98"/>
        <v>901</v>
      </c>
      <c r="U316" s="9">
        <f t="shared" si="104"/>
        <v>2053</v>
      </c>
      <c r="V316" s="9">
        <f t="shared" si="105"/>
        <v>2049</v>
      </c>
      <c r="W316" s="9">
        <f t="shared" si="106"/>
        <v>2091</v>
      </c>
      <c r="X316" s="10"/>
      <c r="Y316" s="8"/>
      <c r="Z316" s="8"/>
      <c r="AA316" s="8"/>
      <c r="AB316" s="8"/>
    </row>
    <row r="317" spans="1:28" ht="13.15" customHeight="1">
      <c r="A317" s="18">
        <f t="shared" si="107"/>
        <v>303</v>
      </c>
      <c r="B317" s="17">
        <f t="shared" si="99"/>
        <v>45554</v>
      </c>
      <c r="C317" s="13">
        <f t="shared" si="100"/>
        <v>1069</v>
      </c>
      <c r="D317" s="12">
        <f t="shared" si="91"/>
        <v>1883</v>
      </c>
      <c r="E317" s="11">
        <f t="shared" si="92"/>
        <v>399</v>
      </c>
      <c r="F317" s="11">
        <f t="shared" si="93"/>
        <v>423</v>
      </c>
      <c r="G317" s="11">
        <f t="shared" si="94"/>
        <v>411</v>
      </c>
      <c r="H317" s="8">
        <f t="shared" si="95"/>
        <v>2553</v>
      </c>
      <c r="I317" s="8">
        <f t="shared" si="96"/>
        <v>2529</v>
      </c>
      <c r="J317" s="8">
        <f t="shared" si="97"/>
        <v>2541</v>
      </c>
      <c r="K317" s="8">
        <f t="shared" si="108"/>
        <v>3000</v>
      </c>
      <c r="L317" s="8">
        <f t="shared" si="109"/>
        <v>3000</v>
      </c>
      <c r="M317" s="8">
        <f t="shared" si="110"/>
        <v>3000</v>
      </c>
      <c r="N317" s="8">
        <f t="shared" si="101"/>
        <v>-447</v>
      </c>
      <c r="O317" s="8">
        <f t="shared" si="102"/>
        <v>-471</v>
      </c>
      <c r="P317" s="8">
        <f t="shared" si="103"/>
        <v>-459</v>
      </c>
      <c r="Q317" s="11">
        <v>0</v>
      </c>
      <c r="R317" s="11">
        <v>0</v>
      </c>
      <c r="S317" s="11">
        <v>0</v>
      </c>
      <c r="T317" s="10">
        <f t="shared" si="98"/>
        <v>903</v>
      </c>
      <c r="U317" s="9">
        <f t="shared" si="104"/>
        <v>2053</v>
      </c>
      <c r="V317" s="9">
        <f t="shared" si="105"/>
        <v>2049</v>
      </c>
      <c r="W317" s="9">
        <f t="shared" si="106"/>
        <v>2091</v>
      </c>
      <c r="X317" s="10"/>
      <c r="Y317" s="8"/>
      <c r="Z317" s="8"/>
      <c r="AA317" s="8"/>
      <c r="AB317" s="8"/>
    </row>
    <row r="318" spans="1:28" ht="13.15" customHeight="1">
      <c r="A318" s="18">
        <f t="shared" si="107"/>
        <v>304</v>
      </c>
      <c r="B318" s="17">
        <f t="shared" si="99"/>
        <v>45555</v>
      </c>
      <c r="C318" s="13">
        <f t="shared" si="100"/>
        <v>1069</v>
      </c>
      <c r="D318" s="12">
        <f t="shared" si="91"/>
        <v>1885</v>
      </c>
      <c r="E318" s="11">
        <f t="shared" si="92"/>
        <v>401</v>
      </c>
      <c r="F318" s="11">
        <f t="shared" si="93"/>
        <v>425</v>
      </c>
      <c r="G318" s="11">
        <f t="shared" si="94"/>
        <v>413</v>
      </c>
      <c r="H318" s="8">
        <f t="shared" si="95"/>
        <v>2553</v>
      </c>
      <c r="I318" s="8">
        <f t="shared" si="96"/>
        <v>2529</v>
      </c>
      <c r="J318" s="8">
        <f t="shared" si="97"/>
        <v>2541</v>
      </c>
      <c r="K318" s="8">
        <f t="shared" si="108"/>
        <v>3000</v>
      </c>
      <c r="L318" s="8">
        <f t="shared" si="109"/>
        <v>3000</v>
      </c>
      <c r="M318" s="8">
        <f t="shared" si="110"/>
        <v>3000</v>
      </c>
      <c r="N318" s="8">
        <f t="shared" si="101"/>
        <v>-447</v>
      </c>
      <c r="O318" s="8">
        <f t="shared" si="102"/>
        <v>-471</v>
      </c>
      <c r="P318" s="8">
        <f t="shared" si="103"/>
        <v>-459</v>
      </c>
      <c r="Q318" s="11">
        <v>0</v>
      </c>
      <c r="R318" s="11">
        <v>0</v>
      </c>
      <c r="S318" s="11">
        <v>0</v>
      </c>
      <c r="T318" s="10">
        <f t="shared" si="98"/>
        <v>905</v>
      </c>
      <c r="U318" s="9">
        <f t="shared" si="104"/>
        <v>2053</v>
      </c>
      <c r="V318" s="9">
        <f t="shared" si="105"/>
        <v>2049</v>
      </c>
      <c r="W318" s="9">
        <f t="shared" si="106"/>
        <v>2091</v>
      </c>
      <c r="X318" s="10"/>
      <c r="Y318" s="8"/>
      <c r="Z318" s="8"/>
      <c r="AA318" s="8"/>
      <c r="AB318" s="8"/>
    </row>
    <row r="319" spans="1:28" ht="13.15" customHeight="1">
      <c r="A319" s="18">
        <f t="shared" si="107"/>
        <v>305</v>
      </c>
      <c r="B319" s="17">
        <f t="shared" si="99"/>
        <v>45556</v>
      </c>
      <c r="C319" s="13">
        <f t="shared" si="100"/>
        <v>1069</v>
      </c>
      <c r="D319" s="12">
        <f t="shared" ref="D319:D382" si="111">D318+2</f>
        <v>1887</v>
      </c>
      <c r="E319" s="11">
        <f t="shared" si="92"/>
        <v>403</v>
      </c>
      <c r="F319" s="11">
        <f t="shared" si="93"/>
        <v>427</v>
      </c>
      <c r="G319" s="11">
        <f t="shared" si="94"/>
        <v>415</v>
      </c>
      <c r="H319" s="8">
        <f t="shared" si="95"/>
        <v>2553</v>
      </c>
      <c r="I319" s="8">
        <f t="shared" si="96"/>
        <v>2529</v>
      </c>
      <c r="J319" s="8">
        <f t="shared" si="97"/>
        <v>2541</v>
      </c>
      <c r="K319" s="8">
        <f t="shared" si="108"/>
        <v>3000</v>
      </c>
      <c r="L319" s="8">
        <f t="shared" si="109"/>
        <v>3000</v>
      </c>
      <c r="M319" s="8">
        <f t="shared" si="110"/>
        <v>3000</v>
      </c>
      <c r="N319" s="8">
        <f t="shared" si="101"/>
        <v>-447</v>
      </c>
      <c r="O319" s="8">
        <f t="shared" si="102"/>
        <v>-471</v>
      </c>
      <c r="P319" s="8">
        <f t="shared" si="103"/>
        <v>-459</v>
      </c>
      <c r="Q319" s="11">
        <v>0</v>
      </c>
      <c r="R319" s="11">
        <v>0</v>
      </c>
      <c r="S319" s="11">
        <v>0</v>
      </c>
      <c r="T319" s="10">
        <f t="shared" si="98"/>
        <v>907</v>
      </c>
      <c r="U319" s="9">
        <f t="shared" si="104"/>
        <v>2053</v>
      </c>
      <c r="V319" s="9">
        <f t="shared" si="105"/>
        <v>2049</v>
      </c>
      <c r="W319" s="9">
        <f t="shared" si="106"/>
        <v>2091</v>
      </c>
      <c r="X319" s="10"/>
      <c r="Y319" s="8"/>
      <c r="Z319" s="8"/>
      <c r="AA319" s="8"/>
      <c r="AB319" s="8"/>
    </row>
    <row r="320" spans="1:28" ht="13.15" customHeight="1">
      <c r="A320" s="18">
        <f t="shared" si="107"/>
        <v>306</v>
      </c>
      <c r="B320" s="17">
        <f t="shared" si="99"/>
        <v>45557</v>
      </c>
      <c r="C320" s="13">
        <f t="shared" si="100"/>
        <v>1069</v>
      </c>
      <c r="D320" s="12">
        <f t="shared" si="111"/>
        <v>1889</v>
      </c>
      <c r="E320" s="11">
        <f t="shared" si="92"/>
        <v>405</v>
      </c>
      <c r="F320" s="11">
        <f t="shared" si="93"/>
        <v>429</v>
      </c>
      <c r="G320" s="11">
        <f t="shared" si="94"/>
        <v>417</v>
      </c>
      <c r="H320" s="8">
        <f t="shared" si="95"/>
        <v>2553</v>
      </c>
      <c r="I320" s="8">
        <f t="shared" si="96"/>
        <v>2529</v>
      </c>
      <c r="J320" s="8">
        <f t="shared" si="97"/>
        <v>2541</v>
      </c>
      <c r="K320" s="8">
        <f t="shared" si="108"/>
        <v>3000</v>
      </c>
      <c r="L320" s="8">
        <f t="shared" si="109"/>
        <v>3000</v>
      </c>
      <c r="M320" s="8">
        <f t="shared" si="110"/>
        <v>3000</v>
      </c>
      <c r="N320" s="8">
        <f t="shared" si="101"/>
        <v>-447</v>
      </c>
      <c r="O320" s="8">
        <f t="shared" si="102"/>
        <v>-471</v>
      </c>
      <c r="P320" s="8">
        <f t="shared" si="103"/>
        <v>-459</v>
      </c>
      <c r="Q320" s="11">
        <v>0</v>
      </c>
      <c r="R320" s="11">
        <v>0</v>
      </c>
      <c r="S320" s="11">
        <v>0</v>
      </c>
      <c r="T320" s="10">
        <f t="shared" si="98"/>
        <v>909</v>
      </c>
      <c r="U320" s="9">
        <f t="shared" si="104"/>
        <v>2053</v>
      </c>
      <c r="V320" s="9">
        <f t="shared" si="105"/>
        <v>2049</v>
      </c>
      <c r="W320" s="9">
        <f t="shared" si="106"/>
        <v>2091</v>
      </c>
      <c r="X320" s="10"/>
      <c r="Y320" s="8"/>
      <c r="Z320" s="8"/>
      <c r="AA320" s="8"/>
      <c r="AB320" s="8"/>
    </row>
    <row r="321" spans="1:28" ht="13.15" customHeight="1">
      <c r="A321" s="18">
        <f t="shared" si="107"/>
        <v>307</v>
      </c>
      <c r="B321" s="17">
        <f t="shared" si="99"/>
        <v>45558</v>
      </c>
      <c r="C321" s="13">
        <f t="shared" si="100"/>
        <v>1069</v>
      </c>
      <c r="D321" s="12">
        <f t="shared" si="111"/>
        <v>1891</v>
      </c>
      <c r="E321" s="11">
        <f t="shared" si="92"/>
        <v>407</v>
      </c>
      <c r="F321" s="11">
        <f t="shared" si="93"/>
        <v>431</v>
      </c>
      <c r="G321" s="11">
        <f t="shared" si="94"/>
        <v>419</v>
      </c>
      <c r="H321" s="8">
        <f t="shared" si="95"/>
        <v>2553</v>
      </c>
      <c r="I321" s="8">
        <f t="shared" si="96"/>
        <v>2529</v>
      </c>
      <c r="J321" s="8">
        <f t="shared" si="97"/>
        <v>2541</v>
      </c>
      <c r="K321" s="8">
        <f t="shared" si="108"/>
        <v>3000</v>
      </c>
      <c r="L321" s="8">
        <f t="shared" si="109"/>
        <v>3000</v>
      </c>
      <c r="M321" s="8">
        <f t="shared" si="110"/>
        <v>3000</v>
      </c>
      <c r="N321" s="8">
        <f t="shared" si="101"/>
        <v>-447</v>
      </c>
      <c r="O321" s="8">
        <f t="shared" si="102"/>
        <v>-471</v>
      </c>
      <c r="P321" s="8">
        <f t="shared" si="103"/>
        <v>-459</v>
      </c>
      <c r="Q321" s="11">
        <v>0</v>
      </c>
      <c r="R321" s="11">
        <v>0</v>
      </c>
      <c r="S321" s="11">
        <v>0</v>
      </c>
      <c r="T321" s="10">
        <f t="shared" si="98"/>
        <v>911</v>
      </c>
      <c r="U321" s="9">
        <f t="shared" si="104"/>
        <v>2053</v>
      </c>
      <c r="V321" s="9">
        <f t="shared" si="105"/>
        <v>2049</v>
      </c>
      <c r="W321" s="9">
        <f t="shared" si="106"/>
        <v>2091</v>
      </c>
      <c r="X321" s="10"/>
      <c r="Y321" s="8"/>
      <c r="Z321" s="8"/>
      <c r="AA321" s="8"/>
      <c r="AB321" s="8"/>
    </row>
    <row r="322" spans="1:28" ht="13.15" customHeight="1">
      <c r="A322" s="18">
        <f t="shared" si="107"/>
        <v>308</v>
      </c>
      <c r="B322" s="17">
        <f t="shared" si="99"/>
        <v>45559</v>
      </c>
      <c r="C322" s="13">
        <f t="shared" si="100"/>
        <v>1069</v>
      </c>
      <c r="D322" s="12">
        <f t="shared" si="111"/>
        <v>1893</v>
      </c>
      <c r="E322" s="11">
        <f t="shared" si="92"/>
        <v>409</v>
      </c>
      <c r="F322" s="11">
        <f t="shared" si="93"/>
        <v>433</v>
      </c>
      <c r="G322" s="11">
        <f t="shared" si="94"/>
        <v>421</v>
      </c>
      <c r="H322" s="8">
        <f t="shared" si="95"/>
        <v>2553</v>
      </c>
      <c r="I322" s="8">
        <f t="shared" si="96"/>
        <v>2529</v>
      </c>
      <c r="J322" s="8">
        <f t="shared" si="97"/>
        <v>2541</v>
      </c>
      <c r="K322" s="8">
        <f t="shared" si="108"/>
        <v>3000</v>
      </c>
      <c r="L322" s="8">
        <f t="shared" si="109"/>
        <v>3000</v>
      </c>
      <c r="M322" s="8">
        <f t="shared" si="110"/>
        <v>3000</v>
      </c>
      <c r="N322" s="8">
        <f t="shared" si="101"/>
        <v>-447</v>
      </c>
      <c r="O322" s="8">
        <f t="shared" si="102"/>
        <v>-471</v>
      </c>
      <c r="P322" s="8">
        <f t="shared" si="103"/>
        <v>-459</v>
      </c>
      <c r="Q322" s="11">
        <v>0</v>
      </c>
      <c r="R322" s="11">
        <v>0</v>
      </c>
      <c r="S322" s="11">
        <v>0</v>
      </c>
      <c r="T322" s="10">
        <f t="shared" si="98"/>
        <v>913</v>
      </c>
      <c r="U322" s="9">
        <f t="shared" si="104"/>
        <v>2053</v>
      </c>
      <c r="V322" s="9">
        <f t="shared" si="105"/>
        <v>2049</v>
      </c>
      <c r="W322" s="9">
        <f t="shared" si="106"/>
        <v>2091</v>
      </c>
      <c r="X322" s="10"/>
      <c r="Y322" s="8"/>
      <c r="Z322" s="8"/>
      <c r="AA322" s="8"/>
      <c r="AB322" s="8"/>
    </row>
    <row r="323" spans="1:28" ht="13.15" customHeight="1">
      <c r="A323" s="18">
        <f t="shared" si="107"/>
        <v>309</v>
      </c>
      <c r="B323" s="17">
        <f t="shared" si="99"/>
        <v>45560</v>
      </c>
      <c r="C323" s="13">
        <f t="shared" si="100"/>
        <v>1069</v>
      </c>
      <c r="D323" s="12">
        <f t="shared" si="111"/>
        <v>1895</v>
      </c>
      <c r="E323" s="11">
        <f t="shared" si="92"/>
        <v>411</v>
      </c>
      <c r="F323" s="11">
        <f t="shared" si="93"/>
        <v>435</v>
      </c>
      <c r="G323" s="11">
        <f t="shared" si="94"/>
        <v>423</v>
      </c>
      <c r="H323" s="8">
        <f t="shared" si="95"/>
        <v>2553</v>
      </c>
      <c r="I323" s="8">
        <f t="shared" si="96"/>
        <v>2529</v>
      </c>
      <c r="J323" s="8">
        <f t="shared" si="97"/>
        <v>2541</v>
      </c>
      <c r="K323" s="8">
        <f t="shared" si="108"/>
        <v>3000</v>
      </c>
      <c r="L323" s="8">
        <f t="shared" si="109"/>
        <v>3000</v>
      </c>
      <c r="M323" s="8">
        <f t="shared" si="110"/>
        <v>3000</v>
      </c>
      <c r="N323" s="8">
        <f t="shared" si="101"/>
        <v>-447</v>
      </c>
      <c r="O323" s="8">
        <f t="shared" si="102"/>
        <v>-471</v>
      </c>
      <c r="P323" s="8">
        <f t="shared" si="103"/>
        <v>-459</v>
      </c>
      <c r="Q323" s="11">
        <v>0</v>
      </c>
      <c r="R323" s="11">
        <v>0</v>
      </c>
      <c r="S323" s="11">
        <v>0</v>
      </c>
      <c r="T323" s="10">
        <f t="shared" si="98"/>
        <v>915</v>
      </c>
      <c r="U323" s="9">
        <f t="shared" si="104"/>
        <v>2053</v>
      </c>
      <c r="V323" s="9">
        <f t="shared" si="105"/>
        <v>2049</v>
      </c>
      <c r="W323" s="9">
        <f t="shared" si="106"/>
        <v>2091</v>
      </c>
      <c r="X323" s="10"/>
      <c r="Y323" s="8"/>
      <c r="Z323" s="8"/>
      <c r="AA323" s="8"/>
      <c r="AB323" s="8"/>
    </row>
    <row r="324" spans="1:28" ht="13.15" customHeight="1">
      <c r="A324" s="18">
        <f t="shared" si="107"/>
        <v>310</v>
      </c>
      <c r="B324" s="17">
        <f t="shared" si="99"/>
        <v>45561</v>
      </c>
      <c r="C324" s="13">
        <f t="shared" si="100"/>
        <v>1069</v>
      </c>
      <c r="D324" s="12">
        <f t="shared" si="111"/>
        <v>1897</v>
      </c>
      <c r="E324" s="11">
        <f t="shared" si="92"/>
        <v>413</v>
      </c>
      <c r="F324" s="11">
        <f t="shared" si="93"/>
        <v>437</v>
      </c>
      <c r="G324" s="11">
        <f t="shared" si="94"/>
        <v>425</v>
      </c>
      <c r="H324" s="8">
        <f t="shared" si="95"/>
        <v>2553</v>
      </c>
      <c r="I324" s="8">
        <f t="shared" si="96"/>
        <v>2529</v>
      </c>
      <c r="J324" s="8">
        <f t="shared" si="97"/>
        <v>2541</v>
      </c>
      <c r="K324" s="8">
        <f t="shared" si="108"/>
        <v>3000</v>
      </c>
      <c r="L324" s="8">
        <f t="shared" si="109"/>
        <v>3000</v>
      </c>
      <c r="M324" s="8">
        <f t="shared" si="110"/>
        <v>3000</v>
      </c>
      <c r="N324" s="8">
        <f t="shared" si="101"/>
        <v>-447</v>
      </c>
      <c r="O324" s="8">
        <f t="shared" si="102"/>
        <v>-471</v>
      </c>
      <c r="P324" s="8">
        <f t="shared" si="103"/>
        <v>-459</v>
      </c>
      <c r="Q324" s="11">
        <v>0</v>
      </c>
      <c r="R324" s="11">
        <v>0</v>
      </c>
      <c r="S324" s="11">
        <v>0</v>
      </c>
      <c r="T324" s="10">
        <f t="shared" si="98"/>
        <v>917</v>
      </c>
      <c r="U324" s="9">
        <f t="shared" si="104"/>
        <v>2053</v>
      </c>
      <c r="V324" s="9">
        <f t="shared" si="105"/>
        <v>2049</v>
      </c>
      <c r="W324" s="9">
        <f t="shared" si="106"/>
        <v>2091</v>
      </c>
      <c r="X324" s="10"/>
      <c r="Y324" s="8"/>
      <c r="Z324" s="8"/>
      <c r="AA324" s="8"/>
      <c r="AB324" s="8"/>
    </row>
    <row r="325" spans="1:28" ht="13.15" customHeight="1">
      <c r="A325" s="18">
        <f t="shared" si="107"/>
        <v>311</v>
      </c>
      <c r="B325" s="17">
        <f t="shared" si="99"/>
        <v>45562</v>
      </c>
      <c r="C325" s="13">
        <f t="shared" si="100"/>
        <v>1069</v>
      </c>
      <c r="D325" s="12">
        <f t="shared" si="111"/>
        <v>1899</v>
      </c>
      <c r="E325" s="11">
        <f t="shared" si="92"/>
        <v>415</v>
      </c>
      <c r="F325" s="11">
        <f t="shared" si="93"/>
        <v>439</v>
      </c>
      <c r="G325" s="11">
        <f t="shared" si="94"/>
        <v>427</v>
      </c>
      <c r="H325" s="8">
        <f t="shared" si="95"/>
        <v>2553</v>
      </c>
      <c r="I325" s="8">
        <f t="shared" si="96"/>
        <v>2529</v>
      </c>
      <c r="J325" s="8">
        <f t="shared" si="97"/>
        <v>2541</v>
      </c>
      <c r="K325" s="8">
        <f t="shared" si="108"/>
        <v>3000</v>
      </c>
      <c r="L325" s="8">
        <f t="shared" si="109"/>
        <v>3000</v>
      </c>
      <c r="M325" s="8">
        <f t="shared" si="110"/>
        <v>3000</v>
      </c>
      <c r="N325" s="8">
        <f t="shared" si="101"/>
        <v>-447</v>
      </c>
      <c r="O325" s="8">
        <f t="shared" si="102"/>
        <v>-471</v>
      </c>
      <c r="P325" s="8">
        <f t="shared" si="103"/>
        <v>-459</v>
      </c>
      <c r="Q325" s="11">
        <v>0</v>
      </c>
      <c r="R325" s="11">
        <v>0</v>
      </c>
      <c r="S325" s="11">
        <v>0</v>
      </c>
      <c r="T325" s="10">
        <f t="shared" si="98"/>
        <v>919</v>
      </c>
      <c r="U325" s="9">
        <f t="shared" si="104"/>
        <v>2053</v>
      </c>
      <c r="V325" s="9">
        <f t="shared" si="105"/>
        <v>2049</v>
      </c>
      <c r="W325" s="9">
        <f t="shared" si="106"/>
        <v>2091</v>
      </c>
      <c r="X325" s="10"/>
      <c r="Y325" s="8"/>
      <c r="Z325" s="8"/>
      <c r="AA325" s="8"/>
      <c r="AB325" s="8"/>
    </row>
    <row r="326" spans="1:28" ht="13.15" customHeight="1">
      <c r="A326" s="18">
        <f t="shared" si="107"/>
        <v>312</v>
      </c>
      <c r="B326" s="17">
        <f t="shared" si="99"/>
        <v>45563</v>
      </c>
      <c r="C326" s="13">
        <f t="shared" si="100"/>
        <v>1069</v>
      </c>
      <c r="D326" s="12">
        <f t="shared" si="111"/>
        <v>1901</v>
      </c>
      <c r="E326" s="11">
        <f t="shared" si="92"/>
        <v>417</v>
      </c>
      <c r="F326" s="11">
        <f t="shared" si="93"/>
        <v>441</v>
      </c>
      <c r="G326" s="11">
        <f t="shared" si="94"/>
        <v>429</v>
      </c>
      <c r="H326" s="8">
        <f t="shared" si="95"/>
        <v>2553</v>
      </c>
      <c r="I326" s="8">
        <f t="shared" si="96"/>
        <v>2529</v>
      </c>
      <c r="J326" s="8">
        <f t="shared" si="97"/>
        <v>2541</v>
      </c>
      <c r="K326" s="8">
        <f t="shared" si="108"/>
        <v>3000</v>
      </c>
      <c r="L326" s="8">
        <f t="shared" si="109"/>
        <v>3000</v>
      </c>
      <c r="M326" s="8">
        <f t="shared" si="110"/>
        <v>3000</v>
      </c>
      <c r="N326" s="8">
        <f t="shared" si="101"/>
        <v>-447</v>
      </c>
      <c r="O326" s="8">
        <f t="shared" si="102"/>
        <v>-471</v>
      </c>
      <c r="P326" s="8">
        <f t="shared" si="103"/>
        <v>-459</v>
      </c>
      <c r="Q326" s="11">
        <v>0</v>
      </c>
      <c r="R326" s="11">
        <v>0</v>
      </c>
      <c r="S326" s="11">
        <v>0</v>
      </c>
      <c r="T326" s="10">
        <f t="shared" si="98"/>
        <v>921</v>
      </c>
      <c r="U326" s="9">
        <f t="shared" si="104"/>
        <v>2053</v>
      </c>
      <c r="V326" s="9">
        <f t="shared" si="105"/>
        <v>2049</v>
      </c>
      <c r="W326" s="9">
        <f t="shared" si="106"/>
        <v>2091</v>
      </c>
      <c r="X326" s="10"/>
      <c r="Y326" s="8"/>
      <c r="Z326" s="8"/>
      <c r="AA326" s="8"/>
      <c r="AB326" s="8"/>
    </row>
    <row r="327" spans="1:28" ht="13.15" customHeight="1">
      <c r="A327" s="18">
        <f t="shared" si="107"/>
        <v>313</v>
      </c>
      <c r="B327" s="17">
        <f t="shared" si="99"/>
        <v>45564</v>
      </c>
      <c r="C327" s="13">
        <f t="shared" si="100"/>
        <v>1069</v>
      </c>
      <c r="D327" s="12">
        <f t="shared" si="111"/>
        <v>1903</v>
      </c>
      <c r="E327" s="11">
        <f t="shared" si="92"/>
        <v>419</v>
      </c>
      <c r="F327" s="11">
        <f t="shared" si="93"/>
        <v>443</v>
      </c>
      <c r="G327" s="11">
        <f t="shared" si="94"/>
        <v>431</v>
      </c>
      <c r="H327" s="8">
        <f t="shared" si="95"/>
        <v>2553</v>
      </c>
      <c r="I327" s="8">
        <f t="shared" si="96"/>
        <v>2529</v>
      </c>
      <c r="J327" s="8">
        <f t="shared" si="97"/>
        <v>2541</v>
      </c>
      <c r="K327" s="8">
        <f t="shared" si="108"/>
        <v>3000</v>
      </c>
      <c r="L327" s="8">
        <f t="shared" si="109"/>
        <v>3000</v>
      </c>
      <c r="M327" s="8">
        <f t="shared" si="110"/>
        <v>3000</v>
      </c>
      <c r="N327" s="8">
        <f t="shared" si="101"/>
        <v>-447</v>
      </c>
      <c r="O327" s="8">
        <f t="shared" si="102"/>
        <v>-471</v>
      </c>
      <c r="P327" s="8">
        <f t="shared" si="103"/>
        <v>-459</v>
      </c>
      <c r="Q327" s="11">
        <v>0</v>
      </c>
      <c r="R327" s="11">
        <v>0</v>
      </c>
      <c r="S327" s="11">
        <v>0</v>
      </c>
      <c r="T327" s="10">
        <f t="shared" si="98"/>
        <v>923</v>
      </c>
      <c r="U327" s="9">
        <f t="shared" si="104"/>
        <v>2053</v>
      </c>
      <c r="V327" s="9">
        <f t="shared" si="105"/>
        <v>2049</v>
      </c>
      <c r="W327" s="9">
        <f t="shared" si="106"/>
        <v>2091</v>
      </c>
      <c r="X327" s="10"/>
      <c r="Y327" s="8"/>
      <c r="Z327" s="8"/>
      <c r="AA327" s="8"/>
      <c r="AB327" s="8"/>
    </row>
    <row r="328" spans="1:28" ht="13.15" customHeight="1">
      <c r="A328" s="18">
        <f t="shared" si="107"/>
        <v>314</v>
      </c>
      <c r="B328" s="17">
        <f t="shared" si="99"/>
        <v>45565</v>
      </c>
      <c r="C328" s="13">
        <f t="shared" si="100"/>
        <v>1069</v>
      </c>
      <c r="D328" s="12">
        <f t="shared" si="111"/>
        <v>1905</v>
      </c>
      <c r="E328" s="11">
        <f t="shared" si="92"/>
        <v>421</v>
      </c>
      <c r="F328" s="11">
        <f t="shared" si="93"/>
        <v>445</v>
      </c>
      <c r="G328" s="11">
        <f t="shared" si="94"/>
        <v>433</v>
      </c>
      <c r="H328" s="8">
        <f t="shared" si="95"/>
        <v>2553</v>
      </c>
      <c r="I328" s="8">
        <f t="shared" si="96"/>
        <v>2529</v>
      </c>
      <c r="J328" s="8">
        <f t="shared" si="97"/>
        <v>2541</v>
      </c>
      <c r="K328" s="8">
        <f t="shared" si="108"/>
        <v>3000</v>
      </c>
      <c r="L328" s="8">
        <f t="shared" si="109"/>
        <v>3000</v>
      </c>
      <c r="M328" s="8">
        <f t="shared" si="110"/>
        <v>3000</v>
      </c>
      <c r="N328" s="8">
        <f t="shared" si="101"/>
        <v>-447</v>
      </c>
      <c r="O328" s="8">
        <f t="shared" si="102"/>
        <v>-471</v>
      </c>
      <c r="P328" s="8">
        <f t="shared" si="103"/>
        <v>-459</v>
      </c>
      <c r="Q328" s="11">
        <v>0</v>
      </c>
      <c r="R328" s="11">
        <v>0</v>
      </c>
      <c r="S328" s="11">
        <v>0</v>
      </c>
      <c r="T328" s="10">
        <f t="shared" si="98"/>
        <v>925</v>
      </c>
      <c r="U328" s="9">
        <f t="shared" si="104"/>
        <v>2053</v>
      </c>
      <c r="V328" s="9">
        <f t="shared" si="105"/>
        <v>2049</v>
      </c>
      <c r="W328" s="9">
        <f t="shared" si="106"/>
        <v>2091</v>
      </c>
      <c r="X328" s="10"/>
      <c r="Y328" s="8"/>
      <c r="Z328" s="8"/>
      <c r="AA328" s="8"/>
      <c r="AB328" s="8"/>
    </row>
    <row r="329" spans="1:28" ht="13.15" customHeight="1">
      <c r="A329" s="13">
        <f t="shared" si="107"/>
        <v>315</v>
      </c>
      <c r="B329" s="14">
        <f t="shared" si="99"/>
        <v>45566</v>
      </c>
      <c r="C329" s="13">
        <f t="shared" si="100"/>
        <v>1069</v>
      </c>
      <c r="D329" s="12">
        <f t="shared" si="111"/>
        <v>1907</v>
      </c>
      <c r="E329" s="11">
        <f t="shared" si="92"/>
        <v>423</v>
      </c>
      <c r="F329" s="11">
        <f t="shared" si="93"/>
        <v>447</v>
      </c>
      <c r="G329" s="11">
        <f t="shared" si="94"/>
        <v>435</v>
      </c>
      <c r="H329" s="8">
        <f t="shared" si="95"/>
        <v>2553</v>
      </c>
      <c r="I329" s="8">
        <f t="shared" si="96"/>
        <v>2529</v>
      </c>
      <c r="J329" s="8">
        <f t="shared" si="97"/>
        <v>2541</v>
      </c>
      <c r="K329" s="8">
        <f t="shared" si="108"/>
        <v>3000</v>
      </c>
      <c r="L329" s="8">
        <f t="shared" si="109"/>
        <v>3000</v>
      </c>
      <c r="M329" s="8">
        <f t="shared" si="110"/>
        <v>3000</v>
      </c>
      <c r="N329" s="8">
        <f t="shared" si="101"/>
        <v>-447</v>
      </c>
      <c r="O329" s="8">
        <f t="shared" si="102"/>
        <v>-471</v>
      </c>
      <c r="P329" s="8">
        <f t="shared" si="103"/>
        <v>-459</v>
      </c>
      <c r="Q329" s="11">
        <v>0</v>
      </c>
      <c r="R329" s="11">
        <v>0</v>
      </c>
      <c r="S329" s="11">
        <v>0</v>
      </c>
      <c r="T329" s="10">
        <f t="shared" si="98"/>
        <v>927</v>
      </c>
      <c r="U329" s="9">
        <f t="shared" si="104"/>
        <v>2053</v>
      </c>
      <c r="V329" s="9">
        <f t="shared" si="105"/>
        <v>2049</v>
      </c>
      <c r="W329" s="9">
        <f t="shared" si="106"/>
        <v>2091</v>
      </c>
      <c r="X329" s="10"/>
      <c r="Y329" s="8"/>
      <c r="Z329" s="8"/>
      <c r="AA329" s="8"/>
      <c r="AB329" s="8"/>
    </row>
    <row r="330" spans="1:28" ht="13.15" customHeight="1">
      <c r="A330" s="13">
        <f t="shared" si="107"/>
        <v>316</v>
      </c>
      <c r="B330" s="14">
        <f t="shared" si="99"/>
        <v>45567</v>
      </c>
      <c r="C330" s="13">
        <f t="shared" si="100"/>
        <v>1069</v>
      </c>
      <c r="D330" s="12">
        <f t="shared" si="111"/>
        <v>1909</v>
      </c>
      <c r="E330" s="11">
        <f t="shared" si="92"/>
        <v>425</v>
      </c>
      <c r="F330" s="11">
        <f t="shared" si="93"/>
        <v>449</v>
      </c>
      <c r="G330" s="11">
        <f t="shared" si="94"/>
        <v>437</v>
      </c>
      <c r="H330" s="8">
        <f t="shared" si="95"/>
        <v>2553</v>
      </c>
      <c r="I330" s="8">
        <f t="shared" si="96"/>
        <v>2529</v>
      </c>
      <c r="J330" s="8">
        <f t="shared" si="97"/>
        <v>2541</v>
      </c>
      <c r="K330" s="8">
        <f t="shared" si="108"/>
        <v>3000</v>
      </c>
      <c r="L330" s="8">
        <f t="shared" si="109"/>
        <v>3000</v>
      </c>
      <c r="M330" s="8">
        <f t="shared" si="110"/>
        <v>3000</v>
      </c>
      <c r="N330" s="8">
        <f t="shared" si="101"/>
        <v>-447</v>
      </c>
      <c r="O330" s="8">
        <f t="shared" si="102"/>
        <v>-471</v>
      </c>
      <c r="P330" s="8">
        <f t="shared" si="103"/>
        <v>-459</v>
      </c>
      <c r="Q330" s="11">
        <v>0</v>
      </c>
      <c r="R330" s="11">
        <v>0</v>
      </c>
      <c r="S330" s="11">
        <v>0</v>
      </c>
      <c r="T330" s="10">
        <f t="shared" si="98"/>
        <v>929</v>
      </c>
      <c r="U330" s="9">
        <f t="shared" si="104"/>
        <v>2053</v>
      </c>
      <c r="V330" s="9">
        <f t="shared" si="105"/>
        <v>2049</v>
      </c>
      <c r="W330" s="9">
        <f t="shared" si="106"/>
        <v>2091</v>
      </c>
      <c r="X330" s="10"/>
      <c r="Y330" s="8"/>
      <c r="Z330" s="8"/>
      <c r="AA330" s="8"/>
      <c r="AB330" s="8"/>
    </row>
    <row r="331" spans="1:28" ht="13.15" customHeight="1">
      <c r="A331" s="13">
        <f t="shared" si="107"/>
        <v>317</v>
      </c>
      <c r="B331" s="14">
        <f t="shared" si="99"/>
        <v>45568</v>
      </c>
      <c r="C331" s="13">
        <f t="shared" si="100"/>
        <v>1069</v>
      </c>
      <c r="D331" s="12">
        <f t="shared" si="111"/>
        <v>1911</v>
      </c>
      <c r="E331" s="11">
        <f t="shared" si="92"/>
        <v>427</v>
      </c>
      <c r="F331" s="11">
        <f t="shared" si="93"/>
        <v>451</v>
      </c>
      <c r="G331" s="11">
        <f t="shared" si="94"/>
        <v>439</v>
      </c>
      <c r="H331" s="8">
        <f t="shared" si="95"/>
        <v>2553</v>
      </c>
      <c r="I331" s="8">
        <f t="shared" si="96"/>
        <v>2529</v>
      </c>
      <c r="J331" s="8">
        <f t="shared" si="97"/>
        <v>2541</v>
      </c>
      <c r="K331" s="8">
        <f t="shared" si="108"/>
        <v>3000</v>
      </c>
      <c r="L331" s="8">
        <f t="shared" si="109"/>
        <v>3000</v>
      </c>
      <c r="M331" s="8">
        <f t="shared" si="110"/>
        <v>3000</v>
      </c>
      <c r="N331" s="8">
        <f t="shared" si="101"/>
        <v>-447</v>
      </c>
      <c r="O331" s="8">
        <f t="shared" si="102"/>
        <v>-471</v>
      </c>
      <c r="P331" s="8">
        <f t="shared" si="103"/>
        <v>-459</v>
      </c>
      <c r="Q331" s="11">
        <v>0</v>
      </c>
      <c r="R331" s="11">
        <v>0</v>
      </c>
      <c r="S331" s="11">
        <v>0</v>
      </c>
      <c r="T331" s="10">
        <f t="shared" si="98"/>
        <v>931</v>
      </c>
      <c r="U331" s="9">
        <f t="shared" si="104"/>
        <v>2053</v>
      </c>
      <c r="V331" s="9">
        <f t="shared" si="105"/>
        <v>2049</v>
      </c>
      <c r="W331" s="9">
        <f t="shared" si="106"/>
        <v>2091</v>
      </c>
      <c r="X331" s="10"/>
      <c r="Y331" s="8"/>
      <c r="Z331" s="8"/>
      <c r="AA331" s="8"/>
      <c r="AB331" s="8"/>
    </row>
    <row r="332" spans="1:28" ht="13.15" customHeight="1">
      <c r="A332" s="13">
        <f t="shared" si="107"/>
        <v>318</v>
      </c>
      <c r="B332" s="14">
        <f t="shared" si="99"/>
        <v>45569</v>
      </c>
      <c r="C332" s="13">
        <f t="shared" si="100"/>
        <v>1069</v>
      </c>
      <c r="D332" s="12">
        <f t="shared" si="111"/>
        <v>1913</v>
      </c>
      <c r="E332" s="11">
        <f t="shared" si="92"/>
        <v>429</v>
      </c>
      <c r="F332" s="11">
        <f t="shared" si="93"/>
        <v>453</v>
      </c>
      <c r="G332" s="11">
        <f t="shared" si="94"/>
        <v>441</v>
      </c>
      <c r="H332" s="8">
        <f t="shared" si="95"/>
        <v>2553</v>
      </c>
      <c r="I332" s="8">
        <f t="shared" si="96"/>
        <v>2529</v>
      </c>
      <c r="J332" s="8">
        <f t="shared" si="97"/>
        <v>2541</v>
      </c>
      <c r="K332" s="8">
        <f t="shared" si="108"/>
        <v>3000</v>
      </c>
      <c r="L332" s="8">
        <f t="shared" si="109"/>
        <v>3000</v>
      </c>
      <c r="M332" s="8">
        <f t="shared" si="110"/>
        <v>3000</v>
      </c>
      <c r="N332" s="8">
        <f t="shared" si="101"/>
        <v>-447</v>
      </c>
      <c r="O332" s="8">
        <f t="shared" si="102"/>
        <v>-471</v>
      </c>
      <c r="P332" s="8">
        <f t="shared" si="103"/>
        <v>-459</v>
      </c>
      <c r="Q332" s="11">
        <v>0</v>
      </c>
      <c r="R332" s="11">
        <v>0</v>
      </c>
      <c r="S332" s="11">
        <v>0</v>
      </c>
      <c r="T332" s="10">
        <f t="shared" si="98"/>
        <v>933</v>
      </c>
      <c r="U332" s="9">
        <f t="shared" si="104"/>
        <v>2053</v>
      </c>
      <c r="V332" s="9">
        <f t="shared" si="105"/>
        <v>2049</v>
      </c>
      <c r="W332" s="9">
        <f t="shared" si="106"/>
        <v>2091</v>
      </c>
      <c r="X332" s="10"/>
      <c r="Y332" s="8"/>
      <c r="Z332" s="8"/>
      <c r="AA332" s="8"/>
      <c r="AB332" s="8"/>
    </row>
    <row r="333" spans="1:28" ht="13.15" customHeight="1">
      <c r="A333" s="13">
        <f t="shared" si="107"/>
        <v>319</v>
      </c>
      <c r="B333" s="14">
        <f t="shared" si="99"/>
        <v>45570</v>
      </c>
      <c r="C333" s="13">
        <f t="shared" si="100"/>
        <v>1069</v>
      </c>
      <c r="D333" s="12">
        <f t="shared" si="111"/>
        <v>1915</v>
      </c>
      <c r="E333" s="11">
        <f t="shared" si="92"/>
        <v>431</v>
      </c>
      <c r="F333" s="11">
        <f t="shared" si="93"/>
        <v>455</v>
      </c>
      <c r="G333" s="11">
        <f t="shared" si="94"/>
        <v>443</v>
      </c>
      <c r="H333" s="8">
        <f t="shared" si="95"/>
        <v>2553</v>
      </c>
      <c r="I333" s="8">
        <f t="shared" si="96"/>
        <v>2529</v>
      </c>
      <c r="J333" s="8">
        <f t="shared" si="97"/>
        <v>2541</v>
      </c>
      <c r="K333" s="8">
        <f t="shared" si="108"/>
        <v>3000</v>
      </c>
      <c r="L333" s="8">
        <f t="shared" si="109"/>
        <v>3000</v>
      </c>
      <c r="M333" s="8">
        <f t="shared" si="110"/>
        <v>3000</v>
      </c>
      <c r="N333" s="8">
        <f t="shared" si="101"/>
        <v>-447</v>
      </c>
      <c r="O333" s="8">
        <f t="shared" si="102"/>
        <v>-471</v>
      </c>
      <c r="P333" s="8">
        <f t="shared" si="103"/>
        <v>-459</v>
      </c>
      <c r="Q333" s="11">
        <v>0</v>
      </c>
      <c r="R333" s="11">
        <v>0</v>
      </c>
      <c r="S333" s="11">
        <v>0</v>
      </c>
      <c r="T333" s="10">
        <f t="shared" si="98"/>
        <v>935</v>
      </c>
      <c r="U333" s="9">
        <f t="shared" si="104"/>
        <v>2053</v>
      </c>
      <c r="V333" s="9">
        <f t="shared" si="105"/>
        <v>2049</v>
      </c>
      <c r="W333" s="9">
        <f t="shared" si="106"/>
        <v>2091</v>
      </c>
      <c r="X333" s="10"/>
      <c r="Y333" s="8"/>
      <c r="Z333" s="8"/>
      <c r="AA333" s="8"/>
      <c r="AB333" s="8"/>
    </row>
    <row r="334" spans="1:28" ht="13.15" customHeight="1">
      <c r="A334" s="13">
        <f t="shared" si="107"/>
        <v>320</v>
      </c>
      <c r="B334" s="14">
        <f t="shared" si="99"/>
        <v>45571</v>
      </c>
      <c r="C334" s="13">
        <f t="shared" si="100"/>
        <v>1069</v>
      </c>
      <c r="D334" s="12">
        <f t="shared" si="111"/>
        <v>1917</v>
      </c>
      <c r="E334" s="11">
        <f t="shared" ref="E334:E397" si="112">C334+D334-H334</f>
        <v>433</v>
      </c>
      <c r="F334" s="11">
        <f t="shared" ref="F334:F397" si="113">C334+D334-I334</f>
        <v>457</v>
      </c>
      <c r="G334" s="11">
        <f t="shared" ref="G334:G397" si="114">D334+C334-J334</f>
        <v>445</v>
      </c>
      <c r="H334" s="8">
        <f t="shared" ref="H334:H397" si="115">K334+N334</f>
        <v>2553</v>
      </c>
      <c r="I334" s="8">
        <f t="shared" ref="I334:I397" si="116">L334+O334</f>
        <v>2529</v>
      </c>
      <c r="J334" s="8">
        <f t="shared" ref="J334:J397" si="117">M334+P334</f>
        <v>2541</v>
      </c>
      <c r="K334" s="8">
        <f t="shared" si="108"/>
        <v>3000</v>
      </c>
      <c r="L334" s="8">
        <f t="shared" si="109"/>
        <v>3000</v>
      </c>
      <c r="M334" s="8">
        <f t="shared" si="110"/>
        <v>3000</v>
      </c>
      <c r="N334" s="8">
        <f t="shared" si="101"/>
        <v>-447</v>
      </c>
      <c r="O334" s="8">
        <f t="shared" si="102"/>
        <v>-471</v>
      </c>
      <c r="P334" s="8">
        <f t="shared" si="103"/>
        <v>-459</v>
      </c>
      <c r="Q334" s="11">
        <v>0</v>
      </c>
      <c r="R334" s="11">
        <v>0</v>
      </c>
      <c r="S334" s="11">
        <v>0</v>
      </c>
      <c r="T334" s="10">
        <f t="shared" ref="T334:T397" si="118">D334+C334-V334</f>
        <v>937</v>
      </c>
      <c r="U334" s="9">
        <f t="shared" si="104"/>
        <v>2053</v>
      </c>
      <c r="V334" s="9">
        <f t="shared" si="105"/>
        <v>2049</v>
      </c>
      <c r="W334" s="9">
        <f t="shared" si="106"/>
        <v>2091</v>
      </c>
      <c r="X334" s="10"/>
      <c r="Y334" s="8"/>
      <c r="Z334" s="8"/>
      <c r="AA334" s="8"/>
      <c r="AB334" s="8"/>
    </row>
    <row r="335" spans="1:28" ht="13.15" customHeight="1">
      <c r="A335" s="13">
        <f t="shared" si="107"/>
        <v>321</v>
      </c>
      <c r="B335" s="14">
        <f t="shared" ref="B335:B398" si="119">B334+1</f>
        <v>45572</v>
      </c>
      <c r="C335" s="13">
        <f t="shared" ref="C335:C398" si="120">C334</f>
        <v>1069</v>
      </c>
      <c r="D335" s="12">
        <f t="shared" si="111"/>
        <v>1919</v>
      </c>
      <c r="E335" s="11">
        <f t="shared" si="112"/>
        <v>435</v>
      </c>
      <c r="F335" s="11">
        <f t="shared" si="113"/>
        <v>459</v>
      </c>
      <c r="G335" s="11">
        <f t="shared" si="114"/>
        <v>447</v>
      </c>
      <c r="H335" s="8">
        <f t="shared" si="115"/>
        <v>2553</v>
      </c>
      <c r="I335" s="8">
        <f t="shared" si="116"/>
        <v>2529</v>
      </c>
      <c r="J335" s="8">
        <f t="shared" si="117"/>
        <v>2541</v>
      </c>
      <c r="K335" s="8">
        <f t="shared" si="108"/>
        <v>3000</v>
      </c>
      <c r="L335" s="8">
        <f t="shared" si="109"/>
        <v>3000</v>
      </c>
      <c r="M335" s="8">
        <f t="shared" si="110"/>
        <v>3000</v>
      </c>
      <c r="N335" s="8">
        <f t="shared" ref="N335:N398" si="121">N334-Q335</f>
        <v>-447</v>
      </c>
      <c r="O335" s="8">
        <f t="shared" ref="O335:O398" si="122">O334-R335</f>
        <v>-471</v>
      </c>
      <c r="P335" s="8">
        <f t="shared" ref="P335:P398" si="123">P334-S335</f>
        <v>-459</v>
      </c>
      <c r="Q335" s="11">
        <v>0</v>
      </c>
      <c r="R335" s="11">
        <v>0</v>
      </c>
      <c r="S335" s="11">
        <v>0</v>
      </c>
      <c r="T335" s="10">
        <f t="shared" si="118"/>
        <v>939</v>
      </c>
      <c r="U335" s="9">
        <f t="shared" si="104"/>
        <v>2053</v>
      </c>
      <c r="V335" s="9">
        <f t="shared" si="105"/>
        <v>2049</v>
      </c>
      <c r="W335" s="9">
        <f t="shared" si="106"/>
        <v>2091</v>
      </c>
      <c r="X335" s="10"/>
      <c r="Y335" s="8"/>
      <c r="Z335" s="8"/>
      <c r="AA335" s="8"/>
      <c r="AB335" s="8"/>
    </row>
    <row r="336" spans="1:28" ht="13.15" customHeight="1">
      <c r="A336" s="13">
        <f t="shared" si="107"/>
        <v>322</v>
      </c>
      <c r="B336" s="14">
        <f t="shared" si="119"/>
        <v>45573</v>
      </c>
      <c r="C336" s="13">
        <f t="shared" si="120"/>
        <v>1069</v>
      </c>
      <c r="D336" s="12">
        <f t="shared" si="111"/>
        <v>1921</v>
      </c>
      <c r="E336" s="11">
        <f t="shared" si="112"/>
        <v>437</v>
      </c>
      <c r="F336" s="11">
        <f t="shared" si="113"/>
        <v>461</v>
      </c>
      <c r="G336" s="11">
        <f t="shared" si="114"/>
        <v>449</v>
      </c>
      <c r="H336" s="8">
        <f t="shared" si="115"/>
        <v>2553</v>
      </c>
      <c r="I336" s="8">
        <f t="shared" si="116"/>
        <v>2529</v>
      </c>
      <c r="J336" s="8">
        <f t="shared" si="117"/>
        <v>2541</v>
      </c>
      <c r="K336" s="8">
        <f t="shared" si="108"/>
        <v>3000</v>
      </c>
      <c r="L336" s="8">
        <f t="shared" si="109"/>
        <v>3000</v>
      </c>
      <c r="M336" s="8">
        <f t="shared" si="110"/>
        <v>3000</v>
      </c>
      <c r="N336" s="8">
        <f t="shared" si="121"/>
        <v>-447</v>
      </c>
      <c r="O336" s="8">
        <f t="shared" si="122"/>
        <v>-471</v>
      </c>
      <c r="P336" s="8">
        <f t="shared" si="123"/>
        <v>-459</v>
      </c>
      <c r="Q336" s="11">
        <v>0</v>
      </c>
      <c r="R336" s="11">
        <v>0</v>
      </c>
      <c r="S336" s="11">
        <v>0</v>
      </c>
      <c r="T336" s="10">
        <f t="shared" si="118"/>
        <v>941</v>
      </c>
      <c r="U336" s="9">
        <f t="shared" si="104"/>
        <v>2053</v>
      </c>
      <c r="V336" s="9">
        <f t="shared" si="105"/>
        <v>2049</v>
      </c>
      <c r="W336" s="9">
        <f t="shared" si="106"/>
        <v>2091</v>
      </c>
      <c r="X336" s="10"/>
      <c r="Y336" s="8"/>
      <c r="Z336" s="8"/>
      <c r="AA336" s="8"/>
      <c r="AB336" s="8"/>
    </row>
    <row r="337" spans="1:28" ht="13.15" customHeight="1">
      <c r="A337" s="13">
        <f t="shared" si="107"/>
        <v>323</v>
      </c>
      <c r="B337" s="14">
        <f t="shared" si="119"/>
        <v>45574</v>
      </c>
      <c r="C337" s="13">
        <f t="shared" si="120"/>
        <v>1069</v>
      </c>
      <c r="D337" s="12">
        <f t="shared" si="111"/>
        <v>1923</v>
      </c>
      <c r="E337" s="11">
        <f t="shared" si="112"/>
        <v>439</v>
      </c>
      <c r="F337" s="11">
        <f t="shared" si="113"/>
        <v>463</v>
      </c>
      <c r="G337" s="11">
        <f t="shared" si="114"/>
        <v>451</v>
      </c>
      <c r="H337" s="8">
        <f t="shared" si="115"/>
        <v>2553</v>
      </c>
      <c r="I337" s="8">
        <f t="shared" si="116"/>
        <v>2529</v>
      </c>
      <c r="J337" s="8">
        <f t="shared" si="117"/>
        <v>2541</v>
      </c>
      <c r="K337" s="8">
        <f t="shared" si="108"/>
        <v>3000</v>
      </c>
      <c r="L337" s="8">
        <f t="shared" si="109"/>
        <v>3000</v>
      </c>
      <c r="M337" s="8">
        <f t="shared" si="110"/>
        <v>3000</v>
      </c>
      <c r="N337" s="8">
        <f t="shared" si="121"/>
        <v>-447</v>
      </c>
      <c r="O337" s="8">
        <f t="shared" si="122"/>
        <v>-471</v>
      </c>
      <c r="P337" s="8">
        <f t="shared" si="123"/>
        <v>-459</v>
      </c>
      <c r="Q337" s="11">
        <v>0</v>
      </c>
      <c r="R337" s="11">
        <v>0</v>
      </c>
      <c r="S337" s="11">
        <v>0</v>
      </c>
      <c r="T337" s="10">
        <f t="shared" si="118"/>
        <v>943</v>
      </c>
      <c r="U337" s="9">
        <f t="shared" si="104"/>
        <v>2053</v>
      </c>
      <c r="V337" s="9">
        <f t="shared" si="105"/>
        <v>2049</v>
      </c>
      <c r="W337" s="9">
        <f t="shared" si="106"/>
        <v>2091</v>
      </c>
      <c r="X337" s="10"/>
      <c r="Y337" s="8"/>
      <c r="Z337" s="8"/>
      <c r="AA337" s="8"/>
      <c r="AB337" s="8"/>
    </row>
    <row r="338" spans="1:28" ht="13.15" customHeight="1">
      <c r="A338" s="13">
        <f t="shared" si="107"/>
        <v>324</v>
      </c>
      <c r="B338" s="14">
        <f t="shared" si="119"/>
        <v>45575</v>
      </c>
      <c r="C338" s="13">
        <f t="shared" si="120"/>
        <v>1069</v>
      </c>
      <c r="D338" s="12">
        <f t="shared" si="111"/>
        <v>1925</v>
      </c>
      <c r="E338" s="11">
        <f t="shared" si="112"/>
        <v>441</v>
      </c>
      <c r="F338" s="11">
        <f t="shared" si="113"/>
        <v>465</v>
      </c>
      <c r="G338" s="11">
        <f t="shared" si="114"/>
        <v>453</v>
      </c>
      <c r="H338" s="8">
        <f t="shared" si="115"/>
        <v>2553</v>
      </c>
      <c r="I338" s="8">
        <f t="shared" si="116"/>
        <v>2529</v>
      </c>
      <c r="J338" s="8">
        <f t="shared" si="117"/>
        <v>2541</v>
      </c>
      <c r="K338" s="8">
        <f t="shared" si="108"/>
        <v>3000</v>
      </c>
      <c r="L338" s="8">
        <f t="shared" si="109"/>
        <v>3000</v>
      </c>
      <c r="M338" s="8">
        <f t="shared" si="110"/>
        <v>3000</v>
      </c>
      <c r="N338" s="8">
        <f t="shared" si="121"/>
        <v>-447</v>
      </c>
      <c r="O338" s="8">
        <f t="shared" si="122"/>
        <v>-471</v>
      </c>
      <c r="P338" s="8">
        <f t="shared" si="123"/>
        <v>-459</v>
      </c>
      <c r="Q338" s="11">
        <v>0</v>
      </c>
      <c r="R338" s="11">
        <v>0</v>
      </c>
      <c r="S338" s="11">
        <v>0</v>
      </c>
      <c r="T338" s="10">
        <f t="shared" si="118"/>
        <v>945</v>
      </c>
      <c r="U338" s="9">
        <f t="shared" si="104"/>
        <v>2053</v>
      </c>
      <c r="V338" s="9">
        <f t="shared" si="105"/>
        <v>2049</v>
      </c>
      <c r="W338" s="9">
        <f t="shared" si="106"/>
        <v>2091</v>
      </c>
      <c r="X338" s="10"/>
      <c r="Y338" s="8"/>
      <c r="Z338" s="8"/>
      <c r="AA338" s="8"/>
      <c r="AB338" s="8"/>
    </row>
    <row r="339" spans="1:28" ht="13.15" customHeight="1">
      <c r="A339" s="13">
        <f t="shared" si="107"/>
        <v>325</v>
      </c>
      <c r="B339" s="14">
        <f t="shared" si="119"/>
        <v>45576</v>
      </c>
      <c r="C339" s="13">
        <f t="shared" si="120"/>
        <v>1069</v>
      </c>
      <c r="D339" s="12">
        <f t="shared" si="111"/>
        <v>1927</v>
      </c>
      <c r="E339" s="11">
        <f t="shared" si="112"/>
        <v>443</v>
      </c>
      <c r="F339" s="11">
        <f t="shared" si="113"/>
        <v>467</v>
      </c>
      <c r="G339" s="11">
        <f t="shared" si="114"/>
        <v>455</v>
      </c>
      <c r="H339" s="8">
        <f t="shared" si="115"/>
        <v>2553</v>
      </c>
      <c r="I339" s="8">
        <f t="shared" si="116"/>
        <v>2529</v>
      </c>
      <c r="J339" s="8">
        <f t="shared" si="117"/>
        <v>2541</v>
      </c>
      <c r="K339" s="8">
        <f t="shared" si="108"/>
        <v>3000</v>
      </c>
      <c r="L339" s="8">
        <f t="shared" si="109"/>
        <v>3000</v>
      </c>
      <c r="M339" s="8">
        <f t="shared" si="110"/>
        <v>3000</v>
      </c>
      <c r="N339" s="8">
        <f t="shared" si="121"/>
        <v>-447</v>
      </c>
      <c r="O339" s="8">
        <f t="shared" si="122"/>
        <v>-471</v>
      </c>
      <c r="P339" s="8">
        <f t="shared" si="123"/>
        <v>-459</v>
      </c>
      <c r="Q339" s="11">
        <v>0</v>
      </c>
      <c r="R339" s="11">
        <v>0</v>
      </c>
      <c r="S339" s="11">
        <v>0</v>
      </c>
      <c r="T339" s="10">
        <f t="shared" si="118"/>
        <v>947</v>
      </c>
      <c r="U339" s="9">
        <f t="shared" si="104"/>
        <v>2053</v>
      </c>
      <c r="V339" s="9">
        <f t="shared" si="105"/>
        <v>2049</v>
      </c>
      <c r="W339" s="9">
        <f t="shared" si="106"/>
        <v>2091</v>
      </c>
      <c r="X339" s="10"/>
      <c r="Y339" s="8"/>
      <c r="Z339" s="8"/>
      <c r="AA339" s="8"/>
      <c r="AB339" s="8"/>
    </row>
    <row r="340" spans="1:28" ht="13.15" customHeight="1">
      <c r="A340" s="13">
        <f t="shared" si="107"/>
        <v>326</v>
      </c>
      <c r="B340" s="14">
        <f t="shared" si="119"/>
        <v>45577</v>
      </c>
      <c r="C340" s="13">
        <f t="shared" si="120"/>
        <v>1069</v>
      </c>
      <c r="D340" s="12">
        <f t="shared" si="111"/>
        <v>1929</v>
      </c>
      <c r="E340" s="11">
        <f t="shared" si="112"/>
        <v>445</v>
      </c>
      <c r="F340" s="11">
        <f t="shared" si="113"/>
        <v>469</v>
      </c>
      <c r="G340" s="11">
        <f t="shared" si="114"/>
        <v>457</v>
      </c>
      <c r="H340" s="8">
        <f t="shared" si="115"/>
        <v>2553</v>
      </c>
      <c r="I340" s="8">
        <f t="shared" si="116"/>
        <v>2529</v>
      </c>
      <c r="J340" s="8">
        <f t="shared" si="117"/>
        <v>2541</v>
      </c>
      <c r="K340" s="8">
        <f t="shared" si="108"/>
        <v>3000</v>
      </c>
      <c r="L340" s="8">
        <f t="shared" si="109"/>
        <v>3000</v>
      </c>
      <c r="M340" s="8">
        <f t="shared" si="110"/>
        <v>3000</v>
      </c>
      <c r="N340" s="8">
        <f t="shared" si="121"/>
        <v>-447</v>
      </c>
      <c r="O340" s="8">
        <f t="shared" si="122"/>
        <v>-471</v>
      </c>
      <c r="P340" s="8">
        <f t="shared" si="123"/>
        <v>-459</v>
      </c>
      <c r="Q340" s="11">
        <v>0</v>
      </c>
      <c r="R340" s="11">
        <v>0</v>
      </c>
      <c r="S340" s="11">
        <v>0</v>
      </c>
      <c r="T340" s="10">
        <f t="shared" si="118"/>
        <v>949</v>
      </c>
      <c r="U340" s="9">
        <f t="shared" si="104"/>
        <v>2053</v>
      </c>
      <c r="V340" s="9">
        <f t="shared" si="105"/>
        <v>2049</v>
      </c>
      <c r="W340" s="9">
        <f t="shared" si="106"/>
        <v>2091</v>
      </c>
      <c r="X340" s="10"/>
      <c r="Y340" s="8"/>
      <c r="Z340" s="8"/>
      <c r="AA340" s="8"/>
      <c r="AB340" s="8"/>
    </row>
    <row r="341" spans="1:28" ht="13.15" customHeight="1">
      <c r="A341" s="13">
        <f t="shared" si="107"/>
        <v>327</v>
      </c>
      <c r="B341" s="14">
        <f t="shared" si="119"/>
        <v>45578</v>
      </c>
      <c r="C341" s="13">
        <f t="shared" si="120"/>
        <v>1069</v>
      </c>
      <c r="D341" s="12">
        <f t="shared" si="111"/>
        <v>1931</v>
      </c>
      <c r="E341" s="11">
        <f t="shared" si="112"/>
        <v>447</v>
      </c>
      <c r="F341" s="11">
        <f t="shared" si="113"/>
        <v>471</v>
      </c>
      <c r="G341" s="11">
        <f t="shared" si="114"/>
        <v>459</v>
      </c>
      <c r="H341" s="8">
        <f t="shared" si="115"/>
        <v>2553</v>
      </c>
      <c r="I341" s="8">
        <f t="shared" si="116"/>
        <v>2529</v>
      </c>
      <c r="J341" s="8">
        <f t="shared" si="117"/>
        <v>2541</v>
      </c>
      <c r="K341" s="8">
        <f t="shared" si="108"/>
        <v>3000</v>
      </c>
      <c r="L341" s="8">
        <f t="shared" si="109"/>
        <v>3000</v>
      </c>
      <c r="M341" s="8">
        <f t="shared" si="110"/>
        <v>3000</v>
      </c>
      <c r="N341" s="8">
        <f t="shared" si="121"/>
        <v>-447</v>
      </c>
      <c r="O341" s="8">
        <f t="shared" si="122"/>
        <v>-471</v>
      </c>
      <c r="P341" s="8">
        <f t="shared" si="123"/>
        <v>-459</v>
      </c>
      <c r="Q341" s="11">
        <v>0</v>
      </c>
      <c r="R341" s="11">
        <v>0</v>
      </c>
      <c r="S341" s="11">
        <v>0</v>
      </c>
      <c r="T341" s="10">
        <f t="shared" si="118"/>
        <v>951</v>
      </c>
      <c r="U341" s="9">
        <f t="shared" si="104"/>
        <v>2053</v>
      </c>
      <c r="V341" s="9">
        <f t="shared" si="105"/>
        <v>2049</v>
      </c>
      <c r="W341" s="9">
        <f t="shared" si="106"/>
        <v>2091</v>
      </c>
      <c r="X341" s="10"/>
      <c r="Y341" s="8"/>
      <c r="Z341" s="8"/>
      <c r="AA341" s="8"/>
      <c r="AB341" s="8"/>
    </row>
    <row r="342" spans="1:28" ht="13.15" customHeight="1">
      <c r="A342" s="13">
        <f t="shared" si="107"/>
        <v>328</v>
      </c>
      <c r="B342" s="14">
        <f t="shared" si="119"/>
        <v>45579</v>
      </c>
      <c r="C342" s="13">
        <f t="shared" si="120"/>
        <v>1069</v>
      </c>
      <c r="D342" s="12">
        <f t="shared" si="111"/>
        <v>1933</v>
      </c>
      <c r="E342" s="11">
        <f t="shared" si="112"/>
        <v>449</v>
      </c>
      <c r="F342" s="11">
        <f t="shared" si="113"/>
        <v>473</v>
      </c>
      <c r="G342" s="11">
        <f t="shared" si="114"/>
        <v>461</v>
      </c>
      <c r="H342" s="8">
        <f t="shared" si="115"/>
        <v>2553</v>
      </c>
      <c r="I342" s="8">
        <f t="shared" si="116"/>
        <v>2529</v>
      </c>
      <c r="J342" s="8">
        <f t="shared" si="117"/>
        <v>2541</v>
      </c>
      <c r="K342" s="8">
        <f t="shared" si="108"/>
        <v>3000</v>
      </c>
      <c r="L342" s="8">
        <f t="shared" si="109"/>
        <v>3000</v>
      </c>
      <c r="M342" s="8">
        <f t="shared" si="110"/>
        <v>3000</v>
      </c>
      <c r="N342" s="8">
        <f t="shared" si="121"/>
        <v>-447</v>
      </c>
      <c r="O342" s="8">
        <f t="shared" si="122"/>
        <v>-471</v>
      </c>
      <c r="P342" s="8">
        <f t="shared" si="123"/>
        <v>-459</v>
      </c>
      <c r="Q342" s="11">
        <v>0</v>
      </c>
      <c r="R342" s="11">
        <v>0</v>
      </c>
      <c r="S342" s="11">
        <v>0</v>
      </c>
      <c r="T342" s="10">
        <f t="shared" si="118"/>
        <v>953</v>
      </c>
      <c r="U342" s="9">
        <f t="shared" si="104"/>
        <v>2053</v>
      </c>
      <c r="V342" s="9">
        <f t="shared" si="105"/>
        <v>2049</v>
      </c>
      <c r="W342" s="9">
        <f t="shared" si="106"/>
        <v>2091</v>
      </c>
      <c r="X342" s="10"/>
      <c r="Y342" s="8"/>
      <c r="Z342" s="8"/>
      <c r="AA342" s="8"/>
      <c r="AB342" s="8"/>
    </row>
    <row r="343" spans="1:28" ht="13.15" customHeight="1">
      <c r="A343" s="13">
        <f t="shared" si="107"/>
        <v>329</v>
      </c>
      <c r="B343" s="14">
        <f t="shared" si="119"/>
        <v>45580</v>
      </c>
      <c r="C343" s="13">
        <f t="shared" si="120"/>
        <v>1069</v>
      </c>
      <c r="D343" s="12">
        <f t="shared" si="111"/>
        <v>1935</v>
      </c>
      <c r="E343" s="11">
        <f t="shared" si="112"/>
        <v>451</v>
      </c>
      <c r="F343" s="11">
        <f t="shared" si="113"/>
        <v>475</v>
      </c>
      <c r="G343" s="11">
        <f t="shared" si="114"/>
        <v>463</v>
      </c>
      <c r="H343" s="8">
        <f t="shared" si="115"/>
        <v>2553</v>
      </c>
      <c r="I343" s="8">
        <f t="shared" si="116"/>
        <v>2529</v>
      </c>
      <c r="J343" s="8">
        <f t="shared" si="117"/>
        <v>2541</v>
      </c>
      <c r="K343" s="8">
        <f t="shared" si="108"/>
        <v>3000</v>
      </c>
      <c r="L343" s="8">
        <f t="shared" si="109"/>
        <v>3000</v>
      </c>
      <c r="M343" s="8">
        <f t="shared" si="110"/>
        <v>3000</v>
      </c>
      <c r="N343" s="8">
        <f t="shared" si="121"/>
        <v>-447</v>
      </c>
      <c r="O343" s="8">
        <f t="shared" si="122"/>
        <v>-471</v>
      </c>
      <c r="P343" s="8">
        <f t="shared" si="123"/>
        <v>-459</v>
      </c>
      <c r="Q343" s="11">
        <v>0</v>
      </c>
      <c r="R343" s="11">
        <v>0</v>
      </c>
      <c r="S343" s="11">
        <v>0</v>
      </c>
      <c r="T343" s="10">
        <f t="shared" si="118"/>
        <v>955</v>
      </c>
      <c r="U343" s="9">
        <f t="shared" si="104"/>
        <v>2053</v>
      </c>
      <c r="V343" s="9">
        <f t="shared" si="105"/>
        <v>2049</v>
      </c>
      <c r="W343" s="9">
        <f t="shared" si="106"/>
        <v>2091</v>
      </c>
      <c r="X343" s="10"/>
      <c r="Y343" s="8"/>
      <c r="Z343" s="8"/>
      <c r="AA343" s="8"/>
      <c r="AB343" s="8"/>
    </row>
    <row r="344" spans="1:28" ht="13.15" customHeight="1">
      <c r="A344" s="13">
        <f t="shared" si="107"/>
        <v>330</v>
      </c>
      <c r="B344" s="14">
        <f t="shared" si="119"/>
        <v>45581</v>
      </c>
      <c r="C344" s="13">
        <f t="shared" si="120"/>
        <v>1069</v>
      </c>
      <c r="D344" s="12">
        <f t="shared" si="111"/>
        <v>1937</v>
      </c>
      <c r="E344" s="11">
        <f t="shared" si="112"/>
        <v>453</v>
      </c>
      <c r="F344" s="11">
        <f t="shared" si="113"/>
        <v>477</v>
      </c>
      <c r="G344" s="11">
        <f t="shared" si="114"/>
        <v>465</v>
      </c>
      <c r="H344" s="8">
        <f t="shared" si="115"/>
        <v>2553</v>
      </c>
      <c r="I344" s="8">
        <f t="shared" si="116"/>
        <v>2529</v>
      </c>
      <c r="J344" s="8">
        <f t="shared" si="117"/>
        <v>2541</v>
      </c>
      <c r="K344" s="8">
        <f t="shared" si="108"/>
        <v>3000</v>
      </c>
      <c r="L344" s="8">
        <f t="shared" si="109"/>
        <v>3000</v>
      </c>
      <c r="M344" s="8">
        <f t="shared" si="110"/>
        <v>3000</v>
      </c>
      <c r="N344" s="8">
        <f t="shared" si="121"/>
        <v>-447</v>
      </c>
      <c r="O344" s="8">
        <f t="shared" si="122"/>
        <v>-471</v>
      </c>
      <c r="P344" s="8">
        <f t="shared" si="123"/>
        <v>-459</v>
      </c>
      <c r="Q344" s="11">
        <v>0</v>
      </c>
      <c r="R344" s="11">
        <v>0</v>
      </c>
      <c r="S344" s="11">
        <v>0</v>
      </c>
      <c r="T344" s="10">
        <f t="shared" si="118"/>
        <v>957</v>
      </c>
      <c r="U344" s="9">
        <f t="shared" si="104"/>
        <v>2053</v>
      </c>
      <c r="V344" s="9">
        <f t="shared" si="105"/>
        <v>2049</v>
      </c>
      <c r="W344" s="9">
        <f t="shared" si="106"/>
        <v>2091</v>
      </c>
      <c r="X344" s="10"/>
      <c r="Y344" s="8"/>
      <c r="Z344" s="8"/>
      <c r="AA344" s="8"/>
      <c r="AB344" s="8"/>
    </row>
    <row r="345" spans="1:28" ht="13.15" customHeight="1">
      <c r="A345" s="13">
        <f t="shared" si="107"/>
        <v>331</v>
      </c>
      <c r="B345" s="14">
        <f t="shared" si="119"/>
        <v>45582</v>
      </c>
      <c r="C345" s="13">
        <f t="shared" si="120"/>
        <v>1069</v>
      </c>
      <c r="D345" s="12">
        <f t="shared" si="111"/>
        <v>1939</v>
      </c>
      <c r="E345" s="11">
        <f t="shared" si="112"/>
        <v>455</v>
      </c>
      <c r="F345" s="11">
        <f t="shared" si="113"/>
        <v>479</v>
      </c>
      <c r="G345" s="11">
        <f t="shared" si="114"/>
        <v>467</v>
      </c>
      <c r="H345" s="8">
        <f t="shared" si="115"/>
        <v>2553</v>
      </c>
      <c r="I345" s="8">
        <f t="shared" si="116"/>
        <v>2529</v>
      </c>
      <c r="J345" s="8">
        <f t="shared" si="117"/>
        <v>2541</v>
      </c>
      <c r="K345" s="8">
        <f t="shared" si="108"/>
        <v>3000</v>
      </c>
      <c r="L345" s="8">
        <f t="shared" si="109"/>
        <v>3000</v>
      </c>
      <c r="M345" s="8">
        <f t="shared" si="110"/>
        <v>3000</v>
      </c>
      <c r="N345" s="8">
        <f t="shared" si="121"/>
        <v>-447</v>
      </c>
      <c r="O345" s="8">
        <f t="shared" si="122"/>
        <v>-471</v>
      </c>
      <c r="P345" s="8">
        <f t="shared" si="123"/>
        <v>-459</v>
      </c>
      <c r="Q345" s="11">
        <v>0</v>
      </c>
      <c r="R345" s="11">
        <v>0</v>
      </c>
      <c r="S345" s="11">
        <v>0</v>
      </c>
      <c r="T345" s="10">
        <f t="shared" si="118"/>
        <v>959</v>
      </c>
      <c r="U345" s="9">
        <f t="shared" si="104"/>
        <v>2053</v>
      </c>
      <c r="V345" s="9">
        <f t="shared" si="105"/>
        <v>2049</v>
      </c>
      <c r="W345" s="9">
        <f t="shared" si="106"/>
        <v>2091</v>
      </c>
      <c r="X345" s="10"/>
      <c r="Y345" s="8"/>
      <c r="Z345" s="8"/>
      <c r="AA345" s="8"/>
      <c r="AB345" s="8"/>
    </row>
    <row r="346" spans="1:28" ht="13.15" customHeight="1">
      <c r="A346" s="13">
        <f t="shared" si="107"/>
        <v>332</v>
      </c>
      <c r="B346" s="14">
        <f t="shared" si="119"/>
        <v>45583</v>
      </c>
      <c r="C346" s="13">
        <f t="shared" si="120"/>
        <v>1069</v>
      </c>
      <c r="D346" s="12">
        <f t="shared" si="111"/>
        <v>1941</v>
      </c>
      <c r="E346" s="11">
        <f t="shared" si="112"/>
        <v>457</v>
      </c>
      <c r="F346" s="11">
        <f t="shared" si="113"/>
        <v>481</v>
      </c>
      <c r="G346" s="11">
        <f t="shared" si="114"/>
        <v>469</v>
      </c>
      <c r="H346" s="8">
        <f t="shared" si="115"/>
        <v>2553</v>
      </c>
      <c r="I346" s="8">
        <f t="shared" si="116"/>
        <v>2529</v>
      </c>
      <c r="J346" s="8">
        <f t="shared" si="117"/>
        <v>2541</v>
      </c>
      <c r="K346" s="8">
        <f t="shared" si="108"/>
        <v>3000</v>
      </c>
      <c r="L346" s="8">
        <f t="shared" si="109"/>
        <v>3000</v>
      </c>
      <c r="M346" s="8">
        <f t="shared" si="110"/>
        <v>3000</v>
      </c>
      <c r="N346" s="8">
        <f t="shared" si="121"/>
        <v>-447</v>
      </c>
      <c r="O346" s="8">
        <f t="shared" si="122"/>
        <v>-471</v>
      </c>
      <c r="P346" s="8">
        <f t="shared" si="123"/>
        <v>-459</v>
      </c>
      <c r="Q346" s="11">
        <v>0</v>
      </c>
      <c r="R346" s="11">
        <v>0</v>
      </c>
      <c r="S346" s="11">
        <v>0</v>
      </c>
      <c r="T346" s="10">
        <f t="shared" si="118"/>
        <v>961</v>
      </c>
      <c r="U346" s="9">
        <f t="shared" si="104"/>
        <v>2053</v>
      </c>
      <c r="V346" s="9">
        <f t="shared" si="105"/>
        <v>2049</v>
      </c>
      <c r="W346" s="9">
        <f t="shared" si="106"/>
        <v>2091</v>
      </c>
      <c r="X346" s="10"/>
      <c r="Y346" s="8"/>
      <c r="Z346" s="8"/>
      <c r="AA346" s="8"/>
      <c r="AB346" s="8"/>
    </row>
    <row r="347" spans="1:28" ht="13.15" customHeight="1">
      <c r="A347" s="13">
        <f t="shared" si="107"/>
        <v>333</v>
      </c>
      <c r="B347" s="14">
        <f t="shared" si="119"/>
        <v>45584</v>
      </c>
      <c r="C347" s="13">
        <f t="shared" si="120"/>
        <v>1069</v>
      </c>
      <c r="D347" s="12">
        <f t="shared" si="111"/>
        <v>1943</v>
      </c>
      <c r="E347" s="11">
        <f t="shared" si="112"/>
        <v>459</v>
      </c>
      <c r="F347" s="11">
        <f t="shared" si="113"/>
        <v>483</v>
      </c>
      <c r="G347" s="11">
        <f t="shared" si="114"/>
        <v>471</v>
      </c>
      <c r="H347" s="8">
        <f t="shared" si="115"/>
        <v>2553</v>
      </c>
      <c r="I347" s="8">
        <f t="shared" si="116"/>
        <v>2529</v>
      </c>
      <c r="J347" s="8">
        <f t="shared" si="117"/>
        <v>2541</v>
      </c>
      <c r="K347" s="8">
        <f t="shared" si="108"/>
        <v>3000</v>
      </c>
      <c r="L347" s="8">
        <f t="shared" si="109"/>
        <v>3000</v>
      </c>
      <c r="M347" s="8">
        <f t="shared" si="110"/>
        <v>3000</v>
      </c>
      <c r="N347" s="8">
        <f t="shared" si="121"/>
        <v>-447</v>
      </c>
      <c r="O347" s="8">
        <f t="shared" si="122"/>
        <v>-471</v>
      </c>
      <c r="P347" s="8">
        <f t="shared" si="123"/>
        <v>-459</v>
      </c>
      <c r="Q347" s="11">
        <v>0</v>
      </c>
      <c r="R347" s="11">
        <v>0</v>
      </c>
      <c r="S347" s="11">
        <v>0</v>
      </c>
      <c r="T347" s="10">
        <f t="shared" si="118"/>
        <v>963</v>
      </c>
      <c r="U347" s="9">
        <f t="shared" si="104"/>
        <v>2053</v>
      </c>
      <c r="V347" s="9">
        <f t="shared" si="105"/>
        <v>2049</v>
      </c>
      <c r="W347" s="9">
        <f t="shared" si="106"/>
        <v>2091</v>
      </c>
      <c r="X347" s="10"/>
      <c r="Y347" s="8"/>
      <c r="Z347" s="8"/>
      <c r="AA347" s="8"/>
      <c r="AB347" s="8"/>
    </row>
    <row r="348" spans="1:28" ht="13.15" customHeight="1">
      <c r="A348" s="13">
        <f t="shared" si="107"/>
        <v>334</v>
      </c>
      <c r="B348" s="14">
        <f t="shared" si="119"/>
        <v>45585</v>
      </c>
      <c r="C348" s="13">
        <f t="shared" si="120"/>
        <v>1069</v>
      </c>
      <c r="D348" s="12">
        <f t="shared" si="111"/>
        <v>1945</v>
      </c>
      <c r="E348" s="11">
        <f t="shared" si="112"/>
        <v>461</v>
      </c>
      <c r="F348" s="11">
        <f t="shared" si="113"/>
        <v>485</v>
      </c>
      <c r="G348" s="11">
        <f t="shared" si="114"/>
        <v>473</v>
      </c>
      <c r="H348" s="8">
        <f t="shared" si="115"/>
        <v>2553</v>
      </c>
      <c r="I348" s="8">
        <f t="shared" si="116"/>
        <v>2529</v>
      </c>
      <c r="J348" s="8">
        <f t="shared" si="117"/>
        <v>2541</v>
      </c>
      <c r="K348" s="8">
        <f t="shared" si="108"/>
        <v>3000</v>
      </c>
      <c r="L348" s="8">
        <f t="shared" si="109"/>
        <v>3000</v>
      </c>
      <c r="M348" s="8">
        <f t="shared" si="110"/>
        <v>3000</v>
      </c>
      <c r="N348" s="8">
        <f t="shared" si="121"/>
        <v>-447</v>
      </c>
      <c r="O348" s="8">
        <f t="shared" si="122"/>
        <v>-471</v>
      </c>
      <c r="P348" s="8">
        <f t="shared" si="123"/>
        <v>-459</v>
      </c>
      <c r="Q348" s="11">
        <v>0</v>
      </c>
      <c r="R348" s="11">
        <v>0</v>
      </c>
      <c r="S348" s="11">
        <v>0</v>
      </c>
      <c r="T348" s="10">
        <f t="shared" si="118"/>
        <v>965</v>
      </c>
      <c r="U348" s="9">
        <f t="shared" si="104"/>
        <v>2053</v>
      </c>
      <c r="V348" s="9">
        <f t="shared" si="105"/>
        <v>2049</v>
      </c>
      <c r="W348" s="9">
        <f t="shared" si="106"/>
        <v>2091</v>
      </c>
      <c r="X348" s="10"/>
      <c r="Y348" s="8"/>
      <c r="Z348" s="8"/>
      <c r="AA348" s="8"/>
      <c r="AB348" s="8"/>
    </row>
    <row r="349" spans="1:28" ht="13.15" customHeight="1">
      <c r="A349" s="13">
        <f t="shared" si="107"/>
        <v>335</v>
      </c>
      <c r="B349" s="14">
        <f t="shared" si="119"/>
        <v>45586</v>
      </c>
      <c r="C349" s="13">
        <f t="shared" si="120"/>
        <v>1069</v>
      </c>
      <c r="D349" s="12">
        <f t="shared" si="111"/>
        <v>1947</v>
      </c>
      <c r="E349" s="11">
        <f t="shared" si="112"/>
        <v>463</v>
      </c>
      <c r="F349" s="11">
        <f t="shared" si="113"/>
        <v>487</v>
      </c>
      <c r="G349" s="11">
        <f t="shared" si="114"/>
        <v>475</v>
      </c>
      <c r="H349" s="8">
        <f t="shared" si="115"/>
        <v>2553</v>
      </c>
      <c r="I349" s="8">
        <f t="shared" si="116"/>
        <v>2529</v>
      </c>
      <c r="J349" s="8">
        <f t="shared" si="117"/>
        <v>2541</v>
      </c>
      <c r="K349" s="8">
        <f t="shared" si="108"/>
        <v>3000</v>
      </c>
      <c r="L349" s="8">
        <f t="shared" si="109"/>
        <v>3000</v>
      </c>
      <c r="M349" s="8">
        <f t="shared" si="110"/>
        <v>3000</v>
      </c>
      <c r="N349" s="8">
        <f t="shared" si="121"/>
        <v>-447</v>
      </c>
      <c r="O349" s="8">
        <f t="shared" si="122"/>
        <v>-471</v>
      </c>
      <c r="P349" s="8">
        <f t="shared" si="123"/>
        <v>-459</v>
      </c>
      <c r="Q349" s="11">
        <v>0</v>
      </c>
      <c r="R349" s="11">
        <v>0</v>
      </c>
      <c r="S349" s="11">
        <v>0</v>
      </c>
      <c r="T349" s="10">
        <f t="shared" si="118"/>
        <v>967</v>
      </c>
      <c r="U349" s="9">
        <f t="shared" si="104"/>
        <v>2053</v>
      </c>
      <c r="V349" s="9">
        <f t="shared" si="105"/>
        <v>2049</v>
      </c>
      <c r="W349" s="9">
        <f t="shared" si="106"/>
        <v>2091</v>
      </c>
      <c r="X349" s="10"/>
      <c r="Y349" s="8"/>
      <c r="Z349" s="8"/>
      <c r="AA349" s="8"/>
      <c r="AB349" s="8"/>
    </row>
    <row r="350" spans="1:28" ht="13.15" customHeight="1">
      <c r="A350" s="13">
        <f t="shared" si="107"/>
        <v>336</v>
      </c>
      <c r="B350" s="14">
        <f t="shared" si="119"/>
        <v>45587</v>
      </c>
      <c r="C350" s="13">
        <f t="shared" si="120"/>
        <v>1069</v>
      </c>
      <c r="D350" s="12">
        <f t="shared" si="111"/>
        <v>1949</v>
      </c>
      <c r="E350" s="11">
        <f t="shared" si="112"/>
        <v>465</v>
      </c>
      <c r="F350" s="11">
        <f t="shared" si="113"/>
        <v>489</v>
      </c>
      <c r="G350" s="11">
        <f t="shared" si="114"/>
        <v>477</v>
      </c>
      <c r="H350" s="8">
        <f t="shared" si="115"/>
        <v>2553</v>
      </c>
      <c r="I350" s="8">
        <f t="shared" si="116"/>
        <v>2529</v>
      </c>
      <c r="J350" s="8">
        <f t="shared" si="117"/>
        <v>2541</v>
      </c>
      <c r="K350" s="8">
        <f t="shared" si="108"/>
        <v>3000</v>
      </c>
      <c r="L350" s="8">
        <f t="shared" si="109"/>
        <v>3000</v>
      </c>
      <c r="M350" s="8">
        <f t="shared" si="110"/>
        <v>3000</v>
      </c>
      <c r="N350" s="8">
        <f t="shared" si="121"/>
        <v>-447</v>
      </c>
      <c r="O350" s="8">
        <f t="shared" si="122"/>
        <v>-471</v>
      </c>
      <c r="P350" s="8">
        <f t="shared" si="123"/>
        <v>-459</v>
      </c>
      <c r="Q350" s="11">
        <v>0</v>
      </c>
      <c r="R350" s="11">
        <v>0</v>
      </c>
      <c r="S350" s="11">
        <v>0</v>
      </c>
      <c r="T350" s="10">
        <f t="shared" si="118"/>
        <v>969</v>
      </c>
      <c r="U350" s="9">
        <f t="shared" si="104"/>
        <v>2053</v>
      </c>
      <c r="V350" s="9">
        <f t="shared" si="105"/>
        <v>2049</v>
      </c>
      <c r="W350" s="9">
        <f t="shared" si="106"/>
        <v>2091</v>
      </c>
      <c r="X350" s="10"/>
      <c r="Y350" s="8"/>
      <c r="Z350" s="8"/>
      <c r="AA350" s="8"/>
      <c r="AB350" s="8"/>
    </row>
    <row r="351" spans="1:28" ht="13.15" customHeight="1">
      <c r="A351" s="13">
        <f t="shared" si="107"/>
        <v>337</v>
      </c>
      <c r="B351" s="14">
        <f t="shared" si="119"/>
        <v>45588</v>
      </c>
      <c r="C351" s="13">
        <f t="shared" si="120"/>
        <v>1069</v>
      </c>
      <c r="D351" s="12">
        <f t="shared" si="111"/>
        <v>1951</v>
      </c>
      <c r="E351" s="11">
        <f t="shared" si="112"/>
        <v>467</v>
      </c>
      <c r="F351" s="11">
        <f t="shared" si="113"/>
        <v>491</v>
      </c>
      <c r="G351" s="11">
        <f t="shared" si="114"/>
        <v>479</v>
      </c>
      <c r="H351" s="8">
        <f t="shared" si="115"/>
        <v>2553</v>
      </c>
      <c r="I351" s="8">
        <f t="shared" si="116"/>
        <v>2529</v>
      </c>
      <c r="J351" s="8">
        <f t="shared" si="117"/>
        <v>2541</v>
      </c>
      <c r="K351" s="8">
        <f t="shared" si="108"/>
        <v>3000</v>
      </c>
      <c r="L351" s="8">
        <f t="shared" si="109"/>
        <v>3000</v>
      </c>
      <c r="M351" s="8">
        <f t="shared" si="110"/>
        <v>3000</v>
      </c>
      <c r="N351" s="8">
        <f t="shared" si="121"/>
        <v>-447</v>
      </c>
      <c r="O351" s="8">
        <f t="shared" si="122"/>
        <v>-471</v>
      </c>
      <c r="P351" s="8">
        <f t="shared" si="123"/>
        <v>-459</v>
      </c>
      <c r="Q351" s="11">
        <v>0</v>
      </c>
      <c r="R351" s="11">
        <v>0</v>
      </c>
      <c r="S351" s="11">
        <v>0</v>
      </c>
      <c r="T351" s="10">
        <f t="shared" si="118"/>
        <v>971</v>
      </c>
      <c r="U351" s="9">
        <f t="shared" si="104"/>
        <v>2053</v>
      </c>
      <c r="V351" s="9">
        <f t="shared" si="105"/>
        <v>2049</v>
      </c>
      <c r="W351" s="9">
        <f t="shared" si="106"/>
        <v>2091</v>
      </c>
      <c r="X351" s="10"/>
      <c r="Y351" s="8"/>
      <c r="Z351" s="8"/>
      <c r="AA351" s="8"/>
      <c r="AB351" s="8"/>
    </row>
    <row r="352" spans="1:28" ht="13.15" customHeight="1">
      <c r="A352" s="13">
        <f t="shared" si="107"/>
        <v>338</v>
      </c>
      <c r="B352" s="14">
        <f t="shared" si="119"/>
        <v>45589</v>
      </c>
      <c r="C352" s="13">
        <f t="shared" si="120"/>
        <v>1069</v>
      </c>
      <c r="D352" s="12">
        <f t="shared" si="111"/>
        <v>1953</v>
      </c>
      <c r="E352" s="11">
        <f t="shared" si="112"/>
        <v>469</v>
      </c>
      <c r="F352" s="11">
        <f t="shared" si="113"/>
        <v>493</v>
      </c>
      <c r="G352" s="11">
        <f t="shared" si="114"/>
        <v>481</v>
      </c>
      <c r="H352" s="8">
        <f t="shared" si="115"/>
        <v>2553</v>
      </c>
      <c r="I352" s="8">
        <f t="shared" si="116"/>
        <v>2529</v>
      </c>
      <c r="J352" s="8">
        <f t="shared" si="117"/>
        <v>2541</v>
      </c>
      <c r="K352" s="8">
        <f t="shared" si="108"/>
        <v>3000</v>
      </c>
      <c r="L352" s="8">
        <f t="shared" si="109"/>
        <v>3000</v>
      </c>
      <c r="M352" s="8">
        <f t="shared" si="110"/>
        <v>3000</v>
      </c>
      <c r="N352" s="8">
        <f t="shared" si="121"/>
        <v>-447</v>
      </c>
      <c r="O352" s="8">
        <f t="shared" si="122"/>
        <v>-471</v>
      </c>
      <c r="P352" s="8">
        <f t="shared" si="123"/>
        <v>-459</v>
      </c>
      <c r="Q352" s="11">
        <v>0</v>
      </c>
      <c r="R352" s="11">
        <v>0</v>
      </c>
      <c r="S352" s="11">
        <v>0</v>
      </c>
      <c r="T352" s="10">
        <f t="shared" si="118"/>
        <v>973</v>
      </c>
      <c r="U352" s="9">
        <f t="shared" si="104"/>
        <v>2053</v>
      </c>
      <c r="V352" s="9">
        <f t="shared" si="105"/>
        <v>2049</v>
      </c>
      <c r="W352" s="9">
        <f t="shared" si="106"/>
        <v>2091</v>
      </c>
      <c r="X352" s="10"/>
      <c r="Y352" s="8"/>
      <c r="Z352" s="8"/>
      <c r="AA352" s="8"/>
      <c r="AB352" s="8"/>
    </row>
    <row r="353" spans="1:28" ht="13.15" customHeight="1">
      <c r="A353" s="13">
        <f t="shared" si="107"/>
        <v>339</v>
      </c>
      <c r="B353" s="14">
        <f t="shared" si="119"/>
        <v>45590</v>
      </c>
      <c r="C353" s="13">
        <f t="shared" si="120"/>
        <v>1069</v>
      </c>
      <c r="D353" s="12">
        <f t="shared" si="111"/>
        <v>1955</v>
      </c>
      <c r="E353" s="11">
        <f t="shared" si="112"/>
        <v>471</v>
      </c>
      <c r="F353" s="11">
        <f t="shared" si="113"/>
        <v>495</v>
      </c>
      <c r="G353" s="11">
        <f t="shared" si="114"/>
        <v>483</v>
      </c>
      <c r="H353" s="8">
        <f t="shared" si="115"/>
        <v>2553</v>
      </c>
      <c r="I353" s="8">
        <f t="shared" si="116"/>
        <v>2529</v>
      </c>
      <c r="J353" s="8">
        <f t="shared" si="117"/>
        <v>2541</v>
      </c>
      <c r="K353" s="8">
        <f t="shared" si="108"/>
        <v>3000</v>
      </c>
      <c r="L353" s="8">
        <f t="shared" si="109"/>
        <v>3000</v>
      </c>
      <c r="M353" s="8">
        <f t="shared" si="110"/>
        <v>3000</v>
      </c>
      <c r="N353" s="8">
        <f t="shared" si="121"/>
        <v>-447</v>
      </c>
      <c r="O353" s="8">
        <f t="shared" si="122"/>
        <v>-471</v>
      </c>
      <c r="P353" s="8">
        <f t="shared" si="123"/>
        <v>-459</v>
      </c>
      <c r="Q353" s="11">
        <v>0</v>
      </c>
      <c r="R353" s="11">
        <v>0</v>
      </c>
      <c r="S353" s="11">
        <v>0</v>
      </c>
      <c r="T353" s="10">
        <f t="shared" si="118"/>
        <v>975</v>
      </c>
      <c r="U353" s="9">
        <f t="shared" si="104"/>
        <v>2053</v>
      </c>
      <c r="V353" s="9">
        <f t="shared" si="105"/>
        <v>2049</v>
      </c>
      <c r="W353" s="9">
        <f t="shared" si="106"/>
        <v>2091</v>
      </c>
      <c r="X353" s="10"/>
      <c r="Y353" s="8"/>
      <c r="Z353" s="8"/>
      <c r="AA353" s="8"/>
      <c r="AB353" s="8"/>
    </row>
    <row r="354" spans="1:28" ht="13.15" customHeight="1">
      <c r="A354" s="13">
        <f t="shared" si="107"/>
        <v>340</v>
      </c>
      <c r="B354" s="14">
        <f t="shared" si="119"/>
        <v>45591</v>
      </c>
      <c r="C354" s="13">
        <f t="shared" si="120"/>
        <v>1069</v>
      </c>
      <c r="D354" s="12">
        <f t="shared" si="111"/>
        <v>1957</v>
      </c>
      <c r="E354" s="11">
        <f t="shared" si="112"/>
        <v>473</v>
      </c>
      <c r="F354" s="11">
        <f t="shared" si="113"/>
        <v>497</v>
      </c>
      <c r="G354" s="11">
        <f t="shared" si="114"/>
        <v>485</v>
      </c>
      <c r="H354" s="8">
        <f t="shared" si="115"/>
        <v>2553</v>
      </c>
      <c r="I354" s="8">
        <f t="shared" si="116"/>
        <v>2529</v>
      </c>
      <c r="J354" s="8">
        <f t="shared" si="117"/>
        <v>2541</v>
      </c>
      <c r="K354" s="8">
        <f t="shared" si="108"/>
        <v>3000</v>
      </c>
      <c r="L354" s="8">
        <f t="shared" si="109"/>
        <v>3000</v>
      </c>
      <c r="M354" s="8">
        <f t="shared" si="110"/>
        <v>3000</v>
      </c>
      <c r="N354" s="8">
        <f t="shared" si="121"/>
        <v>-447</v>
      </c>
      <c r="O354" s="8">
        <f t="shared" si="122"/>
        <v>-471</v>
      </c>
      <c r="P354" s="8">
        <f t="shared" si="123"/>
        <v>-459</v>
      </c>
      <c r="Q354" s="11">
        <v>0</v>
      </c>
      <c r="R354" s="11">
        <v>0</v>
      </c>
      <c r="S354" s="11">
        <v>0</v>
      </c>
      <c r="T354" s="10">
        <f t="shared" si="118"/>
        <v>977</v>
      </c>
      <c r="U354" s="9">
        <f t="shared" si="104"/>
        <v>2053</v>
      </c>
      <c r="V354" s="9">
        <f t="shared" si="105"/>
        <v>2049</v>
      </c>
      <c r="W354" s="9">
        <f t="shared" si="106"/>
        <v>2091</v>
      </c>
      <c r="X354" s="10"/>
      <c r="Y354" s="8"/>
      <c r="Z354" s="8"/>
      <c r="AA354" s="8"/>
      <c r="AB354" s="8"/>
    </row>
    <row r="355" spans="1:28" ht="13.15" customHeight="1">
      <c r="A355" s="13">
        <f t="shared" si="107"/>
        <v>341</v>
      </c>
      <c r="B355" s="14">
        <f t="shared" si="119"/>
        <v>45592</v>
      </c>
      <c r="C355" s="13">
        <f t="shared" si="120"/>
        <v>1069</v>
      </c>
      <c r="D355" s="12">
        <f t="shared" si="111"/>
        <v>1959</v>
      </c>
      <c r="E355" s="11">
        <f t="shared" si="112"/>
        <v>475</v>
      </c>
      <c r="F355" s="11">
        <f t="shared" si="113"/>
        <v>499</v>
      </c>
      <c r="G355" s="11">
        <f t="shared" si="114"/>
        <v>487</v>
      </c>
      <c r="H355" s="8">
        <f t="shared" si="115"/>
        <v>2553</v>
      </c>
      <c r="I355" s="8">
        <f t="shared" si="116"/>
        <v>2529</v>
      </c>
      <c r="J355" s="8">
        <f t="shared" si="117"/>
        <v>2541</v>
      </c>
      <c r="K355" s="8">
        <f t="shared" si="108"/>
        <v>3000</v>
      </c>
      <c r="L355" s="8">
        <f t="shared" si="109"/>
        <v>3000</v>
      </c>
      <c r="M355" s="8">
        <f t="shared" si="110"/>
        <v>3000</v>
      </c>
      <c r="N355" s="8">
        <f t="shared" si="121"/>
        <v>-447</v>
      </c>
      <c r="O355" s="8">
        <f t="shared" si="122"/>
        <v>-471</v>
      </c>
      <c r="P355" s="8">
        <f t="shared" si="123"/>
        <v>-459</v>
      </c>
      <c r="Q355" s="11">
        <v>0</v>
      </c>
      <c r="R355" s="11">
        <v>0</v>
      </c>
      <c r="S355" s="11">
        <v>0</v>
      </c>
      <c r="T355" s="10">
        <f t="shared" si="118"/>
        <v>979</v>
      </c>
      <c r="U355" s="9">
        <f t="shared" ref="U355:U418" si="124">U354+$X355*1000-Q355</f>
        <v>2053</v>
      </c>
      <c r="V355" s="9">
        <f t="shared" si="105"/>
        <v>2049</v>
      </c>
      <c r="W355" s="9">
        <f t="shared" si="106"/>
        <v>2091</v>
      </c>
      <c r="X355" s="10"/>
      <c r="Y355" s="8"/>
      <c r="Z355" s="8"/>
      <c r="AA355" s="8"/>
      <c r="AB355" s="8"/>
    </row>
    <row r="356" spans="1:28" ht="13.15" customHeight="1">
      <c r="A356" s="13">
        <f t="shared" si="107"/>
        <v>342</v>
      </c>
      <c r="B356" s="14">
        <f t="shared" si="119"/>
        <v>45593</v>
      </c>
      <c r="C356" s="13">
        <f t="shared" si="120"/>
        <v>1069</v>
      </c>
      <c r="D356" s="12">
        <f t="shared" si="111"/>
        <v>1961</v>
      </c>
      <c r="E356" s="11">
        <f t="shared" si="112"/>
        <v>477</v>
      </c>
      <c r="F356" s="11">
        <f t="shared" si="113"/>
        <v>501</v>
      </c>
      <c r="G356" s="11">
        <f t="shared" si="114"/>
        <v>489</v>
      </c>
      <c r="H356" s="8">
        <f t="shared" si="115"/>
        <v>2553</v>
      </c>
      <c r="I356" s="8">
        <f t="shared" si="116"/>
        <v>2529</v>
      </c>
      <c r="J356" s="8">
        <f t="shared" si="117"/>
        <v>2541</v>
      </c>
      <c r="K356" s="8">
        <f t="shared" si="108"/>
        <v>3000</v>
      </c>
      <c r="L356" s="8">
        <f t="shared" si="109"/>
        <v>3000</v>
      </c>
      <c r="M356" s="8">
        <f t="shared" si="110"/>
        <v>3000</v>
      </c>
      <c r="N356" s="8">
        <f t="shared" si="121"/>
        <v>-447</v>
      </c>
      <c r="O356" s="8">
        <f t="shared" si="122"/>
        <v>-471</v>
      </c>
      <c r="P356" s="8">
        <f t="shared" si="123"/>
        <v>-459</v>
      </c>
      <c r="Q356" s="11">
        <v>0</v>
      </c>
      <c r="R356" s="11">
        <v>0</v>
      </c>
      <c r="S356" s="11">
        <v>0</v>
      </c>
      <c r="T356" s="10">
        <f t="shared" si="118"/>
        <v>981</v>
      </c>
      <c r="U356" s="9">
        <f t="shared" si="124"/>
        <v>2053</v>
      </c>
      <c r="V356" s="9">
        <f t="shared" ref="V356:V419" si="125">V355+$X356*1000-R356</f>
        <v>2049</v>
      </c>
      <c r="W356" s="9">
        <f t="shared" ref="W356:W419" si="126">W355+$X356*1000-S356</f>
        <v>2091</v>
      </c>
      <c r="X356" s="10"/>
      <c r="Y356" s="8"/>
      <c r="Z356" s="8"/>
      <c r="AA356" s="8"/>
      <c r="AB356" s="8"/>
    </row>
    <row r="357" spans="1:28" ht="13.15" customHeight="1">
      <c r="A357" s="13">
        <f t="shared" si="107"/>
        <v>343</v>
      </c>
      <c r="B357" s="14">
        <f t="shared" si="119"/>
        <v>45594</v>
      </c>
      <c r="C357" s="13">
        <f t="shared" si="120"/>
        <v>1069</v>
      </c>
      <c r="D357" s="12">
        <f t="shared" si="111"/>
        <v>1963</v>
      </c>
      <c r="E357" s="11">
        <f t="shared" si="112"/>
        <v>479</v>
      </c>
      <c r="F357" s="11">
        <f t="shared" si="113"/>
        <v>503</v>
      </c>
      <c r="G357" s="11">
        <f t="shared" si="114"/>
        <v>491</v>
      </c>
      <c r="H357" s="8">
        <f t="shared" si="115"/>
        <v>2553</v>
      </c>
      <c r="I357" s="8">
        <f t="shared" si="116"/>
        <v>2529</v>
      </c>
      <c r="J357" s="8">
        <f t="shared" si="117"/>
        <v>2541</v>
      </c>
      <c r="K357" s="8">
        <f t="shared" si="108"/>
        <v>3000</v>
      </c>
      <c r="L357" s="8">
        <f t="shared" si="109"/>
        <v>3000</v>
      </c>
      <c r="M357" s="8">
        <f t="shared" si="110"/>
        <v>3000</v>
      </c>
      <c r="N357" s="8">
        <f t="shared" si="121"/>
        <v>-447</v>
      </c>
      <c r="O357" s="8">
        <f t="shared" si="122"/>
        <v>-471</v>
      </c>
      <c r="P357" s="8">
        <f t="shared" si="123"/>
        <v>-459</v>
      </c>
      <c r="Q357" s="11">
        <v>0</v>
      </c>
      <c r="R357" s="11">
        <v>0</v>
      </c>
      <c r="S357" s="11">
        <v>0</v>
      </c>
      <c r="T357" s="10">
        <f t="shared" si="118"/>
        <v>983</v>
      </c>
      <c r="U357" s="9">
        <f t="shared" si="124"/>
        <v>2053</v>
      </c>
      <c r="V357" s="9">
        <f t="shared" si="125"/>
        <v>2049</v>
      </c>
      <c r="W357" s="9">
        <f t="shared" si="126"/>
        <v>2091</v>
      </c>
      <c r="X357" s="10"/>
      <c r="Y357" s="8"/>
      <c r="Z357" s="8"/>
      <c r="AA357" s="8"/>
      <c r="AB357" s="8"/>
    </row>
    <row r="358" spans="1:28" ht="13.15" customHeight="1">
      <c r="A358" s="13">
        <f t="shared" si="107"/>
        <v>344</v>
      </c>
      <c r="B358" s="14">
        <f t="shared" si="119"/>
        <v>45595</v>
      </c>
      <c r="C358" s="13">
        <f t="shared" si="120"/>
        <v>1069</v>
      </c>
      <c r="D358" s="12">
        <f t="shared" si="111"/>
        <v>1965</v>
      </c>
      <c r="E358" s="11">
        <f t="shared" si="112"/>
        <v>481</v>
      </c>
      <c r="F358" s="11">
        <f t="shared" si="113"/>
        <v>505</v>
      </c>
      <c r="G358" s="11">
        <f t="shared" si="114"/>
        <v>493</v>
      </c>
      <c r="H358" s="8">
        <f t="shared" si="115"/>
        <v>2553</v>
      </c>
      <c r="I358" s="8">
        <f t="shared" si="116"/>
        <v>2529</v>
      </c>
      <c r="J358" s="8">
        <f t="shared" si="117"/>
        <v>2541</v>
      </c>
      <c r="K358" s="8">
        <f t="shared" si="108"/>
        <v>3000</v>
      </c>
      <c r="L358" s="8">
        <f t="shared" si="109"/>
        <v>3000</v>
      </c>
      <c r="M358" s="8">
        <f t="shared" si="110"/>
        <v>3000</v>
      </c>
      <c r="N358" s="8">
        <f t="shared" si="121"/>
        <v>-447</v>
      </c>
      <c r="O358" s="8">
        <f t="shared" si="122"/>
        <v>-471</v>
      </c>
      <c r="P358" s="8">
        <f t="shared" si="123"/>
        <v>-459</v>
      </c>
      <c r="Q358" s="11">
        <v>0</v>
      </c>
      <c r="R358" s="11">
        <v>0</v>
      </c>
      <c r="S358" s="11">
        <v>0</v>
      </c>
      <c r="T358" s="10">
        <f t="shared" si="118"/>
        <v>985</v>
      </c>
      <c r="U358" s="9">
        <f t="shared" si="124"/>
        <v>2053</v>
      </c>
      <c r="V358" s="9">
        <f t="shared" si="125"/>
        <v>2049</v>
      </c>
      <c r="W358" s="9">
        <f t="shared" si="126"/>
        <v>2091</v>
      </c>
      <c r="X358" s="10"/>
      <c r="Y358" s="8"/>
      <c r="Z358" s="8"/>
      <c r="AA358" s="8"/>
      <c r="AB358" s="8"/>
    </row>
    <row r="359" spans="1:28" ht="13.15" customHeight="1">
      <c r="A359" s="13">
        <f t="shared" si="107"/>
        <v>345</v>
      </c>
      <c r="B359" s="14">
        <f t="shared" si="119"/>
        <v>45596</v>
      </c>
      <c r="C359" s="13">
        <f t="shared" si="120"/>
        <v>1069</v>
      </c>
      <c r="D359" s="12">
        <f t="shared" si="111"/>
        <v>1967</v>
      </c>
      <c r="E359" s="11">
        <f t="shared" si="112"/>
        <v>483</v>
      </c>
      <c r="F359" s="11">
        <f t="shared" si="113"/>
        <v>507</v>
      </c>
      <c r="G359" s="11">
        <f t="shared" si="114"/>
        <v>495</v>
      </c>
      <c r="H359" s="8">
        <f t="shared" si="115"/>
        <v>2553</v>
      </c>
      <c r="I359" s="8">
        <f t="shared" si="116"/>
        <v>2529</v>
      </c>
      <c r="J359" s="8">
        <f t="shared" si="117"/>
        <v>2541</v>
      </c>
      <c r="K359" s="8">
        <f t="shared" si="108"/>
        <v>3000</v>
      </c>
      <c r="L359" s="8">
        <f t="shared" si="109"/>
        <v>3000</v>
      </c>
      <c r="M359" s="8">
        <f t="shared" si="110"/>
        <v>3000</v>
      </c>
      <c r="N359" s="8">
        <f t="shared" si="121"/>
        <v>-447</v>
      </c>
      <c r="O359" s="8">
        <f t="shared" si="122"/>
        <v>-471</v>
      </c>
      <c r="P359" s="8">
        <f t="shared" si="123"/>
        <v>-459</v>
      </c>
      <c r="Q359" s="11">
        <v>0</v>
      </c>
      <c r="R359" s="11">
        <v>0</v>
      </c>
      <c r="S359" s="11">
        <v>0</v>
      </c>
      <c r="T359" s="10">
        <f t="shared" si="118"/>
        <v>987</v>
      </c>
      <c r="U359" s="9">
        <f t="shared" si="124"/>
        <v>2053</v>
      </c>
      <c r="V359" s="9">
        <f t="shared" si="125"/>
        <v>2049</v>
      </c>
      <c r="W359" s="9">
        <f t="shared" si="126"/>
        <v>2091</v>
      </c>
      <c r="X359" s="10"/>
      <c r="Y359" s="8"/>
      <c r="Z359" s="8"/>
      <c r="AA359" s="8"/>
      <c r="AB359" s="8"/>
    </row>
    <row r="360" spans="1:28" ht="13.15" customHeight="1">
      <c r="A360" s="13">
        <f t="shared" si="107"/>
        <v>346</v>
      </c>
      <c r="B360" s="14">
        <f t="shared" si="119"/>
        <v>45597</v>
      </c>
      <c r="C360" s="13">
        <f t="shared" si="120"/>
        <v>1069</v>
      </c>
      <c r="D360" s="12">
        <f t="shared" si="111"/>
        <v>1969</v>
      </c>
      <c r="E360" s="11">
        <f t="shared" si="112"/>
        <v>485</v>
      </c>
      <c r="F360" s="11">
        <f t="shared" si="113"/>
        <v>509</v>
      </c>
      <c r="G360" s="11">
        <f t="shared" si="114"/>
        <v>497</v>
      </c>
      <c r="H360" s="8">
        <f t="shared" si="115"/>
        <v>2553</v>
      </c>
      <c r="I360" s="8">
        <f t="shared" si="116"/>
        <v>2529</v>
      </c>
      <c r="J360" s="8">
        <f t="shared" si="117"/>
        <v>2541</v>
      </c>
      <c r="K360" s="8">
        <f t="shared" si="108"/>
        <v>3000</v>
      </c>
      <c r="L360" s="8">
        <f t="shared" si="109"/>
        <v>3000</v>
      </c>
      <c r="M360" s="8">
        <f t="shared" si="110"/>
        <v>3000</v>
      </c>
      <c r="N360" s="8">
        <f t="shared" si="121"/>
        <v>-447</v>
      </c>
      <c r="O360" s="8">
        <f t="shared" si="122"/>
        <v>-471</v>
      </c>
      <c r="P360" s="8">
        <f t="shared" si="123"/>
        <v>-459</v>
      </c>
      <c r="Q360" s="11">
        <v>0</v>
      </c>
      <c r="R360" s="11">
        <v>0</v>
      </c>
      <c r="S360" s="11">
        <v>0</v>
      </c>
      <c r="T360" s="10">
        <f t="shared" si="118"/>
        <v>989</v>
      </c>
      <c r="U360" s="9">
        <f t="shared" si="124"/>
        <v>2053</v>
      </c>
      <c r="V360" s="9">
        <f t="shared" si="125"/>
        <v>2049</v>
      </c>
      <c r="W360" s="9">
        <f t="shared" si="126"/>
        <v>2091</v>
      </c>
      <c r="X360" s="10"/>
      <c r="Y360" s="8"/>
      <c r="Z360" s="8"/>
      <c r="AA360" s="8"/>
      <c r="AB360" s="8"/>
    </row>
    <row r="361" spans="1:28" ht="13.15" customHeight="1">
      <c r="A361" s="13">
        <f t="shared" si="107"/>
        <v>347</v>
      </c>
      <c r="B361" s="14">
        <f t="shared" si="119"/>
        <v>45598</v>
      </c>
      <c r="C361" s="13">
        <f t="shared" si="120"/>
        <v>1069</v>
      </c>
      <c r="D361" s="12">
        <f t="shared" si="111"/>
        <v>1971</v>
      </c>
      <c r="E361" s="11">
        <f t="shared" si="112"/>
        <v>487</v>
      </c>
      <c r="F361" s="11">
        <f t="shared" si="113"/>
        <v>511</v>
      </c>
      <c r="G361" s="11">
        <f t="shared" si="114"/>
        <v>499</v>
      </c>
      <c r="H361" s="8">
        <f t="shared" si="115"/>
        <v>2553</v>
      </c>
      <c r="I361" s="8">
        <f t="shared" si="116"/>
        <v>2529</v>
      </c>
      <c r="J361" s="8">
        <f t="shared" si="117"/>
        <v>2541</v>
      </c>
      <c r="K361" s="8">
        <f t="shared" si="108"/>
        <v>3000</v>
      </c>
      <c r="L361" s="8">
        <f t="shared" si="109"/>
        <v>3000</v>
      </c>
      <c r="M361" s="8">
        <f t="shared" si="110"/>
        <v>3000</v>
      </c>
      <c r="N361" s="8">
        <f t="shared" si="121"/>
        <v>-447</v>
      </c>
      <c r="O361" s="8">
        <f t="shared" si="122"/>
        <v>-471</v>
      </c>
      <c r="P361" s="8">
        <f t="shared" si="123"/>
        <v>-459</v>
      </c>
      <c r="Q361" s="11">
        <v>0</v>
      </c>
      <c r="R361" s="11">
        <v>0</v>
      </c>
      <c r="S361" s="11">
        <v>0</v>
      </c>
      <c r="T361" s="10">
        <f t="shared" si="118"/>
        <v>991</v>
      </c>
      <c r="U361" s="9">
        <f t="shared" si="124"/>
        <v>2053</v>
      </c>
      <c r="V361" s="9">
        <f t="shared" si="125"/>
        <v>2049</v>
      </c>
      <c r="W361" s="9">
        <f t="shared" si="126"/>
        <v>2091</v>
      </c>
      <c r="X361" s="10"/>
      <c r="Y361" s="8"/>
      <c r="Z361" s="8"/>
      <c r="AA361" s="8"/>
      <c r="AB361" s="8"/>
    </row>
    <row r="362" spans="1:28" ht="13.15" customHeight="1">
      <c r="A362" s="13">
        <f t="shared" ref="A362:A425" si="127">+A361+1</f>
        <v>348</v>
      </c>
      <c r="B362" s="14">
        <f t="shared" si="119"/>
        <v>45599</v>
      </c>
      <c r="C362" s="13">
        <f t="shared" si="120"/>
        <v>1069</v>
      </c>
      <c r="D362" s="12">
        <f t="shared" si="111"/>
        <v>1973</v>
      </c>
      <c r="E362" s="11">
        <f t="shared" si="112"/>
        <v>489</v>
      </c>
      <c r="F362" s="11">
        <f t="shared" si="113"/>
        <v>513</v>
      </c>
      <c r="G362" s="11">
        <f t="shared" si="114"/>
        <v>501</v>
      </c>
      <c r="H362" s="8">
        <f t="shared" si="115"/>
        <v>2553</v>
      </c>
      <c r="I362" s="8">
        <f t="shared" si="116"/>
        <v>2529</v>
      </c>
      <c r="J362" s="8">
        <f t="shared" si="117"/>
        <v>2541</v>
      </c>
      <c r="K362" s="8">
        <f t="shared" si="108"/>
        <v>3000</v>
      </c>
      <c r="L362" s="8">
        <f t="shared" si="109"/>
        <v>3000</v>
      </c>
      <c r="M362" s="8">
        <f t="shared" si="110"/>
        <v>3000</v>
      </c>
      <c r="N362" s="8">
        <f t="shared" si="121"/>
        <v>-447</v>
      </c>
      <c r="O362" s="8">
        <f t="shared" si="122"/>
        <v>-471</v>
      </c>
      <c r="P362" s="8">
        <f t="shared" si="123"/>
        <v>-459</v>
      </c>
      <c r="Q362" s="11">
        <v>0</v>
      </c>
      <c r="R362" s="11">
        <v>0</v>
      </c>
      <c r="S362" s="11">
        <v>0</v>
      </c>
      <c r="T362" s="10">
        <f t="shared" si="118"/>
        <v>993</v>
      </c>
      <c r="U362" s="9">
        <f t="shared" si="124"/>
        <v>2053</v>
      </c>
      <c r="V362" s="9">
        <f t="shared" si="125"/>
        <v>2049</v>
      </c>
      <c r="W362" s="9">
        <f t="shared" si="126"/>
        <v>2091</v>
      </c>
      <c r="X362" s="10"/>
      <c r="Y362" s="8"/>
      <c r="Z362" s="8"/>
      <c r="AA362" s="8"/>
      <c r="AB362" s="8"/>
    </row>
    <row r="363" spans="1:28" ht="13.15" customHeight="1">
      <c r="A363" s="13">
        <f t="shared" si="127"/>
        <v>349</v>
      </c>
      <c r="B363" s="14">
        <f t="shared" si="119"/>
        <v>45600</v>
      </c>
      <c r="C363" s="13">
        <f t="shared" si="120"/>
        <v>1069</v>
      </c>
      <c r="D363" s="12">
        <f t="shared" si="111"/>
        <v>1975</v>
      </c>
      <c r="E363" s="11">
        <f t="shared" si="112"/>
        <v>491</v>
      </c>
      <c r="F363" s="11">
        <f t="shared" si="113"/>
        <v>515</v>
      </c>
      <c r="G363" s="11">
        <f t="shared" si="114"/>
        <v>503</v>
      </c>
      <c r="H363" s="8">
        <f t="shared" si="115"/>
        <v>2553</v>
      </c>
      <c r="I363" s="8">
        <f t="shared" si="116"/>
        <v>2529</v>
      </c>
      <c r="J363" s="8">
        <f t="shared" si="117"/>
        <v>2541</v>
      </c>
      <c r="K363" s="8">
        <f t="shared" si="108"/>
        <v>3000</v>
      </c>
      <c r="L363" s="8">
        <f t="shared" si="109"/>
        <v>3000</v>
      </c>
      <c r="M363" s="8">
        <f t="shared" si="110"/>
        <v>3000</v>
      </c>
      <c r="N363" s="8">
        <f t="shared" si="121"/>
        <v>-447</v>
      </c>
      <c r="O363" s="8">
        <f t="shared" si="122"/>
        <v>-471</v>
      </c>
      <c r="P363" s="8">
        <f t="shared" si="123"/>
        <v>-459</v>
      </c>
      <c r="Q363" s="11">
        <v>0</v>
      </c>
      <c r="R363" s="11">
        <v>0</v>
      </c>
      <c r="S363" s="11">
        <v>0</v>
      </c>
      <c r="T363" s="10">
        <f t="shared" si="118"/>
        <v>995</v>
      </c>
      <c r="U363" s="9">
        <f t="shared" si="124"/>
        <v>2053</v>
      </c>
      <c r="V363" s="9">
        <f t="shared" si="125"/>
        <v>2049</v>
      </c>
      <c r="W363" s="9">
        <f t="shared" si="126"/>
        <v>2091</v>
      </c>
      <c r="X363" s="10"/>
      <c r="Y363" s="8"/>
      <c r="Z363" s="8"/>
      <c r="AA363" s="8"/>
      <c r="AB363" s="8"/>
    </row>
    <row r="364" spans="1:28" ht="13.15" customHeight="1">
      <c r="A364" s="13">
        <f t="shared" si="127"/>
        <v>350</v>
      </c>
      <c r="B364" s="14">
        <f t="shared" si="119"/>
        <v>45601</v>
      </c>
      <c r="C364" s="13">
        <f t="shared" si="120"/>
        <v>1069</v>
      </c>
      <c r="D364" s="12">
        <f t="shared" si="111"/>
        <v>1977</v>
      </c>
      <c r="E364" s="11">
        <f t="shared" si="112"/>
        <v>493</v>
      </c>
      <c r="F364" s="11">
        <f t="shared" si="113"/>
        <v>517</v>
      </c>
      <c r="G364" s="11">
        <f t="shared" si="114"/>
        <v>505</v>
      </c>
      <c r="H364" s="8">
        <f t="shared" si="115"/>
        <v>2553</v>
      </c>
      <c r="I364" s="8">
        <f t="shared" si="116"/>
        <v>2529</v>
      </c>
      <c r="J364" s="8">
        <f t="shared" si="117"/>
        <v>2541</v>
      </c>
      <c r="K364" s="8">
        <f t="shared" si="108"/>
        <v>3000</v>
      </c>
      <c r="L364" s="8">
        <f t="shared" si="109"/>
        <v>3000</v>
      </c>
      <c r="M364" s="8">
        <f t="shared" si="110"/>
        <v>3000</v>
      </c>
      <c r="N364" s="8">
        <f t="shared" si="121"/>
        <v>-447</v>
      </c>
      <c r="O364" s="8">
        <f t="shared" si="122"/>
        <v>-471</v>
      </c>
      <c r="P364" s="8">
        <f t="shared" si="123"/>
        <v>-459</v>
      </c>
      <c r="Q364" s="11">
        <v>0</v>
      </c>
      <c r="R364" s="11">
        <v>0</v>
      </c>
      <c r="S364" s="11">
        <v>0</v>
      </c>
      <c r="T364" s="10">
        <f t="shared" si="118"/>
        <v>997</v>
      </c>
      <c r="U364" s="9">
        <f t="shared" si="124"/>
        <v>2053</v>
      </c>
      <c r="V364" s="9">
        <f t="shared" si="125"/>
        <v>2049</v>
      </c>
      <c r="W364" s="9">
        <f t="shared" si="126"/>
        <v>2091</v>
      </c>
      <c r="X364" s="10"/>
      <c r="Y364" s="8"/>
      <c r="Z364" s="8"/>
      <c r="AA364" s="8"/>
      <c r="AB364" s="8"/>
    </row>
    <row r="365" spans="1:28" ht="13.15" customHeight="1">
      <c r="A365" s="13">
        <f t="shared" si="127"/>
        <v>351</v>
      </c>
      <c r="B365" s="14">
        <f t="shared" si="119"/>
        <v>45602</v>
      </c>
      <c r="C365" s="13">
        <f t="shared" si="120"/>
        <v>1069</v>
      </c>
      <c r="D365" s="12">
        <f t="shared" si="111"/>
        <v>1979</v>
      </c>
      <c r="E365" s="11">
        <f t="shared" si="112"/>
        <v>495</v>
      </c>
      <c r="F365" s="11">
        <f t="shared" si="113"/>
        <v>519</v>
      </c>
      <c r="G365" s="11">
        <f t="shared" si="114"/>
        <v>507</v>
      </c>
      <c r="H365" s="8">
        <f t="shared" si="115"/>
        <v>2553</v>
      </c>
      <c r="I365" s="8">
        <f t="shared" si="116"/>
        <v>2529</v>
      </c>
      <c r="J365" s="8">
        <f t="shared" si="117"/>
        <v>2541</v>
      </c>
      <c r="K365" s="8">
        <f t="shared" si="108"/>
        <v>3000</v>
      </c>
      <c r="L365" s="8">
        <f t="shared" si="109"/>
        <v>3000</v>
      </c>
      <c r="M365" s="8">
        <f t="shared" si="110"/>
        <v>3000</v>
      </c>
      <c r="N365" s="8">
        <f t="shared" si="121"/>
        <v>-447</v>
      </c>
      <c r="O365" s="8">
        <f t="shared" si="122"/>
        <v>-471</v>
      </c>
      <c r="P365" s="8">
        <f t="shared" si="123"/>
        <v>-459</v>
      </c>
      <c r="Q365" s="11">
        <v>0</v>
      </c>
      <c r="R365" s="11">
        <v>0</v>
      </c>
      <c r="S365" s="11">
        <v>0</v>
      </c>
      <c r="T365" s="10">
        <f t="shared" si="118"/>
        <v>999</v>
      </c>
      <c r="U365" s="9">
        <f t="shared" si="124"/>
        <v>2053</v>
      </c>
      <c r="V365" s="9">
        <f t="shared" si="125"/>
        <v>2049</v>
      </c>
      <c r="W365" s="9">
        <f t="shared" si="126"/>
        <v>2091</v>
      </c>
      <c r="X365" s="10"/>
      <c r="Y365" s="8"/>
      <c r="Z365" s="8"/>
      <c r="AA365" s="8"/>
      <c r="AB365" s="8"/>
    </row>
    <row r="366" spans="1:28" ht="13.15" customHeight="1">
      <c r="A366" s="13">
        <f t="shared" si="127"/>
        <v>352</v>
      </c>
      <c r="B366" s="14">
        <f t="shared" si="119"/>
        <v>45603</v>
      </c>
      <c r="C366" s="13">
        <f t="shared" si="120"/>
        <v>1069</v>
      </c>
      <c r="D366" s="12">
        <f t="shared" si="111"/>
        <v>1981</v>
      </c>
      <c r="E366" s="11">
        <f t="shared" si="112"/>
        <v>497</v>
      </c>
      <c r="F366" s="11">
        <f t="shared" si="113"/>
        <v>521</v>
      </c>
      <c r="G366" s="11">
        <f t="shared" si="114"/>
        <v>509</v>
      </c>
      <c r="H366" s="8">
        <f t="shared" si="115"/>
        <v>2553</v>
      </c>
      <c r="I366" s="8">
        <f t="shared" si="116"/>
        <v>2529</v>
      </c>
      <c r="J366" s="8">
        <f t="shared" si="117"/>
        <v>2541</v>
      </c>
      <c r="K366" s="8">
        <f t="shared" ref="K366:K429" si="128">K365</f>
        <v>3000</v>
      </c>
      <c r="L366" s="8">
        <f t="shared" ref="L366:L429" si="129">L365</f>
        <v>3000</v>
      </c>
      <c r="M366" s="8">
        <f t="shared" ref="M366:M429" si="130">M365</f>
        <v>3000</v>
      </c>
      <c r="N366" s="8">
        <f t="shared" si="121"/>
        <v>-447</v>
      </c>
      <c r="O366" s="8">
        <f t="shared" si="122"/>
        <v>-471</v>
      </c>
      <c r="P366" s="8">
        <f t="shared" si="123"/>
        <v>-459</v>
      </c>
      <c r="Q366" s="11">
        <v>0</v>
      </c>
      <c r="R366" s="11">
        <v>0</v>
      </c>
      <c r="S366" s="11">
        <v>0</v>
      </c>
      <c r="T366" s="10">
        <f t="shared" si="118"/>
        <v>1001</v>
      </c>
      <c r="U366" s="9">
        <f t="shared" si="124"/>
        <v>2053</v>
      </c>
      <c r="V366" s="9">
        <f t="shared" si="125"/>
        <v>2049</v>
      </c>
      <c r="W366" s="9">
        <f t="shared" si="126"/>
        <v>2091</v>
      </c>
      <c r="X366" s="10"/>
      <c r="Y366" s="8"/>
      <c r="Z366" s="8"/>
      <c r="AA366" s="8"/>
      <c r="AB366" s="8"/>
    </row>
    <row r="367" spans="1:28" ht="13.15" customHeight="1">
      <c r="A367" s="13">
        <f t="shared" si="127"/>
        <v>353</v>
      </c>
      <c r="B367" s="14">
        <f t="shared" si="119"/>
        <v>45604</v>
      </c>
      <c r="C367" s="13">
        <f t="shared" si="120"/>
        <v>1069</v>
      </c>
      <c r="D367" s="12">
        <f t="shared" si="111"/>
        <v>1983</v>
      </c>
      <c r="E367" s="11">
        <f t="shared" si="112"/>
        <v>499</v>
      </c>
      <c r="F367" s="11">
        <f t="shared" si="113"/>
        <v>523</v>
      </c>
      <c r="G367" s="11">
        <f t="shared" si="114"/>
        <v>511</v>
      </c>
      <c r="H367" s="8">
        <f t="shared" si="115"/>
        <v>2553</v>
      </c>
      <c r="I367" s="8">
        <f t="shared" si="116"/>
        <v>2529</v>
      </c>
      <c r="J367" s="8">
        <f t="shared" si="117"/>
        <v>2541</v>
      </c>
      <c r="K367" s="8">
        <f t="shared" si="128"/>
        <v>3000</v>
      </c>
      <c r="L367" s="8">
        <f t="shared" si="129"/>
        <v>3000</v>
      </c>
      <c r="M367" s="8">
        <f t="shared" si="130"/>
        <v>3000</v>
      </c>
      <c r="N367" s="8">
        <f t="shared" si="121"/>
        <v>-447</v>
      </c>
      <c r="O367" s="8">
        <f t="shared" si="122"/>
        <v>-471</v>
      </c>
      <c r="P367" s="8">
        <f t="shared" si="123"/>
        <v>-459</v>
      </c>
      <c r="Q367" s="11">
        <v>0</v>
      </c>
      <c r="R367" s="11">
        <v>0</v>
      </c>
      <c r="S367" s="11">
        <v>0</v>
      </c>
      <c r="T367" s="10">
        <f t="shared" si="118"/>
        <v>1003</v>
      </c>
      <c r="U367" s="9">
        <f t="shared" si="124"/>
        <v>2053</v>
      </c>
      <c r="V367" s="9">
        <f t="shared" si="125"/>
        <v>2049</v>
      </c>
      <c r="W367" s="9">
        <f t="shared" si="126"/>
        <v>2091</v>
      </c>
      <c r="X367" s="10"/>
      <c r="Y367" s="8"/>
      <c r="Z367" s="8"/>
      <c r="AA367" s="8"/>
      <c r="AB367" s="8"/>
    </row>
    <row r="368" spans="1:28" ht="13.15" customHeight="1">
      <c r="A368" s="13">
        <f t="shared" si="127"/>
        <v>354</v>
      </c>
      <c r="B368" s="14">
        <f t="shared" si="119"/>
        <v>45605</v>
      </c>
      <c r="C368" s="13">
        <f t="shared" si="120"/>
        <v>1069</v>
      </c>
      <c r="D368" s="12">
        <f t="shared" si="111"/>
        <v>1985</v>
      </c>
      <c r="E368" s="11">
        <f t="shared" si="112"/>
        <v>501</v>
      </c>
      <c r="F368" s="11">
        <f t="shared" si="113"/>
        <v>525</v>
      </c>
      <c r="G368" s="11">
        <f t="shared" si="114"/>
        <v>513</v>
      </c>
      <c r="H368" s="8">
        <f t="shared" si="115"/>
        <v>2553</v>
      </c>
      <c r="I368" s="8">
        <f t="shared" si="116"/>
        <v>2529</v>
      </c>
      <c r="J368" s="8">
        <f t="shared" si="117"/>
        <v>2541</v>
      </c>
      <c r="K368" s="8">
        <f t="shared" si="128"/>
        <v>3000</v>
      </c>
      <c r="L368" s="8">
        <f t="shared" si="129"/>
        <v>3000</v>
      </c>
      <c r="M368" s="8">
        <f t="shared" si="130"/>
        <v>3000</v>
      </c>
      <c r="N368" s="8">
        <f t="shared" si="121"/>
        <v>-447</v>
      </c>
      <c r="O368" s="8">
        <f t="shared" si="122"/>
        <v>-471</v>
      </c>
      <c r="P368" s="8">
        <f t="shared" si="123"/>
        <v>-459</v>
      </c>
      <c r="Q368" s="11">
        <v>0</v>
      </c>
      <c r="R368" s="11">
        <v>0</v>
      </c>
      <c r="S368" s="11">
        <v>0</v>
      </c>
      <c r="T368" s="10">
        <f t="shared" si="118"/>
        <v>1005</v>
      </c>
      <c r="U368" s="9">
        <f t="shared" si="124"/>
        <v>2053</v>
      </c>
      <c r="V368" s="9">
        <f t="shared" si="125"/>
        <v>2049</v>
      </c>
      <c r="W368" s="9">
        <f t="shared" si="126"/>
        <v>2091</v>
      </c>
      <c r="X368" s="10"/>
      <c r="Y368" s="8"/>
      <c r="Z368" s="8"/>
      <c r="AA368" s="8"/>
      <c r="AB368" s="8"/>
    </row>
    <row r="369" spans="1:28" ht="13.15" customHeight="1">
      <c r="A369" s="13">
        <f t="shared" si="127"/>
        <v>355</v>
      </c>
      <c r="B369" s="14">
        <f t="shared" si="119"/>
        <v>45606</v>
      </c>
      <c r="C369" s="13">
        <f t="shared" si="120"/>
        <v>1069</v>
      </c>
      <c r="D369" s="12">
        <f t="shared" si="111"/>
        <v>1987</v>
      </c>
      <c r="E369" s="11">
        <f t="shared" si="112"/>
        <v>503</v>
      </c>
      <c r="F369" s="11">
        <f t="shared" si="113"/>
        <v>527</v>
      </c>
      <c r="G369" s="11">
        <f t="shared" si="114"/>
        <v>515</v>
      </c>
      <c r="H369" s="8">
        <f t="shared" si="115"/>
        <v>2553</v>
      </c>
      <c r="I369" s="8">
        <f t="shared" si="116"/>
        <v>2529</v>
      </c>
      <c r="J369" s="8">
        <f t="shared" si="117"/>
        <v>2541</v>
      </c>
      <c r="K369" s="8">
        <f t="shared" si="128"/>
        <v>3000</v>
      </c>
      <c r="L369" s="8">
        <f t="shared" si="129"/>
        <v>3000</v>
      </c>
      <c r="M369" s="8">
        <f t="shared" si="130"/>
        <v>3000</v>
      </c>
      <c r="N369" s="8">
        <f t="shared" si="121"/>
        <v>-447</v>
      </c>
      <c r="O369" s="8">
        <f t="shared" si="122"/>
        <v>-471</v>
      </c>
      <c r="P369" s="8">
        <f t="shared" si="123"/>
        <v>-459</v>
      </c>
      <c r="Q369" s="11">
        <v>0</v>
      </c>
      <c r="R369" s="11">
        <v>0</v>
      </c>
      <c r="S369" s="11">
        <v>0</v>
      </c>
      <c r="T369" s="10">
        <f t="shared" si="118"/>
        <v>1007</v>
      </c>
      <c r="U369" s="9">
        <f t="shared" si="124"/>
        <v>2053</v>
      </c>
      <c r="V369" s="9">
        <f t="shared" si="125"/>
        <v>2049</v>
      </c>
      <c r="W369" s="9">
        <f t="shared" si="126"/>
        <v>2091</v>
      </c>
      <c r="X369" s="10"/>
      <c r="Y369" s="8"/>
      <c r="Z369" s="8"/>
      <c r="AA369" s="8"/>
      <c r="AB369" s="8"/>
    </row>
    <row r="370" spans="1:28" ht="13.15" customHeight="1">
      <c r="A370" s="13">
        <f t="shared" si="127"/>
        <v>356</v>
      </c>
      <c r="B370" s="14">
        <f t="shared" si="119"/>
        <v>45607</v>
      </c>
      <c r="C370" s="13">
        <f t="shared" si="120"/>
        <v>1069</v>
      </c>
      <c r="D370" s="12">
        <f t="shared" si="111"/>
        <v>1989</v>
      </c>
      <c r="E370" s="11">
        <f t="shared" si="112"/>
        <v>505</v>
      </c>
      <c r="F370" s="11">
        <f t="shared" si="113"/>
        <v>529</v>
      </c>
      <c r="G370" s="11">
        <f t="shared" si="114"/>
        <v>517</v>
      </c>
      <c r="H370" s="8">
        <f t="shared" si="115"/>
        <v>2553</v>
      </c>
      <c r="I370" s="8">
        <f t="shared" si="116"/>
        <v>2529</v>
      </c>
      <c r="J370" s="8">
        <f t="shared" si="117"/>
        <v>2541</v>
      </c>
      <c r="K370" s="8">
        <f t="shared" si="128"/>
        <v>3000</v>
      </c>
      <c r="L370" s="8">
        <f t="shared" si="129"/>
        <v>3000</v>
      </c>
      <c r="M370" s="8">
        <f t="shared" si="130"/>
        <v>3000</v>
      </c>
      <c r="N370" s="8">
        <f t="shared" si="121"/>
        <v>-447</v>
      </c>
      <c r="O370" s="8">
        <f t="shared" si="122"/>
        <v>-471</v>
      </c>
      <c r="P370" s="8">
        <f t="shared" si="123"/>
        <v>-459</v>
      </c>
      <c r="Q370" s="11">
        <v>0</v>
      </c>
      <c r="R370" s="11">
        <v>0</v>
      </c>
      <c r="S370" s="11">
        <v>0</v>
      </c>
      <c r="T370" s="10">
        <f t="shared" si="118"/>
        <v>1009</v>
      </c>
      <c r="U370" s="9">
        <f t="shared" si="124"/>
        <v>2053</v>
      </c>
      <c r="V370" s="9">
        <f t="shared" si="125"/>
        <v>2049</v>
      </c>
      <c r="W370" s="9">
        <f t="shared" si="126"/>
        <v>2091</v>
      </c>
      <c r="X370" s="10"/>
      <c r="Y370" s="8"/>
      <c r="Z370" s="8"/>
      <c r="AA370" s="8"/>
      <c r="AB370" s="8"/>
    </row>
    <row r="371" spans="1:28" ht="13.15" customHeight="1">
      <c r="A371" s="13">
        <f t="shared" si="127"/>
        <v>357</v>
      </c>
      <c r="B371" s="14">
        <f t="shared" si="119"/>
        <v>45608</v>
      </c>
      <c r="C371" s="13">
        <f t="shared" si="120"/>
        <v>1069</v>
      </c>
      <c r="D371" s="12">
        <f t="shared" si="111"/>
        <v>1991</v>
      </c>
      <c r="E371" s="11">
        <f t="shared" si="112"/>
        <v>507</v>
      </c>
      <c r="F371" s="11">
        <f t="shared" si="113"/>
        <v>531</v>
      </c>
      <c r="G371" s="11">
        <f t="shared" si="114"/>
        <v>519</v>
      </c>
      <c r="H371" s="8">
        <f t="shared" si="115"/>
        <v>2553</v>
      </c>
      <c r="I371" s="8">
        <f t="shared" si="116"/>
        <v>2529</v>
      </c>
      <c r="J371" s="8">
        <f t="shared" si="117"/>
        <v>2541</v>
      </c>
      <c r="K371" s="8">
        <f t="shared" si="128"/>
        <v>3000</v>
      </c>
      <c r="L371" s="8">
        <f t="shared" si="129"/>
        <v>3000</v>
      </c>
      <c r="M371" s="8">
        <f t="shared" si="130"/>
        <v>3000</v>
      </c>
      <c r="N371" s="8">
        <f t="shared" si="121"/>
        <v>-447</v>
      </c>
      <c r="O371" s="8">
        <f t="shared" si="122"/>
        <v>-471</v>
      </c>
      <c r="P371" s="8">
        <f t="shared" si="123"/>
        <v>-459</v>
      </c>
      <c r="Q371" s="11">
        <v>0</v>
      </c>
      <c r="R371" s="11">
        <v>0</v>
      </c>
      <c r="S371" s="11">
        <v>0</v>
      </c>
      <c r="T371" s="10">
        <f t="shared" si="118"/>
        <v>1011</v>
      </c>
      <c r="U371" s="9">
        <f t="shared" si="124"/>
        <v>2053</v>
      </c>
      <c r="V371" s="9">
        <f t="shared" si="125"/>
        <v>2049</v>
      </c>
      <c r="W371" s="9">
        <f t="shared" si="126"/>
        <v>2091</v>
      </c>
      <c r="X371" s="10"/>
      <c r="Y371" s="8"/>
      <c r="Z371" s="8"/>
      <c r="AA371" s="8"/>
      <c r="AB371" s="8"/>
    </row>
    <row r="372" spans="1:28" ht="13.15" customHeight="1">
      <c r="A372" s="13">
        <f t="shared" si="127"/>
        <v>358</v>
      </c>
      <c r="B372" s="14">
        <f t="shared" si="119"/>
        <v>45609</v>
      </c>
      <c r="C372" s="13">
        <f t="shared" si="120"/>
        <v>1069</v>
      </c>
      <c r="D372" s="12">
        <f t="shared" si="111"/>
        <v>1993</v>
      </c>
      <c r="E372" s="11">
        <f t="shared" si="112"/>
        <v>509</v>
      </c>
      <c r="F372" s="11">
        <f t="shared" si="113"/>
        <v>533</v>
      </c>
      <c r="G372" s="11">
        <f t="shared" si="114"/>
        <v>521</v>
      </c>
      <c r="H372" s="8">
        <f t="shared" si="115"/>
        <v>2553</v>
      </c>
      <c r="I372" s="8">
        <f t="shared" si="116"/>
        <v>2529</v>
      </c>
      <c r="J372" s="8">
        <f t="shared" si="117"/>
        <v>2541</v>
      </c>
      <c r="K372" s="8">
        <f t="shared" si="128"/>
        <v>3000</v>
      </c>
      <c r="L372" s="8">
        <f t="shared" si="129"/>
        <v>3000</v>
      </c>
      <c r="M372" s="8">
        <f t="shared" si="130"/>
        <v>3000</v>
      </c>
      <c r="N372" s="8">
        <f t="shared" si="121"/>
        <v>-447</v>
      </c>
      <c r="O372" s="8">
        <f t="shared" si="122"/>
        <v>-471</v>
      </c>
      <c r="P372" s="8">
        <f t="shared" si="123"/>
        <v>-459</v>
      </c>
      <c r="Q372" s="11">
        <v>0</v>
      </c>
      <c r="R372" s="11">
        <v>0</v>
      </c>
      <c r="S372" s="11">
        <v>0</v>
      </c>
      <c r="T372" s="10">
        <f t="shared" si="118"/>
        <v>1013</v>
      </c>
      <c r="U372" s="9">
        <f t="shared" si="124"/>
        <v>2053</v>
      </c>
      <c r="V372" s="9">
        <f t="shared" si="125"/>
        <v>2049</v>
      </c>
      <c r="W372" s="9">
        <f t="shared" si="126"/>
        <v>2091</v>
      </c>
      <c r="X372" s="10"/>
      <c r="Y372" s="8"/>
      <c r="Z372" s="8"/>
      <c r="AA372" s="8"/>
      <c r="AB372" s="8"/>
    </row>
    <row r="373" spans="1:28" ht="13.15" customHeight="1">
      <c r="A373" s="13">
        <f t="shared" si="127"/>
        <v>359</v>
      </c>
      <c r="B373" s="14">
        <f t="shared" si="119"/>
        <v>45610</v>
      </c>
      <c r="C373" s="13">
        <f t="shared" si="120"/>
        <v>1069</v>
      </c>
      <c r="D373" s="12">
        <f t="shared" si="111"/>
        <v>1995</v>
      </c>
      <c r="E373" s="11">
        <f t="shared" si="112"/>
        <v>511</v>
      </c>
      <c r="F373" s="11">
        <f t="shared" si="113"/>
        <v>535</v>
      </c>
      <c r="G373" s="11">
        <f t="shared" si="114"/>
        <v>523</v>
      </c>
      <c r="H373" s="8">
        <f t="shared" si="115"/>
        <v>2553</v>
      </c>
      <c r="I373" s="8">
        <f t="shared" si="116"/>
        <v>2529</v>
      </c>
      <c r="J373" s="8">
        <f t="shared" si="117"/>
        <v>2541</v>
      </c>
      <c r="K373" s="8">
        <f t="shared" si="128"/>
        <v>3000</v>
      </c>
      <c r="L373" s="8">
        <f t="shared" si="129"/>
        <v>3000</v>
      </c>
      <c r="M373" s="8">
        <f t="shared" si="130"/>
        <v>3000</v>
      </c>
      <c r="N373" s="8">
        <f t="shared" si="121"/>
        <v>-447</v>
      </c>
      <c r="O373" s="8">
        <f t="shared" si="122"/>
        <v>-471</v>
      </c>
      <c r="P373" s="8">
        <f t="shared" si="123"/>
        <v>-459</v>
      </c>
      <c r="Q373" s="11">
        <v>0</v>
      </c>
      <c r="R373" s="11">
        <v>0</v>
      </c>
      <c r="S373" s="11">
        <v>0</v>
      </c>
      <c r="T373" s="10">
        <f t="shared" si="118"/>
        <v>1015</v>
      </c>
      <c r="U373" s="9">
        <f t="shared" si="124"/>
        <v>2053</v>
      </c>
      <c r="V373" s="9">
        <f t="shared" si="125"/>
        <v>2049</v>
      </c>
      <c r="W373" s="9">
        <f t="shared" si="126"/>
        <v>2091</v>
      </c>
      <c r="X373" s="10"/>
      <c r="Y373" s="8"/>
      <c r="Z373" s="8"/>
      <c r="AA373" s="8"/>
      <c r="AB373" s="8"/>
    </row>
    <row r="374" spans="1:28" ht="13.15" customHeight="1">
      <c r="A374" s="13">
        <f t="shared" si="127"/>
        <v>360</v>
      </c>
      <c r="B374" s="14">
        <f t="shared" si="119"/>
        <v>45611</v>
      </c>
      <c r="C374" s="13">
        <f t="shared" si="120"/>
        <v>1069</v>
      </c>
      <c r="D374" s="12">
        <f t="shared" si="111"/>
        <v>1997</v>
      </c>
      <c r="E374" s="11">
        <f t="shared" si="112"/>
        <v>513</v>
      </c>
      <c r="F374" s="11">
        <f t="shared" si="113"/>
        <v>537</v>
      </c>
      <c r="G374" s="11">
        <f t="shared" si="114"/>
        <v>525</v>
      </c>
      <c r="H374" s="8">
        <f t="shared" si="115"/>
        <v>2553</v>
      </c>
      <c r="I374" s="8">
        <f t="shared" si="116"/>
        <v>2529</v>
      </c>
      <c r="J374" s="8">
        <f t="shared" si="117"/>
        <v>2541</v>
      </c>
      <c r="K374" s="8">
        <f t="shared" si="128"/>
        <v>3000</v>
      </c>
      <c r="L374" s="8">
        <f t="shared" si="129"/>
        <v>3000</v>
      </c>
      <c r="M374" s="8">
        <f t="shared" si="130"/>
        <v>3000</v>
      </c>
      <c r="N374" s="8">
        <f t="shared" si="121"/>
        <v>-447</v>
      </c>
      <c r="O374" s="8">
        <f t="shared" si="122"/>
        <v>-471</v>
      </c>
      <c r="P374" s="8">
        <f t="shared" si="123"/>
        <v>-459</v>
      </c>
      <c r="Q374" s="11">
        <v>0</v>
      </c>
      <c r="R374" s="11">
        <v>0</v>
      </c>
      <c r="S374" s="11">
        <v>0</v>
      </c>
      <c r="T374" s="10">
        <f t="shared" si="118"/>
        <v>1017</v>
      </c>
      <c r="U374" s="9">
        <f t="shared" si="124"/>
        <v>2053</v>
      </c>
      <c r="V374" s="9">
        <f t="shared" si="125"/>
        <v>2049</v>
      </c>
      <c r="W374" s="9">
        <f t="shared" si="126"/>
        <v>2091</v>
      </c>
      <c r="X374" s="10"/>
      <c r="Y374" s="8"/>
      <c r="Z374" s="8"/>
      <c r="AA374" s="8"/>
      <c r="AB374" s="8"/>
    </row>
    <row r="375" spans="1:28" ht="13.15" customHeight="1">
      <c r="A375" s="13">
        <f t="shared" si="127"/>
        <v>361</v>
      </c>
      <c r="B375" s="14">
        <f t="shared" si="119"/>
        <v>45612</v>
      </c>
      <c r="C375" s="13">
        <f t="shared" si="120"/>
        <v>1069</v>
      </c>
      <c r="D375" s="12">
        <f t="shared" si="111"/>
        <v>1999</v>
      </c>
      <c r="E375" s="11">
        <f t="shared" si="112"/>
        <v>515</v>
      </c>
      <c r="F375" s="11">
        <f t="shared" si="113"/>
        <v>539</v>
      </c>
      <c r="G375" s="11">
        <f t="shared" si="114"/>
        <v>527</v>
      </c>
      <c r="H375" s="8">
        <f t="shared" si="115"/>
        <v>2553</v>
      </c>
      <c r="I375" s="8">
        <f t="shared" si="116"/>
        <v>2529</v>
      </c>
      <c r="J375" s="8">
        <f t="shared" si="117"/>
        <v>2541</v>
      </c>
      <c r="K375" s="8">
        <f t="shared" si="128"/>
        <v>3000</v>
      </c>
      <c r="L375" s="8">
        <f t="shared" si="129"/>
        <v>3000</v>
      </c>
      <c r="M375" s="8">
        <f t="shared" si="130"/>
        <v>3000</v>
      </c>
      <c r="N375" s="8">
        <f t="shared" si="121"/>
        <v>-447</v>
      </c>
      <c r="O375" s="8">
        <f t="shared" si="122"/>
        <v>-471</v>
      </c>
      <c r="P375" s="8">
        <f t="shared" si="123"/>
        <v>-459</v>
      </c>
      <c r="Q375" s="11">
        <v>0</v>
      </c>
      <c r="R375" s="11">
        <v>0</v>
      </c>
      <c r="S375" s="11">
        <v>0</v>
      </c>
      <c r="T375" s="10">
        <f t="shared" si="118"/>
        <v>1019</v>
      </c>
      <c r="U375" s="9">
        <f t="shared" si="124"/>
        <v>2053</v>
      </c>
      <c r="V375" s="9">
        <f t="shared" si="125"/>
        <v>2049</v>
      </c>
      <c r="W375" s="9">
        <f t="shared" si="126"/>
        <v>2091</v>
      </c>
      <c r="X375" s="10"/>
      <c r="Y375" s="8"/>
      <c r="Z375" s="8"/>
      <c r="AA375" s="8"/>
      <c r="AB375" s="8"/>
    </row>
    <row r="376" spans="1:28" ht="13.15" customHeight="1">
      <c r="A376" s="13">
        <f t="shared" si="127"/>
        <v>362</v>
      </c>
      <c r="B376" s="14">
        <f t="shared" si="119"/>
        <v>45613</v>
      </c>
      <c r="C376" s="13">
        <f t="shared" si="120"/>
        <v>1069</v>
      </c>
      <c r="D376" s="12">
        <f t="shared" si="111"/>
        <v>2001</v>
      </c>
      <c r="E376" s="11">
        <f t="shared" si="112"/>
        <v>517</v>
      </c>
      <c r="F376" s="11">
        <f t="shared" si="113"/>
        <v>541</v>
      </c>
      <c r="G376" s="11">
        <f t="shared" si="114"/>
        <v>529</v>
      </c>
      <c r="H376" s="8">
        <f t="shared" si="115"/>
        <v>2553</v>
      </c>
      <c r="I376" s="8">
        <f t="shared" si="116"/>
        <v>2529</v>
      </c>
      <c r="J376" s="8">
        <f t="shared" si="117"/>
        <v>2541</v>
      </c>
      <c r="K376" s="8">
        <f t="shared" si="128"/>
        <v>3000</v>
      </c>
      <c r="L376" s="8">
        <f t="shared" si="129"/>
        <v>3000</v>
      </c>
      <c r="M376" s="8">
        <f t="shared" si="130"/>
        <v>3000</v>
      </c>
      <c r="N376" s="8">
        <f t="shared" si="121"/>
        <v>-447</v>
      </c>
      <c r="O376" s="8">
        <f t="shared" si="122"/>
        <v>-471</v>
      </c>
      <c r="P376" s="8">
        <f t="shared" si="123"/>
        <v>-459</v>
      </c>
      <c r="Q376" s="11">
        <v>0</v>
      </c>
      <c r="R376" s="11">
        <v>0</v>
      </c>
      <c r="S376" s="11">
        <v>0</v>
      </c>
      <c r="T376" s="10">
        <f t="shared" si="118"/>
        <v>1021</v>
      </c>
      <c r="U376" s="9">
        <f t="shared" si="124"/>
        <v>2053</v>
      </c>
      <c r="V376" s="9">
        <f t="shared" si="125"/>
        <v>2049</v>
      </c>
      <c r="W376" s="9">
        <f t="shared" si="126"/>
        <v>2091</v>
      </c>
      <c r="X376" s="10"/>
      <c r="Y376" s="8"/>
      <c r="Z376" s="8"/>
      <c r="AA376" s="8"/>
      <c r="AB376" s="8"/>
    </row>
    <row r="377" spans="1:28" ht="13.15" customHeight="1">
      <c r="A377" s="13">
        <f t="shared" si="127"/>
        <v>363</v>
      </c>
      <c r="B377" s="14">
        <f t="shared" si="119"/>
        <v>45614</v>
      </c>
      <c r="C377" s="13">
        <f t="shared" si="120"/>
        <v>1069</v>
      </c>
      <c r="D377" s="12">
        <f t="shared" si="111"/>
        <v>2003</v>
      </c>
      <c r="E377" s="11">
        <f t="shared" si="112"/>
        <v>519</v>
      </c>
      <c r="F377" s="11">
        <f t="shared" si="113"/>
        <v>543</v>
      </c>
      <c r="G377" s="11">
        <f t="shared" si="114"/>
        <v>531</v>
      </c>
      <c r="H377" s="8">
        <f t="shared" si="115"/>
        <v>2553</v>
      </c>
      <c r="I377" s="8">
        <f t="shared" si="116"/>
        <v>2529</v>
      </c>
      <c r="J377" s="8">
        <f t="shared" si="117"/>
        <v>2541</v>
      </c>
      <c r="K377" s="8">
        <f t="shared" si="128"/>
        <v>3000</v>
      </c>
      <c r="L377" s="8">
        <f t="shared" si="129"/>
        <v>3000</v>
      </c>
      <c r="M377" s="8">
        <f t="shared" si="130"/>
        <v>3000</v>
      </c>
      <c r="N377" s="8">
        <f t="shared" si="121"/>
        <v>-447</v>
      </c>
      <c r="O377" s="8">
        <f t="shared" si="122"/>
        <v>-471</v>
      </c>
      <c r="P377" s="8">
        <f t="shared" si="123"/>
        <v>-459</v>
      </c>
      <c r="Q377" s="11">
        <v>0</v>
      </c>
      <c r="R377" s="11">
        <v>0</v>
      </c>
      <c r="S377" s="11">
        <v>0</v>
      </c>
      <c r="T377" s="10">
        <f t="shared" si="118"/>
        <v>1023</v>
      </c>
      <c r="U377" s="9">
        <f t="shared" si="124"/>
        <v>2053</v>
      </c>
      <c r="V377" s="9">
        <f t="shared" si="125"/>
        <v>2049</v>
      </c>
      <c r="W377" s="9">
        <f t="shared" si="126"/>
        <v>2091</v>
      </c>
      <c r="X377" s="10"/>
      <c r="Y377" s="8"/>
      <c r="Z377" s="8"/>
      <c r="AA377" s="8"/>
      <c r="AB377" s="8"/>
    </row>
    <row r="378" spans="1:28" ht="13.15" customHeight="1">
      <c r="A378" s="13">
        <f t="shared" si="127"/>
        <v>364</v>
      </c>
      <c r="B378" s="14">
        <f t="shared" si="119"/>
        <v>45615</v>
      </c>
      <c r="C378" s="13">
        <f t="shared" si="120"/>
        <v>1069</v>
      </c>
      <c r="D378" s="12">
        <f t="shared" si="111"/>
        <v>2005</v>
      </c>
      <c r="E378" s="11">
        <f t="shared" si="112"/>
        <v>521</v>
      </c>
      <c r="F378" s="11">
        <f t="shared" si="113"/>
        <v>545</v>
      </c>
      <c r="G378" s="11">
        <f t="shared" si="114"/>
        <v>533</v>
      </c>
      <c r="H378" s="8">
        <f t="shared" si="115"/>
        <v>2553</v>
      </c>
      <c r="I378" s="8">
        <f t="shared" si="116"/>
        <v>2529</v>
      </c>
      <c r="J378" s="8">
        <f t="shared" si="117"/>
        <v>2541</v>
      </c>
      <c r="K378" s="8">
        <f t="shared" si="128"/>
        <v>3000</v>
      </c>
      <c r="L378" s="8">
        <f t="shared" si="129"/>
        <v>3000</v>
      </c>
      <c r="M378" s="8">
        <f t="shared" si="130"/>
        <v>3000</v>
      </c>
      <c r="N378" s="8">
        <f t="shared" si="121"/>
        <v>-447</v>
      </c>
      <c r="O378" s="8">
        <f t="shared" si="122"/>
        <v>-471</v>
      </c>
      <c r="P378" s="8">
        <f t="shared" si="123"/>
        <v>-459</v>
      </c>
      <c r="Q378" s="11">
        <v>0</v>
      </c>
      <c r="R378" s="11">
        <v>0</v>
      </c>
      <c r="S378" s="11">
        <v>0</v>
      </c>
      <c r="T378" s="10">
        <f t="shared" si="118"/>
        <v>1025</v>
      </c>
      <c r="U378" s="9">
        <f t="shared" si="124"/>
        <v>2053</v>
      </c>
      <c r="V378" s="9">
        <f t="shared" si="125"/>
        <v>2049</v>
      </c>
      <c r="W378" s="9">
        <f t="shared" si="126"/>
        <v>2091</v>
      </c>
      <c r="X378" s="10"/>
      <c r="Y378" s="8"/>
      <c r="Z378" s="8"/>
      <c r="AA378" s="8"/>
      <c r="AB378" s="8"/>
    </row>
    <row r="379" spans="1:28" ht="13.15" customHeight="1">
      <c r="A379" s="13">
        <f t="shared" si="127"/>
        <v>365</v>
      </c>
      <c r="B379" s="14">
        <f t="shared" si="119"/>
        <v>45616</v>
      </c>
      <c r="C379" s="13">
        <f t="shared" si="120"/>
        <v>1069</v>
      </c>
      <c r="D379" s="12">
        <f t="shared" si="111"/>
        <v>2007</v>
      </c>
      <c r="E379" s="11">
        <f t="shared" si="112"/>
        <v>523</v>
      </c>
      <c r="F379" s="11">
        <f t="shared" si="113"/>
        <v>547</v>
      </c>
      <c r="G379" s="11">
        <f t="shared" si="114"/>
        <v>535</v>
      </c>
      <c r="H379" s="8">
        <f t="shared" si="115"/>
        <v>2553</v>
      </c>
      <c r="I379" s="8">
        <f t="shared" si="116"/>
        <v>2529</v>
      </c>
      <c r="J379" s="8">
        <f t="shared" si="117"/>
        <v>2541</v>
      </c>
      <c r="K379" s="8">
        <f t="shared" si="128"/>
        <v>3000</v>
      </c>
      <c r="L379" s="8">
        <f t="shared" si="129"/>
        <v>3000</v>
      </c>
      <c r="M379" s="8">
        <f t="shared" si="130"/>
        <v>3000</v>
      </c>
      <c r="N379" s="8">
        <f t="shared" si="121"/>
        <v>-447</v>
      </c>
      <c r="O379" s="8">
        <f t="shared" si="122"/>
        <v>-471</v>
      </c>
      <c r="P379" s="8">
        <f t="shared" si="123"/>
        <v>-459</v>
      </c>
      <c r="Q379" s="11">
        <v>0</v>
      </c>
      <c r="R379" s="11">
        <v>0</v>
      </c>
      <c r="S379" s="11">
        <v>0</v>
      </c>
      <c r="T379" s="10">
        <f t="shared" si="118"/>
        <v>1027</v>
      </c>
      <c r="U379" s="9">
        <f t="shared" si="124"/>
        <v>2053</v>
      </c>
      <c r="V379" s="9">
        <f t="shared" si="125"/>
        <v>2049</v>
      </c>
      <c r="W379" s="9">
        <f t="shared" si="126"/>
        <v>2091</v>
      </c>
      <c r="X379" s="10"/>
      <c r="Y379" s="8"/>
      <c r="Z379" s="8"/>
      <c r="AA379" s="8"/>
      <c r="AB379" s="8"/>
    </row>
    <row r="380" spans="1:28" ht="13.15" customHeight="1">
      <c r="A380" s="13">
        <f t="shared" si="127"/>
        <v>366</v>
      </c>
      <c r="B380" s="14">
        <f t="shared" si="119"/>
        <v>45617</v>
      </c>
      <c r="C380" s="13">
        <f t="shared" si="120"/>
        <v>1069</v>
      </c>
      <c r="D380" s="12">
        <f t="shared" si="111"/>
        <v>2009</v>
      </c>
      <c r="E380" s="11">
        <f t="shared" si="112"/>
        <v>525</v>
      </c>
      <c r="F380" s="11">
        <f t="shared" si="113"/>
        <v>549</v>
      </c>
      <c r="G380" s="11">
        <f t="shared" si="114"/>
        <v>537</v>
      </c>
      <c r="H380" s="8">
        <f t="shared" si="115"/>
        <v>2553</v>
      </c>
      <c r="I380" s="8">
        <f t="shared" si="116"/>
        <v>2529</v>
      </c>
      <c r="J380" s="8">
        <f t="shared" si="117"/>
        <v>2541</v>
      </c>
      <c r="K380" s="8">
        <f t="shared" si="128"/>
        <v>3000</v>
      </c>
      <c r="L380" s="8">
        <f t="shared" si="129"/>
        <v>3000</v>
      </c>
      <c r="M380" s="8">
        <f t="shared" si="130"/>
        <v>3000</v>
      </c>
      <c r="N380" s="8">
        <f t="shared" si="121"/>
        <v>-447</v>
      </c>
      <c r="O380" s="8">
        <f t="shared" si="122"/>
        <v>-471</v>
      </c>
      <c r="P380" s="8">
        <f t="shared" si="123"/>
        <v>-459</v>
      </c>
      <c r="Q380" s="11">
        <v>0</v>
      </c>
      <c r="R380" s="11">
        <v>0</v>
      </c>
      <c r="S380" s="11">
        <v>0</v>
      </c>
      <c r="T380" s="10">
        <f t="shared" si="118"/>
        <v>1029</v>
      </c>
      <c r="U380" s="9">
        <f t="shared" si="124"/>
        <v>2053</v>
      </c>
      <c r="V380" s="9">
        <f t="shared" si="125"/>
        <v>2049</v>
      </c>
      <c r="W380" s="9">
        <f t="shared" si="126"/>
        <v>2091</v>
      </c>
      <c r="X380" s="10"/>
      <c r="Y380" s="8"/>
      <c r="Z380" s="8"/>
      <c r="AA380" s="8"/>
      <c r="AB380" s="8"/>
    </row>
    <row r="381" spans="1:28" ht="13.15" customHeight="1">
      <c r="A381" s="13">
        <f t="shared" si="127"/>
        <v>367</v>
      </c>
      <c r="B381" s="14">
        <f t="shared" si="119"/>
        <v>45618</v>
      </c>
      <c r="C381" s="13">
        <f t="shared" si="120"/>
        <v>1069</v>
      </c>
      <c r="D381" s="12">
        <f t="shared" si="111"/>
        <v>2011</v>
      </c>
      <c r="E381" s="11">
        <f t="shared" si="112"/>
        <v>527</v>
      </c>
      <c r="F381" s="11">
        <f t="shared" si="113"/>
        <v>551</v>
      </c>
      <c r="G381" s="11">
        <f t="shared" si="114"/>
        <v>539</v>
      </c>
      <c r="H381" s="8">
        <f t="shared" si="115"/>
        <v>2553</v>
      </c>
      <c r="I381" s="8">
        <f t="shared" si="116"/>
        <v>2529</v>
      </c>
      <c r="J381" s="8">
        <f t="shared" si="117"/>
        <v>2541</v>
      </c>
      <c r="K381" s="8">
        <f t="shared" si="128"/>
        <v>3000</v>
      </c>
      <c r="L381" s="8">
        <f t="shared" si="129"/>
        <v>3000</v>
      </c>
      <c r="M381" s="8">
        <f t="shared" si="130"/>
        <v>3000</v>
      </c>
      <c r="N381" s="8">
        <f t="shared" si="121"/>
        <v>-447</v>
      </c>
      <c r="O381" s="8">
        <f t="shared" si="122"/>
        <v>-471</v>
      </c>
      <c r="P381" s="8">
        <f t="shared" si="123"/>
        <v>-459</v>
      </c>
      <c r="Q381" s="11">
        <v>0</v>
      </c>
      <c r="R381" s="11">
        <v>0</v>
      </c>
      <c r="S381" s="11">
        <v>0</v>
      </c>
      <c r="T381" s="10">
        <f t="shared" si="118"/>
        <v>1031</v>
      </c>
      <c r="U381" s="9">
        <f t="shared" si="124"/>
        <v>2053</v>
      </c>
      <c r="V381" s="9">
        <f t="shared" si="125"/>
        <v>2049</v>
      </c>
      <c r="W381" s="9">
        <f t="shared" si="126"/>
        <v>2091</v>
      </c>
      <c r="X381" s="10"/>
      <c r="Y381" s="8"/>
      <c r="Z381" s="8"/>
      <c r="AA381" s="8"/>
      <c r="AB381" s="8"/>
    </row>
    <row r="382" spans="1:28" ht="13.15" customHeight="1">
      <c r="A382" s="13">
        <f t="shared" si="127"/>
        <v>368</v>
      </c>
      <c r="B382" s="14">
        <f t="shared" si="119"/>
        <v>45619</v>
      </c>
      <c r="C382" s="13">
        <f t="shared" si="120"/>
        <v>1069</v>
      </c>
      <c r="D382" s="12">
        <f t="shared" si="111"/>
        <v>2013</v>
      </c>
      <c r="E382" s="11">
        <f t="shared" si="112"/>
        <v>529</v>
      </c>
      <c r="F382" s="11">
        <f t="shared" si="113"/>
        <v>553</v>
      </c>
      <c r="G382" s="11">
        <f t="shared" si="114"/>
        <v>541</v>
      </c>
      <c r="H382" s="8">
        <f t="shared" si="115"/>
        <v>2553</v>
      </c>
      <c r="I382" s="8">
        <f t="shared" si="116"/>
        <v>2529</v>
      </c>
      <c r="J382" s="8">
        <f t="shared" si="117"/>
        <v>2541</v>
      </c>
      <c r="K382" s="8">
        <f t="shared" si="128"/>
        <v>3000</v>
      </c>
      <c r="L382" s="8">
        <f t="shared" si="129"/>
        <v>3000</v>
      </c>
      <c r="M382" s="8">
        <f t="shared" si="130"/>
        <v>3000</v>
      </c>
      <c r="N382" s="8">
        <f t="shared" si="121"/>
        <v>-447</v>
      </c>
      <c r="O382" s="8">
        <f t="shared" si="122"/>
        <v>-471</v>
      </c>
      <c r="P382" s="8">
        <f t="shared" si="123"/>
        <v>-459</v>
      </c>
      <c r="Q382" s="11">
        <v>0</v>
      </c>
      <c r="R382" s="11">
        <v>0</v>
      </c>
      <c r="S382" s="11">
        <v>0</v>
      </c>
      <c r="T382" s="10">
        <f t="shared" si="118"/>
        <v>1033</v>
      </c>
      <c r="U382" s="9">
        <f t="shared" si="124"/>
        <v>2053</v>
      </c>
      <c r="V382" s="9">
        <f t="shared" si="125"/>
        <v>2049</v>
      </c>
      <c r="W382" s="9">
        <f t="shared" si="126"/>
        <v>2091</v>
      </c>
      <c r="X382" s="10"/>
      <c r="Y382" s="8"/>
      <c r="Z382" s="8"/>
      <c r="AA382" s="8"/>
      <c r="AB382" s="8"/>
    </row>
    <row r="383" spans="1:28" ht="13.15" customHeight="1">
      <c r="A383" s="13">
        <f t="shared" si="127"/>
        <v>369</v>
      </c>
      <c r="B383" s="14">
        <f t="shared" si="119"/>
        <v>45620</v>
      </c>
      <c r="C383" s="13">
        <f t="shared" si="120"/>
        <v>1069</v>
      </c>
      <c r="D383" s="12">
        <f t="shared" ref="D383:D446" si="131">D382+2</f>
        <v>2015</v>
      </c>
      <c r="E383" s="11">
        <f t="shared" si="112"/>
        <v>531</v>
      </c>
      <c r="F383" s="11">
        <f t="shared" si="113"/>
        <v>555</v>
      </c>
      <c r="G383" s="11">
        <f t="shared" si="114"/>
        <v>543</v>
      </c>
      <c r="H383" s="8">
        <f t="shared" si="115"/>
        <v>2553</v>
      </c>
      <c r="I383" s="8">
        <f t="shared" si="116"/>
        <v>2529</v>
      </c>
      <c r="J383" s="8">
        <f t="shared" si="117"/>
        <v>2541</v>
      </c>
      <c r="K383" s="8">
        <f t="shared" si="128"/>
        <v>3000</v>
      </c>
      <c r="L383" s="8">
        <f t="shared" si="129"/>
        <v>3000</v>
      </c>
      <c r="M383" s="8">
        <f t="shared" si="130"/>
        <v>3000</v>
      </c>
      <c r="N383" s="8">
        <f t="shared" si="121"/>
        <v>-447</v>
      </c>
      <c r="O383" s="8">
        <f t="shared" si="122"/>
        <v>-471</v>
      </c>
      <c r="P383" s="8">
        <f t="shared" si="123"/>
        <v>-459</v>
      </c>
      <c r="Q383" s="11">
        <v>0</v>
      </c>
      <c r="R383" s="11">
        <v>0</v>
      </c>
      <c r="S383" s="11">
        <v>0</v>
      </c>
      <c r="T383" s="10">
        <f t="shared" si="118"/>
        <v>1035</v>
      </c>
      <c r="U383" s="9">
        <f t="shared" si="124"/>
        <v>2053</v>
      </c>
      <c r="V383" s="9">
        <f t="shared" si="125"/>
        <v>2049</v>
      </c>
      <c r="W383" s="9">
        <f t="shared" si="126"/>
        <v>2091</v>
      </c>
      <c r="X383" s="10"/>
      <c r="Y383" s="8"/>
      <c r="Z383" s="8"/>
      <c r="AA383" s="8"/>
      <c r="AB383" s="8"/>
    </row>
    <row r="384" spans="1:28" ht="13.15" customHeight="1">
      <c r="A384" s="13">
        <f t="shared" si="127"/>
        <v>370</v>
      </c>
      <c r="B384" s="14">
        <f t="shared" si="119"/>
        <v>45621</v>
      </c>
      <c r="C384" s="13">
        <f t="shared" si="120"/>
        <v>1069</v>
      </c>
      <c r="D384" s="12">
        <f t="shared" si="131"/>
        <v>2017</v>
      </c>
      <c r="E384" s="11">
        <f t="shared" si="112"/>
        <v>533</v>
      </c>
      <c r="F384" s="11">
        <f t="shared" si="113"/>
        <v>557</v>
      </c>
      <c r="G384" s="11">
        <f t="shared" si="114"/>
        <v>545</v>
      </c>
      <c r="H384" s="8">
        <f t="shared" si="115"/>
        <v>2553</v>
      </c>
      <c r="I384" s="8">
        <f t="shared" si="116"/>
        <v>2529</v>
      </c>
      <c r="J384" s="8">
        <f t="shared" si="117"/>
        <v>2541</v>
      </c>
      <c r="K384" s="8">
        <f t="shared" si="128"/>
        <v>3000</v>
      </c>
      <c r="L384" s="8">
        <f t="shared" si="129"/>
        <v>3000</v>
      </c>
      <c r="M384" s="8">
        <f t="shared" si="130"/>
        <v>3000</v>
      </c>
      <c r="N384" s="8">
        <f t="shared" si="121"/>
        <v>-447</v>
      </c>
      <c r="O384" s="8">
        <f t="shared" si="122"/>
        <v>-471</v>
      </c>
      <c r="P384" s="8">
        <f t="shared" si="123"/>
        <v>-459</v>
      </c>
      <c r="Q384" s="11">
        <v>0</v>
      </c>
      <c r="R384" s="11">
        <v>0</v>
      </c>
      <c r="S384" s="11">
        <v>0</v>
      </c>
      <c r="T384" s="10">
        <f t="shared" si="118"/>
        <v>1037</v>
      </c>
      <c r="U384" s="9">
        <f t="shared" si="124"/>
        <v>2053</v>
      </c>
      <c r="V384" s="9">
        <f t="shared" si="125"/>
        <v>2049</v>
      </c>
      <c r="W384" s="9">
        <f t="shared" si="126"/>
        <v>2091</v>
      </c>
      <c r="X384" s="10"/>
      <c r="Y384" s="8"/>
      <c r="Z384" s="8"/>
      <c r="AA384" s="8"/>
      <c r="AB384" s="8"/>
    </row>
    <row r="385" spans="1:28" ht="13.15" customHeight="1">
      <c r="A385" s="13">
        <f t="shared" si="127"/>
        <v>371</v>
      </c>
      <c r="B385" s="14">
        <f t="shared" si="119"/>
        <v>45622</v>
      </c>
      <c r="C385" s="13">
        <f t="shared" si="120"/>
        <v>1069</v>
      </c>
      <c r="D385" s="12">
        <f t="shared" si="131"/>
        <v>2019</v>
      </c>
      <c r="E385" s="11">
        <f t="shared" si="112"/>
        <v>535</v>
      </c>
      <c r="F385" s="11">
        <f t="shared" si="113"/>
        <v>559</v>
      </c>
      <c r="G385" s="11">
        <f t="shared" si="114"/>
        <v>547</v>
      </c>
      <c r="H385" s="8">
        <f t="shared" si="115"/>
        <v>2553</v>
      </c>
      <c r="I385" s="8">
        <f t="shared" si="116"/>
        <v>2529</v>
      </c>
      <c r="J385" s="8">
        <f t="shared" si="117"/>
        <v>2541</v>
      </c>
      <c r="K385" s="8">
        <f t="shared" si="128"/>
        <v>3000</v>
      </c>
      <c r="L385" s="8">
        <f t="shared" si="129"/>
        <v>3000</v>
      </c>
      <c r="M385" s="8">
        <f t="shared" si="130"/>
        <v>3000</v>
      </c>
      <c r="N385" s="8">
        <f t="shared" si="121"/>
        <v>-447</v>
      </c>
      <c r="O385" s="8">
        <f t="shared" si="122"/>
        <v>-471</v>
      </c>
      <c r="P385" s="8">
        <f t="shared" si="123"/>
        <v>-459</v>
      </c>
      <c r="Q385" s="11">
        <v>0</v>
      </c>
      <c r="R385" s="11">
        <v>0</v>
      </c>
      <c r="S385" s="11">
        <v>0</v>
      </c>
      <c r="T385" s="10">
        <f t="shared" si="118"/>
        <v>1039</v>
      </c>
      <c r="U385" s="9">
        <f t="shared" si="124"/>
        <v>2053</v>
      </c>
      <c r="V385" s="9">
        <f t="shared" si="125"/>
        <v>2049</v>
      </c>
      <c r="W385" s="9">
        <f t="shared" si="126"/>
        <v>2091</v>
      </c>
      <c r="X385" s="10"/>
      <c r="Y385" s="8"/>
      <c r="Z385" s="8"/>
      <c r="AA385" s="8"/>
      <c r="AB385" s="8"/>
    </row>
    <row r="386" spans="1:28" ht="13.15" customHeight="1">
      <c r="A386" s="13">
        <f t="shared" si="127"/>
        <v>372</v>
      </c>
      <c r="B386" s="14">
        <f t="shared" si="119"/>
        <v>45623</v>
      </c>
      <c r="C386" s="13">
        <f t="shared" si="120"/>
        <v>1069</v>
      </c>
      <c r="D386" s="12">
        <f t="shared" si="131"/>
        <v>2021</v>
      </c>
      <c r="E386" s="11">
        <f t="shared" si="112"/>
        <v>537</v>
      </c>
      <c r="F386" s="11">
        <f t="shared" si="113"/>
        <v>561</v>
      </c>
      <c r="G386" s="11">
        <f t="shared" si="114"/>
        <v>549</v>
      </c>
      <c r="H386" s="8">
        <f t="shared" si="115"/>
        <v>2553</v>
      </c>
      <c r="I386" s="8">
        <f t="shared" si="116"/>
        <v>2529</v>
      </c>
      <c r="J386" s="8">
        <f t="shared" si="117"/>
        <v>2541</v>
      </c>
      <c r="K386" s="8">
        <f t="shared" si="128"/>
        <v>3000</v>
      </c>
      <c r="L386" s="8">
        <f t="shared" si="129"/>
        <v>3000</v>
      </c>
      <c r="M386" s="8">
        <f t="shared" si="130"/>
        <v>3000</v>
      </c>
      <c r="N386" s="8">
        <f t="shared" si="121"/>
        <v>-447</v>
      </c>
      <c r="O386" s="8">
        <f t="shared" si="122"/>
        <v>-471</v>
      </c>
      <c r="P386" s="8">
        <f t="shared" si="123"/>
        <v>-459</v>
      </c>
      <c r="Q386" s="11">
        <v>0</v>
      </c>
      <c r="R386" s="11">
        <v>0</v>
      </c>
      <c r="S386" s="11">
        <v>0</v>
      </c>
      <c r="T386" s="10">
        <f t="shared" si="118"/>
        <v>1041</v>
      </c>
      <c r="U386" s="9">
        <f t="shared" si="124"/>
        <v>2053</v>
      </c>
      <c r="V386" s="9">
        <f t="shared" si="125"/>
        <v>2049</v>
      </c>
      <c r="W386" s="9">
        <f t="shared" si="126"/>
        <v>2091</v>
      </c>
      <c r="X386" s="10"/>
      <c r="Y386" s="8"/>
      <c r="Z386" s="8"/>
      <c r="AA386" s="8"/>
      <c r="AB386" s="8"/>
    </row>
    <row r="387" spans="1:28" ht="13.15" customHeight="1">
      <c r="A387" s="13">
        <f t="shared" si="127"/>
        <v>373</v>
      </c>
      <c r="B387" s="14">
        <f t="shared" si="119"/>
        <v>45624</v>
      </c>
      <c r="C387" s="13">
        <f t="shared" si="120"/>
        <v>1069</v>
      </c>
      <c r="D387" s="12">
        <f t="shared" si="131"/>
        <v>2023</v>
      </c>
      <c r="E387" s="11">
        <f t="shared" si="112"/>
        <v>539</v>
      </c>
      <c r="F387" s="11">
        <f t="shared" si="113"/>
        <v>563</v>
      </c>
      <c r="G387" s="11">
        <f t="shared" si="114"/>
        <v>551</v>
      </c>
      <c r="H387" s="8">
        <f t="shared" si="115"/>
        <v>2553</v>
      </c>
      <c r="I387" s="8">
        <f t="shared" si="116"/>
        <v>2529</v>
      </c>
      <c r="J387" s="8">
        <f t="shared" si="117"/>
        <v>2541</v>
      </c>
      <c r="K387" s="8">
        <f t="shared" si="128"/>
        <v>3000</v>
      </c>
      <c r="L387" s="8">
        <f t="shared" si="129"/>
        <v>3000</v>
      </c>
      <c r="M387" s="8">
        <f t="shared" si="130"/>
        <v>3000</v>
      </c>
      <c r="N387" s="8">
        <f t="shared" si="121"/>
        <v>-447</v>
      </c>
      <c r="O387" s="8">
        <f t="shared" si="122"/>
        <v>-471</v>
      </c>
      <c r="P387" s="8">
        <f t="shared" si="123"/>
        <v>-459</v>
      </c>
      <c r="Q387" s="11">
        <v>0</v>
      </c>
      <c r="R387" s="11">
        <v>0</v>
      </c>
      <c r="S387" s="11">
        <v>0</v>
      </c>
      <c r="T387" s="10">
        <f t="shared" si="118"/>
        <v>1043</v>
      </c>
      <c r="U387" s="9">
        <f t="shared" si="124"/>
        <v>2053</v>
      </c>
      <c r="V387" s="9">
        <f t="shared" si="125"/>
        <v>2049</v>
      </c>
      <c r="W387" s="9">
        <f t="shared" si="126"/>
        <v>2091</v>
      </c>
      <c r="X387" s="10"/>
      <c r="Y387" s="8"/>
      <c r="Z387" s="8"/>
      <c r="AA387" s="8"/>
      <c r="AB387" s="8"/>
    </row>
    <row r="388" spans="1:28" ht="13.15" customHeight="1">
      <c r="A388" s="13">
        <f t="shared" si="127"/>
        <v>374</v>
      </c>
      <c r="B388" s="14">
        <f t="shared" si="119"/>
        <v>45625</v>
      </c>
      <c r="C388" s="13">
        <f t="shared" si="120"/>
        <v>1069</v>
      </c>
      <c r="D388" s="12">
        <f t="shared" si="131"/>
        <v>2025</v>
      </c>
      <c r="E388" s="11">
        <f t="shared" si="112"/>
        <v>541</v>
      </c>
      <c r="F388" s="11">
        <f t="shared" si="113"/>
        <v>565</v>
      </c>
      <c r="G388" s="11">
        <f t="shared" si="114"/>
        <v>553</v>
      </c>
      <c r="H388" s="8">
        <f t="shared" si="115"/>
        <v>2553</v>
      </c>
      <c r="I388" s="8">
        <f t="shared" si="116"/>
        <v>2529</v>
      </c>
      <c r="J388" s="8">
        <f t="shared" si="117"/>
        <v>2541</v>
      </c>
      <c r="K388" s="8">
        <f t="shared" si="128"/>
        <v>3000</v>
      </c>
      <c r="L388" s="8">
        <f t="shared" si="129"/>
        <v>3000</v>
      </c>
      <c r="M388" s="8">
        <f t="shared" si="130"/>
        <v>3000</v>
      </c>
      <c r="N388" s="8">
        <f t="shared" si="121"/>
        <v>-447</v>
      </c>
      <c r="O388" s="8">
        <f t="shared" si="122"/>
        <v>-471</v>
      </c>
      <c r="P388" s="8">
        <f t="shared" si="123"/>
        <v>-459</v>
      </c>
      <c r="Q388" s="11">
        <v>0</v>
      </c>
      <c r="R388" s="11">
        <v>0</v>
      </c>
      <c r="S388" s="11">
        <v>0</v>
      </c>
      <c r="T388" s="10">
        <f t="shared" si="118"/>
        <v>1045</v>
      </c>
      <c r="U388" s="9">
        <f t="shared" si="124"/>
        <v>2053</v>
      </c>
      <c r="V388" s="9">
        <f t="shared" si="125"/>
        <v>2049</v>
      </c>
      <c r="W388" s="9">
        <f t="shared" si="126"/>
        <v>2091</v>
      </c>
      <c r="X388" s="10"/>
      <c r="Y388" s="8"/>
      <c r="Z388" s="8"/>
      <c r="AA388" s="8"/>
      <c r="AB388" s="8"/>
    </row>
    <row r="389" spans="1:28" ht="13.15" customHeight="1">
      <c r="A389" s="13">
        <f t="shared" si="127"/>
        <v>375</v>
      </c>
      <c r="B389" s="14">
        <f t="shared" si="119"/>
        <v>45626</v>
      </c>
      <c r="C389" s="13">
        <f t="shared" si="120"/>
        <v>1069</v>
      </c>
      <c r="D389" s="12">
        <f t="shared" si="131"/>
        <v>2027</v>
      </c>
      <c r="E389" s="11">
        <f t="shared" si="112"/>
        <v>543</v>
      </c>
      <c r="F389" s="11">
        <f t="shared" si="113"/>
        <v>567</v>
      </c>
      <c r="G389" s="11">
        <f t="shared" si="114"/>
        <v>555</v>
      </c>
      <c r="H389" s="8">
        <f t="shared" si="115"/>
        <v>2553</v>
      </c>
      <c r="I389" s="8">
        <f t="shared" si="116"/>
        <v>2529</v>
      </c>
      <c r="J389" s="8">
        <f t="shared" si="117"/>
        <v>2541</v>
      </c>
      <c r="K389" s="8">
        <f t="shared" si="128"/>
        <v>3000</v>
      </c>
      <c r="L389" s="8">
        <f t="shared" si="129"/>
        <v>3000</v>
      </c>
      <c r="M389" s="8">
        <f t="shared" si="130"/>
        <v>3000</v>
      </c>
      <c r="N389" s="8">
        <f t="shared" si="121"/>
        <v>-447</v>
      </c>
      <c r="O389" s="8">
        <f t="shared" si="122"/>
        <v>-471</v>
      </c>
      <c r="P389" s="8">
        <f t="shared" si="123"/>
        <v>-459</v>
      </c>
      <c r="Q389" s="11">
        <v>0</v>
      </c>
      <c r="R389" s="11">
        <v>0</v>
      </c>
      <c r="S389" s="11">
        <v>0</v>
      </c>
      <c r="T389" s="10">
        <f t="shared" si="118"/>
        <v>1047</v>
      </c>
      <c r="U389" s="9">
        <f t="shared" si="124"/>
        <v>2053</v>
      </c>
      <c r="V389" s="9">
        <f t="shared" si="125"/>
        <v>2049</v>
      </c>
      <c r="W389" s="9">
        <f t="shared" si="126"/>
        <v>2091</v>
      </c>
      <c r="X389" s="10"/>
      <c r="Y389" s="8"/>
      <c r="Z389" s="8"/>
      <c r="AA389" s="8"/>
      <c r="AB389" s="8"/>
    </row>
    <row r="390" spans="1:28" ht="13.15" customHeight="1">
      <c r="A390" s="13">
        <f t="shared" si="127"/>
        <v>376</v>
      </c>
      <c r="B390" s="14">
        <f t="shared" si="119"/>
        <v>45627</v>
      </c>
      <c r="C390" s="13">
        <f t="shared" si="120"/>
        <v>1069</v>
      </c>
      <c r="D390" s="12">
        <f t="shared" si="131"/>
        <v>2029</v>
      </c>
      <c r="E390" s="11">
        <f t="shared" si="112"/>
        <v>545</v>
      </c>
      <c r="F390" s="11">
        <f t="shared" si="113"/>
        <v>569</v>
      </c>
      <c r="G390" s="11">
        <f t="shared" si="114"/>
        <v>557</v>
      </c>
      <c r="H390" s="8">
        <f t="shared" si="115"/>
        <v>2553</v>
      </c>
      <c r="I390" s="8">
        <f t="shared" si="116"/>
        <v>2529</v>
      </c>
      <c r="J390" s="8">
        <f t="shared" si="117"/>
        <v>2541</v>
      </c>
      <c r="K390" s="8">
        <f t="shared" si="128"/>
        <v>3000</v>
      </c>
      <c r="L390" s="8">
        <f t="shared" si="129"/>
        <v>3000</v>
      </c>
      <c r="M390" s="8">
        <f t="shared" si="130"/>
        <v>3000</v>
      </c>
      <c r="N390" s="8">
        <f t="shared" si="121"/>
        <v>-447</v>
      </c>
      <c r="O390" s="8">
        <f t="shared" si="122"/>
        <v>-471</v>
      </c>
      <c r="P390" s="8">
        <f t="shared" si="123"/>
        <v>-459</v>
      </c>
      <c r="Q390" s="11">
        <v>0</v>
      </c>
      <c r="R390" s="11">
        <v>0</v>
      </c>
      <c r="S390" s="11">
        <v>0</v>
      </c>
      <c r="T390" s="10">
        <f t="shared" si="118"/>
        <v>1049</v>
      </c>
      <c r="U390" s="9">
        <f t="shared" si="124"/>
        <v>2053</v>
      </c>
      <c r="V390" s="9">
        <f t="shared" si="125"/>
        <v>2049</v>
      </c>
      <c r="W390" s="9">
        <f t="shared" si="126"/>
        <v>2091</v>
      </c>
      <c r="X390" s="10"/>
      <c r="Y390" s="8"/>
      <c r="Z390" s="8"/>
      <c r="AA390" s="8"/>
      <c r="AB390" s="8"/>
    </row>
    <row r="391" spans="1:28" ht="13.15" customHeight="1">
      <c r="A391" s="13">
        <f t="shared" si="127"/>
        <v>377</v>
      </c>
      <c r="B391" s="14">
        <f t="shared" si="119"/>
        <v>45628</v>
      </c>
      <c r="C391" s="13">
        <f t="shared" si="120"/>
        <v>1069</v>
      </c>
      <c r="D391" s="12">
        <f t="shared" si="131"/>
        <v>2031</v>
      </c>
      <c r="E391" s="11">
        <f t="shared" si="112"/>
        <v>547</v>
      </c>
      <c r="F391" s="11">
        <f t="shared" si="113"/>
        <v>571</v>
      </c>
      <c r="G391" s="11">
        <f t="shared" si="114"/>
        <v>559</v>
      </c>
      <c r="H391" s="8">
        <f t="shared" si="115"/>
        <v>2553</v>
      </c>
      <c r="I391" s="8">
        <f t="shared" si="116"/>
        <v>2529</v>
      </c>
      <c r="J391" s="8">
        <f t="shared" si="117"/>
        <v>2541</v>
      </c>
      <c r="K391" s="8">
        <f t="shared" si="128"/>
        <v>3000</v>
      </c>
      <c r="L391" s="8">
        <f t="shared" si="129"/>
        <v>3000</v>
      </c>
      <c r="M391" s="8">
        <f t="shared" si="130"/>
        <v>3000</v>
      </c>
      <c r="N391" s="8">
        <f t="shared" si="121"/>
        <v>-447</v>
      </c>
      <c r="O391" s="8">
        <f t="shared" si="122"/>
        <v>-471</v>
      </c>
      <c r="P391" s="8">
        <f t="shared" si="123"/>
        <v>-459</v>
      </c>
      <c r="Q391" s="11">
        <v>0</v>
      </c>
      <c r="R391" s="11">
        <v>0</v>
      </c>
      <c r="S391" s="11">
        <v>0</v>
      </c>
      <c r="T391" s="10">
        <f t="shared" si="118"/>
        <v>1051</v>
      </c>
      <c r="U391" s="9">
        <f t="shared" si="124"/>
        <v>2053</v>
      </c>
      <c r="V391" s="9">
        <f t="shared" si="125"/>
        <v>2049</v>
      </c>
      <c r="W391" s="9">
        <f t="shared" si="126"/>
        <v>2091</v>
      </c>
      <c r="X391" s="10"/>
      <c r="Y391" s="8"/>
      <c r="Z391" s="8"/>
      <c r="AA391" s="8"/>
      <c r="AB391" s="8"/>
    </row>
    <row r="392" spans="1:28" ht="13.15" customHeight="1">
      <c r="A392" s="13">
        <f t="shared" si="127"/>
        <v>378</v>
      </c>
      <c r="B392" s="14">
        <f t="shared" si="119"/>
        <v>45629</v>
      </c>
      <c r="C392" s="13">
        <f t="shared" si="120"/>
        <v>1069</v>
      </c>
      <c r="D392" s="12">
        <f t="shared" si="131"/>
        <v>2033</v>
      </c>
      <c r="E392" s="11">
        <f t="shared" si="112"/>
        <v>549</v>
      </c>
      <c r="F392" s="11">
        <f t="shared" si="113"/>
        <v>573</v>
      </c>
      <c r="G392" s="11">
        <f t="shared" si="114"/>
        <v>561</v>
      </c>
      <c r="H392" s="8">
        <f t="shared" si="115"/>
        <v>2553</v>
      </c>
      <c r="I392" s="8">
        <f t="shared" si="116"/>
        <v>2529</v>
      </c>
      <c r="J392" s="8">
        <f t="shared" si="117"/>
        <v>2541</v>
      </c>
      <c r="K392" s="8">
        <f t="shared" si="128"/>
        <v>3000</v>
      </c>
      <c r="L392" s="8">
        <f t="shared" si="129"/>
        <v>3000</v>
      </c>
      <c r="M392" s="8">
        <f t="shared" si="130"/>
        <v>3000</v>
      </c>
      <c r="N392" s="8">
        <f t="shared" si="121"/>
        <v>-447</v>
      </c>
      <c r="O392" s="8">
        <f t="shared" si="122"/>
        <v>-471</v>
      </c>
      <c r="P392" s="8">
        <f t="shared" si="123"/>
        <v>-459</v>
      </c>
      <c r="Q392" s="11">
        <v>0</v>
      </c>
      <c r="R392" s="11">
        <v>0</v>
      </c>
      <c r="S392" s="11">
        <v>0</v>
      </c>
      <c r="T392" s="10">
        <f t="shared" si="118"/>
        <v>1053</v>
      </c>
      <c r="U392" s="9">
        <f t="shared" si="124"/>
        <v>2053</v>
      </c>
      <c r="V392" s="9">
        <f t="shared" si="125"/>
        <v>2049</v>
      </c>
      <c r="W392" s="9">
        <f t="shared" si="126"/>
        <v>2091</v>
      </c>
      <c r="X392" s="10"/>
      <c r="Y392" s="8"/>
      <c r="Z392" s="8"/>
      <c r="AA392" s="8"/>
      <c r="AB392" s="8"/>
    </row>
    <row r="393" spans="1:28" ht="13.15" customHeight="1">
      <c r="A393" s="13">
        <f t="shared" si="127"/>
        <v>379</v>
      </c>
      <c r="B393" s="14">
        <f t="shared" si="119"/>
        <v>45630</v>
      </c>
      <c r="C393" s="13">
        <f t="shared" si="120"/>
        <v>1069</v>
      </c>
      <c r="D393" s="12">
        <f t="shared" si="131"/>
        <v>2035</v>
      </c>
      <c r="E393" s="11">
        <f t="shared" si="112"/>
        <v>551</v>
      </c>
      <c r="F393" s="11">
        <f t="shared" si="113"/>
        <v>575</v>
      </c>
      <c r="G393" s="11">
        <f t="shared" si="114"/>
        <v>563</v>
      </c>
      <c r="H393" s="8">
        <f t="shared" si="115"/>
        <v>2553</v>
      </c>
      <c r="I393" s="8">
        <f t="shared" si="116"/>
        <v>2529</v>
      </c>
      <c r="J393" s="8">
        <f t="shared" si="117"/>
        <v>2541</v>
      </c>
      <c r="K393" s="8">
        <f t="shared" si="128"/>
        <v>3000</v>
      </c>
      <c r="L393" s="8">
        <f t="shared" si="129"/>
        <v>3000</v>
      </c>
      <c r="M393" s="8">
        <f t="shared" si="130"/>
        <v>3000</v>
      </c>
      <c r="N393" s="8">
        <f t="shared" si="121"/>
        <v>-447</v>
      </c>
      <c r="O393" s="8">
        <f t="shared" si="122"/>
        <v>-471</v>
      </c>
      <c r="P393" s="8">
        <f t="shared" si="123"/>
        <v>-459</v>
      </c>
      <c r="Q393" s="11">
        <v>0</v>
      </c>
      <c r="R393" s="11">
        <v>0</v>
      </c>
      <c r="S393" s="11">
        <v>0</v>
      </c>
      <c r="T393" s="10">
        <f t="shared" si="118"/>
        <v>1055</v>
      </c>
      <c r="U393" s="9">
        <f t="shared" si="124"/>
        <v>2053</v>
      </c>
      <c r="V393" s="9">
        <f t="shared" si="125"/>
        <v>2049</v>
      </c>
      <c r="W393" s="9">
        <f t="shared" si="126"/>
        <v>2091</v>
      </c>
      <c r="X393" s="10"/>
      <c r="Y393" s="8"/>
      <c r="Z393" s="8"/>
      <c r="AA393" s="8"/>
      <c r="AB393" s="8"/>
    </row>
    <row r="394" spans="1:28" ht="13.15" customHeight="1">
      <c r="A394" s="13">
        <f t="shared" si="127"/>
        <v>380</v>
      </c>
      <c r="B394" s="14">
        <f t="shared" si="119"/>
        <v>45631</v>
      </c>
      <c r="C394" s="13">
        <f t="shared" si="120"/>
        <v>1069</v>
      </c>
      <c r="D394" s="12">
        <f t="shared" si="131"/>
        <v>2037</v>
      </c>
      <c r="E394" s="11">
        <f t="shared" si="112"/>
        <v>553</v>
      </c>
      <c r="F394" s="11">
        <f t="shared" si="113"/>
        <v>577</v>
      </c>
      <c r="G394" s="11">
        <f t="shared" si="114"/>
        <v>565</v>
      </c>
      <c r="H394" s="8">
        <f t="shared" si="115"/>
        <v>2553</v>
      </c>
      <c r="I394" s="8">
        <f t="shared" si="116"/>
        <v>2529</v>
      </c>
      <c r="J394" s="8">
        <f t="shared" si="117"/>
        <v>2541</v>
      </c>
      <c r="K394" s="8">
        <f t="shared" si="128"/>
        <v>3000</v>
      </c>
      <c r="L394" s="8">
        <f t="shared" si="129"/>
        <v>3000</v>
      </c>
      <c r="M394" s="8">
        <f t="shared" si="130"/>
        <v>3000</v>
      </c>
      <c r="N394" s="8">
        <f t="shared" si="121"/>
        <v>-447</v>
      </c>
      <c r="O394" s="8">
        <f t="shared" si="122"/>
        <v>-471</v>
      </c>
      <c r="P394" s="8">
        <f t="shared" si="123"/>
        <v>-459</v>
      </c>
      <c r="Q394" s="11">
        <v>0</v>
      </c>
      <c r="R394" s="11">
        <v>0</v>
      </c>
      <c r="S394" s="11">
        <v>0</v>
      </c>
      <c r="T394" s="10">
        <f t="shared" si="118"/>
        <v>1057</v>
      </c>
      <c r="U394" s="9">
        <f t="shared" si="124"/>
        <v>2053</v>
      </c>
      <c r="V394" s="9">
        <f t="shared" si="125"/>
        <v>2049</v>
      </c>
      <c r="W394" s="9">
        <f t="shared" si="126"/>
        <v>2091</v>
      </c>
      <c r="X394" s="10"/>
      <c r="Y394" s="8"/>
      <c r="Z394" s="8"/>
      <c r="AA394" s="8"/>
      <c r="AB394" s="8"/>
    </row>
    <row r="395" spans="1:28" ht="13.15" customHeight="1">
      <c r="A395" s="13">
        <f t="shared" si="127"/>
        <v>381</v>
      </c>
      <c r="B395" s="14">
        <f t="shared" si="119"/>
        <v>45632</v>
      </c>
      <c r="C395" s="13">
        <f t="shared" si="120"/>
        <v>1069</v>
      </c>
      <c r="D395" s="12">
        <f t="shared" si="131"/>
        <v>2039</v>
      </c>
      <c r="E395" s="11">
        <f t="shared" si="112"/>
        <v>555</v>
      </c>
      <c r="F395" s="11">
        <f t="shared" si="113"/>
        <v>579</v>
      </c>
      <c r="G395" s="11">
        <f t="shared" si="114"/>
        <v>567</v>
      </c>
      <c r="H395" s="8">
        <f t="shared" si="115"/>
        <v>2553</v>
      </c>
      <c r="I395" s="8">
        <f t="shared" si="116"/>
        <v>2529</v>
      </c>
      <c r="J395" s="8">
        <f t="shared" si="117"/>
        <v>2541</v>
      </c>
      <c r="K395" s="8">
        <f t="shared" si="128"/>
        <v>3000</v>
      </c>
      <c r="L395" s="8">
        <f t="shared" si="129"/>
        <v>3000</v>
      </c>
      <c r="M395" s="8">
        <f t="shared" si="130"/>
        <v>3000</v>
      </c>
      <c r="N395" s="8">
        <f t="shared" si="121"/>
        <v>-447</v>
      </c>
      <c r="O395" s="8">
        <f t="shared" si="122"/>
        <v>-471</v>
      </c>
      <c r="P395" s="8">
        <f t="shared" si="123"/>
        <v>-459</v>
      </c>
      <c r="Q395" s="11">
        <v>0</v>
      </c>
      <c r="R395" s="11">
        <v>0</v>
      </c>
      <c r="S395" s="11">
        <v>0</v>
      </c>
      <c r="T395" s="10">
        <f t="shared" si="118"/>
        <v>1059</v>
      </c>
      <c r="U395" s="9">
        <f t="shared" si="124"/>
        <v>2053</v>
      </c>
      <c r="V395" s="9">
        <f t="shared" si="125"/>
        <v>2049</v>
      </c>
      <c r="W395" s="9">
        <f t="shared" si="126"/>
        <v>2091</v>
      </c>
      <c r="X395" s="10"/>
      <c r="Y395" s="8"/>
      <c r="Z395" s="8"/>
      <c r="AA395" s="8"/>
      <c r="AB395" s="15" t="s">
        <v>5</v>
      </c>
    </row>
    <row r="396" spans="1:28" ht="13.15" customHeight="1">
      <c r="A396" s="13">
        <f t="shared" si="127"/>
        <v>382</v>
      </c>
      <c r="B396" s="14">
        <f t="shared" si="119"/>
        <v>45633</v>
      </c>
      <c r="C396" s="13">
        <f t="shared" si="120"/>
        <v>1069</v>
      </c>
      <c r="D396" s="12">
        <f t="shared" si="131"/>
        <v>2041</v>
      </c>
      <c r="E396" s="11">
        <f t="shared" si="112"/>
        <v>557</v>
      </c>
      <c r="F396" s="11">
        <f t="shared" si="113"/>
        <v>581</v>
      </c>
      <c r="G396" s="11">
        <f t="shared" si="114"/>
        <v>569</v>
      </c>
      <c r="H396" s="8">
        <f t="shared" si="115"/>
        <v>2553</v>
      </c>
      <c r="I396" s="8">
        <f t="shared" si="116"/>
        <v>2529</v>
      </c>
      <c r="J396" s="8">
        <f t="shared" si="117"/>
        <v>2541</v>
      </c>
      <c r="K396" s="8">
        <f t="shared" si="128"/>
        <v>3000</v>
      </c>
      <c r="L396" s="8">
        <f t="shared" si="129"/>
        <v>3000</v>
      </c>
      <c r="M396" s="8">
        <f t="shared" si="130"/>
        <v>3000</v>
      </c>
      <c r="N396" s="8">
        <f t="shared" si="121"/>
        <v>-447</v>
      </c>
      <c r="O396" s="8">
        <f t="shared" si="122"/>
        <v>-471</v>
      </c>
      <c r="P396" s="8">
        <f t="shared" si="123"/>
        <v>-459</v>
      </c>
      <c r="Q396" s="11">
        <v>0</v>
      </c>
      <c r="R396" s="11">
        <v>0</v>
      </c>
      <c r="S396" s="11">
        <v>0</v>
      </c>
      <c r="T396" s="10">
        <f t="shared" si="118"/>
        <v>1061</v>
      </c>
      <c r="U396" s="9">
        <f t="shared" si="124"/>
        <v>2053</v>
      </c>
      <c r="V396" s="9">
        <f t="shared" si="125"/>
        <v>2049</v>
      </c>
      <c r="W396" s="9">
        <f t="shared" si="126"/>
        <v>2091</v>
      </c>
      <c r="X396" s="10"/>
      <c r="Y396" s="8"/>
      <c r="Z396" s="8"/>
      <c r="AA396" s="8"/>
      <c r="AB396" s="15"/>
    </row>
    <row r="397" spans="1:28" ht="13.15" customHeight="1">
      <c r="A397" s="13">
        <f t="shared" si="127"/>
        <v>383</v>
      </c>
      <c r="B397" s="14">
        <f t="shared" si="119"/>
        <v>45634</v>
      </c>
      <c r="C397" s="13">
        <f t="shared" si="120"/>
        <v>1069</v>
      </c>
      <c r="D397" s="12">
        <f t="shared" si="131"/>
        <v>2043</v>
      </c>
      <c r="E397" s="11">
        <f t="shared" si="112"/>
        <v>559</v>
      </c>
      <c r="F397" s="11">
        <f t="shared" si="113"/>
        <v>583</v>
      </c>
      <c r="G397" s="11">
        <f t="shared" si="114"/>
        <v>571</v>
      </c>
      <c r="H397" s="8">
        <f t="shared" si="115"/>
        <v>2553</v>
      </c>
      <c r="I397" s="8">
        <f t="shared" si="116"/>
        <v>2529</v>
      </c>
      <c r="J397" s="8">
        <f t="shared" si="117"/>
        <v>2541</v>
      </c>
      <c r="K397" s="8">
        <f t="shared" si="128"/>
        <v>3000</v>
      </c>
      <c r="L397" s="8">
        <f t="shared" si="129"/>
        <v>3000</v>
      </c>
      <c r="M397" s="8">
        <f t="shared" si="130"/>
        <v>3000</v>
      </c>
      <c r="N397" s="8">
        <f t="shared" si="121"/>
        <v>-447</v>
      </c>
      <c r="O397" s="8">
        <f t="shared" si="122"/>
        <v>-471</v>
      </c>
      <c r="P397" s="8">
        <f t="shared" si="123"/>
        <v>-459</v>
      </c>
      <c r="Q397" s="11">
        <v>0</v>
      </c>
      <c r="R397" s="11">
        <v>0</v>
      </c>
      <c r="S397" s="11">
        <v>0</v>
      </c>
      <c r="T397" s="10">
        <f t="shared" si="118"/>
        <v>1063</v>
      </c>
      <c r="U397" s="9">
        <f t="shared" si="124"/>
        <v>2053</v>
      </c>
      <c r="V397" s="9">
        <f t="shared" si="125"/>
        <v>2049</v>
      </c>
      <c r="W397" s="9">
        <f t="shared" si="126"/>
        <v>2091</v>
      </c>
      <c r="X397" s="10"/>
      <c r="Y397" s="8"/>
      <c r="Z397" s="8"/>
      <c r="AA397" s="8"/>
      <c r="AB397" s="15"/>
    </row>
    <row r="398" spans="1:28" ht="13.15" customHeight="1">
      <c r="A398" s="13">
        <f t="shared" si="127"/>
        <v>384</v>
      </c>
      <c r="B398" s="14">
        <f t="shared" si="119"/>
        <v>45635</v>
      </c>
      <c r="C398" s="13">
        <f t="shared" si="120"/>
        <v>1069</v>
      </c>
      <c r="D398" s="12">
        <f t="shared" si="131"/>
        <v>2045</v>
      </c>
      <c r="E398" s="11">
        <f t="shared" ref="E398:E461" si="132">C398+D398-H398</f>
        <v>561</v>
      </c>
      <c r="F398" s="11">
        <f t="shared" ref="F398:F461" si="133">C398+D398-I398</f>
        <v>585</v>
      </c>
      <c r="G398" s="11">
        <f t="shared" ref="G398:G461" si="134">D398+C398-J398</f>
        <v>573</v>
      </c>
      <c r="H398" s="8">
        <f t="shared" ref="H398:H461" si="135">K398+N398</f>
        <v>2553</v>
      </c>
      <c r="I398" s="8">
        <f t="shared" ref="I398:I461" si="136">L398+O398</f>
        <v>2529</v>
      </c>
      <c r="J398" s="8">
        <f t="shared" ref="J398:J461" si="137">M398+P398</f>
        <v>2541</v>
      </c>
      <c r="K398" s="8">
        <f t="shared" si="128"/>
        <v>3000</v>
      </c>
      <c r="L398" s="8">
        <f t="shared" si="129"/>
        <v>3000</v>
      </c>
      <c r="M398" s="8">
        <f t="shared" si="130"/>
        <v>3000</v>
      </c>
      <c r="N398" s="8">
        <f t="shared" si="121"/>
        <v>-447</v>
      </c>
      <c r="O398" s="8">
        <f t="shared" si="122"/>
        <v>-471</v>
      </c>
      <c r="P398" s="8">
        <f t="shared" si="123"/>
        <v>-459</v>
      </c>
      <c r="Q398" s="11">
        <v>0</v>
      </c>
      <c r="R398" s="11">
        <v>0</v>
      </c>
      <c r="S398" s="11">
        <v>0</v>
      </c>
      <c r="T398" s="10">
        <f t="shared" ref="T398:T461" si="138">D398+C398-V398</f>
        <v>1065</v>
      </c>
      <c r="U398" s="9">
        <f t="shared" si="124"/>
        <v>2053</v>
      </c>
      <c r="V398" s="9">
        <f t="shared" si="125"/>
        <v>2049</v>
      </c>
      <c r="W398" s="9">
        <f t="shared" si="126"/>
        <v>2091</v>
      </c>
      <c r="X398" s="10"/>
      <c r="Y398" s="8"/>
      <c r="Z398" s="8"/>
      <c r="AA398" s="8"/>
      <c r="AB398" s="15"/>
    </row>
    <row r="399" spans="1:28" ht="13.15" customHeight="1">
      <c r="A399" s="13">
        <f t="shared" si="127"/>
        <v>385</v>
      </c>
      <c r="B399" s="14">
        <f t="shared" ref="B399:B462" si="139">B398+1</f>
        <v>45636</v>
      </c>
      <c r="C399" s="13">
        <f t="shared" ref="C399:C462" si="140">C398</f>
        <v>1069</v>
      </c>
      <c r="D399" s="12">
        <f t="shared" si="131"/>
        <v>2047</v>
      </c>
      <c r="E399" s="11">
        <f t="shared" si="132"/>
        <v>563</v>
      </c>
      <c r="F399" s="11">
        <f t="shared" si="133"/>
        <v>587</v>
      </c>
      <c r="G399" s="11">
        <f t="shared" si="134"/>
        <v>575</v>
      </c>
      <c r="H399" s="8">
        <f t="shared" si="135"/>
        <v>2553</v>
      </c>
      <c r="I399" s="8">
        <f t="shared" si="136"/>
        <v>2529</v>
      </c>
      <c r="J399" s="8">
        <f t="shared" si="137"/>
        <v>2541</v>
      </c>
      <c r="K399" s="8">
        <f t="shared" si="128"/>
        <v>3000</v>
      </c>
      <c r="L399" s="8">
        <f t="shared" si="129"/>
        <v>3000</v>
      </c>
      <c r="M399" s="8">
        <f t="shared" si="130"/>
        <v>3000</v>
      </c>
      <c r="N399" s="8">
        <f t="shared" ref="N399:N462" si="141">N398-Q399</f>
        <v>-447</v>
      </c>
      <c r="O399" s="8">
        <f t="shared" ref="O399:O462" si="142">O398-R399</f>
        <v>-471</v>
      </c>
      <c r="P399" s="8">
        <f t="shared" ref="P399:P462" si="143">P398-S399</f>
        <v>-459</v>
      </c>
      <c r="Q399" s="11">
        <v>0</v>
      </c>
      <c r="R399" s="11">
        <v>0</v>
      </c>
      <c r="S399" s="11">
        <v>0</v>
      </c>
      <c r="T399" s="10">
        <f t="shared" si="138"/>
        <v>1067</v>
      </c>
      <c r="U399" s="9">
        <f t="shared" si="124"/>
        <v>2053</v>
      </c>
      <c r="V399" s="9">
        <f t="shared" si="125"/>
        <v>2049</v>
      </c>
      <c r="W399" s="9">
        <f t="shared" si="126"/>
        <v>2091</v>
      </c>
      <c r="X399" s="10"/>
      <c r="Y399" s="8"/>
      <c r="Z399" s="8"/>
      <c r="AA399" s="8"/>
      <c r="AB399" s="15"/>
    </row>
    <row r="400" spans="1:28" ht="13.15" customHeight="1">
      <c r="A400" s="13">
        <f t="shared" si="127"/>
        <v>386</v>
      </c>
      <c r="B400" s="14">
        <f t="shared" si="139"/>
        <v>45637</v>
      </c>
      <c r="C400" s="13">
        <f t="shared" si="140"/>
        <v>1069</v>
      </c>
      <c r="D400" s="12">
        <f t="shared" si="131"/>
        <v>2049</v>
      </c>
      <c r="E400" s="11">
        <f t="shared" si="132"/>
        <v>575</v>
      </c>
      <c r="F400" s="11">
        <f t="shared" si="133"/>
        <v>599</v>
      </c>
      <c r="G400" s="11">
        <f t="shared" si="134"/>
        <v>587</v>
      </c>
      <c r="H400" s="8">
        <f t="shared" si="135"/>
        <v>2543</v>
      </c>
      <c r="I400" s="8">
        <f t="shared" si="136"/>
        <v>2519</v>
      </c>
      <c r="J400" s="8">
        <f t="shared" si="137"/>
        <v>2531</v>
      </c>
      <c r="K400" s="8">
        <f t="shared" si="128"/>
        <v>3000</v>
      </c>
      <c r="L400" s="8">
        <f t="shared" si="129"/>
        <v>3000</v>
      </c>
      <c r="M400" s="8">
        <f t="shared" si="130"/>
        <v>3000</v>
      </c>
      <c r="N400" s="8">
        <f t="shared" si="141"/>
        <v>-457</v>
      </c>
      <c r="O400" s="8">
        <f t="shared" si="142"/>
        <v>-481</v>
      </c>
      <c r="P400" s="8">
        <f t="shared" si="143"/>
        <v>-469</v>
      </c>
      <c r="Q400" s="11">
        <v>10</v>
      </c>
      <c r="R400" s="11">
        <v>10</v>
      </c>
      <c r="S400" s="11">
        <v>10</v>
      </c>
      <c r="T400" s="10">
        <f t="shared" si="138"/>
        <v>789</v>
      </c>
      <c r="U400" s="9">
        <f t="shared" si="124"/>
        <v>2333</v>
      </c>
      <c r="V400" s="9">
        <f t="shared" si="125"/>
        <v>2329</v>
      </c>
      <c r="W400" s="9">
        <f t="shared" si="126"/>
        <v>2371</v>
      </c>
      <c r="X400" s="16">
        <v>0.28999999999999998</v>
      </c>
      <c r="Y400" s="8"/>
      <c r="Z400" s="8"/>
      <c r="AA400" s="8"/>
      <c r="AB400" s="15" t="s">
        <v>4</v>
      </c>
    </row>
    <row r="401" spans="1:28" ht="13.15" customHeight="1">
      <c r="A401" s="13">
        <f t="shared" si="127"/>
        <v>387</v>
      </c>
      <c r="B401" s="14">
        <f t="shared" si="139"/>
        <v>45638</v>
      </c>
      <c r="C401" s="13">
        <f t="shared" si="140"/>
        <v>1069</v>
      </c>
      <c r="D401" s="12">
        <f t="shared" si="131"/>
        <v>2051</v>
      </c>
      <c r="E401" s="11">
        <f t="shared" si="132"/>
        <v>585</v>
      </c>
      <c r="F401" s="11">
        <f t="shared" si="133"/>
        <v>611</v>
      </c>
      <c r="G401" s="11">
        <f t="shared" si="134"/>
        <v>599</v>
      </c>
      <c r="H401" s="8">
        <f t="shared" si="135"/>
        <v>2535</v>
      </c>
      <c r="I401" s="8">
        <f t="shared" si="136"/>
        <v>2509</v>
      </c>
      <c r="J401" s="8">
        <f t="shared" si="137"/>
        <v>2521</v>
      </c>
      <c r="K401" s="8">
        <f t="shared" si="128"/>
        <v>3000</v>
      </c>
      <c r="L401" s="8">
        <f t="shared" si="129"/>
        <v>3000</v>
      </c>
      <c r="M401" s="8">
        <f t="shared" si="130"/>
        <v>3000</v>
      </c>
      <c r="N401" s="8">
        <f t="shared" si="141"/>
        <v>-465</v>
      </c>
      <c r="O401" s="8">
        <f t="shared" si="142"/>
        <v>-491</v>
      </c>
      <c r="P401" s="8">
        <f t="shared" si="143"/>
        <v>-479</v>
      </c>
      <c r="Q401" s="11">
        <v>8</v>
      </c>
      <c r="R401" s="11">
        <v>10</v>
      </c>
      <c r="S401" s="11">
        <v>10</v>
      </c>
      <c r="T401" s="10">
        <f t="shared" si="138"/>
        <v>801</v>
      </c>
      <c r="U401" s="9">
        <f t="shared" si="124"/>
        <v>2325</v>
      </c>
      <c r="V401" s="9">
        <f t="shared" si="125"/>
        <v>2319</v>
      </c>
      <c r="W401" s="9">
        <f t="shared" si="126"/>
        <v>2361</v>
      </c>
      <c r="X401" s="10"/>
      <c r="Y401" s="8"/>
      <c r="Z401" s="8"/>
      <c r="AA401" s="8"/>
      <c r="AB401" s="15"/>
    </row>
    <row r="402" spans="1:28" ht="13.15" customHeight="1">
      <c r="A402" s="13">
        <f t="shared" si="127"/>
        <v>388</v>
      </c>
      <c r="B402" s="14">
        <f t="shared" si="139"/>
        <v>45639</v>
      </c>
      <c r="C402" s="13">
        <f t="shared" si="140"/>
        <v>1069</v>
      </c>
      <c r="D402" s="12">
        <f t="shared" si="131"/>
        <v>2053</v>
      </c>
      <c r="E402" s="11">
        <f t="shared" si="132"/>
        <v>593</v>
      </c>
      <c r="F402" s="11">
        <f t="shared" si="133"/>
        <v>619</v>
      </c>
      <c r="G402" s="11">
        <f t="shared" si="134"/>
        <v>611</v>
      </c>
      <c r="H402" s="8">
        <f t="shared" si="135"/>
        <v>2529</v>
      </c>
      <c r="I402" s="8">
        <f t="shared" si="136"/>
        <v>2503</v>
      </c>
      <c r="J402" s="8">
        <f t="shared" si="137"/>
        <v>2511</v>
      </c>
      <c r="K402" s="8">
        <f t="shared" si="128"/>
        <v>3000</v>
      </c>
      <c r="L402" s="8">
        <f t="shared" si="129"/>
        <v>3000</v>
      </c>
      <c r="M402" s="8">
        <f t="shared" si="130"/>
        <v>3000</v>
      </c>
      <c r="N402" s="8">
        <f t="shared" si="141"/>
        <v>-471</v>
      </c>
      <c r="O402" s="8">
        <f t="shared" si="142"/>
        <v>-497</v>
      </c>
      <c r="P402" s="8">
        <f t="shared" si="143"/>
        <v>-489</v>
      </c>
      <c r="Q402" s="11">
        <v>6</v>
      </c>
      <c r="R402" s="11">
        <v>6</v>
      </c>
      <c r="S402" s="11">
        <v>10</v>
      </c>
      <c r="T402" s="10">
        <f t="shared" si="138"/>
        <v>809</v>
      </c>
      <c r="U402" s="9">
        <f t="shared" si="124"/>
        <v>2319</v>
      </c>
      <c r="V402" s="9">
        <f t="shared" si="125"/>
        <v>2313</v>
      </c>
      <c r="W402" s="9">
        <f t="shared" si="126"/>
        <v>2351</v>
      </c>
      <c r="X402" s="10"/>
      <c r="Y402" s="8"/>
      <c r="Z402" s="8"/>
      <c r="AA402" s="8"/>
      <c r="AB402" s="15"/>
    </row>
    <row r="403" spans="1:28" ht="13.15" customHeight="1">
      <c r="A403" s="13">
        <f t="shared" si="127"/>
        <v>389</v>
      </c>
      <c r="B403" s="14">
        <f t="shared" si="139"/>
        <v>45640</v>
      </c>
      <c r="C403" s="13">
        <f t="shared" si="140"/>
        <v>1069</v>
      </c>
      <c r="D403" s="12">
        <f t="shared" si="131"/>
        <v>2055</v>
      </c>
      <c r="E403" s="11">
        <f t="shared" si="132"/>
        <v>601</v>
      </c>
      <c r="F403" s="11">
        <f t="shared" si="133"/>
        <v>629</v>
      </c>
      <c r="G403" s="11">
        <f t="shared" si="134"/>
        <v>620</v>
      </c>
      <c r="H403" s="8">
        <f t="shared" si="135"/>
        <v>2523</v>
      </c>
      <c r="I403" s="8">
        <f t="shared" si="136"/>
        <v>2495</v>
      </c>
      <c r="J403" s="8">
        <f t="shared" si="137"/>
        <v>2504</v>
      </c>
      <c r="K403" s="8">
        <f t="shared" si="128"/>
        <v>3000</v>
      </c>
      <c r="L403" s="8">
        <f t="shared" si="129"/>
        <v>3000</v>
      </c>
      <c r="M403" s="8">
        <f t="shared" si="130"/>
        <v>3000</v>
      </c>
      <c r="N403" s="8">
        <f t="shared" si="141"/>
        <v>-477</v>
      </c>
      <c r="O403" s="8">
        <f t="shared" si="142"/>
        <v>-505</v>
      </c>
      <c r="P403" s="8">
        <f t="shared" si="143"/>
        <v>-496</v>
      </c>
      <c r="Q403" s="11">
        <v>6</v>
      </c>
      <c r="R403" s="11">
        <v>8</v>
      </c>
      <c r="S403" s="11">
        <v>7</v>
      </c>
      <c r="T403" s="10">
        <f t="shared" si="138"/>
        <v>819</v>
      </c>
      <c r="U403" s="9">
        <f t="shared" si="124"/>
        <v>2313</v>
      </c>
      <c r="V403" s="9">
        <f t="shared" si="125"/>
        <v>2305</v>
      </c>
      <c r="W403" s="9">
        <f t="shared" si="126"/>
        <v>2344</v>
      </c>
      <c r="X403" s="10"/>
      <c r="Y403" s="8"/>
      <c r="Z403" s="8"/>
      <c r="AA403" s="8"/>
      <c r="AB403" s="15"/>
    </row>
    <row r="404" spans="1:28" ht="13.15" customHeight="1">
      <c r="A404" s="13">
        <f t="shared" si="127"/>
        <v>390</v>
      </c>
      <c r="B404" s="14">
        <f t="shared" si="139"/>
        <v>45641</v>
      </c>
      <c r="C404" s="13">
        <f t="shared" si="140"/>
        <v>1069</v>
      </c>
      <c r="D404" s="12">
        <f t="shared" si="131"/>
        <v>2057</v>
      </c>
      <c r="E404" s="11">
        <f t="shared" si="132"/>
        <v>609</v>
      </c>
      <c r="F404" s="11">
        <f t="shared" si="133"/>
        <v>639</v>
      </c>
      <c r="G404" s="11">
        <f t="shared" si="134"/>
        <v>629</v>
      </c>
      <c r="H404" s="8">
        <f t="shared" si="135"/>
        <v>2517</v>
      </c>
      <c r="I404" s="8">
        <f t="shared" si="136"/>
        <v>2487</v>
      </c>
      <c r="J404" s="8">
        <f t="shared" si="137"/>
        <v>2497</v>
      </c>
      <c r="K404" s="8">
        <f t="shared" si="128"/>
        <v>3000</v>
      </c>
      <c r="L404" s="8">
        <f t="shared" si="129"/>
        <v>3000</v>
      </c>
      <c r="M404" s="8">
        <f t="shared" si="130"/>
        <v>3000</v>
      </c>
      <c r="N404" s="8">
        <f t="shared" si="141"/>
        <v>-483</v>
      </c>
      <c r="O404" s="8">
        <f t="shared" si="142"/>
        <v>-513</v>
      </c>
      <c r="P404" s="8">
        <f t="shared" si="143"/>
        <v>-503</v>
      </c>
      <c r="Q404" s="11">
        <v>6</v>
      </c>
      <c r="R404" s="11">
        <v>8</v>
      </c>
      <c r="S404" s="11">
        <v>7</v>
      </c>
      <c r="T404" s="10">
        <f t="shared" si="138"/>
        <v>829</v>
      </c>
      <c r="U404" s="9">
        <f t="shared" si="124"/>
        <v>2307</v>
      </c>
      <c r="V404" s="9">
        <f t="shared" si="125"/>
        <v>2297</v>
      </c>
      <c r="W404" s="9">
        <f t="shared" si="126"/>
        <v>2337</v>
      </c>
      <c r="X404" s="10"/>
      <c r="Y404" s="8"/>
      <c r="Z404" s="8"/>
      <c r="AA404" s="8"/>
      <c r="AB404" s="15"/>
    </row>
    <row r="405" spans="1:28" ht="13.15" customHeight="1">
      <c r="A405" s="13">
        <f t="shared" si="127"/>
        <v>391</v>
      </c>
      <c r="B405" s="14">
        <f t="shared" si="139"/>
        <v>45642</v>
      </c>
      <c r="C405" s="13">
        <f t="shared" si="140"/>
        <v>1069</v>
      </c>
      <c r="D405" s="12">
        <f t="shared" si="131"/>
        <v>2059</v>
      </c>
      <c r="E405" s="11">
        <f t="shared" si="132"/>
        <v>621</v>
      </c>
      <c r="F405" s="11">
        <f t="shared" si="133"/>
        <v>651</v>
      </c>
      <c r="G405" s="11">
        <f t="shared" si="134"/>
        <v>641</v>
      </c>
      <c r="H405" s="8">
        <f t="shared" si="135"/>
        <v>2507</v>
      </c>
      <c r="I405" s="8">
        <f t="shared" si="136"/>
        <v>2477</v>
      </c>
      <c r="J405" s="8">
        <f t="shared" si="137"/>
        <v>2487</v>
      </c>
      <c r="K405" s="8">
        <f t="shared" si="128"/>
        <v>3000</v>
      </c>
      <c r="L405" s="8">
        <f t="shared" si="129"/>
        <v>3000</v>
      </c>
      <c r="M405" s="8">
        <f t="shared" si="130"/>
        <v>3000</v>
      </c>
      <c r="N405" s="8">
        <f t="shared" si="141"/>
        <v>-493</v>
      </c>
      <c r="O405" s="8">
        <f t="shared" si="142"/>
        <v>-523</v>
      </c>
      <c r="P405" s="8">
        <f t="shared" si="143"/>
        <v>-513</v>
      </c>
      <c r="Q405" s="11">
        <v>10</v>
      </c>
      <c r="R405" s="11">
        <v>10</v>
      </c>
      <c r="S405" s="11">
        <v>10</v>
      </c>
      <c r="T405" s="10">
        <f t="shared" si="138"/>
        <v>541</v>
      </c>
      <c r="U405" s="9">
        <f t="shared" si="124"/>
        <v>2597</v>
      </c>
      <c r="V405" s="9">
        <f t="shared" si="125"/>
        <v>2587</v>
      </c>
      <c r="W405" s="9">
        <f t="shared" si="126"/>
        <v>2627</v>
      </c>
      <c r="X405" s="16">
        <v>0.3</v>
      </c>
      <c r="Y405" s="8"/>
      <c r="Z405" s="8"/>
      <c r="AA405" s="8"/>
      <c r="AB405" s="15" t="s">
        <v>3</v>
      </c>
    </row>
    <row r="406" spans="1:28" ht="13.15" customHeight="1">
      <c r="A406" s="13">
        <f t="shared" si="127"/>
        <v>392</v>
      </c>
      <c r="B406" s="14">
        <f t="shared" si="139"/>
        <v>45643</v>
      </c>
      <c r="C406" s="13">
        <f t="shared" si="140"/>
        <v>1069</v>
      </c>
      <c r="D406" s="12">
        <f t="shared" si="131"/>
        <v>2061</v>
      </c>
      <c r="E406" s="11">
        <f t="shared" si="132"/>
        <v>633</v>
      </c>
      <c r="F406" s="11">
        <f t="shared" si="133"/>
        <v>662</v>
      </c>
      <c r="G406" s="11">
        <f t="shared" si="134"/>
        <v>653</v>
      </c>
      <c r="H406" s="8">
        <f t="shared" si="135"/>
        <v>2497</v>
      </c>
      <c r="I406" s="8">
        <f t="shared" si="136"/>
        <v>2468</v>
      </c>
      <c r="J406" s="8">
        <f t="shared" si="137"/>
        <v>2477</v>
      </c>
      <c r="K406" s="8">
        <f t="shared" si="128"/>
        <v>3000</v>
      </c>
      <c r="L406" s="8">
        <f t="shared" si="129"/>
        <v>3000</v>
      </c>
      <c r="M406" s="8">
        <f t="shared" si="130"/>
        <v>3000</v>
      </c>
      <c r="N406" s="8">
        <f t="shared" si="141"/>
        <v>-503</v>
      </c>
      <c r="O406" s="8">
        <f t="shared" si="142"/>
        <v>-532</v>
      </c>
      <c r="P406" s="8">
        <f t="shared" si="143"/>
        <v>-523</v>
      </c>
      <c r="Q406" s="11">
        <v>10</v>
      </c>
      <c r="R406" s="11">
        <v>9</v>
      </c>
      <c r="S406" s="11">
        <v>10</v>
      </c>
      <c r="T406" s="10">
        <f t="shared" si="138"/>
        <v>552</v>
      </c>
      <c r="U406" s="9">
        <f t="shared" si="124"/>
        <v>2587</v>
      </c>
      <c r="V406" s="9">
        <f t="shared" si="125"/>
        <v>2578</v>
      </c>
      <c r="W406" s="9">
        <f t="shared" si="126"/>
        <v>2617</v>
      </c>
      <c r="X406" s="10"/>
      <c r="Y406" s="8"/>
      <c r="Z406" s="8"/>
      <c r="AA406" s="8"/>
      <c r="AB406" s="15"/>
    </row>
    <row r="407" spans="1:28" ht="13.15" customHeight="1">
      <c r="A407" s="13">
        <f t="shared" si="127"/>
        <v>393</v>
      </c>
      <c r="B407" s="14">
        <f t="shared" si="139"/>
        <v>45644</v>
      </c>
      <c r="C407" s="13">
        <f t="shared" si="140"/>
        <v>1069</v>
      </c>
      <c r="D407" s="12">
        <f t="shared" si="131"/>
        <v>2063</v>
      </c>
      <c r="E407" s="11">
        <f t="shared" si="132"/>
        <v>639</v>
      </c>
      <c r="F407" s="11">
        <f t="shared" si="133"/>
        <v>673</v>
      </c>
      <c r="G407" s="11">
        <f t="shared" si="134"/>
        <v>662</v>
      </c>
      <c r="H407" s="8">
        <f t="shared" si="135"/>
        <v>2493</v>
      </c>
      <c r="I407" s="8">
        <f t="shared" si="136"/>
        <v>2459</v>
      </c>
      <c r="J407" s="8">
        <f t="shared" si="137"/>
        <v>2470</v>
      </c>
      <c r="K407" s="8">
        <f t="shared" si="128"/>
        <v>3000</v>
      </c>
      <c r="L407" s="8">
        <f t="shared" si="129"/>
        <v>3000</v>
      </c>
      <c r="M407" s="8">
        <f t="shared" si="130"/>
        <v>3000</v>
      </c>
      <c r="N407" s="8">
        <f t="shared" si="141"/>
        <v>-507</v>
      </c>
      <c r="O407" s="8">
        <f t="shared" si="142"/>
        <v>-541</v>
      </c>
      <c r="P407" s="8">
        <f t="shared" si="143"/>
        <v>-530</v>
      </c>
      <c r="Q407" s="11">
        <v>4</v>
      </c>
      <c r="R407" s="11">
        <v>9</v>
      </c>
      <c r="S407" s="11">
        <v>7</v>
      </c>
      <c r="T407" s="10">
        <f t="shared" si="138"/>
        <v>563</v>
      </c>
      <c r="U407" s="9">
        <f t="shared" si="124"/>
        <v>2583</v>
      </c>
      <c r="V407" s="9">
        <f t="shared" si="125"/>
        <v>2569</v>
      </c>
      <c r="W407" s="9">
        <f t="shared" si="126"/>
        <v>2610</v>
      </c>
      <c r="X407" s="10"/>
      <c r="Y407" s="8"/>
      <c r="Z407" s="8"/>
      <c r="AA407" s="8"/>
      <c r="AB407" s="15"/>
    </row>
    <row r="408" spans="1:28" ht="13.15" customHeight="1">
      <c r="A408" s="13">
        <f t="shared" si="127"/>
        <v>394</v>
      </c>
      <c r="B408" s="14">
        <f t="shared" si="139"/>
        <v>45645</v>
      </c>
      <c r="C408" s="13">
        <f t="shared" si="140"/>
        <v>1069</v>
      </c>
      <c r="D408" s="12">
        <f t="shared" si="131"/>
        <v>2065</v>
      </c>
      <c r="E408" s="11">
        <f t="shared" si="132"/>
        <v>646</v>
      </c>
      <c r="F408" s="11">
        <f t="shared" si="133"/>
        <v>684</v>
      </c>
      <c r="G408" s="11">
        <f t="shared" si="134"/>
        <v>671</v>
      </c>
      <c r="H408" s="8">
        <f t="shared" si="135"/>
        <v>2488</v>
      </c>
      <c r="I408" s="8">
        <f t="shared" si="136"/>
        <v>2450</v>
      </c>
      <c r="J408" s="8">
        <f t="shared" si="137"/>
        <v>2463</v>
      </c>
      <c r="K408" s="8">
        <f t="shared" si="128"/>
        <v>3000</v>
      </c>
      <c r="L408" s="8">
        <f t="shared" si="129"/>
        <v>3000</v>
      </c>
      <c r="M408" s="8">
        <f t="shared" si="130"/>
        <v>3000</v>
      </c>
      <c r="N408" s="8">
        <f t="shared" si="141"/>
        <v>-512</v>
      </c>
      <c r="O408" s="8">
        <f t="shared" si="142"/>
        <v>-550</v>
      </c>
      <c r="P408" s="8">
        <f t="shared" si="143"/>
        <v>-537</v>
      </c>
      <c r="Q408" s="11">
        <v>5</v>
      </c>
      <c r="R408" s="11">
        <v>9</v>
      </c>
      <c r="S408" s="11">
        <v>7</v>
      </c>
      <c r="T408" s="10">
        <f t="shared" si="138"/>
        <v>574</v>
      </c>
      <c r="U408" s="9">
        <f t="shared" si="124"/>
        <v>2578</v>
      </c>
      <c r="V408" s="9">
        <f t="shared" si="125"/>
        <v>2560</v>
      </c>
      <c r="W408" s="9">
        <f t="shared" si="126"/>
        <v>2603</v>
      </c>
      <c r="X408" s="10"/>
      <c r="Y408" s="8"/>
      <c r="Z408" s="8"/>
      <c r="AA408" s="8"/>
      <c r="AB408" s="15"/>
    </row>
    <row r="409" spans="1:28" ht="13.15" customHeight="1">
      <c r="A409" s="13">
        <f t="shared" si="127"/>
        <v>395</v>
      </c>
      <c r="B409" s="14">
        <f t="shared" si="139"/>
        <v>45646</v>
      </c>
      <c r="C409" s="13">
        <f t="shared" si="140"/>
        <v>1069</v>
      </c>
      <c r="D409" s="12">
        <f t="shared" si="131"/>
        <v>2067</v>
      </c>
      <c r="E409" s="11">
        <f t="shared" si="132"/>
        <v>654</v>
      </c>
      <c r="F409" s="11">
        <f t="shared" si="133"/>
        <v>694</v>
      </c>
      <c r="G409" s="11">
        <f t="shared" si="134"/>
        <v>680</v>
      </c>
      <c r="H409" s="8">
        <f t="shared" si="135"/>
        <v>2482</v>
      </c>
      <c r="I409" s="8">
        <f t="shared" si="136"/>
        <v>2442</v>
      </c>
      <c r="J409" s="8">
        <f t="shared" si="137"/>
        <v>2456</v>
      </c>
      <c r="K409" s="8">
        <f t="shared" si="128"/>
        <v>3000</v>
      </c>
      <c r="L409" s="8">
        <f t="shared" si="129"/>
        <v>3000</v>
      </c>
      <c r="M409" s="8">
        <f t="shared" si="130"/>
        <v>3000</v>
      </c>
      <c r="N409" s="8">
        <f t="shared" si="141"/>
        <v>-518</v>
      </c>
      <c r="O409" s="8">
        <f t="shared" si="142"/>
        <v>-558</v>
      </c>
      <c r="P409" s="8">
        <f t="shared" si="143"/>
        <v>-544</v>
      </c>
      <c r="Q409" s="11">
        <v>6</v>
      </c>
      <c r="R409" s="11">
        <v>8</v>
      </c>
      <c r="S409" s="11">
        <v>7</v>
      </c>
      <c r="T409" s="10">
        <f t="shared" si="138"/>
        <v>584</v>
      </c>
      <c r="U409" s="9">
        <f t="shared" si="124"/>
        <v>2572</v>
      </c>
      <c r="V409" s="9">
        <f t="shared" si="125"/>
        <v>2552</v>
      </c>
      <c r="W409" s="9">
        <f t="shared" si="126"/>
        <v>2596</v>
      </c>
      <c r="X409" s="10"/>
      <c r="Y409" s="8"/>
      <c r="Z409" s="8"/>
      <c r="AA409" s="8"/>
      <c r="AB409" s="15"/>
    </row>
    <row r="410" spans="1:28" ht="13.15" customHeight="1">
      <c r="A410" s="13">
        <f t="shared" si="127"/>
        <v>396</v>
      </c>
      <c r="B410" s="14">
        <f t="shared" si="139"/>
        <v>45647</v>
      </c>
      <c r="C410" s="13">
        <f t="shared" si="140"/>
        <v>1069</v>
      </c>
      <c r="D410" s="12">
        <f t="shared" si="131"/>
        <v>2069</v>
      </c>
      <c r="E410" s="11">
        <f t="shared" si="132"/>
        <v>666</v>
      </c>
      <c r="F410" s="11">
        <f t="shared" si="133"/>
        <v>706</v>
      </c>
      <c r="G410" s="11">
        <f t="shared" si="134"/>
        <v>692</v>
      </c>
      <c r="H410" s="8">
        <f t="shared" si="135"/>
        <v>2472</v>
      </c>
      <c r="I410" s="8">
        <f t="shared" si="136"/>
        <v>2432</v>
      </c>
      <c r="J410" s="8">
        <f t="shared" si="137"/>
        <v>2446</v>
      </c>
      <c r="K410" s="8">
        <f t="shared" si="128"/>
        <v>3000</v>
      </c>
      <c r="L410" s="8">
        <f t="shared" si="129"/>
        <v>3000</v>
      </c>
      <c r="M410" s="8">
        <f t="shared" si="130"/>
        <v>3000</v>
      </c>
      <c r="N410" s="8">
        <f t="shared" si="141"/>
        <v>-528</v>
      </c>
      <c r="O410" s="8">
        <f t="shared" si="142"/>
        <v>-568</v>
      </c>
      <c r="P410" s="8">
        <f t="shared" si="143"/>
        <v>-554</v>
      </c>
      <c r="Q410" s="11">
        <v>10</v>
      </c>
      <c r="R410" s="11">
        <v>10</v>
      </c>
      <c r="S410" s="11">
        <v>10</v>
      </c>
      <c r="T410" s="10">
        <f t="shared" si="138"/>
        <v>296</v>
      </c>
      <c r="U410" s="9">
        <f t="shared" si="124"/>
        <v>2862</v>
      </c>
      <c r="V410" s="9">
        <f t="shared" si="125"/>
        <v>2842</v>
      </c>
      <c r="W410" s="9">
        <f t="shared" si="126"/>
        <v>2886</v>
      </c>
      <c r="X410" s="16">
        <v>0.3</v>
      </c>
      <c r="Y410" s="8"/>
      <c r="Z410" s="8"/>
      <c r="AA410" s="8"/>
      <c r="AB410" s="15" t="s">
        <v>2</v>
      </c>
    </row>
    <row r="411" spans="1:28" ht="13.15" customHeight="1">
      <c r="A411" s="13">
        <f t="shared" si="127"/>
        <v>397</v>
      </c>
      <c r="B411" s="14">
        <f t="shared" si="139"/>
        <v>45648</v>
      </c>
      <c r="C411" s="13">
        <f t="shared" si="140"/>
        <v>1069</v>
      </c>
      <c r="D411" s="12">
        <f t="shared" si="131"/>
        <v>2071</v>
      </c>
      <c r="E411" s="11">
        <f t="shared" si="132"/>
        <v>678</v>
      </c>
      <c r="F411" s="11">
        <f t="shared" si="133"/>
        <v>717</v>
      </c>
      <c r="G411" s="11">
        <f t="shared" si="134"/>
        <v>704</v>
      </c>
      <c r="H411" s="8">
        <f t="shared" si="135"/>
        <v>2462</v>
      </c>
      <c r="I411" s="8">
        <f t="shared" si="136"/>
        <v>2423</v>
      </c>
      <c r="J411" s="8">
        <f t="shared" si="137"/>
        <v>2436</v>
      </c>
      <c r="K411" s="8">
        <f t="shared" si="128"/>
        <v>3000</v>
      </c>
      <c r="L411" s="8">
        <f t="shared" si="129"/>
        <v>3000</v>
      </c>
      <c r="M411" s="8">
        <f t="shared" si="130"/>
        <v>3000</v>
      </c>
      <c r="N411" s="8">
        <f t="shared" si="141"/>
        <v>-538</v>
      </c>
      <c r="O411" s="8">
        <f t="shared" si="142"/>
        <v>-577</v>
      </c>
      <c r="P411" s="8">
        <f t="shared" si="143"/>
        <v>-564</v>
      </c>
      <c r="Q411" s="11">
        <v>10</v>
      </c>
      <c r="R411" s="11">
        <v>9</v>
      </c>
      <c r="S411" s="11">
        <v>10</v>
      </c>
      <c r="T411" s="10">
        <f t="shared" si="138"/>
        <v>307</v>
      </c>
      <c r="U411" s="9">
        <f t="shared" si="124"/>
        <v>2852</v>
      </c>
      <c r="V411" s="9">
        <f t="shared" si="125"/>
        <v>2833</v>
      </c>
      <c r="W411" s="9">
        <f t="shared" si="126"/>
        <v>2876</v>
      </c>
      <c r="X411" s="10"/>
      <c r="Y411" s="8"/>
      <c r="Z411" s="8"/>
      <c r="AA411" s="8"/>
      <c r="AB411" s="15"/>
    </row>
    <row r="412" spans="1:28" ht="13.15" customHeight="1">
      <c r="A412" s="13">
        <f t="shared" si="127"/>
        <v>398</v>
      </c>
      <c r="B412" s="14">
        <f t="shared" si="139"/>
        <v>45649</v>
      </c>
      <c r="C412" s="13">
        <f t="shared" si="140"/>
        <v>1069</v>
      </c>
      <c r="D412" s="12">
        <f t="shared" si="131"/>
        <v>2073</v>
      </c>
      <c r="E412" s="11">
        <f t="shared" si="132"/>
        <v>684</v>
      </c>
      <c r="F412" s="11">
        <f t="shared" si="133"/>
        <v>727</v>
      </c>
      <c r="G412" s="11">
        <f t="shared" si="134"/>
        <v>713</v>
      </c>
      <c r="H412" s="8">
        <f t="shared" si="135"/>
        <v>2458</v>
      </c>
      <c r="I412" s="8">
        <f t="shared" si="136"/>
        <v>2415</v>
      </c>
      <c r="J412" s="8">
        <f t="shared" si="137"/>
        <v>2429</v>
      </c>
      <c r="K412" s="8">
        <f t="shared" si="128"/>
        <v>3000</v>
      </c>
      <c r="L412" s="8">
        <f t="shared" si="129"/>
        <v>3000</v>
      </c>
      <c r="M412" s="8">
        <f t="shared" si="130"/>
        <v>3000</v>
      </c>
      <c r="N412" s="8">
        <f t="shared" si="141"/>
        <v>-542</v>
      </c>
      <c r="O412" s="8">
        <f t="shared" si="142"/>
        <v>-585</v>
      </c>
      <c r="P412" s="8">
        <f t="shared" si="143"/>
        <v>-571</v>
      </c>
      <c r="Q412" s="11">
        <v>4</v>
      </c>
      <c r="R412" s="11">
        <v>8</v>
      </c>
      <c r="S412" s="11">
        <v>7</v>
      </c>
      <c r="T412" s="10">
        <f t="shared" si="138"/>
        <v>317</v>
      </c>
      <c r="U412" s="9">
        <f t="shared" si="124"/>
        <v>2848</v>
      </c>
      <c r="V412" s="9">
        <f t="shared" si="125"/>
        <v>2825</v>
      </c>
      <c r="W412" s="9">
        <f t="shared" si="126"/>
        <v>2869</v>
      </c>
      <c r="X412" s="10"/>
      <c r="Y412" s="8"/>
      <c r="Z412" s="8"/>
      <c r="AA412" s="8"/>
      <c r="AB412" s="15"/>
    </row>
    <row r="413" spans="1:28" ht="13.15" customHeight="1">
      <c r="A413" s="13">
        <f t="shared" si="127"/>
        <v>399</v>
      </c>
      <c r="B413" s="14">
        <f t="shared" si="139"/>
        <v>45650</v>
      </c>
      <c r="C413" s="13">
        <f t="shared" si="140"/>
        <v>1069</v>
      </c>
      <c r="D413" s="12">
        <f t="shared" si="131"/>
        <v>2075</v>
      </c>
      <c r="E413" s="11">
        <f t="shared" si="132"/>
        <v>690</v>
      </c>
      <c r="F413" s="11">
        <f t="shared" si="133"/>
        <v>738</v>
      </c>
      <c r="G413" s="11">
        <f t="shared" si="134"/>
        <v>722</v>
      </c>
      <c r="H413" s="8">
        <f t="shared" si="135"/>
        <v>2454</v>
      </c>
      <c r="I413" s="8">
        <f t="shared" si="136"/>
        <v>2406</v>
      </c>
      <c r="J413" s="8">
        <f t="shared" si="137"/>
        <v>2422</v>
      </c>
      <c r="K413" s="8">
        <f t="shared" si="128"/>
        <v>3000</v>
      </c>
      <c r="L413" s="8">
        <f t="shared" si="129"/>
        <v>3000</v>
      </c>
      <c r="M413" s="8">
        <f t="shared" si="130"/>
        <v>3000</v>
      </c>
      <c r="N413" s="8">
        <f t="shared" si="141"/>
        <v>-546</v>
      </c>
      <c r="O413" s="8">
        <f t="shared" si="142"/>
        <v>-594</v>
      </c>
      <c r="P413" s="8">
        <f t="shared" si="143"/>
        <v>-578</v>
      </c>
      <c r="Q413" s="11">
        <v>4</v>
      </c>
      <c r="R413" s="11">
        <v>9</v>
      </c>
      <c r="S413" s="11">
        <v>7</v>
      </c>
      <c r="T413" s="10">
        <f t="shared" si="138"/>
        <v>328</v>
      </c>
      <c r="U413" s="9">
        <f t="shared" si="124"/>
        <v>2844</v>
      </c>
      <c r="V413" s="9">
        <f t="shared" si="125"/>
        <v>2816</v>
      </c>
      <c r="W413" s="9">
        <f t="shared" si="126"/>
        <v>2862</v>
      </c>
      <c r="X413" s="10"/>
      <c r="Y413" s="8"/>
      <c r="Z413" s="8"/>
      <c r="AA413" s="8"/>
      <c r="AB413" s="15"/>
    </row>
    <row r="414" spans="1:28" ht="13.15" customHeight="1">
      <c r="A414" s="13">
        <f t="shared" si="127"/>
        <v>400</v>
      </c>
      <c r="B414" s="14">
        <f t="shared" si="139"/>
        <v>45651</v>
      </c>
      <c r="C414" s="13">
        <f t="shared" si="140"/>
        <v>1069</v>
      </c>
      <c r="D414" s="12">
        <f t="shared" si="131"/>
        <v>2077</v>
      </c>
      <c r="E414" s="11">
        <f t="shared" si="132"/>
        <v>698</v>
      </c>
      <c r="F414" s="11">
        <f t="shared" si="133"/>
        <v>748</v>
      </c>
      <c r="G414" s="11">
        <f t="shared" si="134"/>
        <v>731</v>
      </c>
      <c r="H414" s="8">
        <f t="shared" si="135"/>
        <v>2448</v>
      </c>
      <c r="I414" s="8">
        <f t="shared" si="136"/>
        <v>2398</v>
      </c>
      <c r="J414" s="8">
        <f t="shared" si="137"/>
        <v>2415</v>
      </c>
      <c r="K414" s="8">
        <f t="shared" si="128"/>
        <v>3000</v>
      </c>
      <c r="L414" s="8">
        <f t="shared" si="129"/>
        <v>3000</v>
      </c>
      <c r="M414" s="8">
        <f t="shared" si="130"/>
        <v>3000</v>
      </c>
      <c r="N414" s="8">
        <f t="shared" si="141"/>
        <v>-552</v>
      </c>
      <c r="O414" s="8">
        <f t="shared" si="142"/>
        <v>-602</v>
      </c>
      <c r="P414" s="8">
        <f t="shared" si="143"/>
        <v>-585</v>
      </c>
      <c r="Q414" s="11">
        <v>6</v>
      </c>
      <c r="R414" s="11">
        <v>8</v>
      </c>
      <c r="S414" s="11">
        <v>7</v>
      </c>
      <c r="T414" s="10">
        <f t="shared" si="138"/>
        <v>338</v>
      </c>
      <c r="U414" s="9">
        <f t="shared" si="124"/>
        <v>2838</v>
      </c>
      <c r="V414" s="9">
        <f t="shared" si="125"/>
        <v>2808</v>
      </c>
      <c r="W414" s="9">
        <f t="shared" si="126"/>
        <v>2855</v>
      </c>
      <c r="X414" s="10"/>
      <c r="Y414" s="8"/>
      <c r="Z414" s="8"/>
      <c r="AA414" s="8"/>
      <c r="AB414" s="15"/>
    </row>
    <row r="415" spans="1:28" ht="13.15" customHeight="1">
      <c r="A415" s="13">
        <f t="shared" si="127"/>
        <v>401</v>
      </c>
      <c r="B415" s="14">
        <f t="shared" si="139"/>
        <v>45652</v>
      </c>
      <c r="C415" s="13">
        <f t="shared" si="140"/>
        <v>1069</v>
      </c>
      <c r="D415" s="12">
        <f t="shared" si="131"/>
        <v>2079</v>
      </c>
      <c r="E415" s="11">
        <f t="shared" si="132"/>
        <v>710</v>
      </c>
      <c r="F415" s="11">
        <f t="shared" si="133"/>
        <v>760</v>
      </c>
      <c r="G415" s="11">
        <f t="shared" si="134"/>
        <v>743</v>
      </c>
      <c r="H415" s="8">
        <f t="shared" si="135"/>
        <v>2438</v>
      </c>
      <c r="I415" s="8">
        <f t="shared" si="136"/>
        <v>2388</v>
      </c>
      <c r="J415" s="8">
        <f t="shared" si="137"/>
        <v>2405</v>
      </c>
      <c r="K415" s="8">
        <f t="shared" si="128"/>
        <v>3000</v>
      </c>
      <c r="L415" s="8">
        <f t="shared" si="129"/>
        <v>3000</v>
      </c>
      <c r="M415" s="8">
        <f t="shared" si="130"/>
        <v>3000</v>
      </c>
      <c r="N415" s="8">
        <f t="shared" si="141"/>
        <v>-562</v>
      </c>
      <c r="O415" s="8">
        <f t="shared" si="142"/>
        <v>-612</v>
      </c>
      <c r="P415" s="8">
        <f t="shared" si="143"/>
        <v>-595</v>
      </c>
      <c r="Q415" s="11">
        <v>10</v>
      </c>
      <c r="R415" s="11">
        <v>10</v>
      </c>
      <c r="S415" s="11">
        <v>10</v>
      </c>
      <c r="T415" s="10">
        <f t="shared" si="138"/>
        <v>50</v>
      </c>
      <c r="U415" s="9">
        <f t="shared" si="124"/>
        <v>3128</v>
      </c>
      <c r="V415" s="9">
        <f t="shared" si="125"/>
        <v>3098</v>
      </c>
      <c r="W415" s="9">
        <f t="shared" si="126"/>
        <v>3145</v>
      </c>
      <c r="X415" s="16">
        <v>0.3</v>
      </c>
      <c r="Y415" s="8"/>
      <c r="Z415" s="8"/>
      <c r="AA415" s="8"/>
      <c r="AB415" s="15" t="s">
        <v>1</v>
      </c>
    </row>
    <row r="416" spans="1:28" ht="13.15" customHeight="1">
      <c r="A416" s="13">
        <f t="shared" si="127"/>
        <v>402</v>
      </c>
      <c r="B416" s="14">
        <f t="shared" si="139"/>
        <v>45653</v>
      </c>
      <c r="C416" s="13">
        <f t="shared" si="140"/>
        <v>1069</v>
      </c>
      <c r="D416" s="12">
        <f t="shared" si="131"/>
        <v>2081</v>
      </c>
      <c r="E416" s="11">
        <f t="shared" si="132"/>
        <v>719</v>
      </c>
      <c r="F416" s="11">
        <f t="shared" si="133"/>
        <v>770</v>
      </c>
      <c r="G416" s="11">
        <f t="shared" si="134"/>
        <v>753</v>
      </c>
      <c r="H416" s="8">
        <f t="shared" si="135"/>
        <v>2431</v>
      </c>
      <c r="I416" s="8">
        <f t="shared" si="136"/>
        <v>2380</v>
      </c>
      <c r="J416" s="8">
        <f t="shared" si="137"/>
        <v>2397</v>
      </c>
      <c r="K416" s="8">
        <f t="shared" si="128"/>
        <v>3000</v>
      </c>
      <c r="L416" s="8">
        <f t="shared" si="129"/>
        <v>3000</v>
      </c>
      <c r="M416" s="8">
        <f t="shared" si="130"/>
        <v>3000</v>
      </c>
      <c r="N416" s="8">
        <f t="shared" si="141"/>
        <v>-569</v>
      </c>
      <c r="O416" s="8">
        <f t="shared" si="142"/>
        <v>-620</v>
      </c>
      <c r="P416" s="8">
        <f t="shared" si="143"/>
        <v>-603</v>
      </c>
      <c r="Q416" s="11">
        <v>7</v>
      </c>
      <c r="R416" s="11">
        <v>8</v>
      </c>
      <c r="S416" s="11">
        <v>8</v>
      </c>
      <c r="T416" s="10">
        <f t="shared" si="138"/>
        <v>60</v>
      </c>
      <c r="U416" s="9">
        <f t="shared" si="124"/>
        <v>3121</v>
      </c>
      <c r="V416" s="9">
        <f t="shared" si="125"/>
        <v>3090</v>
      </c>
      <c r="W416" s="9">
        <f t="shared" si="126"/>
        <v>3137</v>
      </c>
      <c r="X416" s="10"/>
      <c r="Y416" s="8"/>
      <c r="Z416" s="8"/>
      <c r="AA416" s="8"/>
      <c r="AB416" s="15"/>
    </row>
    <row r="417" spans="1:28" ht="13.15" customHeight="1">
      <c r="A417" s="13">
        <f t="shared" si="127"/>
        <v>403</v>
      </c>
      <c r="B417" s="14">
        <f t="shared" si="139"/>
        <v>45654</v>
      </c>
      <c r="C417" s="13">
        <f t="shared" si="140"/>
        <v>1069</v>
      </c>
      <c r="D417" s="12">
        <f t="shared" si="131"/>
        <v>2083</v>
      </c>
      <c r="E417" s="11">
        <f t="shared" si="132"/>
        <v>729</v>
      </c>
      <c r="F417" s="11">
        <f t="shared" si="133"/>
        <v>781</v>
      </c>
      <c r="G417" s="11">
        <f t="shared" si="134"/>
        <v>763</v>
      </c>
      <c r="H417" s="8">
        <f t="shared" si="135"/>
        <v>2423</v>
      </c>
      <c r="I417" s="8">
        <f t="shared" si="136"/>
        <v>2371</v>
      </c>
      <c r="J417" s="8">
        <f t="shared" si="137"/>
        <v>2389</v>
      </c>
      <c r="K417" s="8">
        <f t="shared" si="128"/>
        <v>3000</v>
      </c>
      <c r="L417" s="8">
        <f t="shared" si="129"/>
        <v>3000</v>
      </c>
      <c r="M417" s="8">
        <f t="shared" si="130"/>
        <v>3000</v>
      </c>
      <c r="N417" s="8">
        <f t="shared" si="141"/>
        <v>-577</v>
      </c>
      <c r="O417" s="8">
        <f t="shared" si="142"/>
        <v>-629</v>
      </c>
      <c r="P417" s="8">
        <f t="shared" si="143"/>
        <v>-611</v>
      </c>
      <c r="Q417" s="11">
        <v>8</v>
      </c>
      <c r="R417" s="11">
        <v>9</v>
      </c>
      <c r="S417" s="11">
        <v>8</v>
      </c>
      <c r="T417" s="10">
        <f t="shared" si="138"/>
        <v>71</v>
      </c>
      <c r="U417" s="9">
        <f t="shared" si="124"/>
        <v>3113</v>
      </c>
      <c r="V417" s="9">
        <f t="shared" si="125"/>
        <v>3081</v>
      </c>
      <c r="W417" s="9">
        <f t="shared" si="126"/>
        <v>3129</v>
      </c>
      <c r="X417" s="10"/>
      <c r="Y417" s="8"/>
      <c r="Z417" s="8"/>
      <c r="AA417" s="8"/>
      <c r="AB417" s="15"/>
    </row>
    <row r="418" spans="1:28" ht="13.15" customHeight="1">
      <c r="A418" s="13">
        <f t="shared" si="127"/>
        <v>404</v>
      </c>
      <c r="B418" s="14">
        <f t="shared" si="139"/>
        <v>45655</v>
      </c>
      <c r="C418" s="13">
        <f t="shared" si="140"/>
        <v>1069</v>
      </c>
      <c r="D418" s="12">
        <f t="shared" si="131"/>
        <v>2085</v>
      </c>
      <c r="E418" s="11">
        <f t="shared" si="132"/>
        <v>740</v>
      </c>
      <c r="F418" s="11">
        <f t="shared" si="133"/>
        <v>791</v>
      </c>
      <c r="G418" s="11">
        <f t="shared" si="134"/>
        <v>774</v>
      </c>
      <c r="H418" s="8">
        <f t="shared" si="135"/>
        <v>2414</v>
      </c>
      <c r="I418" s="8">
        <f t="shared" si="136"/>
        <v>2363</v>
      </c>
      <c r="J418" s="8">
        <f t="shared" si="137"/>
        <v>2380</v>
      </c>
      <c r="K418" s="8">
        <f t="shared" si="128"/>
        <v>3000</v>
      </c>
      <c r="L418" s="8">
        <f t="shared" si="129"/>
        <v>3000</v>
      </c>
      <c r="M418" s="8">
        <f t="shared" si="130"/>
        <v>3000</v>
      </c>
      <c r="N418" s="8">
        <f t="shared" si="141"/>
        <v>-586</v>
      </c>
      <c r="O418" s="8">
        <f t="shared" si="142"/>
        <v>-637</v>
      </c>
      <c r="P418" s="8">
        <f t="shared" si="143"/>
        <v>-620</v>
      </c>
      <c r="Q418" s="11">
        <v>9</v>
      </c>
      <c r="R418" s="11">
        <v>8</v>
      </c>
      <c r="S418" s="11">
        <v>9</v>
      </c>
      <c r="T418" s="10">
        <f t="shared" si="138"/>
        <v>81</v>
      </c>
      <c r="U418" s="9">
        <f t="shared" si="124"/>
        <v>3104</v>
      </c>
      <c r="V418" s="9">
        <f t="shared" si="125"/>
        <v>3073</v>
      </c>
      <c r="W418" s="9">
        <f t="shared" si="126"/>
        <v>3120</v>
      </c>
      <c r="X418" s="10"/>
      <c r="Y418" s="8"/>
      <c r="Z418" s="8"/>
      <c r="AA418" s="8"/>
      <c r="AB418" s="15"/>
    </row>
    <row r="419" spans="1:28" ht="13.15" customHeight="1">
      <c r="A419" s="13">
        <f t="shared" si="127"/>
        <v>405</v>
      </c>
      <c r="B419" s="14">
        <f t="shared" si="139"/>
        <v>45656</v>
      </c>
      <c r="C419" s="13">
        <f t="shared" si="140"/>
        <v>1069</v>
      </c>
      <c r="D419" s="12">
        <f t="shared" si="131"/>
        <v>2087</v>
      </c>
      <c r="E419" s="11">
        <f t="shared" si="132"/>
        <v>750</v>
      </c>
      <c r="F419" s="11">
        <f t="shared" si="133"/>
        <v>800</v>
      </c>
      <c r="G419" s="11">
        <f t="shared" si="134"/>
        <v>784</v>
      </c>
      <c r="H419" s="8">
        <f t="shared" si="135"/>
        <v>2406</v>
      </c>
      <c r="I419" s="8">
        <f t="shared" si="136"/>
        <v>2356</v>
      </c>
      <c r="J419" s="8">
        <f t="shared" si="137"/>
        <v>2372</v>
      </c>
      <c r="K419" s="8">
        <f t="shared" si="128"/>
        <v>3000</v>
      </c>
      <c r="L419" s="8">
        <f t="shared" si="129"/>
        <v>3000</v>
      </c>
      <c r="M419" s="8">
        <f t="shared" si="130"/>
        <v>3000</v>
      </c>
      <c r="N419" s="8">
        <f t="shared" si="141"/>
        <v>-594</v>
      </c>
      <c r="O419" s="8">
        <f t="shared" si="142"/>
        <v>-644</v>
      </c>
      <c r="P419" s="8">
        <f t="shared" si="143"/>
        <v>-628</v>
      </c>
      <c r="Q419" s="11">
        <v>8</v>
      </c>
      <c r="R419" s="11">
        <v>7</v>
      </c>
      <c r="S419" s="11">
        <v>8</v>
      </c>
      <c r="T419" s="10">
        <f t="shared" si="138"/>
        <v>90</v>
      </c>
      <c r="U419" s="9">
        <f t="shared" ref="U419:U482" si="144">U418+$X419*1000-Q419</f>
        <v>3096</v>
      </c>
      <c r="V419" s="9">
        <f t="shared" si="125"/>
        <v>3066</v>
      </c>
      <c r="W419" s="9">
        <f t="shared" si="126"/>
        <v>3112</v>
      </c>
      <c r="X419" s="10"/>
      <c r="Y419" s="8"/>
      <c r="Z419" s="8"/>
      <c r="AA419" s="8"/>
      <c r="AB419" s="15"/>
    </row>
    <row r="420" spans="1:28" ht="13.15" customHeight="1">
      <c r="A420" s="13">
        <f t="shared" si="127"/>
        <v>406</v>
      </c>
      <c r="B420" s="14">
        <f t="shared" si="139"/>
        <v>45657</v>
      </c>
      <c r="C420" s="13">
        <f t="shared" si="140"/>
        <v>1069</v>
      </c>
      <c r="D420" s="12">
        <f t="shared" si="131"/>
        <v>2089</v>
      </c>
      <c r="E420" s="11">
        <f t="shared" si="132"/>
        <v>762</v>
      </c>
      <c r="F420" s="11">
        <f t="shared" si="133"/>
        <v>811</v>
      </c>
      <c r="G420" s="11">
        <f t="shared" si="134"/>
        <v>796</v>
      </c>
      <c r="H420" s="8">
        <f t="shared" si="135"/>
        <v>2396</v>
      </c>
      <c r="I420" s="8">
        <f t="shared" si="136"/>
        <v>2347</v>
      </c>
      <c r="J420" s="8">
        <f t="shared" si="137"/>
        <v>2362</v>
      </c>
      <c r="K420" s="8">
        <f t="shared" si="128"/>
        <v>3000</v>
      </c>
      <c r="L420" s="8">
        <f t="shared" si="129"/>
        <v>3000</v>
      </c>
      <c r="M420" s="8">
        <f t="shared" si="130"/>
        <v>3000</v>
      </c>
      <c r="N420" s="8">
        <f t="shared" si="141"/>
        <v>-604</v>
      </c>
      <c r="O420" s="8">
        <f t="shared" si="142"/>
        <v>-653</v>
      </c>
      <c r="P420" s="8">
        <f t="shared" si="143"/>
        <v>-638</v>
      </c>
      <c r="Q420" s="11">
        <v>10</v>
      </c>
      <c r="R420" s="11">
        <v>9</v>
      </c>
      <c r="S420" s="11">
        <v>10</v>
      </c>
      <c r="T420" s="10">
        <f t="shared" si="138"/>
        <v>-199</v>
      </c>
      <c r="U420" s="9">
        <f t="shared" si="144"/>
        <v>3386</v>
      </c>
      <c r="V420" s="9">
        <f t="shared" ref="V420:V483" si="145">V419+$X420*1000-R420</f>
        <v>3357</v>
      </c>
      <c r="W420" s="9">
        <f t="shared" ref="W420:W483" si="146">W419+$X420*1000-S420</f>
        <v>3402</v>
      </c>
      <c r="X420" s="16">
        <v>0.3</v>
      </c>
      <c r="Y420" s="8"/>
      <c r="Z420" s="8"/>
      <c r="AA420" s="8"/>
      <c r="AB420" s="15" t="s">
        <v>0</v>
      </c>
    </row>
    <row r="421" spans="1:28" ht="13.15" customHeight="1">
      <c r="A421" s="13">
        <f t="shared" si="127"/>
        <v>407</v>
      </c>
      <c r="B421" s="14">
        <f t="shared" si="139"/>
        <v>45658</v>
      </c>
      <c r="C421" s="13">
        <f t="shared" si="140"/>
        <v>1069</v>
      </c>
      <c r="D421" s="12">
        <f t="shared" si="131"/>
        <v>2091</v>
      </c>
      <c r="E421" s="11">
        <f t="shared" si="132"/>
        <v>773</v>
      </c>
      <c r="F421" s="11">
        <f t="shared" si="133"/>
        <v>821</v>
      </c>
      <c r="G421" s="11">
        <f t="shared" si="134"/>
        <v>807</v>
      </c>
      <c r="H421" s="8">
        <f t="shared" si="135"/>
        <v>2387</v>
      </c>
      <c r="I421" s="8">
        <f t="shared" si="136"/>
        <v>2339</v>
      </c>
      <c r="J421" s="8">
        <f t="shared" si="137"/>
        <v>2353</v>
      </c>
      <c r="K421" s="8">
        <f t="shared" si="128"/>
        <v>3000</v>
      </c>
      <c r="L421" s="8">
        <f t="shared" si="129"/>
        <v>3000</v>
      </c>
      <c r="M421" s="8">
        <f t="shared" si="130"/>
        <v>3000</v>
      </c>
      <c r="N421" s="8">
        <f t="shared" si="141"/>
        <v>-613</v>
      </c>
      <c r="O421" s="8">
        <f t="shared" si="142"/>
        <v>-661</v>
      </c>
      <c r="P421" s="8">
        <f t="shared" si="143"/>
        <v>-647</v>
      </c>
      <c r="Q421" s="11">
        <v>9</v>
      </c>
      <c r="R421" s="11">
        <v>8</v>
      </c>
      <c r="S421" s="11">
        <v>9</v>
      </c>
      <c r="T421" s="10">
        <f t="shared" si="138"/>
        <v>-189</v>
      </c>
      <c r="U421" s="9">
        <f t="shared" si="144"/>
        <v>3377</v>
      </c>
      <c r="V421" s="9">
        <f t="shared" si="145"/>
        <v>3349</v>
      </c>
      <c r="W421" s="9">
        <f t="shared" si="146"/>
        <v>3393</v>
      </c>
      <c r="X421" s="8"/>
      <c r="Y421" s="8"/>
      <c r="Z421" s="8"/>
      <c r="AA421" s="8"/>
      <c r="AB421" s="8"/>
    </row>
    <row r="422" spans="1:28" ht="13.15" customHeight="1">
      <c r="A422" s="13">
        <f t="shared" si="127"/>
        <v>408</v>
      </c>
      <c r="B422" s="14">
        <f t="shared" si="139"/>
        <v>45659</v>
      </c>
      <c r="C422" s="13">
        <f t="shared" si="140"/>
        <v>1069</v>
      </c>
      <c r="D422" s="12">
        <f t="shared" si="131"/>
        <v>2093</v>
      </c>
      <c r="E422" s="11">
        <f t="shared" si="132"/>
        <v>783</v>
      </c>
      <c r="F422" s="11">
        <f t="shared" si="133"/>
        <v>832</v>
      </c>
      <c r="G422" s="11">
        <f t="shared" si="134"/>
        <v>817</v>
      </c>
      <c r="H422" s="8">
        <f t="shared" si="135"/>
        <v>2379</v>
      </c>
      <c r="I422" s="8">
        <f t="shared" si="136"/>
        <v>2330</v>
      </c>
      <c r="J422" s="8">
        <f t="shared" si="137"/>
        <v>2345</v>
      </c>
      <c r="K422" s="8">
        <f t="shared" si="128"/>
        <v>3000</v>
      </c>
      <c r="L422" s="8">
        <f t="shared" si="129"/>
        <v>3000</v>
      </c>
      <c r="M422" s="8">
        <f t="shared" si="130"/>
        <v>3000</v>
      </c>
      <c r="N422" s="8">
        <f t="shared" si="141"/>
        <v>-621</v>
      </c>
      <c r="O422" s="8">
        <f t="shared" si="142"/>
        <v>-670</v>
      </c>
      <c r="P422" s="8">
        <f t="shared" si="143"/>
        <v>-655</v>
      </c>
      <c r="Q422" s="11">
        <v>8</v>
      </c>
      <c r="R422" s="11">
        <v>9</v>
      </c>
      <c r="S422" s="11">
        <v>8</v>
      </c>
      <c r="T422" s="10">
        <f t="shared" si="138"/>
        <v>-178</v>
      </c>
      <c r="U422" s="9">
        <f t="shared" si="144"/>
        <v>3369</v>
      </c>
      <c r="V422" s="9">
        <f t="shared" si="145"/>
        <v>3340</v>
      </c>
      <c r="W422" s="9">
        <f t="shared" si="146"/>
        <v>3385</v>
      </c>
      <c r="X422" s="8"/>
      <c r="Y422" s="8"/>
      <c r="Z422" s="8"/>
      <c r="AA422" s="8"/>
      <c r="AB422" s="8"/>
    </row>
    <row r="423" spans="1:28" ht="13.15" customHeight="1">
      <c r="A423" s="13">
        <f t="shared" si="127"/>
        <v>409</v>
      </c>
      <c r="B423" s="14">
        <f t="shared" si="139"/>
        <v>45660</v>
      </c>
      <c r="C423" s="13">
        <f t="shared" si="140"/>
        <v>1069</v>
      </c>
      <c r="D423" s="12">
        <f t="shared" si="131"/>
        <v>2095</v>
      </c>
      <c r="E423" s="11">
        <f t="shared" si="132"/>
        <v>794</v>
      </c>
      <c r="F423" s="11">
        <f t="shared" si="133"/>
        <v>842</v>
      </c>
      <c r="G423" s="11">
        <f t="shared" si="134"/>
        <v>828</v>
      </c>
      <c r="H423" s="8">
        <f t="shared" si="135"/>
        <v>2370</v>
      </c>
      <c r="I423" s="8">
        <f t="shared" si="136"/>
        <v>2322</v>
      </c>
      <c r="J423" s="8">
        <f t="shared" si="137"/>
        <v>2336</v>
      </c>
      <c r="K423" s="8">
        <f t="shared" si="128"/>
        <v>3000</v>
      </c>
      <c r="L423" s="8">
        <f t="shared" si="129"/>
        <v>3000</v>
      </c>
      <c r="M423" s="8">
        <f t="shared" si="130"/>
        <v>3000</v>
      </c>
      <c r="N423" s="8">
        <f t="shared" si="141"/>
        <v>-630</v>
      </c>
      <c r="O423" s="8">
        <f t="shared" si="142"/>
        <v>-678</v>
      </c>
      <c r="P423" s="8">
        <f t="shared" si="143"/>
        <v>-664</v>
      </c>
      <c r="Q423" s="11">
        <v>9</v>
      </c>
      <c r="R423" s="11">
        <v>8</v>
      </c>
      <c r="S423" s="11">
        <v>9</v>
      </c>
      <c r="T423" s="10">
        <f t="shared" si="138"/>
        <v>-168</v>
      </c>
      <c r="U423" s="9">
        <f t="shared" si="144"/>
        <v>3360</v>
      </c>
      <c r="V423" s="9">
        <f t="shared" si="145"/>
        <v>3332</v>
      </c>
      <c r="W423" s="9">
        <f t="shared" si="146"/>
        <v>3376</v>
      </c>
      <c r="X423" s="8"/>
      <c r="Y423" s="8"/>
      <c r="Z423" s="8"/>
      <c r="AA423" s="8"/>
      <c r="AB423" s="8"/>
    </row>
    <row r="424" spans="1:28" ht="13.15" customHeight="1">
      <c r="A424" s="13">
        <f t="shared" si="127"/>
        <v>410</v>
      </c>
      <c r="B424" s="14">
        <f t="shared" si="139"/>
        <v>45661</v>
      </c>
      <c r="C424" s="13">
        <f t="shared" si="140"/>
        <v>1069</v>
      </c>
      <c r="D424" s="12">
        <f t="shared" si="131"/>
        <v>2097</v>
      </c>
      <c r="E424" s="11">
        <f t="shared" si="132"/>
        <v>804</v>
      </c>
      <c r="F424" s="11">
        <f t="shared" si="133"/>
        <v>851</v>
      </c>
      <c r="G424" s="11">
        <f t="shared" si="134"/>
        <v>838</v>
      </c>
      <c r="H424" s="8">
        <f t="shared" si="135"/>
        <v>2362</v>
      </c>
      <c r="I424" s="8">
        <f t="shared" si="136"/>
        <v>2315</v>
      </c>
      <c r="J424" s="8">
        <f t="shared" si="137"/>
        <v>2328</v>
      </c>
      <c r="K424" s="8">
        <f t="shared" si="128"/>
        <v>3000</v>
      </c>
      <c r="L424" s="8">
        <f t="shared" si="129"/>
        <v>3000</v>
      </c>
      <c r="M424" s="8">
        <f t="shared" si="130"/>
        <v>3000</v>
      </c>
      <c r="N424" s="8">
        <f t="shared" si="141"/>
        <v>-638</v>
      </c>
      <c r="O424" s="8">
        <f t="shared" si="142"/>
        <v>-685</v>
      </c>
      <c r="P424" s="8">
        <f t="shared" si="143"/>
        <v>-672</v>
      </c>
      <c r="Q424" s="11">
        <v>8</v>
      </c>
      <c r="R424" s="11">
        <v>7</v>
      </c>
      <c r="S424" s="11">
        <v>8</v>
      </c>
      <c r="T424" s="10">
        <f t="shared" si="138"/>
        <v>-159</v>
      </c>
      <c r="U424" s="9">
        <f t="shared" si="144"/>
        <v>3352</v>
      </c>
      <c r="V424" s="9">
        <f t="shared" si="145"/>
        <v>3325</v>
      </c>
      <c r="W424" s="9">
        <f t="shared" si="146"/>
        <v>3368</v>
      </c>
      <c r="X424" s="8"/>
      <c r="Y424" s="8"/>
      <c r="Z424" s="8"/>
      <c r="AA424" s="8"/>
      <c r="AB424" s="8"/>
    </row>
    <row r="425" spans="1:28" ht="13.15" customHeight="1">
      <c r="A425" s="13">
        <f t="shared" si="127"/>
        <v>411</v>
      </c>
      <c r="B425" s="14">
        <f t="shared" si="139"/>
        <v>45662</v>
      </c>
      <c r="C425" s="13">
        <f t="shared" si="140"/>
        <v>1069</v>
      </c>
      <c r="D425" s="12">
        <f t="shared" si="131"/>
        <v>2099</v>
      </c>
      <c r="E425" s="11">
        <f t="shared" si="132"/>
        <v>813</v>
      </c>
      <c r="F425" s="11">
        <f t="shared" si="133"/>
        <v>862</v>
      </c>
      <c r="G425" s="11">
        <f t="shared" si="134"/>
        <v>849</v>
      </c>
      <c r="H425" s="8">
        <f t="shared" si="135"/>
        <v>2355</v>
      </c>
      <c r="I425" s="8">
        <f t="shared" si="136"/>
        <v>2306</v>
      </c>
      <c r="J425" s="8">
        <f t="shared" si="137"/>
        <v>2319</v>
      </c>
      <c r="K425" s="8">
        <f t="shared" si="128"/>
        <v>3000</v>
      </c>
      <c r="L425" s="8">
        <f t="shared" si="129"/>
        <v>3000</v>
      </c>
      <c r="M425" s="8">
        <f t="shared" si="130"/>
        <v>3000</v>
      </c>
      <c r="N425" s="8">
        <f t="shared" si="141"/>
        <v>-645</v>
      </c>
      <c r="O425" s="8">
        <f t="shared" si="142"/>
        <v>-694</v>
      </c>
      <c r="P425" s="8">
        <f t="shared" si="143"/>
        <v>-681</v>
      </c>
      <c r="Q425" s="11">
        <v>7</v>
      </c>
      <c r="R425" s="11">
        <v>9</v>
      </c>
      <c r="S425" s="11">
        <v>9</v>
      </c>
      <c r="T425" s="10">
        <f t="shared" si="138"/>
        <v>-148</v>
      </c>
      <c r="U425" s="9">
        <f t="shared" si="144"/>
        <v>3345</v>
      </c>
      <c r="V425" s="9">
        <f t="shared" si="145"/>
        <v>3316</v>
      </c>
      <c r="W425" s="9">
        <f t="shared" si="146"/>
        <v>3359</v>
      </c>
      <c r="X425" s="8"/>
      <c r="Y425" s="8"/>
      <c r="Z425" s="8"/>
      <c r="AA425" s="8"/>
      <c r="AB425" s="8"/>
    </row>
    <row r="426" spans="1:28" ht="13.15" customHeight="1">
      <c r="A426" s="13">
        <f t="shared" ref="A426:A489" si="147">+A425+1</f>
        <v>412</v>
      </c>
      <c r="B426" s="14">
        <f t="shared" si="139"/>
        <v>45663</v>
      </c>
      <c r="C426" s="13">
        <f t="shared" si="140"/>
        <v>1069</v>
      </c>
      <c r="D426" s="12">
        <f t="shared" si="131"/>
        <v>2101</v>
      </c>
      <c r="E426" s="11">
        <f t="shared" si="132"/>
        <v>824</v>
      </c>
      <c r="F426" s="11">
        <f t="shared" si="133"/>
        <v>872</v>
      </c>
      <c r="G426" s="11">
        <f t="shared" si="134"/>
        <v>859</v>
      </c>
      <c r="H426" s="8">
        <f t="shared" si="135"/>
        <v>2346</v>
      </c>
      <c r="I426" s="8">
        <f t="shared" si="136"/>
        <v>2298</v>
      </c>
      <c r="J426" s="8">
        <f t="shared" si="137"/>
        <v>2311</v>
      </c>
      <c r="K426" s="8">
        <f t="shared" si="128"/>
        <v>3000</v>
      </c>
      <c r="L426" s="8">
        <f t="shared" si="129"/>
        <v>3000</v>
      </c>
      <c r="M426" s="8">
        <f t="shared" si="130"/>
        <v>3000</v>
      </c>
      <c r="N426" s="8">
        <f t="shared" si="141"/>
        <v>-654</v>
      </c>
      <c r="O426" s="8">
        <f t="shared" si="142"/>
        <v>-702</v>
      </c>
      <c r="P426" s="8">
        <f t="shared" si="143"/>
        <v>-689</v>
      </c>
      <c r="Q426" s="11">
        <v>9</v>
      </c>
      <c r="R426" s="11">
        <v>8</v>
      </c>
      <c r="S426" s="11">
        <v>8</v>
      </c>
      <c r="T426" s="10">
        <f t="shared" si="138"/>
        <v>-138</v>
      </c>
      <c r="U426" s="9">
        <f t="shared" si="144"/>
        <v>3336</v>
      </c>
      <c r="V426" s="9">
        <f t="shared" si="145"/>
        <v>3308</v>
      </c>
      <c r="W426" s="9">
        <f t="shared" si="146"/>
        <v>3351</v>
      </c>
      <c r="X426" s="8"/>
      <c r="Y426" s="8"/>
      <c r="Z426" s="8"/>
      <c r="AA426" s="8"/>
      <c r="AB426" s="8"/>
    </row>
    <row r="427" spans="1:28" ht="13.15" customHeight="1">
      <c r="A427" s="13">
        <f t="shared" si="147"/>
        <v>413</v>
      </c>
      <c r="B427" s="14">
        <f t="shared" si="139"/>
        <v>45664</v>
      </c>
      <c r="C427" s="13">
        <f t="shared" si="140"/>
        <v>1069</v>
      </c>
      <c r="D427" s="12">
        <f t="shared" si="131"/>
        <v>2103</v>
      </c>
      <c r="E427" s="11">
        <f t="shared" si="132"/>
        <v>834</v>
      </c>
      <c r="F427" s="11">
        <f t="shared" si="133"/>
        <v>881</v>
      </c>
      <c r="G427" s="11">
        <f t="shared" si="134"/>
        <v>868</v>
      </c>
      <c r="H427" s="8">
        <f t="shared" si="135"/>
        <v>2338</v>
      </c>
      <c r="I427" s="8">
        <f t="shared" si="136"/>
        <v>2291</v>
      </c>
      <c r="J427" s="8">
        <f t="shared" si="137"/>
        <v>2304</v>
      </c>
      <c r="K427" s="8">
        <f t="shared" si="128"/>
        <v>3000</v>
      </c>
      <c r="L427" s="8">
        <f t="shared" si="129"/>
        <v>3000</v>
      </c>
      <c r="M427" s="8">
        <f t="shared" si="130"/>
        <v>3000</v>
      </c>
      <c r="N427" s="8">
        <f t="shared" si="141"/>
        <v>-662</v>
      </c>
      <c r="O427" s="8">
        <f t="shared" si="142"/>
        <v>-709</v>
      </c>
      <c r="P427" s="8">
        <f t="shared" si="143"/>
        <v>-696</v>
      </c>
      <c r="Q427" s="11">
        <v>8</v>
      </c>
      <c r="R427" s="11">
        <v>7</v>
      </c>
      <c r="S427" s="11">
        <v>7</v>
      </c>
      <c r="T427" s="10">
        <f t="shared" si="138"/>
        <v>-129</v>
      </c>
      <c r="U427" s="9">
        <f t="shared" si="144"/>
        <v>3328</v>
      </c>
      <c r="V427" s="9">
        <f t="shared" si="145"/>
        <v>3301</v>
      </c>
      <c r="W427" s="9">
        <f t="shared" si="146"/>
        <v>3344</v>
      </c>
      <c r="X427" s="8"/>
      <c r="Y427" s="8"/>
      <c r="Z427" s="8"/>
      <c r="AA427" s="8"/>
      <c r="AB427" s="8"/>
    </row>
    <row r="428" spans="1:28" ht="13.15" customHeight="1">
      <c r="A428" s="13">
        <f t="shared" si="147"/>
        <v>414</v>
      </c>
      <c r="B428" s="14">
        <f t="shared" si="139"/>
        <v>45665</v>
      </c>
      <c r="C428" s="13">
        <f t="shared" si="140"/>
        <v>1069</v>
      </c>
      <c r="D428" s="12">
        <f t="shared" si="131"/>
        <v>2105</v>
      </c>
      <c r="E428" s="11">
        <f t="shared" si="132"/>
        <v>843</v>
      </c>
      <c r="F428" s="11">
        <f t="shared" si="133"/>
        <v>892</v>
      </c>
      <c r="G428" s="11">
        <f t="shared" si="134"/>
        <v>879</v>
      </c>
      <c r="H428" s="8">
        <f t="shared" si="135"/>
        <v>2331</v>
      </c>
      <c r="I428" s="8">
        <f t="shared" si="136"/>
        <v>2282</v>
      </c>
      <c r="J428" s="8">
        <f t="shared" si="137"/>
        <v>2295</v>
      </c>
      <c r="K428" s="8">
        <f t="shared" si="128"/>
        <v>3000</v>
      </c>
      <c r="L428" s="8">
        <f t="shared" si="129"/>
        <v>3000</v>
      </c>
      <c r="M428" s="8">
        <f t="shared" si="130"/>
        <v>3000</v>
      </c>
      <c r="N428" s="8">
        <f t="shared" si="141"/>
        <v>-669</v>
      </c>
      <c r="O428" s="8">
        <f t="shared" si="142"/>
        <v>-718</v>
      </c>
      <c r="P428" s="8">
        <f t="shared" si="143"/>
        <v>-705</v>
      </c>
      <c r="Q428" s="11">
        <v>7</v>
      </c>
      <c r="R428" s="11">
        <v>9</v>
      </c>
      <c r="S428" s="11">
        <v>9</v>
      </c>
      <c r="T428" s="10">
        <f t="shared" si="138"/>
        <v>-118</v>
      </c>
      <c r="U428" s="9">
        <f t="shared" si="144"/>
        <v>3321</v>
      </c>
      <c r="V428" s="9">
        <f t="shared" si="145"/>
        <v>3292</v>
      </c>
      <c r="W428" s="9">
        <f t="shared" si="146"/>
        <v>3335</v>
      </c>
      <c r="X428" s="8"/>
      <c r="Y428" s="8"/>
      <c r="Z428" s="8"/>
      <c r="AA428" s="8"/>
      <c r="AB428" s="8"/>
    </row>
    <row r="429" spans="1:28" ht="13.15" customHeight="1">
      <c r="A429" s="13">
        <f t="shared" si="147"/>
        <v>415</v>
      </c>
      <c r="B429" s="14">
        <f t="shared" si="139"/>
        <v>45666</v>
      </c>
      <c r="C429" s="13">
        <f t="shared" si="140"/>
        <v>1069</v>
      </c>
      <c r="D429" s="12">
        <f t="shared" si="131"/>
        <v>2107</v>
      </c>
      <c r="E429" s="11">
        <f t="shared" si="132"/>
        <v>854</v>
      </c>
      <c r="F429" s="11">
        <f t="shared" si="133"/>
        <v>902</v>
      </c>
      <c r="G429" s="11">
        <f t="shared" si="134"/>
        <v>889</v>
      </c>
      <c r="H429" s="8">
        <f t="shared" si="135"/>
        <v>2322</v>
      </c>
      <c r="I429" s="8">
        <f t="shared" si="136"/>
        <v>2274</v>
      </c>
      <c r="J429" s="8">
        <f t="shared" si="137"/>
        <v>2287</v>
      </c>
      <c r="K429" s="8">
        <f t="shared" si="128"/>
        <v>3000</v>
      </c>
      <c r="L429" s="8">
        <f t="shared" si="129"/>
        <v>3000</v>
      </c>
      <c r="M429" s="8">
        <f t="shared" si="130"/>
        <v>3000</v>
      </c>
      <c r="N429" s="8">
        <f t="shared" si="141"/>
        <v>-678</v>
      </c>
      <c r="O429" s="8">
        <f t="shared" si="142"/>
        <v>-726</v>
      </c>
      <c r="P429" s="8">
        <f t="shared" si="143"/>
        <v>-713</v>
      </c>
      <c r="Q429" s="11">
        <v>9</v>
      </c>
      <c r="R429" s="11">
        <v>8</v>
      </c>
      <c r="S429" s="11">
        <v>8</v>
      </c>
      <c r="T429" s="10">
        <f t="shared" si="138"/>
        <v>-108</v>
      </c>
      <c r="U429" s="9">
        <f t="shared" si="144"/>
        <v>3312</v>
      </c>
      <c r="V429" s="9">
        <f t="shared" si="145"/>
        <v>3284</v>
      </c>
      <c r="W429" s="9">
        <f t="shared" si="146"/>
        <v>3327</v>
      </c>
      <c r="X429" s="8"/>
      <c r="Y429" s="8"/>
      <c r="Z429" s="8"/>
      <c r="AA429" s="8"/>
      <c r="AB429" s="8"/>
    </row>
    <row r="430" spans="1:28" ht="13.15" customHeight="1">
      <c r="A430" s="13">
        <f t="shared" si="147"/>
        <v>416</v>
      </c>
      <c r="B430" s="14">
        <f t="shared" si="139"/>
        <v>45667</v>
      </c>
      <c r="C430" s="13">
        <f t="shared" si="140"/>
        <v>1069</v>
      </c>
      <c r="D430" s="12">
        <f t="shared" si="131"/>
        <v>2109</v>
      </c>
      <c r="E430" s="11">
        <f t="shared" si="132"/>
        <v>864</v>
      </c>
      <c r="F430" s="11">
        <f t="shared" si="133"/>
        <v>913</v>
      </c>
      <c r="G430" s="11">
        <f t="shared" si="134"/>
        <v>898</v>
      </c>
      <c r="H430" s="8">
        <f t="shared" si="135"/>
        <v>2314</v>
      </c>
      <c r="I430" s="8">
        <f t="shared" si="136"/>
        <v>2265</v>
      </c>
      <c r="J430" s="8">
        <f t="shared" si="137"/>
        <v>2280</v>
      </c>
      <c r="K430" s="8">
        <f t="shared" ref="K430:K493" si="148">K429</f>
        <v>3000</v>
      </c>
      <c r="L430" s="8">
        <f t="shared" ref="L430:L493" si="149">L429</f>
        <v>3000</v>
      </c>
      <c r="M430" s="8">
        <f t="shared" ref="M430:M493" si="150">M429</f>
        <v>3000</v>
      </c>
      <c r="N430" s="8">
        <f t="shared" si="141"/>
        <v>-686</v>
      </c>
      <c r="O430" s="8">
        <f t="shared" si="142"/>
        <v>-735</v>
      </c>
      <c r="P430" s="8">
        <f t="shared" si="143"/>
        <v>-720</v>
      </c>
      <c r="Q430" s="11">
        <v>8</v>
      </c>
      <c r="R430" s="11">
        <v>9</v>
      </c>
      <c r="S430" s="11">
        <v>7</v>
      </c>
      <c r="T430" s="10">
        <f t="shared" si="138"/>
        <v>-97</v>
      </c>
      <c r="U430" s="9">
        <f t="shared" si="144"/>
        <v>3304</v>
      </c>
      <c r="V430" s="9">
        <f t="shared" si="145"/>
        <v>3275</v>
      </c>
      <c r="W430" s="9">
        <f t="shared" si="146"/>
        <v>3320</v>
      </c>
      <c r="X430" s="8"/>
      <c r="Y430" s="8"/>
      <c r="Z430" s="8"/>
      <c r="AA430" s="8"/>
      <c r="AB430" s="8"/>
    </row>
    <row r="431" spans="1:28" ht="13.15" customHeight="1">
      <c r="A431" s="13">
        <f t="shared" si="147"/>
        <v>417</v>
      </c>
      <c r="B431" s="14">
        <f t="shared" si="139"/>
        <v>45668</v>
      </c>
      <c r="C431" s="13">
        <f t="shared" si="140"/>
        <v>1069</v>
      </c>
      <c r="D431" s="12">
        <f t="shared" si="131"/>
        <v>2111</v>
      </c>
      <c r="E431" s="11">
        <f t="shared" si="132"/>
        <v>875</v>
      </c>
      <c r="F431" s="11">
        <f t="shared" si="133"/>
        <v>923</v>
      </c>
      <c r="G431" s="11">
        <f t="shared" si="134"/>
        <v>909</v>
      </c>
      <c r="H431" s="8">
        <f t="shared" si="135"/>
        <v>2305</v>
      </c>
      <c r="I431" s="8">
        <f t="shared" si="136"/>
        <v>2257</v>
      </c>
      <c r="J431" s="8">
        <f t="shared" si="137"/>
        <v>2271</v>
      </c>
      <c r="K431" s="8">
        <f t="shared" si="148"/>
        <v>3000</v>
      </c>
      <c r="L431" s="8">
        <f t="shared" si="149"/>
        <v>3000</v>
      </c>
      <c r="M431" s="8">
        <f t="shared" si="150"/>
        <v>3000</v>
      </c>
      <c r="N431" s="8">
        <f t="shared" si="141"/>
        <v>-695</v>
      </c>
      <c r="O431" s="8">
        <f t="shared" si="142"/>
        <v>-743</v>
      </c>
      <c r="P431" s="8">
        <f t="shared" si="143"/>
        <v>-729</v>
      </c>
      <c r="Q431" s="11">
        <v>9</v>
      </c>
      <c r="R431" s="11">
        <v>8</v>
      </c>
      <c r="S431" s="11">
        <v>9</v>
      </c>
      <c r="T431" s="10">
        <f t="shared" si="138"/>
        <v>-87</v>
      </c>
      <c r="U431" s="9">
        <f t="shared" si="144"/>
        <v>3295</v>
      </c>
      <c r="V431" s="9">
        <f t="shared" si="145"/>
        <v>3267</v>
      </c>
      <c r="W431" s="9">
        <f t="shared" si="146"/>
        <v>3311</v>
      </c>
      <c r="X431" s="8"/>
      <c r="Y431" s="8"/>
      <c r="Z431" s="8"/>
      <c r="AA431" s="8"/>
      <c r="AB431" s="8"/>
    </row>
    <row r="432" spans="1:28" ht="13.15" customHeight="1">
      <c r="A432" s="13">
        <f t="shared" si="147"/>
        <v>418</v>
      </c>
      <c r="B432" s="14">
        <f t="shared" si="139"/>
        <v>45669</v>
      </c>
      <c r="C432" s="13">
        <f t="shared" si="140"/>
        <v>1069</v>
      </c>
      <c r="D432" s="12">
        <f t="shared" si="131"/>
        <v>2113</v>
      </c>
      <c r="E432" s="11">
        <f t="shared" si="132"/>
        <v>885</v>
      </c>
      <c r="F432" s="11">
        <f t="shared" si="133"/>
        <v>933</v>
      </c>
      <c r="G432" s="11">
        <f t="shared" si="134"/>
        <v>919</v>
      </c>
      <c r="H432" s="8">
        <f t="shared" si="135"/>
        <v>2297</v>
      </c>
      <c r="I432" s="8">
        <f t="shared" si="136"/>
        <v>2249</v>
      </c>
      <c r="J432" s="8">
        <f t="shared" si="137"/>
        <v>2263</v>
      </c>
      <c r="K432" s="8">
        <f t="shared" si="148"/>
        <v>3000</v>
      </c>
      <c r="L432" s="8">
        <f t="shared" si="149"/>
        <v>3000</v>
      </c>
      <c r="M432" s="8">
        <f t="shared" si="150"/>
        <v>3000</v>
      </c>
      <c r="N432" s="8">
        <f t="shared" si="141"/>
        <v>-703</v>
      </c>
      <c r="O432" s="8">
        <f t="shared" si="142"/>
        <v>-751</v>
      </c>
      <c r="P432" s="8">
        <f t="shared" si="143"/>
        <v>-737</v>
      </c>
      <c r="Q432" s="11">
        <v>8</v>
      </c>
      <c r="R432" s="11">
        <v>8</v>
      </c>
      <c r="S432" s="11">
        <v>8</v>
      </c>
      <c r="T432" s="10">
        <f t="shared" si="138"/>
        <v>-77</v>
      </c>
      <c r="U432" s="9">
        <f t="shared" si="144"/>
        <v>3287</v>
      </c>
      <c r="V432" s="9">
        <f t="shared" si="145"/>
        <v>3259</v>
      </c>
      <c r="W432" s="9">
        <f t="shared" si="146"/>
        <v>3303</v>
      </c>
      <c r="X432" s="8"/>
      <c r="Y432" s="8"/>
      <c r="Z432" s="8"/>
      <c r="AA432" s="8"/>
      <c r="AB432" s="8"/>
    </row>
    <row r="433" spans="1:28" ht="13.15" customHeight="1">
      <c r="A433" s="13">
        <f t="shared" si="147"/>
        <v>419</v>
      </c>
      <c r="B433" s="14">
        <f t="shared" si="139"/>
        <v>45670</v>
      </c>
      <c r="C433" s="13">
        <f t="shared" si="140"/>
        <v>1069</v>
      </c>
      <c r="D433" s="12">
        <f t="shared" si="131"/>
        <v>2115</v>
      </c>
      <c r="E433" s="11">
        <f t="shared" si="132"/>
        <v>894</v>
      </c>
      <c r="F433" s="11">
        <f t="shared" si="133"/>
        <v>944</v>
      </c>
      <c r="G433" s="11">
        <f t="shared" si="134"/>
        <v>930</v>
      </c>
      <c r="H433" s="8">
        <f t="shared" si="135"/>
        <v>2290</v>
      </c>
      <c r="I433" s="8">
        <f t="shared" si="136"/>
        <v>2240</v>
      </c>
      <c r="J433" s="8">
        <f t="shared" si="137"/>
        <v>2254</v>
      </c>
      <c r="K433" s="8">
        <f t="shared" si="148"/>
        <v>3000</v>
      </c>
      <c r="L433" s="8">
        <f t="shared" si="149"/>
        <v>3000</v>
      </c>
      <c r="M433" s="8">
        <f t="shared" si="150"/>
        <v>3000</v>
      </c>
      <c r="N433" s="8">
        <f t="shared" si="141"/>
        <v>-710</v>
      </c>
      <c r="O433" s="8">
        <f t="shared" si="142"/>
        <v>-760</v>
      </c>
      <c r="P433" s="8">
        <f t="shared" si="143"/>
        <v>-746</v>
      </c>
      <c r="Q433" s="11">
        <v>7</v>
      </c>
      <c r="R433" s="11">
        <v>9</v>
      </c>
      <c r="S433" s="11">
        <v>9</v>
      </c>
      <c r="T433" s="10">
        <f t="shared" si="138"/>
        <v>-66</v>
      </c>
      <c r="U433" s="9">
        <f t="shared" si="144"/>
        <v>3280</v>
      </c>
      <c r="V433" s="9">
        <f t="shared" si="145"/>
        <v>3250</v>
      </c>
      <c r="W433" s="9">
        <f t="shared" si="146"/>
        <v>3294</v>
      </c>
      <c r="X433" s="8"/>
      <c r="Y433" s="8"/>
      <c r="Z433" s="8"/>
      <c r="AA433" s="8"/>
      <c r="AB433" s="8"/>
    </row>
    <row r="434" spans="1:28" ht="13.15" customHeight="1">
      <c r="A434" s="13">
        <f t="shared" si="147"/>
        <v>420</v>
      </c>
      <c r="B434" s="14">
        <f t="shared" si="139"/>
        <v>45671</v>
      </c>
      <c r="C434" s="13">
        <f t="shared" si="140"/>
        <v>1069</v>
      </c>
      <c r="D434" s="12">
        <f t="shared" si="131"/>
        <v>2117</v>
      </c>
      <c r="E434" s="11">
        <f t="shared" si="132"/>
        <v>903</v>
      </c>
      <c r="F434" s="11">
        <f t="shared" si="133"/>
        <v>954</v>
      </c>
      <c r="G434" s="11">
        <f t="shared" si="134"/>
        <v>940</v>
      </c>
      <c r="H434" s="8">
        <f t="shared" si="135"/>
        <v>2283</v>
      </c>
      <c r="I434" s="8">
        <f t="shared" si="136"/>
        <v>2232</v>
      </c>
      <c r="J434" s="8">
        <f t="shared" si="137"/>
        <v>2246</v>
      </c>
      <c r="K434" s="8">
        <f t="shared" si="148"/>
        <v>3000</v>
      </c>
      <c r="L434" s="8">
        <f t="shared" si="149"/>
        <v>3000</v>
      </c>
      <c r="M434" s="8">
        <f t="shared" si="150"/>
        <v>3000</v>
      </c>
      <c r="N434" s="8">
        <f t="shared" si="141"/>
        <v>-717</v>
      </c>
      <c r="O434" s="8">
        <f t="shared" si="142"/>
        <v>-768</v>
      </c>
      <c r="P434" s="8">
        <f t="shared" si="143"/>
        <v>-754</v>
      </c>
      <c r="Q434" s="11">
        <v>7</v>
      </c>
      <c r="R434" s="11">
        <v>8</v>
      </c>
      <c r="S434" s="11">
        <v>8</v>
      </c>
      <c r="T434" s="10">
        <f t="shared" si="138"/>
        <v>-56</v>
      </c>
      <c r="U434" s="9">
        <f t="shared" si="144"/>
        <v>3273</v>
      </c>
      <c r="V434" s="9">
        <f t="shared" si="145"/>
        <v>3242</v>
      </c>
      <c r="W434" s="9">
        <f t="shared" si="146"/>
        <v>3286</v>
      </c>
      <c r="X434" s="8"/>
      <c r="Y434" s="8"/>
      <c r="Z434" s="8"/>
      <c r="AA434" s="8"/>
      <c r="AB434" s="8"/>
    </row>
    <row r="435" spans="1:28" ht="13.15" customHeight="1">
      <c r="A435" s="13">
        <f t="shared" si="147"/>
        <v>421</v>
      </c>
      <c r="B435" s="14">
        <f t="shared" si="139"/>
        <v>45672</v>
      </c>
      <c r="C435" s="13">
        <f t="shared" si="140"/>
        <v>1069</v>
      </c>
      <c r="D435" s="12">
        <f t="shared" si="131"/>
        <v>2119</v>
      </c>
      <c r="E435" s="11">
        <f t="shared" si="132"/>
        <v>911</v>
      </c>
      <c r="F435" s="11">
        <f t="shared" si="133"/>
        <v>963</v>
      </c>
      <c r="G435" s="11">
        <f t="shared" si="134"/>
        <v>949</v>
      </c>
      <c r="H435" s="8">
        <f t="shared" si="135"/>
        <v>2277</v>
      </c>
      <c r="I435" s="8">
        <f t="shared" si="136"/>
        <v>2225</v>
      </c>
      <c r="J435" s="8">
        <f t="shared" si="137"/>
        <v>2239</v>
      </c>
      <c r="K435" s="8">
        <f t="shared" si="148"/>
        <v>3000</v>
      </c>
      <c r="L435" s="8">
        <f t="shared" si="149"/>
        <v>3000</v>
      </c>
      <c r="M435" s="8">
        <f t="shared" si="150"/>
        <v>3000</v>
      </c>
      <c r="N435" s="8">
        <f t="shared" si="141"/>
        <v>-723</v>
      </c>
      <c r="O435" s="8">
        <f t="shared" si="142"/>
        <v>-775</v>
      </c>
      <c r="P435" s="8">
        <f t="shared" si="143"/>
        <v>-761</v>
      </c>
      <c r="Q435" s="11">
        <v>6</v>
      </c>
      <c r="R435" s="11">
        <v>7</v>
      </c>
      <c r="S435" s="11">
        <v>7</v>
      </c>
      <c r="T435" s="10">
        <f t="shared" si="138"/>
        <v>-47</v>
      </c>
      <c r="U435" s="9">
        <f t="shared" si="144"/>
        <v>3267</v>
      </c>
      <c r="V435" s="9">
        <f t="shared" si="145"/>
        <v>3235</v>
      </c>
      <c r="W435" s="9">
        <f t="shared" si="146"/>
        <v>3279</v>
      </c>
      <c r="X435" s="8"/>
      <c r="Y435" s="8"/>
      <c r="Z435" s="8"/>
      <c r="AA435" s="8"/>
      <c r="AB435" s="8"/>
    </row>
    <row r="436" spans="1:28" ht="13.15" customHeight="1">
      <c r="A436" s="13">
        <f t="shared" si="147"/>
        <v>422</v>
      </c>
      <c r="B436" s="14">
        <f t="shared" si="139"/>
        <v>45673</v>
      </c>
      <c r="C436" s="13">
        <f t="shared" si="140"/>
        <v>1069</v>
      </c>
      <c r="D436" s="12">
        <f t="shared" si="131"/>
        <v>2121</v>
      </c>
      <c r="E436" s="11">
        <f t="shared" si="132"/>
        <v>917</v>
      </c>
      <c r="F436" s="11">
        <f t="shared" si="133"/>
        <v>974</v>
      </c>
      <c r="G436" s="11">
        <f t="shared" si="134"/>
        <v>958</v>
      </c>
      <c r="H436" s="8">
        <f t="shared" si="135"/>
        <v>2273</v>
      </c>
      <c r="I436" s="8">
        <f t="shared" si="136"/>
        <v>2216</v>
      </c>
      <c r="J436" s="8">
        <f t="shared" si="137"/>
        <v>2232</v>
      </c>
      <c r="K436" s="8">
        <f t="shared" si="148"/>
        <v>3000</v>
      </c>
      <c r="L436" s="8">
        <f t="shared" si="149"/>
        <v>3000</v>
      </c>
      <c r="M436" s="8">
        <f t="shared" si="150"/>
        <v>3000</v>
      </c>
      <c r="N436" s="8">
        <f t="shared" si="141"/>
        <v>-727</v>
      </c>
      <c r="O436" s="8">
        <f t="shared" si="142"/>
        <v>-784</v>
      </c>
      <c r="P436" s="8">
        <f t="shared" si="143"/>
        <v>-768</v>
      </c>
      <c r="Q436" s="11">
        <v>4</v>
      </c>
      <c r="R436" s="11">
        <v>9</v>
      </c>
      <c r="S436" s="11">
        <v>7</v>
      </c>
      <c r="T436" s="10">
        <f t="shared" si="138"/>
        <v>-36</v>
      </c>
      <c r="U436" s="9">
        <f t="shared" si="144"/>
        <v>3263</v>
      </c>
      <c r="V436" s="9">
        <f t="shared" si="145"/>
        <v>3226</v>
      </c>
      <c r="W436" s="9">
        <f t="shared" si="146"/>
        <v>3272</v>
      </c>
      <c r="X436" s="8"/>
      <c r="Y436" s="8"/>
      <c r="Z436" s="8"/>
      <c r="AA436" s="8"/>
      <c r="AB436" s="8"/>
    </row>
    <row r="437" spans="1:28" ht="13.15" customHeight="1">
      <c r="A437" s="13">
        <f t="shared" si="147"/>
        <v>423</v>
      </c>
      <c r="B437" s="14">
        <f t="shared" si="139"/>
        <v>45674</v>
      </c>
      <c r="C437" s="13">
        <f t="shared" si="140"/>
        <v>1069</v>
      </c>
      <c r="D437" s="12">
        <f t="shared" si="131"/>
        <v>2123</v>
      </c>
      <c r="E437" s="11">
        <f t="shared" si="132"/>
        <v>926</v>
      </c>
      <c r="F437" s="11">
        <f t="shared" si="133"/>
        <v>984</v>
      </c>
      <c r="G437" s="11">
        <f t="shared" si="134"/>
        <v>963</v>
      </c>
      <c r="H437" s="8">
        <f t="shared" si="135"/>
        <v>2266</v>
      </c>
      <c r="I437" s="8">
        <f t="shared" si="136"/>
        <v>2208</v>
      </c>
      <c r="J437" s="8">
        <f t="shared" si="137"/>
        <v>2229</v>
      </c>
      <c r="K437" s="8">
        <f t="shared" si="148"/>
        <v>3000</v>
      </c>
      <c r="L437" s="8">
        <f t="shared" si="149"/>
        <v>3000</v>
      </c>
      <c r="M437" s="8">
        <f t="shared" si="150"/>
        <v>3000</v>
      </c>
      <c r="N437" s="8">
        <f t="shared" si="141"/>
        <v>-734</v>
      </c>
      <c r="O437" s="8">
        <f t="shared" si="142"/>
        <v>-792</v>
      </c>
      <c r="P437" s="8">
        <f t="shared" si="143"/>
        <v>-771</v>
      </c>
      <c r="Q437" s="11">
        <v>7</v>
      </c>
      <c r="R437" s="11">
        <v>8</v>
      </c>
      <c r="S437" s="11">
        <v>3</v>
      </c>
      <c r="T437" s="10">
        <f t="shared" si="138"/>
        <v>-26</v>
      </c>
      <c r="U437" s="9">
        <f t="shared" si="144"/>
        <v>3256</v>
      </c>
      <c r="V437" s="9">
        <f t="shared" si="145"/>
        <v>3218</v>
      </c>
      <c r="W437" s="9">
        <f t="shared" si="146"/>
        <v>3269</v>
      </c>
      <c r="X437" s="8"/>
      <c r="Y437" s="8"/>
      <c r="Z437" s="8"/>
      <c r="AA437" s="8"/>
      <c r="AB437" s="8"/>
    </row>
    <row r="438" spans="1:28" ht="13.15" customHeight="1">
      <c r="A438" s="13">
        <f t="shared" si="147"/>
        <v>424</v>
      </c>
      <c r="B438" s="14">
        <f t="shared" si="139"/>
        <v>45675</v>
      </c>
      <c r="C438" s="13">
        <f t="shared" si="140"/>
        <v>1069</v>
      </c>
      <c r="D438" s="12">
        <f t="shared" si="131"/>
        <v>2125</v>
      </c>
      <c r="E438" s="11">
        <f t="shared" si="132"/>
        <v>933</v>
      </c>
      <c r="F438" s="11">
        <f t="shared" si="133"/>
        <v>993</v>
      </c>
      <c r="G438" s="11">
        <f t="shared" si="134"/>
        <v>969</v>
      </c>
      <c r="H438" s="8">
        <f t="shared" si="135"/>
        <v>2261</v>
      </c>
      <c r="I438" s="8">
        <f t="shared" si="136"/>
        <v>2201</v>
      </c>
      <c r="J438" s="8">
        <f t="shared" si="137"/>
        <v>2225</v>
      </c>
      <c r="K438" s="8">
        <f t="shared" si="148"/>
        <v>3000</v>
      </c>
      <c r="L438" s="8">
        <f t="shared" si="149"/>
        <v>3000</v>
      </c>
      <c r="M438" s="8">
        <f t="shared" si="150"/>
        <v>3000</v>
      </c>
      <c r="N438" s="8">
        <f t="shared" si="141"/>
        <v>-739</v>
      </c>
      <c r="O438" s="8">
        <f t="shared" si="142"/>
        <v>-799</v>
      </c>
      <c r="P438" s="8">
        <f t="shared" si="143"/>
        <v>-775</v>
      </c>
      <c r="Q438" s="11">
        <v>5</v>
      </c>
      <c r="R438" s="11">
        <v>7</v>
      </c>
      <c r="S438" s="11">
        <v>4</v>
      </c>
      <c r="T438" s="10">
        <f t="shared" si="138"/>
        <v>-17</v>
      </c>
      <c r="U438" s="9">
        <f t="shared" si="144"/>
        <v>3251</v>
      </c>
      <c r="V438" s="9">
        <f t="shared" si="145"/>
        <v>3211</v>
      </c>
      <c r="W438" s="9">
        <f t="shared" si="146"/>
        <v>3265</v>
      </c>
      <c r="X438" s="8"/>
      <c r="Y438" s="8"/>
      <c r="Z438" s="8"/>
      <c r="AA438" s="8"/>
      <c r="AB438" s="8"/>
    </row>
    <row r="439" spans="1:28" ht="13.15" customHeight="1">
      <c r="A439" s="13">
        <f t="shared" si="147"/>
        <v>425</v>
      </c>
      <c r="B439" s="14">
        <f t="shared" si="139"/>
        <v>45676</v>
      </c>
      <c r="C439" s="13">
        <f t="shared" si="140"/>
        <v>1069</v>
      </c>
      <c r="D439" s="12">
        <f t="shared" si="131"/>
        <v>2127</v>
      </c>
      <c r="E439" s="11">
        <f t="shared" si="132"/>
        <v>940</v>
      </c>
      <c r="F439" s="11">
        <f t="shared" si="133"/>
        <v>1004</v>
      </c>
      <c r="G439" s="11">
        <f t="shared" si="134"/>
        <v>976</v>
      </c>
      <c r="H439" s="8">
        <f t="shared" si="135"/>
        <v>2256</v>
      </c>
      <c r="I439" s="8">
        <f t="shared" si="136"/>
        <v>2192</v>
      </c>
      <c r="J439" s="8">
        <f t="shared" si="137"/>
        <v>2220</v>
      </c>
      <c r="K439" s="8">
        <f t="shared" si="148"/>
        <v>3000</v>
      </c>
      <c r="L439" s="8">
        <f t="shared" si="149"/>
        <v>3000</v>
      </c>
      <c r="M439" s="8">
        <f t="shared" si="150"/>
        <v>3000</v>
      </c>
      <c r="N439" s="8">
        <f t="shared" si="141"/>
        <v>-744</v>
      </c>
      <c r="O439" s="8">
        <f t="shared" si="142"/>
        <v>-808</v>
      </c>
      <c r="P439" s="8">
        <f t="shared" si="143"/>
        <v>-780</v>
      </c>
      <c r="Q439" s="11">
        <v>5</v>
      </c>
      <c r="R439" s="11">
        <v>9</v>
      </c>
      <c r="S439" s="11">
        <v>5</v>
      </c>
      <c r="T439" s="10">
        <f t="shared" si="138"/>
        <v>-6</v>
      </c>
      <c r="U439" s="9">
        <f t="shared" si="144"/>
        <v>3246</v>
      </c>
      <c r="V439" s="9">
        <f t="shared" si="145"/>
        <v>3202</v>
      </c>
      <c r="W439" s="9">
        <f t="shared" si="146"/>
        <v>3260</v>
      </c>
      <c r="X439" s="8"/>
      <c r="Y439" s="8"/>
      <c r="Z439" s="8"/>
      <c r="AA439" s="8"/>
      <c r="AB439" s="8"/>
    </row>
    <row r="440" spans="1:28" ht="13.15" customHeight="1">
      <c r="A440" s="13">
        <f t="shared" si="147"/>
        <v>426</v>
      </c>
      <c r="B440" s="14">
        <f t="shared" si="139"/>
        <v>45677</v>
      </c>
      <c r="C440" s="13">
        <f t="shared" si="140"/>
        <v>1069</v>
      </c>
      <c r="D440" s="12">
        <f t="shared" si="131"/>
        <v>2129</v>
      </c>
      <c r="E440" s="11">
        <f t="shared" si="132"/>
        <v>946</v>
      </c>
      <c r="F440" s="11">
        <f t="shared" si="133"/>
        <v>1014</v>
      </c>
      <c r="G440" s="11">
        <f t="shared" si="134"/>
        <v>983</v>
      </c>
      <c r="H440" s="8">
        <f t="shared" si="135"/>
        <v>2252</v>
      </c>
      <c r="I440" s="8">
        <f t="shared" si="136"/>
        <v>2184</v>
      </c>
      <c r="J440" s="8">
        <f t="shared" si="137"/>
        <v>2215</v>
      </c>
      <c r="K440" s="8">
        <f t="shared" si="148"/>
        <v>3000</v>
      </c>
      <c r="L440" s="8">
        <f t="shared" si="149"/>
        <v>3000</v>
      </c>
      <c r="M440" s="8">
        <f t="shared" si="150"/>
        <v>3000</v>
      </c>
      <c r="N440" s="8">
        <f t="shared" si="141"/>
        <v>-748</v>
      </c>
      <c r="O440" s="8">
        <f t="shared" si="142"/>
        <v>-816</v>
      </c>
      <c r="P440" s="8">
        <f t="shared" si="143"/>
        <v>-785</v>
      </c>
      <c r="Q440" s="11">
        <v>4</v>
      </c>
      <c r="R440" s="11">
        <v>8</v>
      </c>
      <c r="S440" s="11">
        <v>5</v>
      </c>
      <c r="T440" s="10">
        <f t="shared" si="138"/>
        <v>4</v>
      </c>
      <c r="U440" s="9">
        <f t="shared" si="144"/>
        <v>3242</v>
      </c>
      <c r="V440" s="9">
        <f t="shared" si="145"/>
        <v>3194</v>
      </c>
      <c r="W440" s="9">
        <f t="shared" si="146"/>
        <v>3255</v>
      </c>
      <c r="X440" s="8"/>
      <c r="Y440" s="8"/>
      <c r="Z440" s="8"/>
      <c r="AA440" s="8"/>
      <c r="AB440" s="8"/>
    </row>
    <row r="441" spans="1:28" ht="13.15" customHeight="1">
      <c r="A441" s="13">
        <f t="shared" si="147"/>
        <v>427</v>
      </c>
      <c r="B441" s="14">
        <f t="shared" si="139"/>
        <v>45678</v>
      </c>
      <c r="C441" s="13">
        <f t="shared" si="140"/>
        <v>1069</v>
      </c>
      <c r="D441" s="12">
        <f t="shared" si="131"/>
        <v>2131</v>
      </c>
      <c r="E441" s="11">
        <f t="shared" si="132"/>
        <v>951</v>
      </c>
      <c r="F441" s="11">
        <f t="shared" si="133"/>
        <v>1025</v>
      </c>
      <c r="G441" s="11">
        <f t="shared" si="134"/>
        <v>989</v>
      </c>
      <c r="H441" s="8">
        <f t="shared" si="135"/>
        <v>2249</v>
      </c>
      <c r="I441" s="8">
        <f t="shared" si="136"/>
        <v>2175</v>
      </c>
      <c r="J441" s="8">
        <f t="shared" si="137"/>
        <v>2211</v>
      </c>
      <c r="K441" s="8">
        <f t="shared" si="148"/>
        <v>3000</v>
      </c>
      <c r="L441" s="8">
        <f t="shared" si="149"/>
        <v>3000</v>
      </c>
      <c r="M441" s="8">
        <f t="shared" si="150"/>
        <v>3000</v>
      </c>
      <c r="N441" s="8">
        <f t="shared" si="141"/>
        <v>-751</v>
      </c>
      <c r="O441" s="8">
        <f t="shared" si="142"/>
        <v>-825</v>
      </c>
      <c r="P441" s="8">
        <f t="shared" si="143"/>
        <v>-789</v>
      </c>
      <c r="Q441" s="11">
        <v>3</v>
      </c>
      <c r="R441" s="11">
        <v>9</v>
      </c>
      <c r="S441" s="11">
        <v>4</v>
      </c>
      <c r="T441" s="10">
        <f t="shared" si="138"/>
        <v>15</v>
      </c>
      <c r="U441" s="9">
        <f t="shared" si="144"/>
        <v>3239</v>
      </c>
      <c r="V441" s="9">
        <f t="shared" si="145"/>
        <v>3185</v>
      </c>
      <c r="W441" s="9">
        <f t="shared" si="146"/>
        <v>3251</v>
      </c>
      <c r="X441" s="8"/>
      <c r="Y441" s="8"/>
      <c r="Z441" s="8"/>
      <c r="AA441" s="8"/>
      <c r="AB441" s="8"/>
    </row>
    <row r="442" spans="1:28" ht="13.15" customHeight="1">
      <c r="A442" s="13">
        <f t="shared" si="147"/>
        <v>428</v>
      </c>
      <c r="B442" s="14">
        <f t="shared" si="139"/>
        <v>45679</v>
      </c>
      <c r="C442" s="13">
        <f t="shared" si="140"/>
        <v>1069</v>
      </c>
      <c r="D442" s="12">
        <f t="shared" si="131"/>
        <v>2133</v>
      </c>
      <c r="E442" s="11">
        <f t="shared" si="132"/>
        <v>957</v>
      </c>
      <c r="F442" s="11">
        <f t="shared" si="133"/>
        <v>1035</v>
      </c>
      <c r="G442" s="11">
        <f t="shared" si="134"/>
        <v>994</v>
      </c>
      <c r="H442" s="8">
        <f t="shared" si="135"/>
        <v>2245</v>
      </c>
      <c r="I442" s="8">
        <f t="shared" si="136"/>
        <v>2167</v>
      </c>
      <c r="J442" s="8">
        <f t="shared" si="137"/>
        <v>2208</v>
      </c>
      <c r="K442" s="8">
        <f t="shared" si="148"/>
        <v>3000</v>
      </c>
      <c r="L442" s="8">
        <f t="shared" si="149"/>
        <v>3000</v>
      </c>
      <c r="M442" s="8">
        <f t="shared" si="150"/>
        <v>3000</v>
      </c>
      <c r="N442" s="8">
        <f t="shared" si="141"/>
        <v>-755</v>
      </c>
      <c r="O442" s="8">
        <f t="shared" si="142"/>
        <v>-833</v>
      </c>
      <c r="P442" s="8">
        <f t="shared" si="143"/>
        <v>-792</v>
      </c>
      <c r="Q442" s="11">
        <v>4</v>
      </c>
      <c r="R442" s="11">
        <v>8</v>
      </c>
      <c r="S442" s="11">
        <v>3</v>
      </c>
      <c r="T442" s="10">
        <f t="shared" si="138"/>
        <v>25</v>
      </c>
      <c r="U442" s="9">
        <f t="shared" si="144"/>
        <v>3235</v>
      </c>
      <c r="V442" s="9">
        <f t="shared" si="145"/>
        <v>3177</v>
      </c>
      <c r="W442" s="9">
        <f t="shared" si="146"/>
        <v>3248</v>
      </c>
      <c r="X442" s="8"/>
      <c r="Y442" s="8"/>
      <c r="Z442" s="8"/>
      <c r="AA442" s="8"/>
      <c r="AB442" s="8"/>
    </row>
    <row r="443" spans="1:28" ht="13.15" customHeight="1">
      <c r="A443" s="13">
        <f t="shared" si="147"/>
        <v>429</v>
      </c>
      <c r="B443" s="14">
        <f t="shared" si="139"/>
        <v>45680</v>
      </c>
      <c r="C443" s="13">
        <f t="shared" si="140"/>
        <v>1069</v>
      </c>
      <c r="D443" s="12">
        <f t="shared" si="131"/>
        <v>2135</v>
      </c>
      <c r="E443" s="11">
        <f t="shared" si="132"/>
        <v>966</v>
      </c>
      <c r="F443" s="11">
        <f t="shared" si="133"/>
        <v>1044</v>
      </c>
      <c r="G443" s="11">
        <f t="shared" si="134"/>
        <v>998</v>
      </c>
      <c r="H443" s="8">
        <f t="shared" si="135"/>
        <v>2238</v>
      </c>
      <c r="I443" s="8">
        <f t="shared" si="136"/>
        <v>2160</v>
      </c>
      <c r="J443" s="8">
        <f t="shared" si="137"/>
        <v>2206</v>
      </c>
      <c r="K443" s="8">
        <f t="shared" si="148"/>
        <v>3000</v>
      </c>
      <c r="L443" s="8">
        <f t="shared" si="149"/>
        <v>3000</v>
      </c>
      <c r="M443" s="8">
        <f t="shared" si="150"/>
        <v>3000</v>
      </c>
      <c r="N443" s="8">
        <f t="shared" si="141"/>
        <v>-762</v>
      </c>
      <c r="O443" s="8">
        <f t="shared" si="142"/>
        <v>-840</v>
      </c>
      <c r="P443" s="8">
        <f t="shared" si="143"/>
        <v>-794</v>
      </c>
      <c r="Q443" s="11">
        <v>7</v>
      </c>
      <c r="R443" s="11">
        <v>7</v>
      </c>
      <c r="S443" s="11">
        <v>2</v>
      </c>
      <c r="T443" s="10">
        <f t="shared" si="138"/>
        <v>34</v>
      </c>
      <c r="U443" s="9">
        <f t="shared" si="144"/>
        <v>3228</v>
      </c>
      <c r="V443" s="9">
        <f t="shared" si="145"/>
        <v>3170</v>
      </c>
      <c r="W443" s="9">
        <f t="shared" si="146"/>
        <v>3246</v>
      </c>
      <c r="X443" s="8"/>
      <c r="Y443" s="8"/>
      <c r="Z443" s="8"/>
      <c r="AA443" s="8"/>
      <c r="AB443" s="8"/>
    </row>
    <row r="444" spans="1:28" ht="13.15" customHeight="1">
      <c r="A444" s="13">
        <f t="shared" si="147"/>
        <v>430</v>
      </c>
      <c r="B444" s="14">
        <f t="shared" si="139"/>
        <v>45681</v>
      </c>
      <c r="C444" s="13">
        <f t="shared" si="140"/>
        <v>1069</v>
      </c>
      <c r="D444" s="12">
        <f t="shared" si="131"/>
        <v>2137</v>
      </c>
      <c r="E444" s="11">
        <f t="shared" si="132"/>
        <v>973</v>
      </c>
      <c r="F444" s="11">
        <f t="shared" si="133"/>
        <v>1054</v>
      </c>
      <c r="G444" s="11">
        <f t="shared" si="134"/>
        <v>1004</v>
      </c>
      <c r="H444" s="8">
        <f t="shared" si="135"/>
        <v>2233</v>
      </c>
      <c r="I444" s="8">
        <f t="shared" si="136"/>
        <v>2152</v>
      </c>
      <c r="J444" s="8">
        <f t="shared" si="137"/>
        <v>2202</v>
      </c>
      <c r="K444" s="8">
        <f t="shared" si="148"/>
        <v>3000</v>
      </c>
      <c r="L444" s="8">
        <f t="shared" si="149"/>
        <v>3000</v>
      </c>
      <c r="M444" s="8">
        <f t="shared" si="150"/>
        <v>3000</v>
      </c>
      <c r="N444" s="8">
        <f t="shared" si="141"/>
        <v>-767</v>
      </c>
      <c r="O444" s="8">
        <f t="shared" si="142"/>
        <v>-848</v>
      </c>
      <c r="P444" s="8">
        <f t="shared" si="143"/>
        <v>-798</v>
      </c>
      <c r="Q444" s="11">
        <v>5</v>
      </c>
      <c r="R444" s="11">
        <v>8</v>
      </c>
      <c r="S444" s="11">
        <v>4</v>
      </c>
      <c r="T444" s="10">
        <f t="shared" si="138"/>
        <v>44</v>
      </c>
      <c r="U444" s="9">
        <f t="shared" si="144"/>
        <v>3223</v>
      </c>
      <c r="V444" s="9">
        <f t="shared" si="145"/>
        <v>3162</v>
      </c>
      <c r="W444" s="9">
        <f t="shared" si="146"/>
        <v>3242</v>
      </c>
      <c r="X444" s="8"/>
      <c r="Y444" s="8"/>
      <c r="Z444" s="8"/>
      <c r="AA444" s="8"/>
      <c r="AB444" s="8"/>
    </row>
    <row r="445" spans="1:28" ht="13.15" customHeight="1">
      <c r="A445" s="13">
        <f t="shared" si="147"/>
        <v>431</v>
      </c>
      <c r="B445" s="14">
        <f t="shared" si="139"/>
        <v>45682</v>
      </c>
      <c r="C445" s="13">
        <f t="shared" si="140"/>
        <v>1069</v>
      </c>
      <c r="D445" s="12">
        <f t="shared" si="131"/>
        <v>2139</v>
      </c>
      <c r="E445" s="11">
        <f t="shared" si="132"/>
        <v>980</v>
      </c>
      <c r="F445" s="11">
        <f t="shared" si="133"/>
        <v>1065</v>
      </c>
      <c r="G445" s="11">
        <f t="shared" si="134"/>
        <v>1009</v>
      </c>
      <c r="H445" s="8">
        <f t="shared" si="135"/>
        <v>2228</v>
      </c>
      <c r="I445" s="8">
        <f t="shared" si="136"/>
        <v>2143</v>
      </c>
      <c r="J445" s="8">
        <f t="shared" si="137"/>
        <v>2199</v>
      </c>
      <c r="K445" s="8">
        <f t="shared" si="148"/>
        <v>3000</v>
      </c>
      <c r="L445" s="8">
        <f t="shared" si="149"/>
        <v>3000</v>
      </c>
      <c r="M445" s="8">
        <f t="shared" si="150"/>
        <v>3000</v>
      </c>
      <c r="N445" s="8">
        <f t="shared" si="141"/>
        <v>-772</v>
      </c>
      <c r="O445" s="8">
        <f t="shared" si="142"/>
        <v>-857</v>
      </c>
      <c r="P445" s="8">
        <f t="shared" si="143"/>
        <v>-801</v>
      </c>
      <c r="Q445" s="11">
        <v>5</v>
      </c>
      <c r="R445" s="11">
        <v>9</v>
      </c>
      <c r="S445" s="11">
        <v>3</v>
      </c>
      <c r="T445" s="10">
        <f t="shared" si="138"/>
        <v>55</v>
      </c>
      <c r="U445" s="9">
        <f t="shared" si="144"/>
        <v>3218</v>
      </c>
      <c r="V445" s="9">
        <f t="shared" si="145"/>
        <v>3153</v>
      </c>
      <c r="W445" s="9">
        <f t="shared" si="146"/>
        <v>3239</v>
      </c>
      <c r="X445" s="8"/>
      <c r="Y445" s="8"/>
      <c r="Z445" s="8"/>
      <c r="AA445" s="8"/>
      <c r="AB445" s="8"/>
    </row>
    <row r="446" spans="1:28" ht="13.15" customHeight="1">
      <c r="A446" s="13">
        <f t="shared" si="147"/>
        <v>432</v>
      </c>
      <c r="B446" s="14">
        <f t="shared" si="139"/>
        <v>45683</v>
      </c>
      <c r="C446" s="13">
        <f t="shared" si="140"/>
        <v>1069</v>
      </c>
      <c r="D446" s="12">
        <f t="shared" si="131"/>
        <v>2141</v>
      </c>
      <c r="E446" s="11">
        <f t="shared" si="132"/>
        <v>986</v>
      </c>
      <c r="F446" s="11">
        <f t="shared" si="133"/>
        <v>1075</v>
      </c>
      <c r="G446" s="11">
        <f t="shared" si="134"/>
        <v>1018</v>
      </c>
      <c r="H446" s="8">
        <f t="shared" si="135"/>
        <v>2224</v>
      </c>
      <c r="I446" s="8">
        <f t="shared" si="136"/>
        <v>2135</v>
      </c>
      <c r="J446" s="8">
        <f t="shared" si="137"/>
        <v>2192</v>
      </c>
      <c r="K446" s="8">
        <f t="shared" si="148"/>
        <v>3000</v>
      </c>
      <c r="L446" s="8">
        <f t="shared" si="149"/>
        <v>3000</v>
      </c>
      <c r="M446" s="8">
        <f t="shared" si="150"/>
        <v>3000</v>
      </c>
      <c r="N446" s="8">
        <f t="shared" si="141"/>
        <v>-776</v>
      </c>
      <c r="O446" s="8">
        <f t="shared" si="142"/>
        <v>-865</v>
      </c>
      <c r="P446" s="8">
        <f t="shared" si="143"/>
        <v>-808</v>
      </c>
      <c r="Q446" s="11">
        <v>4</v>
      </c>
      <c r="R446" s="11">
        <v>8</v>
      </c>
      <c r="S446" s="11">
        <v>7</v>
      </c>
      <c r="T446" s="10">
        <f t="shared" si="138"/>
        <v>65</v>
      </c>
      <c r="U446" s="9">
        <f t="shared" si="144"/>
        <v>3214</v>
      </c>
      <c r="V446" s="9">
        <f t="shared" si="145"/>
        <v>3145</v>
      </c>
      <c r="W446" s="9">
        <f t="shared" si="146"/>
        <v>3232</v>
      </c>
      <c r="X446" s="8"/>
      <c r="Y446" s="8"/>
      <c r="Z446" s="8"/>
      <c r="AA446" s="8"/>
      <c r="AB446" s="8"/>
    </row>
    <row r="447" spans="1:28" ht="13.15" customHeight="1">
      <c r="A447" s="13">
        <f t="shared" si="147"/>
        <v>433</v>
      </c>
      <c r="B447" s="14">
        <f t="shared" si="139"/>
        <v>45684</v>
      </c>
      <c r="C447" s="13">
        <f t="shared" si="140"/>
        <v>1069</v>
      </c>
      <c r="D447" s="12">
        <f t="shared" ref="D447:D510" si="151">D446+2</f>
        <v>2143</v>
      </c>
      <c r="E447" s="11">
        <f t="shared" si="132"/>
        <v>990</v>
      </c>
      <c r="F447" s="11">
        <f t="shared" si="133"/>
        <v>1084</v>
      </c>
      <c r="G447" s="11">
        <f t="shared" si="134"/>
        <v>1025</v>
      </c>
      <c r="H447" s="8">
        <f t="shared" si="135"/>
        <v>2222</v>
      </c>
      <c r="I447" s="8">
        <f t="shared" si="136"/>
        <v>2128</v>
      </c>
      <c r="J447" s="8">
        <f t="shared" si="137"/>
        <v>2187</v>
      </c>
      <c r="K447" s="8">
        <f t="shared" si="148"/>
        <v>3000</v>
      </c>
      <c r="L447" s="8">
        <f t="shared" si="149"/>
        <v>3000</v>
      </c>
      <c r="M447" s="8">
        <f t="shared" si="150"/>
        <v>3000</v>
      </c>
      <c r="N447" s="8">
        <f t="shared" si="141"/>
        <v>-778</v>
      </c>
      <c r="O447" s="8">
        <f t="shared" si="142"/>
        <v>-872</v>
      </c>
      <c r="P447" s="8">
        <f t="shared" si="143"/>
        <v>-813</v>
      </c>
      <c r="Q447" s="11">
        <v>2</v>
      </c>
      <c r="R447" s="11">
        <v>7</v>
      </c>
      <c r="S447" s="11">
        <v>5</v>
      </c>
      <c r="T447" s="10">
        <f t="shared" si="138"/>
        <v>74</v>
      </c>
      <c r="U447" s="9">
        <f t="shared" si="144"/>
        <v>3212</v>
      </c>
      <c r="V447" s="9">
        <f t="shared" si="145"/>
        <v>3138</v>
      </c>
      <c r="W447" s="9">
        <f t="shared" si="146"/>
        <v>3227</v>
      </c>
      <c r="X447" s="8"/>
      <c r="Y447" s="8"/>
      <c r="Z447" s="8"/>
      <c r="AA447" s="8"/>
      <c r="AB447" s="8"/>
    </row>
    <row r="448" spans="1:28" ht="13.15" customHeight="1">
      <c r="A448" s="13">
        <f t="shared" si="147"/>
        <v>434</v>
      </c>
      <c r="B448" s="14">
        <f t="shared" si="139"/>
        <v>45685</v>
      </c>
      <c r="C448" s="13">
        <f t="shared" si="140"/>
        <v>1069</v>
      </c>
      <c r="D448" s="12">
        <f t="shared" si="151"/>
        <v>2145</v>
      </c>
      <c r="E448" s="11">
        <f t="shared" si="132"/>
        <v>995</v>
      </c>
      <c r="F448" s="11">
        <f t="shared" si="133"/>
        <v>1095</v>
      </c>
      <c r="G448" s="11">
        <f t="shared" si="134"/>
        <v>1032</v>
      </c>
      <c r="H448" s="8">
        <f t="shared" si="135"/>
        <v>2219</v>
      </c>
      <c r="I448" s="8">
        <f t="shared" si="136"/>
        <v>2119</v>
      </c>
      <c r="J448" s="8">
        <f t="shared" si="137"/>
        <v>2182</v>
      </c>
      <c r="K448" s="8">
        <f t="shared" si="148"/>
        <v>3000</v>
      </c>
      <c r="L448" s="8">
        <f t="shared" si="149"/>
        <v>3000</v>
      </c>
      <c r="M448" s="8">
        <f t="shared" si="150"/>
        <v>3000</v>
      </c>
      <c r="N448" s="8">
        <f t="shared" si="141"/>
        <v>-781</v>
      </c>
      <c r="O448" s="8">
        <f t="shared" si="142"/>
        <v>-881</v>
      </c>
      <c r="P448" s="8">
        <f t="shared" si="143"/>
        <v>-818</v>
      </c>
      <c r="Q448" s="11">
        <v>3</v>
      </c>
      <c r="R448" s="11">
        <v>9</v>
      </c>
      <c r="S448" s="11">
        <v>5</v>
      </c>
      <c r="T448" s="10">
        <f t="shared" si="138"/>
        <v>85</v>
      </c>
      <c r="U448" s="9">
        <f t="shared" si="144"/>
        <v>3209</v>
      </c>
      <c r="V448" s="9">
        <f t="shared" si="145"/>
        <v>3129</v>
      </c>
      <c r="W448" s="9">
        <f t="shared" si="146"/>
        <v>3222</v>
      </c>
      <c r="X448" s="8"/>
      <c r="Y448" s="8"/>
      <c r="Z448" s="8"/>
      <c r="AA448" s="8"/>
      <c r="AB448" s="8"/>
    </row>
    <row r="449" spans="1:28" ht="13.15" customHeight="1">
      <c r="A449" s="13">
        <f t="shared" si="147"/>
        <v>435</v>
      </c>
      <c r="B449" s="14">
        <f t="shared" si="139"/>
        <v>45686</v>
      </c>
      <c r="C449" s="13">
        <f t="shared" si="140"/>
        <v>1069</v>
      </c>
      <c r="D449" s="12">
        <f t="shared" si="151"/>
        <v>2147</v>
      </c>
      <c r="E449" s="11">
        <f t="shared" si="132"/>
        <v>999</v>
      </c>
      <c r="F449" s="11">
        <f t="shared" si="133"/>
        <v>1105</v>
      </c>
      <c r="G449" s="11">
        <f t="shared" si="134"/>
        <v>1038</v>
      </c>
      <c r="H449" s="8">
        <f t="shared" si="135"/>
        <v>2217</v>
      </c>
      <c r="I449" s="8">
        <f t="shared" si="136"/>
        <v>2111</v>
      </c>
      <c r="J449" s="8">
        <f t="shared" si="137"/>
        <v>2178</v>
      </c>
      <c r="K449" s="8">
        <f t="shared" si="148"/>
        <v>3000</v>
      </c>
      <c r="L449" s="8">
        <f t="shared" si="149"/>
        <v>3000</v>
      </c>
      <c r="M449" s="8">
        <f t="shared" si="150"/>
        <v>3000</v>
      </c>
      <c r="N449" s="8">
        <f t="shared" si="141"/>
        <v>-783</v>
      </c>
      <c r="O449" s="8">
        <f t="shared" si="142"/>
        <v>-889</v>
      </c>
      <c r="P449" s="8">
        <f t="shared" si="143"/>
        <v>-822</v>
      </c>
      <c r="Q449" s="11">
        <v>2</v>
      </c>
      <c r="R449" s="11">
        <v>8</v>
      </c>
      <c r="S449" s="11">
        <v>4</v>
      </c>
      <c r="T449" s="10">
        <f t="shared" si="138"/>
        <v>95</v>
      </c>
      <c r="U449" s="9">
        <f t="shared" si="144"/>
        <v>3207</v>
      </c>
      <c r="V449" s="9">
        <f t="shared" si="145"/>
        <v>3121</v>
      </c>
      <c r="W449" s="9">
        <f t="shared" si="146"/>
        <v>3218</v>
      </c>
      <c r="X449" s="8"/>
      <c r="Y449" s="8"/>
      <c r="Z449" s="8"/>
      <c r="AA449" s="8"/>
      <c r="AB449" s="8"/>
    </row>
    <row r="450" spans="1:28" ht="13.15" customHeight="1">
      <c r="A450" s="13">
        <f t="shared" si="147"/>
        <v>436</v>
      </c>
      <c r="B450" s="14">
        <f t="shared" si="139"/>
        <v>45687</v>
      </c>
      <c r="C450" s="13">
        <f t="shared" si="140"/>
        <v>1069</v>
      </c>
      <c r="D450" s="12">
        <f t="shared" si="151"/>
        <v>2149</v>
      </c>
      <c r="E450" s="11">
        <f t="shared" si="132"/>
        <v>1002</v>
      </c>
      <c r="F450" s="11">
        <f t="shared" si="133"/>
        <v>1114</v>
      </c>
      <c r="G450" s="11">
        <f t="shared" si="134"/>
        <v>1043</v>
      </c>
      <c r="H450" s="8">
        <f t="shared" si="135"/>
        <v>2216</v>
      </c>
      <c r="I450" s="8">
        <f t="shared" si="136"/>
        <v>2104</v>
      </c>
      <c r="J450" s="8">
        <f t="shared" si="137"/>
        <v>2175</v>
      </c>
      <c r="K450" s="8">
        <f t="shared" si="148"/>
        <v>3000</v>
      </c>
      <c r="L450" s="8">
        <f t="shared" si="149"/>
        <v>3000</v>
      </c>
      <c r="M450" s="8">
        <f t="shared" si="150"/>
        <v>3000</v>
      </c>
      <c r="N450" s="8">
        <f t="shared" si="141"/>
        <v>-784</v>
      </c>
      <c r="O450" s="8">
        <f t="shared" si="142"/>
        <v>-896</v>
      </c>
      <c r="P450" s="8">
        <f t="shared" si="143"/>
        <v>-825</v>
      </c>
      <c r="Q450" s="11">
        <v>1</v>
      </c>
      <c r="R450" s="11">
        <v>7</v>
      </c>
      <c r="S450" s="11">
        <v>3</v>
      </c>
      <c r="T450" s="10">
        <f t="shared" si="138"/>
        <v>104</v>
      </c>
      <c r="U450" s="9">
        <f t="shared" si="144"/>
        <v>3206</v>
      </c>
      <c r="V450" s="9">
        <f t="shared" si="145"/>
        <v>3114</v>
      </c>
      <c r="W450" s="9">
        <f t="shared" si="146"/>
        <v>3215</v>
      </c>
      <c r="X450" s="8"/>
      <c r="Y450" s="8"/>
      <c r="Z450" s="8"/>
      <c r="AA450" s="8"/>
      <c r="AB450" s="8"/>
    </row>
    <row r="451" spans="1:28" ht="13.15" customHeight="1">
      <c r="A451" s="13">
        <f t="shared" si="147"/>
        <v>437</v>
      </c>
      <c r="B451" s="14">
        <f t="shared" si="139"/>
        <v>45688</v>
      </c>
      <c r="C451" s="13">
        <f t="shared" si="140"/>
        <v>1069</v>
      </c>
      <c r="D451" s="12">
        <f t="shared" si="151"/>
        <v>2151</v>
      </c>
      <c r="E451" s="11">
        <f t="shared" si="132"/>
        <v>1006</v>
      </c>
      <c r="F451" s="11">
        <f t="shared" si="133"/>
        <v>1125</v>
      </c>
      <c r="G451" s="11">
        <f t="shared" si="134"/>
        <v>1049</v>
      </c>
      <c r="H451" s="8">
        <f t="shared" si="135"/>
        <v>2214</v>
      </c>
      <c r="I451" s="8">
        <f t="shared" si="136"/>
        <v>2095</v>
      </c>
      <c r="J451" s="8">
        <f t="shared" si="137"/>
        <v>2171</v>
      </c>
      <c r="K451" s="8">
        <f t="shared" si="148"/>
        <v>3000</v>
      </c>
      <c r="L451" s="8">
        <f t="shared" si="149"/>
        <v>3000</v>
      </c>
      <c r="M451" s="8">
        <f t="shared" si="150"/>
        <v>3000</v>
      </c>
      <c r="N451" s="8">
        <f t="shared" si="141"/>
        <v>-786</v>
      </c>
      <c r="O451" s="8">
        <f t="shared" si="142"/>
        <v>-905</v>
      </c>
      <c r="P451" s="8">
        <f t="shared" si="143"/>
        <v>-829</v>
      </c>
      <c r="Q451" s="11">
        <v>2</v>
      </c>
      <c r="R451" s="11">
        <v>9</v>
      </c>
      <c r="S451" s="11">
        <v>4</v>
      </c>
      <c r="T451" s="10">
        <f t="shared" si="138"/>
        <v>115</v>
      </c>
      <c r="U451" s="9">
        <f t="shared" si="144"/>
        <v>3204</v>
      </c>
      <c r="V451" s="9">
        <f t="shared" si="145"/>
        <v>3105</v>
      </c>
      <c r="W451" s="9">
        <f t="shared" si="146"/>
        <v>3211</v>
      </c>
      <c r="X451" s="8"/>
      <c r="Y451" s="8"/>
      <c r="Z451" s="8"/>
      <c r="AA451" s="8"/>
      <c r="AB451" s="8"/>
    </row>
    <row r="452" spans="1:28" ht="13.15" customHeight="1">
      <c r="A452" s="13">
        <f t="shared" si="147"/>
        <v>438</v>
      </c>
      <c r="B452" s="14">
        <f t="shared" si="139"/>
        <v>45689</v>
      </c>
      <c r="C452" s="13">
        <f t="shared" si="140"/>
        <v>1069</v>
      </c>
      <c r="D452" s="12">
        <f t="shared" si="151"/>
        <v>2153</v>
      </c>
      <c r="E452" s="11">
        <f t="shared" si="132"/>
        <v>1010</v>
      </c>
      <c r="F452" s="11">
        <f t="shared" si="133"/>
        <v>1135</v>
      </c>
      <c r="G452" s="11">
        <f t="shared" si="134"/>
        <v>1058</v>
      </c>
      <c r="H452" s="8">
        <f t="shared" si="135"/>
        <v>2212</v>
      </c>
      <c r="I452" s="8">
        <f t="shared" si="136"/>
        <v>2087</v>
      </c>
      <c r="J452" s="8">
        <f t="shared" si="137"/>
        <v>2164</v>
      </c>
      <c r="K452" s="8">
        <f t="shared" si="148"/>
        <v>3000</v>
      </c>
      <c r="L452" s="8">
        <f t="shared" si="149"/>
        <v>3000</v>
      </c>
      <c r="M452" s="8">
        <f t="shared" si="150"/>
        <v>3000</v>
      </c>
      <c r="N452" s="8">
        <f t="shared" si="141"/>
        <v>-788</v>
      </c>
      <c r="O452" s="8">
        <f t="shared" si="142"/>
        <v>-913</v>
      </c>
      <c r="P452" s="8">
        <f t="shared" si="143"/>
        <v>-836</v>
      </c>
      <c r="Q452" s="11">
        <v>2</v>
      </c>
      <c r="R452" s="11">
        <v>8</v>
      </c>
      <c r="S452" s="11">
        <v>7</v>
      </c>
      <c r="T452" s="10">
        <f t="shared" si="138"/>
        <v>125</v>
      </c>
      <c r="U452" s="9">
        <f t="shared" si="144"/>
        <v>3202</v>
      </c>
      <c r="V452" s="9">
        <f t="shared" si="145"/>
        <v>3097</v>
      </c>
      <c r="W452" s="9">
        <f t="shared" si="146"/>
        <v>3204</v>
      </c>
      <c r="X452" s="8"/>
      <c r="Y452" s="8"/>
      <c r="Z452" s="8"/>
      <c r="AA452" s="8"/>
      <c r="AB452" s="8"/>
    </row>
    <row r="453" spans="1:28" ht="13.15" customHeight="1">
      <c r="A453" s="13">
        <f t="shared" si="147"/>
        <v>439</v>
      </c>
      <c r="B453" s="14">
        <f t="shared" si="139"/>
        <v>45690</v>
      </c>
      <c r="C453" s="13">
        <f t="shared" si="140"/>
        <v>1069</v>
      </c>
      <c r="D453" s="12">
        <f t="shared" si="151"/>
        <v>2155</v>
      </c>
      <c r="E453" s="11">
        <f t="shared" si="132"/>
        <v>1014</v>
      </c>
      <c r="F453" s="11">
        <f t="shared" si="133"/>
        <v>1146</v>
      </c>
      <c r="G453" s="11">
        <f t="shared" si="134"/>
        <v>1065</v>
      </c>
      <c r="H453" s="8">
        <f t="shared" si="135"/>
        <v>2210</v>
      </c>
      <c r="I453" s="8">
        <f t="shared" si="136"/>
        <v>2078</v>
      </c>
      <c r="J453" s="8">
        <f t="shared" si="137"/>
        <v>2159</v>
      </c>
      <c r="K453" s="8">
        <f t="shared" si="148"/>
        <v>3000</v>
      </c>
      <c r="L453" s="8">
        <f t="shared" si="149"/>
        <v>3000</v>
      </c>
      <c r="M453" s="8">
        <f t="shared" si="150"/>
        <v>3000</v>
      </c>
      <c r="N453" s="8">
        <f t="shared" si="141"/>
        <v>-790</v>
      </c>
      <c r="O453" s="8">
        <f t="shared" si="142"/>
        <v>-922</v>
      </c>
      <c r="P453" s="8">
        <f t="shared" si="143"/>
        <v>-841</v>
      </c>
      <c r="Q453" s="11">
        <v>2</v>
      </c>
      <c r="R453" s="11">
        <v>9</v>
      </c>
      <c r="S453" s="11">
        <v>5</v>
      </c>
      <c r="T453" s="10">
        <f t="shared" si="138"/>
        <v>136</v>
      </c>
      <c r="U453" s="9">
        <f t="shared" si="144"/>
        <v>3200</v>
      </c>
      <c r="V453" s="9">
        <f t="shared" si="145"/>
        <v>3088</v>
      </c>
      <c r="W453" s="9">
        <f t="shared" si="146"/>
        <v>3199</v>
      </c>
      <c r="X453" s="8"/>
      <c r="Y453" s="8"/>
      <c r="Z453" s="8"/>
      <c r="AA453" s="8"/>
      <c r="AB453" s="8"/>
    </row>
    <row r="454" spans="1:28" ht="13.15" customHeight="1">
      <c r="A454" s="13">
        <f t="shared" si="147"/>
        <v>440</v>
      </c>
      <c r="B454" s="14">
        <f t="shared" si="139"/>
        <v>45691</v>
      </c>
      <c r="C454" s="13">
        <f t="shared" si="140"/>
        <v>1069</v>
      </c>
      <c r="D454" s="12">
        <f t="shared" si="151"/>
        <v>2157</v>
      </c>
      <c r="E454" s="11">
        <f t="shared" si="132"/>
        <v>1018</v>
      </c>
      <c r="F454" s="11">
        <f t="shared" si="133"/>
        <v>1156</v>
      </c>
      <c r="G454" s="11">
        <f t="shared" si="134"/>
        <v>1072</v>
      </c>
      <c r="H454" s="8">
        <f t="shared" si="135"/>
        <v>2208</v>
      </c>
      <c r="I454" s="8">
        <f t="shared" si="136"/>
        <v>2070</v>
      </c>
      <c r="J454" s="8">
        <f t="shared" si="137"/>
        <v>2154</v>
      </c>
      <c r="K454" s="8">
        <f t="shared" si="148"/>
        <v>3000</v>
      </c>
      <c r="L454" s="8">
        <f t="shared" si="149"/>
        <v>3000</v>
      </c>
      <c r="M454" s="8">
        <f t="shared" si="150"/>
        <v>3000</v>
      </c>
      <c r="N454" s="8">
        <f t="shared" si="141"/>
        <v>-792</v>
      </c>
      <c r="O454" s="8">
        <f t="shared" si="142"/>
        <v>-930</v>
      </c>
      <c r="P454" s="8">
        <f t="shared" si="143"/>
        <v>-846</v>
      </c>
      <c r="Q454" s="11">
        <v>2</v>
      </c>
      <c r="R454" s="11">
        <v>8</v>
      </c>
      <c r="S454" s="11">
        <v>5</v>
      </c>
      <c r="T454" s="10">
        <f t="shared" si="138"/>
        <v>146</v>
      </c>
      <c r="U454" s="9">
        <f t="shared" si="144"/>
        <v>3198</v>
      </c>
      <c r="V454" s="9">
        <f t="shared" si="145"/>
        <v>3080</v>
      </c>
      <c r="W454" s="9">
        <f t="shared" si="146"/>
        <v>3194</v>
      </c>
      <c r="X454" s="8"/>
      <c r="Y454" s="8"/>
      <c r="Z454" s="8"/>
      <c r="AA454" s="8"/>
      <c r="AB454" s="8"/>
    </row>
    <row r="455" spans="1:28" ht="13.15" customHeight="1">
      <c r="A455" s="13">
        <f t="shared" si="147"/>
        <v>441</v>
      </c>
      <c r="B455" s="14">
        <f t="shared" si="139"/>
        <v>45692</v>
      </c>
      <c r="C455" s="13">
        <f t="shared" si="140"/>
        <v>1069</v>
      </c>
      <c r="D455" s="12">
        <f t="shared" si="151"/>
        <v>2159</v>
      </c>
      <c r="E455" s="11">
        <f t="shared" si="132"/>
        <v>1023</v>
      </c>
      <c r="F455" s="11">
        <f t="shared" si="133"/>
        <v>1165</v>
      </c>
      <c r="G455" s="11">
        <f t="shared" si="134"/>
        <v>1078</v>
      </c>
      <c r="H455" s="8">
        <f t="shared" si="135"/>
        <v>2205</v>
      </c>
      <c r="I455" s="8">
        <f t="shared" si="136"/>
        <v>2063</v>
      </c>
      <c r="J455" s="8">
        <f t="shared" si="137"/>
        <v>2150</v>
      </c>
      <c r="K455" s="8">
        <f t="shared" si="148"/>
        <v>3000</v>
      </c>
      <c r="L455" s="8">
        <f t="shared" si="149"/>
        <v>3000</v>
      </c>
      <c r="M455" s="8">
        <f t="shared" si="150"/>
        <v>3000</v>
      </c>
      <c r="N455" s="8">
        <f t="shared" si="141"/>
        <v>-795</v>
      </c>
      <c r="O455" s="8">
        <f t="shared" si="142"/>
        <v>-937</v>
      </c>
      <c r="P455" s="8">
        <f t="shared" si="143"/>
        <v>-850</v>
      </c>
      <c r="Q455" s="11">
        <v>3</v>
      </c>
      <c r="R455" s="11">
        <v>7</v>
      </c>
      <c r="S455" s="11">
        <v>4</v>
      </c>
      <c r="T455" s="10">
        <f t="shared" si="138"/>
        <v>155</v>
      </c>
      <c r="U455" s="9">
        <f t="shared" si="144"/>
        <v>3195</v>
      </c>
      <c r="V455" s="9">
        <f t="shared" si="145"/>
        <v>3073</v>
      </c>
      <c r="W455" s="9">
        <f t="shared" si="146"/>
        <v>3190</v>
      </c>
      <c r="X455" s="8"/>
      <c r="Y455" s="8"/>
      <c r="Z455" s="8"/>
      <c r="AA455" s="8"/>
      <c r="AB455" s="8"/>
    </row>
    <row r="456" spans="1:28" ht="13.15" customHeight="1">
      <c r="A456" s="13">
        <f t="shared" si="147"/>
        <v>442</v>
      </c>
      <c r="B456" s="14">
        <f t="shared" si="139"/>
        <v>45693</v>
      </c>
      <c r="C456" s="13">
        <f t="shared" si="140"/>
        <v>1069</v>
      </c>
      <c r="D456" s="12">
        <f t="shared" si="151"/>
        <v>2161</v>
      </c>
      <c r="E456" s="11">
        <f t="shared" si="132"/>
        <v>1027</v>
      </c>
      <c r="F456" s="11">
        <f t="shared" si="133"/>
        <v>1174</v>
      </c>
      <c r="G456" s="11">
        <f t="shared" si="134"/>
        <v>1083</v>
      </c>
      <c r="H456" s="8">
        <f t="shared" si="135"/>
        <v>2203</v>
      </c>
      <c r="I456" s="8">
        <f t="shared" si="136"/>
        <v>2056</v>
      </c>
      <c r="J456" s="8">
        <f t="shared" si="137"/>
        <v>2147</v>
      </c>
      <c r="K456" s="8">
        <f t="shared" si="148"/>
        <v>3000</v>
      </c>
      <c r="L456" s="8">
        <f t="shared" si="149"/>
        <v>3000</v>
      </c>
      <c r="M456" s="8">
        <f t="shared" si="150"/>
        <v>3000</v>
      </c>
      <c r="N456" s="8">
        <f t="shared" si="141"/>
        <v>-797</v>
      </c>
      <c r="O456" s="8">
        <f t="shared" si="142"/>
        <v>-944</v>
      </c>
      <c r="P456" s="8">
        <f t="shared" si="143"/>
        <v>-853</v>
      </c>
      <c r="Q456" s="11">
        <v>2</v>
      </c>
      <c r="R456" s="11">
        <v>7</v>
      </c>
      <c r="S456" s="11">
        <v>3</v>
      </c>
      <c r="T456" s="10">
        <f t="shared" si="138"/>
        <v>164</v>
      </c>
      <c r="U456" s="9">
        <f t="shared" si="144"/>
        <v>3193</v>
      </c>
      <c r="V456" s="9">
        <f t="shared" si="145"/>
        <v>3066</v>
      </c>
      <c r="W456" s="9">
        <f t="shared" si="146"/>
        <v>3187</v>
      </c>
      <c r="X456" s="8"/>
      <c r="Y456" s="8"/>
      <c r="Z456" s="8"/>
      <c r="AA456" s="8"/>
      <c r="AB456" s="8"/>
    </row>
    <row r="457" spans="1:28" ht="13.15" customHeight="1">
      <c r="A457" s="13">
        <f t="shared" si="147"/>
        <v>443</v>
      </c>
      <c r="B457" s="14">
        <f t="shared" si="139"/>
        <v>45694</v>
      </c>
      <c r="C457" s="13">
        <f t="shared" si="140"/>
        <v>1069</v>
      </c>
      <c r="D457" s="12">
        <f t="shared" si="151"/>
        <v>2163</v>
      </c>
      <c r="E457" s="11">
        <f t="shared" si="132"/>
        <v>1032</v>
      </c>
      <c r="F457" s="11">
        <f t="shared" si="133"/>
        <v>1183</v>
      </c>
      <c r="G457" s="11">
        <f t="shared" si="134"/>
        <v>1087</v>
      </c>
      <c r="H457" s="8">
        <f t="shared" si="135"/>
        <v>2200</v>
      </c>
      <c r="I457" s="8">
        <f t="shared" si="136"/>
        <v>2049</v>
      </c>
      <c r="J457" s="8">
        <f t="shared" si="137"/>
        <v>2145</v>
      </c>
      <c r="K457" s="8">
        <f t="shared" si="148"/>
        <v>3000</v>
      </c>
      <c r="L457" s="8">
        <f t="shared" si="149"/>
        <v>3000</v>
      </c>
      <c r="M457" s="8">
        <f t="shared" si="150"/>
        <v>3000</v>
      </c>
      <c r="N457" s="8">
        <f t="shared" si="141"/>
        <v>-800</v>
      </c>
      <c r="O457" s="8">
        <f t="shared" si="142"/>
        <v>-951</v>
      </c>
      <c r="P457" s="8">
        <f t="shared" si="143"/>
        <v>-855</v>
      </c>
      <c r="Q457" s="11">
        <v>3</v>
      </c>
      <c r="R457" s="11">
        <v>7</v>
      </c>
      <c r="S457" s="11">
        <v>2</v>
      </c>
      <c r="T457" s="10">
        <f t="shared" si="138"/>
        <v>173</v>
      </c>
      <c r="U457" s="9">
        <f t="shared" si="144"/>
        <v>3190</v>
      </c>
      <c r="V457" s="9">
        <f t="shared" si="145"/>
        <v>3059</v>
      </c>
      <c r="W457" s="9">
        <f t="shared" si="146"/>
        <v>3185</v>
      </c>
      <c r="X457" s="8"/>
      <c r="Y457" s="8"/>
      <c r="Z457" s="8"/>
      <c r="AA457" s="8"/>
      <c r="AB457" s="8"/>
    </row>
    <row r="458" spans="1:28" ht="13.15" customHeight="1">
      <c r="A458" s="13">
        <f t="shared" si="147"/>
        <v>444</v>
      </c>
      <c r="B458" s="14">
        <f t="shared" si="139"/>
        <v>45695</v>
      </c>
      <c r="C458" s="13">
        <f t="shared" si="140"/>
        <v>1069</v>
      </c>
      <c r="D458" s="12">
        <f t="shared" si="151"/>
        <v>2165</v>
      </c>
      <c r="E458" s="11">
        <f t="shared" si="132"/>
        <v>1036</v>
      </c>
      <c r="F458" s="11">
        <f t="shared" si="133"/>
        <v>1190</v>
      </c>
      <c r="G458" s="11">
        <f t="shared" si="134"/>
        <v>1093</v>
      </c>
      <c r="H458" s="8">
        <f t="shared" si="135"/>
        <v>2198</v>
      </c>
      <c r="I458" s="8">
        <f t="shared" si="136"/>
        <v>2044</v>
      </c>
      <c r="J458" s="8">
        <f t="shared" si="137"/>
        <v>2141</v>
      </c>
      <c r="K458" s="8">
        <f t="shared" si="148"/>
        <v>3000</v>
      </c>
      <c r="L458" s="8">
        <f t="shared" si="149"/>
        <v>3000</v>
      </c>
      <c r="M458" s="8">
        <f t="shared" si="150"/>
        <v>3000</v>
      </c>
      <c r="N458" s="8">
        <f t="shared" si="141"/>
        <v>-802</v>
      </c>
      <c r="O458" s="8">
        <f t="shared" si="142"/>
        <v>-956</v>
      </c>
      <c r="P458" s="8">
        <f t="shared" si="143"/>
        <v>-859</v>
      </c>
      <c r="Q458" s="11">
        <v>2</v>
      </c>
      <c r="R458" s="11">
        <v>5</v>
      </c>
      <c r="S458" s="11">
        <v>4</v>
      </c>
      <c r="T458" s="10">
        <f t="shared" si="138"/>
        <v>180</v>
      </c>
      <c r="U458" s="9">
        <f t="shared" si="144"/>
        <v>3188</v>
      </c>
      <c r="V458" s="9">
        <f t="shared" si="145"/>
        <v>3054</v>
      </c>
      <c r="W458" s="9">
        <f t="shared" si="146"/>
        <v>3181</v>
      </c>
      <c r="X458" s="8"/>
      <c r="Y458" s="8"/>
      <c r="Z458" s="8"/>
      <c r="AA458" s="8"/>
      <c r="AB458" s="8"/>
    </row>
    <row r="459" spans="1:28" ht="13.15" customHeight="1">
      <c r="A459" s="13">
        <f t="shared" si="147"/>
        <v>445</v>
      </c>
      <c r="B459" s="14">
        <f t="shared" si="139"/>
        <v>45696</v>
      </c>
      <c r="C459" s="13">
        <f t="shared" si="140"/>
        <v>1069</v>
      </c>
      <c r="D459" s="12">
        <f t="shared" si="151"/>
        <v>2167</v>
      </c>
      <c r="E459" s="11">
        <f t="shared" si="132"/>
        <v>1039</v>
      </c>
      <c r="F459" s="11">
        <f t="shared" si="133"/>
        <v>1197</v>
      </c>
      <c r="G459" s="11">
        <f t="shared" si="134"/>
        <v>1098</v>
      </c>
      <c r="H459" s="8">
        <f t="shared" si="135"/>
        <v>2197</v>
      </c>
      <c r="I459" s="8">
        <f t="shared" si="136"/>
        <v>2039</v>
      </c>
      <c r="J459" s="8">
        <f t="shared" si="137"/>
        <v>2138</v>
      </c>
      <c r="K459" s="8">
        <f t="shared" si="148"/>
        <v>3000</v>
      </c>
      <c r="L459" s="8">
        <f t="shared" si="149"/>
        <v>3000</v>
      </c>
      <c r="M459" s="8">
        <f t="shared" si="150"/>
        <v>3000</v>
      </c>
      <c r="N459" s="8">
        <f t="shared" si="141"/>
        <v>-803</v>
      </c>
      <c r="O459" s="8">
        <f t="shared" si="142"/>
        <v>-961</v>
      </c>
      <c r="P459" s="8">
        <f t="shared" si="143"/>
        <v>-862</v>
      </c>
      <c r="Q459" s="11">
        <v>1</v>
      </c>
      <c r="R459" s="11">
        <v>5</v>
      </c>
      <c r="S459" s="11">
        <v>3</v>
      </c>
      <c r="T459" s="10">
        <f t="shared" si="138"/>
        <v>187</v>
      </c>
      <c r="U459" s="9">
        <f t="shared" si="144"/>
        <v>3187</v>
      </c>
      <c r="V459" s="9">
        <f t="shared" si="145"/>
        <v>3049</v>
      </c>
      <c r="W459" s="9">
        <f t="shared" si="146"/>
        <v>3178</v>
      </c>
      <c r="X459" s="8"/>
      <c r="Y459" s="8"/>
      <c r="Z459" s="8"/>
      <c r="AA459" s="8"/>
      <c r="AB459" s="8"/>
    </row>
    <row r="460" spans="1:28" ht="13.15" customHeight="1">
      <c r="A460" s="13">
        <f t="shared" si="147"/>
        <v>446</v>
      </c>
      <c r="B460" s="14">
        <f t="shared" si="139"/>
        <v>45697</v>
      </c>
      <c r="C460" s="13">
        <f t="shared" si="140"/>
        <v>1069</v>
      </c>
      <c r="D460" s="12">
        <f t="shared" si="151"/>
        <v>2169</v>
      </c>
      <c r="E460" s="11">
        <f t="shared" si="132"/>
        <v>1044</v>
      </c>
      <c r="F460" s="11">
        <f t="shared" si="133"/>
        <v>1203</v>
      </c>
      <c r="G460" s="11">
        <f t="shared" si="134"/>
        <v>1107</v>
      </c>
      <c r="H460" s="8">
        <f t="shared" si="135"/>
        <v>2194</v>
      </c>
      <c r="I460" s="8">
        <f t="shared" si="136"/>
        <v>2035</v>
      </c>
      <c r="J460" s="8">
        <f t="shared" si="137"/>
        <v>2131</v>
      </c>
      <c r="K460" s="8">
        <f t="shared" si="148"/>
        <v>3000</v>
      </c>
      <c r="L460" s="8">
        <f t="shared" si="149"/>
        <v>3000</v>
      </c>
      <c r="M460" s="8">
        <f t="shared" si="150"/>
        <v>3000</v>
      </c>
      <c r="N460" s="8">
        <f t="shared" si="141"/>
        <v>-806</v>
      </c>
      <c r="O460" s="8">
        <f t="shared" si="142"/>
        <v>-965</v>
      </c>
      <c r="P460" s="8">
        <f t="shared" si="143"/>
        <v>-869</v>
      </c>
      <c r="Q460" s="11">
        <v>3</v>
      </c>
      <c r="R460" s="11">
        <v>4</v>
      </c>
      <c r="S460" s="11">
        <v>7</v>
      </c>
      <c r="T460" s="10">
        <f t="shared" si="138"/>
        <v>193</v>
      </c>
      <c r="U460" s="9">
        <f t="shared" si="144"/>
        <v>3184</v>
      </c>
      <c r="V460" s="9">
        <f t="shared" si="145"/>
        <v>3045</v>
      </c>
      <c r="W460" s="9">
        <f t="shared" si="146"/>
        <v>3171</v>
      </c>
      <c r="X460" s="8"/>
      <c r="Y460" s="8"/>
      <c r="Z460" s="8"/>
      <c r="AA460" s="8"/>
      <c r="AB460" s="8"/>
    </row>
    <row r="461" spans="1:28" ht="13.15" customHeight="1">
      <c r="A461" s="13">
        <f t="shared" si="147"/>
        <v>447</v>
      </c>
      <c r="B461" s="14">
        <f t="shared" si="139"/>
        <v>45698</v>
      </c>
      <c r="C461" s="13">
        <f t="shared" si="140"/>
        <v>1069</v>
      </c>
      <c r="D461" s="12">
        <f t="shared" si="151"/>
        <v>2171</v>
      </c>
      <c r="E461" s="11">
        <f t="shared" si="132"/>
        <v>1048</v>
      </c>
      <c r="F461" s="11">
        <f t="shared" si="133"/>
        <v>1208</v>
      </c>
      <c r="G461" s="11">
        <f t="shared" si="134"/>
        <v>1114</v>
      </c>
      <c r="H461" s="8">
        <f t="shared" si="135"/>
        <v>2192</v>
      </c>
      <c r="I461" s="8">
        <f t="shared" si="136"/>
        <v>2032</v>
      </c>
      <c r="J461" s="8">
        <f t="shared" si="137"/>
        <v>2126</v>
      </c>
      <c r="K461" s="8">
        <f t="shared" si="148"/>
        <v>3000</v>
      </c>
      <c r="L461" s="8">
        <f t="shared" si="149"/>
        <v>3000</v>
      </c>
      <c r="M461" s="8">
        <f t="shared" si="150"/>
        <v>3000</v>
      </c>
      <c r="N461" s="8">
        <f t="shared" si="141"/>
        <v>-808</v>
      </c>
      <c r="O461" s="8">
        <f t="shared" si="142"/>
        <v>-968</v>
      </c>
      <c r="P461" s="8">
        <f t="shared" si="143"/>
        <v>-874</v>
      </c>
      <c r="Q461" s="11">
        <v>2</v>
      </c>
      <c r="R461" s="11">
        <v>3</v>
      </c>
      <c r="S461" s="11">
        <v>5</v>
      </c>
      <c r="T461" s="10">
        <f t="shared" si="138"/>
        <v>198</v>
      </c>
      <c r="U461" s="9">
        <f t="shared" si="144"/>
        <v>3182</v>
      </c>
      <c r="V461" s="9">
        <f t="shared" si="145"/>
        <v>3042</v>
      </c>
      <c r="W461" s="9">
        <f t="shared" si="146"/>
        <v>3166</v>
      </c>
      <c r="X461" s="8"/>
      <c r="Y461" s="8"/>
      <c r="Z461" s="8"/>
      <c r="AA461" s="8"/>
      <c r="AB461" s="8"/>
    </row>
    <row r="462" spans="1:28" ht="13.15" customHeight="1">
      <c r="A462" s="13">
        <f t="shared" si="147"/>
        <v>448</v>
      </c>
      <c r="B462" s="14">
        <f t="shared" si="139"/>
        <v>45699</v>
      </c>
      <c r="C462" s="13">
        <f t="shared" si="140"/>
        <v>1069</v>
      </c>
      <c r="D462" s="12">
        <f t="shared" si="151"/>
        <v>2173</v>
      </c>
      <c r="E462" s="11">
        <f t="shared" ref="E462:E510" si="152">C462+D462-H462</f>
        <v>1053</v>
      </c>
      <c r="F462" s="11">
        <f t="shared" ref="F462:F510" si="153">C462+D462-I462</f>
        <v>1212</v>
      </c>
      <c r="G462" s="11">
        <f t="shared" ref="G462:G510" si="154">D462+C462-J462</f>
        <v>1121</v>
      </c>
      <c r="H462" s="8">
        <f t="shared" ref="H462:H510" si="155">K462+N462</f>
        <v>2189</v>
      </c>
      <c r="I462" s="8">
        <f t="shared" ref="I462:I510" si="156">L462+O462</f>
        <v>2030</v>
      </c>
      <c r="J462" s="8">
        <f t="shared" ref="J462:J510" si="157">M462+P462</f>
        <v>2121</v>
      </c>
      <c r="K462" s="8">
        <f t="shared" si="148"/>
        <v>3000</v>
      </c>
      <c r="L462" s="8">
        <f t="shared" si="149"/>
        <v>3000</v>
      </c>
      <c r="M462" s="8">
        <f t="shared" si="150"/>
        <v>3000</v>
      </c>
      <c r="N462" s="8">
        <f t="shared" si="141"/>
        <v>-811</v>
      </c>
      <c r="O462" s="8">
        <f t="shared" si="142"/>
        <v>-970</v>
      </c>
      <c r="P462" s="8">
        <f t="shared" si="143"/>
        <v>-879</v>
      </c>
      <c r="Q462" s="11">
        <v>3</v>
      </c>
      <c r="R462" s="11">
        <v>2</v>
      </c>
      <c r="S462" s="11">
        <v>5</v>
      </c>
      <c r="T462" s="10">
        <f t="shared" ref="T462:T510" si="158">D462+C462-V462</f>
        <v>202</v>
      </c>
      <c r="U462" s="9">
        <f t="shared" si="144"/>
        <v>3179</v>
      </c>
      <c r="V462" s="9">
        <f t="shared" si="145"/>
        <v>3040</v>
      </c>
      <c r="W462" s="9">
        <f t="shared" si="146"/>
        <v>3161</v>
      </c>
      <c r="X462" s="8"/>
      <c r="Y462" s="8"/>
      <c r="Z462" s="8"/>
      <c r="AA462" s="8"/>
      <c r="AB462" s="8"/>
    </row>
    <row r="463" spans="1:28" ht="13.15" customHeight="1">
      <c r="A463" s="13">
        <f t="shared" si="147"/>
        <v>449</v>
      </c>
      <c r="B463" s="14">
        <f t="shared" ref="B463:B510" si="159">B462+1</f>
        <v>45700</v>
      </c>
      <c r="C463" s="13">
        <f t="shared" ref="C463:C510" si="160">C462</f>
        <v>1069</v>
      </c>
      <c r="D463" s="12">
        <f t="shared" si="151"/>
        <v>2175</v>
      </c>
      <c r="E463" s="11">
        <f t="shared" si="152"/>
        <v>1057</v>
      </c>
      <c r="F463" s="11">
        <f t="shared" si="153"/>
        <v>1218</v>
      </c>
      <c r="G463" s="11">
        <f t="shared" si="154"/>
        <v>1128</v>
      </c>
      <c r="H463" s="8">
        <f t="shared" si="155"/>
        <v>2187</v>
      </c>
      <c r="I463" s="8">
        <f t="shared" si="156"/>
        <v>2026</v>
      </c>
      <c r="J463" s="8">
        <f t="shared" si="157"/>
        <v>2116</v>
      </c>
      <c r="K463" s="8">
        <f t="shared" si="148"/>
        <v>3000</v>
      </c>
      <c r="L463" s="8">
        <f t="shared" si="149"/>
        <v>3000</v>
      </c>
      <c r="M463" s="8">
        <f t="shared" si="150"/>
        <v>3000</v>
      </c>
      <c r="N463" s="8">
        <f t="shared" ref="N463:N510" si="161">N462-Q463</f>
        <v>-813</v>
      </c>
      <c r="O463" s="8">
        <f t="shared" ref="O463:O510" si="162">O462-R463</f>
        <v>-974</v>
      </c>
      <c r="P463" s="8">
        <f t="shared" ref="P463:P510" si="163">P462-S463</f>
        <v>-884</v>
      </c>
      <c r="Q463" s="11">
        <v>2</v>
      </c>
      <c r="R463" s="11">
        <v>4</v>
      </c>
      <c r="S463" s="11">
        <v>5</v>
      </c>
      <c r="T463" s="10">
        <f t="shared" si="158"/>
        <v>208</v>
      </c>
      <c r="U463" s="9">
        <f t="shared" si="144"/>
        <v>3177</v>
      </c>
      <c r="V463" s="9">
        <f t="shared" si="145"/>
        <v>3036</v>
      </c>
      <c r="W463" s="9">
        <f t="shared" si="146"/>
        <v>3156</v>
      </c>
      <c r="X463" s="8"/>
      <c r="Y463" s="8"/>
      <c r="Z463" s="8"/>
      <c r="AA463" s="8"/>
      <c r="AB463" s="8"/>
    </row>
    <row r="464" spans="1:28" ht="13.15" customHeight="1">
      <c r="A464" s="13">
        <f t="shared" si="147"/>
        <v>450</v>
      </c>
      <c r="B464" s="14">
        <f t="shared" si="159"/>
        <v>45701</v>
      </c>
      <c r="C464" s="13">
        <f t="shared" si="160"/>
        <v>1069</v>
      </c>
      <c r="D464" s="12">
        <f t="shared" si="151"/>
        <v>2177</v>
      </c>
      <c r="E464" s="11">
        <f t="shared" si="152"/>
        <v>1060</v>
      </c>
      <c r="F464" s="11">
        <f t="shared" si="153"/>
        <v>1223</v>
      </c>
      <c r="G464" s="11">
        <f t="shared" si="154"/>
        <v>1135</v>
      </c>
      <c r="H464" s="8">
        <f t="shared" si="155"/>
        <v>2186</v>
      </c>
      <c r="I464" s="8">
        <f t="shared" si="156"/>
        <v>2023</v>
      </c>
      <c r="J464" s="8">
        <f t="shared" si="157"/>
        <v>2111</v>
      </c>
      <c r="K464" s="8">
        <f t="shared" si="148"/>
        <v>3000</v>
      </c>
      <c r="L464" s="8">
        <f t="shared" si="149"/>
        <v>3000</v>
      </c>
      <c r="M464" s="8">
        <f t="shared" si="150"/>
        <v>3000</v>
      </c>
      <c r="N464" s="8">
        <f t="shared" si="161"/>
        <v>-814</v>
      </c>
      <c r="O464" s="8">
        <f t="shared" si="162"/>
        <v>-977</v>
      </c>
      <c r="P464" s="8">
        <f t="shared" si="163"/>
        <v>-889</v>
      </c>
      <c r="Q464" s="11">
        <v>1</v>
      </c>
      <c r="R464" s="11">
        <v>3</v>
      </c>
      <c r="S464" s="11">
        <v>5</v>
      </c>
      <c r="T464" s="10">
        <f t="shared" si="158"/>
        <v>213</v>
      </c>
      <c r="U464" s="9">
        <f t="shared" si="144"/>
        <v>3176</v>
      </c>
      <c r="V464" s="9">
        <f t="shared" si="145"/>
        <v>3033</v>
      </c>
      <c r="W464" s="9">
        <f t="shared" si="146"/>
        <v>3151</v>
      </c>
      <c r="X464" s="8"/>
      <c r="Y464" s="8"/>
      <c r="Z464" s="8"/>
      <c r="AA464" s="8"/>
      <c r="AB464" s="8"/>
    </row>
    <row r="465" spans="1:28" ht="13.15" customHeight="1">
      <c r="A465" s="13">
        <f t="shared" si="147"/>
        <v>451</v>
      </c>
      <c r="B465" s="14">
        <f t="shared" si="159"/>
        <v>45702</v>
      </c>
      <c r="C465" s="13">
        <f t="shared" si="160"/>
        <v>1069</v>
      </c>
      <c r="D465" s="12">
        <f t="shared" si="151"/>
        <v>2179</v>
      </c>
      <c r="E465" s="11">
        <f t="shared" si="152"/>
        <v>1064</v>
      </c>
      <c r="F465" s="11">
        <f t="shared" si="153"/>
        <v>1232</v>
      </c>
      <c r="G465" s="11">
        <f t="shared" si="154"/>
        <v>1141</v>
      </c>
      <c r="H465" s="8">
        <f t="shared" si="155"/>
        <v>2184</v>
      </c>
      <c r="I465" s="8">
        <f t="shared" si="156"/>
        <v>2016</v>
      </c>
      <c r="J465" s="8">
        <f t="shared" si="157"/>
        <v>2107</v>
      </c>
      <c r="K465" s="8">
        <f t="shared" si="148"/>
        <v>3000</v>
      </c>
      <c r="L465" s="8">
        <f t="shared" si="149"/>
        <v>3000</v>
      </c>
      <c r="M465" s="8">
        <f t="shared" si="150"/>
        <v>3000</v>
      </c>
      <c r="N465" s="8">
        <f t="shared" si="161"/>
        <v>-816</v>
      </c>
      <c r="O465" s="8">
        <f t="shared" si="162"/>
        <v>-984</v>
      </c>
      <c r="P465" s="8">
        <f t="shared" si="163"/>
        <v>-893</v>
      </c>
      <c r="Q465" s="11">
        <v>2</v>
      </c>
      <c r="R465" s="11">
        <v>7</v>
      </c>
      <c r="S465" s="11">
        <v>4</v>
      </c>
      <c r="T465" s="10">
        <f t="shared" si="158"/>
        <v>222</v>
      </c>
      <c r="U465" s="9">
        <f t="shared" si="144"/>
        <v>3174</v>
      </c>
      <c r="V465" s="9">
        <f t="shared" si="145"/>
        <v>3026</v>
      </c>
      <c r="W465" s="9">
        <f t="shared" si="146"/>
        <v>3147</v>
      </c>
      <c r="X465" s="8"/>
      <c r="Y465" s="8"/>
      <c r="Z465" s="8"/>
      <c r="AA465" s="8"/>
      <c r="AB465" s="8"/>
    </row>
    <row r="466" spans="1:28" ht="13.15" customHeight="1">
      <c r="A466" s="13">
        <f t="shared" si="147"/>
        <v>452</v>
      </c>
      <c r="B466" s="14">
        <f t="shared" si="159"/>
        <v>45703</v>
      </c>
      <c r="C466" s="13">
        <f t="shared" si="160"/>
        <v>1069</v>
      </c>
      <c r="D466" s="12">
        <f t="shared" si="151"/>
        <v>2181</v>
      </c>
      <c r="E466" s="11">
        <f t="shared" si="152"/>
        <v>1068</v>
      </c>
      <c r="F466" s="11">
        <f t="shared" si="153"/>
        <v>1239</v>
      </c>
      <c r="G466" s="11">
        <f t="shared" si="154"/>
        <v>1146</v>
      </c>
      <c r="H466" s="8">
        <f t="shared" si="155"/>
        <v>2182</v>
      </c>
      <c r="I466" s="8">
        <f t="shared" si="156"/>
        <v>2011</v>
      </c>
      <c r="J466" s="8">
        <f t="shared" si="157"/>
        <v>2104</v>
      </c>
      <c r="K466" s="8">
        <f t="shared" si="148"/>
        <v>3000</v>
      </c>
      <c r="L466" s="8">
        <f t="shared" si="149"/>
        <v>3000</v>
      </c>
      <c r="M466" s="8">
        <f t="shared" si="150"/>
        <v>3000</v>
      </c>
      <c r="N466" s="8">
        <f t="shared" si="161"/>
        <v>-818</v>
      </c>
      <c r="O466" s="8">
        <f t="shared" si="162"/>
        <v>-989</v>
      </c>
      <c r="P466" s="8">
        <f t="shared" si="163"/>
        <v>-896</v>
      </c>
      <c r="Q466" s="11">
        <v>2</v>
      </c>
      <c r="R466" s="11">
        <v>5</v>
      </c>
      <c r="S466" s="11">
        <v>3</v>
      </c>
      <c r="T466" s="10">
        <f t="shared" si="158"/>
        <v>229</v>
      </c>
      <c r="U466" s="9">
        <f t="shared" si="144"/>
        <v>3172</v>
      </c>
      <c r="V466" s="9">
        <f t="shared" si="145"/>
        <v>3021</v>
      </c>
      <c r="W466" s="9">
        <f t="shared" si="146"/>
        <v>3144</v>
      </c>
      <c r="X466" s="8"/>
      <c r="Y466" s="8"/>
      <c r="Z466" s="8"/>
      <c r="AA466" s="8"/>
      <c r="AB466" s="8"/>
    </row>
    <row r="467" spans="1:28" ht="13.15" customHeight="1">
      <c r="A467" s="13">
        <f t="shared" si="147"/>
        <v>453</v>
      </c>
      <c r="B467" s="14">
        <f t="shared" si="159"/>
        <v>45704</v>
      </c>
      <c r="C467" s="13">
        <f t="shared" si="160"/>
        <v>1069</v>
      </c>
      <c r="D467" s="12">
        <f t="shared" si="151"/>
        <v>2183</v>
      </c>
      <c r="E467" s="11">
        <f t="shared" si="152"/>
        <v>1072</v>
      </c>
      <c r="F467" s="11">
        <f t="shared" si="153"/>
        <v>1246</v>
      </c>
      <c r="G467" s="11">
        <f t="shared" si="154"/>
        <v>1150</v>
      </c>
      <c r="H467" s="8">
        <f t="shared" si="155"/>
        <v>2180</v>
      </c>
      <c r="I467" s="8">
        <f t="shared" si="156"/>
        <v>2006</v>
      </c>
      <c r="J467" s="8">
        <f t="shared" si="157"/>
        <v>2102</v>
      </c>
      <c r="K467" s="8">
        <f t="shared" si="148"/>
        <v>3000</v>
      </c>
      <c r="L467" s="8">
        <f t="shared" si="149"/>
        <v>3000</v>
      </c>
      <c r="M467" s="8">
        <f t="shared" si="150"/>
        <v>3000</v>
      </c>
      <c r="N467" s="8">
        <f t="shared" si="161"/>
        <v>-820</v>
      </c>
      <c r="O467" s="8">
        <f t="shared" si="162"/>
        <v>-994</v>
      </c>
      <c r="P467" s="8">
        <f t="shared" si="163"/>
        <v>-898</v>
      </c>
      <c r="Q467" s="11">
        <v>2</v>
      </c>
      <c r="R467" s="11">
        <v>5</v>
      </c>
      <c r="S467" s="11">
        <v>2</v>
      </c>
      <c r="T467" s="10">
        <f t="shared" si="158"/>
        <v>236</v>
      </c>
      <c r="U467" s="9">
        <f t="shared" si="144"/>
        <v>3170</v>
      </c>
      <c r="V467" s="9">
        <f t="shared" si="145"/>
        <v>3016</v>
      </c>
      <c r="W467" s="9">
        <f t="shared" si="146"/>
        <v>3142</v>
      </c>
      <c r="X467" s="8"/>
      <c r="Y467" s="8"/>
      <c r="Z467" s="8"/>
      <c r="AA467" s="8"/>
      <c r="AB467" s="8"/>
    </row>
    <row r="468" spans="1:28" ht="13.15" customHeight="1">
      <c r="A468" s="13">
        <f t="shared" si="147"/>
        <v>454</v>
      </c>
      <c r="B468" s="14">
        <f t="shared" si="159"/>
        <v>45705</v>
      </c>
      <c r="C468" s="13">
        <f t="shared" si="160"/>
        <v>1069</v>
      </c>
      <c r="D468" s="12">
        <f t="shared" si="151"/>
        <v>2185</v>
      </c>
      <c r="E468" s="11">
        <f t="shared" si="152"/>
        <v>1076</v>
      </c>
      <c r="F468" s="11">
        <f t="shared" si="153"/>
        <v>1252</v>
      </c>
      <c r="G468" s="11">
        <f t="shared" si="154"/>
        <v>1156</v>
      </c>
      <c r="H468" s="8">
        <f t="shared" si="155"/>
        <v>2178</v>
      </c>
      <c r="I468" s="8">
        <f t="shared" si="156"/>
        <v>2002</v>
      </c>
      <c r="J468" s="8">
        <f t="shared" si="157"/>
        <v>2098</v>
      </c>
      <c r="K468" s="8">
        <f t="shared" si="148"/>
        <v>3000</v>
      </c>
      <c r="L468" s="8">
        <f t="shared" si="149"/>
        <v>3000</v>
      </c>
      <c r="M468" s="8">
        <f t="shared" si="150"/>
        <v>3000</v>
      </c>
      <c r="N468" s="8">
        <f t="shared" si="161"/>
        <v>-822</v>
      </c>
      <c r="O468" s="8">
        <f t="shared" si="162"/>
        <v>-998</v>
      </c>
      <c r="P468" s="8">
        <f t="shared" si="163"/>
        <v>-902</v>
      </c>
      <c r="Q468" s="11">
        <v>2</v>
      </c>
      <c r="R468" s="11">
        <v>4</v>
      </c>
      <c r="S468" s="11">
        <v>4</v>
      </c>
      <c r="T468" s="10">
        <f t="shared" si="158"/>
        <v>242</v>
      </c>
      <c r="U468" s="9">
        <f t="shared" si="144"/>
        <v>3168</v>
      </c>
      <c r="V468" s="9">
        <f t="shared" si="145"/>
        <v>3012</v>
      </c>
      <c r="W468" s="9">
        <f t="shared" si="146"/>
        <v>3138</v>
      </c>
      <c r="X468" s="8"/>
      <c r="Y468" s="8"/>
      <c r="Z468" s="8"/>
      <c r="AA468" s="8"/>
      <c r="AB468" s="8"/>
    </row>
    <row r="469" spans="1:28" ht="13.15" customHeight="1">
      <c r="A469" s="13">
        <f t="shared" si="147"/>
        <v>455</v>
      </c>
      <c r="B469" s="14">
        <f t="shared" si="159"/>
        <v>45706</v>
      </c>
      <c r="C469" s="13">
        <f t="shared" si="160"/>
        <v>1069</v>
      </c>
      <c r="D469" s="12">
        <f t="shared" si="151"/>
        <v>2187</v>
      </c>
      <c r="E469" s="11">
        <f t="shared" si="152"/>
        <v>1080</v>
      </c>
      <c r="F469" s="11">
        <f t="shared" si="153"/>
        <v>1257</v>
      </c>
      <c r="G469" s="11">
        <f t="shared" si="154"/>
        <v>1161</v>
      </c>
      <c r="H469" s="8">
        <f t="shared" si="155"/>
        <v>2176</v>
      </c>
      <c r="I469" s="8">
        <f t="shared" si="156"/>
        <v>1999</v>
      </c>
      <c r="J469" s="8">
        <f t="shared" si="157"/>
        <v>2095</v>
      </c>
      <c r="K469" s="8">
        <f t="shared" si="148"/>
        <v>3000</v>
      </c>
      <c r="L469" s="8">
        <f t="shared" si="149"/>
        <v>3000</v>
      </c>
      <c r="M469" s="8">
        <f t="shared" si="150"/>
        <v>3000</v>
      </c>
      <c r="N469" s="8">
        <f t="shared" si="161"/>
        <v>-824</v>
      </c>
      <c r="O469" s="8">
        <f t="shared" si="162"/>
        <v>-1001</v>
      </c>
      <c r="P469" s="8">
        <f t="shared" si="163"/>
        <v>-905</v>
      </c>
      <c r="Q469" s="11">
        <v>2</v>
      </c>
      <c r="R469" s="11">
        <v>3</v>
      </c>
      <c r="S469" s="11">
        <v>3</v>
      </c>
      <c r="T469" s="10">
        <f t="shared" si="158"/>
        <v>247</v>
      </c>
      <c r="U469" s="9">
        <f t="shared" si="144"/>
        <v>3166</v>
      </c>
      <c r="V469" s="9">
        <f t="shared" si="145"/>
        <v>3009</v>
      </c>
      <c r="W469" s="9">
        <f t="shared" si="146"/>
        <v>3135</v>
      </c>
      <c r="X469" s="8"/>
      <c r="Y469" s="8"/>
      <c r="Z469" s="8"/>
      <c r="AA469" s="8"/>
      <c r="AB469" s="8"/>
    </row>
    <row r="470" spans="1:28" ht="13.15" customHeight="1">
      <c r="A470" s="13">
        <f t="shared" si="147"/>
        <v>456</v>
      </c>
      <c r="B470" s="14">
        <f t="shared" si="159"/>
        <v>45707</v>
      </c>
      <c r="C470" s="13">
        <f t="shared" si="160"/>
        <v>1069</v>
      </c>
      <c r="D470" s="12">
        <f t="shared" si="151"/>
        <v>2189</v>
      </c>
      <c r="E470" s="11">
        <f t="shared" si="152"/>
        <v>1084</v>
      </c>
      <c r="F470" s="11">
        <f t="shared" si="153"/>
        <v>1261</v>
      </c>
      <c r="G470" s="11">
        <f t="shared" si="154"/>
        <v>1170</v>
      </c>
      <c r="H470" s="8">
        <f t="shared" si="155"/>
        <v>2174</v>
      </c>
      <c r="I470" s="8">
        <f t="shared" si="156"/>
        <v>1997</v>
      </c>
      <c r="J470" s="8">
        <f t="shared" si="157"/>
        <v>2088</v>
      </c>
      <c r="K470" s="8">
        <f t="shared" si="148"/>
        <v>3000</v>
      </c>
      <c r="L470" s="8">
        <f t="shared" si="149"/>
        <v>3000</v>
      </c>
      <c r="M470" s="8">
        <f t="shared" si="150"/>
        <v>3000</v>
      </c>
      <c r="N470" s="8">
        <f t="shared" si="161"/>
        <v>-826</v>
      </c>
      <c r="O470" s="8">
        <f t="shared" si="162"/>
        <v>-1003</v>
      </c>
      <c r="P470" s="8">
        <f t="shared" si="163"/>
        <v>-912</v>
      </c>
      <c r="Q470" s="11">
        <v>2</v>
      </c>
      <c r="R470" s="11">
        <v>2</v>
      </c>
      <c r="S470" s="11">
        <v>7</v>
      </c>
      <c r="T470" s="10">
        <f t="shared" si="158"/>
        <v>251</v>
      </c>
      <c r="U470" s="9">
        <f t="shared" si="144"/>
        <v>3164</v>
      </c>
      <c r="V470" s="9">
        <f t="shared" si="145"/>
        <v>3007</v>
      </c>
      <c r="W470" s="9">
        <f t="shared" si="146"/>
        <v>3128</v>
      </c>
      <c r="X470" s="8"/>
      <c r="Y470" s="8"/>
      <c r="Z470" s="8"/>
      <c r="AA470" s="8"/>
      <c r="AB470" s="8"/>
    </row>
    <row r="471" spans="1:28" ht="13.15" customHeight="1">
      <c r="A471" s="13">
        <f t="shared" si="147"/>
        <v>457</v>
      </c>
      <c r="B471" s="14">
        <f t="shared" si="159"/>
        <v>45708</v>
      </c>
      <c r="C471" s="13">
        <f t="shared" si="160"/>
        <v>1069</v>
      </c>
      <c r="D471" s="12">
        <f t="shared" si="151"/>
        <v>2191</v>
      </c>
      <c r="E471" s="11">
        <f t="shared" si="152"/>
        <v>1089</v>
      </c>
      <c r="F471" s="11">
        <f t="shared" si="153"/>
        <v>1264</v>
      </c>
      <c r="G471" s="11">
        <f t="shared" si="154"/>
        <v>1177</v>
      </c>
      <c r="H471" s="8">
        <f t="shared" si="155"/>
        <v>2171</v>
      </c>
      <c r="I471" s="8">
        <f t="shared" si="156"/>
        <v>1996</v>
      </c>
      <c r="J471" s="8">
        <f t="shared" si="157"/>
        <v>2083</v>
      </c>
      <c r="K471" s="8">
        <f t="shared" si="148"/>
        <v>3000</v>
      </c>
      <c r="L471" s="8">
        <f t="shared" si="149"/>
        <v>3000</v>
      </c>
      <c r="M471" s="8">
        <f t="shared" si="150"/>
        <v>3000</v>
      </c>
      <c r="N471" s="8">
        <f t="shared" si="161"/>
        <v>-829</v>
      </c>
      <c r="O471" s="8">
        <f t="shared" si="162"/>
        <v>-1004</v>
      </c>
      <c r="P471" s="8">
        <f t="shared" si="163"/>
        <v>-917</v>
      </c>
      <c r="Q471" s="11">
        <v>3</v>
      </c>
      <c r="R471" s="11">
        <v>1</v>
      </c>
      <c r="S471" s="11">
        <v>5</v>
      </c>
      <c r="T471" s="10">
        <f t="shared" si="158"/>
        <v>254</v>
      </c>
      <c r="U471" s="9">
        <f t="shared" si="144"/>
        <v>3161</v>
      </c>
      <c r="V471" s="9">
        <f t="shared" si="145"/>
        <v>3006</v>
      </c>
      <c r="W471" s="9">
        <f t="shared" si="146"/>
        <v>3123</v>
      </c>
      <c r="X471" s="8"/>
      <c r="Y471" s="8"/>
      <c r="Z471" s="8"/>
      <c r="AA471" s="8"/>
      <c r="AB471" s="8"/>
    </row>
    <row r="472" spans="1:28" ht="13.15" customHeight="1">
      <c r="A472" s="13">
        <f t="shared" si="147"/>
        <v>458</v>
      </c>
      <c r="B472" s="14">
        <f t="shared" si="159"/>
        <v>45709</v>
      </c>
      <c r="C472" s="13">
        <f t="shared" si="160"/>
        <v>1069</v>
      </c>
      <c r="D472" s="12">
        <f t="shared" si="151"/>
        <v>2193</v>
      </c>
      <c r="E472" s="11">
        <f t="shared" si="152"/>
        <v>1093</v>
      </c>
      <c r="F472" s="11">
        <f t="shared" si="153"/>
        <v>1268</v>
      </c>
      <c r="G472" s="11">
        <f t="shared" si="154"/>
        <v>1184</v>
      </c>
      <c r="H472" s="8">
        <f t="shared" si="155"/>
        <v>2169</v>
      </c>
      <c r="I472" s="8">
        <f t="shared" si="156"/>
        <v>1994</v>
      </c>
      <c r="J472" s="8">
        <f t="shared" si="157"/>
        <v>2078</v>
      </c>
      <c r="K472" s="8">
        <f t="shared" si="148"/>
        <v>3000</v>
      </c>
      <c r="L472" s="8">
        <f t="shared" si="149"/>
        <v>3000</v>
      </c>
      <c r="M472" s="8">
        <f t="shared" si="150"/>
        <v>3000</v>
      </c>
      <c r="N472" s="8">
        <f t="shared" si="161"/>
        <v>-831</v>
      </c>
      <c r="O472" s="8">
        <f t="shared" si="162"/>
        <v>-1006</v>
      </c>
      <c r="P472" s="8">
        <f t="shared" si="163"/>
        <v>-922</v>
      </c>
      <c r="Q472" s="11">
        <v>2</v>
      </c>
      <c r="R472" s="11">
        <v>2</v>
      </c>
      <c r="S472" s="11">
        <v>5</v>
      </c>
      <c r="T472" s="10">
        <f t="shared" si="158"/>
        <v>258</v>
      </c>
      <c r="U472" s="9">
        <f t="shared" si="144"/>
        <v>3159</v>
      </c>
      <c r="V472" s="9">
        <f t="shared" si="145"/>
        <v>3004</v>
      </c>
      <c r="W472" s="9">
        <f t="shared" si="146"/>
        <v>3118</v>
      </c>
      <c r="X472" s="8"/>
      <c r="Y472" s="8"/>
      <c r="Z472" s="8"/>
      <c r="AA472" s="8"/>
      <c r="AB472" s="8"/>
    </row>
    <row r="473" spans="1:28" ht="13.15" customHeight="1">
      <c r="A473" s="13">
        <f t="shared" si="147"/>
        <v>459</v>
      </c>
      <c r="B473" s="14">
        <f t="shared" si="159"/>
        <v>45710</v>
      </c>
      <c r="C473" s="13">
        <f t="shared" si="160"/>
        <v>1069</v>
      </c>
      <c r="D473" s="12">
        <f t="shared" si="151"/>
        <v>2195</v>
      </c>
      <c r="E473" s="11">
        <f t="shared" si="152"/>
        <v>1098</v>
      </c>
      <c r="F473" s="11">
        <f t="shared" si="153"/>
        <v>1272</v>
      </c>
      <c r="G473" s="11">
        <f t="shared" si="154"/>
        <v>1190</v>
      </c>
      <c r="H473" s="8">
        <f t="shared" si="155"/>
        <v>2166</v>
      </c>
      <c r="I473" s="8">
        <f t="shared" si="156"/>
        <v>1992</v>
      </c>
      <c r="J473" s="8">
        <f t="shared" si="157"/>
        <v>2074</v>
      </c>
      <c r="K473" s="8">
        <f t="shared" si="148"/>
        <v>3000</v>
      </c>
      <c r="L473" s="8">
        <f t="shared" si="149"/>
        <v>3000</v>
      </c>
      <c r="M473" s="8">
        <f t="shared" si="150"/>
        <v>3000</v>
      </c>
      <c r="N473" s="8">
        <f t="shared" si="161"/>
        <v>-834</v>
      </c>
      <c r="O473" s="8">
        <f t="shared" si="162"/>
        <v>-1008</v>
      </c>
      <c r="P473" s="8">
        <f t="shared" si="163"/>
        <v>-926</v>
      </c>
      <c r="Q473" s="11">
        <v>3</v>
      </c>
      <c r="R473" s="11">
        <v>2</v>
      </c>
      <c r="S473" s="11">
        <v>4</v>
      </c>
      <c r="T473" s="10">
        <f t="shared" si="158"/>
        <v>262</v>
      </c>
      <c r="U473" s="9">
        <f t="shared" si="144"/>
        <v>3156</v>
      </c>
      <c r="V473" s="9">
        <f t="shared" si="145"/>
        <v>3002</v>
      </c>
      <c r="W473" s="9">
        <f t="shared" si="146"/>
        <v>3114</v>
      </c>
      <c r="X473" s="8"/>
      <c r="Y473" s="8"/>
      <c r="Z473" s="8"/>
      <c r="AA473" s="8"/>
      <c r="AB473" s="8"/>
    </row>
    <row r="474" spans="1:28" ht="13.15" customHeight="1">
      <c r="A474" s="13">
        <f t="shared" si="147"/>
        <v>460</v>
      </c>
      <c r="B474" s="14">
        <f t="shared" si="159"/>
        <v>45711</v>
      </c>
      <c r="C474" s="13">
        <f t="shared" si="160"/>
        <v>1069</v>
      </c>
      <c r="D474" s="12">
        <f t="shared" si="151"/>
        <v>2197</v>
      </c>
      <c r="E474" s="11">
        <f t="shared" si="152"/>
        <v>1102</v>
      </c>
      <c r="F474" s="11">
        <f t="shared" si="153"/>
        <v>1276</v>
      </c>
      <c r="G474" s="11">
        <f t="shared" si="154"/>
        <v>1195</v>
      </c>
      <c r="H474" s="8">
        <f t="shared" si="155"/>
        <v>2164</v>
      </c>
      <c r="I474" s="8">
        <f t="shared" si="156"/>
        <v>1990</v>
      </c>
      <c r="J474" s="8">
        <f t="shared" si="157"/>
        <v>2071</v>
      </c>
      <c r="K474" s="8">
        <f t="shared" si="148"/>
        <v>3000</v>
      </c>
      <c r="L474" s="8">
        <f t="shared" si="149"/>
        <v>3000</v>
      </c>
      <c r="M474" s="8">
        <f t="shared" si="150"/>
        <v>3000</v>
      </c>
      <c r="N474" s="8">
        <f t="shared" si="161"/>
        <v>-836</v>
      </c>
      <c r="O474" s="8">
        <f t="shared" si="162"/>
        <v>-1010</v>
      </c>
      <c r="P474" s="8">
        <f t="shared" si="163"/>
        <v>-929</v>
      </c>
      <c r="Q474" s="11">
        <v>2</v>
      </c>
      <c r="R474" s="11">
        <v>2</v>
      </c>
      <c r="S474" s="11">
        <v>3</v>
      </c>
      <c r="T474" s="10">
        <f t="shared" si="158"/>
        <v>266</v>
      </c>
      <c r="U474" s="9">
        <f t="shared" si="144"/>
        <v>3154</v>
      </c>
      <c r="V474" s="9">
        <f t="shared" si="145"/>
        <v>3000</v>
      </c>
      <c r="W474" s="9">
        <f t="shared" si="146"/>
        <v>3111</v>
      </c>
      <c r="X474" s="8"/>
      <c r="Y474" s="8"/>
      <c r="Z474" s="8"/>
      <c r="AA474" s="8"/>
      <c r="AB474" s="8"/>
    </row>
    <row r="475" spans="1:28" ht="13.15" customHeight="1">
      <c r="A475" s="13">
        <f t="shared" si="147"/>
        <v>461</v>
      </c>
      <c r="B475" s="14">
        <f t="shared" si="159"/>
        <v>45712</v>
      </c>
      <c r="C475" s="13">
        <f t="shared" si="160"/>
        <v>1069</v>
      </c>
      <c r="D475" s="12">
        <f t="shared" si="151"/>
        <v>2199</v>
      </c>
      <c r="E475" s="11">
        <f t="shared" si="152"/>
        <v>1105</v>
      </c>
      <c r="F475" s="11">
        <f t="shared" si="153"/>
        <v>1280</v>
      </c>
      <c r="G475" s="11">
        <f t="shared" si="154"/>
        <v>1201</v>
      </c>
      <c r="H475" s="8">
        <f t="shared" si="155"/>
        <v>2163</v>
      </c>
      <c r="I475" s="8">
        <f t="shared" si="156"/>
        <v>1988</v>
      </c>
      <c r="J475" s="8">
        <f t="shared" si="157"/>
        <v>2067</v>
      </c>
      <c r="K475" s="8">
        <f t="shared" si="148"/>
        <v>3000</v>
      </c>
      <c r="L475" s="8">
        <f t="shared" si="149"/>
        <v>3000</v>
      </c>
      <c r="M475" s="8">
        <f t="shared" si="150"/>
        <v>3000</v>
      </c>
      <c r="N475" s="8">
        <f t="shared" si="161"/>
        <v>-837</v>
      </c>
      <c r="O475" s="8">
        <f t="shared" si="162"/>
        <v>-1012</v>
      </c>
      <c r="P475" s="8">
        <f t="shared" si="163"/>
        <v>-933</v>
      </c>
      <c r="Q475" s="11">
        <v>1</v>
      </c>
      <c r="R475" s="11">
        <v>2</v>
      </c>
      <c r="S475" s="11">
        <v>4</v>
      </c>
      <c r="T475" s="10">
        <f t="shared" si="158"/>
        <v>270</v>
      </c>
      <c r="U475" s="9">
        <f t="shared" si="144"/>
        <v>3153</v>
      </c>
      <c r="V475" s="9">
        <f t="shared" si="145"/>
        <v>2998</v>
      </c>
      <c r="W475" s="9">
        <f t="shared" si="146"/>
        <v>3107</v>
      </c>
      <c r="X475" s="8"/>
      <c r="Y475" s="8"/>
      <c r="Z475" s="8"/>
      <c r="AA475" s="8"/>
      <c r="AB475" s="8"/>
    </row>
    <row r="476" spans="1:28" ht="13.15" customHeight="1">
      <c r="A476" s="13">
        <f t="shared" si="147"/>
        <v>462</v>
      </c>
      <c r="B476" s="14">
        <f t="shared" si="159"/>
        <v>45713</v>
      </c>
      <c r="C476" s="13">
        <f t="shared" si="160"/>
        <v>1069</v>
      </c>
      <c r="D476" s="12">
        <f t="shared" si="151"/>
        <v>2201</v>
      </c>
      <c r="E476" s="11">
        <f t="shared" si="152"/>
        <v>1109</v>
      </c>
      <c r="F476" s="11">
        <f t="shared" si="153"/>
        <v>1285</v>
      </c>
      <c r="G476" s="11">
        <f t="shared" si="154"/>
        <v>1210</v>
      </c>
      <c r="H476" s="8">
        <f t="shared" si="155"/>
        <v>2161</v>
      </c>
      <c r="I476" s="8">
        <f t="shared" si="156"/>
        <v>1985</v>
      </c>
      <c r="J476" s="8">
        <f t="shared" si="157"/>
        <v>2060</v>
      </c>
      <c r="K476" s="8">
        <f t="shared" si="148"/>
        <v>3000</v>
      </c>
      <c r="L476" s="8">
        <f t="shared" si="149"/>
        <v>3000</v>
      </c>
      <c r="M476" s="8">
        <f t="shared" si="150"/>
        <v>3000</v>
      </c>
      <c r="N476" s="8">
        <f t="shared" si="161"/>
        <v>-839</v>
      </c>
      <c r="O476" s="8">
        <f t="shared" si="162"/>
        <v>-1015</v>
      </c>
      <c r="P476" s="8">
        <f t="shared" si="163"/>
        <v>-940</v>
      </c>
      <c r="Q476" s="11">
        <v>2</v>
      </c>
      <c r="R476" s="11">
        <v>3</v>
      </c>
      <c r="S476" s="11">
        <v>7</v>
      </c>
      <c r="T476" s="10">
        <f t="shared" si="158"/>
        <v>275</v>
      </c>
      <c r="U476" s="9">
        <f t="shared" si="144"/>
        <v>3151</v>
      </c>
      <c r="V476" s="9">
        <f t="shared" si="145"/>
        <v>2995</v>
      </c>
      <c r="W476" s="9">
        <f t="shared" si="146"/>
        <v>3100</v>
      </c>
      <c r="X476" s="8"/>
      <c r="Y476" s="8"/>
      <c r="Z476" s="8"/>
      <c r="AA476" s="8"/>
      <c r="AB476" s="8"/>
    </row>
    <row r="477" spans="1:28" ht="13.15" customHeight="1">
      <c r="A477" s="13">
        <f t="shared" si="147"/>
        <v>463</v>
      </c>
      <c r="B477" s="14">
        <f t="shared" si="159"/>
        <v>45714</v>
      </c>
      <c r="C477" s="13">
        <f t="shared" si="160"/>
        <v>1069</v>
      </c>
      <c r="D477" s="12">
        <f t="shared" si="151"/>
        <v>2203</v>
      </c>
      <c r="E477" s="11">
        <f t="shared" si="152"/>
        <v>1113</v>
      </c>
      <c r="F477" s="11">
        <f t="shared" si="153"/>
        <v>1289</v>
      </c>
      <c r="G477" s="11">
        <f t="shared" si="154"/>
        <v>1217</v>
      </c>
      <c r="H477" s="8">
        <f t="shared" si="155"/>
        <v>2159</v>
      </c>
      <c r="I477" s="8">
        <f t="shared" si="156"/>
        <v>1983</v>
      </c>
      <c r="J477" s="8">
        <f t="shared" si="157"/>
        <v>2055</v>
      </c>
      <c r="K477" s="8">
        <f t="shared" si="148"/>
        <v>3000</v>
      </c>
      <c r="L477" s="8">
        <f t="shared" si="149"/>
        <v>3000</v>
      </c>
      <c r="M477" s="8">
        <f t="shared" si="150"/>
        <v>3000</v>
      </c>
      <c r="N477" s="8">
        <f t="shared" si="161"/>
        <v>-841</v>
      </c>
      <c r="O477" s="8">
        <f t="shared" si="162"/>
        <v>-1017</v>
      </c>
      <c r="P477" s="8">
        <f t="shared" si="163"/>
        <v>-945</v>
      </c>
      <c r="Q477" s="11">
        <v>2</v>
      </c>
      <c r="R477" s="11">
        <v>2</v>
      </c>
      <c r="S477" s="11">
        <v>5</v>
      </c>
      <c r="T477" s="10">
        <f t="shared" si="158"/>
        <v>279</v>
      </c>
      <c r="U477" s="9">
        <f t="shared" si="144"/>
        <v>3149</v>
      </c>
      <c r="V477" s="9">
        <f t="shared" si="145"/>
        <v>2993</v>
      </c>
      <c r="W477" s="9">
        <f t="shared" si="146"/>
        <v>3095</v>
      </c>
      <c r="X477" s="8"/>
      <c r="Y477" s="8"/>
      <c r="Z477" s="8"/>
      <c r="AA477" s="8"/>
      <c r="AB477" s="8"/>
    </row>
    <row r="478" spans="1:28" ht="13.15" customHeight="1">
      <c r="A478" s="13">
        <f t="shared" si="147"/>
        <v>464</v>
      </c>
      <c r="B478" s="14">
        <f t="shared" si="159"/>
        <v>45715</v>
      </c>
      <c r="C478" s="13">
        <f t="shared" si="160"/>
        <v>1069</v>
      </c>
      <c r="D478" s="12">
        <f t="shared" si="151"/>
        <v>2205</v>
      </c>
      <c r="E478" s="11">
        <f t="shared" si="152"/>
        <v>1117</v>
      </c>
      <c r="F478" s="11">
        <f t="shared" si="153"/>
        <v>1294</v>
      </c>
      <c r="G478" s="11">
        <f t="shared" si="154"/>
        <v>1224</v>
      </c>
      <c r="H478" s="8">
        <f t="shared" si="155"/>
        <v>2157</v>
      </c>
      <c r="I478" s="8">
        <f t="shared" si="156"/>
        <v>1980</v>
      </c>
      <c r="J478" s="8">
        <f t="shared" si="157"/>
        <v>2050</v>
      </c>
      <c r="K478" s="8">
        <f t="shared" si="148"/>
        <v>3000</v>
      </c>
      <c r="L478" s="8">
        <f t="shared" si="149"/>
        <v>3000</v>
      </c>
      <c r="M478" s="8">
        <f t="shared" si="150"/>
        <v>3000</v>
      </c>
      <c r="N478" s="8">
        <f t="shared" si="161"/>
        <v>-843</v>
      </c>
      <c r="O478" s="8">
        <f t="shared" si="162"/>
        <v>-1020</v>
      </c>
      <c r="P478" s="8">
        <f t="shared" si="163"/>
        <v>-950</v>
      </c>
      <c r="Q478" s="11">
        <v>2</v>
      </c>
      <c r="R478" s="11">
        <v>3</v>
      </c>
      <c r="S478" s="11">
        <v>5</v>
      </c>
      <c r="T478" s="10">
        <f t="shared" si="158"/>
        <v>284</v>
      </c>
      <c r="U478" s="9">
        <f t="shared" si="144"/>
        <v>3147</v>
      </c>
      <c r="V478" s="9">
        <f t="shared" si="145"/>
        <v>2990</v>
      </c>
      <c r="W478" s="9">
        <f t="shared" si="146"/>
        <v>3090</v>
      </c>
      <c r="X478" s="8"/>
      <c r="Y478" s="8"/>
      <c r="Z478" s="8"/>
      <c r="AA478" s="8"/>
      <c r="AB478" s="8"/>
    </row>
    <row r="479" spans="1:28" ht="13.15" customHeight="1">
      <c r="A479" s="13">
        <f t="shared" si="147"/>
        <v>465</v>
      </c>
      <c r="B479" s="14">
        <f t="shared" si="159"/>
        <v>45716</v>
      </c>
      <c r="C479" s="13">
        <f t="shared" si="160"/>
        <v>1069</v>
      </c>
      <c r="D479" s="12">
        <f t="shared" si="151"/>
        <v>2207</v>
      </c>
      <c r="E479" s="11">
        <f t="shared" si="152"/>
        <v>1121</v>
      </c>
      <c r="F479" s="11">
        <f t="shared" si="153"/>
        <v>1298</v>
      </c>
      <c r="G479" s="11">
        <f t="shared" si="154"/>
        <v>1230</v>
      </c>
      <c r="H479" s="8">
        <f t="shared" si="155"/>
        <v>2155</v>
      </c>
      <c r="I479" s="8">
        <f t="shared" si="156"/>
        <v>1978</v>
      </c>
      <c r="J479" s="8">
        <f t="shared" si="157"/>
        <v>2046</v>
      </c>
      <c r="K479" s="8">
        <f t="shared" si="148"/>
        <v>3000</v>
      </c>
      <c r="L479" s="8">
        <f t="shared" si="149"/>
        <v>3000</v>
      </c>
      <c r="M479" s="8">
        <f t="shared" si="150"/>
        <v>3000</v>
      </c>
      <c r="N479" s="8">
        <f t="shared" si="161"/>
        <v>-845</v>
      </c>
      <c r="O479" s="8">
        <f t="shared" si="162"/>
        <v>-1022</v>
      </c>
      <c r="P479" s="8">
        <f t="shared" si="163"/>
        <v>-954</v>
      </c>
      <c r="Q479" s="11">
        <v>2</v>
      </c>
      <c r="R479" s="11">
        <v>2</v>
      </c>
      <c r="S479" s="11">
        <v>4</v>
      </c>
      <c r="T479" s="10">
        <f t="shared" si="158"/>
        <v>288</v>
      </c>
      <c r="U479" s="9">
        <f t="shared" si="144"/>
        <v>3145</v>
      </c>
      <c r="V479" s="9">
        <f t="shared" si="145"/>
        <v>2988</v>
      </c>
      <c r="W479" s="9">
        <f t="shared" si="146"/>
        <v>3086</v>
      </c>
      <c r="X479" s="8"/>
      <c r="Y479" s="8"/>
      <c r="Z479" s="8"/>
      <c r="AA479" s="8"/>
      <c r="AB479" s="8"/>
    </row>
    <row r="480" spans="1:28" ht="13.15" customHeight="1">
      <c r="A480" s="13">
        <f t="shared" si="147"/>
        <v>466</v>
      </c>
      <c r="B480" s="14">
        <f t="shared" si="159"/>
        <v>45717</v>
      </c>
      <c r="C480" s="13">
        <f t="shared" si="160"/>
        <v>1069</v>
      </c>
      <c r="D480" s="12">
        <f t="shared" si="151"/>
        <v>2209</v>
      </c>
      <c r="E480" s="11">
        <f t="shared" si="152"/>
        <v>1126</v>
      </c>
      <c r="F480" s="11">
        <f t="shared" si="153"/>
        <v>1301</v>
      </c>
      <c r="G480" s="11">
        <f t="shared" si="154"/>
        <v>1235</v>
      </c>
      <c r="H480" s="8">
        <f t="shared" si="155"/>
        <v>2152</v>
      </c>
      <c r="I480" s="8">
        <f t="shared" si="156"/>
        <v>1977</v>
      </c>
      <c r="J480" s="8">
        <f t="shared" si="157"/>
        <v>2043</v>
      </c>
      <c r="K480" s="8">
        <f t="shared" si="148"/>
        <v>3000</v>
      </c>
      <c r="L480" s="8">
        <f t="shared" si="149"/>
        <v>3000</v>
      </c>
      <c r="M480" s="8">
        <f t="shared" si="150"/>
        <v>3000</v>
      </c>
      <c r="N480" s="8">
        <f t="shared" si="161"/>
        <v>-848</v>
      </c>
      <c r="O480" s="8">
        <f t="shared" si="162"/>
        <v>-1023</v>
      </c>
      <c r="P480" s="8">
        <f t="shared" si="163"/>
        <v>-957</v>
      </c>
      <c r="Q480" s="11">
        <v>3</v>
      </c>
      <c r="R480" s="11">
        <v>1</v>
      </c>
      <c r="S480" s="11">
        <v>3</v>
      </c>
      <c r="T480" s="10">
        <f t="shared" si="158"/>
        <v>291</v>
      </c>
      <c r="U480" s="9">
        <f t="shared" si="144"/>
        <v>3142</v>
      </c>
      <c r="V480" s="9">
        <f t="shared" si="145"/>
        <v>2987</v>
      </c>
      <c r="W480" s="9">
        <f t="shared" si="146"/>
        <v>3083</v>
      </c>
      <c r="X480" s="8"/>
      <c r="Y480" s="8"/>
      <c r="Z480" s="8"/>
      <c r="AA480" s="8"/>
      <c r="AB480" s="8"/>
    </row>
    <row r="481" spans="1:28" ht="13.15" customHeight="1">
      <c r="A481" s="13">
        <f t="shared" si="147"/>
        <v>467</v>
      </c>
      <c r="B481" s="14">
        <f t="shared" si="159"/>
        <v>45718</v>
      </c>
      <c r="C481" s="13">
        <f t="shared" si="160"/>
        <v>1069</v>
      </c>
      <c r="D481" s="12">
        <f t="shared" si="151"/>
        <v>2211</v>
      </c>
      <c r="E481" s="11">
        <f t="shared" si="152"/>
        <v>1130</v>
      </c>
      <c r="F481" s="11">
        <f t="shared" si="153"/>
        <v>1305</v>
      </c>
      <c r="G481" s="11">
        <f t="shared" si="154"/>
        <v>1239</v>
      </c>
      <c r="H481" s="8">
        <f t="shared" si="155"/>
        <v>2150</v>
      </c>
      <c r="I481" s="8">
        <f t="shared" si="156"/>
        <v>1975</v>
      </c>
      <c r="J481" s="8">
        <f t="shared" si="157"/>
        <v>2041</v>
      </c>
      <c r="K481" s="8">
        <f t="shared" si="148"/>
        <v>3000</v>
      </c>
      <c r="L481" s="8">
        <f t="shared" si="149"/>
        <v>3000</v>
      </c>
      <c r="M481" s="8">
        <f t="shared" si="150"/>
        <v>3000</v>
      </c>
      <c r="N481" s="8">
        <f t="shared" si="161"/>
        <v>-850</v>
      </c>
      <c r="O481" s="8">
        <f t="shared" si="162"/>
        <v>-1025</v>
      </c>
      <c r="P481" s="8">
        <f t="shared" si="163"/>
        <v>-959</v>
      </c>
      <c r="Q481" s="11">
        <v>2</v>
      </c>
      <c r="R481" s="11">
        <v>2</v>
      </c>
      <c r="S481" s="11">
        <v>2</v>
      </c>
      <c r="T481" s="10">
        <f t="shared" si="158"/>
        <v>295</v>
      </c>
      <c r="U481" s="9">
        <f t="shared" si="144"/>
        <v>3140</v>
      </c>
      <c r="V481" s="9">
        <f t="shared" si="145"/>
        <v>2985</v>
      </c>
      <c r="W481" s="9">
        <f t="shared" si="146"/>
        <v>3081</v>
      </c>
      <c r="X481" s="8"/>
      <c r="Y481" s="8"/>
      <c r="Z481" s="8"/>
      <c r="AA481" s="8"/>
      <c r="AB481" s="8"/>
    </row>
    <row r="482" spans="1:28" ht="13.15" customHeight="1">
      <c r="A482" s="13">
        <f t="shared" si="147"/>
        <v>468</v>
      </c>
      <c r="B482" s="14">
        <f t="shared" si="159"/>
        <v>45719</v>
      </c>
      <c r="C482" s="13">
        <f t="shared" si="160"/>
        <v>1069</v>
      </c>
      <c r="D482" s="12">
        <f t="shared" si="151"/>
        <v>2213</v>
      </c>
      <c r="E482" s="11">
        <f t="shared" si="152"/>
        <v>1135</v>
      </c>
      <c r="F482" s="11">
        <f t="shared" si="153"/>
        <v>1309</v>
      </c>
      <c r="G482" s="11">
        <f t="shared" si="154"/>
        <v>1245</v>
      </c>
      <c r="H482" s="8">
        <f t="shared" si="155"/>
        <v>2147</v>
      </c>
      <c r="I482" s="8">
        <f t="shared" si="156"/>
        <v>1973</v>
      </c>
      <c r="J482" s="8">
        <f t="shared" si="157"/>
        <v>2037</v>
      </c>
      <c r="K482" s="8">
        <f t="shared" si="148"/>
        <v>3000</v>
      </c>
      <c r="L482" s="8">
        <f t="shared" si="149"/>
        <v>3000</v>
      </c>
      <c r="M482" s="8">
        <f t="shared" si="150"/>
        <v>3000</v>
      </c>
      <c r="N482" s="8">
        <f t="shared" si="161"/>
        <v>-853</v>
      </c>
      <c r="O482" s="8">
        <f t="shared" si="162"/>
        <v>-1027</v>
      </c>
      <c r="P482" s="8">
        <f t="shared" si="163"/>
        <v>-963</v>
      </c>
      <c r="Q482" s="11">
        <v>3</v>
      </c>
      <c r="R482" s="11">
        <v>2</v>
      </c>
      <c r="S482" s="11">
        <v>4</v>
      </c>
      <c r="T482" s="10">
        <f t="shared" si="158"/>
        <v>299</v>
      </c>
      <c r="U482" s="9">
        <f t="shared" si="144"/>
        <v>3137</v>
      </c>
      <c r="V482" s="9">
        <f t="shared" si="145"/>
        <v>2983</v>
      </c>
      <c r="W482" s="9">
        <f t="shared" si="146"/>
        <v>3077</v>
      </c>
      <c r="X482" s="8"/>
      <c r="Y482" s="8"/>
      <c r="Z482" s="8"/>
      <c r="AA482" s="8"/>
      <c r="AB482" s="8"/>
    </row>
    <row r="483" spans="1:28" ht="13.15" customHeight="1">
      <c r="A483" s="13">
        <f t="shared" si="147"/>
        <v>469</v>
      </c>
      <c r="B483" s="14">
        <f t="shared" si="159"/>
        <v>45720</v>
      </c>
      <c r="C483" s="13">
        <f t="shared" si="160"/>
        <v>1069</v>
      </c>
      <c r="D483" s="12">
        <f t="shared" si="151"/>
        <v>2215</v>
      </c>
      <c r="E483" s="11">
        <f t="shared" si="152"/>
        <v>1139</v>
      </c>
      <c r="F483" s="11">
        <f t="shared" si="153"/>
        <v>1313</v>
      </c>
      <c r="G483" s="11">
        <f t="shared" si="154"/>
        <v>1250</v>
      </c>
      <c r="H483" s="8">
        <f t="shared" si="155"/>
        <v>2145</v>
      </c>
      <c r="I483" s="8">
        <f t="shared" si="156"/>
        <v>1971</v>
      </c>
      <c r="J483" s="8">
        <f t="shared" si="157"/>
        <v>2034</v>
      </c>
      <c r="K483" s="8">
        <f t="shared" si="148"/>
        <v>3000</v>
      </c>
      <c r="L483" s="8">
        <f t="shared" si="149"/>
        <v>3000</v>
      </c>
      <c r="M483" s="8">
        <f t="shared" si="150"/>
        <v>3000</v>
      </c>
      <c r="N483" s="8">
        <f t="shared" si="161"/>
        <v>-855</v>
      </c>
      <c r="O483" s="8">
        <f t="shared" si="162"/>
        <v>-1029</v>
      </c>
      <c r="P483" s="8">
        <f t="shared" si="163"/>
        <v>-966</v>
      </c>
      <c r="Q483" s="11">
        <v>2</v>
      </c>
      <c r="R483" s="11">
        <v>2</v>
      </c>
      <c r="S483" s="11">
        <v>3</v>
      </c>
      <c r="T483" s="10">
        <f t="shared" si="158"/>
        <v>303</v>
      </c>
      <c r="U483" s="9">
        <f t="shared" ref="U483:U510" si="164">U482+$X483*1000-Q483</f>
        <v>3135</v>
      </c>
      <c r="V483" s="9">
        <f t="shared" si="145"/>
        <v>2981</v>
      </c>
      <c r="W483" s="9">
        <f t="shared" si="146"/>
        <v>3074</v>
      </c>
      <c r="X483" s="8"/>
      <c r="Y483" s="8"/>
      <c r="Z483" s="8"/>
      <c r="AA483" s="8"/>
      <c r="AB483" s="8"/>
    </row>
    <row r="484" spans="1:28" ht="13.15" customHeight="1">
      <c r="A484" s="13">
        <f t="shared" si="147"/>
        <v>470</v>
      </c>
      <c r="B484" s="14">
        <f t="shared" si="159"/>
        <v>45721</v>
      </c>
      <c r="C484" s="13">
        <f t="shared" si="160"/>
        <v>1069</v>
      </c>
      <c r="D484" s="12">
        <f t="shared" si="151"/>
        <v>2217</v>
      </c>
      <c r="E484" s="11">
        <f t="shared" si="152"/>
        <v>1142</v>
      </c>
      <c r="F484" s="11">
        <f t="shared" si="153"/>
        <v>1320</v>
      </c>
      <c r="G484" s="11">
        <f t="shared" si="154"/>
        <v>1259</v>
      </c>
      <c r="H484" s="8">
        <f t="shared" si="155"/>
        <v>2144</v>
      </c>
      <c r="I484" s="8">
        <f t="shared" si="156"/>
        <v>1966</v>
      </c>
      <c r="J484" s="8">
        <f t="shared" si="157"/>
        <v>2027</v>
      </c>
      <c r="K484" s="8">
        <f t="shared" si="148"/>
        <v>3000</v>
      </c>
      <c r="L484" s="8">
        <f t="shared" si="149"/>
        <v>3000</v>
      </c>
      <c r="M484" s="8">
        <f t="shared" si="150"/>
        <v>3000</v>
      </c>
      <c r="N484" s="8">
        <f t="shared" si="161"/>
        <v>-856</v>
      </c>
      <c r="O484" s="8">
        <f t="shared" si="162"/>
        <v>-1034</v>
      </c>
      <c r="P484" s="8">
        <f t="shared" si="163"/>
        <v>-973</v>
      </c>
      <c r="Q484" s="11">
        <v>1</v>
      </c>
      <c r="R484" s="11">
        <v>5</v>
      </c>
      <c r="S484" s="11">
        <v>7</v>
      </c>
      <c r="T484" s="10">
        <f t="shared" si="158"/>
        <v>310</v>
      </c>
      <c r="U484" s="9">
        <f t="shared" si="164"/>
        <v>3134</v>
      </c>
      <c r="V484" s="9">
        <f t="shared" ref="V484:V510" si="165">V483+$X484*1000-R484</f>
        <v>2976</v>
      </c>
      <c r="W484" s="9">
        <f t="shared" ref="W484:W510" si="166">W483+$X484*1000-S484</f>
        <v>3067</v>
      </c>
      <c r="X484" s="8"/>
      <c r="Y484" s="8"/>
      <c r="Z484" s="8"/>
      <c r="AA484" s="8"/>
      <c r="AB484" s="8"/>
    </row>
    <row r="485" spans="1:28" ht="13.15" customHeight="1">
      <c r="A485" s="13">
        <f t="shared" si="147"/>
        <v>471</v>
      </c>
      <c r="B485" s="14">
        <f t="shared" si="159"/>
        <v>45722</v>
      </c>
      <c r="C485" s="13">
        <f t="shared" si="160"/>
        <v>1069</v>
      </c>
      <c r="D485" s="12">
        <f t="shared" si="151"/>
        <v>2219</v>
      </c>
      <c r="E485" s="11">
        <f t="shared" si="152"/>
        <v>1146</v>
      </c>
      <c r="F485" s="11">
        <f t="shared" si="153"/>
        <v>1327</v>
      </c>
      <c r="G485" s="11">
        <f t="shared" si="154"/>
        <v>1266</v>
      </c>
      <c r="H485" s="8">
        <f t="shared" si="155"/>
        <v>2142</v>
      </c>
      <c r="I485" s="8">
        <f t="shared" si="156"/>
        <v>1961</v>
      </c>
      <c r="J485" s="8">
        <f t="shared" si="157"/>
        <v>2022</v>
      </c>
      <c r="K485" s="8">
        <f t="shared" si="148"/>
        <v>3000</v>
      </c>
      <c r="L485" s="8">
        <f t="shared" si="149"/>
        <v>3000</v>
      </c>
      <c r="M485" s="8">
        <f t="shared" si="150"/>
        <v>3000</v>
      </c>
      <c r="N485" s="8">
        <f t="shared" si="161"/>
        <v>-858</v>
      </c>
      <c r="O485" s="8">
        <f t="shared" si="162"/>
        <v>-1039</v>
      </c>
      <c r="P485" s="8">
        <f t="shared" si="163"/>
        <v>-978</v>
      </c>
      <c r="Q485" s="11">
        <v>2</v>
      </c>
      <c r="R485" s="11">
        <v>5</v>
      </c>
      <c r="S485" s="11">
        <v>5</v>
      </c>
      <c r="T485" s="10">
        <f t="shared" si="158"/>
        <v>317</v>
      </c>
      <c r="U485" s="9">
        <f t="shared" si="164"/>
        <v>3132</v>
      </c>
      <c r="V485" s="9">
        <f t="shared" si="165"/>
        <v>2971</v>
      </c>
      <c r="W485" s="9">
        <f t="shared" si="166"/>
        <v>3062</v>
      </c>
      <c r="X485" s="8"/>
      <c r="Y485" s="8"/>
      <c r="Z485" s="8"/>
      <c r="AA485" s="8"/>
      <c r="AB485" s="8"/>
    </row>
    <row r="486" spans="1:28" ht="13.15" customHeight="1">
      <c r="A486" s="13">
        <f t="shared" si="147"/>
        <v>472</v>
      </c>
      <c r="B486" s="14">
        <f t="shared" si="159"/>
        <v>45723</v>
      </c>
      <c r="C486" s="13">
        <f t="shared" si="160"/>
        <v>1069</v>
      </c>
      <c r="D486" s="12">
        <f t="shared" si="151"/>
        <v>2221</v>
      </c>
      <c r="E486" s="11">
        <f t="shared" si="152"/>
        <v>1150</v>
      </c>
      <c r="F486" s="11">
        <f t="shared" si="153"/>
        <v>1333</v>
      </c>
      <c r="G486" s="11">
        <f t="shared" si="154"/>
        <v>1273</v>
      </c>
      <c r="H486" s="8">
        <f t="shared" si="155"/>
        <v>2140</v>
      </c>
      <c r="I486" s="8">
        <f t="shared" si="156"/>
        <v>1957</v>
      </c>
      <c r="J486" s="8">
        <f t="shared" si="157"/>
        <v>2017</v>
      </c>
      <c r="K486" s="8">
        <f t="shared" si="148"/>
        <v>3000</v>
      </c>
      <c r="L486" s="8">
        <f t="shared" si="149"/>
        <v>3000</v>
      </c>
      <c r="M486" s="8">
        <f t="shared" si="150"/>
        <v>3000</v>
      </c>
      <c r="N486" s="8">
        <f t="shared" si="161"/>
        <v>-860</v>
      </c>
      <c r="O486" s="8">
        <f t="shared" si="162"/>
        <v>-1043</v>
      </c>
      <c r="P486" s="8">
        <f t="shared" si="163"/>
        <v>-983</v>
      </c>
      <c r="Q486" s="11">
        <v>2</v>
      </c>
      <c r="R486" s="11">
        <v>4</v>
      </c>
      <c r="S486" s="11">
        <v>5</v>
      </c>
      <c r="T486" s="10">
        <f t="shared" si="158"/>
        <v>323</v>
      </c>
      <c r="U486" s="9">
        <f t="shared" si="164"/>
        <v>3130</v>
      </c>
      <c r="V486" s="9">
        <f t="shared" si="165"/>
        <v>2967</v>
      </c>
      <c r="W486" s="9">
        <f t="shared" si="166"/>
        <v>3057</v>
      </c>
      <c r="X486" s="8"/>
      <c r="Y486" s="8"/>
      <c r="Z486" s="8"/>
      <c r="AA486" s="8"/>
      <c r="AB486" s="8"/>
    </row>
    <row r="487" spans="1:28" ht="13.15" customHeight="1">
      <c r="A487" s="13">
        <f t="shared" si="147"/>
        <v>473</v>
      </c>
      <c r="B487" s="14">
        <f t="shared" si="159"/>
        <v>45724</v>
      </c>
      <c r="C487" s="13">
        <f t="shared" si="160"/>
        <v>1069</v>
      </c>
      <c r="D487" s="12">
        <f t="shared" si="151"/>
        <v>2223</v>
      </c>
      <c r="E487" s="11">
        <f t="shared" si="152"/>
        <v>1154</v>
      </c>
      <c r="F487" s="11">
        <f t="shared" si="153"/>
        <v>1338</v>
      </c>
      <c r="G487" s="11">
        <f t="shared" si="154"/>
        <v>1279</v>
      </c>
      <c r="H487" s="8">
        <f t="shared" si="155"/>
        <v>2138</v>
      </c>
      <c r="I487" s="8">
        <f t="shared" si="156"/>
        <v>1954</v>
      </c>
      <c r="J487" s="8">
        <f t="shared" si="157"/>
        <v>2013</v>
      </c>
      <c r="K487" s="8">
        <f t="shared" si="148"/>
        <v>3000</v>
      </c>
      <c r="L487" s="8">
        <f t="shared" si="149"/>
        <v>3000</v>
      </c>
      <c r="M487" s="8">
        <f t="shared" si="150"/>
        <v>3000</v>
      </c>
      <c r="N487" s="8">
        <f t="shared" si="161"/>
        <v>-862</v>
      </c>
      <c r="O487" s="8">
        <f t="shared" si="162"/>
        <v>-1046</v>
      </c>
      <c r="P487" s="8">
        <f t="shared" si="163"/>
        <v>-987</v>
      </c>
      <c r="Q487" s="11">
        <v>2</v>
      </c>
      <c r="R487" s="11">
        <v>3</v>
      </c>
      <c r="S487" s="11">
        <v>4</v>
      </c>
      <c r="T487" s="10">
        <f t="shared" si="158"/>
        <v>328</v>
      </c>
      <c r="U487" s="9">
        <f t="shared" si="164"/>
        <v>3128</v>
      </c>
      <c r="V487" s="9">
        <f t="shared" si="165"/>
        <v>2964</v>
      </c>
      <c r="W487" s="9">
        <f t="shared" si="166"/>
        <v>3053</v>
      </c>
      <c r="X487" s="8"/>
      <c r="Y487" s="8"/>
      <c r="Z487" s="8"/>
      <c r="AA487" s="8"/>
      <c r="AB487" s="8"/>
    </row>
    <row r="488" spans="1:28" ht="13.15" customHeight="1">
      <c r="A488" s="13">
        <f t="shared" si="147"/>
        <v>474</v>
      </c>
      <c r="B488" s="14">
        <f t="shared" si="159"/>
        <v>45725</v>
      </c>
      <c r="C488" s="13">
        <f t="shared" si="160"/>
        <v>1069</v>
      </c>
      <c r="D488" s="12">
        <f t="shared" si="151"/>
        <v>2225</v>
      </c>
      <c r="E488" s="11">
        <f t="shared" si="152"/>
        <v>1159</v>
      </c>
      <c r="F488" s="11">
        <f t="shared" si="153"/>
        <v>1342</v>
      </c>
      <c r="G488" s="11">
        <f t="shared" si="154"/>
        <v>1284</v>
      </c>
      <c r="H488" s="8">
        <f t="shared" si="155"/>
        <v>2135</v>
      </c>
      <c r="I488" s="8">
        <f t="shared" si="156"/>
        <v>1952</v>
      </c>
      <c r="J488" s="8">
        <f t="shared" si="157"/>
        <v>2010</v>
      </c>
      <c r="K488" s="8">
        <f t="shared" si="148"/>
        <v>3000</v>
      </c>
      <c r="L488" s="8">
        <f t="shared" si="149"/>
        <v>3000</v>
      </c>
      <c r="M488" s="8">
        <f t="shared" si="150"/>
        <v>3000</v>
      </c>
      <c r="N488" s="8">
        <f t="shared" si="161"/>
        <v>-865</v>
      </c>
      <c r="O488" s="8">
        <f t="shared" si="162"/>
        <v>-1048</v>
      </c>
      <c r="P488" s="8">
        <f t="shared" si="163"/>
        <v>-990</v>
      </c>
      <c r="Q488" s="11">
        <v>3</v>
      </c>
      <c r="R488" s="11">
        <v>2</v>
      </c>
      <c r="S488" s="11">
        <v>3</v>
      </c>
      <c r="T488" s="10">
        <f t="shared" si="158"/>
        <v>332</v>
      </c>
      <c r="U488" s="9">
        <f t="shared" si="164"/>
        <v>3125</v>
      </c>
      <c r="V488" s="9">
        <f t="shared" si="165"/>
        <v>2962</v>
      </c>
      <c r="W488" s="9">
        <f t="shared" si="166"/>
        <v>3050</v>
      </c>
      <c r="X488" s="8"/>
      <c r="Y488" s="8"/>
      <c r="Z488" s="8"/>
      <c r="AA488" s="8"/>
      <c r="AB488" s="8"/>
    </row>
    <row r="489" spans="1:28" ht="13.15" customHeight="1">
      <c r="A489" s="13">
        <f t="shared" si="147"/>
        <v>475</v>
      </c>
      <c r="B489" s="14">
        <f t="shared" si="159"/>
        <v>45726</v>
      </c>
      <c r="C489" s="13">
        <f t="shared" si="160"/>
        <v>1069</v>
      </c>
      <c r="D489" s="12">
        <f t="shared" si="151"/>
        <v>2227</v>
      </c>
      <c r="E489" s="11">
        <f t="shared" si="152"/>
        <v>1163</v>
      </c>
      <c r="F489" s="11">
        <f t="shared" si="153"/>
        <v>1348</v>
      </c>
      <c r="G489" s="11">
        <f t="shared" si="154"/>
        <v>1290</v>
      </c>
      <c r="H489" s="8">
        <f t="shared" si="155"/>
        <v>2133</v>
      </c>
      <c r="I489" s="8">
        <f t="shared" si="156"/>
        <v>1948</v>
      </c>
      <c r="J489" s="8">
        <f t="shared" si="157"/>
        <v>2006</v>
      </c>
      <c r="K489" s="8">
        <f t="shared" si="148"/>
        <v>3000</v>
      </c>
      <c r="L489" s="8">
        <f t="shared" si="149"/>
        <v>3000</v>
      </c>
      <c r="M489" s="8">
        <f t="shared" si="150"/>
        <v>3000</v>
      </c>
      <c r="N489" s="8">
        <f t="shared" si="161"/>
        <v>-867</v>
      </c>
      <c r="O489" s="8">
        <f t="shared" si="162"/>
        <v>-1052</v>
      </c>
      <c r="P489" s="8">
        <f t="shared" si="163"/>
        <v>-994</v>
      </c>
      <c r="Q489" s="11">
        <v>2</v>
      </c>
      <c r="R489" s="11">
        <v>4</v>
      </c>
      <c r="S489" s="11">
        <v>4</v>
      </c>
      <c r="T489" s="10">
        <f t="shared" si="158"/>
        <v>338</v>
      </c>
      <c r="U489" s="9">
        <f t="shared" si="164"/>
        <v>3123</v>
      </c>
      <c r="V489" s="9">
        <f t="shared" si="165"/>
        <v>2958</v>
      </c>
      <c r="W489" s="9">
        <f t="shared" si="166"/>
        <v>3046</v>
      </c>
      <c r="X489" s="8"/>
      <c r="Y489" s="8"/>
      <c r="Z489" s="8"/>
      <c r="AA489" s="8"/>
      <c r="AB489" s="8"/>
    </row>
    <row r="490" spans="1:28" ht="13.15" customHeight="1">
      <c r="A490" s="13">
        <f t="shared" ref="A490:A510" si="167">+A489+1</f>
        <v>476</v>
      </c>
      <c r="B490" s="14">
        <f t="shared" si="159"/>
        <v>45727</v>
      </c>
      <c r="C490" s="13">
        <f t="shared" si="160"/>
        <v>1069</v>
      </c>
      <c r="D490" s="12">
        <f t="shared" si="151"/>
        <v>2229</v>
      </c>
      <c r="E490" s="11">
        <f t="shared" si="152"/>
        <v>1168</v>
      </c>
      <c r="F490" s="11">
        <f t="shared" si="153"/>
        <v>1353</v>
      </c>
      <c r="G490" s="11">
        <f t="shared" si="154"/>
        <v>1299</v>
      </c>
      <c r="H490" s="8">
        <f t="shared" si="155"/>
        <v>2130</v>
      </c>
      <c r="I490" s="8">
        <f t="shared" si="156"/>
        <v>1945</v>
      </c>
      <c r="J490" s="8">
        <f t="shared" si="157"/>
        <v>1999</v>
      </c>
      <c r="K490" s="8">
        <f t="shared" si="148"/>
        <v>3000</v>
      </c>
      <c r="L490" s="8">
        <f t="shared" si="149"/>
        <v>3000</v>
      </c>
      <c r="M490" s="8">
        <f t="shared" si="150"/>
        <v>3000</v>
      </c>
      <c r="N490" s="8">
        <f t="shared" si="161"/>
        <v>-870</v>
      </c>
      <c r="O490" s="8">
        <f t="shared" si="162"/>
        <v>-1055</v>
      </c>
      <c r="P490" s="8">
        <f t="shared" si="163"/>
        <v>-1001</v>
      </c>
      <c r="Q490" s="11">
        <v>3</v>
      </c>
      <c r="R490" s="11">
        <v>3</v>
      </c>
      <c r="S490" s="11">
        <v>7</v>
      </c>
      <c r="T490" s="10">
        <f t="shared" si="158"/>
        <v>343</v>
      </c>
      <c r="U490" s="9">
        <f t="shared" si="164"/>
        <v>3120</v>
      </c>
      <c r="V490" s="9">
        <f t="shared" si="165"/>
        <v>2955</v>
      </c>
      <c r="W490" s="9">
        <f t="shared" si="166"/>
        <v>3039</v>
      </c>
      <c r="X490" s="8"/>
      <c r="Y490" s="8"/>
      <c r="Z490" s="8"/>
      <c r="AA490" s="8"/>
      <c r="AB490" s="8"/>
    </row>
    <row r="491" spans="1:28" ht="13.15" customHeight="1">
      <c r="A491" s="13">
        <f t="shared" si="167"/>
        <v>477</v>
      </c>
      <c r="B491" s="14">
        <f t="shared" si="159"/>
        <v>45728</v>
      </c>
      <c r="C491" s="13">
        <f t="shared" si="160"/>
        <v>1069</v>
      </c>
      <c r="D491" s="12">
        <f t="shared" si="151"/>
        <v>2231</v>
      </c>
      <c r="E491" s="11">
        <f t="shared" si="152"/>
        <v>1172</v>
      </c>
      <c r="F491" s="11">
        <f t="shared" si="153"/>
        <v>1362</v>
      </c>
      <c r="G491" s="11">
        <f t="shared" si="154"/>
        <v>1306</v>
      </c>
      <c r="H491" s="8">
        <f t="shared" si="155"/>
        <v>2128</v>
      </c>
      <c r="I491" s="8">
        <f t="shared" si="156"/>
        <v>1938</v>
      </c>
      <c r="J491" s="8">
        <f t="shared" si="157"/>
        <v>1994</v>
      </c>
      <c r="K491" s="8">
        <f t="shared" si="148"/>
        <v>3000</v>
      </c>
      <c r="L491" s="8">
        <f t="shared" si="149"/>
        <v>3000</v>
      </c>
      <c r="M491" s="8">
        <f t="shared" si="150"/>
        <v>3000</v>
      </c>
      <c r="N491" s="8">
        <f t="shared" si="161"/>
        <v>-872</v>
      </c>
      <c r="O491" s="8">
        <f t="shared" si="162"/>
        <v>-1062</v>
      </c>
      <c r="P491" s="8">
        <f t="shared" si="163"/>
        <v>-1006</v>
      </c>
      <c r="Q491" s="11">
        <v>2</v>
      </c>
      <c r="R491" s="11">
        <v>7</v>
      </c>
      <c r="S491" s="11">
        <v>5</v>
      </c>
      <c r="T491" s="10">
        <f t="shared" si="158"/>
        <v>352</v>
      </c>
      <c r="U491" s="9">
        <f t="shared" si="164"/>
        <v>3118</v>
      </c>
      <c r="V491" s="9">
        <f t="shared" si="165"/>
        <v>2948</v>
      </c>
      <c r="W491" s="9">
        <f t="shared" si="166"/>
        <v>3034</v>
      </c>
      <c r="X491" s="8"/>
      <c r="Y491" s="8"/>
      <c r="Z491" s="8"/>
      <c r="AA491" s="8"/>
      <c r="AB491" s="8"/>
    </row>
    <row r="492" spans="1:28" ht="13.15" customHeight="1">
      <c r="A492" s="13">
        <f t="shared" si="167"/>
        <v>478</v>
      </c>
      <c r="B492" s="14">
        <f t="shared" si="159"/>
        <v>45729</v>
      </c>
      <c r="C492" s="13">
        <f t="shared" si="160"/>
        <v>1069</v>
      </c>
      <c r="D492" s="12">
        <f t="shared" si="151"/>
        <v>2233</v>
      </c>
      <c r="E492" s="11">
        <f t="shared" si="152"/>
        <v>1176</v>
      </c>
      <c r="F492" s="11">
        <f t="shared" si="153"/>
        <v>1369</v>
      </c>
      <c r="G492" s="11">
        <f t="shared" si="154"/>
        <v>1313</v>
      </c>
      <c r="H492" s="8">
        <f t="shared" si="155"/>
        <v>2126</v>
      </c>
      <c r="I492" s="8">
        <f t="shared" si="156"/>
        <v>1933</v>
      </c>
      <c r="J492" s="8">
        <f t="shared" si="157"/>
        <v>1989</v>
      </c>
      <c r="K492" s="8">
        <f t="shared" si="148"/>
        <v>3000</v>
      </c>
      <c r="L492" s="8">
        <f t="shared" si="149"/>
        <v>3000</v>
      </c>
      <c r="M492" s="8">
        <f t="shared" si="150"/>
        <v>3000</v>
      </c>
      <c r="N492" s="8">
        <f t="shared" si="161"/>
        <v>-874</v>
      </c>
      <c r="O492" s="8">
        <f t="shared" si="162"/>
        <v>-1067</v>
      </c>
      <c r="P492" s="8">
        <f t="shared" si="163"/>
        <v>-1011</v>
      </c>
      <c r="Q492" s="11">
        <v>2</v>
      </c>
      <c r="R492" s="11">
        <v>5</v>
      </c>
      <c r="S492" s="11">
        <v>5</v>
      </c>
      <c r="T492" s="10">
        <f t="shared" si="158"/>
        <v>359</v>
      </c>
      <c r="U492" s="9">
        <f t="shared" si="164"/>
        <v>3116</v>
      </c>
      <c r="V492" s="9">
        <f t="shared" si="165"/>
        <v>2943</v>
      </c>
      <c r="W492" s="9">
        <f t="shared" si="166"/>
        <v>3029</v>
      </c>
      <c r="X492" s="8"/>
      <c r="Y492" s="8"/>
      <c r="Z492" s="8"/>
      <c r="AA492" s="8"/>
      <c r="AB492" s="8"/>
    </row>
    <row r="493" spans="1:28" ht="13.15" customHeight="1">
      <c r="A493" s="13">
        <f t="shared" si="167"/>
        <v>479</v>
      </c>
      <c r="B493" s="14">
        <f t="shared" si="159"/>
        <v>45730</v>
      </c>
      <c r="C493" s="13">
        <f t="shared" si="160"/>
        <v>1069</v>
      </c>
      <c r="D493" s="12">
        <f t="shared" si="151"/>
        <v>2235</v>
      </c>
      <c r="E493" s="11">
        <f t="shared" si="152"/>
        <v>1180</v>
      </c>
      <c r="F493" s="11">
        <f t="shared" si="153"/>
        <v>1379</v>
      </c>
      <c r="G493" s="11">
        <f t="shared" si="154"/>
        <v>1318</v>
      </c>
      <c r="H493" s="8">
        <f t="shared" si="155"/>
        <v>2124</v>
      </c>
      <c r="I493" s="8">
        <f t="shared" si="156"/>
        <v>1925</v>
      </c>
      <c r="J493" s="8">
        <f t="shared" si="157"/>
        <v>1986</v>
      </c>
      <c r="K493" s="8">
        <f t="shared" si="148"/>
        <v>3000</v>
      </c>
      <c r="L493" s="8">
        <f t="shared" si="149"/>
        <v>3000</v>
      </c>
      <c r="M493" s="8">
        <f t="shared" si="150"/>
        <v>3000</v>
      </c>
      <c r="N493" s="8">
        <f t="shared" si="161"/>
        <v>-876</v>
      </c>
      <c r="O493" s="8">
        <f t="shared" si="162"/>
        <v>-1075</v>
      </c>
      <c r="P493" s="8">
        <f t="shared" si="163"/>
        <v>-1014</v>
      </c>
      <c r="Q493" s="11">
        <v>2</v>
      </c>
      <c r="R493" s="11">
        <v>8</v>
      </c>
      <c r="S493" s="11">
        <v>3</v>
      </c>
      <c r="T493" s="10">
        <f t="shared" si="158"/>
        <v>369</v>
      </c>
      <c r="U493" s="9">
        <f t="shared" si="164"/>
        <v>3114</v>
      </c>
      <c r="V493" s="9">
        <f t="shared" si="165"/>
        <v>2935</v>
      </c>
      <c r="W493" s="9">
        <f t="shared" si="166"/>
        <v>3026</v>
      </c>
      <c r="X493" s="8"/>
      <c r="Y493" s="8"/>
      <c r="Z493" s="8"/>
      <c r="AA493" s="8"/>
      <c r="AB493" s="8"/>
    </row>
    <row r="494" spans="1:28" ht="13.15" customHeight="1">
      <c r="A494" s="13">
        <f t="shared" si="167"/>
        <v>480</v>
      </c>
      <c r="B494" s="14">
        <f t="shared" si="159"/>
        <v>45731</v>
      </c>
      <c r="C494" s="13">
        <f t="shared" si="160"/>
        <v>1069</v>
      </c>
      <c r="D494" s="12">
        <f t="shared" si="151"/>
        <v>2237</v>
      </c>
      <c r="E494" s="11">
        <f t="shared" si="152"/>
        <v>1184</v>
      </c>
      <c r="F494" s="11">
        <f t="shared" si="153"/>
        <v>1390</v>
      </c>
      <c r="G494" s="11">
        <f t="shared" si="154"/>
        <v>1322</v>
      </c>
      <c r="H494" s="8">
        <f t="shared" si="155"/>
        <v>2122</v>
      </c>
      <c r="I494" s="8">
        <f t="shared" si="156"/>
        <v>1916</v>
      </c>
      <c r="J494" s="8">
        <f t="shared" si="157"/>
        <v>1984</v>
      </c>
      <c r="K494" s="8">
        <f t="shared" ref="K494:K510" si="168">K493</f>
        <v>3000</v>
      </c>
      <c r="L494" s="8">
        <f t="shared" ref="L494:L510" si="169">L493</f>
        <v>3000</v>
      </c>
      <c r="M494" s="8">
        <f t="shared" ref="M494:M510" si="170">M493</f>
        <v>3000</v>
      </c>
      <c r="N494" s="8">
        <f t="shared" si="161"/>
        <v>-878</v>
      </c>
      <c r="O494" s="8">
        <f t="shared" si="162"/>
        <v>-1084</v>
      </c>
      <c r="P494" s="8">
        <f t="shared" si="163"/>
        <v>-1016</v>
      </c>
      <c r="Q494" s="11">
        <v>2</v>
      </c>
      <c r="R494" s="11">
        <v>9</v>
      </c>
      <c r="S494" s="11">
        <v>2</v>
      </c>
      <c r="T494" s="10">
        <f t="shared" si="158"/>
        <v>380</v>
      </c>
      <c r="U494" s="9">
        <f t="shared" si="164"/>
        <v>3112</v>
      </c>
      <c r="V494" s="9">
        <f t="shared" si="165"/>
        <v>2926</v>
      </c>
      <c r="W494" s="9">
        <f t="shared" si="166"/>
        <v>3024</v>
      </c>
      <c r="X494" s="8"/>
      <c r="Y494" s="8"/>
      <c r="Z494" s="8"/>
      <c r="AA494" s="8"/>
      <c r="AB494" s="8"/>
    </row>
    <row r="495" spans="1:28" ht="13.15" customHeight="1">
      <c r="A495" s="13">
        <f t="shared" si="167"/>
        <v>481</v>
      </c>
      <c r="B495" s="14">
        <f t="shared" si="159"/>
        <v>45732</v>
      </c>
      <c r="C495" s="13">
        <f t="shared" si="160"/>
        <v>1069</v>
      </c>
      <c r="D495" s="12">
        <f t="shared" si="151"/>
        <v>2239</v>
      </c>
      <c r="E495" s="11">
        <f t="shared" si="152"/>
        <v>1189</v>
      </c>
      <c r="F495" s="11">
        <f t="shared" si="153"/>
        <v>1398</v>
      </c>
      <c r="G495" s="11">
        <f t="shared" si="154"/>
        <v>1328</v>
      </c>
      <c r="H495" s="8">
        <f t="shared" si="155"/>
        <v>2119</v>
      </c>
      <c r="I495" s="8">
        <f t="shared" si="156"/>
        <v>1910</v>
      </c>
      <c r="J495" s="8">
        <f t="shared" si="157"/>
        <v>1980</v>
      </c>
      <c r="K495" s="8">
        <f t="shared" si="168"/>
        <v>3000</v>
      </c>
      <c r="L495" s="8">
        <f t="shared" si="169"/>
        <v>3000</v>
      </c>
      <c r="M495" s="8">
        <f t="shared" si="170"/>
        <v>3000</v>
      </c>
      <c r="N495" s="8">
        <f t="shared" si="161"/>
        <v>-881</v>
      </c>
      <c r="O495" s="8">
        <f t="shared" si="162"/>
        <v>-1090</v>
      </c>
      <c r="P495" s="8">
        <f t="shared" si="163"/>
        <v>-1020</v>
      </c>
      <c r="Q495" s="11">
        <v>3</v>
      </c>
      <c r="R495" s="11">
        <v>6</v>
      </c>
      <c r="S495" s="11">
        <v>4</v>
      </c>
      <c r="T495" s="10">
        <f t="shared" si="158"/>
        <v>388</v>
      </c>
      <c r="U495" s="9">
        <f t="shared" si="164"/>
        <v>3109</v>
      </c>
      <c r="V495" s="9">
        <f t="shared" si="165"/>
        <v>2920</v>
      </c>
      <c r="W495" s="9">
        <f t="shared" si="166"/>
        <v>3020</v>
      </c>
      <c r="X495" s="8"/>
      <c r="Y495" s="8"/>
      <c r="Z495" s="8"/>
      <c r="AA495" s="8"/>
      <c r="AB495" s="8"/>
    </row>
    <row r="496" spans="1:28" ht="13.15" customHeight="1">
      <c r="A496" s="13">
        <f t="shared" si="167"/>
        <v>482</v>
      </c>
      <c r="B496" s="14">
        <f t="shared" si="159"/>
        <v>45733</v>
      </c>
      <c r="C496" s="13">
        <f t="shared" si="160"/>
        <v>1069</v>
      </c>
      <c r="D496" s="12">
        <f t="shared" si="151"/>
        <v>2241</v>
      </c>
      <c r="E496" s="11">
        <f t="shared" si="152"/>
        <v>1193</v>
      </c>
      <c r="F496" s="11">
        <f t="shared" si="153"/>
        <v>1404</v>
      </c>
      <c r="G496" s="11">
        <f t="shared" si="154"/>
        <v>1335</v>
      </c>
      <c r="H496" s="8">
        <f t="shared" si="155"/>
        <v>2117</v>
      </c>
      <c r="I496" s="8">
        <f t="shared" si="156"/>
        <v>1906</v>
      </c>
      <c r="J496" s="8">
        <f t="shared" si="157"/>
        <v>1975</v>
      </c>
      <c r="K496" s="8">
        <f t="shared" si="168"/>
        <v>3000</v>
      </c>
      <c r="L496" s="8">
        <f t="shared" si="169"/>
        <v>3000</v>
      </c>
      <c r="M496" s="8">
        <f t="shared" si="170"/>
        <v>3000</v>
      </c>
      <c r="N496" s="8">
        <f t="shared" si="161"/>
        <v>-883</v>
      </c>
      <c r="O496" s="8">
        <f t="shared" si="162"/>
        <v>-1094</v>
      </c>
      <c r="P496" s="8">
        <f t="shared" si="163"/>
        <v>-1025</v>
      </c>
      <c r="Q496" s="11">
        <v>2</v>
      </c>
      <c r="R496" s="11">
        <v>4</v>
      </c>
      <c r="S496" s="11">
        <v>5</v>
      </c>
      <c r="T496" s="10">
        <f t="shared" si="158"/>
        <v>394</v>
      </c>
      <c r="U496" s="9">
        <f t="shared" si="164"/>
        <v>3107</v>
      </c>
      <c r="V496" s="9">
        <f t="shared" si="165"/>
        <v>2916</v>
      </c>
      <c r="W496" s="9">
        <f t="shared" si="166"/>
        <v>3015</v>
      </c>
      <c r="X496" s="8"/>
      <c r="Y496" s="8"/>
      <c r="Z496" s="8"/>
      <c r="AA496" s="8"/>
      <c r="AB496" s="8"/>
    </row>
    <row r="497" spans="1:28" ht="13.15" customHeight="1">
      <c r="A497" s="13">
        <f t="shared" si="167"/>
        <v>483</v>
      </c>
      <c r="B497" s="14">
        <f t="shared" si="159"/>
        <v>45734</v>
      </c>
      <c r="C497" s="13">
        <f t="shared" si="160"/>
        <v>1069</v>
      </c>
      <c r="D497" s="12">
        <f t="shared" si="151"/>
        <v>2243</v>
      </c>
      <c r="E497" s="11">
        <f t="shared" si="152"/>
        <v>1198</v>
      </c>
      <c r="F497" s="11">
        <f t="shared" si="153"/>
        <v>1409</v>
      </c>
      <c r="G497" s="11">
        <f t="shared" si="154"/>
        <v>1343</v>
      </c>
      <c r="H497" s="8">
        <f t="shared" si="155"/>
        <v>2114</v>
      </c>
      <c r="I497" s="8">
        <f t="shared" si="156"/>
        <v>1903</v>
      </c>
      <c r="J497" s="8">
        <f t="shared" si="157"/>
        <v>1969</v>
      </c>
      <c r="K497" s="8">
        <f t="shared" si="168"/>
        <v>3000</v>
      </c>
      <c r="L497" s="8">
        <f t="shared" si="169"/>
        <v>3000</v>
      </c>
      <c r="M497" s="8">
        <f t="shared" si="170"/>
        <v>3000</v>
      </c>
      <c r="N497" s="8">
        <f t="shared" si="161"/>
        <v>-886</v>
      </c>
      <c r="O497" s="8">
        <f t="shared" si="162"/>
        <v>-1097</v>
      </c>
      <c r="P497" s="8">
        <f t="shared" si="163"/>
        <v>-1031</v>
      </c>
      <c r="Q497" s="11">
        <v>3</v>
      </c>
      <c r="R497" s="11">
        <v>3</v>
      </c>
      <c r="S497" s="11">
        <v>6</v>
      </c>
      <c r="T497" s="10">
        <f t="shared" si="158"/>
        <v>399</v>
      </c>
      <c r="U497" s="9">
        <f t="shared" si="164"/>
        <v>3104</v>
      </c>
      <c r="V497" s="9">
        <f t="shared" si="165"/>
        <v>2913</v>
      </c>
      <c r="W497" s="9">
        <f t="shared" si="166"/>
        <v>3009</v>
      </c>
      <c r="X497" s="8"/>
      <c r="Y497" s="8"/>
      <c r="Z497" s="8"/>
      <c r="AA497" s="8"/>
      <c r="AB497" s="8"/>
    </row>
    <row r="498" spans="1:28" ht="13.15" customHeight="1">
      <c r="A498" s="13">
        <f t="shared" si="167"/>
        <v>484</v>
      </c>
      <c r="B498" s="14">
        <f t="shared" si="159"/>
        <v>45735</v>
      </c>
      <c r="C498" s="13">
        <f t="shared" si="160"/>
        <v>1069</v>
      </c>
      <c r="D498" s="12">
        <f t="shared" si="151"/>
        <v>2245</v>
      </c>
      <c r="E498" s="11">
        <f t="shared" si="152"/>
        <v>1202</v>
      </c>
      <c r="F498" s="11">
        <f t="shared" si="153"/>
        <v>1416</v>
      </c>
      <c r="G498" s="11">
        <f t="shared" si="154"/>
        <v>1350</v>
      </c>
      <c r="H498" s="8">
        <f t="shared" si="155"/>
        <v>2112</v>
      </c>
      <c r="I498" s="8">
        <f t="shared" si="156"/>
        <v>1898</v>
      </c>
      <c r="J498" s="8">
        <f t="shared" si="157"/>
        <v>1964</v>
      </c>
      <c r="K498" s="8">
        <f t="shared" si="168"/>
        <v>3000</v>
      </c>
      <c r="L498" s="8">
        <f t="shared" si="169"/>
        <v>3000</v>
      </c>
      <c r="M498" s="8">
        <f t="shared" si="170"/>
        <v>3000</v>
      </c>
      <c r="N498" s="8">
        <f t="shared" si="161"/>
        <v>-888</v>
      </c>
      <c r="O498" s="8">
        <f t="shared" si="162"/>
        <v>-1102</v>
      </c>
      <c r="P498" s="8">
        <f t="shared" si="163"/>
        <v>-1036</v>
      </c>
      <c r="Q498" s="11">
        <v>2</v>
      </c>
      <c r="R498" s="11">
        <v>5</v>
      </c>
      <c r="S498" s="11">
        <v>5</v>
      </c>
      <c r="T498" s="10">
        <f t="shared" si="158"/>
        <v>406</v>
      </c>
      <c r="U498" s="9">
        <f t="shared" si="164"/>
        <v>3102</v>
      </c>
      <c r="V498" s="9">
        <f t="shared" si="165"/>
        <v>2908</v>
      </c>
      <c r="W498" s="9">
        <f t="shared" si="166"/>
        <v>3004</v>
      </c>
      <c r="X498" s="8"/>
      <c r="Y498" s="8"/>
      <c r="Z498" s="8"/>
      <c r="AA498" s="8"/>
      <c r="AB498" s="8"/>
    </row>
    <row r="499" spans="1:28" ht="13.15" customHeight="1">
      <c r="A499" s="13">
        <f t="shared" si="167"/>
        <v>485</v>
      </c>
      <c r="B499" s="14">
        <f t="shared" si="159"/>
        <v>45736</v>
      </c>
      <c r="C499" s="13">
        <f t="shared" si="160"/>
        <v>1069</v>
      </c>
      <c r="D499" s="12">
        <f t="shared" si="151"/>
        <v>2247</v>
      </c>
      <c r="E499" s="11">
        <f t="shared" si="152"/>
        <v>1205</v>
      </c>
      <c r="F499" s="11">
        <f t="shared" si="153"/>
        <v>1423</v>
      </c>
      <c r="G499" s="11">
        <f t="shared" si="154"/>
        <v>1356</v>
      </c>
      <c r="H499" s="8">
        <f t="shared" si="155"/>
        <v>2111</v>
      </c>
      <c r="I499" s="8">
        <f t="shared" si="156"/>
        <v>1893</v>
      </c>
      <c r="J499" s="8">
        <f t="shared" si="157"/>
        <v>1960</v>
      </c>
      <c r="K499" s="8">
        <f t="shared" si="168"/>
        <v>3000</v>
      </c>
      <c r="L499" s="8">
        <f t="shared" si="169"/>
        <v>3000</v>
      </c>
      <c r="M499" s="8">
        <f t="shared" si="170"/>
        <v>3000</v>
      </c>
      <c r="N499" s="8">
        <f t="shared" si="161"/>
        <v>-889</v>
      </c>
      <c r="O499" s="8">
        <f t="shared" si="162"/>
        <v>-1107</v>
      </c>
      <c r="P499" s="8">
        <f t="shared" si="163"/>
        <v>-1040</v>
      </c>
      <c r="Q499" s="11">
        <v>1</v>
      </c>
      <c r="R499" s="11">
        <v>5</v>
      </c>
      <c r="S499" s="11">
        <v>4</v>
      </c>
      <c r="T499" s="10">
        <f t="shared" si="158"/>
        <v>413</v>
      </c>
      <c r="U499" s="9">
        <f t="shared" si="164"/>
        <v>3101</v>
      </c>
      <c r="V499" s="9">
        <f t="shared" si="165"/>
        <v>2903</v>
      </c>
      <c r="W499" s="9">
        <f t="shared" si="166"/>
        <v>3000</v>
      </c>
      <c r="X499" s="8"/>
      <c r="Y499" s="8"/>
      <c r="Z499" s="8"/>
      <c r="AA499" s="8"/>
      <c r="AB499" s="8"/>
    </row>
    <row r="500" spans="1:28" ht="13.15" customHeight="1">
      <c r="A500" s="13">
        <f t="shared" si="167"/>
        <v>486</v>
      </c>
      <c r="B500" s="14">
        <f t="shared" si="159"/>
        <v>45737</v>
      </c>
      <c r="C500" s="13">
        <f t="shared" si="160"/>
        <v>1069</v>
      </c>
      <c r="D500" s="12">
        <f t="shared" si="151"/>
        <v>2249</v>
      </c>
      <c r="E500" s="11">
        <f t="shared" si="152"/>
        <v>1207</v>
      </c>
      <c r="F500" s="11">
        <f t="shared" si="153"/>
        <v>1435</v>
      </c>
      <c r="G500" s="11">
        <f t="shared" si="154"/>
        <v>1361</v>
      </c>
      <c r="H500" s="8">
        <f t="shared" si="155"/>
        <v>2111</v>
      </c>
      <c r="I500" s="8">
        <f t="shared" si="156"/>
        <v>1883</v>
      </c>
      <c r="J500" s="8">
        <f t="shared" si="157"/>
        <v>1957</v>
      </c>
      <c r="K500" s="8">
        <f t="shared" si="168"/>
        <v>3000</v>
      </c>
      <c r="L500" s="8">
        <f t="shared" si="169"/>
        <v>3000</v>
      </c>
      <c r="M500" s="8">
        <f t="shared" si="170"/>
        <v>3000</v>
      </c>
      <c r="N500" s="8">
        <f t="shared" si="161"/>
        <v>-889</v>
      </c>
      <c r="O500" s="8">
        <f t="shared" si="162"/>
        <v>-1117</v>
      </c>
      <c r="P500" s="8">
        <f t="shared" si="163"/>
        <v>-1043</v>
      </c>
      <c r="Q500" s="11">
        <v>0</v>
      </c>
      <c r="R500" s="11">
        <v>10</v>
      </c>
      <c r="S500" s="11">
        <v>3</v>
      </c>
      <c r="T500" s="10">
        <f t="shared" si="158"/>
        <v>425</v>
      </c>
      <c r="U500" s="9">
        <f t="shared" si="164"/>
        <v>3101</v>
      </c>
      <c r="V500" s="9">
        <f t="shared" si="165"/>
        <v>2893</v>
      </c>
      <c r="W500" s="9">
        <f t="shared" si="166"/>
        <v>2997</v>
      </c>
      <c r="X500" s="8"/>
      <c r="Y500" s="8"/>
      <c r="Z500" s="8"/>
      <c r="AA500" s="8"/>
      <c r="AB500" s="8"/>
    </row>
    <row r="501" spans="1:28" ht="13.15" customHeight="1">
      <c r="A501" s="13">
        <f t="shared" si="167"/>
        <v>487</v>
      </c>
      <c r="B501" s="14">
        <f t="shared" si="159"/>
        <v>45738</v>
      </c>
      <c r="C501" s="13">
        <f t="shared" si="160"/>
        <v>1069</v>
      </c>
      <c r="D501" s="12">
        <f t="shared" si="151"/>
        <v>2251</v>
      </c>
      <c r="E501" s="11">
        <f t="shared" si="152"/>
        <v>1209</v>
      </c>
      <c r="F501" s="11">
        <f t="shared" si="153"/>
        <v>1444</v>
      </c>
      <c r="G501" s="11">
        <f t="shared" si="154"/>
        <v>1367</v>
      </c>
      <c r="H501" s="8">
        <f t="shared" si="155"/>
        <v>2111</v>
      </c>
      <c r="I501" s="8">
        <f t="shared" si="156"/>
        <v>1876</v>
      </c>
      <c r="J501" s="8">
        <f t="shared" si="157"/>
        <v>1953</v>
      </c>
      <c r="K501" s="8">
        <f t="shared" si="168"/>
        <v>3000</v>
      </c>
      <c r="L501" s="8">
        <f t="shared" si="169"/>
        <v>3000</v>
      </c>
      <c r="M501" s="8">
        <f t="shared" si="170"/>
        <v>3000</v>
      </c>
      <c r="N501" s="8">
        <f t="shared" si="161"/>
        <v>-889</v>
      </c>
      <c r="O501" s="8">
        <f t="shared" si="162"/>
        <v>-1124</v>
      </c>
      <c r="P501" s="8">
        <f t="shared" si="163"/>
        <v>-1047</v>
      </c>
      <c r="Q501" s="11">
        <v>0</v>
      </c>
      <c r="R501" s="11">
        <v>7</v>
      </c>
      <c r="S501" s="11">
        <v>4</v>
      </c>
      <c r="T501" s="10">
        <f t="shared" si="158"/>
        <v>134</v>
      </c>
      <c r="U501" s="9">
        <f t="shared" si="164"/>
        <v>3401</v>
      </c>
      <c r="V501" s="9">
        <f t="shared" si="165"/>
        <v>3186</v>
      </c>
      <c r="W501" s="9">
        <f t="shared" si="166"/>
        <v>3293</v>
      </c>
      <c r="X501" s="27">
        <v>0.3</v>
      </c>
      <c r="Y501" s="8"/>
      <c r="Z501" s="8"/>
      <c r="AA501" s="8"/>
      <c r="AB501" s="8" t="s">
        <v>75</v>
      </c>
    </row>
    <row r="502" spans="1:28" ht="13.15" customHeight="1">
      <c r="A502" s="13">
        <f t="shared" si="167"/>
        <v>488</v>
      </c>
      <c r="B502" s="14">
        <f t="shared" si="159"/>
        <v>45739</v>
      </c>
      <c r="C502" s="13">
        <f t="shared" si="160"/>
        <v>1069</v>
      </c>
      <c r="D502" s="12">
        <f t="shared" si="151"/>
        <v>2253</v>
      </c>
      <c r="E502" s="11">
        <f t="shared" si="152"/>
        <v>1213</v>
      </c>
      <c r="F502" s="11">
        <f t="shared" si="153"/>
        <v>1452</v>
      </c>
      <c r="G502" s="11">
        <f t="shared" si="154"/>
        <v>1372</v>
      </c>
      <c r="H502" s="8">
        <f t="shared" si="155"/>
        <v>2109</v>
      </c>
      <c r="I502" s="8">
        <f t="shared" si="156"/>
        <v>1870</v>
      </c>
      <c r="J502" s="8">
        <f t="shared" si="157"/>
        <v>1950</v>
      </c>
      <c r="K502" s="8">
        <f t="shared" si="168"/>
        <v>3000</v>
      </c>
      <c r="L502" s="8">
        <f t="shared" si="169"/>
        <v>3000</v>
      </c>
      <c r="M502" s="8">
        <f t="shared" si="170"/>
        <v>3000</v>
      </c>
      <c r="N502" s="8">
        <f t="shared" si="161"/>
        <v>-891</v>
      </c>
      <c r="O502" s="8">
        <f t="shared" si="162"/>
        <v>-1130</v>
      </c>
      <c r="P502" s="8">
        <f t="shared" si="163"/>
        <v>-1050</v>
      </c>
      <c r="Q502" s="11">
        <v>2</v>
      </c>
      <c r="R502" s="11">
        <v>6</v>
      </c>
      <c r="S502" s="11">
        <v>3</v>
      </c>
      <c r="T502" s="10">
        <f t="shared" si="158"/>
        <v>142</v>
      </c>
      <c r="U502" s="9">
        <f t="shared" si="164"/>
        <v>3399</v>
      </c>
      <c r="V502" s="9">
        <f t="shared" si="165"/>
        <v>3180</v>
      </c>
      <c r="W502" s="9">
        <f t="shared" si="166"/>
        <v>3290</v>
      </c>
      <c r="X502" s="8"/>
      <c r="Y502" s="8"/>
      <c r="Z502" s="8"/>
      <c r="AA502" s="8"/>
      <c r="AB502" s="8"/>
    </row>
    <row r="503" spans="1:28" ht="13.15" customHeight="1">
      <c r="A503" s="13">
        <f t="shared" si="167"/>
        <v>489</v>
      </c>
      <c r="B503" s="14">
        <f t="shared" si="159"/>
        <v>45740</v>
      </c>
      <c r="C503" s="13">
        <f t="shared" si="160"/>
        <v>1069</v>
      </c>
      <c r="D503" s="12">
        <f t="shared" si="151"/>
        <v>2255</v>
      </c>
      <c r="E503" s="11">
        <f t="shared" si="152"/>
        <v>1215</v>
      </c>
      <c r="F503" s="11">
        <f t="shared" si="153"/>
        <v>1464</v>
      </c>
      <c r="G503" s="11">
        <f t="shared" si="154"/>
        <v>1376</v>
      </c>
      <c r="H503" s="8">
        <f t="shared" si="155"/>
        <v>2109</v>
      </c>
      <c r="I503" s="8">
        <f t="shared" si="156"/>
        <v>1860</v>
      </c>
      <c r="J503" s="8">
        <f t="shared" si="157"/>
        <v>1948</v>
      </c>
      <c r="K503" s="8">
        <f t="shared" si="168"/>
        <v>3000</v>
      </c>
      <c r="L503" s="8">
        <f t="shared" si="169"/>
        <v>3000</v>
      </c>
      <c r="M503" s="8">
        <f t="shared" si="170"/>
        <v>3000</v>
      </c>
      <c r="N503" s="8">
        <f t="shared" si="161"/>
        <v>-891</v>
      </c>
      <c r="O503" s="8">
        <f t="shared" si="162"/>
        <v>-1140</v>
      </c>
      <c r="P503" s="8">
        <f t="shared" si="163"/>
        <v>-1052</v>
      </c>
      <c r="Q503" s="11">
        <v>0</v>
      </c>
      <c r="R503" s="11">
        <v>10</v>
      </c>
      <c r="S503" s="11">
        <v>2</v>
      </c>
      <c r="T503" s="10">
        <f t="shared" si="158"/>
        <v>154</v>
      </c>
      <c r="U503" s="9">
        <f t="shared" si="164"/>
        <v>3399</v>
      </c>
      <c r="V503" s="9">
        <f t="shared" si="165"/>
        <v>3170</v>
      </c>
      <c r="W503" s="9">
        <f t="shared" si="166"/>
        <v>3288</v>
      </c>
      <c r="X503" s="8"/>
      <c r="Y503" s="8"/>
      <c r="Z503" s="8"/>
      <c r="AA503" s="8"/>
      <c r="AB503" s="8"/>
    </row>
    <row r="504" spans="1:28" ht="13.15" customHeight="1">
      <c r="A504" s="13">
        <f t="shared" si="167"/>
        <v>490</v>
      </c>
      <c r="B504" s="14">
        <f t="shared" si="159"/>
        <v>45741</v>
      </c>
      <c r="C504" s="13">
        <f t="shared" si="160"/>
        <v>1069</v>
      </c>
      <c r="D504" s="12">
        <f t="shared" si="151"/>
        <v>2257</v>
      </c>
      <c r="E504" s="11">
        <f t="shared" si="152"/>
        <v>1218</v>
      </c>
      <c r="F504" s="11">
        <f t="shared" si="153"/>
        <v>1473</v>
      </c>
      <c r="G504" s="11">
        <f t="shared" si="154"/>
        <v>1381</v>
      </c>
      <c r="H504" s="8">
        <f t="shared" si="155"/>
        <v>2108</v>
      </c>
      <c r="I504" s="8">
        <f t="shared" si="156"/>
        <v>1853</v>
      </c>
      <c r="J504" s="8">
        <f t="shared" si="157"/>
        <v>1945</v>
      </c>
      <c r="K504" s="8">
        <f t="shared" si="168"/>
        <v>3000</v>
      </c>
      <c r="L504" s="8">
        <f t="shared" si="169"/>
        <v>3000</v>
      </c>
      <c r="M504" s="8">
        <f t="shared" si="170"/>
        <v>3000</v>
      </c>
      <c r="N504" s="8">
        <f t="shared" si="161"/>
        <v>-892</v>
      </c>
      <c r="O504" s="8">
        <f t="shared" si="162"/>
        <v>-1147</v>
      </c>
      <c r="P504" s="8">
        <f t="shared" si="163"/>
        <v>-1055</v>
      </c>
      <c r="Q504" s="11">
        <v>1</v>
      </c>
      <c r="R504" s="11">
        <v>7</v>
      </c>
      <c r="S504" s="11">
        <v>3</v>
      </c>
      <c r="T504" s="10">
        <f t="shared" si="158"/>
        <v>-137</v>
      </c>
      <c r="U504" s="9">
        <f t="shared" si="164"/>
        <v>3698</v>
      </c>
      <c r="V504" s="9">
        <f t="shared" si="165"/>
        <v>3463</v>
      </c>
      <c r="W504" s="9">
        <f t="shared" si="166"/>
        <v>3585</v>
      </c>
      <c r="X504" s="27">
        <v>0.3</v>
      </c>
      <c r="Y504" s="8"/>
      <c r="Z504" s="8"/>
      <c r="AA504" s="8"/>
      <c r="AB504" s="8" t="s">
        <v>76</v>
      </c>
    </row>
    <row r="505" spans="1:28" ht="13.15" customHeight="1">
      <c r="A505" s="13">
        <f t="shared" si="167"/>
        <v>491</v>
      </c>
      <c r="B505" s="14">
        <f t="shared" si="159"/>
        <v>45742</v>
      </c>
      <c r="C505" s="13">
        <f t="shared" si="160"/>
        <v>1069</v>
      </c>
      <c r="D505" s="12">
        <f t="shared" si="151"/>
        <v>2259</v>
      </c>
      <c r="E505" s="11">
        <f t="shared" si="152"/>
        <v>1220</v>
      </c>
      <c r="F505" s="11">
        <f t="shared" si="153"/>
        <v>1485</v>
      </c>
      <c r="G505" s="11">
        <f t="shared" si="154"/>
        <v>1386</v>
      </c>
      <c r="H505" s="8">
        <f t="shared" si="155"/>
        <v>2108</v>
      </c>
      <c r="I505" s="8">
        <f t="shared" si="156"/>
        <v>1843</v>
      </c>
      <c r="J505" s="8">
        <f t="shared" si="157"/>
        <v>1942</v>
      </c>
      <c r="K505" s="8">
        <f t="shared" si="168"/>
        <v>3000</v>
      </c>
      <c r="L505" s="8">
        <f t="shared" si="169"/>
        <v>3000</v>
      </c>
      <c r="M505" s="8">
        <f t="shared" si="170"/>
        <v>3000</v>
      </c>
      <c r="N505" s="8">
        <f t="shared" si="161"/>
        <v>-892</v>
      </c>
      <c r="O505" s="8">
        <f t="shared" si="162"/>
        <v>-1157</v>
      </c>
      <c r="P505" s="8">
        <f t="shared" si="163"/>
        <v>-1058</v>
      </c>
      <c r="Q505" s="11">
        <v>0</v>
      </c>
      <c r="R505" s="11">
        <v>10</v>
      </c>
      <c r="S505" s="11">
        <v>3</v>
      </c>
      <c r="T505" s="10">
        <f t="shared" si="158"/>
        <v>-125</v>
      </c>
      <c r="U505" s="9">
        <f t="shared" si="164"/>
        <v>3698</v>
      </c>
      <c r="V505" s="9">
        <f t="shared" si="165"/>
        <v>3453</v>
      </c>
      <c r="W505" s="9">
        <f t="shared" si="166"/>
        <v>3582</v>
      </c>
      <c r="X505" s="8"/>
      <c r="Y505" s="8"/>
      <c r="Z505" s="8"/>
      <c r="AA505" s="8"/>
      <c r="AB505" s="8"/>
    </row>
    <row r="506" spans="1:28" ht="13.15" customHeight="1">
      <c r="A506" s="13">
        <f t="shared" si="167"/>
        <v>492</v>
      </c>
      <c r="B506" s="14">
        <f t="shared" si="159"/>
        <v>45743</v>
      </c>
      <c r="C506" s="13">
        <f t="shared" si="160"/>
        <v>1069</v>
      </c>
      <c r="D506" s="12">
        <f t="shared" si="151"/>
        <v>2261</v>
      </c>
      <c r="E506" s="11">
        <f t="shared" si="152"/>
        <v>1222</v>
      </c>
      <c r="F506" s="11">
        <f t="shared" si="153"/>
        <v>1497</v>
      </c>
      <c r="G506" s="11">
        <f t="shared" si="154"/>
        <v>1391</v>
      </c>
      <c r="H506" s="8">
        <f t="shared" si="155"/>
        <v>2108</v>
      </c>
      <c r="I506" s="8">
        <f t="shared" si="156"/>
        <v>1833</v>
      </c>
      <c r="J506" s="8">
        <f t="shared" si="157"/>
        <v>1939</v>
      </c>
      <c r="K506" s="8">
        <f t="shared" si="168"/>
        <v>3000</v>
      </c>
      <c r="L506" s="8">
        <f t="shared" si="169"/>
        <v>3000</v>
      </c>
      <c r="M506" s="8">
        <f t="shared" si="170"/>
        <v>3000</v>
      </c>
      <c r="N506" s="8">
        <f t="shared" si="161"/>
        <v>-892</v>
      </c>
      <c r="O506" s="8">
        <f t="shared" si="162"/>
        <v>-1167</v>
      </c>
      <c r="P506" s="8">
        <f t="shared" si="163"/>
        <v>-1061</v>
      </c>
      <c r="Q506" s="11">
        <v>0</v>
      </c>
      <c r="R506" s="11">
        <v>10</v>
      </c>
      <c r="S506" s="11">
        <v>3</v>
      </c>
      <c r="T506" s="10">
        <f t="shared" si="158"/>
        <v>-113</v>
      </c>
      <c r="U506" s="9">
        <f t="shared" si="164"/>
        <v>3698</v>
      </c>
      <c r="V506" s="9">
        <f t="shared" si="165"/>
        <v>3443</v>
      </c>
      <c r="W506" s="9">
        <f t="shared" si="166"/>
        <v>3579</v>
      </c>
      <c r="X506" s="8"/>
      <c r="Y506" s="8"/>
      <c r="Z506" s="8"/>
      <c r="AA506" s="8"/>
      <c r="AB506" s="8"/>
    </row>
    <row r="507" spans="1:28" ht="13.15" customHeight="1">
      <c r="A507" s="13">
        <f t="shared" si="167"/>
        <v>493</v>
      </c>
      <c r="B507" s="14">
        <f t="shared" si="159"/>
        <v>45744</v>
      </c>
      <c r="C507" s="13">
        <f t="shared" si="160"/>
        <v>1069</v>
      </c>
      <c r="D507" s="12">
        <f t="shared" si="151"/>
        <v>2263</v>
      </c>
      <c r="E507" s="11">
        <f t="shared" si="152"/>
        <v>1230</v>
      </c>
      <c r="F507" s="11">
        <f t="shared" si="153"/>
        <v>1509</v>
      </c>
      <c r="G507" s="11">
        <f t="shared" si="154"/>
        <v>1397</v>
      </c>
      <c r="H507" s="8">
        <f t="shared" si="155"/>
        <v>2102</v>
      </c>
      <c r="I507" s="8">
        <f t="shared" si="156"/>
        <v>1823</v>
      </c>
      <c r="J507" s="8">
        <f t="shared" si="157"/>
        <v>1935</v>
      </c>
      <c r="K507" s="8">
        <f t="shared" si="168"/>
        <v>3000</v>
      </c>
      <c r="L507" s="8">
        <f t="shared" si="169"/>
        <v>3000</v>
      </c>
      <c r="M507" s="8">
        <f t="shared" si="170"/>
        <v>3000</v>
      </c>
      <c r="N507" s="8">
        <f t="shared" si="161"/>
        <v>-898</v>
      </c>
      <c r="O507" s="8">
        <f t="shared" si="162"/>
        <v>-1177</v>
      </c>
      <c r="P507" s="8">
        <f t="shared" si="163"/>
        <v>-1065</v>
      </c>
      <c r="Q507" s="11">
        <v>6</v>
      </c>
      <c r="R507" s="11">
        <v>10</v>
      </c>
      <c r="S507" s="11">
        <v>4</v>
      </c>
      <c r="T507" s="10">
        <f t="shared" si="158"/>
        <v>-401</v>
      </c>
      <c r="U507" s="9">
        <f t="shared" si="164"/>
        <v>3992</v>
      </c>
      <c r="V507" s="9">
        <f t="shared" si="165"/>
        <v>3733</v>
      </c>
      <c r="W507" s="9">
        <f t="shared" si="166"/>
        <v>3875</v>
      </c>
      <c r="X507" s="27">
        <v>0.3</v>
      </c>
      <c r="Y507" s="8"/>
      <c r="Z507" s="8"/>
      <c r="AA507" s="8"/>
      <c r="AB507" s="8" t="s">
        <v>77</v>
      </c>
    </row>
    <row r="508" spans="1:28" ht="13.15" customHeight="1">
      <c r="A508" s="13">
        <f t="shared" si="167"/>
        <v>494</v>
      </c>
      <c r="B508" s="14">
        <f t="shared" si="159"/>
        <v>45745</v>
      </c>
      <c r="C508" s="13">
        <f t="shared" si="160"/>
        <v>1069</v>
      </c>
      <c r="D508" s="12">
        <f t="shared" si="151"/>
        <v>2265</v>
      </c>
      <c r="E508" s="11">
        <f t="shared" si="152"/>
        <v>1241</v>
      </c>
      <c r="F508" s="11">
        <f t="shared" si="153"/>
        <v>1518</v>
      </c>
      <c r="G508" s="11">
        <f t="shared" si="154"/>
        <v>1401</v>
      </c>
      <c r="H508" s="8">
        <f t="shared" si="155"/>
        <v>2093</v>
      </c>
      <c r="I508" s="8">
        <f t="shared" si="156"/>
        <v>1816</v>
      </c>
      <c r="J508" s="8">
        <f t="shared" si="157"/>
        <v>1933</v>
      </c>
      <c r="K508" s="8">
        <f t="shared" si="168"/>
        <v>3000</v>
      </c>
      <c r="L508" s="8">
        <f t="shared" si="169"/>
        <v>3000</v>
      </c>
      <c r="M508" s="8">
        <f t="shared" si="170"/>
        <v>3000</v>
      </c>
      <c r="N508" s="8">
        <f t="shared" si="161"/>
        <v>-907</v>
      </c>
      <c r="O508" s="8">
        <f t="shared" si="162"/>
        <v>-1184</v>
      </c>
      <c r="P508" s="8">
        <f t="shared" si="163"/>
        <v>-1067</v>
      </c>
      <c r="Q508" s="11">
        <v>9</v>
      </c>
      <c r="R508" s="11">
        <v>7</v>
      </c>
      <c r="S508" s="11">
        <v>2</v>
      </c>
      <c r="T508" s="10">
        <f t="shared" si="158"/>
        <v>-392</v>
      </c>
      <c r="U508" s="9">
        <f t="shared" si="164"/>
        <v>3983</v>
      </c>
      <c r="V508" s="9">
        <f t="shared" si="165"/>
        <v>3726</v>
      </c>
      <c r="W508" s="9">
        <f t="shared" si="166"/>
        <v>3873</v>
      </c>
      <c r="X508" s="8"/>
      <c r="Y508" s="8"/>
      <c r="Z508" s="8"/>
      <c r="AA508" s="8"/>
      <c r="AB508" s="8"/>
    </row>
    <row r="509" spans="1:28" ht="13.15" customHeight="1">
      <c r="A509" s="13">
        <f t="shared" si="167"/>
        <v>495</v>
      </c>
      <c r="B509" s="14">
        <f t="shared" si="159"/>
        <v>45746</v>
      </c>
      <c r="C509" s="13">
        <f t="shared" si="160"/>
        <v>1069</v>
      </c>
      <c r="D509" s="12">
        <f t="shared" si="151"/>
        <v>2267</v>
      </c>
      <c r="E509" s="11">
        <f t="shared" si="152"/>
        <v>1249</v>
      </c>
      <c r="F509" s="11">
        <f t="shared" si="153"/>
        <v>1528</v>
      </c>
      <c r="G509" s="11">
        <f t="shared" si="154"/>
        <v>1406</v>
      </c>
      <c r="H509" s="8">
        <f t="shared" si="155"/>
        <v>2087</v>
      </c>
      <c r="I509" s="8">
        <f t="shared" si="156"/>
        <v>1808</v>
      </c>
      <c r="J509" s="8">
        <f t="shared" si="157"/>
        <v>1930</v>
      </c>
      <c r="K509" s="8">
        <f t="shared" si="168"/>
        <v>3000</v>
      </c>
      <c r="L509" s="8">
        <f t="shared" si="169"/>
        <v>3000</v>
      </c>
      <c r="M509" s="8">
        <f t="shared" si="170"/>
        <v>3000</v>
      </c>
      <c r="N509" s="8">
        <f t="shared" si="161"/>
        <v>-913</v>
      </c>
      <c r="O509" s="8">
        <f t="shared" si="162"/>
        <v>-1192</v>
      </c>
      <c r="P509" s="8">
        <f t="shared" si="163"/>
        <v>-1070</v>
      </c>
      <c r="Q509" s="11">
        <v>6</v>
      </c>
      <c r="R509" s="11">
        <v>8</v>
      </c>
      <c r="S509" s="11">
        <v>3</v>
      </c>
      <c r="T509" s="10">
        <f t="shared" si="158"/>
        <v>-382</v>
      </c>
      <c r="U509" s="9">
        <f t="shared" si="164"/>
        <v>3977</v>
      </c>
      <c r="V509" s="9">
        <f t="shared" si="165"/>
        <v>3718</v>
      </c>
      <c r="W509" s="9">
        <f t="shared" si="166"/>
        <v>3870</v>
      </c>
      <c r="X509" s="8"/>
      <c r="Y509" s="8"/>
      <c r="Z509" s="8"/>
      <c r="AA509" s="8"/>
      <c r="AB509" s="8"/>
    </row>
    <row r="510" spans="1:28" ht="13.15" customHeight="1">
      <c r="A510" s="13">
        <f t="shared" si="167"/>
        <v>496</v>
      </c>
      <c r="B510" s="14">
        <f t="shared" si="159"/>
        <v>45747</v>
      </c>
      <c r="C510" s="13">
        <f t="shared" si="160"/>
        <v>1069</v>
      </c>
      <c r="D510" s="12">
        <f t="shared" si="151"/>
        <v>2269</v>
      </c>
      <c r="E510" s="11">
        <f t="shared" si="152"/>
        <v>1256</v>
      </c>
      <c r="F510" s="11">
        <f t="shared" si="153"/>
        <v>1536</v>
      </c>
      <c r="G510" s="11">
        <f t="shared" si="154"/>
        <v>1410</v>
      </c>
      <c r="H510" s="8">
        <f t="shared" si="155"/>
        <v>2082</v>
      </c>
      <c r="I510" s="8">
        <f t="shared" si="156"/>
        <v>1802</v>
      </c>
      <c r="J510" s="8">
        <f t="shared" si="157"/>
        <v>1928</v>
      </c>
      <c r="K510" s="8">
        <f t="shared" si="168"/>
        <v>3000</v>
      </c>
      <c r="L510" s="8">
        <f t="shared" si="169"/>
        <v>3000</v>
      </c>
      <c r="M510" s="8">
        <f t="shared" si="170"/>
        <v>3000</v>
      </c>
      <c r="N510" s="8">
        <f t="shared" si="161"/>
        <v>-918</v>
      </c>
      <c r="O510" s="8">
        <f t="shared" si="162"/>
        <v>-1198</v>
      </c>
      <c r="P510" s="8">
        <f t="shared" si="163"/>
        <v>-1072</v>
      </c>
      <c r="Q510" s="11">
        <v>5</v>
      </c>
      <c r="R510" s="11">
        <v>6</v>
      </c>
      <c r="S510" s="11">
        <v>2</v>
      </c>
      <c r="T510" s="10">
        <f t="shared" si="158"/>
        <v>-674</v>
      </c>
      <c r="U510" s="9">
        <f t="shared" si="164"/>
        <v>4272</v>
      </c>
      <c r="V510" s="9">
        <f t="shared" si="165"/>
        <v>4012</v>
      </c>
      <c r="W510" s="9">
        <f t="shared" si="166"/>
        <v>4168</v>
      </c>
      <c r="X510" s="27">
        <v>0.3</v>
      </c>
      <c r="Y510" s="8"/>
      <c r="Z510" s="8"/>
      <c r="AA510" s="8"/>
      <c r="AB510" s="8" t="s">
        <v>78</v>
      </c>
    </row>
    <row r="511" spans="1:28" ht="13.15" customHeight="1">
      <c r="A511" s="13">
        <f t="shared" ref="A511:A528" si="171">+A510+1</f>
        <v>497</v>
      </c>
      <c r="B511" s="14">
        <f t="shared" ref="B511:B520" si="172">B510+1</f>
        <v>45748</v>
      </c>
      <c r="C511" s="13">
        <f t="shared" ref="C511:C528" si="173">C510</f>
        <v>1069</v>
      </c>
      <c r="D511" s="12">
        <f t="shared" ref="D511:D528" si="174">D510+2</f>
        <v>2271</v>
      </c>
      <c r="E511" s="11">
        <f t="shared" ref="E511:E528" si="175">C511+D511-H511</f>
        <v>1268</v>
      </c>
      <c r="F511" s="11">
        <f t="shared" ref="F511:F528" si="176">C511+D511-I511</f>
        <v>1548</v>
      </c>
      <c r="G511" s="11">
        <f t="shared" ref="G511:G528" si="177">D511+C511-J511</f>
        <v>1419</v>
      </c>
      <c r="H511" s="8">
        <f t="shared" ref="H511:H528" si="178">K511+N511</f>
        <v>2072</v>
      </c>
      <c r="I511" s="8">
        <f t="shared" ref="I511:I528" si="179">L511+O511</f>
        <v>1792</v>
      </c>
      <c r="J511" s="8">
        <f t="shared" ref="J511:J528" si="180">M511+P511</f>
        <v>1921</v>
      </c>
      <c r="K511" s="8">
        <f t="shared" ref="K511:K528" si="181">K510</f>
        <v>3000</v>
      </c>
      <c r="L511" s="8">
        <f t="shared" ref="L511:L528" si="182">L510</f>
        <v>3000</v>
      </c>
      <c r="M511" s="8">
        <f t="shared" ref="M511:M528" si="183">M510</f>
        <v>3000</v>
      </c>
      <c r="N511" s="8">
        <f t="shared" ref="N511:N528" si="184">N510-Q511</f>
        <v>-928</v>
      </c>
      <c r="O511" s="8">
        <f t="shared" ref="O511:O528" si="185">O510-R511</f>
        <v>-1208</v>
      </c>
      <c r="P511" s="8">
        <f t="shared" ref="P511:P528" si="186">P510-S511</f>
        <v>-1079</v>
      </c>
      <c r="Q511" s="11">
        <v>10</v>
      </c>
      <c r="R511" s="11">
        <v>10</v>
      </c>
      <c r="S511" s="11">
        <v>7</v>
      </c>
      <c r="T511" s="10">
        <f t="shared" ref="T511:T528" si="187">D511+C511-V511</f>
        <v>-662</v>
      </c>
      <c r="U511" s="9">
        <f t="shared" ref="U511:U528" si="188">U510+$X511*1000-Q511</f>
        <v>4262</v>
      </c>
      <c r="V511" s="9">
        <f t="shared" ref="V511:V528" si="189">V510+$X511*1000-R511</f>
        <v>4002</v>
      </c>
      <c r="W511" s="9">
        <f t="shared" ref="W511:W528" si="190">W510+$X511*1000-S511</f>
        <v>4161</v>
      </c>
      <c r="X511" s="8"/>
      <c r="Y511" s="8"/>
      <c r="Z511" s="8"/>
      <c r="AA511" s="8"/>
      <c r="AB511" s="8"/>
    </row>
    <row r="512" spans="1:28" ht="13.15" customHeight="1">
      <c r="A512" s="13">
        <f t="shared" si="171"/>
        <v>498</v>
      </c>
      <c r="B512" s="14">
        <f t="shared" si="172"/>
        <v>45749</v>
      </c>
      <c r="C512" s="13">
        <f t="shared" si="173"/>
        <v>1069</v>
      </c>
      <c r="D512" s="12">
        <f t="shared" si="174"/>
        <v>2273</v>
      </c>
      <c r="E512" s="11">
        <f t="shared" si="175"/>
        <v>1280</v>
      </c>
      <c r="F512" s="11">
        <f t="shared" si="176"/>
        <v>1560</v>
      </c>
      <c r="G512" s="11">
        <f t="shared" si="177"/>
        <v>1426</v>
      </c>
      <c r="H512" s="8">
        <f t="shared" si="178"/>
        <v>2062</v>
      </c>
      <c r="I512" s="8">
        <f t="shared" si="179"/>
        <v>1782</v>
      </c>
      <c r="J512" s="8">
        <f t="shared" si="180"/>
        <v>1916</v>
      </c>
      <c r="K512" s="8">
        <f t="shared" si="181"/>
        <v>3000</v>
      </c>
      <c r="L512" s="8">
        <f t="shared" si="182"/>
        <v>3000</v>
      </c>
      <c r="M512" s="8">
        <f t="shared" si="183"/>
        <v>3000</v>
      </c>
      <c r="N512" s="8">
        <f t="shared" si="184"/>
        <v>-938</v>
      </c>
      <c r="O512" s="8">
        <f t="shared" si="185"/>
        <v>-1218</v>
      </c>
      <c r="P512" s="8">
        <f t="shared" si="186"/>
        <v>-1084</v>
      </c>
      <c r="Q512" s="11">
        <v>10</v>
      </c>
      <c r="R512" s="11">
        <v>10</v>
      </c>
      <c r="S512" s="11">
        <v>5</v>
      </c>
      <c r="T512" s="10">
        <f t="shared" si="187"/>
        <v>-650</v>
      </c>
      <c r="U512" s="9">
        <f t="shared" si="188"/>
        <v>4252</v>
      </c>
      <c r="V512" s="9">
        <f t="shared" si="189"/>
        <v>3992</v>
      </c>
      <c r="W512" s="9">
        <f t="shared" si="190"/>
        <v>4156</v>
      </c>
      <c r="X512" s="8"/>
      <c r="Y512" s="8"/>
      <c r="Z512" s="8"/>
      <c r="AA512" s="8"/>
      <c r="AB512" s="8"/>
    </row>
    <row r="513" spans="1:28" ht="13.15" customHeight="1">
      <c r="A513" s="13">
        <f t="shared" si="171"/>
        <v>499</v>
      </c>
      <c r="B513" s="14">
        <f t="shared" si="172"/>
        <v>45750</v>
      </c>
      <c r="C513" s="13">
        <f t="shared" si="173"/>
        <v>1069</v>
      </c>
      <c r="D513" s="12">
        <f t="shared" si="174"/>
        <v>2275</v>
      </c>
      <c r="E513" s="11">
        <f t="shared" si="175"/>
        <v>1292</v>
      </c>
      <c r="F513" s="11">
        <f t="shared" si="176"/>
        <v>1572</v>
      </c>
      <c r="G513" s="11">
        <f t="shared" si="177"/>
        <v>1434</v>
      </c>
      <c r="H513" s="8">
        <f t="shared" si="178"/>
        <v>2052</v>
      </c>
      <c r="I513" s="8">
        <f t="shared" si="179"/>
        <v>1772</v>
      </c>
      <c r="J513" s="8">
        <f t="shared" si="180"/>
        <v>1910</v>
      </c>
      <c r="K513" s="8">
        <f t="shared" si="181"/>
        <v>3000</v>
      </c>
      <c r="L513" s="8">
        <f t="shared" si="182"/>
        <v>3000</v>
      </c>
      <c r="M513" s="8">
        <f t="shared" si="183"/>
        <v>3000</v>
      </c>
      <c r="N513" s="8">
        <f t="shared" si="184"/>
        <v>-948</v>
      </c>
      <c r="O513" s="8">
        <f t="shared" si="185"/>
        <v>-1228</v>
      </c>
      <c r="P513" s="8">
        <f t="shared" si="186"/>
        <v>-1090</v>
      </c>
      <c r="Q513" s="11">
        <v>10</v>
      </c>
      <c r="R513" s="11">
        <v>10</v>
      </c>
      <c r="S513" s="11">
        <v>6</v>
      </c>
      <c r="T513" s="10">
        <f t="shared" si="187"/>
        <v>-938</v>
      </c>
      <c r="U513" s="9">
        <f t="shared" si="188"/>
        <v>4542</v>
      </c>
      <c r="V513" s="9">
        <f t="shared" si="189"/>
        <v>4282</v>
      </c>
      <c r="W513" s="9">
        <f t="shared" si="190"/>
        <v>4450</v>
      </c>
      <c r="X513" s="27">
        <v>0.3</v>
      </c>
      <c r="Y513" s="8"/>
      <c r="Z513" s="8"/>
      <c r="AA513" s="8"/>
      <c r="AB513" s="8" t="s">
        <v>79</v>
      </c>
    </row>
    <row r="514" spans="1:28" ht="13.15" customHeight="1">
      <c r="A514" s="13">
        <f t="shared" si="171"/>
        <v>500</v>
      </c>
      <c r="B514" s="14">
        <f t="shared" si="172"/>
        <v>45751</v>
      </c>
      <c r="C514" s="13">
        <f t="shared" si="173"/>
        <v>1069</v>
      </c>
      <c r="D514" s="12">
        <f t="shared" si="174"/>
        <v>2277</v>
      </c>
      <c r="E514" s="11">
        <f t="shared" si="175"/>
        <v>1304</v>
      </c>
      <c r="F514" s="11">
        <f t="shared" si="176"/>
        <v>1584</v>
      </c>
      <c r="G514" s="11">
        <f t="shared" si="177"/>
        <v>1441</v>
      </c>
      <c r="H514" s="8">
        <f t="shared" si="178"/>
        <v>2042</v>
      </c>
      <c r="I514" s="8">
        <f t="shared" si="179"/>
        <v>1762</v>
      </c>
      <c r="J514" s="8">
        <f t="shared" si="180"/>
        <v>1905</v>
      </c>
      <c r="K514" s="8">
        <f t="shared" si="181"/>
        <v>3000</v>
      </c>
      <c r="L514" s="8">
        <f t="shared" si="182"/>
        <v>3000</v>
      </c>
      <c r="M514" s="8">
        <f t="shared" si="183"/>
        <v>3000</v>
      </c>
      <c r="N514" s="8">
        <f t="shared" si="184"/>
        <v>-958</v>
      </c>
      <c r="O514" s="8">
        <f t="shared" si="185"/>
        <v>-1238</v>
      </c>
      <c r="P514" s="8">
        <f t="shared" si="186"/>
        <v>-1095</v>
      </c>
      <c r="Q514" s="11">
        <v>10</v>
      </c>
      <c r="R514" s="11">
        <v>10</v>
      </c>
      <c r="S514" s="11">
        <v>5</v>
      </c>
      <c r="T514" s="10">
        <f t="shared" si="187"/>
        <v>-926</v>
      </c>
      <c r="U514" s="9">
        <f t="shared" si="188"/>
        <v>4532</v>
      </c>
      <c r="V514" s="9">
        <f t="shared" si="189"/>
        <v>4272</v>
      </c>
      <c r="W514" s="9">
        <f t="shared" si="190"/>
        <v>4445</v>
      </c>
      <c r="X514" s="8"/>
      <c r="Y514" s="8"/>
      <c r="Z514" s="8"/>
      <c r="AA514" s="8"/>
      <c r="AB514" s="8"/>
    </row>
    <row r="515" spans="1:28" ht="13.15" customHeight="1">
      <c r="A515" s="13">
        <f t="shared" si="171"/>
        <v>501</v>
      </c>
      <c r="B515" s="14">
        <f t="shared" si="172"/>
        <v>45752</v>
      </c>
      <c r="C515" s="13">
        <f t="shared" si="173"/>
        <v>1069</v>
      </c>
      <c r="D515" s="12">
        <f t="shared" si="174"/>
        <v>2279</v>
      </c>
      <c r="E515" s="11">
        <f t="shared" si="175"/>
        <v>1316</v>
      </c>
      <c r="F515" s="11">
        <f t="shared" si="176"/>
        <v>1596</v>
      </c>
      <c r="G515" s="11">
        <f t="shared" si="177"/>
        <v>1450</v>
      </c>
      <c r="H515" s="8">
        <f t="shared" si="178"/>
        <v>2032</v>
      </c>
      <c r="I515" s="8">
        <f t="shared" si="179"/>
        <v>1752</v>
      </c>
      <c r="J515" s="8">
        <f t="shared" si="180"/>
        <v>1898</v>
      </c>
      <c r="K515" s="8">
        <f t="shared" si="181"/>
        <v>3000</v>
      </c>
      <c r="L515" s="8">
        <f t="shared" si="182"/>
        <v>3000</v>
      </c>
      <c r="M515" s="8">
        <f t="shared" si="183"/>
        <v>3000</v>
      </c>
      <c r="N515" s="8">
        <f t="shared" si="184"/>
        <v>-968</v>
      </c>
      <c r="O515" s="8">
        <f t="shared" si="185"/>
        <v>-1248</v>
      </c>
      <c r="P515" s="8">
        <f t="shared" si="186"/>
        <v>-1102</v>
      </c>
      <c r="Q515" s="11">
        <v>10</v>
      </c>
      <c r="R515" s="11">
        <v>10</v>
      </c>
      <c r="S515" s="11">
        <v>7</v>
      </c>
      <c r="T515" s="10">
        <f t="shared" si="187"/>
        <v>-914</v>
      </c>
      <c r="U515" s="9">
        <f t="shared" si="188"/>
        <v>4522</v>
      </c>
      <c r="V515" s="9">
        <f t="shared" si="189"/>
        <v>4262</v>
      </c>
      <c r="W515" s="9">
        <f t="shared" si="190"/>
        <v>4438</v>
      </c>
      <c r="X515" s="8"/>
      <c r="Y515" s="8"/>
      <c r="Z515" s="8"/>
      <c r="AA515" s="8"/>
      <c r="AB515" s="8"/>
    </row>
    <row r="516" spans="1:28" ht="13.15" customHeight="1">
      <c r="A516" s="13">
        <f t="shared" si="171"/>
        <v>502</v>
      </c>
      <c r="B516" s="14">
        <f t="shared" si="172"/>
        <v>45753</v>
      </c>
      <c r="C516" s="13">
        <f t="shared" si="173"/>
        <v>1069</v>
      </c>
      <c r="D516" s="12">
        <f t="shared" si="174"/>
        <v>2281</v>
      </c>
      <c r="E516" s="11">
        <f t="shared" si="175"/>
        <v>1328</v>
      </c>
      <c r="F516" s="11">
        <f t="shared" si="176"/>
        <v>1608</v>
      </c>
      <c r="G516" s="11">
        <f t="shared" si="177"/>
        <v>1458</v>
      </c>
      <c r="H516" s="8">
        <f t="shared" si="178"/>
        <v>2022</v>
      </c>
      <c r="I516" s="8">
        <f t="shared" si="179"/>
        <v>1742</v>
      </c>
      <c r="J516" s="8">
        <f t="shared" si="180"/>
        <v>1892</v>
      </c>
      <c r="K516" s="8">
        <f t="shared" si="181"/>
        <v>3000</v>
      </c>
      <c r="L516" s="8">
        <f t="shared" si="182"/>
        <v>3000</v>
      </c>
      <c r="M516" s="8">
        <f t="shared" si="183"/>
        <v>3000</v>
      </c>
      <c r="N516" s="8">
        <f t="shared" si="184"/>
        <v>-978</v>
      </c>
      <c r="O516" s="8">
        <f t="shared" si="185"/>
        <v>-1258</v>
      </c>
      <c r="P516" s="8">
        <f t="shared" si="186"/>
        <v>-1108</v>
      </c>
      <c r="Q516" s="11">
        <v>10</v>
      </c>
      <c r="R516" s="11">
        <v>10</v>
      </c>
      <c r="S516" s="11">
        <v>6</v>
      </c>
      <c r="T516" s="10">
        <f t="shared" si="187"/>
        <v>-1202</v>
      </c>
      <c r="U516" s="9">
        <f t="shared" si="188"/>
        <v>4812</v>
      </c>
      <c r="V516" s="9">
        <f t="shared" si="189"/>
        <v>4552</v>
      </c>
      <c r="W516" s="9">
        <f t="shared" si="190"/>
        <v>4732</v>
      </c>
      <c r="X516" s="27">
        <v>0.3</v>
      </c>
      <c r="Y516" s="8"/>
      <c r="Z516" s="8"/>
      <c r="AA516" s="8"/>
      <c r="AB516" s="8" t="s">
        <v>80</v>
      </c>
    </row>
    <row r="517" spans="1:28" ht="13.15" customHeight="1">
      <c r="A517" s="13">
        <f t="shared" si="171"/>
        <v>503</v>
      </c>
      <c r="B517" s="14">
        <f t="shared" si="172"/>
        <v>45754</v>
      </c>
      <c r="C517" s="13">
        <f t="shared" si="173"/>
        <v>1069</v>
      </c>
      <c r="D517" s="12">
        <f t="shared" si="174"/>
        <v>2283</v>
      </c>
      <c r="E517" s="11">
        <f t="shared" si="175"/>
        <v>1340</v>
      </c>
      <c r="F517" s="11">
        <f t="shared" si="176"/>
        <v>1620</v>
      </c>
      <c r="G517" s="11">
        <f t="shared" si="177"/>
        <v>1467</v>
      </c>
      <c r="H517" s="8">
        <f t="shared" si="178"/>
        <v>2012</v>
      </c>
      <c r="I517" s="8">
        <f t="shared" si="179"/>
        <v>1732</v>
      </c>
      <c r="J517" s="8">
        <f t="shared" si="180"/>
        <v>1885</v>
      </c>
      <c r="K517" s="8">
        <f t="shared" si="181"/>
        <v>3000</v>
      </c>
      <c r="L517" s="8">
        <f t="shared" si="182"/>
        <v>3000</v>
      </c>
      <c r="M517" s="8">
        <f t="shared" si="183"/>
        <v>3000</v>
      </c>
      <c r="N517" s="8">
        <f t="shared" si="184"/>
        <v>-988</v>
      </c>
      <c r="O517" s="8">
        <f t="shared" si="185"/>
        <v>-1268</v>
      </c>
      <c r="P517" s="8">
        <f t="shared" si="186"/>
        <v>-1115</v>
      </c>
      <c r="Q517" s="11">
        <v>10</v>
      </c>
      <c r="R517" s="11">
        <v>10</v>
      </c>
      <c r="S517" s="11">
        <v>7</v>
      </c>
      <c r="T517" s="10">
        <f t="shared" si="187"/>
        <v>-1190</v>
      </c>
      <c r="U517" s="9">
        <f t="shared" si="188"/>
        <v>4802</v>
      </c>
      <c r="V517" s="9">
        <f t="shared" si="189"/>
        <v>4542</v>
      </c>
      <c r="W517" s="9">
        <f t="shared" si="190"/>
        <v>4725</v>
      </c>
      <c r="X517" s="8"/>
      <c r="Y517" s="8"/>
      <c r="Z517" s="8"/>
      <c r="AA517" s="8"/>
      <c r="AB517" s="8"/>
    </row>
    <row r="518" spans="1:28" ht="13.15" customHeight="1">
      <c r="A518" s="13">
        <f t="shared" si="171"/>
        <v>504</v>
      </c>
      <c r="B518" s="14">
        <f t="shared" si="172"/>
        <v>45755</v>
      </c>
      <c r="C518" s="13">
        <f t="shared" si="173"/>
        <v>1069</v>
      </c>
      <c r="D518" s="12">
        <f t="shared" si="174"/>
        <v>2285</v>
      </c>
      <c r="E518" s="11">
        <f t="shared" si="175"/>
        <v>1352</v>
      </c>
      <c r="F518" s="11">
        <f t="shared" si="176"/>
        <v>1632</v>
      </c>
      <c r="G518" s="11">
        <f t="shared" si="177"/>
        <v>1477</v>
      </c>
      <c r="H518" s="8">
        <f t="shared" si="178"/>
        <v>2002</v>
      </c>
      <c r="I518" s="8">
        <f t="shared" si="179"/>
        <v>1722</v>
      </c>
      <c r="J518" s="8">
        <f t="shared" si="180"/>
        <v>1877</v>
      </c>
      <c r="K518" s="8">
        <f t="shared" si="181"/>
        <v>3000</v>
      </c>
      <c r="L518" s="8">
        <f t="shared" si="182"/>
        <v>3000</v>
      </c>
      <c r="M518" s="8">
        <f t="shared" si="183"/>
        <v>3000</v>
      </c>
      <c r="N518" s="8">
        <f t="shared" si="184"/>
        <v>-998</v>
      </c>
      <c r="O518" s="8">
        <f t="shared" si="185"/>
        <v>-1278</v>
      </c>
      <c r="P518" s="8">
        <f t="shared" si="186"/>
        <v>-1123</v>
      </c>
      <c r="Q518" s="11">
        <v>10</v>
      </c>
      <c r="R518" s="11">
        <v>10</v>
      </c>
      <c r="S518" s="11">
        <v>8</v>
      </c>
      <c r="T518" s="10">
        <f t="shared" si="187"/>
        <v>-1178</v>
      </c>
      <c r="U518" s="9">
        <f t="shared" si="188"/>
        <v>4792</v>
      </c>
      <c r="V518" s="9">
        <f t="shared" si="189"/>
        <v>4532</v>
      </c>
      <c r="W518" s="9">
        <f t="shared" si="190"/>
        <v>4717</v>
      </c>
      <c r="X518" s="8"/>
      <c r="Y518" s="8"/>
      <c r="Z518" s="8"/>
      <c r="AA518" s="8"/>
      <c r="AB518" s="8"/>
    </row>
    <row r="519" spans="1:28" ht="13.15" customHeight="1">
      <c r="A519" s="13">
        <f t="shared" si="171"/>
        <v>505</v>
      </c>
      <c r="B519" s="14">
        <f t="shared" si="172"/>
        <v>45756</v>
      </c>
      <c r="C519" s="13">
        <f t="shared" si="173"/>
        <v>1069</v>
      </c>
      <c r="D519" s="12">
        <f t="shared" si="174"/>
        <v>2287</v>
      </c>
      <c r="E519" s="11">
        <f t="shared" si="175"/>
        <v>1364</v>
      </c>
      <c r="F519" s="11">
        <f t="shared" si="176"/>
        <v>1644</v>
      </c>
      <c r="G519" s="11">
        <f t="shared" si="177"/>
        <v>1486</v>
      </c>
      <c r="H519" s="8">
        <f t="shared" si="178"/>
        <v>1992</v>
      </c>
      <c r="I519" s="8">
        <f t="shared" si="179"/>
        <v>1712</v>
      </c>
      <c r="J519" s="8">
        <f t="shared" si="180"/>
        <v>1870</v>
      </c>
      <c r="K519" s="8">
        <f t="shared" si="181"/>
        <v>3000</v>
      </c>
      <c r="L519" s="8">
        <f t="shared" si="182"/>
        <v>3000</v>
      </c>
      <c r="M519" s="8">
        <f t="shared" si="183"/>
        <v>3000</v>
      </c>
      <c r="N519" s="8">
        <f t="shared" si="184"/>
        <v>-1008</v>
      </c>
      <c r="O519" s="8">
        <f t="shared" si="185"/>
        <v>-1288</v>
      </c>
      <c r="P519" s="8">
        <f t="shared" si="186"/>
        <v>-1130</v>
      </c>
      <c r="Q519" s="11">
        <v>10</v>
      </c>
      <c r="R519" s="11">
        <v>10</v>
      </c>
      <c r="S519" s="11">
        <v>7</v>
      </c>
      <c r="T519" s="10">
        <f t="shared" si="187"/>
        <v>-1166</v>
      </c>
      <c r="U519" s="9">
        <f t="shared" si="188"/>
        <v>4782</v>
      </c>
      <c r="V519" s="9">
        <f t="shared" si="189"/>
        <v>4522</v>
      </c>
      <c r="W519" s="9">
        <f t="shared" si="190"/>
        <v>4710</v>
      </c>
      <c r="X519" s="8"/>
      <c r="Y519" s="8"/>
      <c r="Z519" s="8"/>
      <c r="AA519" s="8"/>
      <c r="AB519" s="8"/>
    </row>
    <row r="520" spans="1:28" s="174" customFormat="1" ht="13.15" customHeight="1">
      <c r="A520" s="169">
        <f t="shared" si="171"/>
        <v>506</v>
      </c>
      <c r="B520" s="170">
        <f t="shared" si="172"/>
        <v>45757</v>
      </c>
      <c r="C520" s="169">
        <f t="shared" si="173"/>
        <v>1069</v>
      </c>
      <c r="D520" s="171">
        <f t="shared" si="174"/>
        <v>2289</v>
      </c>
      <c r="E520" s="172">
        <f t="shared" si="175"/>
        <v>1376</v>
      </c>
      <c r="F520" s="172">
        <f t="shared" si="176"/>
        <v>1656</v>
      </c>
      <c r="G520" s="172">
        <f t="shared" si="177"/>
        <v>1496</v>
      </c>
      <c r="H520" s="172">
        <f t="shared" si="178"/>
        <v>1982</v>
      </c>
      <c r="I520" s="172">
        <f t="shared" si="179"/>
        <v>1702</v>
      </c>
      <c r="J520" s="172">
        <f t="shared" si="180"/>
        <v>1862</v>
      </c>
      <c r="K520" s="172">
        <f t="shared" si="181"/>
        <v>3000</v>
      </c>
      <c r="L520" s="172">
        <f t="shared" si="182"/>
        <v>3000</v>
      </c>
      <c r="M520" s="172">
        <f t="shared" si="183"/>
        <v>3000</v>
      </c>
      <c r="N520" s="172">
        <f t="shared" si="184"/>
        <v>-1018</v>
      </c>
      <c r="O520" s="172">
        <f t="shared" si="185"/>
        <v>-1298</v>
      </c>
      <c r="P520" s="172">
        <f t="shared" si="186"/>
        <v>-1138</v>
      </c>
      <c r="Q520" s="22">
        <v>10</v>
      </c>
      <c r="R520" s="172">
        <v>10</v>
      </c>
      <c r="S520" s="172">
        <v>8</v>
      </c>
      <c r="T520" s="172">
        <f t="shared" si="187"/>
        <v>-1454</v>
      </c>
      <c r="U520" s="173">
        <f t="shared" si="188"/>
        <v>5072</v>
      </c>
      <c r="V520" s="173">
        <f t="shared" si="189"/>
        <v>4812</v>
      </c>
      <c r="W520" s="173">
        <f t="shared" si="190"/>
        <v>5002</v>
      </c>
      <c r="X520" s="259">
        <v>0.3</v>
      </c>
      <c r="Y520" s="172"/>
      <c r="Z520" s="172"/>
      <c r="AA520" s="172"/>
      <c r="AB520" s="172" t="s">
        <v>74</v>
      </c>
    </row>
    <row r="521" spans="1:28" ht="13.15" customHeight="1">
      <c r="A521" s="13">
        <f t="shared" si="171"/>
        <v>507</v>
      </c>
      <c r="B521" s="14">
        <f>B520+3</f>
        <v>45760</v>
      </c>
      <c r="C521" s="13">
        <f t="shared" si="173"/>
        <v>1069</v>
      </c>
      <c r="D521" s="12">
        <f t="shared" si="174"/>
        <v>2291</v>
      </c>
      <c r="E521" s="11">
        <f t="shared" si="175"/>
        <v>1405</v>
      </c>
      <c r="F521" s="11">
        <f t="shared" si="176"/>
        <v>1688</v>
      </c>
      <c r="G521" s="11">
        <f t="shared" si="177"/>
        <v>1522</v>
      </c>
      <c r="H521" s="8">
        <f t="shared" si="178"/>
        <v>1955</v>
      </c>
      <c r="I521" s="8">
        <f t="shared" si="179"/>
        <v>1672</v>
      </c>
      <c r="J521" s="8">
        <f t="shared" si="180"/>
        <v>1838</v>
      </c>
      <c r="K521" s="8">
        <f t="shared" si="181"/>
        <v>3000</v>
      </c>
      <c r="L521" s="8">
        <f t="shared" si="182"/>
        <v>3000</v>
      </c>
      <c r="M521" s="8">
        <f t="shared" si="183"/>
        <v>3000</v>
      </c>
      <c r="N521" s="8">
        <f t="shared" si="184"/>
        <v>-1045</v>
      </c>
      <c r="O521" s="8">
        <f t="shared" si="185"/>
        <v>-1328</v>
      </c>
      <c r="P521" s="8">
        <f t="shared" si="186"/>
        <v>-1162</v>
      </c>
      <c r="Q521" s="185">
        <v>27</v>
      </c>
      <c r="R521" s="11">
        <v>30</v>
      </c>
      <c r="S521" s="185">
        <v>24</v>
      </c>
      <c r="T521" s="10">
        <f t="shared" si="187"/>
        <v>-1422</v>
      </c>
      <c r="U521" s="9">
        <f t="shared" si="188"/>
        <v>5045</v>
      </c>
      <c r="V521" s="9">
        <f t="shared" si="189"/>
        <v>4782</v>
      </c>
      <c r="W521" s="9">
        <f t="shared" si="190"/>
        <v>4978</v>
      </c>
      <c r="X521" s="8"/>
      <c r="Y521" s="8"/>
      <c r="Z521" s="8"/>
      <c r="AA521" s="8"/>
      <c r="AB521" s="8"/>
    </row>
    <row r="522" spans="1:28" ht="13.15" customHeight="1">
      <c r="A522" s="13">
        <f t="shared" si="171"/>
        <v>508</v>
      </c>
      <c r="B522" s="14">
        <f>B521+4</f>
        <v>45764</v>
      </c>
      <c r="C522" s="13">
        <f t="shared" si="173"/>
        <v>1069</v>
      </c>
      <c r="D522" s="12">
        <f t="shared" si="174"/>
        <v>2293</v>
      </c>
      <c r="E522" s="11">
        <f t="shared" si="175"/>
        <v>1437</v>
      </c>
      <c r="F522" s="11">
        <f t="shared" si="176"/>
        <v>1726</v>
      </c>
      <c r="G522" s="11">
        <f t="shared" si="177"/>
        <v>1557</v>
      </c>
      <c r="H522" s="8">
        <f t="shared" si="178"/>
        <v>1925</v>
      </c>
      <c r="I522" s="8">
        <f t="shared" si="179"/>
        <v>1636</v>
      </c>
      <c r="J522" s="8">
        <f t="shared" si="180"/>
        <v>1805</v>
      </c>
      <c r="K522" s="8">
        <f t="shared" si="181"/>
        <v>3000</v>
      </c>
      <c r="L522" s="8">
        <f t="shared" si="182"/>
        <v>3000</v>
      </c>
      <c r="M522" s="8">
        <f t="shared" si="183"/>
        <v>3000</v>
      </c>
      <c r="N522" s="8">
        <f t="shared" si="184"/>
        <v>-1075</v>
      </c>
      <c r="O522" s="8">
        <f t="shared" si="185"/>
        <v>-1364</v>
      </c>
      <c r="P522" s="8">
        <f t="shared" si="186"/>
        <v>-1195</v>
      </c>
      <c r="Q522" s="185">
        <v>30</v>
      </c>
      <c r="R522" s="11">
        <v>36</v>
      </c>
      <c r="S522" s="185">
        <v>33</v>
      </c>
      <c r="T522" s="10">
        <f t="shared" si="187"/>
        <v>-1384</v>
      </c>
      <c r="U522" s="9">
        <f t="shared" si="188"/>
        <v>5015</v>
      </c>
      <c r="V522" s="9">
        <f t="shared" si="189"/>
        <v>4746</v>
      </c>
      <c r="W522" s="9">
        <f t="shared" si="190"/>
        <v>4945</v>
      </c>
      <c r="X522" s="8"/>
      <c r="Y522" s="8"/>
      <c r="Z522" s="8"/>
      <c r="AA522" s="8"/>
      <c r="AB522" s="8"/>
    </row>
    <row r="523" spans="1:28" ht="13.15" customHeight="1">
      <c r="A523" s="13">
        <f t="shared" si="171"/>
        <v>509</v>
      </c>
      <c r="B523" s="14">
        <f>B522+3</f>
        <v>45767</v>
      </c>
      <c r="C523" s="13">
        <f t="shared" si="173"/>
        <v>1069</v>
      </c>
      <c r="D523" s="12">
        <f t="shared" si="174"/>
        <v>2295</v>
      </c>
      <c r="E523" s="11">
        <f t="shared" si="175"/>
        <v>1463</v>
      </c>
      <c r="F523" s="11">
        <f t="shared" si="176"/>
        <v>1754</v>
      </c>
      <c r="G523" s="11">
        <f t="shared" si="177"/>
        <v>1579</v>
      </c>
      <c r="H523" s="8">
        <f t="shared" si="178"/>
        <v>1901</v>
      </c>
      <c r="I523" s="8">
        <f t="shared" si="179"/>
        <v>1610</v>
      </c>
      <c r="J523" s="8">
        <f t="shared" si="180"/>
        <v>1785</v>
      </c>
      <c r="K523" s="8">
        <f t="shared" si="181"/>
        <v>3000</v>
      </c>
      <c r="L523" s="8">
        <f t="shared" si="182"/>
        <v>3000</v>
      </c>
      <c r="M523" s="8">
        <f t="shared" si="183"/>
        <v>3000</v>
      </c>
      <c r="N523" s="8">
        <f t="shared" si="184"/>
        <v>-1099</v>
      </c>
      <c r="O523" s="8">
        <f t="shared" si="185"/>
        <v>-1390</v>
      </c>
      <c r="P523" s="8">
        <f t="shared" si="186"/>
        <v>-1215</v>
      </c>
      <c r="Q523" s="185">
        <v>24</v>
      </c>
      <c r="R523" s="11">
        <v>26</v>
      </c>
      <c r="S523" s="185">
        <v>20</v>
      </c>
      <c r="T523" s="10">
        <f t="shared" si="187"/>
        <v>-1356</v>
      </c>
      <c r="U523" s="9">
        <f t="shared" si="188"/>
        <v>4991</v>
      </c>
      <c r="V523" s="9">
        <f t="shared" si="189"/>
        <v>4720</v>
      </c>
      <c r="W523" s="9">
        <f t="shared" si="190"/>
        <v>4925</v>
      </c>
      <c r="X523" s="8"/>
      <c r="Y523" s="8"/>
      <c r="Z523" s="8"/>
      <c r="AA523" s="8"/>
      <c r="AB523" s="8"/>
    </row>
    <row r="524" spans="1:28" s="179" customFormat="1" ht="13.15" customHeight="1">
      <c r="A524" s="175">
        <f t="shared" si="171"/>
        <v>510</v>
      </c>
      <c r="B524" s="176">
        <f>B523+4</f>
        <v>45771</v>
      </c>
      <c r="C524" s="175">
        <f t="shared" si="173"/>
        <v>1069</v>
      </c>
      <c r="D524" s="177">
        <f t="shared" si="174"/>
        <v>2297</v>
      </c>
      <c r="E524" s="15">
        <f t="shared" si="175"/>
        <v>1491</v>
      </c>
      <c r="F524" s="15">
        <f t="shared" si="176"/>
        <v>1786</v>
      </c>
      <c r="G524" s="15">
        <f t="shared" si="177"/>
        <v>1611</v>
      </c>
      <c r="H524" s="15">
        <f t="shared" si="178"/>
        <v>1875</v>
      </c>
      <c r="I524" s="15">
        <f t="shared" si="179"/>
        <v>1580</v>
      </c>
      <c r="J524" s="15">
        <f t="shared" si="180"/>
        <v>1755</v>
      </c>
      <c r="K524" s="15">
        <f t="shared" si="181"/>
        <v>3000</v>
      </c>
      <c r="L524" s="15">
        <f t="shared" si="182"/>
        <v>3000</v>
      </c>
      <c r="M524" s="15">
        <f t="shared" si="183"/>
        <v>3000</v>
      </c>
      <c r="N524" s="15">
        <f t="shared" si="184"/>
        <v>-1125</v>
      </c>
      <c r="O524" s="15">
        <f t="shared" si="185"/>
        <v>-1420</v>
      </c>
      <c r="P524" s="15">
        <f t="shared" si="186"/>
        <v>-1245</v>
      </c>
      <c r="Q524" s="175">
        <v>26</v>
      </c>
      <c r="R524" s="15">
        <v>30</v>
      </c>
      <c r="S524" s="35">
        <v>30</v>
      </c>
      <c r="T524" s="15">
        <f t="shared" si="187"/>
        <v>-1324</v>
      </c>
      <c r="U524" s="178">
        <f t="shared" si="188"/>
        <v>4965</v>
      </c>
      <c r="V524" s="178">
        <f t="shared" si="189"/>
        <v>4690</v>
      </c>
      <c r="W524" s="178">
        <f t="shared" si="190"/>
        <v>4895</v>
      </c>
      <c r="X524" s="15"/>
      <c r="Y524" s="15"/>
      <c r="Z524" s="15"/>
      <c r="AA524" s="15"/>
      <c r="AB524" s="15"/>
    </row>
    <row r="525" spans="1:28" ht="13.15" customHeight="1">
      <c r="A525" s="13">
        <f t="shared" si="171"/>
        <v>511</v>
      </c>
      <c r="B525" s="14">
        <f>B524+3</f>
        <v>45774</v>
      </c>
      <c r="C525" s="13">
        <f t="shared" si="173"/>
        <v>1069</v>
      </c>
      <c r="D525" s="12">
        <f t="shared" si="174"/>
        <v>2299</v>
      </c>
      <c r="E525" s="11">
        <f t="shared" si="175"/>
        <v>1515</v>
      </c>
      <c r="F525" s="11">
        <f t="shared" si="176"/>
        <v>1808</v>
      </c>
      <c r="G525" s="11">
        <f t="shared" si="177"/>
        <v>1631</v>
      </c>
      <c r="H525" s="8">
        <f t="shared" si="178"/>
        <v>1853</v>
      </c>
      <c r="I525" s="8">
        <f t="shared" si="179"/>
        <v>1560</v>
      </c>
      <c r="J525" s="8">
        <f t="shared" si="180"/>
        <v>1737</v>
      </c>
      <c r="K525" s="8">
        <f t="shared" si="181"/>
        <v>3000</v>
      </c>
      <c r="L525" s="8">
        <f t="shared" si="182"/>
        <v>3000</v>
      </c>
      <c r="M525" s="8">
        <f t="shared" si="183"/>
        <v>3000</v>
      </c>
      <c r="N525" s="8">
        <f t="shared" si="184"/>
        <v>-1147</v>
      </c>
      <c r="O525" s="8">
        <f t="shared" si="185"/>
        <v>-1440</v>
      </c>
      <c r="P525" s="8">
        <f t="shared" si="186"/>
        <v>-1263</v>
      </c>
      <c r="Q525" s="185">
        <v>22</v>
      </c>
      <c r="R525" s="11">
        <v>20</v>
      </c>
      <c r="S525" s="185">
        <v>18</v>
      </c>
      <c r="T525" s="10">
        <f t="shared" si="187"/>
        <v>-1302</v>
      </c>
      <c r="U525" s="9">
        <f t="shared" si="188"/>
        <v>4943</v>
      </c>
      <c r="V525" s="9">
        <f t="shared" si="189"/>
        <v>4670</v>
      </c>
      <c r="W525" s="9">
        <f t="shared" si="190"/>
        <v>4877</v>
      </c>
      <c r="X525" s="8"/>
      <c r="Y525" s="8"/>
      <c r="Z525" s="8"/>
      <c r="AA525" s="8"/>
      <c r="AB525" s="8"/>
    </row>
    <row r="526" spans="1:28" ht="13.15" customHeight="1">
      <c r="A526" s="13">
        <f t="shared" si="171"/>
        <v>512</v>
      </c>
      <c r="B526" s="14">
        <f>B525+4</f>
        <v>45778</v>
      </c>
      <c r="C526" s="13">
        <f t="shared" si="173"/>
        <v>1069</v>
      </c>
      <c r="D526" s="12">
        <f t="shared" si="174"/>
        <v>2301</v>
      </c>
      <c r="E526" s="11">
        <f t="shared" si="175"/>
        <v>1543</v>
      </c>
      <c r="F526" s="11">
        <f t="shared" si="176"/>
        <v>1838</v>
      </c>
      <c r="G526" s="11">
        <f t="shared" si="177"/>
        <v>1659</v>
      </c>
      <c r="H526" s="8">
        <f t="shared" si="178"/>
        <v>1827</v>
      </c>
      <c r="I526" s="8">
        <f t="shared" si="179"/>
        <v>1532</v>
      </c>
      <c r="J526" s="8">
        <f t="shared" si="180"/>
        <v>1711</v>
      </c>
      <c r="K526" s="8">
        <f t="shared" si="181"/>
        <v>3000</v>
      </c>
      <c r="L526" s="8">
        <f t="shared" si="182"/>
        <v>3000</v>
      </c>
      <c r="M526" s="8">
        <f t="shared" si="183"/>
        <v>3000</v>
      </c>
      <c r="N526" s="8">
        <f t="shared" si="184"/>
        <v>-1173</v>
      </c>
      <c r="O526" s="8">
        <f t="shared" si="185"/>
        <v>-1468</v>
      </c>
      <c r="P526" s="8">
        <f t="shared" si="186"/>
        <v>-1289</v>
      </c>
      <c r="Q526" s="185">
        <v>26</v>
      </c>
      <c r="R526" s="11">
        <v>28</v>
      </c>
      <c r="S526" s="185">
        <v>26</v>
      </c>
      <c r="T526" s="10">
        <f t="shared" si="187"/>
        <v>-1272</v>
      </c>
      <c r="U526" s="9">
        <f t="shared" si="188"/>
        <v>4917</v>
      </c>
      <c r="V526" s="9">
        <f t="shared" si="189"/>
        <v>4642</v>
      </c>
      <c r="W526" s="9">
        <f t="shared" si="190"/>
        <v>4851</v>
      </c>
      <c r="X526" s="8"/>
      <c r="Y526" s="8"/>
      <c r="Z526" s="8"/>
      <c r="AA526" s="8"/>
      <c r="AB526" s="8"/>
    </row>
    <row r="527" spans="1:28" ht="13.15" customHeight="1">
      <c r="A527" s="13">
        <f t="shared" si="171"/>
        <v>513</v>
      </c>
      <c r="B527" s="14">
        <f>B526+3</f>
        <v>45781</v>
      </c>
      <c r="C527" s="13">
        <f t="shared" si="173"/>
        <v>1069</v>
      </c>
      <c r="D527" s="12">
        <f t="shared" si="174"/>
        <v>2303</v>
      </c>
      <c r="E527" s="11">
        <f t="shared" si="175"/>
        <v>1563</v>
      </c>
      <c r="F527" s="11">
        <f t="shared" si="176"/>
        <v>1856</v>
      </c>
      <c r="G527" s="11">
        <f t="shared" si="177"/>
        <v>1680</v>
      </c>
      <c r="H527" s="8">
        <f t="shared" si="178"/>
        <v>1809</v>
      </c>
      <c r="I527" s="8">
        <f t="shared" si="179"/>
        <v>1516</v>
      </c>
      <c r="J527" s="8">
        <f t="shared" si="180"/>
        <v>1692</v>
      </c>
      <c r="K527" s="8">
        <f t="shared" si="181"/>
        <v>3000</v>
      </c>
      <c r="L527" s="8">
        <f t="shared" si="182"/>
        <v>3000</v>
      </c>
      <c r="M527" s="8">
        <f t="shared" si="183"/>
        <v>3000</v>
      </c>
      <c r="N527" s="8">
        <f t="shared" si="184"/>
        <v>-1191</v>
      </c>
      <c r="O527" s="8">
        <f t="shared" si="185"/>
        <v>-1484</v>
      </c>
      <c r="P527" s="8">
        <f t="shared" si="186"/>
        <v>-1308</v>
      </c>
      <c r="Q527" s="185">
        <v>18</v>
      </c>
      <c r="R527" s="11">
        <v>16</v>
      </c>
      <c r="S527" s="185">
        <v>19</v>
      </c>
      <c r="T527" s="10">
        <f t="shared" si="187"/>
        <v>-1254</v>
      </c>
      <c r="U527" s="9">
        <f t="shared" si="188"/>
        <v>4899</v>
      </c>
      <c r="V527" s="9">
        <f t="shared" si="189"/>
        <v>4626</v>
      </c>
      <c r="W527" s="9">
        <f t="shared" si="190"/>
        <v>4832</v>
      </c>
      <c r="X527" s="8"/>
      <c r="Y527" s="8"/>
      <c r="Z527" s="8"/>
      <c r="AA527" s="8"/>
      <c r="AB527" s="8"/>
    </row>
    <row r="528" spans="1:28" s="179" customFormat="1" ht="13.15" customHeight="1">
      <c r="A528" s="175">
        <f t="shared" si="171"/>
        <v>514</v>
      </c>
      <c r="B528" s="176">
        <f>B527+4</f>
        <v>45785</v>
      </c>
      <c r="C528" s="175">
        <f t="shared" si="173"/>
        <v>1069</v>
      </c>
      <c r="D528" s="177">
        <f t="shared" si="174"/>
        <v>2305</v>
      </c>
      <c r="E528" s="15">
        <f t="shared" si="175"/>
        <v>1585</v>
      </c>
      <c r="F528" s="15">
        <f t="shared" si="176"/>
        <v>1883</v>
      </c>
      <c r="G528" s="15">
        <f t="shared" si="177"/>
        <v>1707</v>
      </c>
      <c r="H528" s="15">
        <f t="shared" si="178"/>
        <v>1789</v>
      </c>
      <c r="I528" s="15">
        <f t="shared" si="179"/>
        <v>1491</v>
      </c>
      <c r="J528" s="15">
        <f t="shared" si="180"/>
        <v>1667</v>
      </c>
      <c r="K528" s="15">
        <f t="shared" si="181"/>
        <v>3000</v>
      </c>
      <c r="L528" s="15">
        <f t="shared" si="182"/>
        <v>3000</v>
      </c>
      <c r="M528" s="15">
        <f t="shared" si="183"/>
        <v>3000</v>
      </c>
      <c r="N528" s="15">
        <f t="shared" si="184"/>
        <v>-1211</v>
      </c>
      <c r="O528" s="15">
        <f t="shared" si="185"/>
        <v>-1509</v>
      </c>
      <c r="P528" s="15">
        <f t="shared" si="186"/>
        <v>-1333</v>
      </c>
      <c r="Q528" s="175">
        <v>20</v>
      </c>
      <c r="R528" s="15">
        <v>25</v>
      </c>
      <c r="S528" s="35">
        <v>25</v>
      </c>
      <c r="T528" s="15">
        <f t="shared" si="187"/>
        <v>-1227</v>
      </c>
      <c r="U528" s="178">
        <f t="shared" si="188"/>
        <v>4879</v>
      </c>
      <c r="V528" s="178">
        <f t="shared" si="189"/>
        <v>4601</v>
      </c>
      <c r="W528" s="178">
        <f t="shared" si="190"/>
        <v>4807</v>
      </c>
      <c r="X528" s="15"/>
      <c r="Y528" s="15"/>
      <c r="Z528" s="15"/>
      <c r="AA528" s="15"/>
      <c r="AB528" s="15"/>
    </row>
    <row r="529" spans="1:28" ht="13.15" customHeight="1">
      <c r="A529" s="13">
        <f t="shared" ref="A529:A540" si="191">+A528+1</f>
        <v>515</v>
      </c>
      <c r="B529" s="14">
        <f>B528+7</f>
        <v>45792</v>
      </c>
      <c r="C529" s="13">
        <f t="shared" ref="C529:C540" si="192">C528</f>
        <v>1069</v>
      </c>
      <c r="D529" s="12">
        <f t="shared" ref="D529:D540" si="193">D528+2</f>
        <v>2307</v>
      </c>
      <c r="E529" s="11">
        <f t="shared" ref="E529:E538" si="194">C529+D529-H529</f>
        <v>1612</v>
      </c>
      <c r="F529" s="11">
        <f t="shared" ref="F529:F538" si="195">C529+D529-I529</f>
        <v>1920</v>
      </c>
      <c r="G529" s="11">
        <f t="shared" ref="G529:G538" si="196">D529+C529-J529</f>
        <v>1733</v>
      </c>
      <c r="H529" s="8">
        <f t="shared" ref="H529:H538" si="197">K529+N529</f>
        <v>1764</v>
      </c>
      <c r="I529" s="8">
        <f t="shared" ref="I529:I538" si="198">L529+O529</f>
        <v>1456</v>
      </c>
      <c r="J529" s="8">
        <f t="shared" ref="J529:J538" si="199">M529+P529</f>
        <v>1643</v>
      </c>
      <c r="K529" s="8">
        <f t="shared" ref="K529:K540" si="200">K528</f>
        <v>3000</v>
      </c>
      <c r="L529" s="8">
        <f t="shared" ref="L529:L540" si="201">L528</f>
        <v>3000</v>
      </c>
      <c r="M529" s="8">
        <f t="shared" ref="M529:M540" si="202">M528</f>
        <v>3000</v>
      </c>
      <c r="N529" s="8">
        <f t="shared" ref="N529:N538" si="203">N528-Q529</f>
        <v>-1236</v>
      </c>
      <c r="O529" s="8">
        <f t="shared" ref="O529:O538" si="204">O528-R529</f>
        <v>-1544</v>
      </c>
      <c r="P529" s="8">
        <f t="shared" ref="P529:P538" si="205">P528-S529</f>
        <v>-1357</v>
      </c>
      <c r="Q529" s="185">
        <v>25</v>
      </c>
      <c r="R529" s="11">
        <v>35</v>
      </c>
      <c r="S529" s="185">
        <v>24</v>
      </c>
      <c r="T529" s="10">
        <f t="shared" ref="T529:T538" si="206">D529+C529-V529</f>
        <v>-1190</v>
      </c>
      <c r="U529" s="9">
        <f t="shared" ref="U529:U538" si="207">U528+$X529*1000-Q529</f>
        <v>4854</v>
      </c>
      <c r="V529" s="9">
        <f t="shared" ref="V529:V538" si="208">V528+$X529*1000-R529</f>
        <v>4566</v>
      </c>
      <c r="W529" s="9">
        <f t="shared" ref="W529:W538" si="209">W528+$X529*1000-S529</f>
        <v>4783</v>
      </c>
      <c r="X529" s="8"/>
      <c r="Y529" s="8"/>
      <c r="Z529" s="8"/>
      <c r="AA529" s="8"/>
      <c r="AB529" s="8"/>
    </row>
    <row r="530" spans="1:28" ht="13.15" customHeight="1">
      <c r="A530" s="13">
        <f t="shared" si="191"/>
        <v>516</v>
      </c>
      <c r="B530" s="14">
        <f t="shared" ref="B530:B540" si="210">B529+7</f>
        <v>45799</v>
      </c>
      <c r="C530" s="13">
        <f t="shared" si="192"/>
        <v>1069</v>
      </c>
      <c r="D530" s="12">
        <f t="shared" si="193"/>
        <v>2309</v>
      </c>
      <c r="E530" s="11">
        <f t="shared" si="194"/>
        <v>1636</v>
      </c>
      <c r="F530" s="11">
        <f t="shared" si="195"/>
        <v>1950</v>
      </c>
      <c r="G530" s="11">
        <f t="shared" si="196"/>
        <v>1755</v>
      </c>
      <c r="H530" s="8">
        <f t="shared" si="197"/>
        <v>1742</v>
      </c>
      <c r="I530" s="8">
        <f t="shared" si="198"/>
        <v>1428</v>
      </c>
      <c r="J530" s="8">
        <f t="shared" si="199"/>
        <v>1623</v>
      </c>
      <c r="K530" s="8">
        <f t="shared" si="200"/>
        <v>3000</v>
      </c>
      <c r="L530" s="8">
        <f t="shared" si="201"/>
        <v>3000</v>
      </c>
      <c r="M530" s="8">
        <f t="shared" si="202"/>
        <v>3000</v>
      </c>
      <c r="N530" s="8">
        <f t="shared" si="203"/>
        <v>-1258</v>
      </c>
      <c r="O530" s="8">
        <f t="shared" si="204"/>
        <v>-1572</v>
      </c>
      <c r="P530" s="8">
        <f t="shared" si="205"/>
        <v>-1377</v>
      </c>
      <c r="Q530" s="185">
        <v>22</v>
      </c>
      <c r="R530" s="11">
        <v>28</v>
      </c>
      <c r="S530" s="185">
        <v>20</v>
      </c>
      <c r="T530" s="10">
        <f t="shared" si="206"/>
        <v>-1160</v>
      </c>
      <c r="U530" s="9">
        <f t="shared" si="207"/>
        <v>4832</v>
      </c>
      <c r="V530" s="9">
        <f t="shared" si="208"/>
        <v>4538</v>
      </c>
      <c r="W530" s="9">
        <f t="shared" si="209"/>
        <v>4763</v>
      </c>
      <c r="X530" s="8"/>
      <c r="Y530" s="8"/>
      <c r="Z530" s="8"/>
      <c r="AA530" s="8"/>
      <c r="AB530" s="8"/>
    </row>
    <row r="531" spans="1:28" ht="13.15" customHeight="1">
      <c r="A531" s="13">
        <f t="shared" si="191"/>
        <v>517</v>
      </c>
      <c r="B531" s="14">
        <f t="shared" si="210"/>
        <v>45806</v>
      </c>
      <c r="C531" s="13">
        <f t="shared" si="192"/>
        <v>1069</v>
      </c>
      <c r="D531" s="12">
        <f t="shared" si="193"/>
        <v>2311</v>
      </c>
      <c r="E531" s="11">
        <f t="shared" si="194"/>
        <v>1658</v>
      </c>
      <c r="F531" s="11">
        <f t="shared" si="195"/>
        <v>1976</v>
      </c>
      <c r="G531" s="11">
        <f t="shared" si="196"/>
        <v>1774</v>
      </c>
      <c r="H531" s="8">
        <f t="shared" si="197"/>
        <v>1722</v>
      </c>
      <c r="I531" s="8">
        <f t="shared" si="198"/>
        <v>1404</v>
      </c>
      <c r="J531" s="8">
        <f t="shared" si="199"/>
        <v>1606</v>
      </c>
      <c r="K531" s="8">
        <f t="shared" si="200"/>
        <v>3000</v>
      </c>
      <c r="L531" s="8">
        <f t="shared" si="201"/>
        <v>3000</v>
      </c>
      <c r="M531" s="8">
        <f t="shared" si="202"/>
        <v>3000</v>
      </c>
      <c r="N531" s="8">
        <f t="shared" si="203"/>
        <v>-1278</v>
      </c>
      <c r="O531" s="8">
        <f t="shared" si="204"/>
        <v>-1596</v>
      </c>
      <c r="P531" s="8">
        <f t="shared" si="205"/>
        <v>-1394</v>
      </c>
      <c r="Q531" s="185">
        <v>20</v>
      </c>
      <c r="R531" s="11">
        <v>24</v>
      </c>
      <c r="S531" s="185">
        <v>17</v>
      </c>
      <c r="T531" s="10">
        <f t="shared" si="206"/>
        <v>-1134</v>
      </c>
      <c r="U531" s="9">
        <f t="shared" si="207"/>
        <v>4812</v>
      </c>
      <c r="V531" s="9">
        <f t="shared" si="208"/>
        <v>4514</v>
      </c>
      <c r="W531" s="9">
        <f t="shared" si="209"/>
        <v>4746</v>
      </c>
      <c r="X531" s="8"/>
      <c r="Y531" s="8"/>
      <c r="Z531" s="8"/>
      <c r="AA531" s="8"/>
      <c r="AB531" s="8"/>
    </row>
    <row r="532" spans="1:28" ht="13.15" customHeight="1">
      <c r="A532" s="13">
        <f t="shared" si="191"/>
        <v>518</v>
      </c>
      <c r="B532" s="14">
        <f t="shared" si="210"/>
        <v>45813</v>
      </c>
      <c r="C532" s="13">
        <f t="shared" si="192"/>
        <v>1069</v>
      </c>
      <c r="D532" s="12">
        <f t="shared" si="193"/>
        <v>2313</v>
      </c>
      <c r="E532" s="11">
        <f t="shared" si="194"/>
        <v>1678</v>
      </c>
      <c r="F532" s="11">
        <f t="shared" si="195"/>
        <v>2000</v>
      </c>
      <c r="G532" s="11">
        <f t="shared" si="196"/>
        <v>1793</v>
      </c>
      <c r="H532" s="8">
        <f t="shared" si="197"/>
        <v>1704</v>
      </c>
      <c r="I532" s="8">
        <f t="shared" si="198"/>
        <v>1382</v>
      </c>
      <c r="J532" s="8">
        <f t="shared" si="199"/>
        <v>1589</v>
      </c>
      <c r="K532" s="8">
        <f t="shared" si="200"/>
        <v>3000</v>
      </c>
      <c r="L532" s="8">
        <f t="shared" si="201"/>
        <v>3000</v>
      </c>
      <c r="M532" s="8">
        <f t="shared" si="202"/>
        <v>3000</v>
      </c>
      <c r="N532" s="8">
        <f t="shared" si="203"/>
        <v>-1296</v>
      </c>
      <c r="O532" s="8">
        <f t="shared" si="204"/>
        <v>-1618</v>
      </c>
      <c r="P532" s="8">
        <f t="shared" si="205"/>
        <v>-1411</v>
      </c>
      <c r="Q532" s="185">
        <v>18</v>
      </c>
      <c r="R532" s="11">
        <v>22</v>
      </c>
      <c r="S532" s="185">
        <v>17</v>
      </c>
      <c r="T532" s="10">
        <f t="shared" si="206"/>
        <v>-1110</v>
      </c>
      <c r="U532" s="9">
        <f t="shared" si="207"/>
        <v>4794</v>
      </c>
      <c r="V532" s="9">
        <f t="shared" si="208"/>
        <v>4492</v>
      </c>
      <c r="W532" s="9">
        <f t="shared" si="209"/>
        <v>4729</v>
      </c>
      <c r="X532" s="8"/>
      <c r="Y532" s="8"/>
      <c r="Z532" s="8"/>
      <c r="AA532" s="8"/>
      <c r="AB532" s="8"/>
    </row>
    <row r="533" spans="1:28" ht="13.15" customHeight="1">
      <c r="A533" s="13">
        <f t="shared" si="191"/>
        <v>519</v>
      </c>
      <c r="B533" s="14">
        <f t="shared" si="210"/>
        <v>45820</v>
      </c>
      <c r="C533" s="13">
        <f t="shared" si="192"/>
        <v>1069</v>
      </c>
      <c r="D533" s="12">
        <f t="shared" si="193"/>
        <v>2315</v>
      </c>
      <c r="E533" s="11">
        <f t="shared" si="194"/>
        <v>1696</v>
      </c>
      <c r="F533" s="11">
        <f t="shared" si="195"/>
        <v>2024</v>
      </c>
      <c r="G533" s="11">
        <f t="shared" si="196"/>
        <v>1811</v>
      </c>
      <c r="H533" s="8">
        <f t="shared" si="197"/>
        <v>1688</v>
      </c>
      <c r="I533" s="8">
        <f t="shared" si="198"/>
        <v>1360</v>
      </c>
      <c r="J533" s="8">
        <f t="shared" si="199"/>
        <v>1573</v>
      </c>
      <c r="K533" s="8">
        <f t="shared" si="200"/>
        <v>3000</v>
      </c>
      <c r="L533" s="8">
        <f t="shared" si="201"/>
        <v>3000</v>
      </c>
      <c r="M533" s="8">
        <f t="shared" si="202"/>
        <v>3000</v>
      </c>
      <c r="N533" s="8">
        <f t="shared" si="203"/>
        <v>-1312</v>
      </c>
      <c r="O533" s="8">
        <f t="shared" si="204"/>
        <v>-1640</v>
      </c>
      <c r="P533" s="8">
        <f t="shared" si="205"/>
        <v>-1427</v>
      </c>
      <c r="Q533" s="185">
        <v>16</v>
      </c>
      <c r="R533" s="11">
        <v>22</v>
      </c>
      <c r="S533" s="185">
        <v>16</v>
      </c>
      <c r="T533" s="10">
        <f t="shared" si="206"/>
        <v>-1086</v>
      </c>
      <c r="U533" s="9">
        <f t="shared" si="207"/>
        <v>4778</v>
      </c>
      <c r="V533" s="9">
        <f t="shared" si="208"/>
        <v>4470</v>
      </c>
      <c r="W533" s="9">
        <f t="shared" si="209"/>
        <v>4713</v>
      </c>
      <c r="X533" s="8"/>
      <c r="Y533" s="8"/>
      <c r="Z533" s="8"/>
      <c r="AA533" s="8"/>
      <c r="AB533" s="8"/>
    </row>
    <row r="534" spans="1:28" ht="13.15" customHeight="1">
      <c r="A534" s="13">
        <f t="shared" si="191"/>
        <v>520</v>
      </c>
      <c r="B534" s="14">
        <f t="shared" si="210"/>
        <v>45827</v>
      </c>
      <c r="C534" s="13">
        <f t="shared" si="192"/>
        <v>1069</v>
      </c>
      <c r="D534" s="12">
        <f t="shared" si="193"/>
        <v>2317</v>
      </c>
      <c r="E534" s="11">
        <f t="shared" si="194"/>
        <v>1714</v>
      </c>
      <c r="F534" s="11">
        <f t="shared" si="195"/>
        <v>2047</v>
      </c>
      <c r="G534" s="11">
        <f t="shared" si="196"/>
        <v>1828</v>
      </c>
      <c r="H534" s="8">
        <f t="shared" si="197"/>
        <v>1672</v>
      </c>
      <c r="I534" s="8">
        <f t="shared" si="198"/>
        <v>1339</v>
      </c>
      <c r="J534" s="8">
        <f t="shared" si="199"/>
        <v>1558</v>
      </c>
      <c r="K534" s="8">
        <f t="shared" si="200"/>
        <v>3000</v>
      </c>
      <c r="L534" s="8">
        <f t="shared" si="201"/>
        <v>3000</v>
      </c>
      <c r="M534" s="8">
        <f t="shared" si="202"/>
        <v>3000</v>
      </c>
      <c r="N534" s="8">
        <f t="shared" si="203"/>
        <v>-1328</v>
      </c>
      <c r="O534" s="8">
        <f t="shared" si="204"/>
        <v>-1661</v>
      </c>
      <c r="P534" s="8">
        <f t="shared" si="205"/>
        <v>-1442</v>
      </c>
      <c r="Q534" s="185">
        <v>16</v>
      </c>
      <c r="R534" s="11">
        <v>21</v>
      </c>
      <c r="S534" s="185">
        <v>15</v>
      </c>
      <c r="T534" s="10">
        <f t="shared" si="206"/>
        <v>-1063</v>
      </c>
      <c r="U534" s="9">
        <f t="shared" si="207"/>
        <v>4762</v>
      </c>
      <c r="V534" s="9">
        <f t="shared" si="208"/>
        <v>4449</v>
      </c>
      <c r="W534" s="9">
        <f t="shared" si="209"/>
        <v>4698</v>
      </c>
      <c r="X534" s="8"/>
      <c r="Y534" s="8"/>
      <c r="Z534" s="8"/>
      <c r="AA534" s="8"/>
      <c r="AB534" s="8"/>
    </row>
    <row r="535" spans="1:28" ht="13.15" customHeight="1">
      <c r="A535" s="13">
        <f t="shared" si="191"/>
        <v>521</v>
      </c>
      <c r="B535" s="14">
        <f t="shared" si="210"/>
        <v>45834</v>
      </c>
      <c r="C535" s="13">
        <f t="shared" si="192"/>
        <v>1069</v>
      </c>
      <c r="D535" s="12">
        <f t="shared" si="193"/>
        <v>2319</v>
      </c>
      <c r="E535" s="11">
        <f t="shared" si="194"/>
        <v>1730</v>
      </c>
      <c r="F535" s="11">
        <f t="shared" si="195"/>
        <v>2069</v>
      </c>
      <c r="G535" s="11">
        <f t="shared" si="196"/>
        <v>1844</v>
      </c>
      <c r="H535" s="8">
        <f t="shared" si="197"/>
        <v>1658</v>
      </c>
      <c r="I535" s="8">
        <f t="shared" si="198"/>
        <v>1319</v>
      </c>
      <c r="J535" s="8">
        <f t="shared" si="199"/>
        <v>1544</v>
      </c>
      <c r="K535" s="8">
        <f t="shared" si="200"/>
        <v>3000</v>
      </c>
      <c r="L535" s="8">
        <f t="shared" si="201"/>
        <v>3000</v>
      </c>
      <c r="M535" s="8">
        <f t="shared" si="202"/>
        <v>3000</v>
      </c>
      <c r="N535" s="8">
        <f t="shared" si="203"/>
        <v>-1342</v>
      </c>
      <c r="O535" s="8">
        <f t="shared" si="204"/>
        <v>-1681</v>
      </c>
      <c r="P535" s="8">
        <f t="shared" si="205"/>
        <v>-1456</v>
      </c>
      <c r="Q535" s="185">
        <v>14</v>
      </c>
      <c r="R535" s="11">
        <v>20</v>
      </c>
      <c r="S535" s="13">
        <v>14</v>
      </c>
      <c r="T535" s="10">
        <f t="shared" si="206"/>
        <v>-1041</v>
      </c>
      <c r="U535" s="9">
        <f t="shared" si="207"/>
        <v>4748</v>
      </c>
      <c r="V535" s="9">
        <f t="shared" si="208"/>
        <v>4429</v>
      </c>
      <c r="W535" s="9">
        <f t="shared" si="209"/>
        <v>4684</v>
      </c>
      <c r="X535" s="8"/>
      <c r="Y535" s="8"/>
      <c r="Z535" s="8"/>
      <c r="AA535" s="8"/>
      <c r="AB535" s="8"/>
    </row>
    <row r="536" spans="1:28" ht="13.15" customHeight="1">
      <c r="A536" s="13">
        <f t="shared" si="191"/>
        <v>522</v>
      </c>
      <c r="B536" s="14">
        <f t="shared" si="210"/>
        <v>45841</v>
      </c>
      <c r="C536" s="13">
        <f t="shared" si="192"/>
        <v>1069</v>
      </c>
      <c r="D536" s="12">
        <f t="shared" si="193"/>
        <v>2321</v>
      </c>
      <c r="E536" s="11">
        <f t="shared" si="194"/>
        <v>1746</v>
      </c>
      <c r="F536" s="11">
        <f t="shared" si="195"/>
        <v>2085</v>
      </c>
      <c r="G536" s="11">
        <f t="shared" si="196"/>
        <v>1859</v>
      </c>
      <c r="H536" s="8">
        <f t="shared" si="197"/>
        <v>1644</v>
      </c>
      <c r="I536" s="8">
        <f t="shared" si="198"/>
        <v>1305</v>
      </c>
      <c r="J536" s="8">
        <f t="shared" si="199"/>
        <v>1531</v>
      </c>
      <c r="K536" s="8">
        <f t="shared" si="200"/>
        <v>3000</v>
      </c>
      <c r="L536" s="8">
        <f t="shared" si="201"/>
        <v>3000</v>
      </c>
      <c r="M536" s="8">
        <f t="shared" si="202"/>
        <v>3000</v>
      </c>
      <c r="N536" s="8">
        <f t="shared" si="203"/>
        <v>-1356</v>
      </c>
      <c r="O536" s="8">
        <f t="shared" si="204"/>
        <v>-1695</v>
      </c>
      <c r="P536" s="8">
        <f t="shared" si="205"/>
        <v>-1469</v>
      </c>
      <c r="Q536" s="185">
        <v>14</v>
      </c>
      <c r="R536" s="11">
        <v>14</v>
      </c>
      <c r="S536" s="185">
        <v>13</v>
      </c>
      <c r="T536" s="10">
        <f t="shared" si="206"/>
        <v>-1025</v>
      </c>
      <c r="U536" s="9">
        <f t="shared" si="207"/>
        <v>4734</v>
      </c>
      <c r="V536" s="9">
        <f t="shared" si="208"/>
        <v>4415</v>
      </c>
      <c r="W536" s="9">
        <f t="shared" si="209"/>
        <v>4671</v>
      </c>
      <c r="X536" s="8"/>
      <c r="Y536" s="8"/>
      <c r="Z536" s="8"/>
      <c r="AA536" s="8"/>
      <c r="AB536" s="8"/>
    </row>
    <row r="537" spans="1:28" ht="13.15" customHeight="1">
      <c r="A537" s="13">
        <f t="shared" si="191"/>
        <v>523</v>
      </c>
      <c r="B537" s="14">
        <f t="shared" si="210"/>
        <v>45848</v>
      </c>
      <c r="C537" s="13">
        <f t="shared" si="192"/>
        <v>1069</v>
      </c>
      <c r="D537" s="12">
        <f t="shared" si="193"/>
        <v>2323</v>
      </c>
      <c r="E537" s="11">
        <f t="shared" si="194"/>
        <v>1760</v>
      </c>
      <c r="F537" s="11">
        <f t="shared" si="195"/>
        <v>2097</v>
      </c>
      <c r="G537" s="11">
        <f t="shared" si="196"/>
        <v>1873</v>
      </c>
      <c r="H537" s="8">
        <f t="shared" si="197"/>
        <v>1632</v>
      </c>
      <c r="I537" s="8">
        <f t="shared" si="198"/>
        <v>1295</v>
      </c>
      <c r="J537" s="8">
        <f t="shared" si="199"/>
        <v>1519</v>
      </c>
      <c r="K537" s="8">
        <f t="shared" si="200"/>
        <v>3000</v>
      </c>
      <c r="L537" s="8">
        <f t="shared" si="201"/>
        <v>3000</v>
      </c>
      <c r="M537" s="8">
        <f t="shared" si="202"/>
        <v>3000</v>
      </c>
      <c r="N537" s="8">
        <f t="shared" si="203"/>
        <v>-1368</v>
      </c>
      <c r="O537" s="8">
        <f t="shared" si="204"/>
        <v>-1705</v>
      </c>
      <c r="P537" s="8">
        <f t="shared" si="205"/>
        <v>-1481</v>
      </c>
      <c r="Q537" s="185">
        <v>12</v>
      </c>
      <c r="R537" s="11">
        <v>10</v>
      </c>
      <c r="S537" s="185">
        <v>12</v>
      </c>
      <c r="T537" s="10">
        <f t="shared" si="206"/>
        <v>-1013</v>
      </c>
      <c r="U537" s="9">
        <f t="shared" si="207"/>
        <v>4722</v>
      </c>
      <c r="V537" s="9">
        <f t="shared" si="208"/>
        <v>4405</v>
      </c>
      <c r="W537" s="9">
        <f t="shared" si="209"/>
        <v>4659</v>
      </c>
      <c r="X537" s="8"/>
      <c r="Y537" s="8"/>
      <c r="Z537" s="8"/>
      <c r="AA537" s="8"/>
      <c r="AB537" s="8"/>
    </row>
    <row r="538" spans="1:28" ht="13.15" customHeight="1">
      <c r="A538" s="13">
        <f t="shared" si="191"/>
        <v>524</v>
      </c>
      <c r="B538" s="14">
        <f t="shared" si="210"/>
        <v>45855</v>
      </c>
      <c r="C538" s="13">
        <f t="shared" si="192"/>
        <v>1069</v>
      </c>
      <c r="D538" s="12">
        <f t="shared" si="193"/>
        <v>2325</v>
      </c>
      <c r="E538" s="11">
        <f t="shared" si="194"/>
        <v>1774</v>
      </c>
      <c r="F538" s="11">
        <f t="shared" si="195"/>
        <v>2109</v>
      </c>
      <c r="G538" s="11">
        <f t="shared" si="196"/>
        <v>1887</v>
      </c>
      <c r="H538" s="8">
        <f t="shared" si="197"/>
        <v>1620</v>
      </c>
      <c r="I538" s="8">
        <f t="shared" si="198"/>
        <v>1285</v>
      </c>
      <c r="J538" s="8">
        <f t="shared" si="199"/>
        <v>1507</v>
      </c>
      <c r="K538" s="8">
        <f t="shared" si="200"/>
        <v>3000</v>
      </c>
      <c r="L538" s="8">
        <f t="shared" si="201"/>
        <v>3000</v>
      </c>
      <c r="M538" s="8">
        <f t="shared" si="202"/>
        <v>3000</v>
      </c>
      <c r="N538" s="8">
        <f t="shared" si="203"/>
        <v>-1380</v>
      </c>
      <c r="O538" s="8">
        <f t="shared" si="204"/>
        <v>-1715</v>
      </c>
      <c r="P538" s="8">
        <f t="shared" si="205"/>
        <v>-1493</v>
      </c>
      <c r="Q538" s="185">
        <v>12</v>
      </c>
      <c r="R538" s="11">
        <v>10</v>
      </c>
      <c r="S538" s="185">
        <v>12</v>
      </c>
      <c r="T538" s="10">
        <f t="shared" si="206"/>
        <v>-1001</v>
      </c>
      <c r="U538" s="9">
        <f t="shared" si="207"/>
        <v>4710</v>
      </c>
      <c r="V538" s="9">
        <f t="shared" si="208"/>
        <v>4395</v>
      </c>
      <c r="W538" s="9">
        <f t="shared" si="209"/>
        <v>4647</v>
      </c>
      <c r="X538" s="8"/>
      <c r="Y538" s="8"/>
      <c r="Z538" s="8"/>
      <c r="AA538" s="8"/>
      <c r="AB538" s="8"/>
    </row>
    <row r="539" spans="1:28" customFormat="1" ht="13.15" customHeight="1">
      <c r="A539" s="13">
        <f t="shared" si="191"/>
        <v>525</v>
      </c>
      <c r="B539" s="14">
        <f t="shared" si="210"/>
        <v>45862</v>
      </c>
      <c r="C539" s="13">
        <f t="shared" si="192"/>
        <v>1069</v>
      </c>
      <c r="D539" s="12">
        <f t="shared" si="193"/>
        <v>2327</v>
      </c>
      <c r="E539" s="11">
        <f t="shared" ref="E539:E540" si="211">C539+D539-H539</f>
        <v>1790</v>
      </c>
      <c r="F539" s="11">
        <f t="shared" ref="F539:F540" si="212">C539+D539-I539</f>
        <v>2120</v>
      </c>
      <c r="G539" s="11">
        <f t="shared" ref="G539:G540" si="213">D539+C539-J539</f>
        <v>1901</v>
      </c>
      <c r="H539" s="8">
        <f t="shared" ref="H539:H540" si="214">K539+N539</f>
        <v>1606</v>
      </c>
      <c r="I539" s="8">
        <f t="shared" ref="I539:I540" si="215">L539+O539</f>
        <v>1276</v>
      </c>
      <c r="J539" s="8">
        <f t="shared" ref="J539:J540" si="216">M539+P539</f>
        <v>1495</v>
      </c>
      <c r="K539" s="8">
        <f t="shared" si="200"/>
        <v>3000</v>
      </c>
      <c r="L539" s="8">
        <f t="shared" si="201"/>
        <v>3000</v>
      </c>
      <c r="M539" s="8">
        <f t="shared" si="202"/>
        <v>3000</v>
      </c>
      <c r="N539" s="8">
        <f t="shared" ref="N539:N540" si="217">N538-Q539</f>
        <v>-1394</v>
      </c>
      <c r="O539" s="8">
        <f t="shared" ref="O539:O540" si="218">O538-R539</f>
        <v>-1724</v>
      </c>
      <c r="P539" s="8">
        <f t="shared" ref="P539:P540" si="219">P538-S539</f>
        <v>-1505</v>
      </c>
      <c r="Q539" s="185">
        <v>14</v>
      </c>
      <c r="R539" s="11">
        <v>9</v>
      </c>
      <c r="S539" s="185">
        <v>12</v>
      </c>
      <c r="T539" s="10">
        <f t="shared" ref="T539:T540" si="220">D539+C539-V539</f>
        <v>-990</v>
      </c>
      <c r="U539" s="9">
        <f t="shared" ref="U539:U540" si="221">U538+$X539*1000-Q539</f>
        <v>4696</v>
      </c>
      <c r="V539" s="9">
        <f t="shared" ref="V539:V540" si="222">V538+$X539*1000-R539</f>
        <v>4386</v>
      </c>
      <c r="W539" s="9">
        <f t="shared" ref="W539:W540" si="223">W538+$X539*1000-S539</f>
        <v>4635</v>
      </c>
      <c r="X539" s="8"/>
      <c r="Y539" s="8"/>
      <c r="Z539" s="8"/>
      <c r="AA539" s="8"/>
      <c r="AB539" s="8"/>
    </row>
    <row r="540" spans="1:28" customFormat="1" ht="13.15" customHeight="1">
      <c r="A540" s="13">
        <f t="shared" si="191"/>
        <v>526</v>
      </c>
      <c r="B540" s="14">
        <f t="shared" si="210"/>
        <v>45869</v>
      </c>
      <c r="C540" s="13">
        <f t="shared" si="192"/>
        <v>1069</v>
      </c>
      <c r="D540" s="12">
        <f t="shared" si="193"/>
        <v>2329</v>
      </c>
      <c r="E540" s="11">
        <f t="shared" si="211"/>
        <v>1805</v>
      </c>
      <c r="F540" s="11">
        <f t="shared" si="212"/>
        <v>2130</v>
      </c>
      <c r="G540" s="11">
        <f t="shared" si="213"/>
        <v>1913</v>
      </c>
      <c r="H540" s="8">
        <f t="shared" si="214"/>
        <v>1593</v>
      </c>
      <c r="I540" s="8">
        <f t="shared" si="215"/>
        <v>1268</v>
      </c>
      <c r="J540" s="8">
        <f t="shared" si="216"/>
        <v>1485</v>
      </c>
      <c r="K540" s="8">
        <f t="shared" si="200"/>
        <v>3000</v>
      </c>
      <c r="L540" s="8">
        <f t="shared" si="201"/>
        <v>3000</v>
      </c>
      <c r="M540" s="8">
        <f t="shared" si="202"/>
        <v>3000</v>
      </c>
      <c r="N540" s="8">
        <f t="shared" si="217"/>
        <v>-1407</v>
      </c>
      <c r="O540" s="8">
        <f t="shared" si="218"/>
        <v>-1732</v>
      </c>
      <c r="P540" s="8">
        <f t="shared" si="219"/>
        <v>-1515</v>
      </c>
      <c r="Q540" s="185">
        <v>13</v>
      </c>
      <c r="R540" s="11">
        <v>8</v>
      </c>
      <c r="S540" s="185">
        <v>10</v>
      </c>
      <c r="T540" s="10">
        <f t="shared" si="220"/>
        <v>-980</v>
      </c>
      <c r="U540" s="9">
        <f t="shared" si="221"/>
        <v>4683</v>
      </c>
      <c r="V540" s="9">
        <f t="shared" si="222"/>
        <v>4378</v>
      </c>
      <c r="W540" s="9">
        <f t="shared" si="223"/>
        <v>4625</v>
      </c>
      <c r="X540" s="8"/>
      <c r="Y540" s="8"/>
      <c r="Z540" s="8"/>
      <c r="AA540" s="8"/>
      <c r="AB540" s="8"/>
    </row>
    <row r="541" spans="1:28" customFormat="1" ht="13.15" customHeight="1">
      <c r="R541" s="180"/>
    </row>
    <row r="542" spans="1:28" customFormat="1" ht="13.15" customHeight="1">
      <c r="N542">
        <v>-1407</v>
      </c>
      <c r="O542">
        <v>-1734</v>
      </c>
      <c r="P542">
        <v>-1515</v>
      </c>
      <c r="Q542" s="180">
        <f>N542-N540</f>
        <v>0</v>
      </c>
      <c r="R542" s="180">
        <f t="shared" ref="R542:S542" si="224">O542-O540</f>
        <v>-2</v>
      </c>
      <c r="S542" s="180">
        <f t="shared" si="224"/>
        <v>0</v>
      </c>
    </row>
    <row r="543" spans="1:28" ht="13.15" customHeight="1">
      <c r="A543" s="3"/>
      <c r="B543" s="7"/>
      <c r="D543" s="6"/>
      <c r="E543" s="2"/>
      <c r="F543" s="2"/>
      <c r="G543" s="2"/>
      <c r="T543" s="5"/>
      <c r="U543" s="4"/>
      <c r="V543" s="4"/>
      <c r="W543" s="4"/>
    </row>
    <row r="544" spans="1:28" ht="13.15" customHeight="1">
      <c r="A544" s="3"/>
      <c r="B544" s="7"/>
      <c r="D544" s="6"/>
      <c r="E544" s="2"/>
      <c r="F544" s="2"/>
      <c r="G544" s="2"/>
      <c r="T544" s="5"/>
      <c r="U544" s="4"/>
      <c r="V544" s="4"/>
      <c r="W544" s="4"/>
    </row>
    <row r="545" spans="1:23" ht="13.15" customHeight="1">
      <c r="A545" s="3"/>
      <c r="B545" s="7"/>
      <c r="D545" s="6"/>
      <c r="E545" s="2"/>
      <c r="F545" s="2"/>
      <c r="G545" s="2"/>
      <c r="T545" s="5"/>
      <c r="U545" s="4"/>
      <c r="V545" s="4"/>
      <c r="W545" s="4"/>
    </row>
    <row r="546" spans="1:23" ht="13.15" customHeight="1">
      <c r="A546" s="3"/>
      <c r="B546" s="7"/>
      <c r="D546" s="6"/>
      <c r="E546" s="2"/>
      <c r="F546" s="2"/>
      <c r="G546" s="2"/>
      <c r="T546" s="5"/>
      <c r="U546" s="4"/>
      <c r="V546" s="4"/>
      <c r="W546" s="4"/>
    </row>
    <row r="547" spans="1:23" ht="13.15" customHeight="1">
      <c r="A547" s="3"/>
      <c r="B547" s="7"/>
      <c r="D547" s="6"/>
      <c r="E547" s="2"/>
      <c r="F547" s="2"/>
      <c r="G547" s="2"/>
      <c r="T547" s="5"/>
      <c r="U547" s="4"/>
      <c r="V547" s="4"/>
      <c r="W547" s="4"/>
    </row>
    <row r="548" spans="1:23" ht="13.15" customHeight="1">
      <c r="A548" s="3"/>
      <c r="B548" s="7"/>
      <c r="D548" s="6"/>
      <c r="E548" s="2"/>
      <c r="F548" s="2"/>
      <c r="G548" s="2"/>
      <c r="T548" s="5"/>
      <c r="U548" s="4"/>
      <c r="V548" s="4"/>
      <c r="W548" s="4"/>
    </row>
    <row r="549" spans="1:23" ht="13.15" customHeight="1">
      <c r="A549" s="3"/>
      <c r="B549" s="7"/>
      <c r="D549" s="6"/>
      <c r="E549" s="2"/>
      <c r="F549" s="2"/>
      <c r="G549" s="2"/>
      <c r="T549" s="5"/>
      <c r="U549" s="4"/>
      <c r="V549" s="4"/>
      <c r="W549" s="4"/>
    </row>
    <row r="550" spans="1:23" ht="13.15" customHeight="1">
      <c r="A550" s="3"/>
      <c r="B550" s="7"/>
      <c r="D550" s="6"/>
      <c r="E550" s="2"/>
      <c r="F550" s="2"/>
      <c r="G550" s="2"/>
      <c r="T550" s="5"/>
      <c r="U550" s="4"/>
      <c r="V550" s="4"/>
      <c r="W550" s="4"/>
    </row>
    <row r="551" spans="1:23" ht="13.15" customHeight="1">
      <c r="A551" s="3"/>
      <c r="B551" s="7"/>
      <c r="D551" s="6"/>
      <c r="E551" s="2"/>
      <c r="F551" s="2"/>
      <c r="G551" s="2"/>
      <c r="T551" s="5"/>
      <c r="U551" s="4"/>
      <c r="V551" s="4"/>
      <c r="W551" s="4"/>
    </row>
    <row r="552" spans="1:23" ht="13.15" customHeight="1">
      <c r="A552" s="3"/>
      <c r="B552" s="7"/>
      <c r="D552" s="6"/>
      <c r="E552" s="2"/>
      <c r="F552" s="2"/>
      <c r="G552" s="2"/>
      <c r="T552" s="5"/>
      <c r="U552" s="4"/>
      <c r="V552" s="4"/>
      <c r="W552" s="4"/>
    </row>
    <row r="553" spans="1:23" ht="13.15" customHeight="1">
      <c r="A553" s="3"/>
      <c r="B553" s="7"/>
      <c r="D553" s="6"/>
      <c r="E553" s="2"/>
      <c r="F553" s="2"/>
      <c r="G553" s="2"/>
      <c r="T553" s="5"/>
      <c r="U553" s="4"/>
      <c r="V553" s="4"/>
      <c r="W553" s="4"/>
    </row>
    <row r="554" spans="1:23" ht="13.15" customHeight="1">
      <c r="A554" s="3"/>
      <c r="B554" s="7"/>
      <c r="D554" s="6"/>
      <c r="E554" s="2"/>
      <c r="F554" s="2"/>
      <c r="G554" s="2"/>
      <c r="T554" s="5"/>
      <c r="U554" s="4"/>
      <c r="V554" s="4"/>
      <c r="W554" s="4"/>
    </row>
    <row r="555" spans="1:23" ht="13.15" customHeight="1">
      <c r="A555" s="3"/>
      <c r="B555" s="7"/>
      <c r="D555" s="6"/>
      <c r="E555" s="2"/>
      <c r="F555" s="2"/>
      <c r="G555" s="2"/>
      <c r="T555" s="5"/>
      <c r="U555" s="4"/>
      <c r="V555" s="4"/>
      <c r="W555" s="4"/>
    </row>
    <row r="556" spans="1:23" ht="13.15" customHeight="1">
      <c r="A556" s="3"/>
      <c r="B556" s="7"/>
      <c r="D556" s="6"/>
      <c r="E556" s="2"/>
      <c r="F556" s="2"/>
      <c r="G556" s="2"/>
      <c r="T556" s="5"/>
      <c r="U556" s="4"/>
      <c r="V556" s="4"/>
      <c r="W556" s="4"/>
    </row>
    <row r="557" spans="1:23" ht="13.15" customHeight="1">
      <c r="A557" s="3"/>
      <c r="B557" s="7"/>
      <c r="D557" s="6"/>
      <c r="E557" s="2"/>
      <c r="F557" s="2"/>
      <c r="G557" s="2"/>
      <c r="T557" s="5"/>
      <c r="U557" s="4"/>
      <c r="V557" s="4"/>
      <c r="W557" s="4"/>
    </row>
    <row r="558" spans="1:23" ht="13.15" customHeight="1">
      <c r="A558" s="3"/>
      <c r="B558" s="7"/>
      <c r="D558" s="6"/>
      <c r="E558" s="2"/>
      <c r="F558" s="2"/>
      <c r="G558" s="2"/>
      <c r="T558" s="5"/>
      <c r="U558" s="4"/>
      <c r="V558" s="4"/>
      <c r="W558" s="4"/>
    </row>
    <row r="559" spans="1:23" ht="13.15" customHeight="1">
      <c r="A559" s="3"/>
      <c r="B559" s="7"/>
      <c r="D559" s="6"/>
      <c r="E559" s="2"/>
      <c r="F559" s="2"/>
      <c r="G559" s="2"/>
      <c r="T559" s="5"/>
      <c r="U559" s="4"/>
      <c r="V559" s="4"/>
      <c r="W559" s="4"/>
    </row>
    <row r="560" spans="1:23" ht="13.15" customHeight="1">
      <c r="A560" s="3"/>
      <c r="B560" s="7"/>
      <c r="D560" s="6"/>
      <c r="E560" s="2"/>
      <c r="F560" s="2"/>
      <c r="G560" s="2"/>
      <c r="T560" s="5"/>
      <c r="U560" s="4"/>
      <c r="V560" s="4"/>
      <c r="W560" s="4"/>
    </row>
    <row r="561" spans="1:23" ht="13.15" customHeight="1">
      <c r="A561" s="3"/>
      <c r="B561" s="7"/>
      <c r="D561" s="6"/>
      <c r="E561" s="2"/>
      <c r="F561" s="2"/>
      <c r="G561" s="2"/>
      <c r="T561" s="5"/>
      <c r="U561" s="4"/>
      <c r="V561" s="4"/>
      <c r="W561" s="4"/>
    </row>
    <row r="562" spans="1:23" ht="13.15" customHeight="1">
      <c r="A562" s="3"/>
      <c r="B562" s="7"/>
      <c r="D562" s="6"/>
      <c r="E562" s="2"/>
      <c r="F562" s="2"/>
      <c r="G562" s="2"/>
      <c r="T562" s="5"/>
      <c r="U562" s="4"/>
      <c r="V562" s="4"/>
      <c r="W562" s="4"/>
    </row>
    <row r="563" spans="1:23" ht="13.15" customHeight="1">
      <c r="A563" s="3"/>
      <c r="B563" s="7"/>
      <c r="D563" s="6"/>
      <c r="E563" s="2"/>
      <c r="F563" s="2"/>
      <c r="G563" s="2"/>
      <c r="T563" s="5"/>
      <c r="U563" s="4"/>
      <c r="V563" s="4"/>
      <c r="W563" s="4"/>
    </row>
    <row r="564" spans="1:23" ht="13.15" customHeight="1">
      <c r="A564" s="3"/>
      <c r="B564" s="7"/>
      <c r="D564" s="6"/>
      <c r="E564" s="2"/>
      <c r="F564" s="2"/>
      <c r="G564" s="2"/>
      <c r="T564" s="5"/>
      <c r="U564" s="4"/>
      <c r="V564" s="4"/>
      <c r="W564" s="4"/>
    </row>
    <row r="565" spans="1:23" ht="13.15" customHeight="1">
      <c r="A565" s="3"/>
      <c r="B565" s="7"/>
      <c r="D565" s="6"/>
      <c r="E565" s="2"/>
      <c r="F565" s="2"/>
      <c r="G565" s="2"/>
      <c r="T565" s="5"/>
      <c r="U565" s="4"/>
      <c r="V565" s="4"/>
      <c r="W565" s="4"/>
    </row>
    <row r="566" spans="1:23" ht="13.15" customHeight="1">
      <c r="A566" s="3"/>
      <c r="B566" s="7"/>
      <c r="D566" s="6"/>
      <c r="E566" s="2"/>
      <c r="F566" s="2"/>
      <c r="G566" s="2"/>
      <c r="T566" s="5"/>
      <c r="U566" s="4"/>
      <c r="V566" s="4"/>
      <c r="W566" s="4"/>
    </row>
    <row r="567" spans="1:23" ht="13.15" customHeight="1">
      <c r="A567" s="3"/>
      <c r="B567" s="7"/>
      <c r="D567" s="6"/>
      <c r="E567" s="2"/>
      <c r="F567" s="2"/>
      <c r="G567" s="2"/>
      <c r="T567" s="5"/>
      <c r="U567" s="4"/>
      <c r="V567" s="4"/>
      <c r="W567" s="4"/>
    </row>
    <row r="568" spans="1:23" ht="13.15" customHeight="1">
      <c r="A568" s="3"/>
      <c r="B568" s="7"/>
      <c r="D568" s="6"/>
      <c r="E568" s="2"/>
      <c r="F568" s="2"/>
      <c r="G568" s="2"/>
      <c r="T568" s="5"/>
      <c r="U568" s="4"/>
      <c r="V568" s="4"/>
      <c r="W568" s="4"/>
    </row>
    <row r="569" spans="1:23" ht="13.15" customHeight="1">
      <c r="A569" s="3"/>
      <c r="B569" s="7"/>
      <c r="D569" s="6"/>
      <c r="E569" s="2"/>
      <c r="F569" s="2"/>
      <c r="G569" s="2"/>
      <c r="T569" s="5"/>
      <c r="U569" s="4"/>
      <c r="V569" s="4"/>
      <c r="W569" s="4"/>
    </row>
    <row r="570" spans="1:23" ht="13.15" customHeight="1">
      <c r="A570" s="3"/>
      <c r="B570" s="7"/>
      <c r="D570" s="6"/>
      <c r="E570" s="2"/>
      <c r="F570" s="2"/>
      <c r="G570" s="2"/>
      <c r="T570" s="5"/>
      <c r="U570" s="4"/>
      <c r="V570" s="4"/>
      <c r="W570" s="4"/>
    </row>
    <row r="571" spans="1:23" ht="13.15" customHeight="1">
      <c r="A571" s="3"/>
      <c r="B571" s="7"/>
      <c r="D571" s="6"/>
      <c r="E571" s="2"/>
      <c r="F571" s="2"/>
      <c r="G571" s="2"/>
      <c r="T571" s="5"/>
      <c r="U571" s="4"/>
      <c r="V571" s="4"/>
      <c r="W571" s="4"/>
    </row>
    <row r="572" spans="1:23" ht="13.15" customHeight="1">
      <c r="A572" s="3"/>
      <c r="B572" s="7"/>
      <c r="D572" s="6"/>
      <c r="E572" s="2"/>
      <c r="F572" s="2"/>
      <c r="G572" s="2"/>
      <c r="T572" s="5"/>
      <c r="U572" s="4"/>
      <c r="V572" s="4"/>
      <c r="W572" s="4"/>
    </row>
    <row r="573" spans="1:23" ht="13.15" customHeight="1">
      <c r="A573" s="3"/>
      <c r="B573" s="7"/>
      <c r="D573" s="6"/>
      <c r="E573" s="2"/>
      <c r="F573" s="2"/>
      <c r="G573" s="2"/>
      <c r="T573" s="5"/>
      <c r="U573" s="4"/>
      <c r="V573" s="4"/>
      <c r="W573" s="4"/>
    </row>
    <row r="574" spans="1:23" ht="13.15" customHeight="1">
      <c r="A574" s="3"/>
      <c r="B574" s="7"/>
      <c r="D574" s="6"/>
      <c r="E574" s="2"/>
      <c r="F574" s="2"/>
      <c r="G574" s="2"/>
      <c r="T574" s="5"/>
      <c r="U574" s="4"/>
      <c r="V574" s="4"/>
      <c r="W574" s="4"/>
    </row>
    <row r="575" spans="1:23" ht="13.15" customHeight="1">
      <c r="A575" s="3"/>
      <c r="B575" s="7"/>
      <c r="D575" s="6"/>
      <c r="E575" s="2"/>
      <c r="F575" s="2"/>
      <c r="G575" s="2"/>
      <c r="T575" s="5"/>
      <c r="U575" s="4"/>
      <c r="V575" s="4"/>
      <c r="W575" s="4"/>
    </row>
    <row r="576" spans="1:23" ht="13.15" customHeight="1">
      <c r="A576" s="3"/>
      <c r="B576" s="7"/>
      <c r="D576" s="6"/>
      <c r="E576" s="2"/>
      <c r="F576" s="2"/>
      <c r="G576" s="2"/>
      <c r="T576" s="5"/>
      <c r="U576" s="4"/>
      <c r="V576" s="4"/>
      <c r="W576" s="4"/>
    </row>
    <row r="577" spans="1:23" ht="13.15" customHeight="1">
      <c r="A577" s="3"/>
      <c r="B577" s="7"/>
      <c r="D577" s="6"/>
      <c r="E577" s="2"/>
      <c r="F577" s="2"/>
      <c r="G577" s="2"/>
      <c r="T577" s="5"/>
      <c r="U577" s="4"/>
      <c r="V577" s="4"/>
      <c r="W577" s="4"/>
    </row>
    <row r="578" spans="1:23" ht="13.15" customHeight="1">
      <c r="A578" s="3"/>
      <c r="B578" s="7"/>
      <c r="D578" s="6"/>
      <c r="E578" s="2"/>
      <c r="F578" s="2"/>
      <c r="G578" s="2"/>
      <c r="T578" s="5"/>
      <c r="U578" s="4"/>
      <c r="V578" s="4"/>
      <c r="W578" s="4"/>
    </row>
    <row r="579" spans="1:23" ht="13.15" customHeight="1">
      <c r="A579" s="3"/>
      <c r="B579" s="7"/>
      <c r="D579" s="6"/>
      <c r="E579" s="2"/>
      <c r="F579" s="2"/>
      <c r="G579" s="2"/>
      <c r="T579" s="5"/>
      <c r="U579" s="4"/>
      <c r="V579" s="4"/>
      <c r="W579" s="4"/>
    </row>
    <row r="580" spans="1:23" ht="13.15" customHeight="1">
      <c r="A580" s="3"/>
      <c r="B580" s="7"/>
      <c r="D580" s="6"/>
      <c r="E580" s="2"/>
      <c r="F580" s="2"/>
      <c r="G580" s="2"/>
      <c r="T580" s="5"/>
      <c r="U580" s="4"/>
      <c r="V580" s="4"/>
      <c r="W580" s="4"/>
    </row>
    <row r="581" spans="1:23" ht="13.15" customHeight="1">
      <c r="A581" s="3"/>
      <c r="B581" s="7"/>
      <c r="D581" s="6"/>
      <c r="E581" s="2"/>
      <c r="F581" s="2"/>
      <c r="G581" s="2"/>
      <c r="T581" s="5"/>
      <c r="U581" s="4"/>
      <c r="V581" s="4"/>
      <c r="W581" s="4"/>
    </row>
    <row r="582" spans="1:23" ht="13.15" customHeight="1">
      <c r="A582" s="3"/>
      <c r="B582" s="7"/>
      <c r="D582" s="6"/>
      <c r="E582" s="2"/>
      <c r="F582" s="2"/>
      <c r="G582" s="2"/>
      <c r="T582" s="5"/>
      <c r="U582" s="4"/>
      <c r="V582" s="4"/>
      <c r="W582" s="4"/>
    </row>
    <row r="583" spans="1:23" ht="13.15" customHeight="1">
      <c r="A583" s="3"/>
      <c r="B583" s="7"/>
      <c r="D583" s="6"/>
      <c r="E583" s="2"/>
      <c r="F583" s="2"/>
      <c r="G583" s="2"/>
      <c r="T583" s="5"/>
      <c r="U583" s="4"/>
      <c r="V583" s="4"/>
      <c r="W583" s="4"/>
    </row>
    <row r="584" spans="1:23" ht="13.15" customHeight="1">
      <c r="A584" s="3"/>
      <c r="B584" s="7"/>
      <c r="D584" s="6"/>
      <c r="E584" s="2"/>
      <c r="F584" s="2"/>
      <c r="G584" s="2"/>
      <c r="T584" s="5"/>
      <c r="U584" s="4"/>
      <c r="V584" s="4"/>
      <c r="W584" s="4"/>
    </row>
    <row r="585" spans="1:23" ht="13.15" customHeight="1">
      <c r="A585" s="3"/>
      <c r="B585" s="7"/>
      <c r="D585" s="6"/>
      <c r="E585" s="2"/>
      <c r="F585" s="2"/>
      <c r="G585" s="2"/>
      <c r="T585" s="5"/>
      <c r="U585" s="4"/>
      <c r="V585" s="4"/>
      <c r="W585" s="4"/>
    </row>
    <row r="586" spans="1:23" ht="13.15" customHeight="1">
      <c r="A586" s="3"/>
      <c r="B586" s="7"/>
      <c r="D586" s="6"/>
      <c r="E586" s="2"/>
      <c r="F586" s="2"/>
      <c r="G586" s="2"/>
      <c r="T586" s="5"/>
      <c r="U586" s="4"/>
      <c r="V586" s="4"/>
      <c r="W586" s="4"/>
    </row>
    <row r="587" spans="1:23" ht="13.15" customHeight="1">
      <c r="A587" s="3"/>
      <c r="B587" s="7"/>
      <c r="D587" s="6"/>
      <c r="E587" s="2"/>
      <c r="F587" s="2"/>
      <c r="G587" s="2"/>
      <c r="T587" s="5"/>
      <c r="U587" s="4"/>
      <c r="V587" s="4"/>
      <c r="W587" s="4"/>
    </row>
    <row r="588" spans="1:23" ht="13.15" customHeight="1">
      <c r="A588" s="3"/>
      <c r="B588" s="7"/>
      <c r="D588" s="6"/>
      <c r="E588" s="2"/>
      <c r="F588" s="2"/>
      <c r="G588" s="2"/>
      <c r="T588" s="5"/>
      <c r="U588" s="4"/>
      <c r="V588" s="4"/>
      <c r="W588" s="4"/>
    </row>
    <row r="589" spans="1:23" ht="13.15" customHeight="1">
      <c r="A589" s="3"/>
      <c r="B589" s="7"/>
      <c r="D589" s="6"/>
      <c r="E589" s="2"/>
      <c r="F589" s="2"/>
      <c r="G589" s="2"/>
      <c r="T589" s="5"/>
      <c r="U589" s="4"/>
      <c r="V589" s="4"/>
      <c r="W589" s="4"/>
    </row>
    <row r="590" spans="1:23" ht="13.15" customHeight="1">
      <c r="A590" s="3"/>
      <c r="B590" s="7"/>
      <c r="D590" s="6"/>
      <c r="E590" s="2"/>
      <c r="F590" s="2"/>
      <c r="G590" s="2"/>
      <c r="T590" s="5"/>
      <c r="U590" s="4"/>
      <c r="V590" s="4"/>
      <c r="W590" s="4"/>
    </row>
    <row r="591" spans="1:23" ht="13.15" customHeight="1">
      <c r="A591" s="3"/>
      <c r="B591" s="7"/>
      <c r="D591" s="6"/>
      <c r="E591" s="2"/>
      <c r="F591" s="2"/>
      <c r="G591" s="2"/>
      <c r="T591" s="5"/>
      <c r="U591" s="4"/>
      <c r="V591" s="4"/>
      <c r="W591" s="4"/>
    </row>
    <row r="592" spans="1:23" ht="13.15" customHeight="1">
      <c r="A592" s="3"/>
      <c r="B592" s="7"/>
      <c r="D592" s="6"/>
      <c r="E592" s="2"/>
      <c r="F592" s="2"/>
      <c r="G592" s="2"/>
      <c r="T592" s="5"/>
      <c r="U592" s="4"/>
      <c r="V592" s="4"/>
      <c r="W592" s="4"/>
    </row>
    <row r="593" spans="1:23" ht="13.15" customHeight="1">
      <c r="A593" s="3"/>
      <c r="B593" s="7"/>
      <c r="D593" s="6"/>
      <c r="E593" s="2"/>
      <c r="F593" s="2"/>
      <c r="G593" s="2"/>
      <c r="T593" s="5"/>
      <c r="U593" s="4"/>
      <c r="V593" s="4"/>
      <c r="W593" s="4"/>
    </row>
    <row r="594" spans="1:23" ht="13.15" customHeight="1">
      <c r="A594" s="3"/>
      <c r="B594" s="7"/>
      <c r="D594" s="6"/>
      <c r="E594" s="2"/>
      <c r="F594" s="2"/>
      <c r="G594" s="2"/>
      <c r="T594" s="5"/>
      <c r="U594" s="4"/>
      <c r="V594" s="4"/>
      <c r="W594" s="4"/>
    </row>
    <row r="595" spans="1:23" ht="13.15" customHeight="1">
      <c r="A595" s="3"/>
      <c r="B595" s="7"/>
      <c r="D595" s="6"/>
      <c r="E595" s="2"/>
      <c r="F595" s="2"/>
      <c r="G595" s="2"/>
      <c r="T595" s="5"/>
      <c r="U595" s="4"/>
      <c r="V595" s="4"/>
      <c r="W595" s="4"/>
    </row>
    <row r="596" spans="1:23" ht="13.15" customHeight="1">
      <c r="A596" s="3"/>
      <c r="B596" s="7"/>
      <c r="D596" s="6"/>
      <c r="E596" s="2"/>
      <c r="F596" s="2"/>
      <c r="G596" s="2"/>
      <c r="T596" s="5"/>
      <c r="U596" s="4"/>
      <c r="V596" s="4"/>
      <c r="W596" s="4"/>
    </row>
    <row r="597" spans="1:23" ht="13.15" customHeight="1">
      <c r="A597" s="3"/>
      <c r="B597" s="7"/>
      <c r="D597" s="6"/>
      <c r="E597" s="2"/>
      <c r="F597" s="2"/>
      <c r="G597" s="2"/>
      <c r="T597" s="5"/>
      <c r="U597" s="4"/>
      <c r="V597" s="4"/>
      <c r="W597" s="4"/>
    </row>
    <row r="598" spans="1:23" ht="13.15" customHeight="1">
      <c r="A598" s="3"/>
      <c r="B598" s="7"/>
      <c r="D598" s="6"/>
      <c r="E598" s="2"/>
      <c r="F598" s="2"/>
      <c r="G598" s="2"/>
      <c r="T598" s="5"/>
      <c r="U598" s="4"/>
      <c r="V598" s="4"/>
      <c r="W598" s="4"/>
    </row>
    <row r="599" spans="1:23" ht="13.15" customHeight="1">
      <c r="A599" s="3"/>
      <c r="B599" s="7"/>
      <c r="D599" s="6"/>
      <c r="E599" s="2"/>
      <c r="F599" s="2"/>
      <c r="G599" s="2"/>
      <c r="T599" s="5"/>
      <c r="U599" s="4"/>
      <c r="V599" s="4"/>
      <c r="W599" s="4"/>
    </row>
    <row r="600" spans="1:23" ht="13.15" customHeight="1">
      <c r="A600" s="3"/>
      <c r="B600" s="7"/>
      <c r="D600" s="6"/>
      <c r="E600" s="2"/>
      <c r="F600" s="2"/>
      <c r="G600" s="2"/>
      <c r="T600" s="5"/>
      <c r="U600" s="4"/>
      <c r="V600" s="4"/>
      <c r="W600" s="4"/>
    </row>
    <row r="601" spans="1:23" ht="13.15" customHeight="1">
      <c r="A601" s="3"/>
      <c r="B601" s="7"/>
      <c r="D601" s="6"/>
      <c r="E601" s="2"/>
      <c r="F601" s="2"/>
      <c r="G601" s="2"/>
      <c r="T601" s="5"/>
      <c r="U601" s="4"/>
      <c r="V601" s="4"/>
      <c r="W601" s="4"/>
    </row>
    <row r="602" spans="1:23" ht="13.15" customHeight="1">
      <c r="A602" s="3"/>
      <c r="B602" s="7"/>
      <c r="D602" s="6"/>
      <c r="E602" s="2"/>
      <c r="F602" s="2"/>
      <c r="G602" s="2"/>
      <c r="T602" s="5"/>
      <c r="U602" s="4"/>
      <c r="V602" s="4"/>
      <c r="W602" s="4"/>
    </row>
    <row r="603" spans="1:23" ht="13.15" customHeight="1">
      <c r="A603" s="3"/>
      <c r="B603" s="7"/>
      <c r="D603" s="6"/>
      <c r="E603" s="2"/>
      <c r="F603" s="2"/>
      <c r="G603" s="2"/>
      <c r="T603" s="5"/>
      <c r="U603" s="4"/>
      <c r="V603" s="4"/>
      <c r="W603" s="4"/>
    </row>
    <row r="604" spans="1:23" ht="13.15" customHeight="1">
      <c r="A604" s="3"/>
      <c r="B604" s="7"/>
      <c r="D604" s="6"/>
      <c r="E604" s="2"/>
      <c r="F604" s="2"/>
      <c r="G604" s="2"/>
      <c r="T604" s="5"/>
      <c r="U604" s="4"/>
      <c r="V604" s="4"/>
      <c r="W604" s="4"/>
    </row>
    <row r="605" spans="1:23" ht="13.15" customHeight="1">
      <c r="A605" s="3"/>
      <c r="B605" s="7"/>
      <c r="D605" s="6"/>
      <c r="E605" s="2"/>
      <c r="F605" s="2"/>
      <c r="G605" s="2"/>
      <c r="T605" s="5"/>
      <c r="U605" s="4"/>
      <c r="V605" s="4"/>
      <c r="W605" s="4"/>
    </row>
    <row r="606" spans="1:23" ht="13.15" customHeight="1">
      <c r="A606" s="3"/>
      <c r="B606" s="7"/>
      <c r="D606" s="6"/>
      <c r="E606" s="2"/>
      <c r="F606" s="2"/>
      <c r="G606" s="2"/>
      <c r="T606" s="5"/>
      <c r="U606" s="4"/>
      <c r="V606" s="4"/>
      <c r="W606" s="4"/>
    </row>
    <row r="607" spans="1:23" ht="13.15" customHeight="1">
      <c r="A607" s="3"/>
      <c r="B607" s="7"/>
      <c r="D607" s="6"/>
      <c r="E607" s="2"/>
      <c r="F607" s="2"/>
      <c r="G607" s="2"/>
      <c r="T607" s="5"/>
      <c r="U607" s="4"/>
      <c r="V607" s="4"/>
      <c r="W607" s="4"/>
    </row>
    <row r="608" spans="1:23" ht="13.15" customHeight="1">
      <c r="A608" s="3"/>
      <c r="B608" s="7"/>
      <c r="D608" s="6"/>
      <c r="E608" s="2"/>
      <c r="F608" s="2"/>
      <c r="G608" s="2"/>
      <c r="T608" s="5"/>
      <c r="U608" s="4"/>
      <c r="V608" s="4"/>
      <c r="W608" s="4"/>
    </row>
    <row r="609" spans="1:23" ht="13.15" customHeight="1">
      <c r="A609" s="3"/>
      <c r="B609" s="7"/>
      <c r="D609" s="6"/>
      <c r="E609" s="2"/>
      <c r="F609" s="2"/>
      <c r="G609" s="2"/>
      <c r="T609" s="5"/>
      <c r="U609" s="4"/>
      <c r="V609" s="4"/>
      <c r="W609" s="4"/>
    </row>
    <row r="610" spans="1:23" ht="13.15" customHeight="1">
      <c r="A610" s="3"/>
      <c r="B610" s="7"/>
      <c r="D610" s="6"/>
      <c r="E610" s="2"/>
      <c r="F610" s="2"/>
      <c r="G610" s="2"/>
      <c r="T610" s="5"/>
      <c r="U610" s="4"/>
      <c r="V610" s="4"/>
      <c r="W610" s="4"/>
    </row>
    <row r="611" spans="1:23" ht="13.15" customHeight="1">
      <c r="A611" s="3"/>
      <c r="B611" s="7"/>
      <c r="D611" s="6"/>
      <c r="E611" s="2"/>
      <c r="F611" s="2"/>
      <c r="G611" s="2"/>
      <c r="T611" s="5"/>
      <c r="U611" s="4"/>
      <c r="V611" s="4"/>
      <c r="W611" s="4"/>
    </row>
    <row r="612" spans="1:23" ht="13.15" customHeight="1">
      <c r="A612" s="3"/>
      <c r="B612" s="7"/>
      <c r="D612" s="6"/>
      <c r="E612" s="2"/>
      <c r="F612" s="2"/>
      <c r="G612" s="2"/>
      <c r="T612" s="5"/>
      <c r="U612" s="4"/>
      <c r="V612" s="4"/>
      <c r="W612" s="4"/>
    </row>
    <row r="613" spans="1:23" ht="13.15" customHeight="1">
      <c r="A613" s="3"/>
      <c r="B613" s="7"/>
      <c r="D613" s="6"/>
      <c r="E613" s="2"/>
      <c r="F613" s="2"/>
      <c r="G613" s="2"/>
      <c r="T613" s="5"/>
      <c r="U613" s="4"/>
      <c r="V613" s="4"/>
      <c r="W613" s="4"/>
    </row>
    <row r="614" spans="1:23" ht="13.15" customHeight="1">
      <c r="A614" s="3"/>
      <c r="B614" s="7"/>
      <c r="D614" s="6"/>
      <c r="E614" s="2"/>
      <c r="F614" s="2"/>
      <c r="G614" s="2"/>
      <c r="T614" s="5"/>
      <c r="U614" s="4"/>
      <c r="V614" s="4"/>
      <c r="W614" s="4"/>
    </row>
    <row r="615" spans="1:23" ht="13.15" customHeight="1">
      <c r="A615" s="3"/>
      <c r="B615" s="7"/>
      <c r="D615" s="6"/>
      <c r="E615" s="2"/>
      <c r="F615" s="2"/>
      <c r="G615" s="2"/>
      <c r="T615" s="5"/>
      <c r="U615" s="4"/>
      <c r="V615" s="4"/>
      <c r="W615" s="4"/>
    </row>
    <row r="616" spans="1:23" ht="13.15" customHeight="1">
      <c r="A616" s="3"/>
      <c r="B616" s="7"/>
      <c r="D616" s="6"/>
      <c r="E616" s="2"/>
      <c r="F616" s="2"/>
      <c r="G616" s="2"/>
      <c r="T616" s="5"/>
      <c r="U616" s="4"/>
      <c r="V616" s="4"/>
      <c r="W616" s="4"/>
    </row>
    <row r="617" spans="1:23" ht="13.15" customHeight="1">
      <c r="A617" s="3"/>
      <c r="B617" s="7"/>
      <c r="D617" s="6"/>
      <c r="E617" s="2"/>
      <c r="F617" s="2"/>
      <c r="G617" s="2"/>
      <c r="T617" s="5"/>
      <c r="U617" s="4"/>
      <c r="V617" s="4"/>
      <c r="W617" s="4"/>
    </row>
    <row r="618" spans="1:23" ht="13.15" customHeight="1">
      <c r="A618" s="3"/>
      <c r="B618" s="7"/>
      <c r="D618" s="6"/>
      <c r="E618" s="2"/>
      <c r="F618" s="2"/>
      <c r="G618" s="2"/>
      <c r="T618" s="5"/>
      <c r="U618" s="4"/>
      <c r="V618" s="4"/>
      <c r="W618" s="4"/>
    </row>
    <row r="619" spans="1:23" ht="13.15" customHeight="1">
      <c r="A619" s="3"/>
      <c r="B619" s="7"/>
      <c r="D619" s="6"/>
      <c r="E619" s="2"/>
      <c r="F619" s="2"/>
      <c r="G619" s="2"/>
      <c r="T619" s="5"/>
      <c r="U619" s="4"/>
      <c r="V619" s="4"/>
      <c r="W619" s="4"/>
    </row>
    <row r="620" spans="1:23" ht="13.15" customHeight="1">
      <c r="A620" s="3"/>
      <c r="B620" s="7"/>
      <c r="D620" s="6"/>
      <c r="E620" s="2"/>
      <c r="F620" s="2"/>
      <c r="G620" s="2"/>
      <c r="T620" s="5"/>
      <c r="U620" s="4"/>
      <c r="V620" s="4"/>
      <c r="W620" s="4"/>
    </row>
    <row r="621" spans="1:23" ht="13.15" customHeight="1">
      <c r="A621" s="3"/>
      <c r="B621" s="7"/>
      <c r="D621" s="6"/>
      <c r="E621" s="2"/>
      <c r="F621" s="2"/>
      <c r="G621" s="2"/>
      <c r="T621" s="5"/>
      <c r="U621" s="4"/>
      <c r="V621" s="4"/>
      <c r="W621" s="4"/>
    </row>
    <row r="622" spans="1:23" ht="13.15" customHeight="1">
      <c r="A622" s="3"/>
      <c r="B622" s="7"/>
      <c r="D622" s="6"/>
      <c r="E622" s="2"/>
      <c r="F622" s="2"/>
      <c r="G622" s="2"/>
      <c r="T622" s="5"/>
      <c r="U622" s="4"/>
      <c r="V622" s="4"/>
      <c r="W622" s="4"/>
    </row>
    <row r="623" spans="1:23" ht="13.15" customHeight="1">
      <c r="A623" s="3"/>
      <c r="B623" s="7"/>
      <c r="D623" s="6"/>
      <c r="E623" s="2"/>
      <c r="F623" s="2"/>
      <c r="G623" s="2"/>
      <c r="T623" s="5"/>
      <c r="U623" s="4"/>
      <c r="V623" s="4"/>
      <c r="W623" s="4"/>
    </row>
    <row r="624" spans="1:23" ht="13.15" customHeight="1">
      <c r="A624" s="3"/>
      <c r="B624" s="7"/>
      <c r="D624" s="6"/>
      <c r="E624" s="2"/>
      <c r="F624" s="2"/>
      <c r="G624" s="2"/>
      <c r="T624" s="5"/>
      <c r="U624" s="4"/>
      <c r="V624" s="4"/>
      <c r="W624" s="4"/>
    </row>
    <row r="625" spans="1:23" ht="13.15" customHeight="1">
      <c r="A625" s="3"/>
      <c r="B625" s="7"/>
      <c r="D625" s="6"/>
      <c r="E625" s="2"/>
      <c r="F625" s="2"/>
      <c r="G625" s="2"/>
      <c r="T625" s="5"/>
      <c r="U625" s="4"/>
      <c r="V625" s="4"/>
      <c r="W625" s="4"/>
    </row>
    <row r="626" spans="1:23" ht="13.15" customHeight="1">
      <c r="A626" s="3"/>
      <c r="B626" s="7"/>
      <c r="D626" s="6"/>
      <c r="E626" s="2"/>
      <c r="F626" s="2"/>
      <c r="G626" s="2"/>
      <c r="T626" s="5"/>
      <c r="U626" s="4"/>
      <c r="V626" s="4"/>
      <c r="W626" s="4"/>
    </row>
    <row r="627" spans="1:23" ht="13.15" customHeight="1">
      <c r="A627" s="3"/>
      <c r="B627" s="7"/>
      <c r="D627" s="6"/>
      <c r="E627" s="2"/>
      <c r="F627" s="2"/>
      <c r="G627" s="2"/>
      <c r="T627" s="5"/>
      <c r="U627" s="4"/>
      <c r="V627" s="4"/>
      <c r="W627" s="4"/>
    </row>
    <row r="628" spans="1:23" ht="13.15" customHeight="1">
      <c r="A628" s="3"/>
      <c r="B628" s="7"/>
      <c r="D628" s="6"/>
      <c r="E628" s="2"/>
      <c r="F628" s="2"/>
      <c r="G628" s="2"/>
      <c r="T628" s="5"/>
      <c r="U628" s="4"/>
      <c r="V628" s="4"/>
      <c r="W628" s="4"/>
    </row>
    <row r="629" spans="1:23" ht="13.15" customHeight="1">
      <c r="A629" s="3"/>
      <c r="B629" s="7"/>
      <c r="D629" s="6"/>
      <c r="E629" s="2"/>
      <c r="F629" s="2"/>
      <c r="G629" s="2"/>
      <c r="T629" s="5"/>
      <c r="U629" s="4"/>
      <c r="V629" s="4"/>
      <c r="W629" s="4"/>
    </row>
    <row r="630" spans="1:23" ht="13.15" customHeight="1">
      <c r="A630" s="3"/>
      <c r="B630" s="7"/>
      <c r="D630" s="6"/>
      <c r="E630" s="2"/>
      <c r="F630" s="2"/>
      <c r="G630" s="2"/>
      <c r="T630" s="5"/>
      <c r="U630" s="4"/>
      <c r="V630" s="4"/>
      <c r="W630" s="4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FBBC-A0F4-4375-A865-9B73E0AEB7D7}">
  <sheetPr codeName="Sheet29">
    <tabColor rgb="FFFFFF00"/>
    <pageSetUpPr fitToPage="1"/>
  </sheetPr>
  <dimension ref="A1:AF553"/>
  <sheetViews>
    <sheetView topLeftCell="B1" zoomScale="84" zoomScaleNormal="84" zoomScaleSheetLayoutView="80" workbookViewId="0">
      <pane ySplit="12" topLeftCell="A526" activePane="bottomLeft" state="frozen"/>
      <selection activeCell="R439" sqref="R439:R450"/>
      <selection pane="bottomLeft" activeCell="B538" sqref="B538:AB544"/>
    </sheetView>
  </sheetViews>
  <sheetFormatPr defaultColWidth="9.140625" defaultRowHeight="15.75"/>
  <cols>
    <col min="1" max="1" width="6.42578125" style="55" hidden="1" customWidth="1"/>
    <col min="2" max="2" width="11.85546875" style="67" customWidth="1"/>
    <col min="3" max="3" width="9.28515625" style="66" customWidth="1"/>
    <col min="4" max="4" width="7.42578125" style="66" customWidth="1"/>
    <col min="5" max="5" width="9.42578125" style="65" customWidth="1"/>
    <col min="6" max="6" width="8.28515625" style="65" customWidth="1"/>
    <col min="7" max="8" width="8.140625" style="64" customWidth="1"/>
    <col min="9" max="9" width="9.140625" style="64" customWidth="1"/>
    <col min="10" max="10" width="11.140625" style="63" bestFit="1" customWidth="1"/>
    <col min="11" max="12" width="8.140625" style="62" customWidth="1"/>
    <col min="13" max="13" width="8.140625" style="61" customWidth="1"/>
    <col min="14" max="14" width="8.140625" style="62" customWidth="1"/>
    <col min="15" max="15" width="8.85546875" style="62" customWidth="1"/>
    <col min="16" max="17" width="8.140625" style="61" customWidth="1"/>
    <col min="18" max="18" width="8.140625" style="62" customWidth="1"/>
    <col min="19" max="20" width="8.140625" style="61" customWidth="1"/>
    <col min="21" max="21" width="9.42578125" style="61" customWidth="1"/>
    <col min="22" max="22" width="8.140625" style="59" customWidth="1"/>
    <col min="23" max="23" width="8.140625" style="60" customWidth="1"/>
    <col min="24" max="24" width="6.5703125" style="59" customWidth="1"/>
    <col min="25" max="25" width="5.7109375" style="58" hidden="1" customWidth="1"/>
    <col min="26" max="26" width="10.140625" style="56" bestFit="1" customWidth="1"/>
    <col min="27" max="27" width="9.140625" style="57"/>
    <col min="28" max="28" width="9.140625" style="57" customWidth="1"/>
    <col min="29" max="30" width="9.140625" style="57"/>
    <col min="31" max="31" width="9.140625" style="56"/>
    <col min="32" max="16384" width="9.140625" style="55"/>
  </cols>
  <sheetData>
    <row r="1" spans="1:31" ht="24" customHeight="1" thickTop="1">
      <c r="A1" s="136">
        <v>13</v>
      </c>
      <c r="B1" s="217" t="s">
        <v>43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9"/>
    </row>
    <row r="2" spans="1:31" s="118" customFormat="1" ht="24" customHeight="1">
      <c r="A2" s="125"/>
      <c r="B2" s="220" t="s">
        <v>42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2"/>
      <c r="AC2" s="57"/>
      <c r="AD2" s="57"/>
      <c r="AE2" s="57"/>
    </row>
    <row r="3" spans="1:31" s="118" customFormat="1" ht="24" customHeight="1">
      <c r="A3" s="125"/>
      <c r="B3" s="22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2"/>
      <c r="AC3" s="57"/>
      <c r="AD3" s="57"/>
      <c r="AE3" s="57"/>
    </row>
    <row r="4" spans="1:31" s="118" customFormat="1" ht="24" customHeight="1">
      <c r="A4" s="125"/>
      <c r="B4" s="211" t="s">
        <v>41</v>
      </c>
      <c r="C4" s="212"/>
      <c r="D4" s="212"/>
      <c r="E4" s="212"/>
      <c r="F4" s="212"/>
      <c r="G4" s="212"/>
      <c r="H4" s="212"/>
      <c r="I4" s="213"/>
      <c r="J4" s="223" t="s">
        <v>40</v>
      </c>
      <c r="K4" s="224"/>
      <c r="L4" s="224"/>
      <c r="M4" s="224"/>
      <c r="N4" s="224"/>
      <c r="O4" s="224"/>
      <c r="P4" s="224"/>
      <c r="Q4" s="224"/>
      <c r="R4" s="224"/>
      <c r="S4" s="225"/>
      <c r="T4" s="223" t="s">
        <v>39</v>
      </c>
      <c r="U4" s="224"/>
      <c r="V4" s="224"/>
      <c r="W4" s="224"/>
      <c r="X4" s="224"/>
      <c r="Y4" s="224"/>
      <c r="Z4" s="224"/>
      <c r="AA4" s="224"/>
      <c r="AB4" s="225"/>
      <c r="AC4" s="57"/>
      <c r="AD4" s="57"/>
      <c r="AE4" s="57"/>
    </row>
    <row r="5" spans="1:31" s="118" customFormat="1" ht="37.5" customHeight="1">
      <c r="A5" s="125"/>
      <c r="B5" s="191" t="s">
        <v>38</v>
      </c>
      <c r="C5" s="192"/>
      <c r="D5" s="192"/>
      <c r="E5" s="192"/>
      <c r="F5" s="192"/>
      <c r="G5" s="192"/>
      <c r="H5" s="192"/>
      <c r="I5" s="193"/>
      <c r="J5" s="22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28"/>
      <c r="L5" s="228"/>
      <c r="M5" s="228"/>
      <c r="N5" s="228"/>
      <c r="O5" s="228"/>
      <c r="P5" s="228"/>
      <c r="Q5" s="228"/>
      <c r="R5" s="228"/>
      <c r="S5" s="229"/>
      <c r="T5" s="230" t="s">
        <v>37</v>
      </c>
      <c r="U5" s="231"/>
      <c r="V5" s="231"/>
      <c r="W5" s="231"/>
      <c r="X5" s="231"/>
      <c r="Y5" s="231"/>
      <c r="Z5" s="231"/>
      <c r="AA5" s="231"/>
      <c r="AB5" s="232"/>
      <c r="AC5" s="57"/>
      <c r="AD5" s="57"/>
      <c r="AE5" s="57"/>
    </row>
    <row r="6" spans="1:31" s="118" customFormat="1" ht="24" customHeight="1">
      <c r="A6" s="125"/>
      <c r="B6" s="233" t="s">
        <v>36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5"/>
      <c r="AC6" s="57"/>
      <c r="AD6" s="57"/>
      <c r="AE6" s="57"/>
    </row>
    <row r="7" spans="1:31" s="118" customFormat="1" ht="15">
      <c r="A7" s="125"/>
      <c r="B7" s="54" t="s">
        <v>35</v>
      </c>
      <c r="C7" s="52">
        <f>'115+260'!C8</f>
        <v>0</v>
      </c>
      <c r="D7" s="52"/>
      <c r="E7" s="52"/>
      <c r="F7" s="52"/>
      <c r="G7" s="52"/>
      <c r="H7" s="52"/>
      <c r="I7" s="52"/>
      <c r="J7" s="52"/>
      <c r="K7" s="53"/>
      <c r="L7" s="53" t="s">
        <v>34</v>
      </c>
      <c r="M7" s="53"/>
      <c r="N7" s="53">
        <f>'115+260'!M8</f>
        <v>0</v>
      </c>
      <c r="O7" s="53"/>
      <c r="P7" s="52"/>
      <c r="Q7" s="52"/>
      <c r="R7" s="52"/>
      <c r="S7" s="52"/>
      <c r="T7" s="52"/>
      <c r="U7" s="52"/>
      <c r="V7" s="51"/>
      <c r="W7" s="51"/>
      <c r="X7" s="51"/>
      <c r="Y7" s="51"/>
      <c r="Z7" s="51"/>
      <c r="AA7" s="135"/>
      <c r="AB7" s="134"/>
      <c r="AC7" s="57"/>
      <c r="AD7" s="57"/>
      <c r="AE7" s="57"/>
    </row>
    <row r="8" spans="1:31" s="118" customFormat="1" ht="15">
      <c r="A8" s="125"/>
      <c r="B8" s="48" t="s">
        <v>33</v>
      </c>
      <c r="C8" s="46" t="str">
        <f>'115+260'!C9</f>
        <v>Nắng</v>
      </c>
      <c r="D8" s="46"/>
      <c r="E8" s="46"/>
      <c r="F8" s="46"/>
      <c r="G8" s="46"/>
      <c r="H8" s="46"/>
      <c r="I8" s="46"/>
      <c r="J8" s="46"/>
      <c r="K8" s="47"/>
      <c r="L8" s="47" t="s">
        <v>31</v>
      </c>
      <c r="M8" s="47"/>
      <c r="N8" s="47">
        <f>'115+260'!M9</f>
        <v>1069</v>
      </c>
      <c r="O8" s="47"/>
      <c r="P8" s="46"/>
      <c r="Q8" s="46"/>
      <c r="R8" s="46"/>
      <c r="S8" s="46"/>
      <c r="T8" s="46"/>
      <c r="U8" s="46"/>
      <c r="V8" s="45"/>
      <c r="W8" s="45"/>
      <c r="X8" s="45"/>
      <c r="Y8" s="45"/>
      <c r="Z8" s="45"/>
      <c r="AA8" s="133"/>
      <c r="AB8" s="132"/>
      <c r="AC8" s="57"/>
      <c r="AD8" s="57"/>
      <c r="AE8" s="57"/>
    </row>
    <row r="9" spans="1:31" s="118" customFormat="1" ht="15">
      <c r="A9" s="125"/>
      <c r="B9" s="131" t="s">
        <v>30</v>
      </c>
      <c r="C9" s="129" t="str">
        <f>'115+260'!C10</f>
        <v>Km115+260</v>
      </c>
      <c r="D9" s="129"/>
      <c r="E9" s="129"/>
      <c r="F9" s="129"/>
      <c r="G9" s="129"/>
      <c r="H9" s="129"/>
      <c r="I9" s="129"/>
      <c r="J9" s="129"/>
      <c r="K9" s="130"/>
      <c r="L9" s="130" t="s">
        <v>28</v>
      </c>
      <c r="M9" s="130"/>
      <c r="N9" s="236">
        <f>'115+260'!M10</f>
        <v>45251</v>
      </c>
      <c r="O9" s="236"/>
      <c r="P9" s="129"/>
      <c r="Q9" s="129"/>
      <c r="R9" s="129"/>
      <c r="S9" s="129"/>
      <c r="T9" s="129"/>
      <c r="U9" s="129"/>
      <c r="V9" s="128"/>
      <c r="W9" s="128"/>
      <c r="X9" s="128"/>
      <c r="Y9" s="128"/>
      <c r="Z9" s="128"/>
      <c r="AA9" s="127"/>
      <c r="AB9" s="126"/>
      <c r="AC9" s="57"/>
      <c r="AD9" s="57"/>
      <c r="AE9" s="57"/>
    </row>
    <row r="10" spans="1:31" s="118" customFormat="1" ht="12.75">
      <c r="A10" s="125"/>
      <c r="B10" s="124"/>
      <c r="C10" s="123"/>
      <c r="D10" s="123"/>
      <c r="E10" s="122"/>
      <c r="F10" s="122"/>
      <c r="G10" s="122"/>
      <c r="H10" s="122"/>
      <c r="I10" s="122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0"/>
      <c r="W10" s="120"/>
      <c r="X10" s="120"/>
      <c r="Y10" s="99"/>
      <c r="Z10" s="57"/>
      <c r="AA10" s="119"/>
      <c r="AB10" s="119"/>
      <c r="AC10" s="57"/>
      <c r="AD10" s="57"/>
      <c r="AE10" s="57"/>
    </row>
    <row r="11" spans="1:31" s="115" customFormat="1" ht="16.5" customHeight="1">
      <c r="A11" s="117"/>
      <c r="B11" s="241" t="s">
        <v>62</v>
      </c>
      <c r="C11" s="242" t="s">
        <v>61</v>
      </c>
      <c r="D11" s="242" t="s">
        <v>60</v>
      </c>
      <c r="E11" s="243" t="s">
        <v>59</v>
      </c>
      <c r="F11" s="243" t="s">
        <v>58</v>
      </c>
      <c r="G11" s="237" t="s">
        <v>57</v>
      </c>
      <c r="H11" s="237"/>
      <c r="I11" s="237"/>
      <c r="J11" s="237"/>
      <c r="K11" s="237"/>
      <c r="L11" s="237"/>
      <c r="M11" s="238" t="s">
        <v>56</v>
      </c>
      <c r="N11" s="238"/>
      <c r="O11" s="238"/>
      <c r="P11" s="238"/>
      <c r="Q11" s="238"/>
      <c r="R11" s="238"/>
      <c r="S11" s="239" t="s">
        <v>9</v>
      </c>
      <c r="T11" s="239"/>
      <c r="U11" s="239"/>
      <c r="V11" s="239"/>
      <c r="W11" s="239"/>
      <c r="X11" s="239"/>
      <c r="Y11" s="240"/>
      <c r="Z11" s="226" t="s">
        <v>16</v>
      </c>
      <c r="AA11" s="226" t="s">
        <v>55</v>
      </c>
      <c r="AB11" s="226" t="s">
        <v>54</v>
      </c>
      <c r="AC11" s="57"/>
      <c r="AD11" s="57"/>
      <c r="AE11" s="116"/>
    </row>
    <row r="12" spans="1:31" s="88" customFormat="1" ht="73.150000000000006" customHeight="1">
      <c r="A12" s="90"/>
      <c r="B12" s="241"/>
      <c r="C12" s="242"/>
      <c r="D12" s="242"/>
      <c r="E12" s="243"/>
      <c r="F12" s="243"/>
      <c r="G12" s="113" t="s">
        <v>53</v>
      </c>
      <c r="H12" s="113" t="s">
        <v>52</v>
      </c>
      <c r="I12" s="113" t="s">
        <v>51</v>
      </c>
      <c r="J12" s="113" t="s">
        <v>50</v>
      </c>
      <c r="K12" s="114" t="s">
        <v>49</v>
      </c>
      <c r="L12" s="114" t="s">
        <v>48</v>
      </c>
      <c r="M12" s="113" t="s">
        <v>53</v>
      </c>
      <c r="N12" s="113" t="s">
        <v>52</v>
      </c>
      <c r="O12" s="113" t="s">
        <v>51</v>
      </c>
      <c r="P12" s="113" t="s">
        <v>50</v>
      </c>
      <c r="Q12" s="114" t="s">
        <v>49</v>
      </c>
      <c r="R12" s="114" t="s">
        <v>48</v>
      </c>
      <c r="S12" s="113" t="s">
        <v>53</v>
      </c>
      <c r="T12" s="113" t="s">
        <v>52</v>
      </c>
      <c r="U12" s="113" t="s">
        <v>51</v>
      </c>
      <c r="V12" s="112" t="s">
        <v>50</v>
      </c>
      <c r="W12" s="111" t="s">
        <v>49</v>
      </c>
      <c r="X12" s="111" t="s">
        <v>48</v>
      </c>
      <c r="Y12" s="240"/>
      <c r="Z12" s="226"/>
      <c r="AA12" s="226"/>
      <c r="AB12" s="226"/>
      <c r="AC12" s="57"/>
      <c r="AD12" s="57"/>
      <c r="AE12" s="57"/>
    </row>
    <row r="13" spans="1:31" s="88" customFormat="1" ht="15" customHeight="1">
      <c r="A13" s="90"/>
      <c r="B13" s="110">
        <f>'115+260'!B14</f>
        <v>45251</v>
      </c>
      <c r="C13" s="109">
        <v>0</v>
      </c>
      <c r="D13" s="108">
        <f>VLOOKUP(B13,'115+260'!B14:AB115,2,FALSE)</f>
        <v>1069</v>
      </c>
      <c r="E13" s="78">
        <f>VLOOKUP(B13,'115+260'!B14:AB115,3,FALSE)</f>
        <v>1725</v>
      </c>
      <c r="F13" s="78">
        <f t="shared" ref="F13:F76" si="0">D13+E13</f>
        <v>2794</v>
      </c>
      <c r="G13" s="107">
        <f>VLOOKUP(B13,'115+260'!$B$14:$AB$115,20,FALSE)</f>
        <v>-200</v>
      </c>
      <c r="H13" s="107">
        <f>VLOOKUP(B13,'115+260'!$B$14:$AB$115,4,FALSE)</f>
        <v>994</v>
      </c>
      <c r="I13" s="105">
        <f t="shared" ref="I13:I76" si="1">F13-H13</f>
        <v>1800</v>
      </c>
      <c r="J13" s="105">
        <f>VLOOKUP(B13,'115+260'!$B$14:$AB$115,13,FALSE)</f>
        <v>-200</v>
      </c>
      <c r="K13" s="72">
        <f>'115+260'!Q14</f>
        <v>0</v>
      </c>
      <c r="L13" s="106">
        <v>0</v>
      </c>
      <c r="M13" s="76">
        <f>VLOOKUP(B13,'115+260'!$B$14:$AB$115,21,FALSE)</f>
        <v>-220</v>
      </c>
      <c r="N13" s="78">
        <f>VLOOKUP(B13,'115+260'!$B$14:$AB$115,5,FALSE)</f>
        <v>1014</v>
      </c>
      <c r="O13" s="105">
        <f t="shared" ref="O13:O76" si="2">F13-N13</f>
        <v>1780</v>
      </c>
      <c r="P13" s="105">
        <f>VLOOKUP(B13,'115+260'!$B$14:$AB$115,14,FALSE)</f>
        <v>-220</v>
      </c>
      <c r="Q13" s="72">
        <f>'115+260'!R14</f>
        <v>0</v>
      </c>
      <c r="R13" s="106">
        <v>0</v>
      </c>
      <c r="S13" s="76">
        <f>VLOOKUP(B13,'115+260'!$B$14:$AB$115,22,FALSE)</f>
        <v>-250</v>
      </c>
      <c r="T13" s="78">
        <f>VLOOKUP(B13,'115+260'!$B$13:$AB$115,6,FALSE)</f>
        <v>1044</v>
      </c>
      <c r="U13" s="105">
        <f t="shared" ref="U13:U76" si="3">F13-T13</f>
        <v>1750</v>
      </c>
      <c r="V13" s="104">
        <f>VLOOKUP(B13,'115+260'!$B$14:$AB$115,15,FALSE)</f>
        <v>-250</v>
      </c>
      <c r="W13" s="72">
        <f>'115+260'!S14</f>
        <v>0</v>
      </c>
      <c r="X13" s="103">
        <v>0</v>
      </c>
      <c r="Y13" s="102">
        <v>0</v>
      </c>
      <c r="Z13" s="69">
        <f>IF(Y13&gt;0,Y13,0)</f>
        <v>0</v>
      </c>
      <c r="AA13" s="68">
        <f>Z13</f>
        <v>0</v>
      </c>
      <c r="AB13" s="68">
        <v>0</v>
      </c>
      <c r="AC13" s="57"/>
      <c r="AD13" s="57"/>
      <c r="AE13" s="57"/>
    </row>
    <row r="14" spans="1:31" s="88" customFormat="1" ht="15" customHeight="1">
      <c r="A14" s="90"/>
      <c r="B14" s="110">
        <f>'115+260'!B15</f>
        <v>45252</v>
      </c>
      <c r="C14" s="80">
        <f t="shared" ref="C14:C77" si="4">B14-B13</f>
        <v>1</v>
      </c>
      <c r="D14" s="79">
        <f t="shared" ref="D14:D77" si="5">D13</f>
        <v>1069</v>
      </c>
      <c r="E14" s="78">
        <f>VLOOKUP(B14,'115+260'!B15:AB116,3,FALSE)</f>
        <v>1723</v>
      </c>
      <c r="F14" s="75">
        <f t="shared" si="0"/>
        <v>2792</v>
      </c>
      <c r="G14" s="77">
        <f>VLOOKUP(B14,'115+260'!$B$15:$AB$115,20,FALSE)</f>
        <v>-200</v>
      </c>
      <c r="H14" s="77">
        <f>VLOOKUP(B14,'115+260'!$B$15:$AB$115,4,FALSE)</f>
        <v>992</v>
      </c>
      <c r="I14" s="74">
        <f t="shared" si="1"/>
        <v>1800</v>
      </c>
      <c r="J14" s="74">
        <f>VLOOKUP(B14,'115+260'!$B$15:$AB$115,13,FALSE)</f>
        <v>-200</v>
      </c>
      <c r="K14" s="72">
        <f>'115+260'!Q15</f>
        <v>0</v>
      </c>
      <c r="L14" s="71">
        <f t="shared" ref="L14:L77" si="6">+K14+L13</f>
        <v>0</v>
      </c>
      <c r="M14" s="76">
        <f>VLOOKUP(B14,'115+260'!$B$14:$AB$115,21,FALSE)</f>
        <v>-220</v>
      </c>
      <c r="N14" s="75">
        <f>VLOOKUP(B14,'115+260'!$B$15:$AB$115,5,FALSE)</f>
        <v>1012</v>
      </c>
      <c r="O14" s="74">
        <f t="shared" si="2"/>
        <v>1780</v>
      </c>
      <c r="P14" s="74">
        <f>VLOOKUP(B14,'115+260'!$B$15:$AB$115,14,FALSE)</f>
        <v>-220</v>
      </c>
      <c r="Q14" s="72">
        <f>'115+260'!R15</f>
        <v>0</v>
      </c>
      <c r="R14" s="71">
        <f t="shared" ref="R14:R77" si="7">+Q14+R13</f>
        <v>0</v>
      </c>
      <c r="S14" s="76">
        <f>VLOOKUP(B14,'115+260'!$B$14:$AB$115,22,FALSE)</f>
        <v>-250</v>
      </c>
      <c r="T14" s="75">
        <f>VLOOKUP(B14,'115+260'!$B$15:$AB$115,6,FALSE)</f>
        <v>1042</v>
      </c>
      <c r="U14" s="74">
        <f t="shared" si="3"/>
        <v>1750</v>
      </c>
      <c r="V14" s="73">
        <f>VLOOKUP(B14,'115+260'!$B$15:$AB$115,15,FALSE)</f>
        <v>-250</v>
      </c>
      <c r="W14" s="72">
        <f>'115+260'!S15</f>
        <v>0</v>
      </c>
      <c r="X14" s="71">
        <f t="shared" ref="X14:X77" si="8">+W14+X13</f>
        <v>0</v>
      </c>
      <c r="Y14" s="70">
        <f t="shared" ref="Y14:Y77" si="9">S14-S13</f>
        <v>0</v>
      </c>
      <c r="Z14" s="69">
        <f t="shared" ref="Z14:Z77" si="10">IF(Y14&gt;0,Y14,0)/1000</f>
        <v>0</v>
      </c>
      <c r="AA14" s="68">
        <f t="shared" ref="AA14:AA77" si="11">AA13+Z14</f>
        <v>0</v>
      </c>
      <c r="AB14" s="68">
        <f t="shared" ref="AB14:AB77" si="12">(M14-$M$13-R14)/1000</f>
        <v>0</v>
      </c>
      <c r="AC14" s="57"/>
      <c r="AD14" s="57"/>
      <c r="AE14" s="57"/>
    </row>
    <row r="15" spans="1:31" s="88" customFormat="1" ht="15" customHeight="1">
      <c r="A15" s="90">
        <v>1</v>
      </c>
      <c r="B15" s="110">
        <f>'115+260'!B16</f>
        <v>45253</v>
      </c>
      <c r="C15" s="80">
        <f t="shared" si="4"/>
        <v>1</v>
      </c>
      <c r="D15" s="79">
        <f t="shared" si="5"/>
        <v>1069</v>
      </c>
      <c r="E15" s="78">
        <f>VLOOKUP(B15,'115+260'!B16:AB117,3,FALSE)</f>
        <v>1721</v>
      </c>
      <c r="F15" s="75">
        <f t="shared" si="0"/>
        <v>2790</v>
      </c>
      <c r="G15" s="77">
        <f>VLOOKUP(B15,'115+260'!$B$15:$AB$115,20,FALSE)</f>
        <v>-200</v>
      </c>
      <c r="H15" s="77">
        <f>VLOOKUP(B15,'115+260'!$B$15:$AB$115,4,FALSE)</f>
        <v>990</v>
      </c>
      <c r="I15" s="74">
        <f t="shared" si="1"/>
        <v>1800</v>
      </c>
      <c r="J15" s="74">
        <f>VLOOKUP(B15,'115+260'!$B$15:$AB$115,13,FALSE)</f>
        <v>-200</v>
      </c>
      <c r="K15" s="72">
        <f>'115+260'!Q16</f>
        <v>0</v>
      </c>
      <c r="L15" s="71">
        <f t="shared" si="6"/>
        <v>0</v>
      </c>
      <c r="M15" s="76">
        <f>VLOOKUP(B15,'115+260'!$B$14:$AB$115,21,FALSE)</f>
        <v>-220</v>
      </c>
      <c r="N15" s="75">
        <f>VLOOKUP(B15,'115+260'!$B$15:$AB$115,5,FALSE)</f>
        <v>1010</v>
      </c>
      <c r="O15" s="74">
        <f t="shared" si="2"/>
        <v>1780</v>
      </c>
      <c r="P15" s="74">
        <f>VLOOKUP(B15,'115+260'!$B$15:$AB$115,14,FALSE)</f>
        <v>-220</v>
      </c>
      <c r="Q15" s="72">
        <f>'115+260'!R16</f>
        <v>0</v>
      </c>
      <c r="R15" s="71">
        <f t="shared" si="7"/>
        <v>0</v>
      </c>
      <c r="S15" s="76">
        <f>VLOOKUP(B15,'115+260'!$B$14:$AB$115,22,FALSE)</f>
        <v>-250</v>
      </c>
      <c r="T15" s="75">
        <f>VLOOKUP(B15,'115+260'!$B$15:$AB$115,6,FALSE)</f>
        <v>1040</v>
      </c>
      <c r="U15" s="74">
        <f t="shared" si="3"/>
        <v>1750</v>
      </c>
      <c r="V15" s="73">
        <f>VLOOKUP(B15,'115+260'!$B$15:$AB$115,15,FALSE)</f>
        <v>-250</v>
      </c>
      <c r="W15" s="72">
        <f>'115+260'!S16</f>
        <v>0</v>
      </c>
      <c r="X15" s="71">
        <f t="shared" si="8"/>
        <v>0</v>
      </c>
      <c r="Y15" s="70">
        <f t="shared" si="9"/>
        <v>0</v>
      </c>
      <c r="Z15" s="69">
        <f t="shared" si="10"/>
        <v>0</v>
      </c>
      <c r="AA15" s="68">
        <f t="shared" si="11"/>
        <v>0</v>
      </c>
      <c r="AB15" s="68">
        <f t="shared" si="12"/>
        <v>0</v>
      </c>
      <c r="AC15" s="57"/>
      <c r="AD15" s="57"/>
      <c r="AE15" s="57"/>
    </row>
    <row r="16" spans="1:31" s="88" customFormat="1" ht="15" customHeight="1">
      <c r="A16" s="90">
        <f t="shared" ref="A16:A21" si="13">A15+1</f>
        <v>2</v>
      </c>
      <c r="B16" s="110">
        <f>'115+260'!B17</f>
        <v>45254</v>
      </c>
      <c r="C16" s="80">
        <f t="shared" si="4"/>
        <v>1</v>
      </c>
      <c r="D16" s="79">
        <f t="shared" si="5"/>
        <v>1069</v>
      </c>
      <c r="E16" s="78">
        <f>VLOOKUP(B16,'115+260'!B17:AB118,3,FALSE)</f>
        <v>1719</v>
      </c>
      <c r="F16" s="75">
        <f t="shared" si="0"/>
        <v>2788</v>
      </c>
      <c r="G16" s="77">
        <f>VLOOKUP(B16,'115+260'!$B$15:$AB$115,20,FALSE)</f>
        <v>-200</v>
      </c>
      <c r="H16" s="77">
        <f>VLOOKUP(B16,'115+260'!$B$15:$AB$115,4,FALSE)</f>
        <v>988</v>
      </c>
      <c r="I16" s="74">
        <f t="shared" si="1"/>
        <v>1800</v>
      </c>
      <c r="J16" s="74">
        <f>VLOOKUP(B16,'115+260'!$B$15:$AB$115,13,FALSE)</f>
        <v>-200</v>
      </c>
      <c r="K16" s="72">
        <f>'115+260'!Q17</f>
        <v>0</v>
      </c>
      <c r="L16" s="71">
        <f t="shared" si="6"/>
        <v>0</v>
      </c>
      <c r="M16" s="76">
        <f>VLOOKUP(B16,'115+260'!$B$14:$AB$115,21,FALSE)</f>
        <v>-220</v>
      </c>
      <c r="N16" s="75">
        <f>VLOOKUP(B16,'115+260'!$B$15:$AB$115,5,FALSE)</f>
        <v>1008</v>
      </c>
      <c r="O16" s="74">
        <f t="shared" si="2"/>
        <v>1780</v>
      </c>
      <c r="P16" s="74">
        <f>VLOOKUP(B16,'115+260'!$B$15:$AB$115,14,FALSE)</f>
        <v>-220</v>
      </c>
      <c r="Q16" s="72">
        <f>'115+260'!R17</f>
        <v>0</v>
      </c>
      <c r="R16" s="71">
        <f t="shared" si="7"/>
        <v>0</v>
      </c>
      <c r="S16" s="76">
        <f>VLOOKUP(B16,'115+260'!$B$14:$AB$115,22,FALSE)</f>
        <v>-250</v>
      </c>
      <c r="T16" s="75">
        <f>VLOOKUP(B16,'115+260'!$B$15:$AB$115,6,FALSE)</f>
        <v>1038</v>
      </c>
      <c r="U16" s="74">
        <f t="shared" si="3"/>
        <v>1750</v>
      </c>
      <c r="V16" s="73">
        <f>VLOOKUP(B16,'115+260'!$B$15:$AB$115,15,FALSE)</f>
        <v>-250</v>
      </c>
      <c r="W16" s="72">
        <f>'115+260'!S17</f>
        <v>0</v>
      </c>
      <c r="X16" s="71">
        <f t="shared" si="8"/>
        <v>0</v>
      </c>
      <c r="Y16" s="70">
        <f t="shared" si="9"/>
        <v>0</v>
      </c>
      <c r="Z16" s="69">
        <f t="shared" si="10"/>
        <v>0</v>
      </c>
      <c r="AA16" s="68">
        <f t="shared" si="11"/>
        <v>0</v>
      </c>
      <c r="AB16" s="68">
        <f t="shared" si="12"/>
        <v>0</v>
      </c>
      <c r="AC16" s="57"/>
      <c r="AD16" s="57"/>
      <c r="AE16" s="89"/>
    </row>
    <row r="17" spans="1:31" s="88" customFormat="1" ht="15" customHeight="1">
      <c r="A17" s="90">
        <f t="shared" si="13"/>
        <v>3</v>
      </c>
      <c r="B17" s="110">
        <f>'115+260'!B18</f>
        <v>45255</v>
      </c>
      <c r="C17" s="80">
        <f t="shared" si="4"/>
        <v>1</v>
      </c>
      <c r="D17" s="79">
        <f t="shared" si="5"/>
        <v>1069</v>
      </c>
      <c r="E17" s="78">
        <f>VLOOKUP(B17,'115+260'!B18:AB119,3,FALSE)</f>
        <v>1717</v>
      </c>
      <c r="F17" s="75">
        <f t="shared" si="0"/>
        <v>2786</v>
      </c>
      <c r="G17" s="77">
        <f>VLOOKUP(B17,'115+260'!$B$15:$AB$115,20,FALSE)</f>
        <v>-200</v>
      </c>
      <c r="H17" s="77">
        <f>VLOOKUP(B17,'115+260'!$B$15:$AB$115,4,FALSE)</f>
        <v>986</v>
      </c>
      <c r="I17" s="74">
        <f t="shared" si="1"/>
        <v>1800</v>
      </c>
      <c r="J17" s="74">
        <f>VLOOKUP(B17,'115+260'!$B$15:$AB$115,13,FALSE)</f>
        <v>-200</v>
      </c>
      <c r="K17" s="72">
        <f>'115+260'!Q18</f>
        <v>0</v>
      </c>
      <c r="L17" s="71">
        <f t="shared" si="6"/>
        <v>0</v>
      </c>
      <c r="M17" s="76">
        <f>VLOOKUP(B17,'115+260'!$B$14:$AB$115,21,FALSE)</f>
        <v>-220</v>
      </c>
      <c r="N17" s="75">
        <f>VLOOKUP(B17,'115+260'!$B$15:$AB$115,5,FALSE)</f>
        <v>1006</v>
      </c>
      <c r="O17" s="74">
        <f t="shared" si="2"/>
        <v>1780</v>
      </c>
      <c r="P17" s="74">
        <f>VLOOKUP(B17,'115+260'!$B$15:$AB$115,14,FALSE)</f>
        <v>-220</v>
      </c>
      <c r="Q17" s="72">
        <f>'115+260'!R18</f>
        <v>0</v>
      </c>
      <c r="R17" s="71">
        <f t="shared" si="7"/>
        <v>0</v>
      </c>
      <c r="S17" s="76">
        <f>VLOOKUP(B17,'115+260'!$B$14:$AB$115,22,FALSE)</f>
        <v>-250</v>
      </c>
      <c r="T17" s="75">
        <f>VLOOKUP(B17,'115+260'!$B$15:$AB$115,6,FALSE)</f>
        <v>1036</v>
      </c>
      <c r="U17" s="74">
        <f t="shared" si="3"/>
        <v>1750</v>
      </c>
      <c r="V17" s="73">
        <f>VLOOKUP(B17,'115+260'!$B$15:$AB$115,15,FALSE)</f>
        <v>-250</v>
      </c>
      <c r="W17" s="72">
        <f>'115+260'!S18</f>
        <v>0</v>
      </c>
      <c r="X17" s="71">
        <f t="shared" si="8"/>
        <v>0</v>
      </c>
      <c r="Y17" s="70">
        <f t="shared" si="9"/>
        <v>0</v>
      </c>
      <c r="Z17" s="69">
        <f t="shared" si="10"/>
        <v>0</v>
      </c>
      <c r="AA17" s="68">
        <f t="shared" si="11"/>
        <v>0</v>
      </c>
      <c r="AB17" s="68">
        <f t="shared" si="12"/>
        <v>0</v>
      </c>
      <c r="AC17" s="57"/>
      <c r="AD17" s="57"/>
      <c r="AE17" s="89"/>
    </row>
    <row r="18" spans="1:31" s="88" customFormat="1" ht="15" customHeight="1">
      <c r="A18" s="90">
        <f t="shared" si="13"/>
        <v>4</v>
      </c>
      <c r="B18" s="110">
        <f>'115+260'!B19</f>
        <v>45256</v>
      </c>
      <c r="C18" s="80">
        <f t="shared" si="4"/>
        <v>1</v>
      </c>
      <c r="D18" s="79">
        <f t="shared" si="5"/>
        <v>1069</v>
      </c>
      <c r="E18" s="78">
        <f>VLOOKUP(B18,'115+260'!B19:AB120,3,FALSE)</f>
        <v>1715</v>
      </c>
      <c r="F18" s="75">
        <f t="shared" si="0"/>
        <v>2784</v>
      </c>
      <c r="G18" s="77">
        <f>VLOOKUP(B18,'115+260'!$B$15:$AB$115,20,FALSE)</f>
        <v>-200</v>
      </c>
      <c r="H18" s="77">
        <f>VLOOKUP(B18,'115+260'!$B$15:$AB$115,4,FALSE)</f>
        <v>984</v>
      </c>
      <c r="I18" s="74">
        <f t="shared" si="1"/>
        <v>1800</v>
      </c>
      <c r="J18" s="74">
        <f>VLOOKUP(B18,'115+260'!$B$15:$AB$115,13,FALSE)</f>
        <v>-200</v>
      </c>
      <c r="K18" s="72">
        <f>'115+260'!Q19</f>
        <v>0</v>
      </c>
      <c r="L18" s="71">
        <f t="shared" si="6"/>
        <v>0</v>
      </c>
      <c r="M18" s="76">
        <f>VLOOKUP(B18,'115+260'!$B$14:$AB$115,21,FALSE)</f>
        <v>-220</v>
      </c>
      <c r="N18" s="75">
        <f>VLOOKUP(B18,'115+260'!$B$15:$AB$115,5,FALSE)</f>
        <v>1004</v>
      </c>
      <c r="O18" s="74">
        <f t="shared" si="2"/>
        <v>1780</v>
      </c>
      <c r="P18" s="74">
        <f>VLOOKUP(B18,'115+260'!$B$15:$AB$115,14,FALSE)</f>
        <v>-220</v>
      </c>
      <c r="Q18" s="72">
        <f>'115+260'!R19</f>
        <v>0</v>
      </c>
      <c r="R18" s="71">
        <f t="shared" si="7"/>
        <v>0</v>
      </c>
      <c r="S18" s="76">
        <f>VLOOKUP(B18,'115+260'!$B$14:$AB$115,22,FALSE)</f>
        <v>-250</v>
      </c>
      <c r="T18" s="75">
        <f>VLOOKUP(B18,'115+260'!$B$15:$AB$115,6,FALSE)</f>
        <v>1034</v>
      </c>
      <c r="U18" s="74">
        <f t="shared" si="3"/>
        <v>1750</v>
      </c>
      <c r="V18" s="73">
        <f>VLOOKUP(B18,'115+260'!$B$15:$AB$115,15,FALSE)</f>
        <v>-250</v>
      </c>
      <c r="W18" s="72">
        <f>'115+260'!S19</f>
        <v>0</v>
      </c>
      <c r="X18" s="71">
        <f t="shared" si="8"/>
        <v>0</v>
      </c>
      <c r="Y18" s="70">
        <f t="shared" si="9"/>
        <v>0</v>
      </c>
      <c r="Z18" s="69">
        <f t="shared" si="10"/>
        <v>0</v>
      </c>
      <c r="AA18" s="68">
        <f t="shared" si="11"/>
        <v>0</v>
      </c>
      <c r="AB18" s="68">
        <f t="shared" si="12"/>
        <v>0</v>
      </c>
      <c r="AC18" s="57"/>
      <c r="AD18" s="57"/>
      <c r="AE18" s="89"/>
    </row>
    <row r="19" spans="1:31" s="88" customFormat="1" ht="15" customHeight="1">
      <c r="A19" s="90">
        <f t="shared" si="13"/>
        <v>5</v>
      </c>
      <c r="B19" s="110">
        <f>'115+260'!B20</f>
        <v>45257</v>
      </c>
      <c r="C19" s="80">
        <f t="shared" si="4"/>
        <v>1</v>
      </c>
      <c r="D19" s="79">
        <f t="shared" si="5"/>
        <v>1069</v>
      </c>
      <c r="E19" s="78">
        <f>VLOOKUP(B19,'115+260'!B20:AB121,3,FALSE)</f>
        <v>1713</v>
      </c>
      <c r="F19" s="75">
        <f t="shared" si="0"/>
        <v>2782</v>
      </c>
      <c r="G19" s="77">
        <f>VLOOKUP(B19,'115+260'!$B$15:$AB$115,20,FALSE)</f>
        <v>-200</v>
      </c>
      <c r="H19" s="77">
        <f>VLOOKUP(B19,'115+260'!$B$15:$AB$115,4,FALSE)</f>
        <v>982</v>
      </c>
      <c r="I19" s="74">
        <f t="shared" si="1"/>
        <v>1800</v>
      </c>
      <c r="J19" s="74">
        <f>VLOOKUP(B19,'115+260'!$B$15:$AB$115,13,FALSE)</f>
        <v>-200</v>
      </c>
      <c r="K19" s="72">
        <f>'115+260'!Q20</f>
        <v>0</v>
      </c>
      <c r="L19" s="71">
        <f t="shared" si="6"/>
        <v>0</v>
      </c>
      <c r="M19" s="76">
        <f>VLOOKUP(B19,'115+260'!$B$14:$AB$115,21,FALSE)</f>
        <v>-220</v>
      </c>
      <c r="N19" s="75">
        <f>VLOOKUP(B19,'115+260'!$B$15:$AB$115,5,FALSE)</f>
        <v>1002</v>
      </c>
      <c r="O19" s="74">
        <f t="shared" si="2"/>
        <v>1780</v>
      </c>
      <c r="P19" s="74">
        <f>VLOOKUP(B19,'115+260'!$B$15:$AB$115,14,FALSE)</f>
        <v>-220</v>
      </c>
      <c r="Q19" s="72">
        <f>'115+260'!R20</f>
        <v>0</v>
      </c>
      <c r="R19" s="71">
        <f t="shared" si="7"/>
        <v>0</v>
      </c>
      <c r="S19" s="76">
        <f>VLOOKUP(B19,'115+260'!$B$14:$AB$115,22,FALSE)</f>
        <v>-250</v>
      </c>
      <c r="T19" s="75">
        <f>VLOOKUP(B19,'115+260'!$B$15:$AB$115,6,FALSE)</f>
        <v>1032</v>
      </c>
      <c r="U19" s="74">
        <f t="shared" si="3"/>
        <v>1750</v>
      </c>
      <c r="V19" s="73">
        <f>VLOOKUP(B19,'115+260'!$B$15:$AB$115,15,FALSE)</f>
        <v>-250</v>
      </c>
      <c r="W19" s="72">
        <f>'115+260'!S20</f>
        <v>0</v>
      </c>
      <c r="X19" s="71">
        <f t="shared" si="8"/>
        <v>0</v>
      </c>
      <c r="Y19" s="70">
        <f t="shared" si="9"/>
        <v>0</v>
      </c>
      <c r="Z19" s="69">
        <f t="shared" si="10"/>
        <v>0</v>
      </c>
      <c r="AA19" s="68">
        <f t="shared" si="11"/>
        <v>0</v>
      </c>
      <c r="AB19" s="68">
        <f t="shared" si="12"/>
        <v>0</v>
      </c>
      <c r="AC19" s="57"/>
      <c r="AD19" s="57"/>
      <c r="AE19" s="89"/>
    </row>
    <row r="20" spans="1:31" s="88" customFormat="1" ht="15" customHeight="1">
      <c r="A20" s="90">
        <f t="shared" si="13"/>
        <v>6</v>
      </c>
      <c r="B20" s="110">
        <f>'115+260'!B21</f>
        <v>45258</v>
      </c>
      <c r="C20" s="80">
        <f t="shared" si="4"/>
        <v>1</v>
      </c>
      <c r="D20" s="79">
        <f t="shared" si="5"/>
        <v>1069</v>
      </c>
      <c r="E20" s="78">
        <f>VLOOKUP(B20,'115+260'!B21:AB122,3,FALSE)</f>
        <v>1711</v>
      </c>
      <c r="F20" s="75">
        <f t="shared" si="0"/>
        <v>2780</v>
      </c>
      <c r="G20" s="77">
        <f>VLOOKUP(B20,'115+260'!$B$15:$AB$115,20,FALSE)</f>
        <v>-200</v>
      </c>
      <c r="H20" s="77">
        <f>VLOOKUP(B20,'115+260'!$B$15:$AB$115,4,FALSE)</f>
        <v>980</v>
      </c>
      <c r="I20" s="74">
        <f t="shared" si="1"/>
        <v>1800</v>
      </c>
      <c r="J20" s="74">
        <f>VLOOKUP(B20,'115+260'!$B$15:$AB$115,13,FALSE)</f>
        <v>-200</v>
      </c>
      <c r="K20" s="72">
        <f>'115+260'!Q21</f>
        <v>0</v>
      </c>
      <c r="L20" s="71">
        <f t="shared" si="6"/>
        <v>0</v>
      </c>
      <c r="M20" s="76">
        <f>VLOOKUP(B20,'115+260'!$B$14:$AB$115,21,FALSE)</f>
        <v>-220</v>
      </c>
      <c r="N20" s="75">
        <f>VLOOKUP(B20,'115+260'!$B$15:$AB$115,5,FALSE)</f>
        <v>1000</v>
      </c>
      <c r="O20" s="74">
        <f t="shared" si="2"/>
        <v>1780</v>
      </c>
      <c r="P20" s="74">
        <f>VLOOKUP(B20,'115+260'!$B$15:$AB$115,14,FALSE)</f>
        <v>-220</v>
      </c>
      <c r="Q20" s="72">
        <f>'115+260'!R21</f>
        <v>0</v>
      </c>
      <c r="R20" s="71">
        <f t="shared" si="7"/>
        <v>0</v>
      </c>
      <c r="S20" s="76">
        <f>VLOOKUP(B20,'115+260'!$B$14:$AB$115,22,FALSE)</f>
        <v>-250</v>
      </c>
      <c r="T20" s="75">
        <f>VLOOKUP(B20,'115+260'!$B$15:$AB$115,6,FALSE)</f>
        <v>1030</v>
      </c>
      <c r="U20" s="74">
        <f t="shared" si="3"/>
        <v>1750</v>
      </c>
      <c r="V20" s="73">
        <f>VLOOKUP(B20,'115+260'!$B$15:$AB$115,15,FALSE)</f>
        <v>-250</v>
      </c>
      <c r="W20" s="72">
        <f>'115+260'!S21</f>
        <v>0</v>
      </c>
      <c r="X20" s="71">
        <f t="shared" si="8"/>
        <v>0</v>
      </c>
      <c r="Y20" s="70">
        <f t="shared" si="9"/>
        <v>0</v>
      </c>
      <c r="Z20" s="69">
        <f t="shared" si="10"/>
        <v>0</v>
      </c>
      <c r="AA20" s="68">
        <f t="shared" si="11"/>
        <v>0</v>
      </c>
      <c r="AB20" s="68">
        <f t="shared" si="12"/>
        <v>0</v>
      </c>
      <c r="AC20" s="57"/>
      <c r="AD20" s="57"/>
      <c r="AE20" s="89"/>
    </row>
    <row r="21" spans="1:31" s="97" customFormat="1" ht="15" customHeight="1">
      <c r="A21" s="90">
        <f t="shared" si="13"/>
        <v>7</v>
      </c>
      <c r="B21" s="110">
        <f>'115+260'!B22</f>
        <v>45259</v>
      </c>
      <c r="C21" s="80">
        <f t="shared" si="4"/>
        <v>1</v>
      </c>
      <c r="D21" s="79">
        <f t="shared" si="5"/>
        <v>1069</v>
      </c>
      <c r="E21" s="78">
        <f>VLOOKUP(B21,'115+260'!B22:AB123,3,FALSE)</f>
        <v>1709</v>
      </c>
      <c r="F21" s="75">
        <f t="shared" si="0"/>
        <v>2778</v>
      </c>
      <c r="G21" s="77">
        <f>VLOOKUP(B21,'115+260'!$B$15:$AB$115,20,FALSE)</f>
        <v>-200</v>
      </c>
      <c r="H21" s="77">
        <f>VLOOKUP(B21,'115+260'!$B$15:$AB$115,4,FALSE)</f>
        <v>978</v>
      </c>
      <c r="I21" s="74">
        <f t="shared" si="1"/>
        <v>1800</v>
      </c>
      <c r="J21" s="74">
        <f>VLOOKUP(B21,'115+260'!$B$15:$AB$115,13,FALSE)</f>
        <v>-200</v>
      </c>
      <c r="K21" s="72">
        <f>'115+260'!Q22</f>
        <v>0</v>
      </c>
      <c r="L21" s="71">
        <f t="shared" si="6"/>
        <v>0</v>
      </c>
      <c r="M21" s="76">
        <f>VLOOKUP(B21,'115+260'!$B$14:$AB$115,21,FALSE)</f>
        <v>-220</v>
      </c>
      <c r="N21" s="75">
        <f>VLOOKUP(B21,'115+260'!$B$15:$AB$115,5,FALSE)</f>
        <v>998</v>
      </c>
      <c r="O21" s="74">
        <f t="shared" si="2"/>
        <v>1780</v>
      </c>
      <c r="P21" s="74">
        <f>VLOOKUP(B21,'115+260'!$B$15:$AB$115,14,FALSE)</f>
        <v>-220</v>
      </c>
      <c r="Q21" s="72">
        <f>'115+260'!R22</f>
        <v>0</v>
      </c>
      <c r="R21" s="71">
        <f t="shared" si="7"/>
        <v>0</v>
      </c>
      <c r="S21" s="76">
        <f>VLOOKUP(B21,'115+260'!$B$14:$AB$115,22,FALSE)</f>
        <v>-250</v>
      </c>
      <c r="T21" s="75">
        <f>VLOOKUP(B21,'115+260'!$B$15:$AB$115,6,FALSE)</f>
        <v>1028</v>
      </c>
      <c r="U21" s="74">
        <f t="shared" si="3"/>
        <v>1750</v>
      </c>
      <c r="V21" s="73">
        <f>VLOOKUP(B21,'115+260'!$B$15:$AB$115,15,FALSE)</f>
        <v>-250</v>
      </c>
      <c r="W21" s="72">
        <f>'115+260'!S22</f>
        <v>0</v>
      </c>
      <c r="X21" s="71">
        <f t="shared" si="8"/>
        <v>0</v>
      </c>
      <c r="Y21" s="70">
        <f t="shared" si="9"/>
        <v>0</v>
      </c>
      <c r="Z21" s="69">
        <f t="shared" si="10"/>
        <v>0</v>
      </c>
      <c r="AA21" s="68">
        <f t="shared" si="11"/>
        <v>0</v>
      </c>
      <c r="AB21" s="68">
        <f t="shared" si="12"/>
        <v>0</v>
      </c>
      <c r="AC21" s="99"/>
      <c r="AD21" s="99"/>
      <c r="AE21" s="98"/>
    </row>
    <row r="22" spans="1:31" s="97" customFormat="1" ht="15" customHeight="1">
      <c r="A22" s="90"/>
      <c r="B22" s="110">
        <f>'115+260'!B23</f>
        <v>45260</v>
      </c>
      <c r="C22" s="80">
        <f t="shared" si="4"/>
        <v>1</v>
      </c>
      <c r="D22" s="79">
        <f t="shared" si="5"/>
        <v>1069</v>
      </c>
      <c r="E22" s="78">
        <f>VLOOKUP(B22,'115+260'!B23:AB124,3,FALSE)</f>
        <v>1707</v>
      </c>
      <c r="F22" s="75">
        <f t="shared" si="0"/>
        <v>2776</v>
      </c>
      <c r="G22" s="77">
        <f>VLOOKUP(B22,'115+260'!$B$15:$AB$115,20,FALSE)</f>
        <v>-200</v>
      </c>
      <c r="H22" s="77">
        <f>VLOOKUP(B22,'115+260'!$B$15:$AB$115,4,FALSE)</f>
        <v>976</v>
      </c>
      <c r="I22" s="74">
        <f t="shared" si="1"/>
        <v>1800</v>
      </c>
      <c r="J22" s="74">
        <f>VLOOKUP(B22,'115+260'!$B$15:$AB$115,13,FALSE)</f>
        <v>-200</v>
      </c>
      <c r="K22" s="72">
        <f>'115+260'!Q23</f>
        <v>0</v>
      </c>
      <c r="L22" s="71">
        <f t="shared" si="6"/>
        <v>0</v>
      </c>
      <c r="M22" s="76">
        <f>VLOOKUP(B22,'115+260'!$B$14:$AB$115,21,FALSE)</f>
        <v>-220</v>
      </c>
      <c r="N22" s="75">
        <f>VLOOKUP(B22,'115+260'!$B$15:$AB$115,5,FALSE)</f>
        <v>996</v>
      </c>
      <c r="O22" s="74">
        <f t="shared" si="2"/>
        <v>1780</v>
      </c>
      <c r="P22" s="74">
        <f>VLOOKUP(B22,'115+260'!$B$15:$AB$115,14,FALSE)</f>
        <v>-220</v>
      </c>
      <c r="Q22" s="72">
        <f>'115+260'!R23</f>
        <v>0</v>
      </c>
      <c r="R22" s="71">
        <f t="shared" si="7"/>
        <v>0</v>
      </c>
      <c r="S22" s="76">
        <f>VLOOKUP(B22,'115+260'!$B$14:$AB$115,22,FALSE)</f>
        <v>-250</v>
      </c>
      <c r="T22" s="75">
        <f>VLOOKUP(B22,'115+260'!$B$15:$AB$115,6,FALSE)</f>
        <v>1026</v>
      </c>
      <c r="U22" s="74">
        <f t="shared" si="3"/>
        <v>1750</v>
      </c>
      <c r="V22" s="73">
        <f>VLOOKUP(B22,'115+260'!$B$15:$AB$115,15,FALSE)</f>
        <v>-250</v>
      </c>
      <c r="W22" s="72">
        <f>'115+260'!S23</f>
        <v>0</v>
      </c>
      <c r="X22" s="71">
        <f t="shared" si="8"/>
        <v>0</v>
      </c>
      <c r="Y22" s="70">
        <f t="shared" si="9"/>
        <v>0</v>
      </c>
      <c r="Z22" s="69">
        <f t="shared" si="10"/>
        <v>0</v>
      </c>
      <c r="AA22" s="68">
        <f t="shared" si="11"/>
        <v>0</v>
      </c>
      <c r="AB22" s="68">
        <f t="shared" si="12"/>
        <v>0</v>
      </c>
      <c r="AC22" s="99"/>
      <c r="AD22" s="99"/>
      <c r="AE22" s="98"/>
    </row>
    <row r="23" spans="1:31" s="97" customFormat="1" ht="15" customHeight="1">
      <c r="A23" s="90"/>
      <c r="B23" s="110">
        <f>'115+260'!B24</f>
        <v>45261</v>
      </c>
      <c r="C23" s="80">
        <f t="shared" si="4"/>
        <v>1</v>
      </c>
      <c r="D23" s="79">
        <f t="shared" si="5"/>
        <v>1069</v>
      </c>
      <c r="E23" s="78">
        <f>VLOOKUP(B23,'115+260'!B24:AB125,3,FALSE)</f>
        <v>1705</v>
      </c>
      <c r="F23" s="75">
        <f t="shared" si="0"/>
        <v>2774</v>
      </c>
      <c r="G23" s="77">
        <f>VLOOKUP(B23,'115+260'!$B$15:$AB$115,20,FALSE)</f>
        <v>-200</v>
      </c>
      <c r="H23" s="77">
        <f>VLOOKUP(B23,'115+260'!$B$15:$AB$115,4,FALSE)</f>
        <v>974</v>
      </c>
      <c r="I23" s="74">
        <f t="shared" si="1"/>
        <v>1800</v>
      </c>
      <c r="J23" s="74">
        <f>VLOOKUP(B23,'115+260'!$B$15:$AB$115,13,FALSE)</f>
        <v>-200</v>
      </c>
      <c r="K23" s="72">
        <f>'115+260'!Q24</f>
        <v>0</v>
      </c>
      <c r="L23" s="71">
        <f t="shared" si="6"/>
        <v>0</v>
      </c>
      <c r="M23" s="76">
        <f>VLOOKUP(B23,'115+260'!$B$14:$AB$115,21,FALSE)</f>
        <v>-220</v>
      </c>
      <c r="N23" s="75">
        <f>VLOOKUP(B23,'115+260'!$B$15:$AB$115,5,FALSE)</f>
        <v>994</v>
      </c>
      <c r="O23" s="74">
        <f t="shared" si="2"/>
        <v>1780</v>
      </c>
      <c r="P23" s="74">
        <f>VLOOKUP(B23,'115+260'!$B$15:$AB$115,14,FALSE)</f>
        <v>-220</v>
      </c>
      <c r="Q23" s="72">
        <f>'115+260'!R24</f>
        <v>0</v>
      </c>
      <c r="R23" s="71">
        <f t="shared" si="7"/>
        <v>0</v>
      </c>
      <c r="S23" s="76">
        <f>VLOOKUP(B23,'115+260'!$B$14:$AB$115,22,FALSE)</f>
        <v>-250</v>
      </c>
      <c r="T23" s="75">
        <f>VLOOKUP(B23,'115+260'!$B$15:$AB$115,6,FALSE)</f>
        <v>1024</v>
      </c>
      <c r="U23" s="74">
        <f t="shared" si="3"/>
        <v>1750</v>
      </c>
      <c r="V23" s="73">
        <f>VLOOKUP(B23,'115+260'!$B$15:$AB$115,15,FALSE)</f>
        <v>-250</v>
      </c>
      <c r="W23" s="72">
        <f>'115+260'!S24</f>
        <v>0</v>
      </c>
      <c r="X23" s="71">
        <f t="shared" si="8"/>
        <v>0</v>
      </c>
      <c r="Y23" s="70">
        <f t="shared" si="9"/>
        <v>0</v>
      </c>
      <c r="Z23" s="69">
        <f t="shared" si="10"/>
        <v>0</v>
      </c>
      <c r="AA23" s="68">
        <f t="shared" si="11"/>
        <v>0</v>
      </c>
      <c r="AB23" s="68">
        <f t="shared" si="12"/>
        <v>0</v>
      </c>
      <c r="AC23" s="99"/>
      <c r="AD23" s="99"/>
      <c r="AE23" s="98"/>
    </row>
    <row r="24" spans="1:31" s="97" customFormat="1" ht="15" customHeight="1">
      <c r="A24" s="90"/>
      <c r="B24" s="110">
        <f>'115+260'!B25</f>
        <v>45262</v>
      </c>
      <c r="C24" s="80">
        <f t="shared" si="4"/>
        <v>1</v>
      </c>
      <c r="D24" s="79">
        <f t="shared" si="5"/>
        <v>1069</v>
      </c>
      <c r="E24" s="78">
        <f>VLOOKUP(B24,'115+260'!B25:AB126,3,FALSE)</f>
        <v>1703</v>
      </c>
      <c r="F24" s="75">
        <f t="shared" si="0"/>
        <v>2772</v>
      </c>
      <c r="G24" s="77">
        <f>VLOOKUP(B24,'115+260'!$B$15:$AB$115,20,FALSE)</f>
        <v>-200</v>
      </c>
      <c r="H24" s="77">
        <f>VLOOKUP(B24,'115+260'!$B$15:$AB$115,4,FALSE)</f>
        <v>972</v>
      </c>
      <c r="I24" s="74">
        <f t="shared" si="1"/>
        <v>1800</v>
      </c>
      <c r="J24" s="74">
        <f>VLOOKUP(B24,'115+260'!$B$15:$AB$115,13,FALSE)</f>
        <v>-200</v>
      </c>
      <c r="K24" s="72">
        <f>'115+260'!Q25</f>
        <v>0</v>
      </c>
      <c r="L24" s="71">
        <f t="shared" si="6"/>
        <v>0</v>
      </c>
      <c r="M24" s="76">
        <f>VLOOKUP(B24,'115+260'!$B$14:$AB$115,21,FALSE)</f>
        <v>-220</v>
      </c>
      <c r="N24" s="75">
        <f>VLOOKUP(B24,'115+260'!$B$15:$AB$115,5,FALSE)</f>
        <v>992</v>
      </c>
      <c r="O24" s="74">
        <f t="shared" si="2"/>
        <v>1780</v>
      </c>
      <c r="P24" s="74">
        <f>VLOOKUP(B24,'115+260'!$B$15:$AB$115,14,FALSE)</f>
        <v>-220</v>
      </c>
      <c r="Q24" s="72">
        <f>'115+260'!R25</f>
        <v>0</v>
      </c>
      <c r="R24" s="71">
        <f t="shared" si="7"/>
        <v>0</v>
      </c>
      <c r="S24" s="76">
        <f>VLOOKUP(B24,'115+260'!$B$14:$AB$115,22,FALSE)</f>
        <v>-250</v>
      </c>
      <c r="T24" s="75">
        <f>VLOOKUP(B24,'115+260'!$B$15:$AB$115,6,FALSE)</f>
        <v>1022</v>
      </c>
      <c r="U24" s="74">
        <f t="shared" si="3"/>
        <v>1750</v>
      </c>
      <c r="V24" s="73">
        <f>VLOOKUP(B24,'115+260'!$B$15:$AB$115,15,FALSE)</f>
        <v>-250</v>
      </c>
      <c r="W24" s="72">
        <f>'115+260'!S25</f>
        <v>0</v>
      </c>
      <c r="X24" s="71">
        <f t="shared" si="8"/>
        <v>0</v>
      </c>
      <c r="Y24" s="70">
        <f t="shared" si="9"/>
        <v>0</v>
      </c>
      <c r="Z24" s="69">
        <f t="shared" si="10"/>
        <v>0</v>
      </c>
      <c r="AA24" s="68">
        <f t="shared" si="11"/>
        <v>0</v>
      </c>
      <c r="AB24" s="68">
        <f t="shared" si="12"/>
        <v>0</v>
      </c>
      <c r="AC24" s="99"/>
      <c r="AD24" s="99"/>
      <c r="AE24" s="98"/>
    </row>
    <row r="25" spans="1:31" s="97" customFormat="1" ht="15" customHeight="1">
      <c r="A25" s="90"/>
      <c r="B25" s="110">
        <f>'115+260'!B26</f>
        <v>45263</v>
      </c>
      <c r="C25" s="80">
        <f t="shared" si="4"/>
        <v>1</v>
      </c>
      <c r="D25" s="79">
        <f t="shared" si="5"/>
        <v>1069</v>
      </c>
      <c r="E25" s="78">
        <f>VLOOKUP(B25,'115+260'!B26:AB127,3,FALSE)</f>
        <v>1701</v>
      </c>
      <c r="F25" s="75">
        <f t="shared" si="0"/>
        <v>2770</v>
      </c>
      <c r="G25" s="77">
        <f>VLOOKUP(B25,'115+260'!$B$15:$AB$115,20,FALSE)</f>
        <v>-200</v>
      </c>
      <c r="H25" s="77">
        <f>VLOOKUP(B25,'115+260'!$B$15:$AB$115,4,FALSE)</f>
        <v>970</v>
      </c>
      <c r="I25" s="74">
        <f t="shared" si="1"/>
        <v>1800</v>
      </c>
      <c r="J25" s="74">
        <f>VLOOKUP(B25,'115+260'!$B$15:$AB$115,13,FALSE)</f>
        <v>-200</v>
      </c>
      <c r="K25" s="72">
        <f>'115+260'!Q26</f>
        <v>0</v>
      </c>
      <c r="L25" s="71">
        <f t="shared" si="6"/>
        <v>0</v>
      </c>
      <c r="M25" s="76">
        <f>VLOOKUP(B25,'115+260'!$B$14:$AB$115,21,FALSE)</f>
        <v>-220</v>
      </c>
      <c r="N25" s="75">
        <f>VLOOKUP(B25,'115+260'!$B$15:$AB$115,5,FALSE)</f>
        <v>990</v>
      </c>
      <c r="O25" s="74">
        <f t="shared" si="2"/>
        <v>1780</v>
      </c>
      <c r="P25" s="74">
        <f>VLOOKUP(B25,'115+260'!$B$15:$AB$115,14,FALSE)</f>
        <v>-220</v>
      </c>
      <c r="Q25" s="72">
        <f>'115+260'!R26</f>
        <v>0</v>
      </c>
      <c r="R25" s="71">
        <f t="shared" si="7"/>
        <v>0</v>
      </c>
      <c r="S25" s="76">
        <f>VLOOKUP(B25,'115+260'!$B$14:$AB$115,22,FALSE)</f>
        <v>-250</v>
      </c>
      <c r="T25" s="75">
        <f>VLOOKUP(B25,'115+260'!$B$15:$AB$115,6,FALSE)</f>
        <v>1020</v>
      </c>
      <c r="U25" s="74">
        <f t="shared" si="3"/>
        <v>1750</v>
      </c>
      <c r="V25" s="73">
        <f>VLOOKUP(B25,'115+260'!$B$15:$AB$115,15,FALSE)</f>
        <v>-250</v>
      </c>
      <c r="W25" s="72">
        <f>'115+260'!S26</f>
        <v>0</v>
      </c>
      <c r="X25" s="71">
        <f t="shared" si="8"/>
        <v>0</v>
      </c>
      <c r="Y25" s="70">
        <f t="shared" si="9"/>
        <v>0</v>
      </c>
      <c r="Z25" s="69">
        <f t="shared" si="10"/>
        <v>0</v>
      </c>
      <c r="AA25" s="68">
        <f t="shared" si="11"/>
        <v>0</v>
      </c>
      <c r="AB25" s="68">
        <f t="shared" si="12"/>
        <v>0</v>
      </c>
      <c r="AC25" s="99"/>
      <c r="AD25" s="99"/>
      <c r="AE25" s="98"/>
    </row>
    <row r="26" spans="1:31" s="97" customFormat="1" ht="15" customHeight="1">
      <c r="A26" s="90"/>
      <c r="B26" s="110">
        <f>'115+260'!B27</f>
        <v>45264</v>
      </c>
      <c r="C26" s="80">
        <f t="shared" si="4"/>
        <v>1</v>
      </c>
      <c r="D26" s="79">
        <f t="shared" si="5"/>
        <v>1069</v>
      </c>
      <c r="E26" s="78">
        <f>VLOOKUP(B26,'115+260'!B27:AB128,3,FALSE)</f>
        <v>1699</v>
      </c>
      <c r="F26" s="75">
        <f t="shared" si="0"/>
        <v>2768</v>
      </c>
      <c r="G26" s="77">
        <f>VLOOKUP(B26,'115+260'!$B$15:$AB$115,20,FALSE)</f>
        <v>-200</v>
      </c>
      <c r="H26" s="77">
        <f>VLOOKUP(B26,'115+260'!$B$15:$AB$115,4,FALSE)</f>
        <v>968</v>
      </c>
      <c r="I26" s="74">
        <f t="shared" si="1"/>
        <v>1800</v>
      </c>
      <c r="J26" s="74">
        <f>VLOOKUP(B26,'115+260'!$B$15:$AB$115,13,FALSE)</f>
        <v>-200</v>
      </c>
      <c r="K26" s="72">
        <f>'115+260'!Q27</f>
        <v>0</v>
      </c>
      <c r="L26" s="71">
        <f t="shared" si="6"/>
        <v>0</v>
      </c>
      <c r="M26" s="76">
        <f>VLOOKUP(B26,'115+260'!$B$14:$AB$115,21,FALSE)</f>
        <v>-220</v>
      </c>
      <c r="N26" s="75">
        <f>VLOOKUP(B26,'115+260'!$B$15:$AB$115,5,FALSE)</f>
        <v>988</v>
      </c>
      <c r="O26" s="74">
        <f t="shared" si="2"/>
        <v>1780</v>
      </c>
      <c r="P26" s="74">
        <f>VLOOKUP(B26,'115+260'!$B$15:$AB$115,14,FALSE)</f>
        <v>-220</v>
      </c>
      <c r="Q26" s="72">
        <f>'115+260'!R27</f>
        <v>0</v>
      </c>
      <c r="R26" s="71">
        <f t="shared" si="7"/>
        <v>0</v>
      </c>
      <c r="S26" s="76">
        <f>VLOOKUP(B26,'115+260'!$B$14:$AB$115,22,FALSE)</f>
        <v>-250</v>
      </c>
      <c r="T26" s="75">
        <f>VLOOKUP(B26,'115+260'!$B$15:$AB$115,6,FALSE)</f>
        <v>1018</v>
      </c>
      <c r="U26" s="74">
        <f t="shared" si="3"/>
        <v>1750</v>
      </c>
      <c r="V26" s="73">
        <f>VLOOKUP(B26,'115+260'!$B$15:$AB$115,15,FALSE)</f>
        <v>-250</v>
      </c>
      <c r="W26" s="72">
        <f>'115+260'!S27</f>
        <v>0</v>
      </c>
      <c r="X26" s="71">
        <f t="shared" si="8"/>
        <v>0</v>
      </c>
      <c r="Y26" s="70">
        <f t="shared" si="9"/>
        <v>0</v>
      </c>
      <c r="Z26" s="69">
        <f t="shared" si="10"/>
        <v>0</v>
      </c>
      <c r="AA26" s="68">
        <f t="shared" si="11"/>
        <v>0</v>
      </c>
      <c r="AB26" s="68">
        <f t="shared" si="12"/>
        <v>0</v>
      </c>
      <c r="AC26" s="99"/>
      <c r="AD26" s="99"/>
      <c r="AE26" s="98"/>
    </row>
    <row r="27" spans="1:31" s="97" customFormat="1" ht="15" customHeight="1">
      <c r="A27" s="90"/>
      <c r="B27" s="110">
        <f>'115+260'!B28</f>
        <v>45265</v>
      </c>
      <c r="C27" s="80">
        <f t="shared" si="4"/>
        <v>1</v>
      </c>
      <c r="D27" s="79">
        <f t="shared" si="5"/>
        <v>1069</v>
      </c>
      <c r="E27" s="78">
        <f>VLOOKUP(B27,'115+260'!B28:AB129,3,FALSE)</f>
        <v>1697</v>
      </c>
      <c r="F27" s="75">
        <f t="shared" si="0"/>
        <v>2766</v>
      </c>
      <c r="G27" s="77">
        <f>VLOOKUP(B27,'115+260'!$B$15:$AB$115,20,FALSE)</f>
        <v>-200</v>
      </c>
      <c r="H27" s="77">
        <f>VLOOKUP(B27,'115+260'!$B$15:$AB$115,4,FALSE)</f>
        <v>966</v>
      </c>
      <c r="I27" s="74">
        <f t="shared" si="1"/>
        <v>1800</v>
      </c>
      <c r="J27" s="74">
        <f>VLOOKUP(B27,'115+260'!$B$15:$AB$115,13,FALSE)</f>
        <v>-200</v>
      </c>
      <c r="K27" s="72">
        <f>'115+260'!Q28</f>
        <v>0</v>
      </c>
      <c r="L27" s="71">
        <f t="shared" si="6"/>
        <v>0</v>
      </c>
      <c r="M27" s="76">
        <f>VLOOKUP(B27,'115+260'!$B$14:$AB$115,21,FALSE)</f>
        <v>-220</v>
      </c>
      <c r="N27" s="75">
        <f>VLOOKUP(B27,'115+260'!$B$15:$AB$115,5,FALSE)</f>
        <v>986</v>
      </c>
      <c r="O27" s="74">
        <f t="shared" si="2"/>
        <v>1780</v>
      </c>
      <c r="P27" s="74">
        <f>VLOOKUP(B27,'115+260'!$B$15:$AB$115,14,FALSE)</f>
        <v>-220</v>
      </c>
      <c r="Q27" s="72">
        <f>'115+260'!R28</f>
        <v>0</v>
      </c>
      <c r="R27" s="71">
        <f t="shared" si="7"/>
        <v>0</v>
      </c>
      <c r="S27" s="76">
        <f>VLOOKUP(B27,'115+260'!$B$14:$AB$115,22,FALSE)</f>
        <v>-250</v>
      </c>
      <c r="T27" s="75">
        <f>VLOOKUP(B27,'115+260'!$B$15:$AB$115,6,FALSE)</f>
        <v>1016</v>
      </c>
      <c r="U27" s="74">
        <f t="shared" si="3"/>
        <v>1750</v>
      </c>
      <c r="V27" s="73">
        <f>VLOOKUP(B27,'115+260'!$B$15:$AB$115,15,FALSE)</f>
        <v>-250</v>
      </c>
      <c r="W27" s="72">
        <f>'115+260'!S28</f>
        <v>0</v>
      </c>
      <c r="X27" s="71">
        <f t="shared" si="8"/>
        <v>0</v>
      </c>
      <c r="Y27" s="70">
        <f t="shared" si="9"/>
        <v>0</v>
      </c>
      <c r="Z27" s="69">
        <f t="shared" si="10"/>
        <v>0</v>
      </c>
      <c r="AA27" s="68">
        <f t="shared" si="11"/>
        <v>0</v>
      </c>
      <c r="AB27" s="68">
        <f t="shared" si="12"/>
        <v>0</v>
      </c>
      <c r="AC27" s="99"/>
      <c r="AD27" s="99"/>
      <c r="AE27" s="98"/>
    </row>
    <row r="28" spans="1:31" s="97" customFormat="1" ht="15" customHeight="1">
      <c r="A28" s="90"/>
      <c r="B28" s="110">
        <f>'115+260'!B29</f>
        <v>45266</v>
      </c>
      <c r="C28" s="80">
        <f t="shared" si="4"/>
        <v>1</v>
      </c>
      <c r="D28" s="79">
        <f t="shared" si="5"/>
        <v>1069</v>
      </c>
      <c r="E28" s="78">
        <f>VLOOKUP(B28,'115+260'!B29:AB130,3,FALSE)</f>
        <v>1695</v>
      </c>
      <c r="F28" s="75">
        <f t="shared" si="0"/>
        <v>2764</v>
      </c>
      <c r="G28" s="77">
        <f>VLOOKUP(B28,'115+260'!$B$15:$AB$115,20,FALSE)</f>
        <v>-200</v>
      </c>
      <c r="H28" s="77">
        <f>VLOOKUP(B28,'115+260'!$B$15:$AB$115,4,FALSE)</f>
        <v>964</v>
      </c>
      <c r="I28" s="74">
        <f t="shared" si="1"/>
        <v>1800</v>
      </c>
      <c r="J28" s="74">
        <f>VLOOKUP(B28,'115+260'!$B$15:$AB$115,13,FALSE)</f>
        <v>-200</v>
      </c>
      <c r="K28" s="72">
        <f>'115+260'!Q29</f>
        <v>0</v>
      </c>
      <c r="L28" s="71">
        <f t="shared" si="6"/>
        <v>0</v>
      </c>
      <c r="M28" s="76">
        <f>VLOOKUP(B28,'115+260'!$B$14:$AB$115,21,FALSE)</f>
        <v>-220</v>
      </c>
      <c r="N28" s="75">
        <f>VLOOKUP(B28,'115+260'!$B$15:$AB$115,5,FALSE)</f>
        <v>984</v>
      </c>
      <c r="O28" s="74">
        <f t="shared" si="2"/>
        <v>1780</v>
      </c>
      <c r="P28" s="74">
        <f>VLOOKUP(B28,'115+260'!$B$15:$AB$115,14,FALSE)</f>
        <v>-220</v>
      </c>
      <c r="Q28" s="72">
        <f>'115+260'!R29</f>
        <v>0</v>
      </c>
      <c r="R28" s="71">
        <f t="shared" si="7"/>
        <v>0</v>
      </c>
      <c r="S28" s="76">
        <f>VLOOKUP(B28,'115+260'!$B$14:$AB$115,22,FALSE)</f>
        <v>-250</v>
      </c>
      <c r="T28" s="75">
        <f>VLOOKUP(B28,'115+260'!$B$15:$AB$115,6,FALSE)</f>
        <v>1014</v>
      </c>
      <c r="U28" s="74">
        <f t="shared" si="3"/>
        <v>1750</v>
      </c>
      <c r="V28" s="73">
        <f>VLOOKUP(B28,'115+260'!$B$15:$AB$115,15,FALSE)</f>
        <v>-250</v>
      </c>
      <c r="W28" s="72">
        <f>'115+260'!S29</f>
        <v>0</v>
      </c>
      <c r="X28" s="71">
        <f t="shared" si="8"/>
        <v>0</v>
      </c>
      <c r="Y28" s="70">
        <f t="shared" si="9"/>
        <v>0</v>
      </c>
      <c r="Z28" s="69">
        <f t="shared" si="10"/>
        <v>0</v>
      </c>
      <c r="AA28" s="68">
        <f t="shared" si="11"/>
        <v>0</v>
      </c>
      <c r="AB28" s="68">
        <f t="shared" si="12"/>
        <v>0</v>
      </c>
      <c r="AC28" s="99"/>
      <c r="AD28" s="99"/>
      <c r="AE28" s="98"/>
    </row>
    <row r="29" spans="1:31" s="97" customFormat="1" ht="15" customHeight="1">
      <c r="A29" s="90"/>
      <c r="B29" s="110">
        <f>'115+260'!B30</f>
        <v>45267</v>
      </c>
      <c r="C29" s="80">
        <f t="shared" si="4"/>
        <v>1</v>
      </c>
      <c r="D29" s="79">
        <f t="shared" si="5"/>
        <v>1069</v>
      </c>
      <c r="E29" s="78">
        <f>VLOOKUP(B29,'115+260'!B30:AB131,3,FALSE)</f>
        <v>1693</v>
      </c>
      <c r="F29" s="75">
        <f t="shared" si="0"/>
        <v>2762</v>
      </c>
      <c r="G29" s="77">
        <f>VLOOKUP(B29,'115+260'!$B$15:$AB$115,20,FALSE)</f>
        <v>-200</v>
      </c>
      <c r="H29" s="77">
        <f>VLOOKUP(B29,'115+260'!$B$15:$AB$115,4,FALSE)</f>
        <v>962</v>
      </c>
      <c r="I29" s="74">
        <f t="shared" si="1"/>
        <v>1800</v>
      </c>
      <c r="J29" s="74">
        <f>VLOOKUP(B29,'115+260'!$B$15:$AB$115,13,FALSE)</f>
        <v>-200</v>
      </c>
      <c r="K29" s="72">
        <f>'115+260'!Q30</f>
        <v>0</v>
      </c>
      <c r="L29" s="71">
        <f t="shared" si="6"/>
        <v>0</v>
      </c>
      <c r="M29" s="76">
        <f>VLOOKUP(B29,'115+260'!$B$14:$AB$115,21,FALSE)</f>
        <v>-220</v>
      </c>
      <c r="N29" s="75">
        <f>VLOOKUP(B29,'115+260'!$B$15:$AB$115,5,FALSE)</f>
        <v>982</v>
      </c>
      <c r="O29" s="74">
        <f t="shared" si="2"/>
        <v>1780</v>
      </c>
      <c r="P29" s="74">
        <f>VLOOKUP(B29,'115+260'!$B$15:$AB$115,14,FALSE)</f>
        <v>-220</v>
      </c>
      <c r="Q29" s="72">
        <f>'115+260'!R30</f>
        <v>0</v>
      </c>
      <c r="R29" s="71">
        <f t="shared" si="7"/>
        <v>0</v>
      </c>
      <c r="S29" s="76">
        <f>VLOOKUP(B29,'115+260'!$B$14:$AB$115,22,FALSE)</f>
        <v>-250</v>
      </c>
      <c r="T29" s="75">
        <f>VLOOKUP(B29,'115+260'!$B$15:$AB$115,6,FALSE)</f>
        <v>1012</v>
      </c>
      <c r="U29" s="74">
        <f t="shared" si="3"/>
        <v>1750</v>
      </c>
      <c r="V29" s="73">
        <f>VLOOKUP(B29,'115+260'!$B$15:$AB$115,15,FALSE)</f>
        <v>-250</v>
      </c>
      <c r="W29" s="72">
        <f>'115+260'!S30</f>
        <v>0</v>
      </c>
      <c r="X29" s="71">
        <f t="shared" si="8"/>
        <v>0</v>
      </c>
      <c r="Y29" s="70">
        <f t="shared" si="9"/>
        <v>0</v>
      </c>
      <c r="Z29" s="69">
        <f t="shared" si="10"/>
        <v>0</v>
      </c>
      <c r="AA29" s="68">
        <f t="shared" si="11"/>
        <v>0</v>
      </c>
      <c r="AB29" s="68">
        <f t="shared" si="12"/>
        <v>0</v>
      </c>
      <c r="AC29" s="99"/>
      <c r="AD29" s="99"/>
      <c r="AE29" s="98"/>
    </row>
    <row r="30" spans="1:31" s="97" customFormat="1" ht="15" customHeight="1">
      <c r="A30" s="90"/>
      <c r="B30" s="110">
        <f>'115+260'!B31</f>
        <v>45268</v>
      </c>
      <c r="C30" s="80">
        <f t="shared" si="4"/>
        <v>1</v>
      </c>
      <c r="D30" s="79">
        <f t="shared" si="5"/>
        <v>1069</v>
      </c>
      <c r="E30" s="78">
        <f>VLOOKUP(B30,'115+260'!B31:AB132,3,FALSE)</f>
        <v>1691</v>
      </c>
      <c r="F30" s="75">
        <f t="shared" si="0"/>
        <v>2760</v>
      </c>
      <c r="G30" s="77">
        <f>VLOOKUP(B30,'115+260'!$B$15:$AB$115,20,FALSE)</f>
        <v>91</v>
      </c>
      <c r="H30" s="77">
        <f>VLOOKUP(B30,'115+260'!$B$15:$AB$115,4,FALSE)</f>
        <v>969</v>
      </c>
      <c r="I30" s="74">
        <f t="shared" si="1"/>
        <v>1791</v>
      </c>
      <c r="J30" s="74">
        <f>VLOOKUP(B30,'115+260'!$B$15:$AB$115,13,FALSE)</f>
        <v>-209</v>
      </c>
      <c r="K30" s="72">
        <f>'115+260'!Q31</f>
        <v>9</v>
      </c>
      <c r="L30" s="71">
        <f t="shared" si="6"/>
        <v>9</v>
      </c>
      <c r="M30" s="76">
        <f>VLOOKUP(B30,'115+260'!$B$14:$AB$115,21,FALSE)</f>
        <v>72</v>
      </c>
      <c r="N30" s="75">
        <f>VLOOKUP(B30,'115+260'!$B$15:$AB$115,5,FALSE)</f>
        <v>988</v>
      </c>
      <c r="O30" s="74">
        <f t="shared" si="2"/>
        <v>1772</v>
      </c>
      <c r="P30" s="74">
        <f>VLOOKUP(B30,'115+260'!$B$15:$AB$115,14,FALSE)</f>
        <v>-228</v>
      </c>
      <c r="Q30" s="72">
        <f>'115+260'!R31</f>
        <v>8</v>
      </c>
      <c r="R30" s="71">
        <f t="shared" si="7"/>
        <v>8</v>
      </c>
      <c r="S30" s="76">
        <f>VLOOKUP(B30,'115+260'!$B$14:$AB$115,22,FALSE)</f>
        <v>41</v>
      </c>
      <c r="T30" s="75">
        <f>VLOOKUP(B30,'115+260'!$B$15:$AB$115,6,FALSE)</f>
        <v>1019</v>
      </c>
      <c r="U30" s="74">
        <f t="shared" si="3"/>
        <v>1741</v>
      </c>
      <c r="V30" s="73">
        <f>VLOOKUP(B30,'115+260'!$B$15:$AB$115,15,FALSE)</f>
        <v>-259</v>
      </c>
      <c r="W30" s="72">
        <f>'115+260'!S31</f>
        <v>9</v>
      </c>
      <c r="X30" s="71">
        <f t="shared" si="8"/>
        <v>9</v>
      </c>
      <c r="Y30" s="70">
        <f t="shared" si="9"/>
        <v>291</v>
      </c>
      <c r="Z30" s="69">
        <f t="shared" si="10"/>
        <v>0.29099999999999998</v>
      </c>
      <c r="AA30" s="68">
        <f t="shared" si="11"/>
        <v>0.29099999999999998</v>
      </c>
      <c r="AB30" s="68">
        <f t="shared" si="12"/>
        <v>0.28399999999999997</v>
      </c>
      <c r="AC30" s="99"/>
      <c r="AD30" s="99"/>
      <c r="AE30" s="98"/>
    </row>
    <row r="31" spans="1:31" s="91" customFormat="1" ht="15" customHeight="1">
      <c r="A31" s="90"/>
      <c r="B31" s="110">
        <f>'115+260'!B32</f>
        <v>45269</v>
      </c>
      <c r="C31" s="80">
        <f t="shared" si="4"/>
        <v>1</v>
      </c>
      <c r="D31" s="79">
        <f t="shared" si="5"/>
        <v>1069</v>
      </c>
      <c r="E31" s="78">
        <f>VLOOKUP(B31,'115+260'!B32:AB133,3,FALSE)</f>
        <v>1689</v>
      </c>
      <c r="F31" s="75">
        <f t="shared" si="0"/>
        <v>2758</v>
      </c>
      <c r="G31" s="77">
        <f>VLOOKUP(B31,'115+260'!$B$15:$AB$115,20,FALSE)</f>
        <v>88</v>
      </c>
      <c r="H31" s="77">
        <f>VLOOKUP(B31,'115+260'!$B$15:$AB$115,4,FALSE)</f>
        <v>970</v>
      </c>
      <c r="I31" s="74">
        <f t="shared" si="1"/>
        <v>1788</v>
      </c>
      <c r="J31" s="74">
        <f>VLOOKUP(B31,'115+260'!$B$15:$AB$115,13,FALSE)</f>
        <v>-212</v>
      </c>
      <c r="K31" s="72">
        <f>'115+260'!Q32</f>
        <v>3</v>
      </c>
      <c r="L31" s="71">
        <f t="shared" si="6"/>
        <v>12</v>
      </c>
      <c r="M31" s="76">
        <f>VLOOKUP(B31,'115+260'!$B$14:$AB$115,21,FALSE)</f>
        <v>69</v>
      </c>
      <c r="N31" s="75">
        <f>VLOOKUP(B31,'115+260'!$B$15:$AB$115,5,FALSE)</f>
        <v>989</v>
      </c>
      <c r="O31" s="74">
        <f t="shared" si="2"/>
        <v>1769</v>
      </c>
      <c r="P31" s="74">
        <f>VLOOKUP(B31,'115+260'!$B$15:$AB$115,14,FALSE)</f>
        <v>-231</v>
      </c>
      <c r="Q31" s="72">
        <f>'115+260'!R32</f>
        <v>3</v>
      </c>
      <c r="R31" s="71">
        <f t="shared" si="7"/>
        <v>11</v>
      </c>
      <c r="S31" s="76">
        <f>VLOOKUP(B31,'115+260'!$B$14:$AB$115,22,FALSE)</f>
        <v>38</v>
      </c>
      <c r="T31" s="75">
        <f>VLOOKUP(B31,'115+260'!$B$15:$AB$115,6,FALSE)</f>
        <v>1020</v>
      </c>
      <c r="U31" s="74">
        <f t="shared" si="3"/>
        <v>1738</v>
      </c>
      <c r="V31" s="73">
        <f>VLOOKUP(B31,'115+260'!$B$15:$AB$115,15,FALSE)</f>
        <v>-262</v>
      </c>
      <c r="W31" s="72">
        <f>'115+260'!S32</f>
        <v>3</v>
      </c>
      <c r="X31" s="71">
        <f t="shared" si="8"/>
        <v>12</v>
      </c>
      <c r="Y31" s="70">
        <f t="shared" si="9"/>
        <v>-3</v>
      </c>
      <c r="Z31" s="69">
        <f t="shared" si="10"/>
        <v>0</v>
      </c>
      <c r="AA31" s="68">
        <f t="shared" si="11"/>
        <v>0.29099999999999998</v>
      </c>
      <c r="AB31" s="68">
        <f t="shared" si="12"/>
        <v>0.27800000000000002</v>
      </c>
      <c r="AC31" s="93"/>
      <c r="AD31" s="93"/>
      <c r="AE31" s="92"/>
    </row>
    <row r="32" spans="1:31" s="97" customFormat="1" ht="15" customHeight="1">
      <c r="A32" s="90"/>
      <c r="B32" s="110">
        <f>'115+260'!B33</f>
        <v>45270</v>
      </c>
      <c r="C32" s="80">
        <f t="shared" si="4"/>
        <v>1</v>
      </c>
      <c r="D32" s="79">
        <f t="shared" si="5"/>
        <v>1069</v>
      </c>
      <c r="E32" s="78">
        <f>VLOOKUP(B32,'115+260'!B33:AB134,3,FALSE)</f>
        <v>1687</v>
      </c>
      <c r="F32" s="75">
        <f t="shared" si="0"/>
        <v>2756</v>
      </c>
      <c r="G32" s="77">
        <f>VLOOKUP(B32,'115+260'!$B$15:$AB$115,20,FALSE)</f>
        <v>84</v>
      </c>
      <c r="H32" s="77">
        <f>VLOOKUP(B32,'115+260'!$B$15:$AB$115,4,FALSE)</f>
        <v>972</v>
      </c>
      <c r="I32" s="74">
        <f t="shared" si="1"/>
        <v>1784</v>
      </c>
      <c r="J32" s="74">
        <f>VLOOKUP(B32,'115+260'!$B$15:$AB$115,13,FALSE)</f>
        <v>-216</v>
      </c>
      <c r="K32" s="72">
        <f>'115+260'!Q33</f>
        <v>4</v>
      </c>
      <c r="L32" s="71">
        <f t="shared" si="6"/>
        <v>16</v>
      </c>
      <c r="M32" s="76">
        <f>VLOOKUP(B32,'115+260'!$B$14:$AB$115,21,FALSE)</f>
        <v>64</v>
      </c>
      <c r="N32" s="75">
        <f>VLOOKUP(B32,'115+260'!$B$15:$AB$115,5,FALSE)</f>
        <v>992</v>
      </c>
      <c r="O32" s="74">
        <f t="shared" si="2"/>
        <v>1764</v>
      </c>
      <c r="P32" s="74">
        <f>VLOOKUP(B32,'115+260'!$B$15:$AB$115,14,FALSE)</f>
        <v>-236</v>
      </c>
      <c r="Q32" s="72">
        <f>'115+260'!R33</f>
        <v>5</v>
      </c>
      <c r="R32" s="71">
        <f t="shared" si="7"/>
        <v>16</v>
      </c>
      <c r="S32" s="76">
        <f>VLOOKUP(B32,'115+260'!$B$14:$AB$115,22,FALSE)</f>
        <v>34</v>
      </c>
      <c r="T32" s="75">
        <f>VLOOKUP(B32,'115+260'!$B$15:$AB$115,6,FALSE)</f>
        <v>1022</v>
      </c>
      <c r="U32" s="74">
        <f t="shared" si="3"/>
        <v>1734</v>
      </c>
      <c r="V32" s="73">
        <f>VLOOKUP(B32,'115+260'!$B$15:$AB$115,15,FALSE)</f>
        <v>-266</v>
      </c>
      <c r="W32" s="72">
        <f>'115+260'!S33</f>
        <v>4</v>
      </c>
      <c r="X32" s="71">
        <f t="shared" si="8"/>
        <v>16</v>
      </c>
      <c r="Y32" s="70">
        <f t="shared" si="9"/>
        <v>-4</v>
      </c>
      <c r="Z32" s="69">
        <f t="shared" si="10"/>
        <v>0</v>
      </c>
      <c r="AA32" s="68">
        <f t="shared" si="11"/>
        <v>0.29099999999999998</v>
      </c>
      <c r="AB32" s="68">
        <f t="shared" si="12"/>
        <v>0.26800000000000002</v>
      </c>
      <c r="AC32" s="99"/>
      <c r="AD32" s="99"/>
      <c r="AE32" s="98"/>
    </row>
    <row r="33" spans="1:31" s="97" customFormat="1" ht="15" customHeight="1">
      <c r="A33" s="90"/>
      <c r="B33" s="110">
        <f>'115+260'!B34</f>
        <v>45271</v>
      </c>
      <c r="C33" s="80">
        <f t="shared" si="4"/>
        <v>1</v>
      </c>
      <c r="D33" s="79">
        <f t="shared" si="5"/>
        <v>1069</v>
      </c>
      <c r="E33" s="78">
        <f>VLOOKUP(B33,'115+260'!B34:AB135,3,FALSE)</f>
        <v>1685</v>
      </c>
      <c r="F33" s="75">
        <f t="shared" si="0"/>
        <v>2754</v>
      </c>
      <c r="G33" s="77">
        <f>VLOOKUP(B33,'115+260'!$B$15:$AB$115,20,FALSE)</f>
        <v>78</v>
      </c>
      <c r="H33" s="77">
        <f>VLOOKUP(B33,'115+260'!$B$15:$AB$115,4,FALSE)</f>
        <v>976</v>
      </c>
      <c r="I33" s="74">
        <f t="shared" si="1"/>
        <v>1778</v>
      </c>
      <c r="J33" s="74">
        <f>VLOOKUP(B33,'115+260'!$B$15:$AB$115,13,FALSE)</f>
        <v>-222</v>
      </c>
      <c r="K33" s="72">
        <f>'115+260'!Q34</f>
        <v>6</v>
      </c>
      <c r="L33" s="71">
        <f t="shared" si="6"/>
        <v>22</v>
      </c>
      <c r="M33" s="76">
        <f>VLOOKUP(B33,'115+260'!$B$14:$AB$115,21,FALSE)</f>
        <v>61</v>
      </c>
      <c r="N33" s="75">
        <f>VLOOKUP(B33,'115+260'!$B$15:$AB$115,5,FALSE)</f>
        <v>993</v>
      </c>
      <c r="O33" s="74">
        <f t="shared" si="2"/>
        <v>1761</v>
      </c>
      <c r="P33" s="74">
        <f>VLOOKUP(B33,'115+260'!$B$15:$AB$115,14,FALSE)</f>
        <v>-239</v>
      </c>
      <c r="Q33" s="72">
        <f>'115+260'!R34</f>
        <v>3</v>
      </c>
      <c r="R33" s="71">
        <f t="shared" si="7"/>
        <v>19</v>
      </c>
      <c r="S33" s="76">
        <f>VLOOKUP(B33,'115+260'!$B$14:$AB$115,22,FALSE)</f>
        <v>31</v>
      </c>
      <c r="T33" s="75">
        <f>VLOOKUP(B33,'115+260'!$B$15:$AB$115,6,FALSE)</f>
        <v>1023</v>
      </c>
      <c r="U33" s="74">
        <f t="shared" si="3"/>
        <v>1731</v>
      </c>
      <c r="V33" s="73">
        <f>VLOOKUP(B33,'115+260'!$B$15:$AB$115,15,FALSE)</f>
        <v>-269</v>
      </c>
      <c r="W33" s="72">
        <f>'115+260'!S34</f>
        <v>3</v>
      </c>
      <c r="X33" s="71">
        <f t="shared" si="8"/>
        <v>19</v>
      </c>
      <c r="Y33" s="70">
        <f t="shared" si="9"/>
        <v>-3</v>
      </c>
      <c r="Z33" s="69">
        <f t="shared" si="10"/>
        <v>0</v>
      </c>
      <c r="AA33" s="68">
        <f t="shared" si="11"/>
        <v>0.29099999999999998</v>
      </c>
      <c r="AB33" s="68">
        <f t="shared" si="12"/>
        <v>0.26200000000000001</v>
      </c>
      <c r="AC33" s="99"/>
      <c r="AD33" s="99"/>
      <c r="AE33" s="98"/>
    </row>
    <row r="34" spans="1:31" s="97" customFormat="1" ht="15" customHeight="1">
      <c r="A34" s="90"/>
      <c r="B34" s="110">
        <f>'115+260'!B35</f>
        <v>45272</v>
      </c>
      <c r="C34" s="80">
        <f t="shared" si="4"/>
        <v>1</v>
      </c>
      <c r="D34" s="79">
        <f t="shared" si="5"/>
        <v>1069</v>
      </c>
      <c r="E34" s="78">
        <f>VLOOKUP(B34,'115+260'!B35:AB136,3,FALSE)</f>
        <v>1683</v>
      </c>
      <c r="F34" s="75">
        <f t="shared" si="0"/>
        <v>2752</v>
      </c>
      <c r="G34" s="77">
        <f>VLOOKUP(B34,'115+260'!$B$15:$AB$115,20,FALSE)</f>
        <v>369</v>
      </c>
      <c r="H34" s="77">
        <f>VLOOKUP(B34,'115+260'!$B$15:$AB$115,4,FALSE)</f>
        <v>983</v>
      </c>
      <c r="I34" s="74">
        <f t="shared" si="1"/>
        <v>1769</v>
      </c>
      <c r="J34" s="74">
        <f>VLOOKUP(B34,'115+260'!$B$15:$AB$115,13,FALSE)</f>
        <v>-231</v>
      </c>
      <c r="K34" s="72">
        <f>'115+260'!Q35</f>
        <v>9</v>
      </c>
      <c r="L34" s="71">
        <f t="shared" si="6"/>
        <v>31</v>
      </c>
      <c r="M34" s="76">
        <f>VLOOKUP(B34,'115+260'!$B$14:$AB$115,21,FALSE)</f>
        <v>373</v>
      </c>
      <c r="N34" s="75">
        <f>VLOOKUP(B34,'115+260'!$B$15:$AB$115,5,FALSE)</f>
        <v>999</v>
      </c>
      <c r="O34" s="74">
        <f t="shared" si="2"/>
        <v>1753</v>
      </c>
      <c r="P34" s="74">
        <f>VLOOKUP(B34,'115+260'!$B$15:$AB$115,14,FALSE)</f>
        <v>-247</v>
      </c>
      <c r="Q34" s="72">
        <f>'115+260'!R35</f>
        <v>8</v>
      </c>
      <c r="R34" s="71">
        <f t="shared" si="7"/>
        <v>27</v>
      </c>
      <c r="S34" s="76">
        <f>VLOOKUP(B34,'115+260'!$B$14:$AB$115,22,FALSE)</f>
        <v>372</v>
      </c>
      <c r="T34" s="75">
        <f>VLOOKUP(B34,'115+260'!$B$15:$AB$115,6,FALSE)</f>
        <v>1030</v>
      </c>
      <c r="U34" s="74">
        <f t="shared" si="3"/>
        <v>1722</v>
      </c>
      <c r="V34" s="73">
        <f>VLOOKUP(B34,'115+260'!$B$15:$AB$115,15,FALSE)</f>
        <v>-278</v>
      </c>
      <c r="W34" s="72">
        <f>'115+260'!S35</f>
        <v>9</v>
      </c>
      <c r="X34" s="71">
        <f t="shared" si="8"/>
        <v>28</v>
      </c>
      <c r="Y34" s="70">
        <f t="shared" si="9"/>
        <v>341</v>
      </c>
      <c r="Z34" s="69">
        <f t="shared" si="10"/>
        <v>0.34100000000000003</v>
      </c>
      <c r="AA34" s="68">
        <f t="shared" si="11"/>
        <v>0.63200000000000001</v>
      </c>
      <c r="AB34" s="68">
        <f t="shared" si="12"/>
        <v>0.56599999999999995</v>
      </c>
      <c r="AC34" s="99"/>
      <c r="AD34" s="99"/>
      <c r="AE34" s="98"/>
    </row>
    <row r="35" spans="1:31" s="97" customFormat="1" ht="15" customHeight="1">
      <c r="A35" s="90"/>
      <c r="B35" s="110">
        <f>'115+260'!B36</f>
        <v>45273</v>
      </c>
      <c r="C35" s="80">
        <f t="shared" si="4"/>
        <v>1</v>
      </c>
      <c r="D35" s="79">
        <f t="shared" si="5"/>
        <v>1069</v>
      </c>
      <c r="E35" s="78">
        <f>VLOOKUP(B35,'115+260'!B36:AB137,3,FALSE)</f>
        <v>1681</v>
      </c>
      <c r="F35" s="75">
        <f t="shared" si="0"/>
        <v>2750</v>
      </c>
      <c r="G35" s="77">
        <f>VLOOKUP(B35,'115+260'!$B$15:$AB$115,20,FALSE)</f>
        <v>361</v>
      </c>
      <c r="H35" s="77">
        <f>VLOOKUP(B35,'115+260'!$B$15:$AB$115,4,FALSE)</f>
        <v>989</v>
      </c>
      <c r="I35" s="74">
        <f t="shared" si="1"/>
        <v>1761</v>
      </c>
      <c r="J35" s="74">
        <f>VLOOKUP(B35,'115+260'!$B$15:$AB$115,13,FALSE)</f>
        <v>-239</v>
      </c>
      <c r="K35" s="72">
        <f>'115+260'!Q36</f>
        <v>8</v>
      </c>
      <c r="L35" s="71">
        <f t="shared" si="6"/>
        <v>39</v>
      </c>
      <c r="M35" s="76">
        <f>VLOOKUP(B35,'115+260'!$B$14:$AB$115,21,FALSE)</f>
        <v>371</v>
      </c>
      <c r="N35" s="75">
        <f>VLOOKUP(B35,'115+260'!$B$15:$AB$115,5,FALSE)</f>
        <v>999</v>
      </c>
      <c r="O35" s="74">
        <f t="shared" si="2"/>
        <v>1751</v>
      </c>
      <c r="P35" s="74">
        <f>VLOOKUP(B35,'115+260'!$B$15:$AB$115,14,FALSE)</f>
        <v>-249</v>
      </c>
      <c r="Q35" s="72">
        <f>'115+260'!R36</f>
        <v>2</v>
      </c>
      <c r="R35" s="71">
        <f t="shared" si="7"/>
        <v>29</v>
      </c>
      <c r="S35" s="76">
        <f>VLOOKUP(B35,'115+260'!$B$14:$AB$115,22,FALSE)</f>
        <v>370</v>
      </c>
      <c r="T35" s="75">
        <f>VLOOKUP(B35,'115+260'!$B$15:$AB$115,6,FALSE)</f>
        <v>1030</v>
      </c>
      <c r="U35" s="74">
        <f t="shared" si="3"/>
        <v>1720</v>
      </c>
      <c r="V35" s="73">
        <f>VLOOKUP(B35,'115+260'!$B$15:$AB$115,15,FALSE)</f>
        <v>-280</v>
      </c>
      <c r="W35" s="72">
        <f>'115+260'!S36</f>
        <v>2</v>
      </c>
      <c r="X35" s="71">
        <f t="shared" si="8"/>
        <v>30</v>
      </c>
      <c r="Y35" s="70">
        <f t="shared" si="9"/>
        <v>-2</v>
      </c>
      <c r="Z35" s="69">
        <f t="shared" si="10"/>
        <v>0</v>
      </c>
      <c r="AA35" s="68">
        <f t="shared" si="11"/>
        <v>0.63200000000000001</v>
      </c>
      <c r="AB35" s="68">
        <f t="shared" si="12"/>
        <v>0.56200000000000006</v>
      </c>
      <c r="AC35" s="99"/>
      <c r="AD35" s="99"/>
      <c r="AE35" s="98"/>
    </row>
    <row r="36" spans="1:31" s="97" customFormat="1" ht="15" customHeight="1">
      <c r="A36" s="90"/>
      <c r="B36" s="110">
        <f>'115+260'!B37</f>
        <v>45274</v>
      </c>
      <c r="C36" s="80">
        <f t="shared" si="4"/>
        <v>1</v>
      </c>
      <c r="D36" s="79">
        <f t="shared" si="5"/>
        <v>1069</v>
      </c>
      <c r="E36" s="78">
        <f>VLOOKUP(B36,'115+260'!B37:AB138,3,FALSE)</f>
        <v>1679</v>
      </c>
      <c r="F36" s="75">
        <f t="shared" si="0"/>
        <v>2748</v>
      </c>
      <c r="G36" s="77">
        <f>VLOOKUP(B36,'115+260'!$B$15:$AB$115,20,FALSE)</f>
        <v>356</v>
      </c>
      <c r="H36" s="77">
        <f>VLOOKUP(B36,'115+260'!$B$15:$AB$115,4,FALSE)</f>
        <v>992</v>
      </c>
      <c r="I36" s="74">
        <f t="shared" si="1"/>
        <v>1756</v>
      </c>
      <c r="J36" s="74">
        <f>VLOOKUP(B36,'115+260'!$B$15:$AB$115,13,FALSE)</f>
        <v>-244</v>
      </c>
      <c r="K36" s="72">
        <f>'115+260'!Q37</f>
        <v>5</v>
      </c>
      <c r="L36" s="71">
        <f t="shared" si="6"/>
        <v>44</v>
      </c>
      <c r="M36" s="76">
        <f>VLOOKUP(B36,'115+260'!$B$14:$AB$115,21,FALSE)</f>
        <v>369</v>
      </c>
      <c r="N36" s="75">
        <f>VLOOKUP(B36,'115+260'!$B$15:$AB$115,5,FALSE)</f>
        <v>999</v>
      </c>
      <c r="O36" s="74">
        <f t="shared" si="2"/>
        <v>1749</v>
      </c>
      <c r="P36" s="74">
        <f>VLOOKUP(B36,'115+260'!$B$15:$AB$115,14,FALSE)</f>
        <v>-251</v>
      </c>
      <c r="Q36" s="72">
        <f>'115+260'!R37</f>
        <v>2</v>
      </c>
      <c r="R36" s="71">
        <f t="shared" si="7"/>
        <v>31</v>
      </c>
      <c r="S36" s="76">
        <f>VLOOKUP(B36,'115+260'!$B$14:$AB$115,22,FALSE)</f>
        <v>366</v>
      </c>
      <c r="T36" s="75">
        <f>VLOOKUP(B36,'115+260'!$B$15:$AB$115,6,FALSE)</f>
        <v>1032</v>
      </c>
      <c r="U36" s="74">
        <f t="shared" si="3"/>
        <v>1716</v>
      </c>
      <c r="V36" s="73">
        <f>VLOOKUP(B36,'115+260'!$B$15:$AB$115,15,FALSE)</f>
        <v>-284</v>
      </c>
      <c r="W36" s="72">
        <f>'115+260'!S37</f>
        <v>4</v>
      </c>
      <c r="X36" s="71">
        <f t="shared" si="8"/>
        <v>34</v>
      </c>
      <c r="Y36" s="70">
        <f t="shared" si="9"/>
        <v>-4</v>
      </c>
      <c r="Z36" s="69">
        <f t="shared" si="10"/>
        <v>0</v>
      </c>
      <c r="AA36" s="68">
        <f t="shared" si="11"/>
        <v>0.63200000000000001</v>
      </c>
      <c r="AB36" s="68">
        <f t="shared" si="12"/>
        <v>0.55800000000000005</v>
      </c>
      <c r="AC36" s="99"/>
      <c r="AD36" s="99"/>
      <c r="AE36" s="98"/>
    </row>
    <row r="37" spans="1:31" s="97" customFormat="1" ht="15" customHeight="1">
      <c r="A37" s="90"/>
      <c r="B37" s="110">
        <f>'115+260'!B38</f>
        <v>45275</v>
      </c>
      <c r="C37" s="80">
        <f t="shared" si="4"/>
        <v>1</v>
      </c>
      <c r="D37" s="79">
        <f t="shared" si="5"/>
        <v>1069</v>
      </c>
      <c r="E37" s="78">
        <f>VLOOKUP(B37,'115+260'!B38:AB139,3,FALSE)</f>
        <v>1677</v>
      </c>
      <c r="F37" s="75">
        <f t="shared" si="0"/>
        <v>2746</v>
      </c>
      <c r="G37" s="77">
        <f>VLOOKUP(B37,'115+260'!$B$15:$AB$115,20,FALSE)</f>
        <v>352</v>
      </c>
      <c r="H37" s="77">
        <f>VLOOKUP(B37,'115+260'!$B$15:$AB$115,4,FALSE)</f>
        <v>994</v>
      </c>
      <c r="I37" s="74">
        <f t="shared" si="1"/>
        <v>1752</v>
      </c>
      <c r="J37" s="74">
        <f>VLOOKUP(B37,'115+260'!$B$15:$AB$115,13,FALSE)</f>
        <v>-248</v>
      </c>
      <c r="K37" s="72">
        <f>'115+260'!Q38</f>
        <v>4</v>
      </c>
      <c r="L37" s="71">
        <f t="shared" si="6"/>
        <v>48</v>
      </c>
      <c r="M37" s="76">
        <f>VLOOKUP(B37,'115+260'!$B$14:$AB$115,21,FALSE)</f>
        <v>366</v>
      </c>
      <c r="N37" s="75">
        <f>VLOOKUP(B37,'115+260'!$B$15:$AB$115,5,FALSE)</f>
        <v>1000</v>
      </c>
      <c r="O37" s="74">
        <f t="shared" si="2"/>
        <v>1746</v>
      </c>
      <c r="P37" s="74">
        <f>VLOOKUP(B37,'115+260'!$B$15:$AB$115,14,FALSE)</f>
        <v>-254</v>
      </c>
      <c r="Q37" s="72">
        <f>'115+260'!R38</f>
        <v>3</v>
      </c>
      <c r="R37" s="71">
        <f t="shared" si="7"/>
        <v>34</v>
      </c>
      <c r="S37" s="76">
        <f>VLOOKUP(B37,'115+260'!$B$14:$AB$115,22,FALSE)</f>
        <v>363</v>
      </c>
      <c r="T37" s="75">
        <f>VLOOKUP(B37,'115+260'!$B$15:$AB$115,6,FALSE)</f>
        <v>1033</v>
      </c>
      <c r="U37" s="74">
        <f t="shared" si="3"/>
        <v>1713</v>
      </c>
      <c r="V37" s="73">
        <f>VLOOKUP(B37,'115+260'!$B$15:$AB$115,15,FALSE)</f>
        <v>-287</v>
      </c>
      <c r="W37" s="72">
        <f>'115+260'!S38</f>
        <v>3</v>
      </c>
      <c r="X37" s="71">
        <f t="shared" si="8"/>
        <v>37</v>
      </c>
      <c r="Y37" s="70">
        <f t="shared" si="9"/>
        <v>-3</v>
      </c>
      <c r="Z37" s="69">
        <f t="shared" si="10"/>
        <v>0</v>
      </c>
      <c r="AA37" s="68">
        <f t="shared" si="11"/>
        <v>0.63200000000000001</v>
      </c>
      <c r="AB37" s="68">
        <f t="shared" si="12"/>
        <v>0.55200000000000005</v>
      </c>
      <c r="AC37" s="99"/>
      <c r="AD37" s="99"/>
      <c r="AE37" s="98"/>
    </row>
    <row r="38" spans="1:31" s="88" customFormat="1" ht="15" customHeight="1">
      <c r="A38" s="90"/>
      <c r="B38" s="110">
        <f>'115+260'!B39</f>
        <v>45276</v>
      </c>
      <c r="C38" s="80">
        <f t="shared" si="4"/>
        <v>1</v>
      </c>
      <c r="D38" s="79">
        <f t="shared" si="5"/>
        <v>1069</v>
      </c>
      <c r="E38" s="78">
        <f>VLOOKUP(B38,'115+260'!B39:AB140,3,FALSE)</f>
        <v>1675</v>
      </c>
      <c r="F38" s="75">
        <f t="shared" si="0"/>
        <v>2744</v>
      </c>
      <c r="G38" s="77">
        <f>VLOOKUP(B38,'115+260'!$B$15:$AB$115,20,FALSE)</f>
        <v>543</v>
      </c>
      <c r="H38" s="77">
        <f>VLOOKUP(B38,'115+260'!$B$15:$AB$115,4,FALSE)</f>
        <v>1001</v>
      </c>
      <c r="I38" s="74">
        <f t="shared" si="1"/>
        <v>1743</v>
      </c>
      <c r="J38" s="74">
        <f>VLOOKUP(B38,'115+260'!$B$15:$AB$115,13,FALSE)</f>
        <v>-257</v>
      </c>
      <c r="K38" s="72">
        <f>'115+260'!Q39</f>
        <v>9</v>
      </c>
      <c r="L38" s="71">
        <f t="shared" si="6"/>
        <v>57</v>
      </c>
      <c r="M38" s="76">
        <f>VLOOKUP(B38,'115+260'!$B$14:$AB$115,21,FALSE)</f>
        <v>558</v>
      </c>
      <c r="N38" s="75">
        <f>VLOOKUP(B38,'115+260'!$B$15:$AB$115,5,FALSE)</f>
        <v>1006</v>
      </c>
      <c r="O38" s="74">
        <f t="shared" si="2"/>
        <v>1738</v>
      </c>
      <c r="P38" s="74">
        <f>VLOOKUP(B38,'115+260'!$B$15:$AB$115,14,FALSE)</f>
        <v>-262</v>
      </c>
      <c r="Q38" s="72">
        <f>'115+260'!R39</f>
        <v>8</v>
      </c>
      <c r="R38" s="71">
        <f t="shared" si="7"/>
        <v>42</v>
      </c>
      <c r="S38" s="76">
        <f>VLOOKUP(B38,'115+260'!$B$14:$AB$115,22,FALSE)</f>
        <v>554</v>
      </c>
      <c r="T38" s="75">
        <f>VLOOKUP(B38,'115+260'!$B$15:$AB$115,6,FALSE)</f>
        <v>1040</v>
      </c>
      <c r="U38" s="74">
        <f t="shared" si="3"/>
        <v>1704</v>
      </c>
      <c r="V38" s="73">
        <f>VLOOKUP(B38,'115+260'!$B$15:$AB$115,15,FALSE)</f>
        <v>-296</v>
      </c>
      <c r="W38" s="72">
        <f>'115+260'!S39</f>
        <v>9</v>
      </c>
      <c r="X38" s="71">
        <f t="shared" si="8"/>
        <v>46</v>
      </c>
      <c r="Y38" s="70">
        <f t="shared" si="9"/>
        <v>191</v>
      </c>
      <c r="Z38" s="69">
        <f t="shared" si="10"/>
        <v>0.191</v>
      </c>
      <c r="AA38" s="68">
        <f t="shared" si="11"/>
        <v>0.82299999999999995</v>
      </c>
      <c r="AB38" s="68">
        <f t="shared" si="12"/>
        <v>0.73599999999999999</v>
      </c>
      <c r="AC38" s="57"/>
      <c r="AD38" s="57"/>
      <c r="AE38" s="89"/>
    </row>
    <row r="39" spans="1:31" s="88" customFormat="1" ht="15" customHeight="1">
      <c r="A39" s="90"/>
      <c r="B39" s="110">
        <f>'115+260'!B40</f>
        <v>45277</v>
      </c>
      <c r="C39" s="80">
        <f t="shared" si="4"/>
        <v>1</v>
      </c>
      <c r="D39" s="79">
        <f t="shared" si="5"/>
        <v>1069</v>
      </c>
      <c r="E39" s="78">
        <f>VLOOKUP(B39,'115+260'!B40:AB141,3,FALSE)</f>
        <v>1673</v>
      </c>
      <c r="F39" s="75">
        <f t="shared" si="0"/>
        <v>2742</v>
      </c>
      <c r="G39" s="77">
        <f>VLOOKUP(B39,'115+260'!$B$15:$AB$115,20,FALSE)</f>
        <v>541</v>
      </c>
      <c r="H39" s="77">
        <f>VLOOKUP(B39,'115+260'!$B$15:$AB$115,4,FALSE)</f>
        <v>1001</v>
      </c>
      <c r="I39" s="74">
        <f t="shared" si="1"/>
        <v>1741</v>
      </c>
      <c r="J39" s="74">
        <f>VLOOKUP(B39,'115+260'!$B$15:$AB$115,13,FALSE)</f>
        <v>-259</v>
      </c>
      <c r="K39" s="72">
        <f>'115+260'!Q40</f>
        <v>2</v>
      </c>
      <c r="L39" s="71">
        <f t="shared" si="6"/>
        <v>59</v>
      </c>
      <c r="M39" s="76">
        <f>VLOOKUP(B39,'115+260'!$B$14:$AB$115,21,FALSE)</f>
        <v>553</v>
      </c>
      <c r="N39" s="75">
        <f>VLOOKUP(B39,'115+260'!$B$15:$AB$115,5,FALSE)</f>
        <v>1009</v>
      </c>
      <c r="O39" s="74">
        <f t="shared" si="2"/>
        <v>1733</v>
      </c>
      <c r="P39" s="74">
        <f>VLOOKUP(B39,'115+260'!$B$15:$AB$115,14,FALSE)</f>
        <v>-267</v>
      </c>
      <c r="Q39" s="72">
        <f>'115+260'!R40</f>
        <v>5</v>
      </c>
      <c r="R39" s="71">
        <f t="shared" si="7"/>
        <v>47</v>
      </c>
      <c r="S39" s="76">
        <f>VLOOKUP(B39,'115+260'!$B$14:$AB$115,22,FALSE)</f>
        <v>552</v>
      </c>
      <c r="T39" s="75">
        <f>VLOOKUP(B39,'115+260'!$B$15:$AB$115,6,FALSE)</f>
        <v>1040</v>
      </c>
      <c r="U39" s="74">
        <f t="shared" si="3"/>
        <v>1702</v>
      </c>
      <c r="V39" s="73">
        <f>VLOOKUP(B39,'115+260'!$B$15:$AB$115,15,FALSE)</f>
        <v>-298</v>
      </c>
      <c r="W39" s="72">
        <f>'115+260'!S40</f>
        <v>2</v>
      </c>
      <c r="X39" s="71">
        <f t="shared" si="8"/>
        <v>48</v>
      </c>
      <c r="Y39" s="70">
        <f t="shared" si="9"/>
        <v>-2</v>
      </c>
      <c r="Z39" s="69">
        <f t="shared" si="10"/>
        <v>0</v>
      </c>
      <c r="AA39" s="68">
        <f t="shared" si="11"/>
        <v>0.82299999999999995</v>
      </c>
      <c r="AB39" s="68">
        <f t="shared" si="12"/>
        <v>0.72599999999999998</v>
      </c>
      <c r="AC39" s="57"/>
      <c r="AD39" s="57"/>
      <c r="AE39" s="89"/>
    </row>
    <row r="40" spans="1:31" s="88" customFormat="1" ht="15" customHeight="1">
      <c r="A40" s="90"/>
      <c r="B40" s="110">
        <f>'115+260'!B41</f>
        <v>45278</v>
      </c>
      <c r="C40" s="80">
        <f t="shared" si="4"/>
        <v>1</v>
      </c>
      <c r="D40" s="79">
        <f t="shared" si="5"/>
        <v>1069</v>
      </c>
      <c r="E40" s="78">
        <f>VLOOKUP(B40,'115+260'!B41:AB142,3,FALSE)</f>
        <v>1671</v>
      </c>
      <c r="F40" s="75">
        <f t="shared" si="0"/>
        <v>2740</v>
      </c>
      <c r="G40" s="77">
        <f>VLOOKUP(B40,'115+260'!$B$15:$AB$115,20,FALSE)</f>
        <v>537</v>
      </c>
      <c r="H40" s="77">
        <f>VLOOKUP(B40,'115+260'!$B$15:$AB$115,4,FALSE)</f>
        <v>1003</v>
      </c>
      <c r="I40" s="74">
        <f t="shared" si="1"/>
        <v>1737</v>
      </c>
      <c r="J40" s="74">
        <f>VLOOKUP(B40,'115+260'!$B$15:$AB$115,13,FALSE)</f>
        <v>-263</v>
      </c>
      <c r="K40" s="72">
        <f>'115+260'!Q41</f>
        <v>4</v>
      </c>
      <c r="L40" s="71">
        <f t="shared" si="6"/>
        <v>63</v>
      </c>
      <c r="M40" s="76">
        <f>VLOOKUP(B40,'115+260'!$B$14:$AB$115,21,FALSE)</f>
        <v>548</v>
      </c>
      <c r="N40" s="75">
        <f>VLOOKUP(B40,'115+260'!$B$15:$AB$115,5,FALSE)</f>
        <v>1012</v>
      </c>
      <c r="O40" s="74">
        <f t="shared" si="2"/>
        <v>1728</v>
      </c>
      <c r="P40" s="74">
        <f>VLOOKUP(B40,'115+260'!$B$15:$AB$115,14,FALSE)</f>
        <v>-272</v>
      </c>
      <c r="Q40" s="72">
        <f>'115+260'!R41</f>
        <v>5</v>
      </c>
      <c r="R40" s="71">
        <f t="shared" si="7"/>
        <v>52</v>
      </c>
      <c r="S40" s="76">
        <f>VLOOKUP(B40,'115+260'!$B$14:$AB$115,22,FALSE)</f>
        <v>550</v>
      </c>
      <c r="T40" s="75">
        <f>VLOOKUP(B40,'115+260'!$B$15:$AB$115,6,FALSE)</f>
        <v>1040</v>
      </c>
      <c r="U40" s="74">
        <f t="shared" si="3"/>
        <v>1700</v>
      </c>
      <c r="V40" s="73">
        <f>VLOOKUP(B40,'115+260'!$B$15:$AB$115,15,FALSE)</f>
        <v>-300</v>
      </c>
      <c r="W40" s="72">
        <f>'115+260'!S41</f>
        <v>2</v>
      </c>
      <c r="X40" s="71">
        <f t="shared" si="8"/>
        <v>50</v>
      </c>
      <c r="Y40" s="70">
        <f t="shared" si="9"/>
        <v>-2</v>
      </c>
      <c r="Z40" s="69">
        <f t="shared" si="10"/>
        <v>0</v>
      </c>
      <c r="AA40" s="68">
        <f t="shared" si="11"/>
        <v>0.82299999999999995</v>
      </c>
      <c r="AB40" s="68">
        <f t="shared" si="12"/>
        <v>0.71599999999999997</v>
      </c>
      <c r="AC40" s="57"/>
      <c r="AD40" s="57"/>
      <c r="AE40" s="89"/>
    </row>
    <row r="41" spans="1:31" s="88" customFormat="1" ht="15" customHeight="1">
      <c r="A41" s="90"/>
      <c r="B41" s="110">
        <f>'115+260'!B42</f>
        <v>45279</v>
      </c>
      <c r="C41" s="80">
        <f t="shared" si="4"/>
        <v>1</v>
      </c>
      <c r="D41" s="79">
        <f t="shared" si="5"/>
        <v>1069</v>
      </c>
      <c r="E41" s="78">
        <f>VLOOKUP(B41,'115+260'!B42:AB143,3,FALSE)</f>
        <v>1669</v>
      </c>
      <c r="F41" s="75">
        <f t="shared" si="0"/>
        <v>2738</v>
      </c>
      <c r="G41" s="77">
        <f>VLOOKUP(B41,'115+260'!$B$15:$AB$115,20,FALSE)</f>
        <v>533</v>
      </c>
      <c r="H41" s="77">
        <f>VLOOKUP(B41,'115+260'!$B$15:$AB$115,4,FALSE)</f>
        <v>1005</v>
      </c>
      <c r="I41" s="74">
        <f t="shared" si="1"/>
        <v>1733</v>
      </c>
      <c r="J41" s="74">
        <f>VLOOKUP(B41,'115+260'!$B$15:$AB$115,13,FALSE)</f>
        <v>-267</v>
      </c>
      <c r="K41" s="72">
        <f>'115+260'!Q42</f>
        <v>4</v>
      </c>
      <c r="L41" s="71">
        <f t="shared" si="6"/>
        <v>67</v>
      </c>
      <c r="M41" s="76">
        <f>VLOOKUP(B41,'115+260'!$B$14:$AB$115,21,FALSE)</f>
        <v>543</v>
      </c>
      <c r="N41" s="75">
        <f>VLOOKUP(B41,'115+260'!$B$15:$AB$115,5,FALSE)</f>
        <v>1015</v>
      </c>
      <c r="O41" s="74">
        <f t="shared" si="2"/>
        <v>1723</v>
      </c>
      <c r="P41" s="74">
        <f>VLOOKUP(B41,'115+260'!$B$15:$AB$115,14,FALSE)</f>
        <v>-277</v>
      </c>
      <c r="Q41" s="72">
        <f>'115+260'!R42</f>
        <v>5</v>
      </c>
      <c r="R41" s="71">
        <f t="shared" si="7"/>
        <v>57</v>
      </c>
      <c r="S41" s="76">
        <f>VLOOKUP(B41,'115+260'!$B$14:$AB$115,22,FALSE)</f>
        <v>545</v>
      </c>
      <c r="T41" s="75">
        <f>VLOOKUP(B41,'115+260'!$B$15:$AB$115,6,FALSE)</f>
        <v>1043</v>
      </c>
      <c r="U41" s="74">
        <f t="shared" si="3"/>
        <v>1695</v>
      </c>
      <c r="V41" s="73">
        <f>VLOOKUP(B41,'115+260'!$B$15:$AB$115,15,FALSE)</f>
        <v>-305</v>
      </c>
      <c r="W41" s="72">
        <f>'115+260'!S42</f>
        <v>5</v>
      </c>
      <c r="X41" s="71">
        <f t="shared" si="8"/>
        <v>55</v>
      </c>
      <c r="Y41" s="70">
        <f t="shared" si="9"/>
        <v>-5</v>
      </c>
      <c r="Z41" s="69">
        <f t="shared" si="10"/>
        <v>0</v>
      </c>
      <c r="AA41" s="68">
        <f t="shared" si="11"/>
        <v>0.82299999999999995</v>
      </c>
      <c r="AB41" s="68">
        <f t="shared" si="12"/>
        <v>0.70599999999999996</v>
      </c>
      <c r="AC41" s="57"/>
      <c r="AD41" s="57"/>
      <c r="AE41" s="89"/>
    </row>
    <row r="42" spans="1:31" s="88" customFormat="1" ht="15" customHeight="1">
      <c r="A42" s="90"/>
      <c r="B42" s="110">
        <f>'115+260'!B43</f>
        <v>45280</v>
      </c>
      <c r="C42" s="80">
        <f t="shared" si="4"/>
        <v>1</v>
      </c>
      <c r="D42" s="79">
        <f t="shared" si="5"/>
        <v>1069</v>
      </c>
      <c r="E42" s="78">
        <f>VLOOKUP(B42,'115+260'!B43:AB144,3,FALSE)</f>
        <v>1667</v>
      </c>
      <c r="F42" s="75">
        <f t="shared" si="0"/>
        <v>2736</v>
      </c>
      <c r="G42" s="77">
        <f>VLOOKUP(B42,'115+260'!$B$15:$AB$115,20,FALSE)</f>
        <v>725</v>
      </c>
      <c r="H42" s="77">
        <f>VLOOKUP(B42,'115+260'!$B$15:$AB$115,4,FALSE)</f>
        <v>1011</v>
      </c>
      <c r="I42" s="74">
        <f t="shared" si="1"/>
        <v>1725</v>
      </c>
      <c r="J42" s="74">
        <f>VLOOKUP(B42,'115+260'!$B$15:$AB$115,13,FALSE)</f>
        <v>-275</v>
      </c>
      <c r="K42" s="72">
        <f>'115+260'!Q43</f>
        <v>8</v>
      </c>
      <c r="L42" s="71">
        <f t="shared" si="6"/>
        <v>75</v>
      </c>
      <c r="M42" s="76">
        <f>VLOOKUP(B42,'115+260'!$B$14:$AB$115,21,FALSE)</f>
        <v>735</v>
      </c>
      <c r="N42" s="75">
        <f>VLOOKUP(B42,'115+260'!$B$15:$AB$115,5,FALSE)</f>
        <v>1021</v>
      </c>
      <c r="O42" s="74">
        <f t="shared" si="2"/>
        <v>1715</v>
      </c>
      <c r="P42" s="74">
        <f>VLOOKUP(B42,'115+260'!$B$15:$AB$115,14,FALSE)</f>
        <v>-285</v>
      </c>
      <c r="Q42" s="72">
        <f>'115+260'!R43</f>
        <v>8</v>
      </c>
      <c r="R42" s="71">
        <f t="shared" si="7"/>
        <v>65</v>
      </c>
      <c r="S42" s="76">
        <f>VLOOKUP(B42,'115+260'!$B$14:$AB$115,22,FALSE)</f>
        <v>737</v>
      </c>
      <c r="T42" s="75">
        <f>VLOOKUP(B42,'115+260'!$B$15:$AB$115,6,FALSE)</f>
        <v>1049</v>
      </c>
      <c r="U42" s="74">
        <f t="shared" si="3"/>
        <v>1687</v>
      </c>
      <c r="V42" s="73">
        <f>VLOOKUP(B42,'115+260'!$B$15:$AB$115,15,FALSE)</f>
        <v>-313</v>
      </c>
      <c r="W42" s="72">
        <f>'115+260'!S43</f>
        <v>8</v>
      </c>
      <c r="X42" s="71">
        <f t="shared" si="8"/>
        <v>63</v>
      </c>
      <c r="Y42" s="70">
        <f t="shared" si="9"/>
        <v>192</v>
      </c>
      <c r="Z42" s="69">
        <f t="shared" si="10"/>
        <v>0.192</v>
      </c>
      <c r="AA42" s="68">
        <f t="shared" si="11"/>
        <v>1.0149999999999999</v>
      </c>
      <c r="AB42" s="68">
        <f t="shared" si="12"/>
        <v>0.89</v>
      </c>
      <c r="AC42" s="57"/>
      <c r="AD42" s="57"/>
      <c r="AE42" s="89"/>
    </row>
    <row r="43" spans="1:31" s="88" customFormat="1" ht="15" customHeight="1">
      <c r="A43" s="90"/>
      <c r="B43" s="110">
        <f>'115+260'!B44</f>
        <v>45281</v>
      </c>
      <c r="C43" s="80">
        <f t="shared" si="4"/>
        <v>1</v>
      </c>
      <c r="D43" s="79">
        <f t="shared" si="5"/>
        <v>1069</v>
      </c>
      <c r="E43" s="78">
        <f>VLOOKUP(B43,'115+260'!B44:AB145,3,FALSE)</f>
        <v>1665</v>
      </c>
      <c r="F43" s="75">
        <f t="shared" si="0"/>
        <v>2734</v>
      </c>
      <c r="G43" s="77">
        <f>VLOOKUP(B43,'115+260'!$B$15:$AB$115,20,FALSE)</f>
        <v>720</v>
      </c>
      <c r="H43" s="77">
        <f>VLOOKUP(B43,'115+260'!$B$15:$AB$115,4,FALSE)</f>
        <v>1014</v>
      </c>
      <c r="I43" s="74">
        <f t="shared" si="1"/>
        <v>1720</v>
      </c>
      <c r="J43" s="74">
        <f>VLOOKUP(B43,'115+260'!$B$15:$AB$115,13,FALSE)</f>
        <v>-280</v>
      </c>
      <c r="K43" s="72">
        <f>'115+260'!Q44</f>
        <v>5</v>
      </c>
      <c r="L43" s="71">
        <f t="shared" si="6"/>
        <v>80</v>
      </c>
      <c r="M43" s="76">
        <f>VLOOKUP(B43,'115+260'!$B$14:$AB$115,21,FALSE)</f>
        <v>733</v>
      </c>
      <c r="N43" s="75">
        <f>VLOOKUP(B43,'115+260'!$B$15:$AB$115,5,FALSE)</f>
        <v>1021</v>
      </c>
      <c r="O43" s="74">
        <f t="shared" si="2"/>
        <v>1713</v>
      </c>
      <c r="P43" s="74">
        <f>VLOOKUP(B43,'115+260'!$B$15:$AB$115,14,FALSE)</f>
        <v>-287</v>
      </c>
      <c r="Q43" s="72">
        <f>'115+260'!R44</f>
        <v>2</v>
      </c>
      <c r="R43" s="71">
        <f t="shared" si="7"/>
        <v>67</v>
      </c>
      <c r="S43" s="76">
        <f>VLOOKUP(B43,'115+260'!$B$14:$AB$115,22,FALSE)</f>
        <v>735</v>
      </c>
      <c r="T43" s="75">
        <f>VLOOKUP(B43,'115+260'!$B$15:$AB$115,6,FALSE)</f>
        <v>1049</v>
      </c>
      <c r="U43" s="74">
        <f t="shared" si="3"/>
        <v>1685</v>
      </c>
      <c r="V43" s="73">
        <f>VLOOKUP(B43,'115+260'!$B$15:$AB$115,15,FALSE)</f>
        <v>-315</v>
      </c>
      <c r="W43" s="72">
        <f>'115+260'!S44</f>
        <v>2</v>
      </c>
      <c r="X43" s="71">
        <f t="shared" si="8"/>
        <v>65</v>
      </c>
      <c r="Y43" s="70">
        <f t="shared" si="9"/>
        <v>-2</v>
      </c>
      <c r="Z43" s="69">
        <f t="shared" si="10"/>
        <v>0</v>
      </c>
      <c r="AA43" s="68">
        <f t="shared" si="11"/>
        <v>1.0149999999999999</v>
      </c>
      <c r="AB43" s="68">
        <f t="shared" si="12"/>
        <v>0.88600000000000001</v>
      </c>
      <c r="AC43" s="57"/>
      <c r="AD43" s="57"/>
      <c r="AE43" s="89"/>
    </row>
    <row r="44" spans="1:31" s="88" customFormat="1" ht="15" customHeight="1">
      <c r="A44" s="90"/>
      <c r="B44" s="110">
        <f>'115+260'!B45</f>
        <v>45282</v>
      </c>
      <c r="C44" s="80">
        <f t="shared" si="4"/>
        <v>1</v>
      </c>
      <c r="D44" s="79">
        <f t="shared" si="5"/>
        <v>1069</v>
      </c>
      <c r="E44" s="78">
        <f>VLOOKUP(B44,'115+260'!B45:AB146,3,FALSE)</f>
        <v>1663</v>
      </c>
      <c r="F44" s="75">
        <f t="shared" si="0"/>
        <v>2732</v>
      </c>
      <c r="G44" s="77">
        <f>VLOOKUP(B44,'115+260'!$B$15:$AB$115,20,FALSE)</f>
        <v>716</v>
      </c>
      <c r="H44" s="77">
        <f>VLOOKUP(B44,'115+260'!$B$15:$AB$115,4,FALSE)</f>
        <v>1016</v>
      </c>
      <c r="I44" s="74">
        <f t="shared" si="1"/>
        <v>1716</v>
      </c>
      <c r="J44" s="74">
        <f>VLOOKUP(B44,'115+260'!$B$15:$AB$115,13,FALSE)</f>
        <v>-284</v>
      </c>
      <c r="K44" s="72">
        <f>'115+260'!Q45</f>
        <v>4</v>
      </c>
      <c r="L44" s="71">
        <f t="shared" si="6"/>
        <v>84</v>
      </c>
      <c r="M44" s="76">
        <f>VLOOKUP(B44,'115+260'!$B$14:$AB$115,21,FALSE)</f>
        <v>729</v>
      </c>
      <c r="N44" s="75">
        <f>VLOOKUP(B44,'115+260'!$B$15:$AB$115,5,FALSE)</f>
        <v>1023</v>
      </c>
      <c r="O44" s="74">
        <f t="shared" si="2"/>
        <v>1709</v>
      </c>
      <c r="P44" s="74">
        <f>VLOOKUP(B44,'115+260'!$B$15:$AB$115,14,FALSE)</f>
        <v>-291</v>
      </c>
      <c r="Q44" s="72">
        <f>'115+260'!R45</f>
        <v>4</v>
      </c>
      <c r="R44" s="71">
        <f t="shared" si="7"/>
        <v>71</v>
      </c>
      <c r="S44" s="76">
        <f>VLOOKUP(B44,'115+260'!$B$14:$AB$115,22,FALSE)</f>
        <v>733</v>
      </c>
      <c r="T44" s="75">
        <f>VLOOKUP(B44,'115+260'!$B$15:$AB$115,6,FALSE)</f>
        <v>1049</v>
      </c>
      <c r="U44" s="74">
        <f t="shared" si="3"/>
        <v>1683</v>
      </c>
      <c r="V44" s="73">
        <f>VLOOKUP(B44,'115+260'!$B$15:$AB$115,15,FALSE)</f>
        <v>-317</v>
      </c>
      <c r="W44" s="72">
        <f>'115+260'!S45</f>
        <v>2</v>
      </c>
      <c r="X44" s="71">
        <f t="shared" si="8"/>
        <v>67</v>
      </c>
      <c r="Y44" s="70">
        <f t="shared" si="9"/>
        <v>-2</v>
      </c>
      <c r="Z44" s="69">
        <f t="shared" si="10"/>
        <v>0</v>
      </c>
      <c r="AA44" s="68">
        <f t="shared" si="11"/>
        <v>1.0149999999999999</v>
      </c>
      <c r="AB44" s="68">
        <f t="shared" si="12"/>
        <v>0.878</v>
      </c>
      <c r="AC44" s="57"/>
      <c r="AD44" s="57"/>
      <c r="AE44" s="89"/>
    </row>
    <row r="45" spans="1:31" s="91" customFormat="1" ht="15" customHeight="1">
      <c r="A45" s="90"/>
      <c r="B45" s="110">
        <f>'115+260'!B46</f>
        <v>45283</v>
      </c>
      <c r="C45" s="80">
        <f t="shared" si="4"/>
        <v>1</v>
      </c>
      <c r="D45" s="79">
        <f t="shared" si="5"/>
        <v>1069</v>
      </c>
      <c r="E45" s="78">
        <f>VLOOKUP(B45,'115+260'!B46:AB147,3,FALSE)</f>
        <v>1661</v>
      </c>
      <c r="F45" s="75">
        <f t="shared" si="0"/>
        <v>2730</v>
      </c>
      <c r="G45" s="77">
        <f>VLOOKUP(B45,'115+260'!$B$15:$AB$115,20,FALSE)</f>
        <v>713</v>
      </c>
      <c r="H45" s="77">
        <f>VLOOKUP(B45,'115+260'!$B$15:$AB$115,4,FALSE)</f>
        <v>1017</v>
      </c>
      <c r="I45" s="74">
        <f t="shared" si="1"/>
        <v>1713</v>
      </c>
      <c r="J45" s="74">
        <f>VLOOKUP(B45,'115+260'!$B$15:$AB$115,13,FALSE)</f>
        <v>-287</v>
      </c>
      <c r="K45" s="72">
        <f>'115+260'!Q46</f>
        <v>3</v>
      </c>
      <c r="L45" s="71">
        <f t="shared" si="6"/>
        <v>87</v>
      </c>
      <c r="M45" s="76">
        <f>VLOOKUP(B45,'115+260'!$B$14:$AB$115,21,FALSE)</f>
        <v>722</v>
      </c>
      <c r="N45" s="75">
        <f>VLOOKUP(B45,'115+260'!$B$15:$AB$115,5,FALSE)</f>
        <v>1028</v>
      </c>
      <c r="O45" s="74">
        <f t="shared" si="2"/>
        <v>1702</v>
      </c>
      <c r="P45" s="74">
        <f>VLOOKUP(B45,'115+260'!$B$15:$AB$115,14,FALSE)</f>
        <v>-298</v>
      </c>
      <c r="Q45" s="72">
        <f>'115+260'!R46</f>
        <v>7</v>
      </c>
      <c r="R45" s="71">
        <f t="shared" si="7"/>
        <v>78</v>
      </c>
      <c r="S45" s="76">
        <f>VLOOKUP(B45,'115+260'!$B$14:$AB$115,22,FALSE)</f>
        <v>731</v>
      </c>
      <c r="T45" s="75">
        <f>VLOOKUP(B45,'115+260'!$B$15:$AB$115,6,FALSE)</f>
        <v>1049</v>
      </c>
      <c r="U45" s="74">
        <f t="shared" si="3"/>
        <v>1681</v>
      </c>
      <c r="V45" s="73">
        <f>VLOOKUP(B45,'115+260'!$B$15:$AB$115,15,FALSE)</f>
        <v>-319</v>
      </c>
      <c r="W45" s="72">
        <f>'115+260'!S46</f>
        <v>2</v>
      </c>
      <c r="X45" s="71">
        <f t="shared" si="8"/>
        <v>69</v>
      </c>
      <c r="Y45" s="70">
        <f t="shared" si="9"/>
        <v>-2</v>
      </c>
      <c r="Z45" s="69">
        <f t="shared" si="10"/>
        <v>0</v>
      </c>
      <c r="AA45" s="68">
        <f t="shared" si="11"/>
        <v>1.0149999999999999</v>
      </c>
      <c r="AB45" s="68">
        <f t="shared" si="12"/>
        <v>0.86399999999999999</v>
      </c>
      <c r="AC45" s="93"/>
      <c r="AD45" s="93"/>
      <c r="AE45" s="92"/>
    </row>
    <row r="46" spans="1:31" s="91" customFormat="1" ht="15" customHeight="1">
      <c r="A46" s="90"/>
      <c r="B46" s="110">
        <f>'115+260'!B47</f>
        <v>45284</v>
      </c>
      <c r="C46" s="80">
        <f t="shared" si="4"/>
        <v>1</v>
      </c>
      <c r="D46" s="79">
        <f t="shared" si="5"/>
        <v>1069</v>
      </c>
      <c r="E46" s="78">
        <f>VLOOKUP(B46,'115+260'!B47:AB148,3,FALSE)</f>
        <v>1659</v>
      </c>
      <c r="F46" s="75">
        <f t="shared" si="0"/>
        <v>2728</v>
      </c>
      <c r="G46" s="77">
        <f>VLOOKUP(B46,'115+260'!$B$15:$AB$115,20,FALSE)</f>
        <v>1004</v>
      </c>
      <c r="H46" s="77">
        <f>VLOOKUP(B46,'115+260'!$B$15:$AB$115,4,FALSE)</f>
        <v>1024</v>
      </c>
      <c r="I46" s="74">
        <f t="shared" si="1"/>
        <v>1704</v>
      </c>
      <c r="J46" s="74">
        <f>VLOOKUP(B46,'115+260'!$B$15:$AB$115,13,FALSE)</f>
        <v>-296</v>
      </c>
      <c r="K46" s="72">
        <f>'115+260'!Q47</f>
        <v>9</v>
      </c>
      <c r="L46" s="71">
        <f t="shared" si="6"/>
        <v>96</v>
      </c>
      <c r="M46" s="76">
        <f>VLOOKUP(B46,'115+260'!$B$14:$AB$115,21,FALSE)</f>
        <v>1014</v>
      </c>
      <c r="N46" s="75">
        <f>VLOOKUP(B46,'115+260'!$B$15:$AB$115,5,FALSE)</f>
        <v>1034</v>
      </c>
      <c r="O46" s="74">
        <f t="shared" si="2"/>
        <v>1694</v>
      </c>
      <c r="P46" s="74">
        <f>VLOOKUP(B46,'115+260'!$B$15:$AB$115,14,FALSE)</f>
        <v>-306</v>
      </c>
      <c r="Q46" s="72">
        <f>'115+260'!R47</f>
        <v>8</v>
      </c>
      <c r="R46" s="71">
        <f t="shared" si="7"/>
        <v>86</v>
      </c>
      <c r="S46" s="76">
        <f>VLOOKUP(B46,'115+260'!$B$14:$AB$115,22,FALSE)</f>
        <v>1022</v>
      </c>
      <c r="T46" s="75">
        <f>VLOOKUP(B46,'115+260'!$B$15:$AB$115,6,FALSE)</f>
        <v>1056</v>
      </c>
      <c r="U46" s="74">
        <f t="shared" si="3"/>
        <v>1672</v>
      </c>
      <c r="V46" s="73">
        <f>VLOOKUP(B46,'115+260'!$B$15:$AB$115,15,FALSE)</f>
        <v>-328</v>
      </c>
      <c r="W46" s="72">
        <f>'115+260'!S47</f>
        <v>9</v>
      </c>
      <c r="X46" s="71">
        <f t="shared" si="8"/>
        <v>78</v>
      </c>
      <c r="Y46" s="70">
        <f t="shared" si="9"/>
        <v>291</v>
      </c>
      <c r="Z46" s="69">
        <f t="shared" si="10"/>
        <v>0.29099999999999998</v>
      </c>
      <c r="AA46" s="68">
        <f t="shared" si="11"/>
        <v>1.3059999999999998</v>
      </c>
      <c r="AB46" s="68">
        <f t="shared" si="12"/>
        <v>1.1479999999999999</v>
      </c>
      <c r="AC46" s="93"/>
      <c r="AD46" s="93"/>
      <c r="AE46" s="92"/>
    </row>
    <row r="47" spans="1:31" s="88" customFormat="1" ht="15" customHeight="1">
      <c r="A47" s="90"/>
      <c r="B47" s="110">
        <f>'115+260'!B48</f>
        <v>45285</v>
      </c>
      <c r="C47" s="80">
        <f t="shared" si="4"/>
        <v>1</v>
      </c>
      <c r="D47" s="79">
        <f t="shared" si="5"/>
        <v>1069</v>
      </c>
      <c r="E47" s="78">
        <f>VLOOKUP(B47,'115+260'!B48:AB149,3,FALSE)</f>
        <v>1657</v>
      </c>
      <c r="F47" s="75">
        <f t="shared" si="0"/>
        <v>2726</v>
      </c>
      <c r="G47" s="77">
        <f>VLOOKUP(B47,'115+260'!$B$15:$AB$115,20,FALSE)</f>
        <v>1001</v>
      </c>
      <c r="H47" s="77">
        <f>VLOOKUP(B47,'115+260'!$B$15:$AB$115,4,FALSE)</f>
        <v>1025</v>
      </c>
      <c r="I47" s="74">
        <f t="shared" si="1"/>
        <v>1701</v>
      </c>
      <c r="J47" s="74">
        <f>VLOOKUP(B47,'115+260'!$B$15:$AB$115,13,FALSE)</f>
        <v>-299</v>
      </c>
      <c r="K47" s="72">
        <f>'115+260'!Q48</f>
        <v>3</v>
      </c>
      <c r="L47" s="71">
        <f t="shared" si="6"/>
        <v>99</v>
      </c>
      <c r="M47" s="76">
        <f>VLOOKUP(B47,'115+260'!$B$14:$AB$115,21,FALSE)</f>
        <v>1010</v>
      </c>
      <c r="N47" s="75">
        <f>VLOOKUP(B47,'115+260'!$B$15:$AB$115,5,FALSE)</f>
        <v>1036</v>
      </c>
      <c r="O47" s="74">
        <f t="shared" si="2"/>
        <v>1690</v>
      </c>
      <c r="P47" s="74">
        <f>VLOOKUP(B47,'115+260'!$B$15:$AB$115,14,FALSE)</f>
        <v>-310</v>
      </c>
      <c r="Q47" s="72">
        <f>'115+260'!R48</f>
        <v>4</v>
      </c>
      <c r="R47" s="71">
        <f t="shared" si="7"/>
        <v>90</v>
      </c>
      <c r="S47" s="76">
        <f>VLOOKUP(B47,'115+260'!$B$14:$AB$115,22,FALSE)</f>
        <v>1019</v>
      </c>
      <c r="T47" s="75">
        <f>VLOOKUP(B47,'115+260'!$B$15:$AB$115,6,FALSE)</f>
        <v>1057</v>
      </c>
      <c r="U47" s="74">
        <f t="shared" si="3"/>
        <v>1669</v>
      </c>
      <c r="V47" s="73">
        <f>VLOOKUP(B47,'115+260'!$B$15:$AB$115,15,FALSE)</f>
        <v>-331</v>
      </c>
      <c r="W47" s="72">
        <f>'115+260'!S48</f>
        <v>3</v>
      </c>
      <c r="X47" s="71">
        <f t="shared" si="8"/>
        <v>81</v>
      </c>
      <c r="Y47" s="70">
        <f t="shared" si="9"/>
        <v>-3</v>
      </c>
      <c r="Z47" s="69">
        <f t="shared" si="10"/>
        <v>0</v>
      </c>
      <c r="AA47" s="68">
        <f t="shared" si="11"/>
        <v>1.3059999999999998</v>
      </c>
      <c r="AB47" s="68">
        <f t="shared" si="12"/>
        <v>1.1399999999999999</v>
      </c>
      <c r="AC47" s="57"/>
      <c r="AD47" s="57"/>
      <c r="AE47" s="89"/>
    </row>
    <row r="48" spans="1:31" s="88" customFormat="1" ht="15" customHeight="1">
      <c r="A48" s="90"/>
      <c r="B48" s="110">
        <f>'115+260'!B49</f>
        <v>45286</v>
      </c>
      <c r="C48" s="80">
        <f t="shared" si="4"/>
        <v>1</v>
      </c>
      <c r="D48" s="79">
        <f t="shared" si="5"/>
        <v>1069</v>
      </c>
      <c r="E48" s="78">
        <f>VLOOKUP(B48,'115+260'!B49:AB150,3,FALSE)</f>
        <v>1655</v>
      </c>
      <c r="F48" s="75">
        <f t="shared" si="0"/>
        <v>2724</v>
      </c>
      <c r="G48" s="77">
        <f>VLOOKUP(B48,'115+260'!$B$15:$AB$115,20,FALSE)</f>
        <v>996</v>
      </c>
      <c r="H48" s="77">
        <f>VLOOKUP(B48,'115+260'!$B$15:$AB$115,4,FALSE)</f>
        <v>1028</v>
      </c>
      <c r="I48" s="74">
        <f t="shared" si="1"/>
        <v>1696</v>
      </c>
      <c r="J48" s="74">
        <f>VLOOKUP(B48,'115+260'!$B$15:$AB$115,13,FALSE)</f>
        <v>-304</v>
      </c>
      <c r="K48" s="72">
        <f>'115+260'!Q49</f>
        <v>5</v>
      </c>
      <c r="L48" s="71">
        <f t="shared" si="6"/>
        <v>104</v>
      </c>
      <c r="M48" s="76">
        <f>VLOOKUP(B48,'115+260'!$B$14:$AB$115,21,FALSE)</f>
        <v>1008</v>
      </c>
      <c r="N48" s="75">
        <f>VLOOKUP(B48,'115+260'!$B$15:$AB$115,5,FALSE)</f>
        <v>1036</v>
      </c>
      <c r="O48" s="74">
        <f t="shared" si="2"/>
        <v>1688</v>
      </c>
      <c r="P48" s="74">
        <f>VLOOKUP(B48,'115+260'!$B$15:$AB$115,14,FALSE)</f>
        <v>-312</v>
      </c>
      <c r="Q48" s="72">
        <f>'115+260'!R49</f>
        <v>2</v>
      </c>
      <c r="R48" s="71">
        <f t="shared" si="7"/>
        <v>92</v>
      </c>
      <c r="S48" s="76">
        <f>VLOOKUP(B48,'115+260'!$B$14:$AB$115,22,FALSE)</f>
        <v>1015</v>
      </c>
      <c r="T48" s="75">
        <f>VLOOKUP(B48,'115+260'!$B$15:$AB$115,6,FALSE)</f>
        <v>1059</v>
      </c>
      <c r="U48" s="74">
        <f t="shared" si="3"/>
        <v>1665</v>
      </c>
      <c r="V48" s="73">
        <f>VLOOKUP(B48,'115+260'!$B$15:$AB$115,15,FALSE)</f>
        <v>-335</v>
      </c>
      <c r="W48" s="72">
        <f>'115+260'!S49</f>
        <v>4</v>
      </c>
      <c r="X48" s="71">
        <f t="shared" si="8"/>
        <v>85</v>
      </c>
      <c r="Y48" s="70">
        <f t="shared" si="9"/>
        <v>-4</v>
      </c>
      <c r="Z48" s="69">
        <f t="shared" si="10"/>
        <v>0</v>
      </c>
      <c r="AA48" s="68">
        <f t="shared" si="11"/>
        <v>1.3059999999999998</v>
      </c>
      <c r="AB48" s="68">
        <f t="shared" si="12"/>
        <v>1.1359999999999999</v>
      </c>
      <c r="AC48" s="57"/>
      <c r="AD48" s="57"/>
      <c r="AE48" s="89"/>
    </row>
    <row r="49" spans="1:31" s="88" customFormat="1" ht="15" customHeight="1">
      <c r="A49" s="90"/>
      <c r="B49" s="110">
        <f>'115+260'!B50</f>
        <v>45287</v>
      </c>
      <c r="C49" s="80">
        <f t="shared" si="4"/>
        <v>1</v>
      </c>
      <c r="D49" s="79">
        <f t="shared" si="5"/>
        <v>1069</v>
      </c>
      <c r="E49" s="78">
        <f>VLOOKUP(B49,'115+260'!B50:AB151,3,FALSE)</f>
        <v>1653</v>
      </c>
      <c r="F49" s="75">
        <f t="shared" si="0"/>
        <v>2722</v>
      </c>
      <c r="G49" s="77">
        <f>VLOOKUP(B49,'115+260'!$B$15:$AB$115,20,FALSE)</f>
        <v>991</v>
      </c>
      <c r="H49" s="77">
        <f>VLOOKUP(B49,'115+260'!$B$15:$AB$115,4,FALSE)</f>
        <v>1031</v>
      </c>
      <c r="I49" s="74">
        <f t="shared" si="1"/>
        <v>1691</v>
      </c>
      <c r="J49" s="74">
        <f>VLOOKUP(B49,'115+260'!$B$15:$AB$115,13,FALSE)</f>
        <v>-309</v>
      </c>
      <c r="K49" s="72">
        <f>'115+260'!Q50</f>
        <v>5</v>
      </c>
      <c r="L49" s="71">
        <f t="shared" si="6"/>
        <v>109</v>
      </c>
      <c r="M49" s="76">
        <f>VLOOKUP(B49,'115+260'!$B$14:$AB$115,21,FALSE)</f>
        <v>1006</v>
      </c>
      <c r="N49" s="75">
        <f>VLOOKUP(B49,'115+260'!$B$15:$AB$115,5,FALSE)</f>
        <v>1036</v>
      </c>
      <c r="O49" s="74">
        <f t="shared" si="2"/>
        <v>1686</v>
      </c>
      <c r="P49" s="74">
        <f>VLOOKUP(B49,'115+260'!$B$15:$AB$115,14,FALSE)</f>
        <v>-314</v>
      </c>
      <c r="Q49" s="72">
        <f>'115+260'!R50</f>
        <v>2</v>
      </c>
      <c r="R49" s="71">
        <f t="shared" si="7"/>
        <v>94</v>
      </c>
      <c r="S49" s="76">
        <f>VLOOKUP(B49,'115+260'!$B$14:$AB$115,22,FALSE)</f>
        <v>1011</v>
      </c>
      <c r="T49" s="75">
        <f>VLOOKUP(B49,'115+260'!$B$15:$AB$115,6,FALSE)</f>
        <v>1061</v>
      </c>
      <c r="U49" s="74">
        <f t="shared" si="3"/>
        <v>1661</v>
      </c>
      <c r="V49" s="73">
        <f>VLOOKUP(B49,'115+260'!$B$15:$AB$115,15,FALSE)</f>
        <v>-339</v>
      </c>
      <c r="W49" s="72">
        <f>'115+260'!S50</f>
        <v>4</v>
      </c>
      <c r="X49" s="71">
        <f t="shared" si="8"/>
        <v>89</v>
      </c>
      <c r="Y49" s="70">
        <f t="shared" si="9"/>
        <v>-4</v>
      </c>
      <c r="Z49" s="69">
        <f t="shared" si="10"/>
        <v>0</v>
      </c>
      <c r="AA49" s="68">
        <f t="shared" si="11"/>
        <v>1.3059999999999998</v>
      </c>
      <c r="AB49" s="68">
        <f t="shared" si="12"/>
        <v>1.1319999999999999</v>
      </c>
      <c r="AC49" s="57"/>
      <c r="AD49" s="57"/>
      <c r="AE49" s="89"/>
    </row>
    <row r="50" spans="1:31" s="88" customFormat="1" ht="15" customHeight="1">
      <c r="A50" s="90"/>
      <c r="B50" s="110">
        <f>'115+260'!B51</f>
        <v>45288</v>
      </c>
      <c r="C50" s="80">
        <f t="shared" si="4"/>
        <v>1</v>
      </c>
      <c r="D50" s="79">
        <f t="shared" si="5"/>
        <v>1069</v>
      </c>
      <c r="E50" s="78">
        <f>VLOOKUP(B50,'115+260'!B51:AB152,3,FALSE)</f>
        <v>1651</v>
      </c>
      <c r="F50" s="75">
        <f t="shared" si="0"/>
        <v>2720</v>
      </c>
      <c r="G50" s="77">
        <f>VLOOKUP(B50,'115+260'!$B$15:$AB$115,20,FALSE)</f>
        <v>987</v>
      </c>
      <c r="H50" s="77">
        <f>VLOOKUP(B50,'115+260'!$B$15:$AB$115,4,FALSE)</f>
        <v>1033</v>
      </c>
      <c r="I50" s="74">
        <f t="shared" si="1"/>
        <v>1687</v>
      </c>
      <c r="J50" s="74">
        <f>VLOOKUP(B50,'115+260'!$B$15:$AB$115,13,FALSE)</f>
        <v>-313</v>
      </c>
      <c r="K50" s="72">
        <f>'115+260'!Q51</f>
        <v>4</v>
      </c>
      <c r="L50" s="71">
        <f t="shared" si="6"/>
        <v>113</v>
      </c>
      <c r="M50" s="76">
        <f>VLOOKUP(B50,'115+260'!$B$14:$AB$115,21,FALSE)</f>
        <v>1002</v>
      </c>
      <c r="N50" s="75">
        <f>VLOOKUP(B50,'115+260'!$B$15:$AB$115,5,FALSE)</f>
        <v>1038</v>
      </c>
      <c r="O50" s="74">
        <f t="shared" si="2"/>
        <v>1682</v>
      </c>
      <c r="P50" s="74">
        <f>VLOOKUP(B50,'115+260'!$B$15:$AB$115,14,FALSE)</f>
        <v>-318</v>
      </c>
      <c r="Q50" s="72">
        <f>'115+260'!R51</f>
        <v>4</v>
      </c>
      <c r="R50" s="71">
        <f t="shared" si="7"/>
        <v>98</v>
      </c>
      <c r="S50" s="76">
        <f>VLOOKUP(B50,'115+260'!$B$14:$AB$115,22,FALSE)</f>
        <v>1008</v>
      </c>
      <c r="T50" s="75">
        <f>VLOOKUP(B50,'115+260'!$B$15:$AB$115,6,FALSE)</f>
        <v>1062</v>
      </c>
      <c r="U50" s="74">
        <f t="shared" si="3"/>
        <v>1658</v>
      </c>
      <c r="V50" s="73">
        <f>VLOOKUP(B50,'115+260'!$B$15:$AB$115,15,FALSE)</f>
        <v>-342</v>
      </c>
      <c r="W50" s="72">
        <f>'115+260'!S51</f>
        <v>3</v>
      </c>
      <c r="X50" s="71">
        <f t="shared" si="8"/>
        <v>92</v>
      </c>
      <c r="Y50" s="70">
        <f t="shared" si="9"/>
        <v>-3</v>
      </c>
      <c r="Z50" s="69">
        <f t="shared" si="10"/>
        <v>0</v>
      </c>
      <c r="AA50" s="68">
        <f t="shared" si="11"/>
        <v>1.3059999999999998</v>
      </c>
      <c r="AB50" s="68">
        <f t="shared" si="12"/>
        <v>1.1240000000000001</v>
      </c>
      <c r="AC50" s="57"/>
      <c r="AD50" s="57"/>
      <c r="AE50" s="89"/>
    </row>
    <row r="51" spans="1:31" s="88" customFormat="1" ht="15" customHeight="1">
      <c r="A51" s="90"/>
      <c r="B51" s="110">
        <f>'115+260'!B52</f>
        <v>45289</v>
      </c>
      <c r="C51" s="80">
        <f t="shared" si="4"/>
        <v>1</v>
      </c>
      <c r="D51" s="79">
        <f t="shared" si="5"/>
        <v>1069</v>
      </c>
      <c r="E51" s="78">
        <f>VLOOKUP(B51,'115+260'!B52:AB153,3,FALSE)</f>
        <v>1649</v>
      </c>
      <c r="F51" s="75">
        <f t="shared" si="0"/>
        <v>2718</v>
      </c>
      <c r="G51" s="77">
        <f>VLOOKUP(B51,'115+260'!$B$15:$AB$115,20,FALSE)</f>
        <v>984</v>
      </c>
      <c r="H51" s="77">
        <f>VLOOKUP(B51,'115+260'!$B$15:$AB$115,4,FALSE)</f>
        <v>1034</v>
      </c>
      <c r="I51" s="74">
        <f t="shared" si="1"/>
        <v>1684</v>
      </c>
      <c r="J51" s="74">
        <f>VLOOKUP(B51,'115+260'!$B$15:$AB$115,13,FALSE)</f>
        <v>-316</v>
      </c>
      <c r="K51" s="72">
        <f>'115+260'!Q52</f>
        <v>3</v>
      </c>
      <c r="L51" s="71">
        <f t="shared" si="6"/>
        <v>116</v>
      </c>
      <c r="M51" s="76">
        <f>VLOOKUP(B51,'115+260'!$B$14:$AB$115,21,FALSE)</f>
        <v>995</v>
      </c>
      <c r="N51" s="75">
        <f>VLOOKUP(B51,'115+260'!$B$15:$AB$115,5,FALSE)</f>
        <v>1043</v>
      </c>
      <c r="O51" s="74">
        <f t="shared" si="2"/>
        <v>1675</v>
      </c>
      <c r="P51" s="74">
        <f>VLOOKUP(B51,'115+260'!$B$15:$AB$115,14,FALSE)</f>
        <v>-325</v>
      </c>
      <c r="Q51" s="72">
        <f>'115+260'!R52</f>
        <v>7</v>
      </c>
      <c r="R51" s="71">
        <f t="shared" si="7"/>
        <v>105</v>
      </c>
      <c r="S51" s="76">
        <f>VLOOKUP(B51,'115+260'!$B$14:$AB$115,22,FALSE)</f>
        <v>1005</v>
      </c>
      <c r="T51" s="75">
        <f>VLOOKUP(B51,'115+260'!$B$15:$AB$115,6,FALSE)</f>
        <v>1063</v>
      </c>
      <c r="U51" s="74">
        <f t="shared" si="3"/>
        <v>1655</v>
      </c>
      <c r="V51" s="73">
        <f>VLOOKUP(B51,'115+260'!$B$15:$AB$115,15,FALSE)</f>
        <v>-345</v>
      </c>
      <c r="W51" s="72">
        <f>'115+260'!S52</f>
        <v>3</v>
      </c>
      <c r="X51" s="71">
        <f t="shared" si="8"/>
        <v>95</v>
      </c>
      <c r="Y51" s="70">
        <f t="shared" si="9"/>
        <v>-3</v>
      </c>
      <c r="Z51" s="69">
        <f t="shared" si="10"/>
        <v>0</v>
      </c>
      <c r="AA51" s="68">
        <f t="shared" si="11"/>
        <v>1.3059999999999998</v>
      </c>
      <c r="AB51" s="68">
        <f t="shared" si="12"/>
        <v>1.1100000000000001</v>
      </c>
      <c r="AC51" s="57"/>
      <c r="AD51" s="57"/>
      <c r="AE51" s="89"/>
    </row>
    <row r="52" spans="1:31" s="88" customFormat="1" ht="15" customHeight="1">
      <c r="A52" s="90"/>
      <c r="B52" s="110">
        <f>'115+260'!B53</f>
        <v>45290</v>
      </c>
      <c r="C52" s="80">
        <f t="shared" si="4"/>
        <v>1</v>
      </c>
      <c r="D52" s="79">
        <f t="shared" si="5"/>
        <v>1069</v>
      </c>
      <c r="E52" s="78">
        <f>VLOOKUP(B52,'115+260'!B53:AB154,3,FALSE)</f>
        <v>1647</v>
      </c>
      <c r="F52" s="75">
        <f t="shared" si="0"/>
        <v>2716</v>
      </c>
      <c r="G52" s="77">
        <f>VLOOKUP(B52,'115+260'!$B$15:$AB$115,20,FALSE)</f>
        <v>979</v>
      </c>
      <c r="H52" s="77">
        <f>VLOOKUP(B52,'115+260'!$B$15:$AB$115,4,FALSE)</f>
        <v>1037</v>
      </c>
      <c r="I52" s="74">
        <f t="shared" si="1"/>
        <v>1679</v>
      </c>
      <c r="J52" s="74">
        <f>VLOOKUP(B52,'115+260'!$B$15:$AB$115,13,FALSE)</f>
        <v>-321</v>
      </c>
      <c r="K52" s="72">
        <f>'115+260'!Q53</f>
        <v>5</v>
      </c>
      <c r="L52" s="71">
        <f t="shared" si="6"/>
        <v>121</v>
      </c>
      <c r="M52" s="76">
        <f>VLOOKUP(B52,'115+260'!$B$14:$AB$115,21,FALSE)</f>
        <v>990</v>
      </c>
      <c r="N52" s="75">
        <f>VLOOKUP(B52,'115+260'!$B$15:$AB$115,5,FALSE)</f>
        <v>1046</v>
      </c>
      <c r="O52" s="74">
        <f t="shared" si="2"/>
        <v>1670</v>
      </c>
      <c r="P52" s="74">
        <f>VLOOKUP(B52,'115+260'!$B$15:$AB$115,14,FALSE)</f>
        <v>-330</v>
      </c>
      <c r="Q52" s="72">
        <f>'115+260'!R53</f>
        <v>5</v>
      </c>
      <c r="R52" s="71">
        <f t="shared" si="7"/>
        <v>110</v>
      </c>
      <c r="S52" s="76">
        <f>VLOOKUP(B52,'115+260'!$B$14:$AB$115,22,FALSE)</f>
        <v>1003</v>
      </c>
      <c r="T52" s="75">
        <f>VLOOKUP(B52,'115+260'!$B$15:$AB$115,6,FALSE)</f>
        <v>1063</v>
      </c>
      <c r="U52" s="74">
        <f t="shared" si="3"/>
        <v>1653</v>
      </c>
      <c r="V52" s="73">
        <f>VLOOKUP(B52,'115+260'!$B$15:$AB$115,15,FALSE)</f>
        <v>-347</v>
      </c>
      <c r="W52" s="72">
        <f>'115+260'!S53</f>
        <v>2</v>
      </c>
      <c r="X52" s="71">
        <f t="shared" si="8"/>
        <v>97</v>
      </c>
      <c r="Y52" s="70">
        <f t="shared" si="9"/>
        <v>-2</v>
      </c>
      <c r="Z52" s="69">
        <f t="shared" si="10"/>
        <v>0</v>
      </c>
      <c r="AA52" s="68">
        <f t="shared" si="11"/>
        <v>1.3059999999999998</v>
      </c>
      <c r="AB52" s="68">
        <f t="shared" si="12"/>
        <v>1.1000000000000001</v>
      </c>
      <c r="AC52" s="57"/>
      <c r="AD52" s="57"/>
      <c r="AE52" s="89"/>
    </row>
    <row r="53" spans="1:31" s="88" customFormat="1" ht="15" customHeight="1">
      <c r="A53" s="90"/>
      <c r="B53" s="110">
        <f>'115+260'!B54</f>
        <v>45291</v>
      </c>
      <c r="C53" s="80">
        <f t="shared" si="4"/>
        <v>1</v>
      </c>
      <c r="D53" s="79">
        <f t="shared" si="5"/>
        <v>1069</v>
      </c>
      <c r="E53" s="78">
        <f>VLOOKUP(B53,'115+260'!B54:AB155,3,FALSE)</f>
        <v>1645</v>
      </c>
      <c r="F53" s="75">
        <f t="shared" si="0"/>
        <v>2714</v>
      </c>
      <c r="G53" s="77">
        <f>VLOOKUP(B53,'115+260'!$B$15:$AB$115,20,FALSE)</f>
        <v>977</v>
      </c>
      <c r="H53" s="77">
        <f>VLOOKUP(B53,'115+260'!$B$15:$AB$115,4,FALSE)</f>
        <v>1037</v>
      </c>
      <c r="I53" s="74">
        <f t="shared" si="1"/>
        <v>1677</v>
      </c>
      <c r="J53" s="74">
        <f>VLOOKUP(B53,'115+260'!$B$15:$AB$115,13,FALSE)</f>
        <v>-323</v>
      </c>
      <c r="K53" s="72">
        <f>'115+260'!Q54</f>
        <v>2</v>
      </c>
      <c r="L53" s="71">
        <f t="shared" si="6"/>
        <v>123</v>
      </c>
      <c r="M53" s="76">
        <f>VLOOKUP(B53,'115+260'!$B$14:$AB$115,21,FALSE)</f>
        <v>988</v>
      </c>
      <c r="N53" s="75">
        <f>VLOOKUP(B53,'115+260'!$B$15:$AB$115,5,FALSE)</f>
        <v>1046</v>
      </c>
      <c r="O53" s="74">
        <f t="shared" si="2"/>
        <v>1668</v>
      </c>
      <c r="P53" s="74">
        <f>VLOOKUP(B53,'115+260'!$B$15:$AB$115,14,FALSE)</f>
        <v>-332</v>
      </c>
      <c r="Q53" s="72">
        <f>'115+260'!R54</f>
        <v>2</v>
      </c>
      <c r="R53" s="71">
        <f t="shared" si="7"/>
        <v>112</v>
      </c>
      <c r="S53" s="76">
        <f>VLOOKUP(B53,'115+260'!$B$14:$AB$115,22,FALSE)</f>
        <v>999</v>
      </c>
      <c r="T53" s="75">
        <f>VLOOKUP(B53,'115+260'!$B$15:$AB$115,6,FALSE)</f>
        <v>1065</v>
      </c>
      <c r="U53" s="74">
        <f t="shared" si="3"/>
        <v>1649</v>
      </c>
      <c r="V53" s="73">
        <f>VLOOKUP(B53,'115+260'!$B$15:$AB$115,15,FALSE)</f>
        <v>-351</v>
      </c>
      <c r="W53" s="72">
        <f>'115+260'!S54</f>
        <v>4</v>
      </c>
      <c r="X53" s="71">
        <f t="shared" si="8"/>
        <v>101</v>
      </c>
      <c r="Y53" s="70">
        <f t="shared" si="9"/>
        <v>-4</v>
      </c>
      <c r="Z53" s="69">
        <f t="shared" si="10"/>
        <v>0</v>
      </c>
      <c r="AA53" s="68">
        <f t="shared" si="11"/>
        <v>1.3059999999999998</v>
      </c>
      <c r="AB53" s="68">
        <f t="shared" si="12"/>
        <v>1.0960000000000001</v>
      </c>
      <c r="AC53" s="57"/>
      <c r="AD53" s="57"/>
      <c r="AE53" s="89"/>
    </row>
    <row r="54" spans="1:31" s="100" customFormat="1" ht="15" customHeight="1">
      <c r="A54" s="90"/>
      <c r="B54" s="110">
        <f>'115+260'!B55</f>
        <v>45292</v>
      </c>
      <c r="C54" s="80">
        <f t="shared" si="4"/>
        <v>1</v>
      </c>
      <c r="D54" s="79">
        <f t="shared" si="5"/>
        <v>1069</v>
      </c>
      <c r="E54" s="78">
        <f>VLOOKUP(B54,'115+260'!B55:AB156,3,FALSE)</f>
        <v>1643</v>
      </c>
      <c r="F54" s="75">
        <f t="shared" si="0"/>
        <v>2712</v>
      </c>
      <c r="G54" s="77">
        <f>VLOOKUP(B54,'115+260'!$B$15:$AB$115,20,FALSE)</f>
        <v>969</v>
      </c>
      <c r="H54" s="77">
        <f>VLOOKUP(B54,'115+260'!$B$15:$AB$115,4,FALSE)</f>
        <v>1043</v>
      </c>
      <c r="I54" s="74">
        <f t="shared" si="1"/>
        <v>1669</v>
      </c>
      <c r="J54" s="74">
        <f>VLOOKUP(B54,'115+260'!$B$15:$AB$115,13,FALSE)</f>
        <v>-331</v>
      </c>
      <c r="K54" s="72">
        <f>'115+260'!Q55</f>
        <v>8</v>
      </c>
      <c r="L54" s="71">
        <f t="shared" si="6"/>
        <v>131</v>
      </c>
      <c r="M54" s="76">
        <f>VLOOKUP(B54,'115+260'!$B$14:$AB$115,21,FALSE)</f>
        <v>980</v>
      </c>
      <c r="N54" s="75">
        <f>VLOOKUP(B54,'115+260'!$B$15:$AB$115,5,FALSE)</f>
        <v>1052</v>
      </c>
      <c r="O54" s="74">
        <f t="shared" si="2"/>
        <v>1660</v>
      </c>
      <c r="P54" s="74">
        <f>VLOOKUP(B54,'115+260'!$B$15:$AB$115,14,FALSE)</f>
        <v>-340</v>
      </c>
      <c r="Q54" s="72">
        <f>'115+260'!R55</f>
        <v>8</v>
      </c>
      <c r="R54" s="71">
        <f t="shared" si="7"/>
        <v>120</v>
      </c>
      <c r="S54" s="76">
        <f>VLOOKUP(B54,'115+260'!$B$14:$AB$115,22,FALSE)</f>
        <v>991</v>
      </c>
      <c r="T54" s="75">
        <f>VLOOKUP(B54,'115+260'!$B$15:$AB$115,6,FALSE)</f>
        <v>1071</v>
      </c>
      <c r="U54" s="74">
        <f t="shared" si="3"/>
        <v>1641</v>
      </c>
      <c r="V54" s="73">
        <f>VLOOKUP(B54,'115+260'!$B$15:$AB$115,15,FALSE)</f>
        <v>-359</v>
      </c>
      <c r="W54" s="72">
        <f>'115+260'!S55</f>
        <v>8</v>
      </c>
      <c r="X54" s="71">
        <f t="shared" si="8"/>
        <v>109</v>
      </c>
      <c r="Y54" s="70">
        <f t="shared" si="9"/>
        <v>-8</v>
      </c>
      <c r="Z54" s="69">
        <f t="shared" si="10"/>
        <v>0</v>
      </c>
      <c r="AA54" s="68">
        <f t="shared" si="11"/>
        <v>1.3059999999999998</v>
      </c>
      <c r="AB54" s="68">
        <f t="shared" si="12"/>
        <v>1.08</v>
      </c>
      <c r="AC54" s="85"/>
      <c r="AD54" s="85"/>
      <c r="AE54" s="101"/>
    </row>
    <row r="55" spans="1:31" s="88" customFormat="1" ht="15" customHeight="1">
      <c r="A55" s="90"/>
      <c r="B55" s="110">
        <f>'115+260'!B56</f>
        <v>45293</v>
      </c>
      <c r="C55" s="80">
        <f t="shared" si="4"/>
        <v>1</v>
      </c>
      <c r="D55" s="79">
        <f t="shared" si="5"/>
        <v>1069</v>
      </c>
      <c r="E55" s="78">
        <f>VLOOKUP(B55,'115+260'!B56:AB157,3,FALSE)</f>
        <v>1641</v>
      </c>
      <c r="F55" s="75">
        <f t="shared" si="0"/>
        <v>2710</v>
      </c>
      <c r="G55" s="77">
        <f>VLOOKUP(B55,'115+260'!$B$15:$AB$115,20,FALSE)</f>
        <v>967</v>
      </c>
      <c r="H55" s="77">
        <f>VLOOKUP(B55,'115+260'!$B$15:$AB$115,4,FALSE)</f>
        <v>1043</v>
      </c>
      <c r="I55" s="74">
        <f t="shared" si="1"/>
        <v>1667</v>
      </c>
      <c r="J55" s="74">
        <f>VLOOKUP(B55,'115+260'!$B$15:$AB$115,13,FALSE)</f>
        <v>-333</v>
      </c>
      <c r="K55" s="72">
        <f>'115+260'!Q56</f>
        <v>2</v>
      </c>
      <c r="L55" s="71">
        <f t="shared" si="6"/>
        <v>133</v>
      </c>
      <c r="M55" s="76">
        <f>VLOOKUP(B55,'115+260'!$B$14:$AB$115,21,FALSE)</f>
        <v>978</v>
      </c>
      <c r="N55" s="75">
        <f>VLOOKUP(B55,'115+260'!$B$15:$AB$115,5,FALSE)</f>
        <v>1052</v>
      </c>
      <c r="O55" s="74">
        <f t="shared" si="2"/>
        <v>1658</v>
      </c>
      <c r="P55" s="74">
        <f>VLOOKUP(B55,'115+260'!$B$15:$AB$115,14,FALSE)</f>
        <v>-342</v>
      </c>
      <c r="Q55" s="72">
        <f>'115+260'!R56</f>
        <v>2</v>
      </c>
      <c r="R55" s="71">
        <f t="shared" si="7"/>
        <v>122</v>
      </c>
      <c r="S55" s="76">
        <f>VLOOKUP(B55,'115+260'!$B$14:$AB$115,22,FALSE)</f>
        <v>989</v>
      </c>
      <c r="T55" s="75">
        <f>VLOOKUP(B55,'115+260'!$B$15:$AB$115,6,FALSE)</f>
        <v>1071</v>
      </c>
      <c r="U55" s="74">
        <f t="shared" si="3"/>
        <v>1639</v>
      </c>
      <c r="V55" s="73">
        <f>VLOOKUP(B55,'115+260'!$B$15:$AB$115,15,FALSE)</f>
        <v>-361</v>
      </c>
      <c r="W55" s="72">
        <f>'115+260'!S56</f>
        <v>2</v>
      </c>
      <c r="X55" s="71">
        <f t="shared" si="8"/>
        <v>111</v>
      </c>
      <c r="Y55" s="70">
        <f t="shared" si="9"/>
        <v>-2</v>
      </c>
      <c r="Z55" s="69">
        <f t="shared" si="10"/>
        <v>0</v>
      </c>
      <c r="AA55" s="68">
        <f t="shared" si="11"/>
        <v>1.3059999999999998</v>
      </c>
      <c r="AB55" s="68">
        <f t="shared" si="12"/>
        <v>1.0760000000000001</v>
      </c>
      <c r="AC55" s="57"/>
      <c r="AD55" s="57"/>
      <c r="AE55" s="89"/>
    </row>
    <row r="56" spans="1:31" s="88" customFormat="1" ht="15" customHeight="1">
      <c r="A56" s="90"/>
      <c r="B56" s="110">
        <f>'115+260'!B57</f>
        <v>45294</v>
      </c>
      <c r="C56" s="80">
        <f t="shared" si="4"/>
        <v>1</v>
      </c>
      <c r="D56" s="79">
        <f t="shared" si="5"/>
        <v>1069</v>
      </c>
      <c r="E56" s="78">
        <f>VLOOKUP(B56,'115+260'!B57:AB158,3,FALSE)</f>
        <v>1639</v>
      </c>
      <c r="F56" s="75">
        <f t="shared" si="0"/>
        <v>2708</v>
      </c>
      <c r="G56" s="77">
        <f>VLOOKUP(B56,'115+260'!$B$15:$AB$115,20,FALSE)</f>
        <v>966</v>
      </c>
      <c r="H56" s="77">
        <f>VLOOKUP(B56,'115+260'!$B$15:$AB$115,4,FALSE)</f>
        <v>1042</v>
      </c>
      <c r="I56" s="74">
        <f t="shared" si="1"/>
        <v>1666</v>
      </c>
      <c r="J56" s="74">
        <f>VLOOKUP(B56,'115+260'!$B$15:$AB$115,13,FALSE)</f>
        <v>-334</v>
      </c>
      <c r="K56" s="72">
        <f>'115+260'!Q57</f>
        <v>1</v>
      </c>
      <c r="L56" s="71">
        <f t="shared" si="6"/>
        <v>134</v>
      </c>
      <c r="M56" s="76">
        <f>VLOOKUP(B56,'115+260'!$B$14:$AB$115,21,FALSE)</f>
        <v>974</v>
      </c>
      <c r="N56" s="75">
        <f>VLOOKUP(B56,'115+260'!$B$15:$AB$115,5,FALSE)</f>
        <v>1054</v>
      </c>
      <c r="O56" s="74">
        <f t="shared" si="2"/>
        <v>1654</v>
      </c>
      <c r="P56" s="74">
        <f>VLOOKUP(B56,'115+260'!$B$15:$AB$115,14,FALSE)</f>
        <v>-346</v>
      </c>
      <c r="Q56" s="72">
        <f>'115+260'!R57</f>
        <v>4</v>
      </c>
      <c r="R56" s="71">
        <f t="shared" si="7"/>
        <v>126</v>
      </c>
      <c r="S56" s="76">
        <f>VLOOKUP(B56,'115+260'!$B$14:$AB$115,22,FALSE)</f>
        <v>985</v>
      </c>
      <c r="T56" s="75">
        <f>VLOOKUP(B56,'115+260'!$B$15:$AB$115,6,FALSE)</f>
        <v>1073</v>
      </c>
      <c r="U56" s="74">
        <f t="shared" si="3"/>
        <v>1635</v>
      </c>
      <c r="V56" s="73">
        <f>VLOOKUP(B56,'115+260'!$B$15:$AB$115,15,FALSE)</f>
        <v>-365</v>
      </c>
      <c r="W56" s="72">
        <f>'115+260'!S57</f>
        <v>4</v>
      </c>
      <c r="X56" s="71">
        <f t="shared" si="8"/>
        <v>115</v>
      </c>
      <c r="Y56" s="70">
        <f t="shared" si="9"/>
        <v>-4</v>
      </c>
      <c r="Z56" s="69">
        <f t="shared" si="10"/>
        <v>0</v>
      </c>
      <c r="AA56" s="68">
        <f t="shared" si="11"/>
        <v>1.3059999999999998</v>
      </c>
      <c r="AB56" s="68">
        <f t="shared" si="12"/>
        <v>1.0680000000000001</v>
      </c>
      <c r="AC56" s="57"/>
      <c r="AD56" s="57"/>
      <c r="AE56" s="89"/>
    </row>
    <row r="57" spans="1:31" s="88" customFormat="1" ht="15" customHeight="1">
      <c r="A57" s="90"/>
      <c r="B57" s="110">
        <f>'115+260'!B58</f>
        <v>45295</v>
      </c>
      <c r="C57" s="80">
        <f t="shared" si="4"/>
        <v>1</v>
      </c>
      <c r="D57" s="79">
        <f t="shared" si="5"/>
        <v>1069</v>
      </c>
      <c r="E57" s="78">
        <f>VLOOKUP(B57,'115+260'!B58:AB159,3,FALSE)</f>
        <v>1637</v>
      </c>
      <c r="F57" s="75">
        <f t="shared" si="0"/>
        <v>2706</v>
      </c>
      <c r="G57" s="77">
        <f>VLOOKUP(B57,'115+260'!$B$15:$AB$115,20,FALSE)</f>
        <v>964</v>
      </c>
      <c r="H57" s="77">
        <f>VLOOKUP(B57,'115+260'!$B$15:$AB$115,4,FALSE)</f>
        <v>1042</v>
      </c>
      <c r="I57" s="74">
        <f t="shared" si="1"/>
        <v>1664</v>
      </c>
      <c r="J57" s="74">
        <f>VLOOKUP(B57,'115+260'!$B$15:$AB$115,13,FALSE)</f>
        <v>-336</v>
      </c>
      <c r="K57" s="72">
        <f>'115+260'!Q58</f>
        <v>2</v>
      </c>
      <c r="L57" s="71">
        <f t="shared" si="6"/>
        <v>136</v>
      </c>
      <c r="M57" s="76">
        <f>VLOOKUP(B57,'115+260'!$B$14:$AB$115,21,FALSE)</f>
        <v>972</v>
      </c>
      <c r="N57" s="75">
        <f>VLOOKUP(B57,'115+260'!$B$15:$AB$115,5,FALSE)</f>
        <v>1054</v>
      </c>
      <c r="O57" s="74">
        <f t="shared" si="2"/>
        <v>1652</v>
      </c>
      <c r="P57" s="74">
        <f>VLOOKUP(B57,'115+260'!$B$15:$AB$115,14,FALSE)</f>
        <v>-348</v>
      </c>
      <c r="Q57" s="72">
        <f>'115+260'!R58</f>
        <v>2</v>
      </c>
      <c r="R57" s="71">
        <f t="shared" si="7"/>
        <v>128</v>
      </c>
      <c r="S57" s="76">
        <f>VLOOKUP(B57,'115+260'!$B$14:$AB$115,22,FALSE)</f>
        <v>983</v>
      </c>
      <c r="T57" s="75">
        <f>VLOOKUP(B57,'115+260'!$B$15:$AB$115,6,FALSE)</f>
        <v>1073</v>
      </c>
      <c r="U57" s="74">
        <f t="shared" si="3"/>
        <v>1633</v>
      </c>
      <c r="V57" s="73">
        <f>VLOOKUP(B57,'115+260'!$B$15:$AB$115,15,FALSE)</f>
        <v>-367</v>
      </c>
      <c r="W57" s="72">
        <f>'115+260'!S58</f>
        <v>2</v>
      </c>
      <c r="X57" s="71">
        <f t="shared" si="8"/>
        <v>117</v>
      </c>
      <c r="Y57" s="70">
        <f t="shared" si="9"/>
        <v>-2</v>
      </c>
      <c r="Z57" s="69">
        <f t="shared" si="10"/>
        <v>0</v>
      </c>
      <c r="AA57" s="68">
        <f t="shared" si="11"/>
        <v>1.3059999999999998</v>
      </c>
      <c r="AB57" s="68">
        <f t="shared" si="12"/>
        <v>1.0640000000000001</v>
      </c>
      <c r="AC57" s="57"/>
      <c r="AD57" s="57"/>
      <c r="AE57" s="89"/>
    </row>
    <row r="58" spans="1:31" s="88" customFormat="1" ht="15" customHeight="1">
      <c r="A58" s="90"/>
      <c r="B58" s="110">
        <f>'115+260'!B59</f>
        <v>45296</v>
      </c>
      <c r="C58" s="80">
        <f t="shared" si="4"/>
        <v>1</v>
      </c>
      <c r="D58" s="79">
        <f t="shared" si="5"/>
        <v>1069</v>
      </c>
      <c r="E58" s="78">
        <f>VLOOKUP(B58,'115+260'!B59:AB160,3,FALSE)</f>
        <v>1635</v>
      </c>
      <c r="F58" s="75">
        <f t="shared" si="0"/>
        <v>2704</v>
      </c>
      <c r="G58" s="77">
        <f>VLOOKUP(B58,'115+260'!$B$15:$AB$115,20,FALSE)</f>
        <v>962</v>
      </c>
      <c r="H58" s="77">
        <f>VLOOKUP(B58,'115+260'!$B$15:$AB$115,4,FALSE)</f>
        <v>1042</v>
      </c>
      <c r="I58" s="74">
        <f t="shared" si="1"/>
        <v>1662</v>
      </c>
      <c r="J58" s="74">
        <f>VLOOKUP(B58,'115+260'!$B$15:$AB$115,13,FALSE)</f>
        <v>-338</v>
      </c>
      <c r="K58" s="72">
        <f>'115+260'!Q59</f>
        <v>2</v>
      </c>
      <c r="L58" s="71">
        <f t="shared" si="6"/>
        <v>138</v>
      </c>
      <c r="M58" s="76">
        <f>VLOOKUP(B58,'115+260'!$B$14:$AB$115,21,FALSE)</f>
        <v>971</v>
      </c>
      <c r="N58" s="75">
        <f>VLOOKUP(B58,'115+260'!$B$15:$AB$115,5,FALSE)</f>
        <v>1053</v>
      </c>
      <c r="O58" s="74">
        <f t="shared" si="2"/>
        <v>1651</v>
      </c>
      <c r="P58" s="74">
        <f>VLOOKUP(B58,'115+260'!$B$15:$AB$115,14,FALSE)</f>
        <v>-349</v>
      </c>
      <c r="Q58" s="72">
        <f>'115+260'!R59</f>
        <v>1</v>
      </c>
      <c r="R58" s="71">
        <f t="shared" si="7"/>
        <v>129</v>
      </c>
      <c r="S58" s="76">
        <f>VLOOKUP(B58,'115+260'!$B$14:$AB$115,22,FALSE)</f>
        <v>979</v>
      </c>
      <c r="T58" s="75">
        <f>VLOOKUP(B58,'115+260'!$B$15:$AB$115,6,FALSE)</f>
        <v>1075</v>
      </c>
      <c r="U58" s="74">
        <f t="shared" si="3"/>
        <v>1629</v>
      </c>
      <c r="V58" s="73">
        <f>VLOOKUP(B58,'115+260'!$B$15:$AB$115,15,FALSE)</f>
        <v>-371</v>
      </c>
      <c r="W58" s="72">
        <f>'115+260'!S59</f>
        <v>4</v>
      </c>
      <c r="X58" s="71">
        <f t="shared" si="8"/>
        <v>121</v>
      </c>
      <c r="Y58" s="70">
        <f t="shared" si="9"/>
        <v>-4</v>
      </c>
      <c r="Z58" s="69">
        <f t="shared" si="10"/>
        <v>0</v>
      </c>
      <c r="AA58" s="68">
        <f t="shared" si="11"/>
        <v>1.3059999999999998</v>
      </c>
      <c r="AB58" s="68">
        <f t="shared" si="12"/>
        <v>1.0620000000000001</v>
      </c>
      <c r="AC58" s="57"/>
      <c r="AD58" s="57"/>
      <c r="AE58" s="89"/>
    </row>
    <row r="59" spans="1:31" s="88" customFormat="1" ht="15" customHeight="1">
      <c r="A59" s="90"/>
      <c r="B59" s="110">
        <f>'115+260'!B60</f>
        <v>45297</v>
      </c>
      <c r="C59" s="80">
        <f t="shared" si="4"/>
        <v>1</v>
      </c>
      <c r="D59" s="79">
        <f t="shared" si="5"/>
        <v>1069</v>
      </c>
      <c r="E59" s="78">
        <f>VLOOKUP(B59,'115+260'!B60:AB161,3,FALSE)</f>
        <v>1633</v>
      </c>
      <c r="F59" s="75">
        <f t="shared" si="0"/>
        <v>2702</v>
      </c>
      <c r="G59" s="77">
        <f>VLOOKUP(B59,'115+260'!$B$15:$AB$115,20,FALSE)</f>
        <v>961</v>
      </c>
      <c r="H59" s="77">
        <f>VLOOKUP(B59,'115+260'!$B$15:$AB$115,4,FALSE)</f>
        <v>1041</v>
      </c>
      <c r="I59" s="74">
        <f t="shared" si="1"/>
        <v>1661</v>
      </c>
      <c r="J59" s="74">
        <f>VLOOKUP(B59,'115+260'!$B$15:$AB$115,13,FALSE)</f>
        <v>-339</v>
      </c>
      <c r="K59" s="72">
        <f>'115+260'!Q60</f>
        <v>1</v>
      </c>
      <c r="L59" s="71">
        <f t="shared" si="6"/>
        <v>139</v>
      </c>
      <c r="M59" s="76">
        <f>VLOOKUP(B59,'115+260'!$B$14:$AB$115,21,FALSE)</f>
        <v>970</v>
      </c>
      <c r="N59" s="75">
        <f>VLOOKUP(B59,'115+260'!$B$15:$AB$115,5,FALSE)</f>
        <v>1052</v>
      </c>
      <c r="O59" s="74">
        <f t="shared" si="2"/>
        <v>1650</v>
      </c>
      <c r="P59" s="74">
        <f>VLOOKUP(B59,'115+260'!$B$15:$AB$115,14,FALSE)</f>
        <v>-350</v>
      </c>
      <c r="Q59" s="72">
        <f>'115+260'!R60</f>
        <v>1</v>
      </c>
      <c r="R59" s="71">
        <f t="shared" si="7"/>
        <v>130</v>
      </c>
      <c r="S59" s="76">
        <f>VLOOKUP(B59,'115+260'!$B$14:$AB$115,22,FALSE)</f>
        <v>978</v>
      </c>
      <c r="T59" s="75">
        <f>VLOOKUP(B59,'115+260'!$B$15:$AB$115,6,FALSE)</f>
        <v>1074</v>
      </c>
      <c r="U59" s="74">
        <f t="shared" si="3"/>
        <v>1628</v>
      </c>
      <c r="V59" s="73">
        <f>VLOOKUP(B59,'115+260'!$B$15:$AB$115,15,FALSE)</f>
        <v>-372</v>
      </c>
      <c r="W59" s="72">
        <f>'115+260'!S60</f>
        <v>1</v>
      </c>
      <c r="X59" s="71">
        <f t="shared" si="8"/>
        <v>122</v>
      </c>
      <c r="Y59" s="70">
        <f t="shared" si="9"/>
        <v>-1</v>
      </c>
      <c r="Z59" s="69">
        <f t="shared" si="10"/>
        <v>0</v>
      </c>
      <c r="AA59" s="68">
        <f t="shared" si="11"/>
        <v>1.3059999999999998</v>
      </c>
      <c r="AB59" s="68">
        <f t="shared" si="12"/>
        <v>1.06</v>
      </c>
      <c r="AC59" s="57"/>
      <c r="AD59" s="57"/>
      <c r="AE59" s="89"/>
    </row>
    <row r="60" spans="1:31" s="88" customFormat="1" ht="15" customHeight="1">
      <c r="A60" s="90"/>
      <c r="B60" s="110">
        <f>'115+260'!B61</f>
        <v>45298</v>
      </c>
      <c r="C60" s="80">
        <f t="shared" si="4"/>
        <v>1</v>
      </c>
      <c r="D60" s="79">
        <f t="shared" si="5"/>
        <v>1069</v>
      </c>
      <c r="E60" s="78">
        <f>VLOOKUP(B60,'115+260'!B61:AB162,3,FALSE)</f>
        <v>1631</v>
      </c>
      <c r="F60" s="75">
        <f t="shared" si="0"/>
        <v>2700</v>
      </c>
      <c r="G60" s="77">
        <f>VLOOKUP(B60,'115+260'!$B$15:$AB$115,20,FALSE)</f>
        <v>960</v>
      </c>
      <c r="H60" s="77">
        <f>VLOOKUP(B60,'115+260'!$B$15:$AB$115,4,FALSE)</f>
        <v>1040</v>
      </c>
      <c r="I60" s="74">
        <f t="shared" si="1"/>
        <v>1660</v>
      </c>
      <c r="J60" s="74">
        <f>VLOOKUP(B60,'115+260'!$B$15:$AB$115,13,FALSE)</f>
        <v>-340</v>
      </c>
      <c r="K60" s="72">
        <f>'115+260'!Q61</f>
        <v>1</v>
      </c>
      <c r="L60" s="71">
        <f t="shared" si="6"/>
        <v>140</v>
      </c>
      <c r="M60" s="76">
        <f>VLOOKUP(B60,'115+260'!$B$14:$AB$115,21,FALSE)</f>
        <v>970</v>
      </c>
      <c r="N60" s="75">
        <f>VLOOKUP(B60,'115+260'!$B$15:$AB$115,5,FALSE)</f>
        <v>1050</v>
      </c>
      <c r="O60" s="74">
        <f t="shared" si="2"/>
        <v>1650</v>
      </c>
      <c r="P60" s="74">
        <f>VLOOKUP(B60,'115+260'!$B$15:$AB$115,14,FALSE)</f>
        <v>-350</v>
      </c>
      <c r="Q60" s="72">
        <f>'115+260'!R61</f>
        <v>0</v>
      </c>
      <c r="R60" s="71">
        <f t="shared" si="7"/>
        <v>130</v>
      </c>
      <c r="S60" s="76">
        <f>VLOOKUP(B60,'115+260'!$B$14:$AB$115,22,FALSE)</f>
        <v>976</v>
      </c>
      <c r="T60" s="75">
        <f>VLOOKUP(B60,'115+260'!$B$15:$AB$115,6,FALSE)</f>
        <v>1074</v>
      </c>
      <c r="U60" s="74">
        <f t="shared" si="3"/>
        <v>1626</v>
      </c>
      <c r="V60" s="73">
        <f>VLOOKUP(B60,'115+260'!$B$15:$AB$115,15,FALSE)</f>
        <v>-374</v>
      </c>
      <c r="W60" s="72">
        <f>'115+260'!S61</f>
        <v>2</v>
      </c>
      <c r="X60" s="71">
        <f t="shared" si="8"/>
        <v>124</v>
      </c>
      <c r="Y60" s="70">
        <f t="shared" si="9"/>
        <v>-2</v>
      </c>
      <c r="Z60" s="69">
        <f t="shared" si="10"/>
        <v>0</v>
      </c>
      <c r="AA60" s="68">
        <f t="shared" si="11"/>
        <v>1.3059999999999998</v>
      </c>
      <c r="AB60" s="68">
        <f t="shared" si="12"/>
        <v>1.06</v>
      </c>
      <c r="AC60" s="57"/>
      <c r="AD60" s="57"/>
      <c r="AE60" s="89"/>
    </row>
    <row r="61" spans="1:31" s="88" customFormat="1" ht="15" customHeight="1">
      <c r="A61" s="90"/>
      <c r="B61" s="110">
        <f>'115+260'!B62</f>
        <v>45299</v>
      </c>
      <c r="C61" s="80">
        <f t="shared" si="4"/>
        <v>1</v>
      </c>
      <c r="D61" s="79">
        <f t="shared" si="5"/>
        <v>1069</v>
      </c>
      <c r="E61" s="78">
        <f>VLOOKUP(B61,'115+260'!B62:AB163,3,FALSE)</f>
        <v>1629</v>
      </c>
      <c r="F61" s="75">
        <f t="shared" si="0"/>
        <v>2698</v>
      </c>
      <c r="G61" s="77">
        <f>VLOOKUP(B61,'115+260'!$B$15:$AB$115,20,FALSE)</f>
        <v>960</v>
      </c>
      <c r="H61" s="77">
        <f>VLOOKUP(B61,'115+260'!$B$15:$AB$115,4,FALSE)</f>
        <v>1038</v>
      </c>
      <c r="I61" s="74">
        <f t="shared" si="1"/>
        <v>1660</v>
      </c>
      <c r="J61" s="74">
        <f>VLOOKUP(B61,'115+260'!$B$15:$AB$115,13,FALSE)</f>
        <v>-340</v>
      </c>
      <c r="K61" s="72">
        <f>'115+260'!Q62</f>
        <v>0</v>
      </c>
      <c r="L61" s="71">
        <f t="shared" si="6"/>
        <v>140</v>
      </c>
      <c r="M61" s="76">
        <f>VLOOKUP(B61,'115+260'!$B$14:$AB$115,21,FALSE)</f>
        <v>970</v>
      </c>
      <c r="N61" s="75">
        <f>VLOOKUP(B61,'115+260'!$B$15:$AB$115,5,FALSE)</f>
        <v>1048</v>
      </c>
      <c r="O61" s="74">
        <f t="shared" si="2"/>
        <v>1650</v>
      </c>
      <c r="P61" s="74">
        <f>VLOOKUP(B61,'115+260'!$B$15:$AB$115,14,FALSE)</f>
        <v>-350</v>
      </c>
      <c r="Q61" s="72">
        <f>'115+260'!R62</f>
        <v>0</v>
      </c>
      <c r="R61" s="71">
        <f t="shared" si="7"/>
        <v>130</v>
      </c>
      <c r="S61" s="76">
        <f>VLOOKUP(B61,'115+260'!$B$14:$AB$115,22,FALSE)</f>
        <v>976</v>
      </c>
      <c r="T61" s="75">
        <f>VLOOKUP(B61,'115+260'!$B$15:$AB$115,6,FALSE)</f>
        <v>1072</v>
      </c>
      <c r="U61" s="74">
        <f t="shared" si="3"/>
        <v>1626</v>
      </c>
      <c r="V61" s="73">
        <f>VLOOKUP(B61,'115+260'!$B$15:$AB$115,15,FALSE)</f>
        <v>-374</v>
      </c>
      <c r="W61" s="72">
        <f>'115+260'!S62</f>
        <v>0</v>
      </c>
      <c r="X61" s="71">
        <f t="shared" si="8"/>
        <v>124</v>
      </c>
      <c r="Y61" s="70">
        <f t="shared" si="9"/>
        <v>0</v>
      </c>
      <c r="Z61" s="69">
        <f t="shared" si="10"/>
        <v>0</v>
      </c>
      <c r="AA61" s="68">
        <f t="shared" si="11"/>
        <v>1.3059999999999998</v>
      </c>
      <c r="AB61" s="68">
        <f t="shared" si="12"/>
        <v>1.06</v>
      </c>
      <c r="AC61" s="57"/>
      <c r="AD61" s="57"/>
      <c r="AE61" s="89"/>
    </row>
    <row r="62" spans="1:31" s="88" customFormat="1" ht="15" customHeight="1">
      <c r="A62" s="90"/>
      <c r="B62" s="110">
        <f>'115+260'!B63</f>
        <v>45300</v>
      </c>
      <c r="C62" s="80">
        <f t="shared" si="4"/>
        <v>1</v>
      </c>
      <c r="D62" s="79">
        <f t="shared" si="5"/>
        <v>1069</v>
      </c>
      <c r="E62" s="78">
        <f>VLOOKUP(B62,'115+260'!B63:AB164,3,FALSE)</f>
        <v>1627</v>
      </c>
      <c r="F62" s="75">
        <f t="shared" si="0"/>
        <v>2696</v>
      </c>
      <c r="G62" s="77">
        <f>VLOOKUP(B62,'115+260'!$B$15:$AB$115,20,FALSE)</f>
        <v>959</v>
      </c>
      <c r="H62" s="77">
        <f>VLOOKUP(B62,'115+260'!$B$15:$AB$115,4,FALSE)</f>
        <v>1037</v>
      </c>
      <c r="I62" s="74">
        <f t="shared" si="1"/>
        <v>1659</v>
      </c>
      <c r="J62" s="74">
        <f>VLOOKUP(B62,'115+260'!$B$15:$AB$115,13,FALSE)</f>
        <v>-341</v>
      </c>
      <c r="K62" s="72">
        <f>'115+260'!Q63</f>
        <v>1</v>
      </c>
      <c r="L62" s="71">
        <f t="shared" si="6"/>
        <v>141</v>
      </c>
      <c r="M62" s="76">
        <f>VLOOKUP(B62,'115+260'!$B$14:$AB$115,21,FALSE)</f>
        <v>969</v>
      </c>
      <c r="N62" s="75">
        <f>VLOOKUP(B62,'115+260'!$B$15:$AB$115,5,FALSE)</f>
        <v>1047</v>
      </c>
      <c r="O62" s="74">
        <f t="shared" si="2"/>
        <v>1649</v>
      </c>
      <c r="P62" s="74">
        <f>VLOOKUP(B62,'115+260'!$B$15:$AB$115,14,FALSE)</f>
        <v>-351</v>
      </c>
      <c r="Q62" s="72">
        <f>'115+260'!R63</f>
        <v>1</v>
      </c>
      <c r="R62" s="71">
        <f t="shared" si="7"/>
        <v>131</v>
      </c>
      <c r="S62" s="76">
        <f>VLOOKUP(B62,'115+260'!$B$14:$AB$115,22,FALSE)</f>
        <v>975</v>
      </c>
      <c r="T62" s="75">
        <f>VLOOKUP(B62,'115+260'!$B$15:$AB$115,6,FALSE)</f>
        <v>1071</v>
      </c>
      <c r="U62" s="74">
        <f t="shared" si="3"/>
        <v>1625</v>
      </c>
      <c r="V62" s="73">
        <f>VLOOKUP(B62,'115+260'!$B$15:$AB$115,15,FALSE)</f>
        <v>-375</v>
      </c>
      <c r="W62" s="72">
        <f>'115+260'!S63</f>
        <v>1</v>
      </c>
      <c r="X62" s="71">
        <f t="shared" si="8"/>
        <v>125</v>
      </c>
      <c r="Y62" s="70">
        <f t="shared" si="9"/>
        <v>-1</v>
      </c>
      <c r="Z62" s="69">
        <f t="shared" si="10"/>
        <v>0</v>
      </c>
      <c r="AA62" s="68">
        <f t="shared" si="11"/>
        <v>1.3059999999999998</v>
      </c>
      <c r="AB62" s="68">
        <f t="shared" si="12"/>
        <v>1.0580000000000001</v>
      </c>
      <c r="AC62" s="57"/>
      <c r="AD62" s="57"/>
      <c r="AE62" s="89"/>
    </row>
    <row r="63" spans="1:31" s="88" customFormat="1" ht="15" customHeight="1">
      <c r="A63" s="90"/>
      <c r="B63" s="110">
        <f>'115+260'!B64</f>
        <v>45301</v>
      </c>
      <c r="C63" s="80">
        <f t="shared" si="4"/>
        <v>1</v>
      </c>
      <c r="D63" s="79">
        <f t="shared" si="5"/>
        <v>1069</v>
      </c>
      <c r="E63" s="78">
        <f>VLOOKUP(B63,'115+260'!B64:AB165,3,FALSE)</f>
        <v>1625</v>
      </c>
      <c r="F63" s="75">
        <f t="shared" si="0"/>
        <v>2694</v>
      </c>
      <c r="G63" s="77">
        <f>VLOOKUP(B63,'115+260'!$B$15:$AB$115,20,FALSE)</f>
        <v>959</v>
      </c>
      <c r="H63" s="77">
        <f>VLOOKUP(B63,'115+260'!$B$15:$AB$115,4,FALSE)</f>
        <v>1035</v>
      </c>
      <c r="I63" s="74">
        <f t="shared" si="1"/>
        <v>1659</v>
      </c>
      <c r="J63" s="74">
        <f>VLOOKUP(B63,'115+260'!$B$15:$AB$115,13,FALSE)</f>
        <v>-341</v>
      </c>
      <c r="K63" s="72">
        <f>'115+260'!Q64</f>
        <v>0</v>
      </c>
      <c r="L63" s="71">
        <f t="shared" si="6"/>
        <v>141</v>
      </c>
      <c r="M63" s="76">
        <f>VLOOKUP(B63,'115+260'!$B$14:$AB$115,21,FALSE)</f>
        <v>969</v>
      </c>
      <c r="N63" s="75">
        <f>VLOOKUP(B63,'115+260'!$B$15:$AB$115,5,FALSE)</f>
        <v>1045</v>
      </c>
      <c r="O63" s="74">
        <f t="shared" si="2"/>
        <v>1649</v>
      </c>
      <c r="P63" s="74">
        <f>VLOOKUP(B63,'115+260'!$B$15:$AB$115,14,FALSE)</f>
        <v>-351</v>
      </c>
      <c r="Q63" s="72">
        <f>'115+260'!R64</f>
        <v>0</v>
      </c>
      <c r="R63" s="71">
        <f t="shared" si="7"/>
        <v>131</v>
      </c>
      <c r="S63" s="76">
        <f>VLOOKUP(B63,'115+260'!$B$14:$AB$115,22,FALSE)</f>
        <v>975</v>
      </c>
      <c r="T63" s="75">
        <f>VLOOKUP(B63,'115+260'!$B$15:$AB$115,6,FALSE)</f>
        <v>1069</v>
      </c>
      <c r="U63" s="74">
        <f t="shared" si="3"/>
        <v>1625</v>
      </c>
      <c r="V63" s="73">
        <f>VLOOKUP(B63,'115+260'!$B$15:$AB$115,15,FALSE)</f>
        <v>-375</v>
      </c>
      <c r="W63" s="72">
        <f>'115+260'!S64</f>
        <v>0</v>
      </c>
      <c r="X63" s="71">
        <f t="shared" si="8"/>
        <v>125</v>
      </c>
      <c r="Y63" s="70">
        <f t="shared" si="9"/>
        <v>0</v>
      </c>
      <c r="Z63" s="69">
        <f t="shared" si="10"/>
        <v>0</v>
      </c>
      <c r="AA63" s="68">
        <f t="shared" si="11"/>
        <v>1.3059999999999998</v>
      </c>
      <c r="AB63" s="68">
        <f t="shared" si="12"/>
        <v>1.0580000000000001</v>
      </c>
      <c r="AC63" s="57"/>
      <c r="AD63" s="57"/>
      <c r="AE63" s="89"/>
    </row>
    <row r="64" spans="1:31" s="88" customFormat="1" ht="15" customHeight="1">
      <c r="A64" s="90"/>
      <c r="B64" s="110">
        <f>'115+260'!B65</f>
        <v>45302</v>
      </c>
      <c r="C64" s="80">
        <f t="shared" si="4"/>
        <v>1</v>
      </c>
      <c r="D64" s="79">
        <f t="shared" si="5"/>
        <v>1069</v>
      </c>
      <c r="E64" s="78">
        <f>VLOOKUP(B64,'115+260'!B65:AB166,3,FALSE)</f>
        <v>1623</v>
      </c>
      <c r="F64" s="75">
        <f t="shared" si="0"/>
        <v>2692</v>
      </c>
      <c r="G64" s="77">
        <f>VLOOKUP(B64,'115+260'!$B$15:$AB$115,20,FALSE)</f>
        <v>959</v>
      </c>
      <c r="H64" s="77">
        <f>VLOOKUP(B64,'115+260'!$B$15:$AB$115,4,FALSE)</f>
        <v>1033</v>
      </c>
      <c r="I64" s="74">
        <f t="shared" si="1"/>
        <v>1659</v>
      </c>
      <c r="J64" s="74">
        <f>VLOOKUP(B64,'115+260'!$B$15:$AB$115,13,FALSE)</f>
        <v>-341</v>
      </c>
      <c r="K64" s="72">
        <f>'115+260'!Q65</f>
        <v>0</v>
      </c>
      <c r="L64" s="71">
        <f t="shared" si="6"/>
        <v>141</v>
      </c>
      <c r="M64" s="76">
        <f>VLOOKUP(B64,'115+260'!$B$14:$AB$115,21,FALSE)</f>
        <v>969</v>
      </c>
      <c r="N64" s="75">
        <f>VLOOKUP(B64,'115+260'!$B$15:$AB$115,5,FALSE)</f>
        <v>1043</v>
      </c>
      <c r="O64" s="74">
        <f t="shared" si="2"/>
        <v>1649</v>
      </c>
      <c r="P64" s="74">
        <f>VLOOKUP(B64,'115+260'!$B$15:$AB$115,14,FALSE)</f>
        <v>-351</v>
      </c>
      <c r="Q64" s="72">
        <f>'115+260'!R65</f>
        <v>0</v>
      </c>
      <c r="R64" s="71">
        <f t="shared" si="7"/>
        <v>131</v>
      </c>
      <c r="S64" s="76">
        <f>VLOOKUP(B64,'115+260'!$B$14:$AB$115,22,FALSE)</f>
        <v>975</v>
      </c>
      <c r="T64" s="75">
        <f>VLOOKUP(B64,'115+260'!$B$15:$AB$115,6,FALSE)</f>
        <v>1067</v>
      </c>
      <c r="U64" s="74">
        <f t="shared" si="3"/>
        <v>1625</v>
      </c>
      <c r="V64" s="73">
        <f>VLOOKUP(B64,'115+260'!$B$15:$AB$115,15,FALSE)</f>
        <v>-375</v>
      </c>
      <c r="W64" s="72">
        <f>'115+260'!S65</f>
        <v>0</v>
      </c>
      <c r="X64" s="71">
        <f t="shared" si="8"/>
        <v>125</v>
      </c>
      <c r="Y64" s="70">
        <f t="shared" si="9"/>
        <v>0</v>
      </c>
      <c r="Z64" s="69">
        <f t="shared" si="10"/>
        <v>0</v>
      </c>
      <c r="AA64" s="68">
        <f t="shared" si="11"/>
        <v>1.3059999999999998</v>
      </c>
      <c r="AB64" s="68">
        <f t="shared" si="12"/>
        <v>1.0580000000000001</v>
      </c>
      <c r="AC64" s="57"/>
      <c r="AD64" s="57"/>
      <c r="AE64" s="89"/>
    </row>
    <row r="65" spans="1:32" s="88" customFormat="1" ht="15" customHeight="1">
      <c r="A65" s="90"/>
      <c r="B65" s="110">
        <f>'115+260'!B66</f>
        <v>45303</v>
      </c>
      <c r="C65" s="80">
        <f t="shared" si="4"/>
        <v>1</v>
      </c>
      <c r="D65" s="79">
        <f t="shared" si="5"/>
        <v>1069</v>
      </c>
      <c r="E65" s="78">
        <f>VLOOKUP(B65,'115+260'!B66:AB167,3,FALSE)</f>
        <v>1621</v>
      </c>
      <c r="F65" s="75">
        <f t="shared" si="0"/>
        <v>2690</v>
      </c>
      <c r="G65" s="77">
        <f>VLOOKUP(B65,'115+260'!$B$15:$AB$115,20,FALSE)</f>
        <v>959</v>
      </c>
      <c r="H65" s="77">
        <f>VLOOKUP(B65,'115+260'!$B$15:$AB$115,4,FALSE)</f>
        <v>1031</v>
      </c>
      <c r="I65" s="74">
        <f t="shared" si="1"/>
        <v>1659</v>
      </c>
      <c r="J65" s="74">
        <f>VLOOKUP(B65,'115+260'!$B$15:$AB$115,13,FALSE)</f>
        <v>-341</v>
      </c>
      <c r="K65" s="72">
        <f>'115+260'!Q66</f>
        <v>0</v>
      </c>
      <c r="L65" s="71">
        <f t="shared" si="6"/>
        <v>141</v>
      </c>
      <c r="M65" s="76">
        <f>VLOOKUP(B65,'115+260'!$B$14:$AB$115,21,FALSE)</f>
        <v>969</v>
      </c>
      <c r="N65" s="75">
        <f>VLOOKUP(B65,'115+260'!$B$15:$AB$115,5,FALSE)</f>
        <v>1041</v>
      </c>
      <c r="O65" s="74">
        <f t="shared" si="2"/>
        <v>1649</v>
      </c>
      <c r="P65" s="74">
        <f>VLOOKUP(B65,'115+260'!$B$15:$AB$115,14,FALSE)</f>
        <v>-351</v>
      </c>
      <c r="Q65" s="72">
        <f>'115+260'!R66</f>
        <v>0</v>
      </c>
      <c r="R65" s="71">
        <f t="shared" si="7"/>
        <v>131</v>
      </c>
      <c r="S65" s="76">
        <f>VLOOKUP(B65,'115+260'!$B$14:$AB$115,22,FALSE)</f>
        <v>975</v>
      </c>
      <c r="T65" s="75">
        <f>VLOOKUP(B65,'115+260'!$B$15:$AB$115,6,FALSE)</f>
        <v>1065</v>
      </c>
      <c r="U65" s="74">
        <f t="shared" si="3"/>
        <v>1625</v>
      </c>
      <c r="V65" s="73">
        <f>VLOOKUP(B65,'115+260'!$B$15:$AB$115,15,FALSE)</f>
        <v>-375</v>
      </c>
      <c r="W65" s="72">
        <f>'115+260'!S66</f>
        <v>0</v>
      </c>
      <c r="X65" s="71">
        <f t="shared" si="8"/>
        <v>125</v>
      </c>
      <c r="Y65" s="70">
        <f t="shared" si="9"/>
        <v>0</v>
      </c>
      <c r="Z65" s="69">
        <f t="shared" si="10"/>
        <v>0</v>
      </c>
      <c r="AA65" s="68">
        <f t="shared" si="11"/>
        <v>1.3059999999999998</v>
      </c>
      <c r="AB65" s="68">
        <f t="shared" si="12"/>
        <v>1.0580000000000001</v>
      </c>
      <c r="AC65" s="57"/>
      <c r="AD65" s="57"/>
      <c r="AE65" s="89"/>
    </row>
    <row r="66" spans="1:32" s="97" customFormat="1" ht="15" customHeight="1">
      <c r="A66" s="90"/>
      <c r="B66" s="110">
        <f>'115+260'!B67</f>
        <v>45304</v>
      </c>
      <c r="C66" s="80">
        <f t="shared" si="4"/>
        <v>1</v>
      </c>
      <c r="D66" s="79">
        <f t="shared" si="5"/>
        <v>1069</v>
      </c>
      <c r="E66" s="78">
        <f>VLOOKUP(B66,'115+260'!B67:AB168,3,FALSE)</f>
        <v>1619</v>
      </c>
      <c r="F66" s="75">
        <f t="shared" si="0"/>
        <v>2688</v>
      </c>
      <c r="G66" s="77">
        <f>VLOOKUP(B66,'115+260'!$B$15:$AB$115,20,FALSE)</f>
        <v>959</v>
      </c>
      <c r="H66" s="77">
        <f>VLOOKUP(B66,'115+260'!$B$15:$AB$115,4,FALSE)</f>
        <v>1029</v>
      </c>
      <c r="I66" s="74">
        <f t="shared" si="1"/>
        <v>1659</v>
      </c>
      <c r="J66" s="74">
        <f>VLOOKUP(B66,'115+260'!$B$15:$AB$115,13,FALSE)</f>
        <v>-341</v>
      </c>
      <c r="K66" s="72">
        <f>'115+260'!Q67</f>
        <v>0</v>
      </c>
      <c r="L66" s="71">
        <f t="shared" si="6"/>
        <v>141</v>
      </c>
      <c r="M66" s="76">
        <f>VLOOKUP(B66,'115+260'!$B$14:$AB$115,21,FALSE)</f>
        <v>969</v>
      </c>
      <c r="N66" s="75">
        <f>VLOOKUP(B66,'115+260'!$B$15:$AB$115,5,FALSE)</f>
        <v>1039</v>
      </c>
      <c r="O66" s="74">
        <f t="shared" si="2"/>
        <v>1649</v>
      </c>
      <c r="P66" s="74">
        <f>VLOOKUP(B66,'115+260'!$B$15:$AB$115,14,FALSE)</f>
        <v>-351</v>
      </c>
      <c r="Q66" s="72">
        <f>'115+260'!R67</f>
        <v>0</v>
      </c>
      <c r="R66" s="71">
        <f t="shared" si="7"/>
        <v>131</v>
      </c>
      <c r="S66" s="76">
        <f>VLOOKUP(B66,'115+260'!$B$14:$AB$115,22,FALSE)</f>
        <v>975</v>
      </c>
      <c r="T66" s="75">
        <f>VLOOKUP(B66,'115+260'!$B$15:$AB$115,6,FALSE)</f>
        <v>1063</v>
      </c>
      <c r="U66" s="74">
        <f t="shared" si="3"/>
        <v>1625</v>
      </c>
      <c r="V66" s="73">
        <f>VLOOKUP(B66,'115+260'!$B$15:$AB$115,15,FALSE)</f>
        <v>-375</v>
      </c>
      <c r="W66" s="72">
        <f>'115+260'!S67</f>
        <v>0</v>
      </c>
      <c r="X66" s="71">
        <f t="shared" si="8"/>
        <v>125</v>
      </c>
      <c r="Y66" s="70">
        <f t="shared" si="9"/>
        <v>0</v>
      </c>
      <c r="Z66" s="69">
        <f t="shared" si="10"/>
        <v>0</v>
      </c>
      <c r="AA66" s="68">
        <f t="shared" si="11"/>
        <v>1.3059999999999998</v>
      </c>
      <c r="AB66" s="68">
        <f t="shared" si="12"/>
        <v>1.0580000000000001</v>
      </c>
      <c r="AC66" s="99"/>
      <c r="AD66" s="99"/>
      <c r="AE66" s="98"/>
    </row>
    <row r="67" spans="1:32" s="91" customFormat="1" ht="15" customHeight="1">
      <c r="A67" s="90"/>
      <c r="B67" s="110">
        <f>'115+260'!B68</f>
        <v>45305</v>
      </c>
      <c r="C67" s="80">
        <f t="shared" si="4"/>
        <v>1</v>
      </c>
      <c r="D67" s="79">
        <f t="shared" si="5"/>
        <v>1069</v>
      </c>
      <c r="E67" s="78">
        <f>VLOOKUP(B67,'115+260'!B68:AB169,3,FALSE)</f>
        <v>1617</v>
      </c>
      <c r="F67" s="75">
        <f t="shared" si="0"/>
        <v>2686</v>
      </c>
      <c r="G67" s="77">
        <f>VLOOKUP(B67,'115+260'!$B$15:$AB$115,20,FALSE)</f>
        <v>959</v>
      </c>
      <c r="H67" s="77">
        <f>VLOOKUP(B67,'115+260'!$B$15:$AB$115,4,FALSE)</f>
        <v>1027</v>
      </c>
      <c r="I67" s="74">
        <f t="shared" si="1"/>
        <v>1659</v>
      </c>
      <c r="J67" s="74">
        <f>VLOOKUP(B67,'115+260'!$B$15:$AB$115,13,FALSE)</f>
        <v>-341</v>
      </c>
      <c r="K67" s="72">
        <f>'115+260'!Q68</f>
        <v>0</v>
      </c>
      <c r="L67" s="71">
        <f t="shared" si="6"/>
        <v>141</v>
      </c>
      <c r="M67" s="76">
        <f>VLOOKUP(B67,'115+260'!$B$14:$AB$115,21,FALSE)</f>
        <v>969</v>
      </c>
      <c r="N67" s="75">
        <f>VLOOKUP(B67,'115+260'!$B$15:$AB$115,5,FALSE)</f>
        <v>1037</v>
      </c>
      <c r="O67" s="74">
        <f t="shared" si="2"/>
        <v>1649</v>
      </c>
      <c r="P67" s="74">
        <f>VLOOKUP(B67,'115+260'!$B$15:$AB$115,14,FALSE)</f>
        <v>-351</v>
      </c>
      <c r="Q67" s="72">
        <f>'115+260'!R68</f>
        <v>0</v>
      </c>
      <c r="R67" s="71">
        <f t="shared" si="7"/>
        <v>131</v>
      </c>
      <c r="S67" s="76">
        <f>VLOOKUP(B67,'115+260'!$B$14:$AB$115,22,FALSE)</f>
        <v>975</v>
      </c>
      <c r="T67" s="75">
        <f>VLOOKUP(B67,'115+260'!$B$15:$AB$115,6,FALSE)</f>
        <v>1061</v>
      </c>
      <c r="U67" s="74">
        <f t="shared" si="3"/>
        <v>1625</v>
      </c>
      <c r="V67" s="73">
        <f>VLOOKUP(B67,'115+260'!$B$15:$AB$115,15,FALSE)</f>
        <v>-375</v>
      </c>
      <c r="W67" s="72">
        <f>'115+260'!S68</f>
        <v>0</v>
      </c>
      <c r="X67" s="71">
        <f t="shared" si="8"/>
        <v>125</v>
      </c>
      <c r="Y67" s="70">
        <f t="shared" si="9"/>
        <v>0</v>
      </c>
      <c r="Z67" s="69">
        <f t="shared" si="10"/>
        <v>0</v>
      </c>
      <c r="AA67" s="68">
        <f t="shared" si="11"/>
        <v>1.3059999999999998</v>
      </c>
      <c r="AB67" s="68">
        <f t="shared" si="12"/>
        <v>1.0580000000000001</v>
      </c>
      <c r="AC67" s="93"/>
      <c r="AD67" s="93"/>
      <c r="AE67" s="92"/>
    </row>
    <row r="68" spans="1:32" s="94" customFormat="1" ht="15" customHeight="1">
      <c r="A68" s="90"/>
      <c r="B68" s="110">
        <f>'115+260'!B69</f>
        <v>45306</v>
      </c>
      <c r="C68" s="80">
        <f t="shared" si="4"/>
        <v>1</v>
      </c>
      <c r="D68" s="79">
        <f t="shared" si="5"/>
        <v>1069</v>
      </c>
      <c r="E68" s="78">
        <f>VLOOKUP(B68,'115+260'!B69:AB170,3,FALSE)</f>
        <v>1615</v>
      </c>
      <c r="F68" s="75">
        <f t="shared" si="0"/>
        <v>2684</v>
      </c>
      <c r="G68" s="77">
        <f>VLOOKUP(B68,'115+260'!$B$15:$AB$115,20,FALSE)</f>
        <v>959</v>
      </c>
      <c r="H68" s="77">
        <f>VLOOKUP(B68,'115+260'!$B$15:$AB$115,4,FALSE)</f>
        <v>1025</v>
      </c>
      <c r="I68" s="74">
        <f t="shared" si="1"/>
        <v>1659</v>
      </c>
      <c r="J68" s="74">
        <f>VLOOKUP(B68,'115+260'!$B$15:$AB$115,13,FALSE)</f>
        <v>-341</v>
      </c>
      <c r="K68" s="72">
        <f>'115+260'!Q69</f>
        <v>0</v>
      </c>
      <c r="L68" s="71">
        <f t="shared" si="6"/>
        <v>141</v>
      </c>
      <c r="M68" s="76">
        <f>VLOOKUP(B68,'115+260'!$B$14:$AB$115,21,FALSE)</f>
        <v>969</v>
      </c>
      <c r="N68" s="75">
        <f>VLOOKUP(B68,'115+260'!$B$15:$AB$115,5,FALSE)</f>
        <v>1035</v>
      </c>
      <c r="O68" s="74">
        <f t="shared" si="2"/>
        <v>1649</v>
      </c>
      <c r="P68" s="74">
        <f>VLOOKUP(B68,'115+260'!$B$15:$AB$115,14,FALSE)</f>
        <v>-351</v>
      </c>
      <c r="Q68" s="72">
        <f>'115+260'!R69</f>
        <v>0</v>
      </c>
      <c r="R68" s="71">
        <f t="shared" si="7"/>
        <v>131</v>
      </c>
      <c r="S68" s="76">
        <f>VLOOKUP(B68,'115+260'!$B$14:$AB$115,22,FALSE)</f>
        <v>975</v>
      </c>
      <c r="T68" s="75">
        <f>VLOOKUP(B68,'115+260'!$B$15:$AB$115,6,FALSE)</f>
        <v>1059</v>
      </c>
      <c r="U68" s="74">
        <f t="shared" si="3"/>
        <v>1625</v>
      </c>
      <c r="V68" s="73">
        <f>VLOOKUP(B68,'115+260'!$B$15:$AB$115,15,FALSE)</f>
        <v>-375</v>
      </c>
      <c r="W68" s="72">
        <f>'115+260'!S69</f>
        <v>0</v>
      </c>
      <c r="X68" s="71">
        <f t="shared" si="8"/>
        <v>125</v>
      </c>
      <c r="Y68" s="70">
        <f t="shared" si="9"/>
        <v>0</v>
      </c>
      <c r="Z68" s="69">
        <f t="shared" si="10"/>
        <v>0</v>
      </c>
      <c r="AA68" s="68">
        <f t="shared" si="11"/>
        <v>1.3059999999999998</v>
      </c>
      <c r="AB68" s="68">
        <f t="shared" si="12"/>
        <v>1.0580000000000001</v>
      </c>
      <c r="AC68" s="96"/>
      <c r="AD68" s="96"/>
      <c r="AE68" s="95"/>
    </row>
    <row r="69" spans="1:32" s="88" customFormat="1" ht="15" customHeight="1">
      <c r="A69" s="90"/>
      <c r="B69" s="110">
        <f>'115+260'!B70</f>
        <v>45307</v>
      </c>
      <c r="C69" s="80">
        <f t="shared" si="4"/>
        <v>1</v>
      </c>
      <c r="D69" s="79">
        <f t="shared" si="5"/>
        <v>1069</v>
      </c>
      <c r="E69" s="78">
        <f>VLOOKUP(B69,'115+260'!B70:AB171,3,FALSE)</f>
        <v>1613</v>
      </c>
      <c r="F69" s="75">
        <f t="shared" si="0"/>
        <v>2682</v>
      </c>
      <c r="G69" s="77">
        <f>VLOOKUP(B69,'115+260'!$B$15:$AB$115,20,FALSE)</f>
        <v>959</v>
      </c>
      <c r="H69" s="77">
        <f>VLOOKUP(B69,'115+260'!$B$15:$AB$115,4,FALSE)</f>
        <v>1023</v>
      </c>
      <c r="I69" s="74">
        <f t="shared" si="1"/>
        <v>1659</v>
      </c>
      <c r="J69" s="74">
        <f>VLOOKUP(B69,'115+260'!$B$15:$AB$115,13,FALSE)</f>
        <v>-341</v>
      </c>
      <c r="K69" s="72">
        <f>'115+260'!Q70</f>
        <v>0</v>
      </c>
      <c r="L69" s="71">
        <f t="shared" si="6"/>
        <v>141</v>
      </c>
      <c r="M69" s="76">
        <f>VLOOKUP(B69,'115+260'!$B$14:$AB$115,21,FALSE)</f>
        <v>969</v>
      </c>
      <c r="N69" s="75">
        <f>VLOOKUP(B69,'115+260'!$B$15:$AB$115,5,FALSE)</f>
        <v>1033</v>
      </c>
      <c r="O69" s="74">
        <f t="shared" si="2"/>
        <v>1649</v>
      </c>
      <c r="P69" s="74">
        <f>VLOOKUP(B69,'115+260'!$B$15:$AB$115,14,FALSE)</f>
        <v>-351</v>
      </c>
      <c r="Q69" s="72">
        <f>'115+260'!R70</f>
        <v>0</v>
      </c>
      <c r="R69" s="71">
        <f t="shared" si="7"/>
        <v>131</v>
      </c>
      <c r="S69" s="76">
        <f>VLOOKUP(B69,'115+260'!$B$14:$AB$115,22,FALSE)</f>
        <v>975</v>
      </c>
      <c r="T69" s="75">
        <f>VLOOKUP(B69,'115+260'!$B$15:$AB$115,6,FALSE)</f>
        <v>1057</v>
      </c>
      <c r="U69" s="74">
        <f t="shared" si="3"/>
        <v>1625</v>
      </c>
      <c r="V69" s="73">
        <f>VLOOKUP(B69,'115+260'!$B$15:$AB$115,15,FALSE)</f>
        <v>-375</v>
      </c>
      <c r="W69" s="72">
        <f>'115+260'!S70</f>
        <v>0</v>
      </c>
      <c r="X69" s="71">
        <f t="shared" si="8"/>
        <v>125</v>
      </c>
      <c r="Y69" s="70">
        <f t="shared" si="9"/>
        <v>0</v>
      </c>
      <c r="Z69" s="69">
        <f t="shared" si="10"/>
        <v>0</v>
      </c>
      <c r="AA69" s="68">
        <f t="shared" si="11"/>
        <v>1.3059999999999998</v>
      </c>
      <c r="AB69" s="68">
        <f t="shared" si="12"/>
        <v>1.0580000000000001</v>
      </c>
      <c r="AC69" s="57"/>
      <c r="AD69" s="57"/>
      <c r="AE69" s="89"/>
    </row>
    <row r="70" spans="1:32" s="88" customFormat="1" ht="15" customHeight="1">
      <c r="A70" s="90"/>
      <c r="B70" s="110">
        <f>'115+260'!B71</f>
        <v>45308</v>
      </c>
      <c r="C70" s="80">
        <f t="shared" si="4"/>
        <v>1</v>
      </c>
      <c r="D70" s="79">
        <f t="shared" si="5"/>
        <v>1069</v>
      </c>
      <c r="E70" s="78">
        <f>VLOOKUP(B70,'115+260'!B71:AB172,3,FALSE)</f>
        <v>1611</v>
      </c>
      <c r="F70" s="75">
        <f t="shared" si="0"/>
        <v>2680</v>
      </c>
      <c r="G70" s="77">
        <f>VLOOKUP(B70,'115+260'!$B$15:$AB$115,20,FALSE)</f>
        <v>959</v>
      </c>
      <c r="H70" s="77">
        <f>VLOOKUP(B70,'115+260'!$B$15:$AB$115,4,FALSE)</f>
        <v>1021</v>
      </c>
      <c r="I70" s="74">
        <f t="shared" si="1"/>
        <v>1659</v>
      </c>
      <c r="J70" s="74">
        <f>VLOOKUP(B70,'115+260'!$B$15:$AB$115,13,FALSE)</f>
        <v>-341</v>
      </c>
      <c r="K70" s="72">
        <f>'115+260'!Q71</f>
        <v>0</v>
      </c>
      <c r="L70" s="71">
        <f t="shared" si="6"/>
        <v>141</v>
      </c>
      <c r="M70" s="76">
        <f>VLOOKUP(B70,'115+260'!$B$14:$AB$115,21,FALSE)</f>
        <v>969</v>
      </c>
      <c r="N70" s="75">
        <f>VLOOKUP(B70,'115+260'!$B$15:$AB$115,5,FALSE)</f>
        <v>1031</v>
      </c>
      <c r="O70" s="74">
        <f t="shared" si="2"/>
        <v>1649</v>
      </c>
      <c r="P70" s="74">
        <f>VLOOKUP(B70,'115+260'!$B$15:$AB$115,14,FALSE)</f>
        <v>-351</v>
      </c>
      <c r="Q70" s="72">
        <f>'115+260'!R71</f>
        <v>0</v>
      </c>
      <c r="R70" s="71">
        <f t="shared" si="7"/>
        <v>131</v>
      </c>
      <c r="S70" s="76">
        <f>VLOOKUP(B70,'115+260'!$B$14:$AB$115,22,FALSE)</f>
        <v>975</v>
      </c>
      <c r="T70" s="75">
        <f>VLOOKUP(B70,'115+260'!$B$15:$AB$115,6,FALSE)</f>
        <v>1055</v>
      </c>
      <c r="U70" s="74">
        <f t="shared" si="3"/>
        <v>1625</v>
      </c>
      <c r="V70" s="73">
        <f>VLOOKUP(B70,'115+260'!$B$15:$AB$115,15,FALSE)</f>
        <v>-375</v>
      </c>
      <c r="W70" s="72">
        <f>'115+260'!S71</f>
        <v>0</v>
      </c>
      <c r="X70" s="71">
        <f t="shared" si="8"/>
        <v>125</v>
      </c>
      <c r="Y70" s="70">
        <f t="shared" si="9"/>
        <v>0</v>
      </c>
      <c r="Z70" s="69">
        <f t="shared" si="10"/>
        <v>0</v>
      </c>
      <c r="AA70" s="68">
        <f t="shared" si="11"/>
        <v>1.3059999999999998</v>
      </c>
      <c r="AB70" s="68">
        <f t="shared" si="12"/>
        <v>1.0580000000000001</v>
      </c>
      <c r="AC70" s="57"/>
      <c r="AD70" s="57"/>
      <c r="AE70" s="89"/>
    </row>
    <row r="71" spans="1:32" s="88" customFormat="1" ht="15" customHeight="1">
      <c r="A71" s="90"/>
      <c r="B71" s="110">
        <f>'115+260'!B72</f>
        <v>45309</v>
      </c>
      <c r="C71" s="80">
        <f t="shared" si="4"/>
        <v>1</v>
      </c>
      <c r="D71" s="79">
        <f t="shared" si="5"/>
        <v>1069</v>
      </c>
      <c r="E71" s="78">
        <f>VLOOKUP(B71,'115+260'!B72:AB173,3,FALSE)</f>
        <v>1609</v>
      </c>
      <c r="F71" s="75">
        <f t="shared" si="0"/>
        <v>2678</v>
      </c>
      <c r="G71" s="77">
        <f>VLOOKUP(B71,'115+260'!$B$15:$AB$115,20,FALSE)</f>
        <v>959</v>
      </c>
      <c r="H71" s="77">
        <f>VLOOKUP(B71,'115+260'!$B$15:$AB$115,4,FALSE)</f>
        <v>1019</v>
      </c>
      <c r="I71" s="74">
        <f t="shared" si="1"/>
        <v>1659</v>
      </c>
      <c r="J71" s="74">
        <f>VLOOKUP(B71,'115+260'!$B$15:$AB$115,13,FALSE)</f>
        <v>-341</v>
      </c>
      <c r="K71" s="72">
        <f>'115+260'!Q72</f>
        <v>0</v>
      </c>
      <c r="L71" s="71">
        <f t="shared" si="6"/>
        <v>141</v>
      </c>
      <c r="M71" s="76">
        <f>VLOOKUP(B71,'115+260'!$B$14:$AB$115,21,FALSE)</f>
        <v>969</v>
      </c>
      <c r="N71" s="75">
        <f>VLOOKUP(B71,'115+260'!$B$15:$AB$115,5,FALSE)</f>
        <v>1029</v>
      </c>
      <c r="O71" s="74">
        <f t="shared" si="2"/>
        <v>1649</v>
      </c>
      <c r="P71" s="74">
        <f>VLOOKUP(B71,'115+260'!$B$15:$AB$115,14,FALSE)</f>
        <v>-351</v>
      </c>
      <c r="Q71" s="72">
        <f>'115+260'!R72</f>
        <v>0</v>
      </c>
      <c r="R71" s="71">
        <f t="shared" si="7"/>
        <v>131</v>
      </c>
      <c r="S71" s="76">
        <f>VLOOKUP(B71,'115+260'!$B$14:$AB$115,22,FALSE)</f>
        <v>975</v>
      </c>
      <c r="T71" s="75">
        <f>VLOOKUP(B71,'115+260'!$B$15:$AB$115,6,FALSE)</f>
        <v>1053</v>
      </c>
      <c r="U71" s="74">
        <f t="shared" si="3"/>
        <v>1625</v>
      </c>
      <c r="V71" s="73">
        <f>VLOOKUP(B71,'115+260'!$B$15:$AB$115,15,FALSE)</f>
        <v>-375</v>
      </c>
      <c r="W71" s="72">
        <f>'115+260'!S72</f>
        <v>0</v>
      </c>
      <c r="X71" s="71">
        <f t="shared" si="8"/>
        <v>125</v>
      </c>
      <c r="Y71" s="70">
        <f t="shared" si="9"/>
        <v>0</v>
      </c>
      <c r="Z71" s="69">
        <f t="shared" si="10"/>
        <v>0</v>
      </c>
      <c r="AA71" s="68">
        <f t="shared" si="11"/>
        <v>1.3059999999999998</v>
      </c>
      <c r="AB71" s="68">
        <f t="shared" si="12"/>
        <v>1.0580000000000001</v>
      </c>
      <c r="AC71" s="57"/>
      <c r="AD71" s="57"/>
      <c r="AE71" s="89"/>
    </row>
    <row r="72" spans="1:32" s="88" customFormat="1" ht="15" customHeight="1">
      <c r="A72" s="90"/>
      <c r="B72" s="110">
        <f>'115+260'!B73</f>
        <v>45310</v>
      </c>
      <c r="C72" s="80">
        <f t="shared" si="4"/>
        <v>1</v>
      </c>
      <c r="D72" s="79">
        <f t="shared" si="5"/>
        <v>1069</v>
      </c>
      <c r="E72" s="78">
        <f>VLOOKUP(B72,'115+260'!B73:AB174,3,FALSE)</f>
        <v>1607</v>
      </c>
      <c r="F72" s="75">
        <f t="shared" si="0"/>
        <v>2676</v>
      </c>
      <c r="G72" s="77">
        <f>VLOOKUP(B72,'115+260'!$B$15:$AB$115,20,FALSE)</f>
        <v>959</v>
      </c>
      <c r="H72" s="77">
        <f>VLOOKUP(B72,'115+260'!$B$15:$AB$115,4,FALSE)</f>
        <v>1017</v>
      </c>
      <c r="I72" s="74">
        <f t="shared" si="1"/>
        <v>1659</v>
      </c>
      <c r="J72" s="74">
        <f>VLOOKUP(B72,'115+260'!$B$15:$AB$115,13,FALSE)</f>
        <v>-341</v>
      </c>
      <c r="K72" s="72">
        <f>'115+260'!Q73</f>
        <v>0</v>
      </c>
      <c r="L72" s="71">
        <f t="shared" si="6"/>
        <v>141</v>
      </c>
      <c r="M72" s="76">
        <f>VLOOKUP(B72,'115+260'!$B$14:$AB$115,21,FALSE)</f>
        <v>969</v>
      </c>
      <c r="N72" s="75">
        <f>VLOOKUP(B72,'115+260'!$B$15:$AB$115,5,FALSE)</f>
        <v>1027</v>
      </c>
      <c r="O72" s="74">
        <f t="shared" si="2"/>
        <v>1649</v>
      </c>
      <c r="P72" s="74">
        <f>VLOOKUP(B72,'115+260'!$B$15:$AB$115,14,FALSE)</f>
        <v>-351</v>
      </c>
      <c r="Q72" s="72">
        <f>'115+260'!R73</f>
        <v>0</v>
      </c>
      <c r="R72" s="71">
        <f t="shared" si="7"/>
        <v>131</v>
      </c>
      <c r="S72" s="76">
        <f>VLOOKUP(B72,'115+260'!$B$14:$AB$115,22,FALSE)</f>
        <v>975</v>
      </c>
      <c r="T72" s="75">
        <f>VLOOKUP(B72,'115+260'!$B$15:$AB$115,6,FALSE)</f>
        <v>1051</v>
      </c>
      <c r="U72" s="74">
        <f t="shared" si="3"/>
        <v>1625</v>
      </c>
      <c r="V72" s="73">
        <f>VLOOKUP(B72,'115+260'!$B$15:$AB$115,15,FALSE)</f>
        <v>-375</v>
      </c>
      <c r="W72" s="72">
        <f>'115+260'!S73</f>
        <v>0</v>
      </c>
      <c r="X72" s="71">
        <f t="shared" si="8"/>
        <v>125</v>
      </c>
      <c r="Y72" s="70">
        <f t="shared" si="9"/>
        <v>0</v>
      </c>
      <c r="Z72" s="69">
        <f t="shared" si="10"/>
        <v>0</v>
      </c>
      <c r="AA72" s="68">
        <f t="shared" si="11"/>
        <v>1.3059999999999998</v>
      </c>
      <c r="AB72" s="68">
        <f t="shared" si="12"/>
        <v>1.0580000000000001</v>
      </c>
      <c r="AC72" s="57"/>
      <c r="AD72" s="57"/>
      <c r="AE72" s="89"/>
    </row>
    <row r="73" spans="1:32" s="88" customFormat="1" ht="15" customHeight="1">
      <c r="A73" s="90"/>
      <c r="B73" s="110">
        <f>'115+260'!B74</f>
        <v>45311</v>
      </c>
      <c r="C73" s="80">
        <f t="shared" si="4"/>
        <v>1</v>
      </c>
      <c r="D73" s="79">
        <f t="shared" si="5"/>
        <v>1069</v>
      </c>
      <c r="E73" s="78">
        <f>VLOOKUP(B73,'115+260'!B74:AB175,3,FALSE)</f>
        <v>1605</v>
      </c>
      <c r="F73" s="75">
        <f t="shared" si="0"/>
        <v>2674</v>
      </c>
      <c r="G73" s="77">
        <f>VLOOKUP(B73,'115+260'!$B$15:$AB$115,20,FALSE)</f>
        <v>959</v>
      </c>
      <c r="H73" s="77">
        <f>VLOOKUP(B73,'115+260'!$B$15:$AB$115,4,FALSE)</f>
        <v>1015</v>
      </c>
      <c r="I73" s="74">
        <f t="shared" si="1"/>
        <v>1659</v>
      </c>
      <c r="J73" s="74">
        <f>VLOOKUP(B73,'115+260'!$B$15:$AB$115,13,FALSE)</f>
        <v>-341</v>
      </c>
      <c r="K73" s="72">
        <f>'115+260'!Q74</f>
        <v>0</v>
      </c>
      <c r="L73" s="71">
        <f t="shared" si="6"/>
        <v>141</v>
      </c>
      <c r="M73" s="76">
        <f>VLOOKUP(B73,'115+260'!$B$14:$AB$115,21,FALSE)</f>
        <v>969</v>
      </c>
      <c r="N73" s="75">
        <f>VLOOKUP(B73,'115+260'!$B$15:$AB$115,5,FALSE)</f>
        <v>1025</v>
      </c>
      <c r="O73" s="74">
        <f t="shared" si="2"/>
        <v>1649</v>
      </c>
      <c r="P73" s="74">
        <f>VLOOKUP(B73,'115+260'!$B$15:$AB$115,14,FALSE)</f>
        <v>-351</v>
      </c>
      <c r="Q73" s="72">
        <f>'115+260'!R74</f>
        <v>0</v>
      </c>
      <c r="R73" s="71">
        <f t="shared" si="7"/>
        <v>131</v>
      </c>
      <c r="S73" s="76">
        <f>VLOOKUP(B73,'115+260'!$B$14:$AB$115,22,FALSE)</f>
        <v>975</v>
      </c>
      <c r="T73" s="75">
        <f>VLOOKUP(B73,'115+260'!$B$15:$AB$115,6,FALSE)</f>
        <v>1049</v>
      </c>
      <c r="U73" s="74">
        <f t="shared" si="3"/>
        <v>1625</v>
      </c>
      <c r="V73" s="73">
        <f>VLOOKUP(B73,'115+260'!$B$15:$AB$115,15,FALSE)</f>
        <v>-375</v>
      </c>
      <c r="W73" s="72">
        <f>'115+260'!S74</f>
        <v>0</v>
      </c>
      <c r="X73" s="71">
        <f t="shared" si="8"/>
        <v>125</v>
      </c>
      <c r="Y73" s="70">
        <f t="shared" si="9"/>
        <v>0</v>
      </c>
      <c r="Z73" s="69">
        <f t="shared" si="10"/>
        <v>0</v>
      </c>
      <c r="AA73" s="68">
        <f t="shared" si="11"/>
        <v>1.3059999999999998</v>
      </c>
      <c r="AB73" s="68">
        <f t="shared" si="12"/>
        <v>1.0580000000000001</v>
      </c>
      <c r="AC73" s="57"/>
      <c r="AD73" s="57"/>
      <c r="AE73" s="89"/>
    </row>
    <row r="74" spans="1:32" s="91" customFormat="1" ht="15" customHeight="1">
      <c r="A74" s="90"/>
      <c r="B74" s="110">
        <f>'115+260'!B75</f>
        <v>45312</v>
      </c>
      <c r="C74" s="80">
        <f t="shared" si="4"/>
        <v>1</v>
      </c>
      <c r="D74" s="79">
        <f t="shared" si="5"/>
        <v>1069</v>
      </c>
      <c r="E74" s="78">
        <f>VLOOKUP(B74,'115+260'!B75:AB176,3,FALSE)</f>
        <v>1603</v>
      </c>
      <c r="F74" s="75">
        <f t="shared" si="0"/>
        <v>2672</v>
      </c>
      <c r="G74" s="77">
        <f>VLOOKUP(B74,'115+260'!$B$15:$AB$115,20,FALSE)</f>
        <v>959</v>
      </c>
      <c r="H74" s="77">
        <f>VLOOKUP(B74,'115+260'!$B$15:$AB$115,4,FALSE)</f>
        <v>1013</v>
      </c>
      <c r="I74" s="74">
        <f t="shared" si="1"/>
        <v>1659</v>
      </c>
      <c r="J74" s="74">
        <f>VLOOKUP(B74,'115+260'!$B$15:$AB$115,13,FALSE)</f>
        <v>-341</v>
      </c>
      <c r="K74" s="72">
        <f>'115+260'!Q75</f>
        <v>0</v>
      </c>
      <c r="L74" s="71">
        <f t="shared" si="6"/>
        <v>141</v>
      </c>
      <c r="M74" s="76">
        <f>VLOOKUP(B74,'115+260'!$B$14:$AB$115,21,FALSE)</f>
        <v>969</v>
      </c>
      <c r="N74" s="75">
        <f>VLOOKUP(B74,'115+260'!$B$15:$AB$115,5,FALSE)</f>
        <v>1023</v>
      </c>
      <c r="O74" s="74">
        <f t="shared" si="2"/>
        <v>1649</v>
      </c>
      <c r="P74" s="74">
        <f>VLOOKUP(B74,'115+260'!$B$15:$AB$115,14,FALSE)</f>
        <v>-351</v>
      </c>
      <c r="Q74" s="72">
        <f>'115+260'!R75</f>
        <v>0</v>
      </c>
      <c r="R74" s="71">
        <f t="shared" si="7"/>
        <v>131</v>
      </c>
      <c r="S74" s="76">
        <f>VLOOKUP(B74,'115+260'!$B$14:$AB$115,22,FALSE)</f>
        <v>975</v>
      </c>
      <c r="T74" s="75">
        <f>VLOOKUP(B74,'115+260'!$B$15:$AB$115,6,FALSE)</f>
        <v>1047</v>
      </c>
      <c r="U74" s="74">
        <f t="shared" si="3"/>
        <v>1625</v>
      </c>
      <c r="V74" s="73">
        <f>VLOOKUP(B74,'115+260'!$B$15:$AB$115,15,FALSE)</f>
        <v>-375</v>
      </c>
      <c r="W74" s="72">
        <f>'115+260'!S75</f>
        <v>0</v>
      </c>
      <c r="X74" s="71">
        <f t="shared" si="8"/>
        <v>125</v>
      </c>
      <c r="Y74" s="70">
        <f t="shared" si="9"/>
        <v>0</v>
      </c>
      <c r="Z74" s="69">
        <f t="shared" si="10"/>
        <v>0</v>
      </c>
      <c r="AA74" s="68">
        <f t="shared" si="11"/>
        <v>1.3059999999999998</v>
      </c>
      <c r="AB74" s="68">
        <f t="shared" si="12"/>
        <v>1.0580000000000001</v>
      </c>
      <c r="AC74" s="93"/>
      <c r="AD74" s="93"/>
      <c r="AE74" s="92"/>
    </row>
    <row r="75" spans="1:32" s="88" customFormat="1" ht="15" customHeight="1">
      <c r="A75" s="90"/>
      <c r="B75" s="110">
        <f>'115+260'!B76</f>
        <v>45313</v>
      </c>
      <c r="C75" s="80">
        <f t="shared" si="4"/>
        <v>1</v>
      </c>
      <c r="D75" s="79">
        <f t="shared" si="5"/>
        <v>1069</v>
      </c>
      <c r="E75" s="78">
        <f>VLOOKUP(B75,'115+260'!B76:AB177,3,FALSE)</f>
        <v>1601</v>
      </c>
      <c r="F75" s="75">
        <f t="shared" si="0"/>
        <v>2670</v>
      </c>
      <c r="G75" s="77">
        <f>VLOOKUP(B75,'115+260'!$B$15:$AB$115,20,FALSE)</f>
        <v>959</v>
      </c>
      <c r="H75" s="77">
        <f>VLOOKUP(B75,'115+260'!$B$15:$AB$115,4,FALSE)</f>
        <v>1011</v>
      </c>
      <c r="I75" s="74">
        <f t="shared" si="1"/>
        <v>1659</v>
      </c>
      <c r="J75" s="74">
        <f>VLOOKUP(B75,'115+260'!$B$15:$AB$115,13,FALSE)</f>
        <v>-341</v>
      </c>
      <c r="K75" s="72">
        <f>'115+260'!Q76</f>
        <v>0</v>
      </c>
      <c r="L75" s="71">
        <f t="shared" si="6"/>
        <v>141</v>
      </c>
      <c r="M75" s="76">
        <f>VLOOKUP(B75,'115+260'!$B$14:$AB$115,21,FALSE)</f>
        <v>969</v>
      </c>
      <c r="N75" s="75">
        <f>VLOOKUP(B75,'115+260'!$B$15:$AB$115,5,FALSE)</f>
        <v>1021</v>
      </c>
      <c r="O75" s="74">
        <f t="shared" si="2"/>
        <v>1649</v>
      </c>
      <c r="P75" s="74">
        <f>VLOOKUP(B75,'115+260'!$B$15:$AB$115,14,FALSE)</f>
        <v>-351</v>
      </c>
      <c r="Q75" s="72">
        <f>'115+260'!R76</f>
        <v>0</v>
      </c>
      <c r="R75" s="71">
        <f t="shared" si="7"/>
        <v>131</v>
      </c>
      <c r="S75" s="76">
        <f>VLOOKUP(B75,'115+260'!$B$14:$AB$115,22,FALSE)</f>
        <v>975</v>
      </c>
      <c r="T75" s="75">
        <f>VLOOKUP(B75,'115+260'!$B$15:$AB$115,6,FALSE)</f>
        <v>1045</v>
      </c>
      <c r="U75" s="74">
        <f t="shared" si="3"/>
        <v>1625</v>
      </c>
      <c r="V75" s="73">
        <f>VLOOKUP(B75,'115+260'!$B$15:$AB$115,15,FALSE)</f>
        <v>-375</v>
      </c>
      <c r="W75" s="72">
        <f>'115+260'!S76</f>
        <v>0</v>
      </c>
      <c r="X75" s="71">
        <f t="shared" si="8"/>
        <v>125</v>
      </c>
      <c r="Y75" s="70">
        <f t="shared" si="9"/>
        <v>0</v>
      </c>
      <c r="Z75" s="69">
        <f t="shared" si="10"/>
        <v>0</v>
      </c>
      <c r="AA75" s="68">
        <f t="shared" si="11"/>
        <v>1.3059999999999998</v>
      </c>
      <c r="AB75" s="68">
        <f t="shared" si="12"/>
        <v>1.0580000000000001</v>
      </c>
      <c r="AC75" s="57"/>
      <c r="AD75" s="57"/>
      <c r="AE75" s="89"/>
    </row>
    <row r="76" spans="1:32" s="82" customFormat="1" ht="15" customHeight="1">
      <c r="A76" s="87"/>
      <c r="B76" s="110">
        <f>'115+260'!B77</f>
        <v>45314</v>
      </c>
      <c r="C76" s="80">
        <f t="shared" si="4"/>
        <v>1</v>
      </c>
      <c r="D76" s="79">
        <f t="shared" si="5"/>
        <v>1069</v>
      </c>
      <c r="E76" s="78">
        <f>VLOOKUP(B76,'115+260'!B77:AB178,3,FALSE)</f>
        <v>1599</v>
      </c>
      <c r="F76" s="75">
        <f t="shared" si="0"/>
        <v>2668</v>
      </c>
      <c r="G76" s="77">
        <f>VLOOKUP(B76,'115+260'!$B$15:$AB$115,20,FALSE)</f>
        <v>959</v>
      </c>
      <c r="H76" s="77">
        <f>VLOOKUP(B76,'115+260'!$B$15:$AB$115,4,FALSE)</f>
        <v>1009</v>
      </c>
      <c r="I76" s="74">
        <f t="shared" si="1"/>
        <v>1659</v>
      </c>
      <c r="J76" s="74">
        <f>VLOOKUP(B76,'115+260'!$B$15:$AB$115,13,FALSE)</f>
        <v>-341</v>
      </c>
      <c r="K76" s="72">
        <f>'115+260'!Q77</f>
        <v>0</v>
      </c>
      <c r="L76" s="71">
        <f t="shared" si="6"/>
        <v>141</v>
      </c>
      <c r="M76" s="76">
        <f>VLOOKUP(B76,'115+260'!$B$14:$AB$115,21,FALSE)</f>
        <v>969</v>
      </c>
      <c r="N76" s="75">
        <f>VLOOKUP(B76,'115+260'!$B$15:$AB$115,5,FALSE)</f>
        <v>1019</v>
      </c>
      <c r="O76" s="74">
        <f t="shared" si="2"/>
        <v>1649</v>
      </c>
      <c r="P76" s="74">
        <f>VLOOKUP(B76,'115+260'!$B$15:$AB$115,14,FALSE)</f>
        <v>-351</v>
      </c>
      <c r="Q76" s="72">
        <f>'115+260'!R77</f>
        <v>0</v>
      </c>
      <c r="R76" s="71">
        <f t="shared" si="7"/>
        <v>131</v>
      </c>
      <c r="S76" s="76">
        <f>VLOOKUP(B76,'115+260'!$B$14:$AB$115,22,FALSE)</f>
        <v>975</v>
      </c>
      <c r="T76" s="75">
        <f>VLOOKUP(B76,'115+260'!$B$15:$AB$115,6,FALSE)</f>
        <v>1043</v>
      </c>
      <c r="U76" s="74">
        <f t="shared" si="3"/>
        <v>1625</v>
      </c>
      <c r="V76" s="73">
        <f>VLOOKUP(B76,'115+260'!$B$15:$AB$115,15,FALSE)</f>
        <v>-375</v>
      </c>
      <c r="W76" s="72">
        <f>'115+260'!S77</f>
        <v>0</v>
      </c>
      <c r="X76" s="71">
        <f t="shared" si="8"/>
        <v>125</v>
      </c>
      <c r="Y76" s="70">
        <f t="shared" si="9"/>
        <v>0</v>
      </c>
      <c r="Z76" s="69">
        <f t="shared" si="10"/>
        <v>0</v>
      </c>
      <c r="AA76" s="68">
        <f t="shared" si="11"/>
        <v>1.3059999999999998</v>
      </c>
      <c r="AB76" s="68">
        <f t="shared" si="12"/>
        <v>1.0580000000000001</v>
      </c>
      <c r="AC76" s="57"/>
      <c r="AD76" s="57"/>
      <c r="AE76" s="57"/>
      <c r="AF76" s="57"/>
    </row>
    <row r="77" spans="1:32" s="82" customFormat="1" ht="15" customHeight="1">
      <c r="A77" s="87">
        <v>42307</v>
      </c>
      <c r="B77" s="110">
        <f>'115+260'!B78</f>
        <v>45315</v>
      </c>
      <c r="C77" s="80">
        <f t="shared" si="4"/>
        <v>1</v>
      </c>
      <c r="D77" s="79">
        <f t="shared" si="5"/>
        <v>1069</v>
      </c>
      <c r="E77" s="78">
        <f>VLOOKUP(B77,'115+260'!B78:AB179,3,FALSE)</f>
        <v>1597</v>
      </c>
      <c r="F77" s="75">
        <f t="shared" ref="F77:F140" si="14">D77+E77</f>
        <v>2666</v>
      </c>
      <c r="G77" s="77">
        <f>VLOOKUP(B77,'115+260'!$B$15:$AB$115,20,FALSE)</f>
        <v>959</v>
      </c>
      <c r="H77" s="77">
        <f>VLOOKUP(B77,'115+260'!$B$15:$AB$115,4,FALSE)</f>
        <v>1007</v>
      </c>
      <c r="I77" s="74">
        <f t="shared" ref="I77:I140" si="15">F77-H77</f>
        <v>1659</v>
      </c>
      <c r="J77" s="74">
        <f>VLOOKUP(B77,'115+260'!$B$15:$AB$115,13,FALSE)</f>
        <v>-341</v>
      </c>
      <c r="K77" s="72">
        <f>'115+260'!Q78</f>
        <v>0</v>
      </c>
      <c r="L77" s="71">
        <f t="shared" si="6"/>
        <v>141</v>
      </c>
      <c r="M77" s="76">
        <f>VLOOKUP(B77,'115+260'!$B$14:$AB$115,21,FALSE)</f>
        <v>969</v>
      </c>
      <c r="N77" s="75">
        <f>VLOOKUP(B77,'115+260'!$B$15:$AB$115,5,FALSE)</f>
        <v>1017</v>
      </c>
      <c r="O77" s="74">
        <f t="shared" ref="O77:O140" si="16">F77-N77</f>
        <v>1649</v>
      </c>
      <c r="P77" s="74">
        <f>VLOOKUP(B77,'115+260'!$B$15:$AB$115,14,FALSE)</f>
        <v>-351</v>
      </c>
      <c r="Q77" s="72">
        <f>'115+260'!R78</f>
        <v>0</v>
      </c>
      <c r="R77" s="71">
        <f t="shared" si="7"/>
        <v>131</v>
      </c>
      <c r="S77" s="76">
        <f>VLOOKUP(B77,'115+260'!$B$14:$AB$115,22,FALSE)</f>
        <v>975</v>
      </c>
      <c r="T77" s="75">
        <f>VLOOKUP(B77,'115+260'!$B$15:$AB$115,6,FALSE)</f>
        <v>1041</v>
      </c>
      <c r="U77" s="74">
        <f t="shared" ref="U77:U140" si="17">F77-T77</f>
        <v>1625</v>
      </c>
      <c r="V77" s="73">
        <f>VLOOKUP(B77,'115+260'!$B$15:$AB$115,15,FALSE)</f>
        <v>-375</v>
      </c>
      <c r="W77" s="72">
        <f>'115+260'!S78</f>
        <v>0</v>
      </c>
      <c r="X77" s="71">
        <f t="shared" si="8"/>
        <v>125</v>
      </c>
      <c r="Y77" s="70">
        <f t="shared" si="9"/>
        <v>0</v>
      </c>
      <c r="Z77" s="69">
        <f t="shared" si="10"/>
        <v>0</v>
      </c>
      <c r="AA77" s="68">
        <f t="shared" si="11"/>
        <v>1.3059999999999998</v>
      </c>
      <c r="AB77" s="68">
        <f t="shared" si="12"/>
        <v>1.0580000000000001</v>
      </c>
      <c r="AC77" s="57"/>
      <c r="AD77" s="57"/>
      <c r="AE77" s="57"/>
      <c r="AF77" s="57"/>
    </row>
    <row r="78" spans="1:32" s="82" customFormat="1" ht="15" customHeight="1">
      <c r="A78" s="87" t="s">
        <v>47</v>
      </c>
      <c r="B78" s="110">
        <f>'115+260'!B79</f>
        <v>45316</v>
      </c>
      <c r="C78" s="80">
        <f t="shared" ref="C78:C141" si="18">B78-B77</f>
        <v>1</v>
      </c>
      <c r="D78" s="79">
        <f t="shared" ref="D78:D141" si="19">D77</f>
        <v>1069</v>
      </c>
      <c r="E78" s="78">
        <f>VLOOKUP(B78,'115+260'!B79:AB180,3,FALSE)</f>
        <v>1595</v>
      </c>
      <c r="F78" s="75">
        <f t="shared" si="14"/>
        <v>2664</v>
      </c>
      <c r="G78" s="77">
        <f>VLOOKUP(B78,'115+260'!$B$15:$AB$115,20,FALSE)</f>
        <v>959</v>
      </c>
      <c r="H78" s="77">
        <f>VLOOKUP(B78,'115+260'!$B$15:$AB$115,4,FALSE)</f>
        <v>1005</v>
      </c>
      <c r="I78" s="74">
        <f t="shared" si="15"/>
        <v>1659</v>
      </c>
      <c r="J78" s="74">
        <f>VLOOKUP(B78,'115+260'!$B$15:$AB$115,13,FALSE)</f>
        <v>-341</v>
      </c>
      <c r="K78" s="72">
        <f>'115+260'!Q79</f>
        <v>0</v>
      </c>
      <c r="L78" s="71">
        <f t="shared" ref="L78:L141" si="20">+K78+L77</f>
        <v>141</v>
      </c>
      <c r="M78" s="76">
        <f>VLOOKUP(B78,'115+260'!$B$14:$AB$115,21,FALSE)</f>
        <v>969</v>
      </c>
      <c r="N78" s="75">
        <f>VLOOKUP(B78,'115+260'!$B$15:$AB$115,5,FALSE)</f>
        <v>1015</v>
      </c>
      <c r="O78" s="74">
        <f t="shared" si="16"/>
        <v>1649</v>
      </c>
      <c r="P78" s="74">
        <f>VLOOKUP(B78,'115+260'!$B$15:$AB$115,14,FALSE)</f>
        <v>-351</v>
      </c>
      <c r="Q78" s="72">
        <f>'115+260'!R79</f>
        <v>0</v>
      </c>
      <c r="R78" s="71">
        <f t="shared" ref="R78:R141" si="21">+Q78+R77</f>
        <v>131</v>
      </c>
      <c r="S78" s="76">
        <f>VLOOKUP(B78,'115+260'!$B$14:$AB$115,22,FALSE)</f>
        <v>975</v>
      </c>
      <c r="T78" s="75">
        <f>VLOOKUP(B78,'115+260'!$B$15:$AB$115,6,FALSE)</f>
        <v>1039</v>
      </c>
      <c r="U78" s="74">
        <f t="shared" si="17"/>
        <v>1625</v>
      </c>
      <c r="V78" s="73">
        <f>VLOOKUP(B78,'115+260'!$B$15:$AB$115,15,FALSE)</f>
        <v>-375</v>
      </c>
      <c r="W78" s="72">
        <f>'115+260'!S79</f>
        <v>0</v>
      </c>
      <c r="X78" s="71">
        <f t="shared" ref="X78:X141" si="22">+W78+X77</f>
        <v>125</v>
      </c>
      <c r="Y78" s="70">
        <f t="shared" ref="Y78:Y141" si="23">S78-S77</f>
        <v>0</v>
      </c>
      <c r="Z78" s="69">
        <f t="shared" ref="Z78:Z141" si="24">IF(Y78&gt;0,Y78,0)/1000</f>
        <v>0</v>
      </c>
      <c r="AA78" s="68">
        <f t="shared" ref="AA78:AA141" si="25">AA77+Z78</f>
        <v>1.3059999999999998</v>
      </c>
      <c r="AB78" s="68">
        <f t="shared" ref="AB78:AB141" si="26">(M78-$M$13-R78)/1000</f>
        <v>1.0580000000000001</v>
      </c>
      <c r="AC78" s="57"/>
      <c r="AD78" s="57"/>
      <c r="AE78" s="57"/>
      <c r="AF78" s="57"/>
    </row>
    <row r="79" spans="1:32" s="82" customFormat="1" ht="15" customHeight="1">
      <c r="A79" s="87">
        <v>42313</v>
      </c>
      <c r="B79" s="110">
        <f>'115+260'!B80</f>
        <v>45317</v>
      </c>
      <c r="C79" s="80">
        <f t="shared" si="18"/>
        <v>1</v>
      </c>
      <c r="D79" s="79">
        <f t="shared" si="19"/>
        <v>1069</v>
      </c>
      <c r="E79" s="78">
        <f>VLOOKUP(B79,'115+260'!B80:AB181,3,FALSE)</f>
        <v>1593</v>
      </c>
      <c r="F79" s="75">
        <f t="shared" si="14"/>
        <v>2662</v>
      </c>
      <c r="G79" s="77">
        <f>VLOOKUP(B79,'115+260'!$B$15:$AB$115,20,FALSE)</f>
        <v>959</v>
      </c>
      <c r="H79" s="77">
        <f>VLOOKUP(B79,'115+260'!$B$15:$AB$115,4,FALSE)</f>
        <v>1003</v>
      </c>
      <c r="I79" s="74">
        <f t="shared" si="15"/>
        <v>1659</v>
      </c>
      <c r="J79" s="74">
        <f>VLOOKUP(B79,'115+260'!$B$15:$AB$115,13,FALSE)</f>
        <v>-341</v>
      </c>
      <c r="K79" s="72">
        <f>'115+260'!Q80</f>
        <v>0</v>
      </c>
      <c r="L79" s="71">
        <f t="shared" si="20"/>
        <v>141</v>
      </c>
      <c r="M79" s="76">
        <f>VLOOKUP(B79,'115+260'!$B$14:$AB$115,21,FALSE)</f>
        <v>969</v>
      </c>
      <c r="N79" s="75">
        <f>VLOOKUP(B79,'115+260'!$B$15:$AB$115,5,FALSE)</f>
        <v>1013</v>
      </c>
      <c r="O79" s="74">
        <f t="shared" si="16"/>
        <v>1649</v>
      </c>
      <c r="P79" s="74">
        <f>VLOOKUP(B79,'115+260'!$B$15:$AB$115,14,FALSE)</f>
        <v>-351</v>
      </c>
      <c r="Q79" s="72">
        <f>'115+260'!R80</f>
        <v>0</v>
      </c>
      <c r="R79" s="71">
        <f t="shared" si="21"/>
        <v>131</v>
      </c>
      <c r="S79" s="76">
        <f>VLOOKUP(B79,'115+260'!$B$14:$AB$115,22,FALSE)</f>
        <v>975</v>
      </c>
      <c r="T79" s="75">
        <f>VLOOKUP(B79,'115+260'!$B$15:$AB$115,6,FALSE)</f>
        <v>1037</v>
      </c>
      <c r="U79" s="74">
        <f t="shared" si="17"/>
        <v>1625</v>
      </c>
      <c r="V79" s="73">
        <f>VLOOKUP(B79,'115+260'!$B$15:$AB$115,15,FALSE)</f>
        <v>-375</v>
      </c>
      <c r="W79" s="72">
        <f>'115+260'!S80</f>
        <v>0</v>
      </c>
      <c r="X79" s="71">
        <f t="shared" si="22"/>
        <v>125</v>
      </c>
      <c r="Y79" s="70">
        <f t="shared" si="23"/>
        <v>0</v>
      </c>
      <c r="Z79" s="69">
        <f t="shared" si="24"/>
        <v>0</v>
      </c>
      <c r="AA79" s="68">
        <f t="shared" si="25"/>
        <v>1.3059999999999998</v>
      </c>
      <c r="AB79" s="68">
        <f t="shared" si="26"/>
        <v>1.0580000000000001</v>
      </c>
      <c r="AC79" s="57"/>
      <c r="AD79" s="57"/>
      <c r="AE79" s="57"/>
      <c r="AF79" s="57"/>
    </row>
    <row r="80" spans="1:32" s="82" customFormat="1" ht="15" customHeight="1">
      <c r="A80" s="87">
        <v>42319</v>
      </c>
      <c r="B80" s="110">
        <f>'115+260'!B81</f>
        <v>45318</v>
      </c>
      <c r="C80" s="80">
        <f t="shared" si="18"/>
        <v>1</v>
      </c>
      <c r="D80" s="79">
        <f t="shared" si="19"/>
        <v>1069</v>
      </c>
      <c r="E80" s="78">
        <f>VLOOKUP(B80,'115+260'!B81:AB182,3,FALSE)</f>
        <v>1591</v>
      </c>
      <c r="F80" s="75">
        <f t="shared" si="14"/>
        <v>2660</v>
      </c>
      <c r="G80" s="77">
        <f>VLOOKUP(B80,'115+260'!$B$15:$AB$115,20,FALSE)</f>
        <v>959</v>
      </c>
      <c r="H80" s="77">
        <f>VLOOKUP(B80,'115+260'!$B$15:$AB$115,4,FALSE)</f>
        <v>1001</v>
      </c>
      <c r="I80" s="74">
        <f t="shared" si="15"/>
        <v>1659</v>
      </c>
      <c r="J80" s="74">
        <f>VLOOKUP(B80,'115+260'!$B$15:$AB$115,13,FALSE)</f>
        <v>-341</v>
      </c>
      <c r="K80" s="72">
        <f>'115+260'!Q81</f>
        <v>0</v>
      </c>
      <c r="L80" s="71">
        <f t="shared" si="20"/>
        <v>141</v>
      </c>
      <c r="M80" s="76">
        <f>VLOOKUP(B80,'115+260'!$B$14:$AB$115,21,FALSE)</f>
        <v>969</v>
      </c>
      <c r="N80" s="75">
        <f>VLOOKUP(B80,'115+260'!$B$15:$AB$115,5,FALSE)</f>
        <v>1011</v>
      </c>
      <c r="O80" s="74">
        <f t="shared" si="16"/>
        <v>1649</v>
      </c>
      <c r="P80" s="74">
        <f>VLOOKUP(B80,'115+260'!$B$15:$AB$115,14,FALSE)</f>
        <v>-351</v>
      </c>
      <c r="Q80" s="72">
        <f>'115+260'!R81</f>
        <v>0</v>
      </c>
      <c r="R80" s="71">
        <f t="shared" si="21"/>
        <v>131</v>
      </c>
      <c r="S80" s="76">
        <f>VLOOKUP(B80,'115+260'!$B$14:$AB$115,22,FALSE)</f>
        <v>975</v>
      </c>
      <c r="T80" s="75">
        <f>VLOOKUP(B80,'115+260'!$B$15:$AB$115,6,FALSE)</f>
        <v>1035</v>
      </c>
      <c r="U80" s="74">
        <f t="shared" si="17"/>
        <v>1625</v>
      </c>
      <c r="V80" s="73">
        <f>VLOOKUP(B80,'115+260'!$B$15:$AB$115,15,FALSE)</f>
        <v>-375</v>
      </c>
      <c r="W80" s="72">
        <f>'115+260'!S81</f>
        <v>0</v>
      </c>
      <c r="X80" s="71">
        <f t="shared" si="22"/>
        <v>125</v>
      </c>
      <c r="Y80" s="70">
        <f t="shared" si="23"/>
        <v>0</v>
      </c>
      <c r="Z80" s="69">
        <f t="shared" si="24"/>
        <v>0</v>
      </c>
      <c r="AA80" s="68">
        <f t="shared" si="25"/>
        <v>1.3059999999999998</v>
      </c>
      <c r="AB80" s="68">
        <f t="shared" si="26"/>
        <v>1.0580000000000001</v>
      </c>
      <c r="AC80" s="57"/>
      <c r="AD80" s="57"/>
      <c r="AE80" s="57"/>
      <c r="AF80" s="57"/>
    </row>
    <row r="81" spans="1:32" s="82" customFormat="1" ht="15" customHeight="1">
      <c r="A81" s="87">
        <v>42322</v>
      </c>
      <c r="B81" s="110">
        <f>'115+260'!B82</f>
        <v>45319</v>
      </c>
      <c r="C81" s="80">
        <f t="shared" si="18"/>
        <v>1</v>
      </c>
      <c r="D81" s="79">
        <f t="shared" si="19"/>
        <v>1069</v>
      </c>
      <c r="E81" s="78">
        <f>VLOOKUP(B81,'115+260'!B82:AB183,3,FALSE)</f>
        <v>1589</v>
      </c>
      <c r="F81" s="75">
        <f t="shared" si="14"/>
        <v>2658</v>
      </c>
      <c r="G81" s="77">
        <f>VLOOKUP(B81,'115+260'!$B$15:$AB$115,20,FALSE)</f>
        <v>959</v>
      </c>
      <c r="H81" s="77">
        <f>VLOOKUP(B81,'115+260'!$B$15:$AB$115,4,FALSE)</f>
        <v>999</v>
      </c>
      <c r="I81" s="74">
        <f t="shared" si="15"/>
        <v>1659</v>
      </c>
      <c r="J81" s="74">
        <f>VLOOKUP(B81,'115+260'!$B$15:$AB$115,13,FALSE)</f>
        <v>-341</v>
      </c>
      <c r="K81" s="72">
        <f>'115+260'!Q82</f>
        <v>0</v>
      </c>
      <c r="L81" s="71">
        <f t="shared" si="20"/>
        <v>141</v>
      </c>
      <c r="M81" s="76">
        <f>VLOOKUP(B81,'115+260'!$B$14:$AB$115,21,FALSE)</f>
        <v>969</v>
      </c>
      <c r="N81" s="75">
        <f>VLOOKUP(B81,'115+260'!$B$15:$AB$115,5,FALSE)</f>
        <v>1009</v>
      </c>
      <c r="O81" s="74">
        <f t="shared" si="16"/>
        <v>1649</v>
      </c>
      <c r="P81" s="74">
        <f>VLOOKUP(B81,'115+260'!$B$15:$AB$115,14,FALSE)</f>
        <v>-351</v>
      </c>
      <c r="Q81" s="72">
        <f>'115+260'!R82</f>
        <v>0</v>
      </c>
      <c r="R81" s="71">
        <f t="shared" si="21"/>
        <v>131</v>
      </c>
      <c r="S81" s="76">
        <f>VLOOKUP(B81,'115+260'!$B$14:$AB$115,22,FALSE)</f>
        <v>975</v>
      </c>
      <c r="T81" s="75">
        <f>VLOOKUP(B81,'115+260'!$B$15:$AB$115,6,FALSE)</f>
        <v>1033</v>
      </c>
      <c r="U81" s="74">
        <f t="shared" si="17"/>
        <v>1625</v>
      </c>
      <c r="V81" s="73">
        <f>VLOOKUP(B81,'115+260'!$B$15:$AB$115,15,FALSE)</f>
        <v>-375</v>
      </c>
      <c r="W81" s="72">
        <f>'115+260'!S82</f>
        <v>0</v>
      </c>
      <c r="X81" s="71">
        <f t="shared" si="22"/>
        <v>125</v>
      </c>
      <c r="Y81" s="70">
        <f t="shared" si="23"/>
        <v>0</v>
      </c>
      <c r="Z81" s="69">
        <f t="shared" si="24"/>
        <v>0</v>
      </c>
      <c r="AA81" s="68">
        <f t="shared" si="25"/>
        <v>1.3059999999999998</v>
      </c>
      <c r="AB81" s="68">
        <f t="shared" si="26"/>
        <v>1.0580000000000001</v>
      </c>
      <c r="AC81" s="57"/>
      <c r="AD81" s="57"/>
      <c r="AE81" s="57"/>
      <c r="AF81" s="57"/>
    </row>
    <row r="82" spans="1:32" s="82" customFormat="1" ht="15" customHeight="1">
      <c r="A82" s="87" t="s">
        <v>46</v>
      </c>
      <c r="B82" s="110">
        <f>'115+260'!B83</f>
        <v>45320</v>
      </c>
      <c r="C82" s="80">
        <f t="shared" si="18"/>
        <v>1</v>
      </c>
      <c r="D82" s="79">
        <f t="shared" si="19"/>
        <v>1069</v>
      </c>
      <c r="E82" s="78">
        <f>VLOOKUP(B82,'115+260'!B83:AB184,3,FALSE)</f>
        <v>1587</v>
      </c>
      <c r="F82" s="75">
        <f t="shared" si="14"/>
        <v>2656</v>
      </c>
      <c r="G82" s="77">
        <f>VLOOKUP(B82,'115+260'!$B$15:$AB$115,20,FALSE)</f>
        <v>959</v>
      </c>
      <c r="H82" s="77">
        <f>VLOOKUP(B82,'115+260'!$B$15:$AB$115,4,FALSE)</f>
        <v>997</v>
      </c>
      <c r="I82" s="74">
        <f t="shared" si="15"/>
        <v>1659</v>
      </c>
      <c r="J82" s="74">
        <f>VLOOKUP(B82,'115+260'!$B$15:$AB$115,13,FALSE)</f>
        <v>-341</v>
      </c>
      <c r="K82" s="72">
        <f>'115+260'!Q83</f>
        <v>0</v>
      </c>
      <c r="L82" s="71">
        <f t="shared" si="20"/>
        <v>141</v>
      </c>
      <c r="M82" s="76">
        <f>VLOOKUP(B82,'115+260'!$B$14:$AB$115,21,FALSE)</f>
        <v>969</v>
      </c>
      <c r="N82" s="75">
        <f>VLOOKUP(B82,'115+260'!$B$15:$AB$115,5,FALSE)</f>
        <v>1007</v>
      </c>
      <c r="O82" s="74">
        <f t="shared" si="16"/>
        <v>1649</v>
      </c>
      <c r="P82" s="74">
        <f>VLOOKUP(B82,'115+260'!$B$15:$AB$115,14,FALSE)</f>
        <v>-351</v>
      </c>
      <c r="Q82" s="72">
        <f>'115+260'!R83</f>
        <v>0</v>
      </c>
      <c r="R82" s="71">
        <f t="shared" si="21"/>
        <v>131</v>
      </c>
      <c r="S82" s="76">
        <f>VLOOKUP(B82,'115+260'!$B$14:$AB$115,22,FALSE)</f>
        <v>975</v>
      </c>
      <c r="T82" s="75">
        <f>VLOOKUP(B82,'115+260'!$B$15:$AB$115,6,FALSE)</f>
        <v>1031</v>
      </c>
      <c r="U82" s="74">
        <f t="shared" si="17"/>
        <v>1625</v>
      </c>
      <c r="V82" s="73">
        <f>VLOOKUP(B82,'115+260'!$B$15:$AB$115,15,FALSE)</f>
        <v>-375</v>
      </c>
      <c r="W82" s="72">
        <f>'115+260'!S83</f>
        <v>0</v>
      </c>
      <c r="X82" s="71">
        <f t="shared" si="22"/>
        <v>125</v>
      </c>
      <c r="Y82" s="70">
        <f t="shared" si="23"/>
        <v>0</v>
      </c>
      <c r="Z82" s="69">
        <f t="shared" si="24"/>
        <v>0</v>
      </c>
      <c r="AA82" s="68">
        <f t="shared" si="25"/>
        <v>1.3059999999999998</v>
      </c>
      <c r="AB82" s="68">
        <f t="shared" si="26"/>
        <v>1.0580000000000001</v>
      </c>
      <c r="AC82" s="57"/>
      <c r="AD82" s="57"/>
      <c r="AE82" s="57"/>
      <c r="AF82" s="57"/>
    </row>
    <row r="83" spans="1:32" s="82" customFormat="1" ht="15" customHeight="1">
      <c r="A83" s="87">
        <v>42328</v>
      </c>
      <c r="B83" s="110">
        <f>'115+260'!B84</f>
        <v>45321</v>
      </c>
      <c r="C83" s="80">
        <f t="shared" si="18"/>
        <v>1</v>
      </c>
      <c r="D83" s="79">
        <f t="shared" si="19"/>
        <v>1069</v>
      </c>
      <c r="E83" s="78">
        <f>VLOOKUP(B83,'115+260'!B84:AB185,3,FALSE)</f>
        <v>1585</v>
      </c>
      <c r="F83" s="75">
        <f t="shared" si="14"/>
        <v>2654</v>
      </c>
      <c r="G83" s="77">
        <f>VLOOKUP(B83,'115+260'!$B$15:$AB$115,20,FALSE)</f>
        <v>959</v>
      </c>
      <c r="H83" s="77">
        <f>VLOOKUP(B83,'115+260'!$B$15:$AB$115,4,FALSE)</f>
        <v>995</v>
      </c>
      <c r="I83" s="74">
        <f t="shared" si="15"/>
        <v>1659</v>
      </c>
      <c r="J83" s="74">
        <f>VLOOKUP(B83,'115+260'!$B$15:$AB$115,13,FALSE)</f>
        <v>-341</v>
      </c>
      <c r="K83" s="72">
        <f>'115+260'!Q84</f>
        <v>0</v>
      </c>
      <c r="L83" s="71">
        <f t="shared" si="20"/>
        <v>141</v>
      </c>
      <c r="M83" s="76">
        <f>VLOOKUP(B83,'115+260'!$B$14:$AB$115,21,FALSE)</f>
        <v>969</v>
      </c>
      <c r="N83" s="75">
        <f>VLOOKUP(B83,'115+260'!$B$15:$AB$115,5,FALSE)</f>
        <v>1005</v>
      </c>
      <c r="O83" s="74">
        <f t="shared" si="16"/>
        <v>1649</v>
      </c>
      <c r="P83" s="74">
        <f>VLOOKUP(B83,'115+260'!$B$15:$AB$115,14,FALSE)</f>
        <v>-351</v>
      </c>
      <c r="Q83" s="72">
        <f>'115+260'!R84</f>
        <v>0</v>
      </c>
      <c r="R83" s="71">
        <f t="shared" si="21"/>
        <v>131</v>
      </c>
      <c r="S83" s="76">
        <f>VLOOKUP(B83,'115+260'!$B$14:$AB$115,22,FALSE)</f>
        <v>975</v>
      </c>
      <c r="T83" s="75">
        <f>VLOOKUP(B83,'115+260'!$B$15:$AB$115,6,FALSE)</f>
        <v>1029</v>
      </c>
      <c r="U83" s="74">
        <f t="shared" si="17"/>
        <v>1625</v>
      </c>
      <c r="V83" s="73">
        <f>VLOOKUP(B83,'115+260'!$B$15:$AB$115,15,FALSE)</f>
        <v>-375</v>
      </c>
      <c r="W83" s="72">
        <f>'115+260'!S84</f>
        <v>0</v>
      </c>
      <c r="X83" s="71">
        <f t="shared" si="22"/>
        <v>125</v>
      </c>
      <c r="Y83" s="70">
        <f t="shared" si="23"/>
        <v>0</v>
      </c>
      <c r="Z83" s="69">
        <f t="shared" si="24"/>
        <v>0</v>
      </c>
      <c r="AA83" s="68">
        <f t="shared" si="25"/>
        <v>1.3059999999999998</v>
      </c>
      <c r="AB83" s="68">
        <f t="shared" si="26"/>
        <v>1.0580000000000001</v>
      </c>
      <c r="AC83" s="57"/>
      <c r="AD83" s="57"/>
      <c r="AE83" s="57"/>
      <c r="AF83" s="57"/>
    </row>
    <row r="84" spans="1:32" s="82" customFormat="1" ht="15" customHeight="1">
      <c r="A84" s="87">
        <v>42331</v>
      </c>
      <c r="B84" s="110">
        <f>'115+260'!B85</f>
        <v>45322</v>
      </c>
      <c r="C84" s="80">
        <f t="shared" si="18"/>
        <v>1</v>
      </c>
      <c r="D84" s="79">
        <f t="shared" si="19"/>
        <v>1069</v>
      </c>
      <c r="E84" s="78">
        <f>VLOOKUP(B84,'115+260'!B85:AB186,3,FALSE)</f>
        <v>1583</v>
      </c>
      <c r="F84" s="75">
        <f t="shared" si="14"/>
        <v>2652</v>
      </c>
      <c r="G84" s="77">
        <f>VLOOKUP(B84,'115+260'!$B$15:$AB$115,20,FALSE)</f>
        <v>959</v>
      </c>
      <c r="H84" s="77">
        <f>VLOOKUP(B84,'115+260'!$B$15:$AB$115,4,FALSE)</f>
        <v>993</v>
      </c>
      <c r="I84" s="74">
        <f t="shared" si="15"/>
        <v>1659</v>
      </c>
      <c r="J84" s="74">
        <f>VLOOKUP(B84,'115+260'!$B$15:$AB$115,13,FALSE)</f>
        <v>-341</v>
      </c>
      <c r="K84" s="72">
        <f>'115+260'!Q85</f>
        <v>0</v>
      </c>
      <c r="L84" s="71">
        <f t="shared" si="20"/>
        <v>141</v>
      </c>
      <c r="M84" s="76">
        <f>VLOOKUP(B84,'115+260'!$B$14:$AB$115,21,FALSE)</f>
        <v>969</v>
      </c>
      <c r="N84" s="75">
        <f>VLOOKUP(B84,'115+260'!$B$15:$AB$115,5,FALSE)</f>
        <v>1003</v>
      </c>
      <c r="O84" s="74">
        <f t="shared" si="16"/>
        <v>1649</v>
      </c>
      <c r="P84" s="74">
        <f>VLOOKUP(B84,'115+260'!$B$15:$AB$115,14,FALSE)</f>
        <v>-351</v>
      </c>
      <c r="Q84" s="72">
        <f>'115+260'!R85</f>
        <v>0</v>
      </c>
      <c r="R84" s="71">
        <f t="shared" si="21"/>
        <v>131</v>
      </c>
      <c r="S84" s="76">
        <f>VLOOKUP(B84,'115+260'!$B$14:$AB$115,22,FALSE)</f>
        <v>975</v>
      </c>
      <c r="T84" s="75">
        <f>VLOOKUP(B84,'115+260'!$B$15:$AB$115,6,FALSE)</f>
        <v>1027</v>
      </c>
      <c r="U84" s="74">
        <f t="shared" si="17"/>
        <v>1625</v>
      </c>
      <c r="V84" s="73">
        <f>VLOOKUP(B84,'115+260'!$B$15:$AB$115,15,FALSE)</f>
        <v>-375</v>
      </c>
      <c r="W84" s="72">
        <f>'115+260'!S85</f>
        <v>0</v>
      </c>
      <c r="X84" s="71">
        <f t="shared" si="22"/>
        <v>125</v>
      </c>
      <c r="Y84" s="70">
        <f t="shared" si="23"/>
        <v>0</v>
      </c>
      <c r="Z84" s="69">
        <f t="shared" si="24"/>
        <v>0</v>
      </c>
      <c r="AA84" s="68">
        <f t="shared" si="25"/>
        <v>1.3059999999999998</v>
      </c>
      <c r="AB84" s="68">
        <f t="shared" si="26"/>
        <v>1.0580000000000001</v>
      </c>
      <c r="AC84" s="57"/>
      <c r="AD84" s="57"/>
      <c r="AE84" s="57"/>
      <c r="AF84" s="57"/>
    </row>
    <row r="85" spans="1:32" s="82" customFormat="1" ht="15" customHeight="1">
      <c r="A85" s="87" t="s">
        <v>45</v>
      </c>
      <c r="B85" s="110">
        <f>'115+260'!B86</f>
        <v>45323</v>
      </c>
      <c r="C85" s="80">
        <f t="shared" si="18"/>
        <v>1</v>
      </c>
      <c r="D85" s="79">
        <f t="shared" si="19"/>
        <v>1069</v>
      </c>
      <c r="E85" s="78">
        <f>VLOOKUP(B85,'115+260'!B86:AB187,3,FALSE)</f>
        <v>1581</v>
      </c>
      <c r="F85" s="75">
        <f t="shared" si="14"/>
        <v>2650</v>
      </c>
      <c r="G85" s="77">
        <f>VLOOKUP(B85,'115+260'!$B$15:$AB$115,20,FALSE)</f>
        <v>959</v>
      </c>
      <c r="H85" s="77">
        <f>VLOOKUP(B85,'115+260'!$B$15:$AB$115,4,FALSE)</f>
        <v>991</v>
      </c>
      <c r="I85" s="74">
        <f t="shared" si="15"/>
        <v>1659</v>
      </c>
      <c r="J85" s="74">
        <f>VLOOKUP(B85,'115+260'!$B$15:$AB$115,13,FALSE)</f>
        <v>-341</v>
      </c>
      <c r="K85" s="72">
        <f>'115+260'!Q86</f>
        <v>0</v>
      </c>
      <c r="L85" s="71">
        <f t="shared" si="20"/>
        <v>141</v>
      </c>
      <c r="M85" s="76">
        <f>VLOOKUP(B85,'115+260'!$B$14:$AB$115,21,FALSE)</f>
        <v>969</v>
      </c>
      <c r="N85" s="75">
        <f>VLOOKUP(B85,'115+260'!$B$15:$AB$115,5,FALSE)</f>
        <v>1001</v>
      </c>
      <c r="O85" s="74">
        <f t="shared" si="16"/>
        <v>1649</v>
      </c>
      <c r="P85" s="74">
        <f>VLOOKUP(B85,'115+260'!$B$15:$AB$115,14,FALSE)</f>
        <v>-351</v>
      </c>
      <c r="Q85" s="72">
        <f>'115+260'!R86</f>
        <v>0</v>
      </c>
      <c r="R85" s="71">
        <f t="shared" si="21"/>
        <v>131</v>
      </c>
      <c r="S85" s="76">
        <f>VLOOKUP(B85,'115+260'!$B$14:$AB$115,22,FALSE)</f>
        <v>975</v>
      </c>
      <c r="T85" s="75">
        <f>VLOOKUP(B85,'115+260'!$B$15:$AB$115,6,FALSE)</f>
        <v>1025</v>
      </c>
      <c r="U85" s="74">
        <f t="shared" si="17"/>
        <v>1625</v>
      </c>
      <c r="V85" s="73">
        <f>VLOOKUP(B85,'115+260'!$B$15:$AB$115,15,FALSE)</f>
        <v>-375</v>
      </c>
      <c r="W85" s="72">
        <f>'115+260'!S86</f>
        <v>0</v>
      </c>
      <c r="X85" s="71">
        <f t="shared" si="22"/>
        <v>125</v>
      </c>
      <c r="Y85" s="70">
        <f t="shared" si="23"/>
        <v>0</v>
      </c>
      <c r="Z85" s="69">
        <f t="shared" si="24"/>
        <v>0</v>
      </c>
      <c r="AA85" s="68">
        <f t="shared" si="25"/>
        <v>1.3059999999999998</v>
      </c>
      <c r="AB85" s="68">
        <f t="shared" si="26"/>
        <v>1.0580000000000001</v>
      </c>
      <c r="AC85" s="57"/>
      <c r="AD85" s="57"/>
      <c r="AE85" s="57"/>
      <c r="AF85" s="57"/>
    </row>
    <row r="86" spans="1:32" s="82" customFormat="1" ht="15" customHeight="1">
      <c r="A86" s="87">
        <v>42337</v>
      </c>
      <c r="B86" s="110">
        <f>'115+260'!B87</f>
        <v>45324</v>
      </c>
      <c r="C86" s="80">
        <f t="shared" si="18"/>
        <v>1</v>
      </c>
      <c r="D86" s="79">
        <f t="shared" si="19"/>
        <v>1069</v>
      </c>
      <c r="E86" s="78">
        <f>VLOOKUP(B86,'115+260'!B87:AB188,3,FALSE)</f>
        <v>1579</v>
      </c>
      <c r="F86" s="75">
        <f t="shared" si="14"/>
        <v>2648</v>
      </c>
      <c r="G86" s="77">
        <f>VLOOKUP(B86,'115+260'!$B$15:$AB$115,20,FALSE)</f>
        <v>959</v>
      </c>
      <c r="H86" s="77">
        <f>VLOOKUP(B86,'115+260'!$B$15:$AB$115,4,FALSE)</f>
        <v>989</v>
      </c>
      <c r="I86" s="74">
        <f t="shared" si="15"/>
        <v>1659</v>
      </c>
      <c r="J86" s="74">
        <f>VLOOKUP(B86,'115+260'!$B$15:$AB$115,13,FALSE)</f>
        <v>-341</v>
      </c>
      <c r="K86" s="72">
        <f>'115+260'!Q87</f>
        <v>0</v>
      </c>
      <c r="L86" s="71">
        <f t="shared" si="20"/>
        <v>141</v>
      </c>
      <c r="M86" s="76">
        <f>VLOOKUP(B86,'115+260'!$B$14:$AB$115,21,FALSE)</f>
        <v>969</v>
      </c>
      <c r="N86" s="75">
        <f>VLOOKUP(B86,'115+260'!$B$15:$AB$115,5,FALSE)</f>
        <v>999</v>
      </c>
      <c r="O86" s="74">
        <f t="shared" si="16"/>
        <v>1649</v>
      </c>
      <c r="P86" s="74">
        <f>VLOOKUP(B86,'115+260'!$B$15:$AB$115,14,FALSE)</f>
        <v>-351</v>
      </c>
      <c r="Q86" s="72">
        <f>'115+260'!R87</f>
        <v>0</v>
      </c>
      <c r="R86" s="71">
        <f t="shared" si="21"/>
        <v>131</v>
      </c>
      <c r="S86" s="76">
        <f>VLOOKUP(B86,'115+260'!$B$14:$AB$115,22,FALSE)</f>
        <v>975</v>
      </c>
      <c r="T86" s="75">
        <f>VLOOKUP(B86,'115+260'!$B$15:$AB$115,6,FALSE)</f>
        <v>1023</v>
      </c>
      <c r="U86" s="74">
        <f t="shared" si="17"/>
        <v>1625</v>
      </c>
      <c r="V86" s="73">
        <f>VLOOKUP(B86,'115+260'!$B$15:$AB$115,15,FALSE)</f>
        <v>-375</v>
      </c>
      <c r="W86" s="72">
        <f>'115+260'!S87</f>
        <v>0</v>
      </c>
      <c r="X86" s="71">
        <f t="shared" si="22"/>
        <v>125</v>
      </c>
      <c r="Y86" s="70">
        <f t="shared" si="23"/>
        <v>0</v>
      </c>
      <c r="Z86" s="69">
        <f t="shared" si="24"/>
        <v>0</v>
      </c>
      <c r="AA86" s="68">
        <f t="shared" si="25"/>
        <v>1.3059999999999998</v>
      </c>
      <c r="AB86" s="68">
        <f t="shared" si="26"/>
        <v>1.0580000000000001</v>
      </c>
      <c r="AC86" s="57"/>
      <c r="AD86" s="57"/>
      <c r="AE86" s="57"/>
      <c r="AF86" s="57"/>
    </row>
    <row r="87" spans="1:32" s="82" customFormat="1" ht="15" customHeight="1">
      <c r="A87" s="87">
        <v>42340</v>
      </c>
      <c r="B87" s="110">
        <f>'115+260'!B88</f>
        <v>45325</v>
      </c>
      <c r="C87" s="80">
        <f t="shared" si="18"/>
        <v>1</v>
      </c>
      <c r="D87" s="79">
        <f t="shared" si="19"/>
        <v>1069</v>
      </c>
      <c r="E87" s="78">
        <f>VLOOKUP(B87,'115+260'!B88:AB189,3,FALSE)</f>
        <v>1577</v>
      </c>
      <c r="F87" s="75">
        <f t="shared" si="14"/>
        <v>2646</v>
      </c>
      <c r="G87" s="77">
        <f>VLOOKUP(B87,'115+260'!$B$15:$AB$115,20,FALSE)</f>
        <v>959</v>
      </c>
      <c r="H87" s="77">
        <f>VLOOKUP(B87,'115+260'!$B$15:$AB$115,4,FALSE)</f>
        <v>987</v>
      </c>
      <c r="I87" s="74">
        <f t="shared" si="15"/>
        <v>1659</v>
      </c>
      <c r="J87" s="74">
        <f>VLOOKUP(B87,'115+260'!$B$15:$AB$115,13,FALSE)</f>
        <v>-341</v>
      </c>
      <c r="K87" s="72">
        <f>'115+260'!Q88</f>
        <v>0</v>
      </c>
      <c r="L87" s="71">
        <f t="shared" si="20"/>
        <v>141</v>
      </c>
      <c r="M87" s="76">
        <f>VLOOKUP(B87,'115+260'!$B$14:$AB$115,21,FALSE)</f>
        <v>969</v>
      </c>
      <c r="N87" s="75">
        <f>VLOOKUP(B87,'115+260'!$B$15:$AB$115,5,FALSE)</f>
        <v>997</v>
      </c>
      <c r="O87" s="74">
        <f t="shared" si="16"/>
        <v>1649</v>
      </c>
      <c r="P87" s="74">
        <f>VLOOKUP(B87,'115+260'!$B$15:$AB$115,14,FALSE)</f>
        <v>-351</v>
      </c>
      <c r="Q87" s="72">
        <f>'115+260'!R88</f>
        <v>0</v>
      </c>
      <c r="R87" s="71">
        <f t="shared" si="21"/>
        <v>131</v>
      </c>
      <c r="S87" s="76">
        <f>VLOOKUP(B87,'115+260'!$B$14:$AB$115,22,FALSE)</f>
        <v>975</v>
      </c>
      <c r="T87" s="75">
        <f>VLOOKUP(B87,'115+260'!$B$15:$AB$115,6,FALSE)</f>
        <v>1021</v>
      </c>
      <c r="U87" s="74">
        <f t="shared" si="17"/>
        <v>1625</v>
      </c>
      <c r="V87" s="73">
        <f>VLOOKUP(B87,'115+260'!$B$15:$AB$115,15,FALSE)</f>
        <v>-375</v>
      </c>
      <c r="W87" s="72">
        <f>'115+260'!S88</f>
        <v>0</v>
      </c>
      <c r="X87" s="71">
        <f t="shared" si="22"/>
        <v>125</v>
      </c>
      <c r="Y87" s="70">
        <f t="shared" si="23"/>
        <v>0</v>
      </c>
      <c r="Z87" s="69">
        <f t="shared" si="24"/>
        <v>0</v>
      </c>
      <c r="AA87" s="68">
        <f t="shared" si="25"/>
        <v>1.3059999999999998</v>
      </c>
      <c r="AB87" s="68">
        <f t="shared" si="26"/>
        <v>1.0580000000000001</v>
      </c>
      <c r="AC87" s="57"/>
      <c r="AD87" s="57"/>
      <c r="AE87" s="57"/>
      <c r="AF87" s="57"/>
    </row>
    <row r="88" spans="1:32" s="82" customFormat="1" ht="15" customHeight="1">
      <c r="A88" s="87">
        <v>42343</v>
      </c>
      <c r="B88" s="110">
        <f>'115+260'!B89</f>
        <v>45326</v>
      </c>
      <c r="C88" s="80">
        <f t="shared" si="18"/>
        <v>1</v>
      </c>
      <c r="D88" s="79">
        <f t="shared" si="19"/>
        <v>1069</v>
      </c>
      <c r="E88" s="78">
        <f>VLOOKUP(B88,'115+260'!B89:AB190,3,FALSE)</f>
        <v>1575</v>
      </c>
      <c r="F88" s="75">
        <f t="shared" si="14"/>
        <v>2644</v>
      </c>
      <c r="G88" s="77">
        <f>VLOOKUP(B88,'115+260'!$B$15:$AB$115,20,FALSE)</f>
        <v>959</v>
      </c>
      <c r="H88" s="77">
        <f>VLOOKUP(B88,'115+260'!$B$15:$AB$115,4,FALSE)</f>
        <v>985</v>
      </c>
      <c r="I88" s="74">
        <f t="shared" si="15"/>
        <v>1659</v>
      </c>
      <c r="J88" s="74">
        <f>VLOOKUP(B88,'115+260'!$B$15:$AB$115,13,FALSE)</f>
        <v>-341</v>
      </c>
      <c r="K88" s="72">
        <f>'115+260'!Q89</f>
        <v>0</v>
      </c>
      <c r="L88" s="71">
        <f t="shared" si="20"/>
        <v>141</v>
      </c>
      <c r="M88" s="76">
        <f>VLOOKUP(B88,'115+260'!$B$14:$AB$115,21,FALSE)</f>
        <v>969</v>
      </c>
      <c r="N88" s="75">
        <f>VLOOKUP(B88,'115+260'!$B$15:$AB$115,5,FALSE)</f>
        <v>995</v>
      </c>
      <c r="O88" s="74">
        <f t="shared" si="16"/>
        <v>1649</v>
      </c>
      <c r="P88" s="74">
        <f>VLOOKUP(B88,'115+260'!$B$15:$AB$115,14,FALSE)</f>
        <v>-351</v>
      </c>
      <c r="Q88" s="72">
        <f>'115+260'!R89</f>
        <v>0</v>
      </c>
      <c r="R88" s="71">
        <f t="shared" si="21"/>
        <v>131</v>
      </c>
      <c r="S88" s="76">
        <f>VLOOKUP(B88,'115+260'!$B$14:$AB$115,22,FALSE)</f>
        <v>975</v>
      </c>
      <c r="T88" s="75">
        <f>VLOOKUP(B88,'115+260'!$B$15:$AB$115,6,FALSE)</f>
        <v>1019</v>
      </c>
      <c r="U88" s="74">
        <f t="shared" si="17"/>
        <v>1625</v>
      </c>
      <c r="V88" s="73">
        <f>VLOOKUP(B88,'115+260'!$B$15:$AB$115,15,FALSE)</f>
        <v>-375</v>
      </c>
      <c r="W88" s="72">
        <f>'115+260'!S89</f>
        <v>0</v>
      </c>
      <c r="X88" s="71">
        <f t="shared" si="22"/>
        <v>125</v>
      </c>
      <c r="Y88" s="70">
        <f t="shared" si="23"/>
        <v>0</v>
      </c>
      <c r="Z88" s="69">
        <f t="shared" si="24"/>
        <v>0</v>
      </c>
      <c r="AA88" s="68">
        <f t="shared" si="25"/>
        <v>1.3059999999999998</v>
      </c>
      <c r="AB88" s="68">
        <f t="shared" si="26"/>
        <v>1.0580000000000001</v>
      </c>
      <c r="AC88" s="57"/>
      <c r="AD88" s="57"/>
      <c r="AE88" s="57"/>
      <c r="AF88" s="57"/>
    </row>
    <row r="89" spans="1:32" s="82" customFormat="1" ht="15" customHeight="1">
      <c r="A89" s="87" t="s">
        <v>44</v>
      </c>
      <c r="B89" s="110">
        <f>'115+260'!B90</f>
        <v>45327</v>
      </c>
      <c r="C89" s="80">
        <f t="shared" si="18"/>
        <v>1</v>
      </c>
      <c r="D89" s="79">
        <f t="shared" si="19"/>
        <v>1069</v>
      </c>
      <c r="E89" s="78">
        <f>VLOOKUP(B89,'115+260'!B90:AB191,3,FALSE)</f>
        <v>1573</v>
      </c>
      <c r="F89" s="75">
        <f t="shared" si="14"/>
        <v>2642</v>
      </c>
      <c r="G89" s="77">
        <f>VLOOKUP(B89,'115+260'!$B$15:$AB$115,20,FALSE)</f>
        <v>959</v>
      </c>
      <c r="H89" s="77">
        <f>VLOOKUP(B89,'115+260'!$B$15:$AB$115,4,FALSE)</f>
        <v>983</v>
      </c>
      <c r="I89" s="74">
        <f t="shared" si="15"/>
        <v>1659</v>
      </c>
      <c r="J89" s="74">
        <f>VLOOKUP(B89,'115+260'!$B$15:$AB$115,13,FALSE)</f>
        <v>-341</v>
      </c>
      <c r="K89" s="72">
        <f>'115+260'!Q90</f>
        <v>0</v>
      </c>
      <c r="L89" s="71">
        <f t="shared" si="20"/>
        <v>141</v>
      </c>
      <c r="M89" s="76">
        <f>VLOOKUP(B89,'115+260'!$B$14:$AB$115,21,FALSE)</f>
        <v>969</v>
      </c>
      <c r="N89" s="75">
        <f>VLOOKUP(B89,'115+260'!$B$15:$AB$115,5,FALSE)</f>
        <v>993</v>
      </c>
      <c r="O89" s="74">
        <f t="shared" si="16"/>
        <v>1649</v>
      </c>
      <c r="P89" s="74">
        <f>VLOOKUP(B89,'115+260'!$B$15:$AB$115,14,FALSE)</f>
        <v>-351</v>
      </c>
      <c r="Q89" s="72">
        <f>'115+260'!R90</f>
        <v>0</v>
      </c>
      <c r="R89" s="71">
        <f t="shared" si="21"/>
        <v>131</v>
      </c>
      <c r="S89" s="76">
        <f>VLOOKUP(B89,'115+260'!$B$14:$AB$115,22,FALSE)</f>
        <v>975</v>
      </c>
      <c r="T89" s="75">
        <f>VLOOKUP(B89,'115+260'!$B$15:$AB$115,6,FALSE)</f>
        <v>1017</v>
      </c>
      <c r="U89" s="74">
        <f t="shared" si="17"/>
        <v>1625</v>
      </c>
      <c r="V89" s="73">
        <f>VLOOKUP(B89,'115+260'!$B$15:$AB$115,15,FALSE)</f>
        <v>-375</v>
      </c>
      <c r="W89" s="72">
        <f>'115+260'!S90</f>
        <v>0</v>
      </c>
      <c r="X89" s="71">
        <f t="shared" si="22"/>
        <v>125</v>
      </c>
      <c r="Y89" s="70">
        <f t="shared" si="23"/>
        <v>0</v>
      </c>
      <c r="Z89" s="69">
        <f t="shared" si="24"/>
        <v>0</v>
      </c>
      <c r="AA89" s="68">
        <f t="shared" si="25"/>
        <v>1.3059999999999998</v>
      </c>
      <c r="AB89" s="68">
        <f t="shared" si="26"/>
        <v>1.0580000000000001</v>
      </c>
      <c r="AC89" s="57"/>
      <c r="AD89" s="57"/>
      <c r="AE89" s="57"/>
      <c r="AF89" s="57"/>
    </row>
    <row r="90" spans="1:32" s="82" customFormat="1" ht="15" customHeight="1">
      <c r="A90" s="87">
        <v>42349</v>
      </c>
      <c r="B90" s="110">
        <f>'115+260'!B91</f>
        <v>45328</v>
      </c>
      <c r="C90" s="80">
        <f t="shared" si="18"/>
        <v>1</v>
      </c>
      <c r="D90" s="79">
        <f t="shared" si="19"/>
        <v>1069</v>
      </c>
      <c r="E90" s="78">
        <f>VLOOKUP(B90,'115+260'!B91:AB192,3,FALSE)</f>
        <v>1571</v>
      </c>
      <c r="F90" s="75">
        <f t="shared" si="14"/>
        <v>2640</v>
      </c>
      <c r="G90" s="77">
        <f>VLOOKUP(B90,'115+260'!$B$15:$AB$115,20,FALSE)</f>
        <v>959</v>
      </c>
      <c r="H90" s="77">
        <f>VLOOKUP(B90,'115+260'!$B$15:$AB$115,4,FALSE)</f>
        <v>981</v>
      </c>
      <c r="I90" s="74">
        <f t="shared" si="15"/>
        <v>1659</v>
      </c>
      <c r="J90" s="74">
        <f>VLOOKUP(B90,'115+260'!$B$15:$AB$115,13,FALSE)</f>
        <v>-341</v>
      </c>
      <c r="K90" s="72">
        <f>'115+260'!Q91</f>
        <v>0</v>
      </c>
      <c r="L90" s="71">
        <f t="shared" si="20"/>
        <v>141</v>
      </c>
      <c r="M90" s="76">
        <f>VLOOKUP(B90,'115+260'!$B$14:$AB$115,21,FALSE)</f>
        <v>969</v>
      </c>
      <c r="N90" s="75">
        <f>VLOOKUP(B90,'115+260'!$B$15:$AB$115,5,FALSE)</f>
        <v>991</v>
      </c>
      <c r="O90" s="74">
        <f t="shared" si="16"/>
        <v>1649</v>
      </c>
      <c r="P90" s="74">
        <f>VLOOKUP(B90,'115+260'!$B$15:$AB$115,14,FALSE)</f>
        <v>-351</v>
      </c>
      <c r="Q90" s="72">
        <f>'115+260'!R91</f>
        <v>0</v>
      </c>
      <c r="R90" s="71">
        <f t="shared" si="21"/>
        <v>131</v>
      </c>
      <c r="S90" s="76">
        <f>VLOOKUP(B90,'115+260'!$B$14:$AB$115,22,FALSE)</f>
        <v>975</v>
      </c>
      <c r="T90" s="75">
        <f>VLOOKUP(B90,'115+260'!$B$15:$AB$115,6,FALSE)</f>
        <v>1015</v>
      </c>
      <c r="U90" s="74">
        <f t="shared" si="17"/>
        <v>1625</v>
      </c>
      <c r="V90" s="73">
        <f>VLOOKUP(B90,'115+260'!$B$15:$AB$115,15,FALSE)</f>
        <v>-375</v>
      </c>
      <c r="W90" s="72">
        <f>'115+260'!S91</f>
        <v>0</v>
      </c>
      <c r="X90" s="71">
        <f t="shared" si="22"/>
        <v>125</v>
      </c>
      <c r="Y90" s="70">
        <f t="shared" si="23"/>
        <v>0</v>
      </c>
      <c r="Z90" s="69">
        <f t="shared" si="24"/>
        <v>0</v>
      </c>
      <c r="AA90" s="68">
        <f t="shared" si="25"/>
        <v>1.3059999999999998</v>
      </c>
      <c r="AB90" s="68">
        <f t="shared" si="26"/>
        <v>1.0580000000000001</v>
      </c>
      <c r="AC90" s="57"/>
      <c r="AD90" s="57"/>
      <c r="AE90" s="57"/>
      <c r="AF90" s="57"/>
    </row>
    <row r="91" spans="1:32" s="82" customFormat="1" ht="15" customHeight="1">
      <c r="A91" s="87">
        <v>42352</v>
      </c>
      <c r="B91" s="110">
        <f>'115+260'!B92</f>
        <v>45329</v>
      </c>
      <c r="C91" s="80">
        <f t="shared" si="18"/>
        <v>1</v>
      </c>
      <c r="D91" s="79">
        <f t="shared" si="19"/>
        <v>1069</v>
      </c>
      <c r="E91" s="78">
        <f>VLOOKUP(B91,'115+260'!B92:AB193,3,FALSE)</f>
        <v>1569</v>
      </c>
      <c r="F91" s="75">
        <f t="shared" si="14"/>
        <v>2638</v>
      </c>
      <c r="G91" s="77">
        <f>VLOOKUP(B91,'115+260'!$B$15:$AB$115,20,FALSE)</f>
        <v>959</v>
      </c>
      <c r="H91" s="77">
        <f>VLOOKUP(B91,'115+260'!$B$15:$AB$115,4,FALSE)</f>
        <v>979</v>
      </c>
      <c r="I91" s="74">
        <f t="shared" si="15"/>
        <v>1659</v>
      </c>
      <c r="J91" s="74">
        <f>VLOOKUP(B91,'115+260'!$B$15:$AB$115,13,FALSE)</f>
        <v>-341</v>
      </c>
      <c r="K91" s="72">
        <f>'115+260'!Q92</f>
        <v>0</v>
      </c>
      <c r="L91" s="71">
        <f t="shared" si="20"/>
        <v>141</v>
      </c>
      <c r="M91" s="76">
        <f>VLOOKUP(B91,'115+260'!$B$14:$AB$115,21,FALSE)</f>
        <v>969</v>
      </c>
      <c r="N91" s="75">
        <f>VLOOKUP(B91,'115+260'!$B$15:$AB$115,5,FALSE)</f>
        <v>989</v>
      </c>
      <c r="O91" s="74">
        <f t="shared" si="16"/>
        <v>1649</v>
      </c>
      <c r="P91" s="74">
        <f>VLOOKUP(B91,'115+260'!$B$15:$AB$115,14,FALSE)</f>
        <v>-351</v>
      </c>
      <c r="Q91" s="72">
        <f>'115+260'!R92</f>
        <v>0</v>
      </c>
      <c r="R91" s="71">
        <f t="shared" si="21"/>
        <v>131</v>
      </c>
      <c r="S91" s="76">
        <f>VLOOKUP(B91,'115+260'!$B$14:$AB$115,22,FALSE)</f>
        <v>975</v>
      </c>
      <c r="T91" s="75">
        <f>VLOOKUP(B91,'115+260'!$B$15:$AB$115,6,FALSE)</f>
        <v>1013</v>
      </c>
      <c r="U91" s="74">
        <f t="shared" si="17"/>
        <v>1625</v>
      </c>
      <c r="V91" s="73">
        <f>VLOOKUP(B91,'115+260'!$B$15:$AB$115,15,FALSE)</f>
        <v>-375</v>
      </c>
      <c r="W91" s="72">
        <f>'115+260'!S92</f>
        <v>0</v>
      </c>
      <c r="X91" s="71">
        <f t="shared" si="22"/>
        <v>125</v>
      </c>
      <c r="Y91" s="70">
        <f t="shared" si="23"/>
        <v>0</v>
      </c>
      <c r="Z91" s="69">
        <f t="shared" si="24"/>
        <v>0</v>
      </c>
      <c r="AA91" s="68">
        <f t="shared" si="25"/>
        <v>1.3059999999999998</v>
      </c>
      <c r="AB91" s="68">
        <f t="shared" si="26"/>
        <v>1.0580000000000001</v>
      </c>
      <c r="AC91" s="57"/>
      <c r="AD91" s="57"/>
      <c r="AE91" s="57"/>
      <c r="AF91" s="57"/>
    </row>
    <row r="92" spans="1:32" s="82" customFormat="1" ht="15" customHeight="1">
      <c r="A92" s="87">
        <v>42353</v>
      </c>
      <c r="B92" s="110">
        <f>'115+260'!B93</f>
        <v>45330</v>
      </c>
      <c r="C92" s="80">
        <f t="shared" si="18"/>
        <v>1</v>
      </c>
      <c r="D92" s="79">
        <f t="shared" si="19"/>
        <v>1069</v>
      </c>
      <c r="E92" s="78">
        <f>VLOOKUP(B92,'115+260'!B93:AB194,3,FALSE)</f>
        <v>1567</v>
      </c>
      <c r="F92" s="75">
        <f t="shared" si="14"/>
        <v>2636</v>
      </c>
      <c r="G92" s="77">
        <f>VLOOKUP(B92,'115+260'!$B$15:$AB$115,20,FALSE)</f>
        <v>959</v>
      </c>
      <c r="H92" s="77">
        <f>VLOOKUP(B92,'115+260'!$B$15:$AB$115,4,FALSE)</f>
        <v>977</v>
      </c>
      <c r="I92" s="74">
        <f t="shared" si="15"/>
        <v>1659</v>
      </c>
      <c r="J92" s="74">
        <f>VLOOKUP(B92,'115+260'!$B$15:$AB$115,13,FALSE)</f>
        <v>-341</v>
      </c>
      <c r="K92" s="72">
        <f>'115+260'!Q93</f>
        <v>0</v>
      </c>
      <c r="L92" s="71">
        <f t="shared" si="20"/>
        <v>141</v>
      </c>
      <c r="M92" s="76">
        <f>VLOOKUP(B92,'115+260'!$B$14:$AB$115,21,FALSE)</f>
        <v>969</v>
      </c>
      <c r="N92" s="75">
        <f>VLOOKUP(B92,'115+260'!$B$15:$AB$115,5,FALSE)</f>
        <v>987</v>
      </c>
      <c r="O92" s="74">
        <f t="shared" si="16"/>
        <v>1649</v>
      </c>
      <c r="P92" s="74">
        <f>VLOOKUP(B92,'115+260'!$B$15:$AB$115,14,FALSE)</f>
        <v>-351</v>
      </c>
      <c r="Q92" s="72">
        <f>'115+260'!R93</f>
        <v>0</v>
      </c>
      <c r="R92" s="71">
        <f t="shared" si="21"/>
        <v>131</v>
      </c>
      <c r="S92" s="76">
        <f>VLOOKUP(B92,'115+260'!$B$14:$AB$115,22,FALSE)</f>
        <v>975</v>
      </c>
      <c r="T92" s="75">
        <f>VLOOKUP(B92,'115+260'!$B$15:$AB$115,6,FALSE)</f>
        <v>1011</v>
      </c>
      <c r="U92" s="74">
        <f t="shared" si="17"/>
        <v>1625</v>
      </c>
      <c r="V92" s="73">
        <f>VLOOKUP(B92,'115+260'!$B$15:$AB$115,15,FALSE)</f>
        <v>-375</v>
      </c>
      <c r="W92" s="72">
        <f>'115+260'!S93</f>
        <v>0</v>
      </c>
      <c r="X92" s="71">
        <f t="shared" si="22"/>
        <v>125</v>
      </c>
      <c r="Y92" s="70">
        <f t="shared" si="23"/>
        <v>0</v>
      </c>
      <c r="Z92" s="69">
        <f t="shared" si="24"/>
        <v>0</v>
      </c>
      <c r="AA92" s="68">
        <f t="shared" si="25"/>
        <v>1.3059999999999998</v>
      </c>
      <c r="AB92" s="68">
        <f t="shared" si="26"/>
        <v>1.0580000000000001</v>
      </c>
      <c r="AC92" s="57"/>
      <c r="AD92" s="57"/>
      <c r="AE92" s="57"/>
      <c r="AF92" s="57"/>
    </row>
    <row r="93" spans="1:32" s="82" customFormat="1" ht="15" customHeight="1" thickBot="1">
      <c r="A93" s="86">
        <v>42353</v>
      </c>
      <c r="B93" s="110">
        <f>'115+260'!B94</f>
        <v>45331</v>
      </c>
      <c r="C93" s="80">
        <f t="shared" si="18"/>
        <v>1</v>
      </c>
      <c r="D93" s="79">
        <f t="shared" si="19"/>
        <v>1069</v>
      </c>
      <c r="E93" s="78">
        <f>VLOOKUP(B93,'115+260'!B94:AB195,3,FALSE)</f>
        <v>1565</v>
      </c>
      <c r="F93" s="75">
        <f t="shared" si="14"/>
        <v>2634</v>
      </c>
      <c r="G93" s="77">
        <f>VLOOKUP(B93,'115+260'!$B$15:$AB$115,20,FALSE)</f>
        <v>959</v>
      </c>
      <c r="H93" s="77">
        <f>VLOOKUP(B93,'115+260'!$B$15:$AB$115,4,FALSE)</f>
        <v>975</v>
      </c>
      <c r="I93" s="74">
        <f t="shared" si="15"/>
        <v>1659</v>
      </c>
      <c r="J93" s="74">
        <f>VLOOKUP(B93,'115+260'!$B$15:$AB$115,13,FALSE)</f>
        <v>-341</v>
      </c>
      <c r="K93" s="72">
        <f>'115+260'!Q94</f>
        <v>0</v>
      </c>
      <c r="L93" s="71">
        <f t="shared" si="20"/>
        <v>141</v>
      </c>
      <c r="M93" s="76">
        <f>VLOOKUP(B93,'115+260'!$B$14:$AB$115,21,FALSE)</f>
        <v>969</v>
      </c>
      <c r="N93" s="75">
        <f>VLOOKUP(B93,'115+260'!$B$15:$AB$115,5,FALSE)</f>
        <v>985</v>
      </c>
      <c r="O93" s="74">
        <f t="shared" si="16"/>
        <v>1649</v>
      </c>
      <c r="P93" s="74">
        <f>VLOOKUP(B93,'115+260'!$B$15:$AB$115,14,FALSE)</f>
        <v>-351</v>
      </c>
      <c r="Q93" s="72">
        <f>'115+260'!R94</f>
        <v>0</v>
      </c>
      <c r="R93" s="71">
        <f t="shared" si="21"/>
        <v>131</v>
      </c>
      <c r="S93" s="76">
        <f>VLOOKUP(B93,'115+260'!$B$14:$AB$115,22,FALSE)</f>
        <v>975</v>
      </c>
      <c r="T93" s="75">
        <f>VLOOKUP(B93,'115+260'!$B$15:$AB$115,6,FALSE)</f>
        <v>1009</v>
      </c>
      <c r="U93" s="74">
        <f t="shared" si="17"/>
        <v>1625</v>
      </c>
      <c r="V93" s="73">
        <f>VLOOKUP(B93,'115+260'!$B$15:$AB$115,15,FALSE)</f>
        <v>-375</v>
      </c>
      <c r="W93" s="72">
        <f>'115+260'!S94</f>
        <v>0</v>
      </c>
      <c r="X93" s="71">
        <f t="shared" si="22"/>
        <v>125</v>
      </c>
      <c r="Y93" s="70">
        <f t="shared" si="23"/>
        <v>0</v>
      </c>
      <c r="Z93" s="69">
        <f t="shared" si="24"/>
        <v>0</v>
      </c>
      <c r="AA93" s="68">
        <f t="shared" si="25"/>
        <v>1.3059999999999998</v>
      </c>
      <c r="AB93" s="68">
        <f t="shared" si="26"/>
        <v>1.0580000000000001</v>
      </c>
      <c r="AC93" s="57"/>
      <c r="AD93" s="57"/>
      <c r="AE93" s="57"/>
      <c r="AF93" s="57"/>
    </row>
    <row r="94" spans="1:32" s="82" customFormat="1" ht="15" customHeight="1" thickTop="1">
      <c r="A94" s="83"/>
      <c r="B94" s="110">
        <f>'115+260'!B95</f>
        <v>45332</v>
      </c>
      <c r="C94" s="80">
        <f t="shared" si="18"/>
        <v>1</v>
      </c>
      <c r="D94" s="79">
        <f t="shared" si="19"/>
        <v>1069</v>
      </c>
      <c r="E94" s="78">
        <f>VLOOKUP(B94,'115+260'!B95:AB196,3,FALSE)</f>
        <v>1563</v>
      </c>
      <c r="F94" s="75">
        <f t="shared" si="14"/>
        <v>2632</v>
      </c>
      <c r="G94" s="77">
        <f>VLOOKUP(B94,'115+260'!$B$15:$AB$115,20,FALSE)</f>
        <v>959</v>
      </c>
      <c r="H94" s="77">
        <f>VLOOKUP(B94,'115+260'!$B$15:$AB$115,4,FALSE)</f>
        <v>973</v>
      </c>
      <c r="I94" s="74">
        <f t="shared" si="15"/>
        <v>1659</v>
      </c>
      <c r="J94" s="74">
        <f>VLOOKUP(B94,'115+260'!$B$15:$AB$115,13,FALSE)</f>
        <v>-341</v>
      </c>
      <c r="K94" s="72">
        <f>'115+260'!Q95</f>
        <v>0</v>
      </c>
      <c r="L94" s="71">
        <f t="shared" si="20"/>
        <v>141</v>
      </c>
      <c r="M94" s="76">
        <f>VLOOKUP(B94,'115+260'!$B$14:$AB$115,21,FALSE)</f>
        <v>969</v>
      </c>
      <c r="N94" s="75">
        <f>VLOOKUP(B94,'115+260'!$B$15:$AB$115,5,FALSE)</f>
        <v>983</v>
      </c>
      <c r="O94" s="74">
        <f t="shared" si="16"/>
        <v>1649</v>
      </c>
      <c r="P94" s="74">
        <f>VLOOKUP(B94,'115+260'!$B$15:$AB$115,14,FALSE)</f>
        <v>-351</v>
      </c>
      <c r="Q94" s="72">
        <f>'115+260'!R95</f>
        <v>0</v>
      </c>
      <c r="R94" s="71">
        <f t="shared" si="21"/>
        <v>131</v>
      </c>
      <c r="S94" s="76">
        <f>VLOOKUP(B94,'115+260'!$B$14:$AB$115,22,FALSE)</f>
        <v>975</v>
      </c>
      <c r="T94" s="75">
        <f>VLOOKUP(B94,'115+260'!$B$15:$AB$115,6,FALSE)</f>
        <v>1007</v>
      </c>
      <c r="U94" s="74">
        <f t="shared" si="17"/>
        <v>1625</v>
      </c>
      <c r="V94" s="73">
        <f>VLOOKUP(B94,'115+260'!$B$15:$AB$115,15,FALSE)</f>
        <v>-375</v>
      </c>
      <c r="W94" s="72">
        <f>'115+260'!S95</f>
        <v>0</v>
      </c>
      <c r="X94" s="71">
        <f t="shared" si="22"/>
        <v>125</v>
      </c>
      <c r="Y94" s="70">
        <f t="shared" si="23"/>
        <v>0</v>
      </c>
      <c r="Z94" s="69">
        <f t="shared" si="24"/>
        <v>0</v>
      </c>
      <c r="AA94" s="68">
        <f t="shared" si="25"/>
        <v>1.3059999999999998</v>
      </c>
      <c r="AB94" s="68">
        <f t="shared" si="26"/>
        <v>1.0580000000000001</v>
      </c>
      <c r="AC94" s="57"/>
      <c r="AD94" s="57"/>
      <c r="AE94" s="57"/>
      <c r="AF94" s="57"/>
    </row>
    <row r="95" spans="1:32" s="82" customFormat="1" ht="15" customHeight="1">
      <c r="A95" s="83"/>
      <c r="B95" s="110">
        <f>'115+260'!B96</f>
        <v>45333</v>
      </c>
      <c r="C95" s="80">
        <f t="shared" si="18"/>
        <v>1</v>
      </c>
      <c r="D95" s="79">
        <f t="shared" si="19"/>
        <v>1069</v>
      </c>
      <c r="E95" s="78">
        <f>VLOOKUP(B95,'115+260'!B96:AB197,3,FALSE)</f>
        <v>1561</v>
      </c>
      <c r="F95" s="75">
        <f t="shared" si="14"/>
        <v>2630</v>
      </c>
      <c r="G95" s="77">
        <f>VLOOKUP(B95,'115+260'!$B$15:$AB$115,20,FALSE)</f>
        <v>959</v>
      </c>
      <c r="H95" s="77">
        <f>VLOOKUP(B95,'115+260'!$B$15:$AB$115,4,FALSE)</f>
        <v>971</v>
      </c>
      <c r="I95" s="74">
        <f t="shared" si="15"/>
        <v>1659</v>
      </c>
      <c r="J95" s="74">
        <f>VLOOKUP(B95,'115+260'!$B$15:$AB$115,13,FALSE)</f>
        <v>-341</v>
      </c>
      <c r="K95" s="72">
        <f>'115+260'!Q96</f>
        <v>0</v>
      </c>
      <c r="L95" s="71">
        <f t="shared" si="20"/>
        <v>141</v>
      </c>
      <c r="M95" s="76">
        <f>VLOOKUP(B95,'115+260'!$B$14:$AB$115,21,FALSE)</f>
        <v>969</v>
      </c>
      <c r="N95" s="75">
        <f>VLOOKUP(B95,'115+260'!$B$15:$AB$115,5,FALSE)</f>
        <v>981</v>
      </c>
      <c r="O95" s="74">
        <f t="shared" si="16"/>
        <v>1649</v>
      </c>
      <c r="P95" s="74">
        <f>VLOOKUP(B95,'115+260'!$B$15:$AB$115,14,FALSE)</f>
        <v>-351</v>
      </c>
      <c r="Q95" s="72">
        <f>'115+260'!R96</f>
        <v>0</v>
      </c>
      <c r="R95" s="71">
        <f t="shared" si="21"/>
        <v>131</v>
      </c>
      <c r="S95" s="76">
        <f>VLOOKUP(B95,'115+260'!$B$14:$AB$115,22,FALSE)</f>
        <v>975</v>
      </c>
      <c r="T95" s="75">
        <f>VLOOKUP(B95,'115+260'!$B$15:$AB$115,6,FALSE)</f>
        <v>1005</v>
      </c>
      <c r="U95" s="74">
        <f t="shared" si="17"/>
        <v>1625</v>
      </c>
      <c r="V95" s="73">
        <f>VLOOKUP(B95,'115+260'!$B$15:$AB$115,15,FALSE)</f>
        <v>-375</v>
      </c>
      <c r="W95" s="72">
        <f>'115+260'!S96</f>
        <v>0</v>
      </c>
      <c r="X95" s="71">
        <f t="shared" si="22"/>
        <v>125</v>
      </c>
      <c r="Y95" s="70">
        <f t="shared" si="23"/>
        <v>0</v>
      </c>
      <c r="Z95" s="69">
        <f t="shared" si="24"/>
        <v>0</v>
      </c>
      <c r="AA95" s="68">
        <f t="shared" si="25"/>
        <v>1.3059999999999998</v>
      </c>
      <c r="AB95" s="68">
        <f t="shared" si="26"/>
        <v>1.0580000000000001</v>
      </c>
      <c r="AC95" s="57"/>
      <c r="AD95" s="57"/>
      <c r="AE95" s="57"/>
      <c r="AF95" s="57"/>
    </row>
    <row r="96" spans="1:32" s="82" customFormat="1" ht="15" customHeight="1">
      <c r="A96" s="83"/>
      <c r="B96" s="110">
        <f>'115+260'!B97</f>
        <v>45334</v>
      </c>
      <c r="C96" s="80">
        <f t="shared" si="18"/>
        <v>1</v>
      </c>
      <c r="D96" s="79">
        <f t="shared" si="19"/>
        <v>1069</v>
      </c>
      <c r="E96" s="78">
        <f>VLOOKUP(B96,'115+260'!B97:AB198,3,FALSE)</f>
        <v>1559</v>
      </c>
      <c r="F96" s="75">
        <f t="shared" si="14"/>
        <v>2628</v>
      </c>
      <c r="G96" s="77">
        <f>VLOOKUP(B96,'115+260'!$B$15:$AB$115,20,FALSE)</f>
        <v>959</v>
      </c>
      <c r="H96" s="77">
        <f>VLOOKUP(B96,'115+260'!$B$15:$AB$115,4,FALSE)</f>
        <v>969</v>
      </c>
      <c r="I96" s="74">
        <f t="shared" si="15"/>
        <v>1659</v>
      </c>
      <c r="J96" s="74">
        <f>VLOOKUP(B96,'115+260'!$B$15:$AB$115,13,FALSE)</f>
        <v>-341</v>
      </c>
      <c r="K96" s="72">
        <f>'115+260'!Q97</f>
        <v>0</v>
      </c>
      <c r="L96" s="71">
        <f t="shared" si="20"/>
        <v>141</v>
      </c>
      <c r="M96" s="76">
        <f>VLOOKUP(B96,'115+260'!$B$14:$AB$115,21,FALSE)</f>
        <v>969</v>
      </c>
      <c r="N96" s="75">
        <f>VLOOKUP(B96,'115+260'!$B$15:$AB$115,5,FALSE)</f>
        <v>979</v>
      </c>
      <c r="O96" s="74">
        <f t="shared" si="16"/>
        <v>1649</v>
      </c>
      <c r="P96" s="74">
        <f>VLOOKUP(B96,'115+260'!$B$15:$AB$115,14,FALSE)</f>
        <v>-351</v>
      </c>
      <c r="Q96" s="72">
        <f>'115+260'!R97</f>
        <v>0</v>
      </c>
      <c r="R96" s="71">
        <f t="shared" si="21"/>
        <v>131</v>
      </c>
      <c r="S96" s="76">
        <f>VLOOKUP(B96,'115+260'!$B$14:$AB$115,22,FALSE)</f>
        <v>975</v>
      </c>
      <c r="T96" s="75">
        <f>VLOOKUP(B96,'115+260'!$B$15:$AB$115,6,FALSE)</f>
        <v>1003</v>
      </c>
      <c r="U96" s="74">
        <f t="shared" si="17"/>
        <v>1625</v>
      </c>
      <c r="V96" s="73">
        <f>VLOOKUP(B96,'115+260'!$B$15:$AB$115,15,FALSE)</f>
        <v>-375</v>
      </c>
      <c r="W96" s="72">
        <f>'115+260'!S97</f>
        <v>0</v>
      </c>
      <c r="X96" s="71">
        <f t="shared" si="22"/>
        <v>125</v>
      </c>
      <c r="Y96" s="70">
        <f t="shared" si="23"/>
        <v>0</v>
      </c>
      <c r="Z96" s="69">
        <f t="shared" si="24"/>
        <v>0</v>
      </c>
      <c r="AA96" s="68">
        <f t="shared" si="25"/>
        <v>1.3059999999999998</v>
      </c>
      <c r="AB96" s="68">
        <f t="shared" si="26"/>
        <v>1.0580000000000001</v>
      </c>
      <c r="AC96" s="57"/>
      <c r="AD96" s="57"/>
      <c r="AE96" s="57"/>
      <c r="AF96" s="57"/>
    </row>
    <row r="97" spans="1:32" s="84" customFormat="1" ht="15" customHeight="1">
      <c r="A97" s="83"/>
      <c r="B97" s="110">
        <f>'115+260'!B98</f>
        <v>45335</v>
      </c>
      <c r="C97" s="80">
        <f t="shared" si="18"/>
        <v>1</v>
      </c>
      <c r="D97" s="79">
        <f t="shared" si="19"/>
        <v>1069</v>
      </c>
      <c r="E97" s="78">
        <f>VLOOKUP(B97,'115+260'!B98:AB199,3,FALSE)</f>
        <v>1557</v>
      </c>
      <c r="F97" s="75">
        <f t="shared" si="14"/>
        <v>2626</v>
      </c>
      <c r="G97" s="77">
        <f>VLOOKUP(B97,'115+260'!$B$15:$AB$115,20,FALSE)</f>
        <v>959</v>
      </c>
      <c r="H97" s="77">
        <f>VLOOKUP(B97,'115+260'!$B$15:$AB$115,4,FALSE)</f>
        <v>967</v>
      </c>
      <c r="I97" s="74">
        <f t="shared" si="15"/>
        <v>1659</v>
      </c>
      <c r="J97" s="74">
        <f>VLOOKUP(B97,'115+260'!$B$15:$AB$115,13,FALSE)</f>
        <v>-341</v>
      </c>
      <c r="K97" s="72">
        <f>'115+260'!Q98</f>
        <v>0</v>
      </c>
      <c r="L97" s="71">
        <f t="shared" si="20"/>
        <v>141</v>
      </c>
      <c r="M97" s="76">
        <f>VLOOKUP(B97,'115+260'!$B$14:$AB$115,21,FALSE)</f>
        <v>969</v>
      </c>
      <c r="N97" s="75">
        <f>VLOOKUP(B97,'115+260'!$B$15:$AB$115,5,FALSE)</f>
        <v>977</v>
      </c>
      <c r="O97" s="74">
        <f t="shared" si="16"/>
        <v>1649</v>
      </c>
      <c r="P97" s="74">
        <f>VLOOKUP(B97,'115+260'!$B$15:$AB$115,14,FALSE)</f>
        <v>-351</v>
      </c>
      <c r="Q97" s="72">
        <f>'115+260'!R98</f>
        <v>0</v>
      </c>
      <c r="R97" s="71">
        <f t="shared" si="21"/>
        <v>131</v>
      </c>
      <c r="S97" s="76">
        <f>VLOOKUP(B97,'115+260'!$B$14:$AB$115,22,FALSE)</f>
        <v>975</v>
      </c>
      <c r="T97" s="75">
        <f>VLOOKUP(B97,'115+260'!$B$15:$AB$115,6,FALSE)</f>
        <v>1001</v>
      </c>
      <c r="U97" s="74">
        <f t="shared" si="17"/>
        <v>1625</v>
      </c>
      <c r="V97" s="73">
        <f>VLOOKUP(B97,'115+260'!$B$15:$AB$115,15,FALSE)</f>
        <v>-375</v>
      </c>
      <c r="W97" s="72">
        <f>'115+260'!S98</f>
        <v>0</v>
      </c>
      <c r="X97" s="71">
        <f t="shared" si="22"/>
        <v>125</v>
      </c>
      <c r="Y97" s="70">
        <f t="shared" si="23"/>
        <v>0</v>
      </c>
      <c r="Z97" s="69">
        <f t="shared" si="24"/>
        <v>0</v>
      </c>
      <c r="AA97" s="68">
        <f t="shared" si="25"/>
        <v>1.3059999999999998</v>
      </c>
      <c r="AB97" s="68">
        <f t="shared" si="26"/>
        <v>1.0580000000000001</v>
      </c>
      <c r="AC97" s="85"/>
      <c r="AD97" s="85"/>
      <c r="AE97" s="85"/>
      <c r="AF97" s="85"/>
    </row>
    <row r="98" spans="1:32" s="82" customFormat="1" ht="15" customHeight="1">
      <c r="A98" s="83"/>
      <c r="B98" s="110">
        <f>'115+260'!B99</f>
        <v>45336</v>
      </c>
      <c r="C98" s="80">
        <f t="shared" si="18"/>
        <v>1</v>
      </c>
      <c r="D98" s="79">
        <f t="shared" si="19"/>
        <v>1069</v>
      </c>
      <c r="E98" s="78">
        <f>VLOOKUP(B98,'115+260'!B99:AB200,3,FALSE)</f>
        <v>1555</v>
      </c>
      <c r="F98" s="75">
        <f t="shared" si="14"/>
        <v>2624</v>
      </c>
      <c r="G98" s="77">
        <f>VLOOKUP(B98,'115+260'!$B$15:$AB$115,20,FALSE)</f>
        <v>959</v>
      </c>
      <c r="H98" s="77">
        <f>VLOOKUP(B98,'115+260'!$B$15:$AB$115,4,FALSE)</f>
        <v>965</v>
      </c>
      <c r="I98" s="74">
        <f t="shared" si="15"/>
        <v>1659</v>
      </c>
      <c r="J98" s="74">
        <f>VLOOKUP(B98,'115+260'!$B$15:$AB$115,13,FALSE)</f>
        <v>-341</v>
      </c>
      <c r="K98" s="72">
        <f>'115+260'!Q99</f>
        <v>0</v>
      </c>
      <c r="L98" s="71">
        <f t="shared" si="20"/>
        <v>141</v>
      </c>
      <c r="M98" s="76">
        <f>VLOOKUP(B98,'115+260'!$B$14:$AB$115,21,FALSE)</f>
        <v>969</v>
      </c>
      <c r="N98" s="75">
        <f>VLOOKUP(B98,'115+260'!$B$15:$AB$115,5,FALSE)</f>
        <v>975</v>
      </c>
      <c r="O98" s="74">
        <f t="shared" si="16"/>
        <v>1649</v>
      </c>
      <c r="P98" s="74">
        <f>VLOOKUP(B98,'115+260'!$B$15:$AB$115,14,FALSE)</f>
        <v>-351</v>
      </c>
      <c r="Q98" s="72">
        <f>'115+260'!R99</f>
        <v>0</v>
      </c>
      <c r="R98" s="71">
        <f t="shared" si="21"/>
        <v>131</v>
      </c>
      <c r="S98" s="76">
        <f>VLOOKUP(B98,'115+260'!$B$14:$AB$115,22,FALSE)</f>
        <v>975</v>
      </c>
      <c r="T98" s="75">
        <f>VLOOKUP(B98,'115+260'!$B$15:$AB$115,6,FALSE)</f>
        <v>999</v>
      </c>
      <c r="U98" s="74">
        <f t="shared" si="17"/>
        <v>1625</v>
      </c>
      <c r="V98" s="73">
        <f>VLOOKUP(B98,'115+260'!$B$15:$AB$115,15,FALSE)</f>
        <v>-375</v>
      </c>
      <c r="W98" s="72">
        <f>'115+260'!S99</f>
        <v>0</v>
      </c>
      <c r="X98" s="71">
        <f t="shared" si="22"/>
        <v>125</v>
      </c>
      <c r="Y98" s="70">
        <f t="shared" si="23"/>
        <v>0</v>
      </c>
      <c r="Z98" s="69">
        <f t="shared" si="24"/>
        <v>0</v>
      </c>
      <c r="AA98" s="68">
        <f t="shared" si="25"/>
        <v>1.3059999999999998</v>
      </c>
      <c r="AB98" s="68">
        <f t="shared" si="26"/>
        <v>1.0580000000000001</v>
      </c>
      <c r="AC98" s="57"/>
      <c r="AD98" s="57"/>
      <c r="AE98" s="57"/>
      <c r="AF98" s="57"/>
    </row>
    <row r="99" spans="1:32" s="82" customFormat="1" ht="15" customHeight="1">
      <c r="A99" s="83"/>
      <c r="B99" s="110">
        <f>'115+260'!B100</f>
        <v>45337</v>
      </c>
      <c r="C99" s="80">
        <f t="shared" si="18"/>
        <v>1</v>
      </c>
      <c r="D99" s="79">
        <f t="shared" si="19"/>
        <v>1069</v>
      </c>
      <c r="E99" s="78">
        <f>VLOOKUP(B99,'115+260'!B100:AB201,3,FALSE)</f>
        <v>1553</v>
      </c>
      <c r="F99" s="75">
        <f t="shared" si="14"/>
        <v>2622</v>
      </c>
      <c r="G99" s="77">
        <f>VLOOKUP(B99,'115+260'!$B$15:$AB$115,20,FALSE)</f>
        <v>959</v>
      </c>
      <c r="H99" s="77">
        <f>VLOOKUP(B99,'115+260'!$B$15:$AB$115,4,FALSE)</f>
        <v>963</v>
      </c>
      <c r="I99" s="74">
        <f t="shared" si="15"/>
        <v>1659</v>
      </c>
      <c r="J99" s="74">
        <f>VLOOKUP(B99,'115+260'!$B$15:$AB$115,13,FALSE)</f>
        <v>-341</v>
      </c>
      <c r="K99" s="72">
        <f>'115+260'!Q100</f>
        <v>0</v>
      </c>
      <c r="L99" s="71">
        <f t="shared" si="20"/>
        <v>141</v>
      </c>
      <c r="M99" s="76">
        <f>VLOOKUP(B99,'115+260'!$B$14:$AB$115,21,FALSE)</f>
        <v>969</v>
      </c>
      <c r="N99" s="75">
        <f>VLOOKUP(B99,'115+260'!$B$15:$AB$115,5,FALSE)</f>
        <v>973</v>
      </c>
      <c r="O99" s="74">
        <f t="shared" si="16"/>
        <v>1649</v>
      </c>
      <c r="P99" s="74">
        <f>VLOOKUP(B99,'115+260'!$B$15:$AB$115,14,FALSE)</f>
        <v>-351</v>
      </c>
      <c r="Q99" s="72">
        <f>'115+260'!R100</f>
        <v>0</v>
      </c>
      <c r="R99" s="71">
        <f t="shared" si="21"/>
        <v>131</v>
      </c>
      <c r="S99" s="76">
        <f>VLOOKUP(B99,'115+260'!$B$14:$AB$115,22,FALSE)</f>
        <v>975</v>
      </c>
      <c r="T99" s="75">
        <f>VLOOKUP(B99,'115+260'!$B$15:$AB$115,6,FALSE)</f>
        <v>997</v>
      </c>
      <c r="U99" s="74">
        <f t="shared" si="17"/>
        <v>1625</v>
      </c>
      <c r="V99" s="73">
        <f>VLOOKUP(B99,'115+260'!$B$15:$AB$115,15,FALSE)</f>
        <v>-375</v>
      </c>
      <c r="W99" s="72">
        <f>'115+260'!S100</f>
        <v>0</v>
      </c>
      <c r="X99" s="71">
        <f t="shared" si="22"/>
        <v>125</v>
      </c>
      <c r="Y99" s="70">
        <f t="shared" si="23"/>
        <v>0</v>
      </c>
      <c r="Z99" s="69">
        <f t="shared" si="24"/>
        <v>0</v>
      </c>
      <c r="AA99" s="68">
        <f t="shared" si="25"/>
        <v>1.3059999999999998</v>
      </c>
      <c r="AB99" s="68">
        <f t="shared" si="26"/>
        <v>1.0580000000000001</v>
      </c>
      <c r="AC99" s="57"/>
      <c r="AD99" s="57"/>
      <c r="AE99" s="57"/>
      <c r="AF99" s="57"/>
    </row>
    <row r="100" spans="1:32" s="82" customFormat="1" ht="15" customHeight="1">
      <c r="A100" s="83"/>
      <c r="B100" s="110">
        <f>'115+260'!B101</f>
        <v>45338</v>
      </c>
      <c r="C100" s="80">
        <f t="shared" si="18"/>
        <v>1</v>
      </c>
      <c r="D100" s="79">
        <f t="shared" si="19"/>
        <v>1069</v>
      </c>
      <c r="E100" s="78">
        <f>VLOOKUP(B100,'115+260'!B101:AB202,3,FALSE)</f>
        <v>1551</v>
      </c>
      <c r="F100" s="75">
        <f t="shared" si="14"/>
        <v>2620</v>
      </c>
      <c r="G100" s="77">
        <f>VLOOKUP(B100,'115+260'!$B$15:$AB$115,20,FALSE)</f>
        <v>959</v>
      </c>
      <c r="H100" s="77">
        <f>VLOOKUP(B100,'115+260'!$B$15:$AB$115,4,FALSE)</f>
        <v>961</v>
      </c>
      <c r="I100" s="74">
        <f t="shared" si="15"/>
        <v>1659</v>
      </c>
      <c r="J100" s="74">
        <f>VLOOKUP(B100,'115+260'!$B$15:$AB$115,13,FALSE)</f>
        <v>-341</v>
      </c>
      <c r="K100" s="72">
        <f>'115+260'!Q101</f>
        <v>0</v>
      </c>
      <c r="L100" s="71">
        <f t="shared" si="20"/>
        <v>141</v>
      </c>
      <c r="M100" s="76">
        <f>VLOOKUP(B100,'115+260'!$B$14:$AB$115,21,FALSE)</f>
        <v>969</v>
      </c>
      <c r="N100" s="75">
        <f>VLOOKUP(B100,'115+260'!$B$15:$AB$115,5,FALSE)</f>
        <v>971</v>
      </c>
      <c r="O100" s="74">
        <f t="shared" si="16"/>
        <v>1649</v>
      </c>
      <c r="P100" s="74">
        <f>VLOOKUP(B100,'115+260'!$B$15:$AB$115,14,FALSE)</f>
        <v>-351</v>
      </c>
      <c r="Q100" s="72">
        <f>'115+260'!R101</f>
        <v>0</v>
      </c>
      <c r="R100" s="71">
        <f t="shared" si="21"/>
        <v>131</v>
      </c>
      <c r="S100" s="76">
        <f>VLOOKUP(B100,'115+260'!$B$14:$AB$115,22,FALSE)</f>
        <v>975</v>
      </c>
      <c r="T100" s="75">
        <f>VLOOKUP(B100,'115+260'!$B$15:$AB$115,6,FALSE)</f>
        <v>995</v>
      </c>
      <c r="U100" s="74">
        <f t="shared" si="17"/>
        <v>1625</v>
      </c>
      <c r="V100" s="73">
        <f>VLOOKUP(B100,'115+260'!$B$15:$AB$115,15,FALSE)</f>
        <v>-375</v>
      </c>
      <c r="W100" s="72">
        <f>'115+260'!S101</f>
        <v>0</v>
      </c>
      <c r="X100" s="71">
        <f t="shared" si="22"/>
        <v>125</v>
      </c>
      <c r="Y100" s="70">
        <f t="shared" si="23"/>
        <v>0</v>
      </c>
      <c r="Z100" s="69">
        <f t="shared" si="24"/>
        <v>0</v>
      </c>
      <c r="AA100" s="68">
        <f t="shared" si="25"/>
        <v>1.3059999999999998</v>
      </c>
      <c r="AB100" s="68">
        <f t="shared" si="26"/>
        <v>1.0580000000000001</v>
      </c>
      <c r="AC100" s="57"/>
      <c r="AD100" s="57"/>
      <c r="AE100" s="57"/>
      <c r="AF100" s="57"/>
    </row>
    <row r="101" spans="1:32" s="82" customFormat="1" ht="15" customHeight="1">
      <c r="A101" s="83"/>
      <c r="B101" s="110">
        <f>'115+260'!B102</f>
        <v>45339</v>
      </c>
      <c r="C101" s="80">
        <f t="shared" si="18"/>
        <v>1</v>
      </c>
      <c r="D101" s="79">
        <f t="shared" si="19"/>
        <v>1069</v>
      </c>
      <c r="E101" s="78">
        <f>VLOOKUP(B101,'115+260'!B102:AB203,3,FALSE)</f>
        <v>1549</v>
      </c>
      <c r="F101" s="75">
        <f t="shared" si="14"/>
        <v>2618</v>
      </c>
      <c r="G101" s="77">
        <f>VLOOKUP(B101,'115+260'!$B$15:$AB$115,20,FALSE)</f>
        <v>959</v>
      </c>
      <c r="H101" s="77">
        <f>VLOOKUP(B101,'115+260'!$B$15:$AB$115,4,FALSE)</f>
        <v>959</v>
      </c>
      <c r="I101" s="74">
        <f t="shared" si="15"/>
        <v>1659</v>
      </c>
      <c r="J101" s="74">
        <f>VLOOKUP(B101,'115+260'!$B$15:$AB$115,13,FALSE)</f>
        <v>-341</v>
      </c>
      <c r="K101" s="72">
        <f>'115+260'!Q102</f>
        <v>0</v>
      </c>
      <c r="L101" s="71">
        <f t="shared" si="20"/>
        <v>141</v>
      </c>
      <c r="M101" s="76">
        <f>VLOOKUP(B101,'115+260'!$B$14:$AB$115,21,FALSE)</f>
        <v>969</v>
      </c>
      <c r="N101" s="75">
        <f>VLOOKUP(B101,'115+260'!$B$15:$AB$115,5,FALSE)</f>
        <v>969</v>
      </c>
      <c r="O101" s="74">
        <f t="shared" si="16"/>
        <v>1649</v>
      </c>
      <c r="P101" s="74">
        <f>VLOOKUP(B101,'115+260'!$B$15:$AB$115,14,FALSE)</f>
        <v>-351</v>
      </c>
      <c r="Q101" s="72">
        <f>'115+260'!R102</f>
        <v>0</v>
      </c>
      <c r="R101" s="71">
        <f t="shared" si="21"/>
        <v>131</v>
      </c>
      <c r="S101" s="76">
        <f>VLOOKUP(B101,'115+260'!$B$14:$AB$115,22,FALSE)</f>
        <v>975</v>
      </c>
      <c r="T101" s="75">
        <f>VLOOKUP(B101,'115+260'!$B$15:$AB$115,6,FALSE)</f>
        <v>993</v>
      </c>
      <c r="U101" s="74">
        <f t="shared" si="17"/>
        <v>1625</v>
      </c>
      <c r="V101" s="73">
        <f>VLOOKUP(B101,'115+260'!$B$15:$AB$115,15,FALSE)</f>
        <v>-375</v>
      </c>
      <c r="W101" s="72">
        <f>'115+260'!S102</f>
        <v>0</v>
      </c>
      <c r="X101" s="71">
        <f t="shared" si="22"/>
        <v>125</v>
      </c>
      <c r="Y101" s="70">
        <f t="shared" si="23"/>
        <v>0</v>
      </c>
      <c r="Z101" s="69">
        <f t="shared" si="24"/>
        <v>0</v>
      </c>
      <c r="AA101" s="68">
        <f t="shared" si="25"/>
        <v>1.3059999999999998</v>
      </c>
      <c r="AB101" s="68">
        <f t="shared" si="26"/>
        <v>1.0580000000000001</v>
      </c>
      <c r="AC101" s="57"/>
      <c r="AD101" s="57"/>
      <c r="AE101" s="57"/>
      <c r="AF101" s="57"/>
    </row>
    <row r="102" spans="1:32" s="82" customFormat="1" ht="15" customHeight="1">
      <c r="A102" s="83"/>
      <c r="B102" s="110">
        <f>'115+260'!B103</f>
        <v>45340</v>
      </c>
      <c r="C102" s="80">
        <f t="shared" si="18"/>
        <v>1</v>
      </c>
      <c r="D102" s="79">
        <f t="shared" si="19"/>
        <v>1069</v>
      </c>
      <c r="E102" s="78">
        <f>VLOOKUP(B102,'115+260'!B103:AB204,3,FALSE)</f>
        <v>1547</v>
      </c>
      <c r="F102" s="75">
        <f t="shared" si="14"/>
        <v>2616</v>
      </c>
      <c r="G102" s="77">
        <f>VLOOKUP(B102,'115+260'!$B$15:$AB$115,20,FALSE)</f>
        <v>959</v>
      </c>
      <c r="H102" s="77">
        <f>VLOOKUP(B102,'115+260'!$B$15:$AB$115,4,FALSE)</f>
        <v>957</v>
      </c>
      <c r="I102" s="74">
        <f t="shared" si="15"/>
        <v>1659</v>
      </c>
      <c r="J102" s="74">
        <f>VLOOKUP(B102,'115+260'!$B$15:$AB$115,13,FALSE)</f>
        <v>-341</v>
      </c>
      <c r="K102" s="72">
        <f>'115+260'!Q103</f>
        <v>0</v>
      </c>
      <c r="L102" s="71">
        <f t="shared" si="20"/>
        <v>141</v>
      </c>
      <c r="M102" s="76">
        <f>VLOOKUP(B102,'115+260'!$B$14:$AB$115,21,FALSE)</f>
        <v>969</v>
      </c>
      <c r="N102" s="75">
        <f>VLOOKUP(B102,'115+260'!$B$15:$AB$115,5,FALSE)</f>
        <v>967</v>
      </c>
      <c r="O102" s="74">
        <f t="shared" si="16"/>
        <v>1649</v>
      </c>
      <c r="P102" s="74">
        <f>VLOOKUP(B102,'115+260'!$B$15:$AB$115,14,FALSE)</f>
        <v>-351</v>
      </c>
      <c r="Q102" s="72">
        <f>'115+260'!R103</f>
        <v>0</v>
      </c>
      <c r="R102" s="71">
        <f t="shared" si="21"/>
        <v>131</v>
      </c>
      <c r="S102" s="76">
        <f>VLOOKUP(B102,'115+260'!$B$14:$AB$115,22,FALSE)</f>
        <v>975</v>
      </c>
      <c r="T102" s="75">
        <f>VLOOKUP(B102,'115+260'!$B$15:$AB$115,6,FALSE)</f>
        <v>991</v>
      </c>
      <c r="U102" s="74">
        <f t="shared" si="17"/>
        <v>1625</v>
      </c>
      <c r="V102" s="73">
        <f>VLOOKUP(B102,'115+260'!$B$15:$AB$115,15,FALSE)</f>
        <v>-375</v>
      </c>
      <c r="W102" s="72">
        <f>'115+260'!S103</f>
        <v>0</v>
      </c>
      <c r="X102" s="71">
        <f t="shared" si="22"/>
        <v>125</v>
      </c>
      <c r="Y102" s="70">
        <f t="shared" si="23"/>
        <v>0</v>
      </c>
      <c r="Z102" s="69">
        <f t="shared" si="24"/>
        <v>0</v>
      </c>
      <c r="AA102" s="68">
        <f t="shared" si="25"/>
        <v>1.3059999999999998</v>
      </c>
      <c r="AB102" s="68">
        <f t="shared" si="26"/>
        <v>1.0580000000000001</v>
      </c>
      <c r="AC102" s="57"/>
      <c r="AD102" s="57"/>
      <c r="AE102" s="57"/>
      <c r="AF102" s="57"/>
    </row>
    <row r="103" spans="1:32" s="82" customFormat="1" ht="15" customHeight="1">
      <c r="A103" s="83"/>
      <c r="B103" s="110">
        <f>'115+260'!B104</f>
        <v>45341</v>
      </c>
      <c r="C103" s="80">
        <f t="shared" si="18"/>
        <v>1</v>
      </c>
      <c r="D103" s="79">
        <f t="shared" si="19"/>
        <v>1069</v>
      </c>
      <c r="E103" s="78">
        <f>VLOOKUP(B103,'115+260'!B104:AB205,3,FALSE)</f>
        <v>1545</v>
      </c>
      <c r="F103" s="75">
        <f t="shared" si="14"/>
        <v>2614</v>
      </c>
      <c r="G103" s="77">
        <f>VLOOKUP(B103,'115+260'!$B$15:$AB$115,20,FALSE)</f>
        <v>959</v>
      </c>
      <c r="H103" s="77">
        <f>VLOOKUP(B103,'115+260'!$B$15:$AB$115,4,FALSE)</f>
        <v>955</v>
      </c>
      <c r="I103" s="74">
        <f t="shared" si="15"/>
        <v>1659</v>
      </c>
      <c r="J103" s="74">
        <f>VLOOKUP(B103,'115+260'!$B$15:$AB$115,13,FALSE)</f>
        <v>-341</v>
      </c>
      <c r="K103" s="72">
        <f>'115+260'!Q104</f>
        <v>0</v>
      </c>
      <c r="L103" s="71">
        <f t="shared" si="20"/>
        <v>141</v>
      </c>
      <c r="M103" s="76">
        <f>VLOOKUP(B103,'115+260'!$B$14:$AB$115,21,FALSE)</f>
        <v>969</v>
      </c>
      <c r="N103" s="75">
        <f>VLOOKUP(B103,'115+260'!$B$15:$AB$115,5,FALSE)</f>
        <v>965</v>
      </c>
      <c r="O103" s="74">
        <f t="shared" si="16"/>
        <v>1649</v>
      </c>
      <c r="P103" s="74">
        <f>VLOOKUP(B103,'115+260'!$B$15:$AB$115,14,FALSE)</f>
        <v>-351</v>
      </c>
      <c r="Q103" s="72">
        <f>'115+260'!R104</f>
        <v>0</v>
      </c>
      <c r="R103" s="71">
        <f t="shared" si="21"/>
        <v>131</v>
      </c>
      <c r="S103" s="76">
        <f>VLOOKUP(B103,'115+260'!$B$14:$AB$115,22,FALSE)</f>
        <v>975</v>
      </c>
      <c r="T103" s="75">
        <f>VLOOKUP(B103,'115+260'!$B$15:$AB$115,6,FALSE)</f>
        <v>989</v>
      </c>
      <c r="U103" s="74">
        <f t="shared" si="17"/>
        <v>1625</v>
      </c>
      <c r="V103" s="73">
        <f>VLOOKUP(B103,'115+260'!$B$15:$AB$115,15,FALSE)</f>
        <v>-375</v>
      </c>
      <c r="W103" s="72">
        <f>'115+260'!S104</f>
        <v>0</v>
      </c>
      <c r="X103" s="71">
        <f t="shared" si="22"/>
        <v>125</v>
      </c>
      <c r="Y103" s="70">
        <f t="shared" si="23"/>
        <v>0</v>
      </c>
      <c r="Z103" s="69">
        <f t="shared" si="24"/>
        <v>0</v>
      </c>
      <c r="AA103" s="68">
        <f t="shared" si="25"/>
        <v>1.3059999999999998</v>
      </c>
      <c r="AB103" s="68">
        <f t="shared" si="26"/>
        <v>1.0580000000000001</v>
      </c>
      <c r="AC103" s="57"/>
      <c r="AD103" s="57"/>
      <c r="AE103" s="57"/>
      <c r="AF103" s="57"/>
    </row>
    <row r="104" spans="1:32" s="82" customFormat="1" ht="15" customHeight="1">
      <c r="A104" s="83"/>
      <c r="B104" s="110">
        <f>'115+260'!B105</f>
        <v>45342</v>
      </c>
      <c r="C104" s="80">
        <f t="shared" si="18"/>
        <v>1</v>
      </c>
      <c r="D104" s="79">
        <f t="shared" si="19"/>
        <v>1069</v>
      </c>
      <c r="E104" s="78">
        <f>VLOOKUP(B104,'115+260'!B105:AB206,3,FALSE)</f>
        <v>1543</v>
      </c>
      <c r="F104" s="75">
        <f t="shared" si="14"/>
        <v>2612</v>
      </c>
      <c r="G104" s="77">
        <f>VLOOKUP(B104,'115+260'!$B$15:$AB$115,20,FALSE)</f>
        <v>959</v>
      </c>
      <c r="H104" s="77">
        <f>VLOOKUP(B104,'115+260'!$B$15:$AB$115,4,FALSE)</f>
        <v>953</v>
      </c>
      <c r="I104" s="74">
        <f t="shared" si="15"/>
        <v>1659</v>
      </c>
      <c r="J104" s="74">
        <f>VLOOKUP(B104,'115+260'!$B$15:$AB$115,13,FALSE)</f>
        <v>-341</v>
      </c>
      <c r="K104" s="72">
        <f>'115+260'!Q105</f>
        <v>0</v>
      </c>
      <c r="L104" s="71">
        <f t="shared" si="20"/>
        <v>141</v>
      </c>
      <c r="M104" s="76">
        <f>VLOOKUP(B104,'115+260'!$B$14:$AB$115,21,FALSE)</f>
        <v>969</v>
      </c>
      <c r="N104" s="75">
        <f>VLOOKUP(B104,'115+260'!$B$15:$AB$115,5,FALSE)</f>
        <v>963</v>
      </c>
      <c r="O104" s="74">
        <f t="shared" si="16"/>
        <v>1649</v>
      </c>
      <c r="P104" s="74">
        <f>VLOOKUP(B104,'115+260'!$B$15:$AB$115,14,FALSE)</f>
        <v>-351</v>
      </c>
      <c r="Q104" s="72">
        <f>'115+260'!R105</f>
        <v>0</v>
      </c>
      <c r="R104" s="71">
        <f t="shared" si="21"/>
        <v>131</v>
      </c>
      <c r="S104" s="76">
        <f>VLOOKUP(B104,'115+260'!$B$14:$AB$115,22,FALSE)</f>
        <v>975</v>
      </c>
      <c r="T104" s="75">
        <f>VLOOKUP(B104,'115+260'!$B$15:$AB$115,6,FALSE)</f>
        <v>987</v>
      </c>
      <c r="U104" s="74">
        <f t="shared" si="17"/>
        <v>1625</v>
      </c>
      <c r="V104" s="73">
        <f>VLOOKUP(B104,'115+260'!$B$15:$AB$115,15,FALSE)</f>
        <v>-375</v>
      </c>
      <c r="W104" s="72">
        <f>'115+260'!S105</f>
        <v>0</v>
      </c>
      <c r="X104" s="71">
        <f t="shared" si="22"/>
        <v>125</v>
      </c>
      <c r="Y104" s="70">
        <f t="shared" si="23"/>
        <v>0</v>
      </c>
      <c r="Z104" s="69">
        <f t="shared" si="24"/>
        <v>0</v>
      </c>
      <c r="AA104" s="68">
        <f t="shared" si="25"/>
        <v>1.3059999999999998</v>
      </c>
      <c r="AB104" s="68">
        <f t="shared" si="26"/>
        <v>1.0580000000000001</v>
      </c>
      <c r="AC104" s="57"/>
      <c r="AD104" s="57"/>
      <c r="AE104" s="57"/>
      <c r="AF104" s="57"/>
    </row>
    <row r="105" spans="1:32" s="82" customFormat="1" ht="15" customHeight="1">
      <c r="A105" s="83"/>
      <c r="B105" s="110">
        <f>'115+260'!B106</f>
        <v>45343</v>
      </c>
      <c r="C105" s="80">
        <f t="shared" si="18"/>
        <v>1</v>
      </c>
      <c r="D105" s="79">
        <f t="shared" si="19"/>
        <v>1069</v>
      </c>
      <c r="E105" s="78">
        <f>VLOOKUP(B105,'115+260'!B106:AB207,3,FALSE)</f>
        <v>1541</v>
      </c>
      <c r="F105" s="75">
        <f t="shared" si="14"/>
        <v>2610</v>
      </c>
      <c r="G105" s="77">
        <f>VLOOKUP(B105,'115+260'!$B$15:$AB$115,20,FALSE)</f>
        <v>959</v>
      </c>
      <c r="H105" s="77">
        <f>VLOOKUP(B105,'115+260'!$B$15:$AB$115,4,FALSE)</f>
        <v>951</v>
      </c>
      <c r="I105" s="74">
        <f t="shared" si="15"/>
        <v>1659</v>
      </c>
      <c r="J105" s="74">
        <f>VLOOKUP(B105,'115+260'!$B$15:$AB$115,13,FALSE)</f>
        <v>-341</v>
      </c>
      <c r="K105" s="72">
        <f>'115+260'!Q106</f>
        <v>0</v>
      </c>
      <c r="L105" s="71">
        <f t="shared" si="20"/>
        <v>141</v>
      </c>
      <c r="M105" s="76">
        <f>VLOOKUP(B105,'115+260'!$B$14:$AB$115,21,FALSE)</f>
        <v>969</v>
      </c>
      <c r="N105" s="75">
        <f>VLOOKUP(B105,'115+260'!$B$15:$AB$115,5,FALSE)</f>
        <v>961</v>
      </c>
      <c r="O105" s="74">
        <f t="shared" si="16"/>
        <v>1649</v>
      </c>
      <c r="P105" s="74">
        <f>VLOOKUP(B105,'115+260'!$B$15:$AB$115,14,FALSE)</f>
        <v>-351</v>
      </c>
      <c r="Q105" s="72">
        <f>'115+260'!R106</f>
        <v>0</v>
      </c>
      <c r="R105" s="71">
        <f t="shared" si="21"/>
        <v>131</v>
      </c>
      <c r="S105" s="76">
        <f>VLOOKUP(B105,'115+260'!$B$14:$AB$115,22,FALSE)</f>
        <v>975</v>
      </c>
      <c r="T105" s="75">
        <f>VLOOKUP(B105,'115+260'!$B$15:$AB$115,6,FALSE)</f>
        <v>985</v>
      </c>
      <c r="U105" s="74">
        <f t="shared" si="17"/>
        <v>1625</v>
      </c>
      <c r="V105" s="73">
        <f>VLOOKUP(B105,'115+260'!$B$15:$AB$115,15,FALSE)</f>
        <v>-375</v>
      </c>
      <c r="W105" s="72">
        <f>'115+260'!S106</f>
        <v>0</v>
      </c>
      <c r="X105" s="71">
        <f t="shared" si="22"/>
        <v>125</v>
      </c>
      <c r="Y105" s="70">
        <f t="shared" si="23"/>
        <v>0</v>
      </c>
      <c r="Z105" s="69">
        <f t="shared" si="24"/>
        <v>0</v>
      </c>
      <c r="AA105" s="68">
        <f t="shared" si="25"/>
        <v>1.3059999999999998</v>
      </c>
      <c r="AB105" s="68">
        <f t="shared" si="26"/>
        <v>1.0580000000000001</v>
      </c>
      <c r="AC105" s="57"/>
      <c r="AD105" s="57"/>
      <c r="AE105" s="57"/>
      <c r="AF105" s="57"/>
    </row>
    <row r="106" spans="1:32" s="82" customFormat="1" ht="15" customHeight="1">
      <c r="A106" s="83"/>
      <c r="B106" s="110">
        <f>'115+260'!B107</f>
        <v>45344</v>
      </c>
      <c r="C106" s="80">
        <f t="shared" si="18"/>
        <v>1</v>
      </c>
      <c r="D106" s="79">
        <f t="shared" si="19"/>
        <v>1069</v>
      </c>
      <c r="E106" s="78">
        <f>VLOOKUP(B106,'115+260'!B107:AB208,3,FALSE)</f>
        <v>1539</v>
      </c>
      <c r="F106" s="75">
        <f t="shared" si="14"/>
        <v>2608</v>
      </c>
      <c r="G106" s="77">
        <f>VLOOKUP(B106,'115+260'!$B$15:$AB$115,20,FALSE)</f>
        <v>959</v>
      </c>
      <c r="H106" s="77">
        <f>VLOOKUP(B106,'115+260'!$B$15:$AB$115,4,FALSE)</f>
        <v>949</v>
      </c>
      <c r="I106" s="74">
        <f t="shared" si="15"/>
        <v>1659</v>
      </c>
      <c r="J106" s="74">
        <f>VLOOKUP(B106,'115+260'!$B$15:$AB$115,13,FALSE)</f>
        <v>-341</v>
      </c>
      <c r="K106" s="72">
        <f>'115+260'!Q107</f>
        <v>0</v>
      </c>
      <c r="L106" s="71">
        <f t="shared" si="20"/>
        <v>141</v>
      </c>
      <c r="M106" s="76">
        <f>VLOOKUP(B106,'115+260'!$B$14:$AB$115,21,FALSE)</f>
        <v>969</v>
      </c>
      <c r="N106" s="75">
        <f>VLOOKUP(B106,'115+260'!$B$15:$AB$115,5,FALSE)</f>
        <v>959</v>
      </c>
      <c r="O106" s="74">
        <f t="shared" si="16"/>
        <v>1649</v>
      </c>
      <c r="P106" s="74">
        <f>VLOOKUP(B106,'115+260'!$B$15:$AB$115,14,FALSE)</f>
        <v>-351</v>
      </c>
      <c r="Q106" s="72">
        <f>'115+260'!R107</f>
        <v>0</v>
      </c>
      <c r="R106" s="71">
        <f t="shared" si="21"/>
        <v>131</v>
      </c>
      <c r="S106" s="76">
        <f>VLOOKUP(B106,'115+260'!$B$14:$AB$115,22,FALSE)</f>
        <v>975</v>
      </c>
      <c r="T106" s="75">
        <f>VLOOKUP(B106,'115+260'!$B$15:$AB$115,6,FALSE)</f>
        <v>983</v>
      </c>
      <c r="U106" s="74">
        <f t="shared" si="17"/>
        <v>1625</v>
      </c>
      <c r="V106" s="73">
        <f>VLOOKUP(B106,'115+260'!$B$15:$AB$115,15,FALSE)</f>
        <v>-375</v>
      </c>
      <c r="W106" s="72">
        <f>'115+260'!S107</f>
        <v>0</v>
      </c>
      <c r="X106" s="71">
        <f t="shared" si="22"/>
        <v>125</v>
      </c>
      <c r="Y106" s="70">
        <f t="shared" si="23"/>
        <v>0</v>
      </c>
      <c r="Z106" s="69">
        <f t="shared" si="24"/>
        <v>0</v>
      </c>
      <c r="AA106" s="68">
        <f t="shared" si="25"/>
        <v>1.3059999999999998</v>
      </c>
      <c r="AB106" s="68">
        <f t="shared" si="26"/>
        <v>1.0580000000000001</v>
      </c>
      <c r="AC106" s="57"/>
      <c r="AD106" s="57"/>
      <c r="AE106" s="57"/>
      <c r="AF106" s="57"/>
    </row>
    <row r="107" spans="1:32" s="82" customFormat="1" ht="15" customHeight="1">
      <c r="A107" s="83"/>
      <c r="B107" s="110">
        <f>'115+260'!B108</f>
        <v>45345</v>
      </c>
      <c r="C107" s="80">
        <f t="shared" si="18"/>
        <v>1</v>
      </c>
      <c r="D107" s="79">
        <f t="shared" si="19"/>
        <v>1069</v>
      </c>
      <c r="E107" s="78">
        <f>VLOOKUP(B107,'115+260'!B108:AB209,3,FALSE)</f>
        <v>1537</v>
      </c>
      <c r="F107" s="75">
        <f t="shared" si="14"/>
        <v>2606</v>
      </c>
      <c r="G107" s="77">
        <f>VLOOKUP(B107,'115+260'!$B$15:$AB$115,20,FALSE)</f>
        <v>959</v>
      </c>
      <c r="H107" s="77">
        <f>VLOOKUP(B107,'115+260'!$B$15:$AB$115,4,FALSE)</f>
        <v>947</v>
      </c>
      <c r="I107" s="74">
        <f t="shared" si="15"/>
        <v>1659</v>
      </c>
      <c r="J107" s="74">
        <f>VLOOKUP(B107,'115+260'!$B$15:$AB$115,13,FALSE)</f>
        <v>-341</v>
      </c>
      <c r="K107" s="72">
        <f>'115+260'!Q108</f>
        <v>0</v>
      </c>
      <c r="L107" s="71">
        <f t="shared" si="20"/>
        <v>141</v>
      </c>
      <c r="M107" s="76">
        <f>VLOOKUP(B107,'115+260'!$B$14:$AB$115,21,FALSE)</f>
        <v>969</v>
      </c>
      <c r="N107" s="75">
        <f>VLOOKUP(B107,'115+260'!$B$15:$AB$115,5,FALSE)</f>
        <v>957</v>
      </c>
      <c r="O107" s="74">
        <f t="shared" si="16"/>
        <v>1649</v>
      </c>
      <c r="P107" s="74">
        <f>VLOOKUP(B107,'115+260'!$B$15:$AB$115,14,FALSE)</f>
        <v>-351</v>
      </c>
      <c r="Q107" s="72">
        <f>'115+260'!R108</f>
        <v>0</v>
      </c>
      <c r="R107" s="71">
        <f t="shared" si="21"/>
        <v>131</v>
      </c>
      <c r="S107" s="76">
        <f>VLOOKUP(B107,'115+260'!$B$14:$AB$115,22,FALSE)</f>
        <v>975</v>
      </c>
      <c r="T107" s="75">
        <f>VLOOKUP(B107,'115+260'!$B$15:$AB$115,6,FALSE)</f>
        <v>981</v>
      </c>
      <c r="U107" s="74">
        <f t="shared" si="17"/>
        <v>1625</v>
      </c>
      <c r="V107" s="73">
        <f>VLOOKUP(B107,'115+260'!$B$15:$AB$115,15,FALSE)</f>
        <v>-375</v>
      </c>
      <c r="W107" s="72">
        <f>'115+260'!S108</f>
        <v>0</v>
      </c>
      <c r="X107" s="71">
        <f t="shared" si="22"/>
        <v>125</v>
      </c>
      <c r="Y107" s="70">
        <f t="shared" si="23"/>
        <v>0</v>
      </c>
      <c r="Z107" s="69">
        <f t="shared" si="24"/>
        <v>0</v>
      </c>
      <c r="AA107" s="68">
        <f t="shared" si="25"/>
        <v>1.3059999999999998</v>
      </c>
      <c r="AB107" s="68">
        <f t="shared" si="26"/>
        <v>1.0580000000000001</v>
      </c>
      <c r="AC107" s="57"/>
      <c r="AD107" s="57"/>
      <c r="AE107" s="57"/>
      <c r="AF107" s="57"/>
    </row>
    <row r="108" spans="1:32" s="82" customFormat="1" ht="15" customHeight="1">
      <c r="A108" s="83"/>
      <c r="B108" s="110">
        <f>'115+260'!B109</f>
        <v>45346</v>
      </c>
      <c r="C108" s="80">
        <f t="shared" si="18"/>
        <v>1</v>
      </c>
      <c r="D108" s="79">
        <f t="shared" si="19"/>
        <v>1069</v>
      </c>
      <c r="E108" s="78">
        <f>VLOOKUP(B108,'115+260'!B109:AB210,3,FALSE)</f>
        <v>1535</v>
      </c>
      <c r="F108" s="75">
        <f t="shared" si="14"/>
        <v>2604</v>
      </c>
      <c r="G108" s="77">
        <f>VLOOKUP(B108,'115+260'!$B$15:$AB$115,20,FALSE)</f>
        <v>959</v>
      </c>
      <c r="H108" s="77">
        <f>VLOOKUP(B108,'115+260'!$B$15:$AB$115,4,FALSE)</f>
        <v>945</v>
      </c>
      <c r="I108" s="74">
        <f t="shared" si="15"/>
        <v>1659</v>
      </c>
      <c r="J108" s="74">
        <f>VLOOKUP(B108,'115+260'!$B$15:$AB$115,13,FALSE)</f>
        <v>-341</v>
      </c>
      <c r="K108" s="72">
        <f>'115+260'!Q109</f>
        <v>0</v>
      </c>
      <c r="L108" s="71">
        <f t="shared" si="20"/>
        <v>141</v>
      </c>
      <c r="M108" s="76">
        <f>VLOOKUP(B108,'115+260'!$B$14:$AB$115,21,FALSE)</f>
        <v>969</v>
      </c>
      <c r="N108" s="75">
        <f>VLOOKUP(B108,'115+260'!$B$15:$AB$115,5,FALSE)</f>
        <v>955</v>
      </c>
      <c r="O108" s="74">
        <f t="shared" si="16"/>
        <v>1649</v>
      </c>
      <c r="P108" s="74">
        <f>VLOOKUP(B108,'115+260'!$B$15:$AB$115,14,FALSE)</f>
        <v>-351</v>
      </c>
      <c r="Q108" s="72">
        <f>'115+260'!R109</f>
        <v>0</v>
      </c>
      <c r="R108" s="71">
        <f t="shared" si="21"/>
        <v>131</v>
      </c>
      <c r="S108" s="76">
        <f>VLOOKUP(B108,'115+260'!$B$14:$AB$115,22,FALSE)</f>
        <v>975</v>
      </c>
      <c r="T108" s="75">
        <f>VLOOKUP(B108,'115+260'!$B$15:$AB$115,6,FALSE)</f>
        <v>979</v>
      </c>
      <c r="U108" s="74">
        <f t="shared" si="17"/>
        <v>1625</v>
      </c>
      <c r="V108" s="73">
        <f>VLOOKUP(B108,'115+260'!$B$15:$AB$115,15,FALSE)</f>
        <v>-375</v>
      </c>
      <c r="W108" s="72">
        <f>'115+260'!S109</f>
        <v>0</v>
      </c>
      <c r="X108" s="71">
        <f t="shared" si="22"/>
        <v>125</v>
      </c>
      <c r="Y108" s="70">
        <f t="shared" si="23"/>
        <v>0</v>
      </c>
      <c r="Z108" s="69">
        <f t="shared" si="24"/>
        <v>0</v>
      </c>
      <c r="AA108" s="68">
        <f t="shared" si="25"/>
        <v>1.3059999999999998</v>
      </c>
      <c r="AB108" s="68">
        <f t="shared" si="26"/>
        <v>1.0580000000000001</v>
      </c>
      <c r="AC108" s="57"/>
      <c r="AD108" s="57"/>
      <c r="AE108" s="57"/>
      <c r="AF108" s="57"/>
    </row>
    <row r="109" spans="1:32" s="82" customFormat="1" ht="15" customHeight="1">
      <c r="A109" s="83"/>
      <c r="B109" s="110">
        <f>'115+260'!B110</f>
        <v>45347</v>
      </c>
      <c r="C109" s="80">
        <f t="shared" si="18"/>
        <v>1</v>
      </c>
      <c r="D109" s="79">
        <f t="shared" si="19"/>
        <v>1069</v>
      </c>
      <c r="E109" s="78">
        <f>VLOOKUP(B109,'115+260'!B110:AB211,3,FALSE)</f>
        <v>1533</v>
      </c>
      <c r="F109" s="75">
        <f t="shared" si="14"/>
        <v>2602</v>
      </c>
      <c r="G109" s="77">
        <f>VLOOKUP(B109,'115+260'!$B$15:$AB$115,20,FALSE)</f>
        <v>959</v>
      </c>
      <c r="H109" s="77">
        <f>VLOOKUP(B109,'115+260'!$B$15:$AB$115,4,FALSE)</f>
        <v>943</v>
      </c>
      <c r="I109" s="74">
        <f t="shared" si="15"/>
        <v>1659</v>
      </c>
      <c r="J109" s="74">
        <f>VLOOKUP(B109,'115+260'!$B$15:$AB$115,13,FALSE)</f>
        <v>-341</v>
      </c>
      <c r="K109" s="72">
        <f>'115+260'!Q110</f>
        <v>0</v>
      </c>
      <c r="L109" s="71">
        <f t="shared" si="20"/>
        <v>141</v>
      </c>
      <c r="M109" s="76">
        <f>VLOOKUP(B109,'115+260'!$B$14:$AB$115,21,FALSE)</f>
        <v>969</v>
      </c>
      <c r="N109" s="75">
        <f>VLOOKUP(B109,'115+260'!$B$15:$AB$115,5,FALSE)</f>
        <v>953</v>
      </c>
      <c r="O109" s="74">
        <f t="shared" si="16"/>
        <v>1649</v>
      </c>
      <c r="P109" s="74">
        <f>VLOOKUP(B109,'115+260'!$B$15:$AB$115,14,FALSE)</f>
        <v>-351</v>
      </c>
      <c r="Q109" s="72">
        <f>'115+260'!R110</f>
        <v>0</v>
      </c>
      <c r="R109" s="71">
        <f t="shared" si="21"/>
        <v>131</v>
      </c>
      <c r="S109" s="76">
        <f>VLOOKUP(B109,'115+260'!$B$14:$AB$115,22,FALSE)</f>
        <v>975</v>
      </c>
      <c r="T109" s="75">
        <f>VLOOKUP(B109,'115+260'!$B$15:$AB$115,6,FALSE)</f>
        <v>977</v>
      </c>
      <c r="U109" s="74">
        <f t="shared" si="17"/>
        <v>1625</v>
      </c>
      <c r="V109" s="73">
        <f>VLOOKUP(B109,'115+260'!$B$15:$AB$115,15,FALSE)</f>
        <v>-375</v>
      </c>
      <c r="W109" s="72">
        <f>'115+260'!S110</f>
        <v>0</v>
      </c>
      <c r="X109" s="71">
        <f t="shared" si="22"/>
        <v>125</v>
      </c>
      <c r="Y109" s="70">
        <f t="shared" si="23"/>
        <v>0</v>
      </c>
      <c r="Z109" s="69">
        <f t="shared" si="24"/>
        <v>0</v>
      </c>
      <c r="AA109" s="68">
        <f t="shared" si="25"/>
        <v>1.3059999999999998</v>
      </c>
      <c r="AB109" s="68">
        <f t="shared" si="26"/>
        <v>1.0580000000000001</v>
      </c>
      <c r="AC109" s="57"/>
      <c r="AD109" s="57"/>
      <c r="AE109" s="57"/>
      <c r="AF109" s="57"/>
    </row>
    <row r="110" spans="1:32" s="82" customFormat="1" ht="15" customHeight="1">
      <c r="A110" s="83"/>
      <c r="B110" s="110">
        <f>'115+260'!B111</f>
        <v>45348</v>
      </c>
      <c r="C110" s="80">
        <f t="shared" si="18"/>
        <v>1</v>
      </c>
      <c r="D110" s="79">
        <f t="shared" si="19"/>
        <v>1069</v>
      </c>
      <c r="E110" s="78">
        <f>VLOOKUP(B110,'115+260'!B111:AB212,3,FALSE)</f>
        <v>1531</v>
      </c>
      <c r="F110" s="75">
        <f t="shared" si="14"/>
        <v>2600</v>
      </c>
      <c r="G110" s="77">
        <f>VLOOKUP(B110,'115+260'!$B$15:$AB$115,20,FALSE)</f>
        <v>959</v>
      </c>
      <c r="H110" s="77">
        <f>VLOOKUP(B110,'115+260'!$B$15:$AB$115,4,FALSE)</f>
        <v>941</v>
      </c>
      <c r="I110" s="74">
        <f t="shared" si="15"/>
        <v>1659</v>
      </c>
      <c r="J110" s="74">
        <f>VLOOKUP(B110,'115+260'!$B$15:$AB$115,13,FALSE)</f>
        <v>-341</v>
      </c>
      <c r="K110" s="72">
        <f>'115+260'!Q111</f>
        <v>0</v>
      </c>
      <c r="L110" s="71">
        <f t="shared" si="20"/>
        <v>141</v>
      </c>
      <c r="M110" s="76">
        <f>VLOOKUP(B110,'115+260'!$B$14:$AB$115,21,FALSE)</f>
        <v>969</v>
      </c>
      <c r="N110" s="75">
        <f>VLOOKUP(B110,'115+260'!$B$15:$AB$115,5,FALSE)</f>
        <v>951</v>
      </c>
      <c r="O110" s="74">
        <f t="shared" si="16"/>
        <v>1649</v>
      </c>
      <c r="P110" s="74">
        <f>VLOOKUP(B110,'115+260'!$B$15:$AB$115,14,FALSE)</f>
        <v>-351</v>
      </c>
      <c r="Q110" s="72">
        <f>'115+260'!R111</f>
        <v>0</v>
      </c>
      <c r="R110" s="71">
        <f t="shared" si="21"/>
        <v>131</v>
      </c>
      <c r="S110" s="76">
        <f>VLOOKUP(B110,'115+260'!$B$14:$AB$115,22,FALSE)</f>
        <v>975</v>
      </c>
      <c r="T110" s="75">
        <f>VLOOKUP(B110,'115+260'!$B$15:$AB$115,6,FALSE)</f>
        <v>975</v>
      </c>
      <c r="U110" s="74">
        <f t="shared" si="17"/>
        <v>1625</v>
      </c>
      <c r="V110" s="73">
        <f>VLOOKUP(B110,'115+260'!$B$15:$AB$115,15,FALSE)</f>
        <v>-375</v>
      </c>
      <c r="W110" s="72">
        <f>'115+260'!S111</f>
        <v>0</v>
      </c>
      <c r="X110" s="71">
        <f t="shared" si="22"/>
        <v>125</v>
      </c>
      <c r="Y110" s="70">
        <f t="shared" si="23"/>
        <v>0</v>
      </c>
      <c r="Z110" s="69">
        <f t="shared" si="24"/>
        <v>0</v>
      </c>
      <c r="AA110" s="68">
        <f t="shared" si="25"/>
        <v>1.3059999999999998</v>
      </c>
      <c r="AB110" s="68">
        <f t="shared" si="26"/>
        <v>1.0580000000000001</v>
      </c>
      <c r="AC110" s="57"/>
      <c r="AD110" s="57"/>
      <c r="AE110" s="57"/>
      <c r="AF110" s="57"/>
    </row>
    <row r="111" spans="1:32" s="82" customFormat="1" ht="15" customHeight="1">
      <c r="A111" s="83"/>
      <c r="B111" s="110">
        <f>'115+260'!B112</f>
        <v>45349</v>
      </c>
      <c r="C111" s="80">
        <f t="shared" si="18"/>
        <v>1</v>
      </c>
      <c r="D111" s="79">
        <f t="shared" si="19"/>
        <v>1069</v>
      </c>
      <c r="E111" s="78">
        <f>VLOOKUP(B111,'115+260'!B112:AB213,3,FALSE)</f>
        <v>1529</v>
      </c>
      <c r="F111" s="75">
        <f t="shared" si="14"/>
        <v>2598</v>
      </c>
      <c r="G111" s="77">
        <f>VLOOKUP(B111,'115+260'!$B$15:$AB$115,20,FALSE)</f>
        <v>959</v>
      </c>
      <c r="H111" s="77">
        <f>VLOOKUP(B111,'115+260'!$B$15:$AB$115,4,FALSE)</f>
        <v>939</v>
      </c>
      <c r="I111" s="74">
        <f t="shared" si="15"/>
        <v>1659</v>
      </c>
      <c r="J111" s="74">
        <f>VLOOKUP(B111,'115+260'!$B$15:$AB$115,13,FALSE)</f>
        <v>-341</v>
      </c>
      <c r="K111" s="72">
        <f>'115+260'!Q112</f>
        <v>0</v>
      </c>
      <c r="L111" s="71">
        <f t="shared" si="20"/>
        <v>141</v>
      </c>
      <c r="M111" s="76">
        <f>VLOOKUP(B111,'115+260'!$B$14:$AB$115,21,FALSE)</f>
        <v>969</v>
      </c>
      <c r="N111" s="75">
        <f>VLOOKUP(B111,'115+260'!$B$15:$AB$115,5,FALSE)</f>
        <v>949</v>
      </c>
      <c r="O111" s="74">
        <f t="shared" si="16"/>
        <v>1649</v>
      </c>
      <c r="P111" s="74">
        <f>VLOOKUP(B111,'115+260'!$B$15:$AB$115,14,FALSE)</f>
        <v>-351</v>
      </c>
      <c r="Q111" s="72">
        <f>'115+260'!R112</f>
        <v>0</v>
      </c>
      <c r="R111" s="71">
        <f t="shared" si="21"/>
        <v>131</v>
      </c>
      <c r="S111" s="76">
        <f>VLOOKUP(B111,'115+260'!$B$14:$AB$115,22,FALSE)</f>
        <v>975</v>
      </c>
      <c r="T111" s="75">
        <f>VLOOKUP(B111,'115+260'!$B$15:$AB$115,6,FALSE)</f>
        <v>973</v>
      </c>
      <c r="U111" s="74">
        <f t="shared" si="17"/>
        <v>1625</v>
      </c>
      <c r="V111" s="73">
        <f>VLOOKUP(B111,'115+260'!$B$15:$AB$115,15,FALSE)</f>
        <v>-375</v>
      </c>
      <c r="W111" s="72">
        <f>'115+260'!S112</f>
        <v>0</v>
      </c>
      <c r="X111" s="71">
        <f t="shared" si="22"/>
        <v>125</v>
      </c>
      <c r="Y111" s="70">
        <f t="shared" si="23"/>
        <v>0</v>
      </c>
      <c r="Z111" s="69">
        <f t="shared" si="24"/>
        <v>0</v>
      </c>
      <c r="AA111" s="68">
        <f t="shared" si="25"/>
        <v>1.3059999999999998</v>
      </c>
      <c r="AB111" s="68">
        <f t="shared" si="26"/>
        <v>1.0580000000000001</v>
      </c>
      <c r="AC111" s="57"/>
      <c r="AD111" s="57"/>
      <c r="AE111" s="57"/>
      <c r="AF111" s="57"/>
    </row>
    <row r="112" spans="1:32" s="82" customFormat="1" ht="15" customHeight="1">
      <c r="A112" s="83"/>
      <c r="B112" s="110">
        <f>'115+260'!B113</f>
        <v>45350</v>
      </c>
      <c r="C112" s="80">
        <f t="shared" si="18"/>
        <v>1</v>
      </c>
      <c r="D112" s="79">
        <f t="shared" si="19"/>
        <v>1069</v>
      </c>
      <c r="E112" s="78">
        <f>VLOOKUP(B112,'115+260'!B113:AB214,3,FALSE)</f>
        <v>1527</v>
      </c>
      <c r="F112" s="75">
        <f t="shared" si="14"/>
        <v>2596</v>
      </c>
      <c r="G112" s="77">
        <f>VLOOKUP(B112,'115+260'!$B$15:$AB$115,20,FALSE)</f>
        <v>959</v>
      </c>
      <c r="H112" s="77">
        <f>VLOOKUP(B112,'115+260'!$B$15:$AB$115,4,FALSE)</f>
        <v>937</v>
      </c>
      <c r="I112" s="74">
        <f t="shared" si="15"/>
        <v>1659</v>
      </c>
      <c r="J112" s="74">
        <f>VLOOKUP(B112,'115+260'!$B$15:$AB$115,13,FALSE)</f>
        <v>-341</v>
      </c>
      <c r="K112" s="72">
        <f>'115+260'!Q113</f>
        <v>0</v>
      </c>
      <c r="L112" s="71">
        <f t="shared" si="20"/>
        <v>141</v>
      </c>
      <c r="M112" s="76">
        <f>VLOOKUP(B112,'115+260'!$B$14:$AB$115,21,FALSE)</f>
        <v>969</v>
      </c>
      <c r="N112" s="75">
        <f>VLOOKUP(B112,'115+260'!$B$15:$AB$115,5,FALSE)</f>
        <v>947</v>
      </c>
      <c r="O112" s="74">
        <f t="shared" si="16"/>
        <v>1649</v>
      </c>
      <c r="P112" s="74">
        <f>VLOOKUP(B112,'115+260'!$B$15:$AB$115,14,FALSE)</f>
        <v>-351</v>
      </c>
      <c r="Q112" s="72">
        <f>'115+260'!R113</f>
        <v>0</v>
      </c>
      <c r="R112" s="71">
        <f t="shared" si="21"/>
        <v>131</v>
      </c>
      <c r="S112" s="76">
        <f>VLOOKUP(B112,'115+260'!$B$14:$AB$115,22,FALSE)</f>
        <v>975</v>
      </c>
      <c r="T112" s="75">
        <f>VLOOKUP(B112,'115+260'!$B$15:$AB$115,6,FALSE)</f>
        <v>971</v>
      </c>
      <c r="U112" s="74">
        <f t="shared" si="17"/>
        <v>1625</v>
      </c>
      <c r="V112" s="73">
        <f>VLOOKUP(B112,'115+260'!$B$15:$AB$115,15,FALSE)</f>
        <v>-375</v>
      </c>
      <c r="W112" s="72">
        <f>'115+260'!S113</f>
        <v>0</v>
      </c>
      <c r="X112" s="71">
        <f t="shared" si="22"/>
        <v>125</v>
      </c>
      <c r="Y112" s="70">
        <f t="shared" si="23"/>
        <v>0</v>
      </c>
      <c r="Z112" s="69">
        <f t="shared" si="24"/>
        <v>0</v>
      </c>
      <c r="AA112" s="68">
        <f t="shared" si="25"/>
        <v>1.3059999999999998</v>
      </c>
      <c r="AB112" s="68">
        <f t="shared" si="26"/>
        <v>1.0580000000000001</v>
      </c>
      <c r="AC112" s="57"/>
      <c r="AD112" s="57"/>
      <c r="AE112" s="57"/>
      <c r="AF112" s="57"/>
    </row>
    <row r="113" spans="1:32" s="82" customFormat="1" ht="15" customHeight="1">
      <c r="A113" s="83"/>
      <c r="B113" s="110">
        <f>'115+260'!B114</f>
        <v>45351</v>
      </c>
      <c r="C113" s="80">
        <f t="shared" si="18"/>
        <v>1</v>
      </c>
      <c r="D113" s="79">
        <f t="shared" si="19"/>
        <v>1069</v>
      </c>
      <c r="E113" s="78">
        <f>VLOOKUP(B113,'115+260'!B114:AB215,3,FALSE)</f>
        <v>1525</v>
      </c>
      <c r="F113" s="75">
        <f t="shared" si="14"/>
        <v>2594</v>
      </c>
      <c r="G113" s="77">
        <f>VLOOKUP(B113,'115+260'!$B$15:$AB$115,20,FALSE)</f>
        <v>959</v>
      </c>
      <c r="H113" s="77">
        <f>VLOOKUP(B113,'115+260'!$B$15:$AB$115,4,FALSE)</f>
        <v>935</v>
      </c>
      <c r="I113" s="74">
        <f t="shared" si="15"/>
        <v>1659</v>
      </c>
      <c r="J113" s="74">
        <f>VLOOKUP(B113,'115+260'!$B$15:$AB$115,13,FALSE)</f>
        <v>-341</v>
      </c>
      <c r="K113" s="72">
        <f>'115+260'!Q114</f>
        <v>0</v>
      </c>
      <c r="L113" s="71">
        <f t="shared" si="20"/>
        <v>141</v>
      </c>
      <c r="M113" s="76">
        <f>VLOOKUP(B113,'115+260'!$B$14:$AB$115,21,FALSE)</f>
        <v>969</v>
      </c>
      <c r="N113" s="75">
        <f>VLOOKUP(B113,'115+260'!$B$15:$AB$115,5,FALSE)</f>
        <v>945</v>
      </c>
      <c r="O113" s="74">
        <f t="shared" si="16"/>
        <v>1649</v>
      </c>
      <c r="P113" s="74">
        <f>VLOOKUP(B113,'115+260'!$B$15:$AB$115,14,FALSE)</f>
        <v>-351</v>
      </c>
      <c r="Q113" s="72">
        <f>'115+260'!R114</f>
        <v>0</v>
      </c>
      <c r="R113" s="71">
        <f t="shared" si="21"/>
        <v>131</v>
      </c>
      <c r="S113" s="76">
        <f>VLOOKUP(B113,'115+260'!$B$14:$AB$115,22,FALSE)</f>
        <v>975</v>
      </c>
      <c r="T113" s="75">
        <f>VLOOKUP(B113,'115+260'!$B$15:$AB$115,6,FALSE)</f>
        <v>969</v>
      </c>
      <c r="U113" s="74">
        <f t="shared" si="17"/>
        <v>1625</v>
      </c>
      <c r="V113" s="73">
        <f>VLOOKUP(B113,'115+260'!$B$15:$AB$115,15,FALSE)</f>
        <v>-375</v>
      </c>
      <c r="W113" s="72">
        <f>'115+260'!S114</f>
        <v>0</v>
      </c>
      <c r="X113" s="71">
        <f t="shared" si="22"/>
        <v>125</v>
      </c>
      <c r="Y113" s="70">
        <f t="shared" si="23"/>
        <v>0</v>
      </c>
      <c r="Z113" s="69">
        <f t="shared" si="24"/>
        <v>0</v>
      </c>
      <c r="AA113" s="68">
        <f t="shared" si="25"/>
        <v>1.3059999999999998</v>
      </c>
      <c r="AB113" s="68">
        <f t="shared" si="26"/>
        <v>1.0580000000000001</v>
      </c>
      <c r="AC113" s="57"/>
      <c r="AD113" s="57"/>
      <c r="AE113" s="57"/>
      <c r="AF113" s="57"/>
    </row>
    <row r="114" spans="1:32" s="82" customFormat="1" ht="15" customHeight="1">
      <c r="A114" s="83"/>
      <c r="B114" s="110">
        <f>'115+260'!B115</f>
        <v>45352</v>
      </c>
      <c r="C114" s="80">
        <f t="shared" si="18"/>
        <v>1</v>
      </c>
      <c r="D114" s="79">
        <f t="shared" si="19"/>
        <v>1069</v>
      </c>
      <c r="E114" s="78">
        <f>VLOOKUP(B114,'115+260'!B115:AB216,3,FALSE)</f>
        <v>1523</v>
      </c>
      <c r="F114" s="75">
        <f t="shared" si="14"/>
        <v>2592</v>
      </c>
      <c r="G114" s="77">
        <f>VLOOKUP(B114,'115+260'!$B$15:$AB$115,20,FALSE)</f>
        <v>959</v>
      </c>
      <c r="H114" s="77">
        <f>VLOOKUP(B114,'115+260'!$B$15:$AB$115,4,FALSE)</f>
        <v>933</v>
      </c>
      <c r="I114" s="74">
        <f t="shared" si="15"/>
        <v>1659</v>
      </c>
      <c r="J114" s="74">
        <f>VLOOKUP(B114,'115+260'!$B$15:$AB$115,13,FALSE)</f>
        <v>-341</v>
      </c>
      <c r="K114" s="72">
        <f>'115+260'!Q115</f>
        <v>0</v>
      </c>
      <c r="L114" s="71">
        <f t="shared" si="20"/>
        <v>141</v>
      </c>
      <c r="M114" s="76">
        <f>VLOOKUP(B114,'115+260'!$B$14:$AB$115,21,FALSE)</f>
        <v>969</v>
      </c>
      <c r="N114" s="75">
        <f>VLOOKUP(B114,'115+260'!$B$15:$AB$115,5,FALSE)</f>
        <v>943</v>
      </c>
      <c r="O114" s="74">
        <f t="shared" si="16"/>
        <v>1649</v>
      </c>
      <c r="P114" s="74">
        <f>VLOOKUP(B114,'115+260'!$B$15:$AB$115,14,FALSE)</f>
        <v>-351</v>
      </c>
      <c r="Q114" s="72">
        <f>'115+260'!R115</f>
        <v>0</v>
      </c>
      <c r="R114" s="71">
        <f t="shared" si="21"/>
        <v>131</v>
      </c>
      <c r="S114" s="76">
        <f>VLOOKUP(B114,'115+260'!$B$14:$AB$115,22,FALSE)</f>
        <v>975</v>
      </c>
      <c r="T114" s="75">
        <f>VLOOKUP(B114,'115+260'!$B$15:$AB$115,6,FALSE)</f>
        <v>967</v>
      </c>
      <c r="U114" s="74">
        <f t="shared" si="17"/>
        <v>1625</v>
      </c>
      <c r="V114" s="73">
        <f>VLOOKUP(B114,'115+260'!$B$15:$AB$115,15,FALSE)</f>
        <v>-375</v>
      </c>
      <c r="W114" s="72">
        <f>'115+260'!S115</f>
        <v>0</v>
      </c>
      <c r="X114" s="71">
        <f t="shared" si="22"/>
        <v>125</v>
      </c>
      <c r="Y114" s="70">
        <f t="shared" si="23"/>
        <v>0</v>
      </c>
      <c r="Z114" s="69">
        <f t="shared" si="24"/>
        <v>0</v>
      </c>
      <c r="AA114" s="68">
        <f t="shared" si="25"/>
        <v>1.3059999999999998</v>
      </c>
      <c r="AB114" s="68">
        <f t="shared" si="26"/>
        <v>1.0580000000000001</v>
      </c>
      <c r="AC114" s="57"/>
      <c r="AD114" s="57"/>
      <c r="AE114" s="57"/>
      <c r="AF114" s="57"/>
    </row>
    <row r="115" spans="1:32">
      <c r="B115" s="110">
        <f>'115+260'!B116</f>
        <v>45353</v>
      </c>
      <c r="C115" s="80">
        <f t="shared" si="18"/>
        <v>1</v>
      </c>
      <c r="D115" s="79">
        <f t="shared" si="19"/>
        <v>1069</v>
      </c>
      <c r="E115" s="78">
        <f>VLOOKUP(B115,'115+260'!B116:AB217,3,FALSE)</f>
        <v>1521</v>
      </c>
      <c r="F115" s="75">
        <f t="shared" si="14"/>
        <v>2590</v>
      </c>
      <c r="G115" s="77">
        <f>VLOOKUP(B115,'115+260'!$B$15:$AB$647,20,FALSE)</f>
        <v>959</v>
      </c>
      <c r="H115" s="77">
        <f>VLOOKUP(B115,'115+260'!$B$15:$AB$647,4,FALSE)</f>
        <v>931</v>
      </c>
      <c r="I115" s="74">
        <f t="shared" si="15"/>
        <v>1659</v>
      </c>
      <c r="J115" s="74">
        <f>VLOOKUP(B115,'115+260'!$B$15:$AB$647,13,FALSE)</f>
        <v>-341</v>
      </c>
      <c r="K115" s="72">
        <f>'115+260'!Q116</f>
        <v>0</v>
      </c>
      <c r="L115" s="71">
        <f t="shared" si="20"/>
        <v>141</v>
      </c>
      <c r="M115" s="76">
        <f>VLOOKUP(B115,'115+260'!$B$14:$AB$647,21,FALSE)</f>
        <v>969</v>
      </c>
      <c r="N115" s="75">
        <f>VLOOKUP(B115,'115+260'!$B$15:$AB$647,5,FALSE)</f>
        <v>941</v>
      </c>
      <c r="O115" s="74">
        <f t="shared" si="16"/>
        <v>1649</v>
      </c>
      <c r="P115" s="74">
        <f>VLOOKUP(B115,'115+260'!$B$15:$AB$647,14,FALSE)</f>
        <v>-351</v>
      </c>
      <c r="Q115" s="72">
        <f>'115+260'!R116</f>
        <v>0</v>
      </c>
      <c r="R115" s="71">
        <f t="shared" si="21"/>
        <v>131</v>
      </c>
      <c r="S115" s="76">
        <f>VLOOKUP(B115,'115+260'!$B$14:$AB$647,22,FALSE)</f>
        <v>975</v>
      </c>
      <c r="T115" s="75">
        <f>VLOOKUP(B115,'115+260'!$B$15:$AB$647,6,FALSE)</f>
        <v>965</v>
      </c>
      <c r="U115" s="74">
        <f t="shared" si="17"/>
        <v>1625</v>
      </c>
      <c r="V115" s="73">
        <f>VLOOKUP(B115,'115+260'!$B$15:$AB$647,15,FALSE)</f>
        <v>-375</v>
      </c>
      <c r="W115" s="72">
        <f>'115+260'!S116</f>
        <v>0</v>
      </c>
      <c r="X115" s="71">
        <f t="shared" si="22"/>
        <v>125</v>
      </c>
      <c r="Y115" s="70">
        <f t="shared" si="23"/>
        <v>0</v>
      </c>
      <c r="Z115" s="69">
        <f t="shared" si="24"/>
        <v>0</v>
      </c>
      <c r="AA115" s="68">
        <f t="shared" si="25"/>
        <v>1.3059999999999998</v>
      </c>
      <c r="AB115" s="68">
        <f t="shared" si="26"/>
        <v>1.0580000000000001</v>
      </c>
      <c r="AD115" s="56"/>
      <c r="AE115" s="55"/>
    </row>
    <row r="116" spans="1:32">
      <c r="B116" s="110">
        <f>'115+260'!B117</f>
        <v>45354</v>
      </c>
      <c r="C116" s="80">
        <f t="shared" si="18"/>
        <v>1</v>
      </c>
      <c r="D116" s="79">
        <f t="shared" si="19"/>
        <v>1069</v>
      </c>
      <c r="E116" s="78">
        <f>VLOOKUP(B116,'115+260'!B117:AB218,3,FALSE)</f>
        <v>1519</v>
      </c>
      <c r="F116" s="75">
        <f t="shared" si="14"/>
        <v>2588</v>
      </c>
      <c r="G116" s="77">
        <f>VLOOKUP(B116,'115+260'!$B$15:$AB$647,20,FALSE)</f>
        <v>959</v>
      </c>
      <c r="H116" s="77">
        <f>VLOOKUP(B116,'115+260'!$B$15:$AB$647,4,FALSE)</f>
        <v>929</v>
      </c>
      <c r="I116" s="74">
        <f t="shared" si="15"/>
        <v>1659</v>
      </c>
      <c r="J116" s="74">
        <f>VLOOKUP(B116,'115+260'!$B$15:$AB$647,13,FALSE)</f>
        <v>-341</v>
      </c>
      <c r="K116" s="72">
        <f>'115+260'!Q117</f>
        <v>0</v>
      </c>
      <c r="L116" s="71">
        <f t="shared" si="20"/>
        <v>141</v>
      </c>
      <c r="M116" s="76">
        <f>VLOOKUP(B116,'115+260'!$B$14:$AB$647,21,FALSE)</f>
        <v>969</v>
      </c>
      <c r="N116" s="75">
        <f>VLOOKUP(B116,'115+260'!$B$15:$AB$647,5,FALSE)</f>
        <v>939</v>
      </c>
      <c r="O116" s="74">
        <f t="shared" si="16"/>
        <v>1649</v>
      </c>
      <c r="P116" s="74">
        <f>VLOOKUP(B116,'115+260'!$B$15:$AB$647,14,FALSE)</f>
        <v>-351</v>
      </c>
      <c r="Q116" s="72">
        <f>'115+260'!R117</f>
        <v>0</v>
      </c>
      <c r="R116" s="71">
        <f t="shared" si="21"/>
        <v>131</v>
      </c>
      <c r="S116" s="76">
        <f>VLOOKUP(B116,'115+260'!$B$14:$AB$647,22,FALSE)</f>
        <v>975</v>
      </c>
      <c r="T116" s="75">
        <f>VLOOKUP(B116,'115+260'!$B$15:$AB$647,6,FALSE)</f>
        <v>963</v>
      </c>
      <c r="U116" s="74">
        <f t="shared" si="17"/>
        <v>1625</v>
      </c>
      <c r="V116" s="73">
        <f>VLOOKUP(B116,'115+260'!$B$15:$AB$647,15,FALSE)</f>
        <v>-375</v>
      </c>
      <c r="W116" s="72">
        <f>'115+260'!S117</f>
        <v>0</v>
      </c>
      <c r="X116" s="71">
        <f t="shared" si="22"/>
        <v>125</v>
      </c>
      <c r="Y116" s="70">
        <f t="shared" si="23"/>
        <v>0</v>
      </c>
      <c r="Z116" s="69">
        <f t="shared" si="24"/>
        <v>0</v>
      </c>
      <c r="AA116" s="68">
        <f t="shared" si="25"/>
        <v>1.3059999999999998</v>
      </c>
      <c r="AB116" s="68">
        <f t="shared" si="26"/>
        <v>1.0580000000000001</v>
      </c>
      <c r="AD116" s="56"/>
      <c r="AE116" s="55"/>
    </row>
    <row r="117" spans="1:32">
      <c r="B117" s="110">
        <f>'115+260'!B118</f>
        <v>45355</v>
      </c>
      <c r="C117" s="80">
        <f t="shared" si="18"/>
        <v>1</v>
      </c>
      <c r="D117" s="79">
        <f t="shared" si="19"/>
        <v>1069</v>
      </c>
      <c r="E117" s="78">
        <f>VLOOKUP(B117,'115+260'!B118:AB219,3,FALSE)</f>
        <v>1517</v>
      </c>
      <c r="F117" s="75">
        <f t="shared" si="14"/>
        <v>2586</v>
      </c>
      <c r="G117" s="77">
        <f>VLOOKUP(B117,'115+260'!$B$15:$AB$647,20,FALSE)</f>
        <v>959</v>
      </c>
      <c r="H117" s="77">
        <f>VLOOKUP(B117,'115+260'!$B$15:$AB$647,4,FALSE)</f>
        <v>927</v>
      </c>
      <c r="I117" s="74">
        <f t="shared" si="15"/>
        <v>1659</v>
      </c>
      <c r="J117" s="74">
        <f>VLOOKUP(B117,'115+260'!$B$15:$AB$647,13,FALSE)</f>
        <v>-341</v>
      </c>
      <c r="K117" s="72">
        <f>'115+260'!Q118</f>
        <v>0</v>
      </c>
      <c r="L117" s="71">
        <f t="shared" si="20"/>
        <v>141</v>
      </c>
      <c r="M117" s="76">
        <f>VLOOKUP(B117,'115+260'!$B$14:$AB$647,21,FALSE)</f>
        <v>969</v>
      </c>
      <c r="N117" s="75">
        <f>VLOOKUP(B117,'115+260'!$B$15:$AB$647,5,FALSE)</f>
        <v>937</v>
      </c>
      <c r="O117" s="74">
        <f t="shared" si="16"/>
        <v>1649</v>
      </c>
      <c r="P117" s="74">
        <f>VLOOKUP(B117,'115+260'!$B$15:$AB$647,14,FALSE)</f>
        <v>-351</v>
      </c>
      <c r="Q117" s="72">
        <f>'115+260'!R118</f>
        <v>0</v>
      </c>
      <c r="R117" s="71">
        <f t="shared" si="21"/>
        <v>131</v>
      </c>
      <c r="S117" s="76">
        <f>VLOOKUP(B117,'115+260'!$B$14:$AB$647,22,FALSE)</f>
        <v>975</v>
      </c>
      <c r="T117" s="75">
        <f>VLOOKUP(B117,'115+260'!$B$15:$AB$647,6,FALSE)</f>
        <v>961</v>
      </c>
      <c r="U117" s="74">
        <f t="shared" si="17"/>
        <v>1625</v>
      </c>
      <c r="V117" s="73">
        <f>VLOOKUP(B117,'115+260'!$B$15:$AB$647,15,FALSE)</f>
        <v>-375</v>
      </c>
      <c r="W117" s="72">
        <f>'115+260'!S118</f>
        <v>0</v>
      </c>
      <c r="X117" s="71">
        <f t="shared" si="22"/>
        <v>125</v>
      </c>
      <c r="Y117" s="70">
        <f t="shared" si="23"/>
        <v>0</v>
      </c>
      <c r="Z117" s="69">
        <f t="shared" si="24"/>
        <v>0</v>
      </c>
      <c r="AA117" s="68">
        <f t="shared" si="25"/>
        <v>1.3059999999999998</v>
      </c>
      <c r="AB117" s="68">
        <f t="shared" si="26"/>
        <v>1.0580000000000001</v>
      </c>
      <c r="AD117" s="56"/>
      <c r="AE117" s="55"/>
    </row>
    <row r="118" spans="1:32">
      <c r="B118" s="110">
        <f>'115+260'!B119</f>
        <v>45356</v>
      </c>
      <c r="C118" s="80">
        <f t="shared" si="18"/>
        <v>1</v>
      </c>
      <c r="D118" s="79">
        <f t="shared" si="19"/>
        <v>1069</v>
      </c>
      <c r="E118" s="78">
        <f>VLOOKUP(B118,'115+260'!B119:AB220,3,FALSE)</f>
        <v>1515</v>
      </c>
      <c r="F118" s="75">
        <f t="shared" si="14"/>
        <v>2584</v>
      </c>
      <c r="G118" s="77">
        <f>VLOOKUP(B118,'115+260'!$B$15:$AB$647,20,FALSE)</f>
        <v>959</v>
      </c>
      <c r="H118" s="77">
        <f>VLOOKUP(B118,'115+260'!$B$15:$AB$647,4,FALSE)</f>
        <v>925</v>
      </c>
      <c r="I118" s="74">
        <f t="shared" si="15"/>
        <v>1659</v>
      </c>
      <c r="J118" s="74">
        <f>VLOOKUP(B118,'115+260'!$B$15:$AB$647,13,FALSE)</f>
        <v>-341</v>
      </c>
      <c r="K118" s="72">
        <f>'115+260'!Q119</f>
        <v>0</v>
      </c>
      <c r="L118" s="71">
        <f t="shared" si="20"/>
        <v>141</v>
      </c>
      <c r="M118" s="76">
        <f>VLOOKUP(B118,'115+260'!$B$14:$AB$647,21,FALSE)</f>
        <v>969</v>
      </c>
      <c r="N118" s="75">
        <f>VLOOKUP(B118,'115+260'!$B$15:$AB$647,5,FALSE)</f>
        <v>935</v>
      </c>
      <c r="O118" s="74">
        <f t="shared" si="16"/>
        <v>1649</v>
      </c>
      <c r="P118" s="74">
        <f>VLOOKUP(B118,'115+260'!$B$15:$AB$647,14,FALSE)</f>
        <v>-351</v>
      </c>
      <c r="Q118" s="72">
        <f>'115+260'!R119</f>
        <v>0</v>
      </c>
      <c r="R118" s="71">
        <f t="shared" si="21"/>
        <v>131</v>
      </c>
      <c r="S118" s="76">
        <f>VLOOKUP(B118,'115+260'!$B$14:$AB$647,22,FALSE)</f>
        <v>975</v>
      </c>
      <c r="T118" s="75">
        <f>VLOOKUP(B118,'115+260'!$B$15:$AB$647,6,FALSE)</f>
        <v>959</v>
      </c>
      <c r="U118" s="74">
        <f t="shared" si="17"/>
        <v>1625</v>
      </c>
      <c r="V118" s="73">
        <f>VLOOKUP(B118,'115+260'!$B$15:$AB$647,15,FALSE)</f>
        <v>-375</v>
      </c>
      <c r="W118" s="72">
        <f>'115+260'!S119</f>
        <v>0</v>
      </c>
      <c r="X118" s="71">
        <f t="shared" si="22"/>
        <v>125</v>
      </c>
      <c r="Y118" s="70">
        <f t="shared" si="23"/>
        <v>0</v>
      </c>
      <c r="Z118" s="69">
        <f t="shared" si="24"/>
        <v>0</v>
      </c>
      <c r="AA118" s="68">
        <f t="shared" si="25"/>
        <v>1.3059999999999998</v>
      </c>
      <c r="AB118" s="68">
        <f t="shared" si="26"/>
        <v>1.0580000000000001</v>
      </c>
      <c r="AD118" s="56"/>
      <c r="AE118" s="55"/>
    </row>
    <row r="119" spans="1:32">
      <c r="B119" s="110">
        <f>'115+260'!B120</f>
        <v>45357</v>
      </c>
      <c r="C119" s="80">
        <f t="shared" si="18"/>
        <v>1</v>
      </c>
      <c r="D119" s="79">
        <f t="shared" si="19"/>
        <v>1069</v>
      </c>
      <c r="E119" s="78">
        <f>VLOOKUP(B119,'115+260'!B120:AB221,3,FALSE)</f>
        <v>1513</v>
      </c>
      <c r="F119" s="75">
        <f t="shared" si="14"/>
        <v>2582</v>
      </c>
      <c r="G119" s="77">
        <f>VLOOKUP(B119,'115+260'!$B$15:$AB$647,20,FALSE)</f>
        <v>959</v>
      </c>
      <c r="H119" s="77">
        <f>VLOOKUP(B119,'115+260'!$B$15:$AB$647,4,FALSE)</f>
        <v>923</v>
      </c>
      <c r="I119" s="74">
        <f t="shared" si="15"/>
        <v>1659</v>
      </c>
      <c r="J119" s="74">
        <f>VLOOKUP(B119,'115+260'!$B$15:$AB$647,13,FALSE)</f>
        <v>-341</v>
      </c>
      <c r="K119" s="72">
        <f>'115+260'!Q120</f>
        <v>0</v>
      </c>
      <c r="L119" s="71">
        <f t="shared" si="20"/>
        <v>141</v>
      </c>
      <c r="M119" s="76">
        <f>VLOOKUP(B119,'115+260'!$B$14:$AB$647,21,FALSE)</f>
        <v>969</v>
      </c>
      <c r="N119" s="75">
        <f>VLOOKUP(B119,'115+260'!$B$15:$AB$647,5,FALSE)</f>
        <v>933</v>
      </c>
      <c r="O119" s="74">
        <f t="shared" si="16"/>
        <v>1649</v>
      </c>
      <c r="P119" s="74">
        <f>VLOOKUP(B119,'115+260'!$B$15:$AB$647,14,FALSE)</f>
        <v>-351</v>
      </c>
      <c r="Q119" s="72">
        <f>'115+260'!R120</f>
        <v>0</v>
      </c>
      <c r="R119" s="71">
        <f t="shared" si="21"/>
        <v>131</v>
      </c>
      <c r="S119" s="76">
        <f>VLOOKUP(B119,'115+260'!$B$14:$AB$647,22,FALSE)</f>
        <v>975</v>
      </c>
      <c r="T119" s="75">
        <f>VLOOKUP(B119,'115+260'!$B$15:$AB$647,6,FALSE)</f>
        <v>957</v>
      </c>
      <c r="U119" s="74">
        <f t="shared" si="17"/>
        <v>1625</v>
      </c>
      <c r="V119" s="73">
        <f>VLOOKUP(B119,'115+260'!$B$15:$AB$647,15,FALSE)</f>
        <v>-375</v>
      </c>
      <c r="W119" s="72">
        <f>'115+260'!S120</f>
        <v>0</v>
      </c>
      <c r="X119" s="71">
        <f t="shared" si="22"/>
        <v>125</v>
      </c>
      <c r="Y119" s="70">
        <f t="shared" si="23"/>
        <v>0</v>
      </c>
      <c r="Z119" s="69">
        <f t="shared" si="24"/>
        <v>0</v>
      </c>
      <c r="AA119" s="68">
        <f t="shared" si="25"/>
        <v>1.3059999999999998</v>
      </c>
      <c r="AB119" s="68">
        <f t="shared" si="26"/>
        <v>1.0580000000000001</v>
      </c>
      <c r="AD119" s="56"/>
      <c r="AE119" s="55"/>
    </row>
    <row r="120" spans="1:32">
      <c r="B120" s="110">
        <f>'115+260'!B121</f>
        <v>45358</v>
      </c>
      <c r="C120" s="80">
        <f t="shared" si="18"/>
        <v>1</v>
      </c>
      <c r="D120" s="79">
        <f t="shared" si="19"/>
        <v>1069</v>
      </c>
      <c r="E120" s="78">
        <f>VLOOKUP(B120,'115+260'!B121:AB222,3,FALSE)</f>
        <v>1511</v>
      </c>
      <c r="F120" s="75">
        <f t="shared" si="14"/>
        <v>2580</v>
      </c>
      <c r="G120" s="77">
        <f>VLOOKUP(B120,'115+260'!$B$15:$AB$647,20,FALSE)</f>
        <v>959</v>
      </c>
      <c r="H120" s="77">
        <f>VLOOKUP(B120,'115+260'!$B$15:$AB$647,4,FALSE)</f>
        <v>921</v>
      </c>
      <c r="I120" s="74">
        <f t="shared" si="15"/>
        <v>1659</v>
      </c>
      <c r="J120" s="74">
        <f>VLOOKUP(B120,'115+260'!$B$15:$AB$647,13,FALSE)</f>
        <v>-341</v>
      </c>
      <c r="K120" s="72">
        <f>'115+260'!Q121</f>
        <v>0</v>
      </c>
      <c r="L120" s="71">
        <f t="shared" si="20"/>
        <v>141</v>
      </c>
      <c r="M120" s="76">
        <f>VLOOKUP(B120,'115+260'!$B$14:$AB$647,21,FALSE)</f>
        <v>969</v>
      </c>
      <c r="N120" s="75">
        <f>VLOOKUP(B120,'115+260'!$B$15:$AB$647,5,FALSE)</f>
        <v>931</v>
      </c>
      <c r="O120" s="74">
        <f t="shared" si="16"/>
        <v>1649</v>
      </c>
      <c r="P120" s="74">
        <f>VLOOKUP(B120,'115+260'!$B$15:$AB$647,14,FALSE)</f>
        <v>-351</v>
      </c>
      <c r="Q120" s="72">
        <f>'115+260'!R121</f>
        <v>0</v>
      </c>
      <c r="R120" s="71">
        <f t="shared" si="21"/>
        <v>131</v>
      </c>
      <c r="S120" s="76">
        <f>VLOOKUP(B120,'115+260'!$B$14:$AB$647,22,FALSE)</f>
        <v>975</v>
      </c>
      <c r="T120" s="75">
        <f>VLOOKUP(B120,'115+260'!$B$15:$AB$647,6,FALSE)</f>
        <v>955</v>
      </c>
      <c r="U120" s="74">
        <f t="shared" si="17"/>
        <v>1625</v>
      </c>
      <c r="V120" s="73">
        <f>VLOOKUP(B120,'115+260'!$B$15:$AB$647,15,FALSE)</f>
        <v>-375</v>
      </c>
      <c r="W120" s="72">
        <f>'115+260'!S121</f>
        <v>0</v>
      </c>
      <c r="X120" s="71">
        <f t="shared" si="22"/>
        <v>125</v>
      </c>
      <c r="Y120" s="70">
        <f t="shared" si="23"/>
        <v>0</v>
      </c>
      <c r="Z120" s="69">
        <f t="shared" si="24"/>
        <v>0</v>
      </c>
      <c r="AA120" s="68">
        <f t="shared" si="25"/>
        <v>1.3059999999999998</v>
      </c>
      <c r="AB120" s="68">
        <f t="shared" si="26"/>
        <v>1.0580000000000001</v>
      </c>
      <c r="AD120" s="56"/>
      <c r="AE120" s="55"/>
    </row>
    <row r="121" spans="1:32">
      <c r="B121" s="110">
        <f>'115+260'!B122</f>
        <v>45359</v>
      </c>
      <c r="C121" s="80">
        <f t="shared" si="18"/>
        <v>1</v>
      </c>
      <c r="D121" s="79">
        <f t="shared" si="19"/>
        <v>1069</v>
      </c>
      <c r="E121" s="78">
        <f>VLOOKUP(B121,'115+260'!B122:AB223,3,FALSE)</f>
        <v>1509</v>
      </c>
      <c r="F121" s="75">
        <f t="shared" si="14"/>
        <v>2578</v>
      </c>
      <c r="G121" s="77">
        <f>VLOOKUP(B121,'115+260'!$B$15:$AB$647,20,FALSE)</f>
        <v>959</v>
      </c>
      <c r="H121" s="77">
        <f>VLOOKUP(B121,'115+260'!$B$15:$AB$647,4,FALSE)</f>
        <v>919</v>
      </c>
      <c r="I121" s="74">
        <f t="shared" si="15"/>
        <v>1659</v>
      </c>
      <c r="J121" s="74">
        <f>VLOOKUP(B121,'115+260'!$B$15:$AB$647,13,FALSE)</f>
        <v>-341</v>
      </c>
      <c r="K121" s="72">
        <f>'115+260'!Q122</f>
        <v>0</v>
      </c>
      <c r="L121" s="71">
        <f t="shared" si="20"/>
        <v>141</v>
      </c>
      <c r="M121" s="76">
        <f>VLOOKUP(B121,'115+260'!$B$14:$AB$647,21,FALSE)</f>
        <v>969</v>
      </c>
      <c r="N121" s="75">
        <f>VLOOKUP(B121,'115+260'!$B$15:$AB$647,5,FALSE)</f>
        <v>929</v>
      </c>
      <c r="O121" s="74">
        <f t="shared" si="16"/>
        <v>1649</v>
      </c>
      <c r="P121" s="74">
        <f>VLOOKUP(B121,'115+260'!$B$15:$AB$647,14,FALSE)</f>
        <v>-351</v>
      </c>
      <c r="Q121" s="72">
        <f>'115+260'!R122</f>
        <v>0</v>
      </c>
      <c r="R121" s="71">
        <f t="shared" si="21"/>
        <v>131</v>
      </c>
      <c r="S121" s="76">
        <f>VLOOKUP(B121,'115+260'!$B$14:$AB$647,22,FALSE)</f>
        <v>975</v>
      </c>
      <c r="T121" s="75">
        <f>VLOOKUP(B121,'115+260'!$B$15:$AB$647,6,FALSE)</f>
        <v>953</v>
      </c>
      <c r="U121" s="74">
        <f t="shared" si="17"/>
        <v>1625</v>
      </c>
      <c r="V121" s="73">
        <f>VLOOKUP(B121,'115+260'!$B$15:$AB$647,15,FALSE)</f>
        <v>-375</v>
      </c>
      <c r="W121" s="72">
        <f>'115+260'!S122</f>
        <v>0</v>
      </c>
      <c r="X121" s="71">
        <f t="shared" si="22"/>
        <v>125</v>
      </c>
      <c r="Y121" s="70">
        <f t="shared" si="23"/>
        <v>0</v>
      </c>
      <c r="Z121" s="69">
        <f t="shared" si="24"/>
        <v>0</v>
      </c>
      <c r="AA121" s="68">
        <f t="shared" si="25"/>
        <v>1.3059999999999998</v>
      </c>
      <c r="AB121" s="68">
        <f t="shared" si="26"/>
        <v>1.0580000000000001</v>
      </c>
      <c r="AD121" s="56"/>
      <c r="AE121" s="55"/>
    </row>
    <row r="122" spans="1:32">
      <c r="B122" s="110">
        <f>'115+260'!B123</f>
        <v>45360</v>
      </c>
      <c r="C122" s="80">
        <f t="shared" si="18"/>
        <v>1</v>
      </c>
      <c r="D122" s="79">
        <f t="shared" si="19"/>
        <v>1069</v>
      </c>
      <c r="E122" s="78">
        <f>VLOOKUP(B122,'115+260'!B123:AB224,3,FALSE)</f>
        <v>1507</v>
      </c>
      <c r="F122" s="75">
        <f t="shared" si="14"/>
        <v>2576</v>
      </c>
      <c r="G122" s="77">
        <f>VLOOKUP(B122,'115+260'!$B$15:$AB$647,20,FALSE)</f>
        <v>959</v>
      </c>
      <c r="H122" s="77">
        <f>VLOOKUP(B122,'115+260'!$B$15:$AB$647,4,FALSE)</f>
        <v>917</v>
      </c>
      <c r="I122" s="74">
        <f t="shared" si="15"/>
        <v>1659</v>
      </c>
      <c r="J122" s="74">
        <f>VLOOKUP(B122,'115+260'!$B$15:$AB$647,13,FALSE)</f>
        <v>-341</v>
      </c>
      <c r="K122" s="72">
        <f>'115+260'!Q123</f>
        <v>0</v>
      </c>
      <c r="L122" s="71">
        <f t="shared" si="20"/>
        <v>141</v>
      </c>
      <c r="M122" s="76">
        <f>VLOOKUP(B122,'115+260'!$B$14:$AB$647,21,FALSE)</f>
        <v>969</v>
      </c>
      <c r="N122" s="75">
        <f>VLOOKUP(B122,'115+260'!$B$15:$AB$647,5,FALSE)</f>
        <v>927</v>
      </c>
      <c r="O122" s="74">
        <f t="shared" si="16"/>
        <v>1649</v>
      </c>
      <c r="P122" s="74">
        <f>VLOOKUP(B122,'115+260'!$B$15:$AB$647,14,FALSE)</f>
        <v>-351</v>
      </c>
      <c r="Q122" s="72">
        <f>'115+260'!R123</f>
        <v>0</v>
      </c>
      <c r="R122" s="71">
        <f t="shared" si="21"/>
        <v>131</v>
      </c>
      <c r="S122" s="76">
        <f>VLOOKUP(B122,'115+260'!$B$14:$AB$647,22,FALSE)</f>
        <v>975</v>
      </c>
      <c r="T122" s="75">
        <f>VLOOKUP(B122,'115+260'!$B$15:$AB$647,6,FALSE)</f>
        <v>951</v>
      </c>
      <c r="U122" s="74">
        <f t="shared" si="17"/>
        <v>1625</v>
      </c>
      <c r="V122" s="73">
        <f>VLOOKUP(B122,'115+260'!$B$15:$AB$647,15,FALSE)</f>
        <v>-375</v>
      </c>
      <c r="W122" s="72">
        <f>'115+260'!S123</f>
        <v>0</v>
      </c>
      <c r="X122" s="71">
        <f t="shared" si="22"/>
        <v>125</v>
      </c>
      <c r="Y122" s="70">
        <f t="shared" si="23"/>
        <v>0</v>
      </c>
      <c r="Z122" s="69">
        <f t="shared" si="24"/>
        <v>0</v>
      </c>
      <c r="AA122" s="68">
        <f t="shared" si="25"/>
        <v>1.3059999999999998</v>
      </c>
      <c r="AB122" s="68">
        <f t="shared" si="26"/>
        <v>1.0580000000000001</v>
      </c>
      <c r="AD122" s="56"/>
      <c r="AE122" s="55"/>
    </row>
    <row r="123" spans="1:32">
      <c r="B123" s="110">
        <f>'115+260'!B124</f>
        <v>45361</v>
      </c>
      <c r="C123" s="80">
        <f t="shared" si="18"/>
        <v>1</v>
      </c>
      <c r="D123" s="79">
        <f t="shared" si="19"/>
        <v>1069</v>
      </c>
      <c r="E123" s="78">
        <f>VLOOKUP(B123,'115+260'!B124:AB225,3,FALSE)</f>
        <v>1505</v>
      </c>
      <c r="F123" s="75">
        <f t="shared" si="14"/>
        <v>2574</v>
      </c>
      <c r="G123" s="77">
        <f>VLOOKUP(B123,'115+260'!$B$15:$AB$647,20,FALSE)</f>
        <v>959</v>
      </c>
      <c r="H123" s="77">
        <f>VLOOKUP(B123,'115+260'!$B$15:$AB$647,4,FALSE)</f>
        <v>915</v>
      </c>
      <c r="I123" s="74">
        <f t="shared" si="15"/>
        <v>1659</v>
      </c>
      <c r="J123" s="74">
        <f>VLOOKUP(B123,'115+260'!$B$15:$AB$647,13,FALSE)</f>
        <v>-341</v>
      </c>
      <c r="K123" s="72">
        <f>'115+260'!Q124</f>
        <v>0</v>
      </c>
      <c r="L123" s="71">
        <f t="shared" si="20"/>
        <v>141</v>
      </c>
      <c r="M123" s="76">
        <f>VLOOKUP(B123,'115+260'!$B$14:$AB$647,21,FALSE)</f>
        <v>969</v>
      </c>
      <c r="N123" s="75">
        <f>VLOOKUP(B123,'115+260'!$B$15:$AB$647,5,FALSE)</f>
        <v>925</v>
      </c>
      <c r="O123" s="74">
        <f t="shared" si="16"/>
        <v>1649</v>
      </c>
      <c r="P123" s="74">
        <f>VLOOKUP(B123,'115+260'!$B$15:$AB$647,14,FALSE)</f>
        <v>-351</v>
      </c>
      <c r="Q123" s="72">
        <f>'115+260'!R124</f>
        <v>0</v>
      </c>
      <c r="R123" s="71">
        <f t="shared" si="21"/>
        <v>131</v>
      </c>
      <c r="S123" s="76">
        <f>VLOOKUP(B123,'115+260'!$B$14:$AB$647,22,FALSE)</f>
        <v>975</v>
      </c>
      <c r="T123" s="75">
        <f>VLOOKUP(B123,'115+260'!$B$15:$AB$647,6,FALSE)</f>
        <v>949</v>
      </c>
      <c r="U123" s="74">
        <f t="shared" si="17"/>
        <v>1625</v>
      </c>
      <c r="V123" s="73">
        <f>VLOOKUP(B123,'115+260'!$B$15:$AB$647,15,FALSE)</f>
        <v>-375</v>
      </c>
      <c r="W123" s="72">
        <f>'115+260'!S124</f>
        <v>0</v>
      </c>
      <c r="X123" s="71">
        <f t="shared" si="22"/>
        <v>125</v>
      </c>
      <c r="Y123" s="70">
        <f t="shared" si="23"/>
        <v>0</v>
      </c>
      <c r="Z123" s="69">
        <f t="shared" si="24"/>
        <v>0</v>
      </c>
      <c r="AA123" s="68">
        <f t="shared" si="25"/>
        <v>1.3059999999999998</v>
      </c>
      <c r="AB123" s="68">
        <f t="shared" si="26"/>
        <v>1.0580000000000001</v>
      </c>
      <c r="AD123" s="56"/>
      <c r="AE123" s="55"/>
    </row>
    <row r="124" spans="1:32">
      <c r="B124" s="110">
        <f>'115+260'!B125</f>
        <v>45362</v>
      </c>
      <c r="C124" s="80">
        <f t="shared" si="18"/>
        <v>1</v>
      </c>
      <c r="D124" s="79">
        <f t="shared" si="19"/>
        <v>1069</v>
      </c>
      <c r="E124" s="78">
        <f>VLOOKUP(B124,'115+260'!B125:AB226,3,FALSE)</f>
        <v>1503</v>
      </c>
      <c r="F124" s="75">
        <f t="shared" si="14"/>
        <v>2572</v>
      </c>
      <c r="G124" s="77">
        <f>VLOOKUP(B124,'115+260'!$B$15:$AB$647,20,FALSE)</f>
        <v>959</v>
      </c>
      <c r="H124" s="77">
        <f>VLOOKUP(B124,'115+260'!$B$15:$AB$647,4,FALSE)</f>
        <v>913</v>
      </c>
      <c r="I124" s="74">
        <f t="shared" si="15"/>
        <v>1659</v>
      </c>
      <c r="J124" s="74">
        <f>VLOOKUP(B124,'115+260'!$B$15:$AB$647,13,FALSE)</f>
        <v>-341</v>
      </c>
      <c r="K124" s="72">
        <f>'115+260'!Q125</f>
        <v>0</v>
      </c>
      <c r="L124" s="71">
        <f t="shared" si="20"/>
        <v>141</v>
      </c>
      <c r="M124" s="76">
        <f>VLOOKUP(B124,'115+260'!$B$14:$AB$647,21,FALSE)</f>
        <v>969</v>
      </c>
      <c r="N124" s="75">
        <f>VLOOKUP(B124,'115+260'!$B$15:$AB$647,5,FALSE)</f>
        <v>923</v>
      </c>
      <c r="O124" s="74">
        <f t="shared" si="16"/>
        <v>1649</v>
      </c>
      <c r="P124" s="74">
        <f>VLOOKUP(B124,'115+260'!$B$15:$AB$647,14,FALSE)</f>
        <v>-351</v>
      </c>
      <c r="Q124" s="72">
        <f>'115+260'!R125</f>
        <v>0</v>
      </c>
      <c r="R124" s="71">
        <f t="shared" si="21"/>
        <v>131</v>
      </c>
      <c r="S124" s="76">
        <f>VLOOKUP(B124,'115+260'!$B$14:$AB$647,22,FALSE)</f>
        <v>975</v>
      </c>
      <c r="T124" s="75">
        <f>VLOOKUP(B124,'115+260'!$B$15:$AB$647,6,FALSE)</f>
        <v>947</v>
      </c>
      <c r="U124" s="74">
        <f t="shared" si="17"/>
        <v>1625</v>
      </c>
      <c r="V124" s="73">
        <f>VLOOKUP(B124,'115+260'!$B$15:$AB$647,15,FALSE)</f>
        <v>-375</v>
      </c>
      <c r="W124" s="72">
        <f>'115+260'!S125</f>
        <v>0</v>
      </c>
      <c r="X124" s="71">
        <f t="shared" si="22"/>
        <v>125</v>
      </c>
      <c r="Y124" s="70">
        <f t="shared" si="23"/>
        <v>0</v>
      </c>
      <c r="Z124" s="69">
        <f t="shared" si="24"/>
        <v>0</v>
      </c>
      <c r="AA124" s="68">
        <f t="shared" si="25"/>
        <v>1.3059999999999998</v>
      </c>
      <c r="AB124" s="68">
        <f t="shared" si="26"/>
        <v>1.0580000000000001</v>
      </c>
      <c r="AD124" s="56"/>
      <c r="AE124" s="55"/>
    </row>
    <row r="125" spans="1:32">
      <c r="B125" s="110">
        <f>'115+260'!B126</f>
        <v>45363</v>
      </c>
      <c r="C125" s="80">
        <f t="shared" si="18"/>
        <v>1</v>
      </c>
      <c r="D125" s="79">
        <f t="shared" si="19"/>
        <v>1069</v>
      </c>
      <c r="E125" s="78">
        <f>VLOOKUP(B125,'115+260'!B126:AB227,3,FALSE)</f>
        <v>1501</v>
      </c>
      <c r="F125" s="75">
        <f t="shared" si="14"/>
        <v>2570</v>
      </c>
      <c r="G125" s="77">
        <f>VLOOKUP(B125,'115+260'!$B$15:$AB$647,20,FALSE)</f>
        <v>959</v>
      </c>
      <c r="H125" s="77">
        <f>VLOOKUP(B125,'115+260'!$B$15:$AB$647,4,FALSE)</f>
        <v>911</v>
      </c>
      <c r="I125" s="74">
        <f t="shared" si="15"/>
        <v>1659</v>
      </c>
      <c r="J125" s="74">
        <f>VLOOKUP(B125,'115+260'!$B$15:$AB$647,13,FALSE)</f>
        <v>-341</v>
      </c>
      <c r="K125" s="72">
        <f>'115+260'!Q126</f>
        <v>0</v>
      </c>
      <c r="L125" s="71">
        <f t="shared" si="20"/>
        <v>141</v>
      </c>
      <c r="M125" s="76">
        <f>VLOOKUP(B125,'115+260'!$B$14:$AB$647,21,FALSE)</f>
        <v>969</v>
      </c>
      <c r="N125" s="75">
        <f>VLOOKUP(B125,'115+260'!$B$15:$AB$647,5,FALSE)</f>
        <v>921</v>
      </c>
      <c r="O125" s="74">
        <f t="shared" si="16"/>
        <v>1649</v>
      </c>
      <c r="P125" s="74">
        <f>VLOOKUP(B125,'115+260'!$B$15:$AB$647,14,FALSE)</f>
        <v>-351</v>
      </c>
      <c r="Q125" s="72">
        <f>'115+260'!R126</f>
        <v>0</v>
      </c>
      <c r="R125" s="71">
        <f t="shared" si="21"/>
        <v>131</v>
      </c>
      <c r="S125" s="76">
        <f>VLOOKUP(B125,'115+260'!$B$14:$AB$647,22,FALSE)</f>
        <v>975</v>
      </c>
      <c r="T125" s="75">
        <f>VLOOKUP(B125,'115+260'!$B$15:$AB$647,6,FALSE)</f>
        <v>945</v>
      </c>
      <c r="U125" s="74">
        <f t="shared" si="17"/>
        <v>1625</v>
      </c>
      <c r="V125" s="73">
        <f>VLOOKUP(B125,'115+260'!$B$15:$AB$647,15,FALSE)</f>
        <v>-375</v>
      </c>
      <c r="W125" s="72">
        <f>'115+260'!S126</f>
        <v>0</v>
      </c>
      <c r="X125" s="71">
        <f t="shared" si="22"/>
        <v>125</v>
      </c>
      <c r="Y125" s="70">
        <f t="shared" si="23"/>
        <v>0</v>
      </c>
      <c r="Z125" s="69">
        <f t="shared" si="24"/>
        <v>0</v>
      </c>
      <c r="AA125" s="68">
        <f t="shared" si="25"/>
        <v>1.3059999999999998</v>
      </c>
      <c r="AB125" s="68">
        <f t="shared" si="26"/>
        <v>1.0580000000000001</v>
      </c>
      <c r="AD125" s="56"/>
      <c r="AE125" s="55"/>
    </row>
    <row r="126" spans="1:32">
      <c r="B126" s="110">
        <f>'115+260'!B127</f>
        <v>45364</v>
      </c>
      <c r="C126" s="80">
        <f t="shared" si="18"/>
        <v>1</v>
      </c>
      <c r="D126" s="79">
        <f t="shared" si="19"/>
        <v>1069</v>
      </c>
      <c r="E126" s="78">
        <f>VLOOKUP(B126,'115+260'!B127:AB228,3,FALSE)</f>
        <v>1503</v>
      </c>
      <c r="F126" s="75">
        <f t="shared" si="14"/>
        <v>2572</v>
      </c>
      <c r="G126" s="77">
        <f>VLOOKUP(B126,'115+260'!$B$15:$AB$647,20,FALSE)</f>
        <v>959</v>
      </c>
      <c r="H126" s="77">
        <f>VLOOKUP(B126,'115+260'!$B$15:$AB$647,4,FALSE)</f>
        <v>913</v>
      </c>
      <c r="I126" s="74">
        <f t="shared" si="15"/>
        <v>1659</v>
      </c>
      <c r="J126" s="74">
        <f>VLOOKUP(B126,'115+260'!$B$15:$AB$647,13,FALSE)</f>
        <v>-341</v>
      </c>
      <c r="K126" s="72">
        <f>'115+260'!Q127</f>
        <v>0</v>
      </c>
      <c r="L126" s="71">
        <f t="shared" si="20"/>
        <v>141</v>
      </c>
      <c r="M126" s="76">
        <f>VLOOKUP(B126,'115+260'!$B$14:$AB$647,21,FALSE)</f>
        <v>969</v>
      </c>
      <c r="N126" s="75">
        <f>VLOOKUP(B126,'115+260'!$B$15:$AB$647,5,FALSE)</f>
        <v>923</v>
      </c>
      <c r="O126" s="74">
        <f t="shared" si="16"/>
        <v>1649</v>
      </c>
      <c r="P126" s="74">
        <f>VLOOKUP(B126,'115+260'!$B$15:$AB$647,14,FALSE)</f>
        <v>-351</v>
      </c>
      <c r="Q126" s="72">
        <f>'115+260'!R127</f>
        <v>0</v>
      </c>
      <c r="R126" s="71">
        <f t="shared" si="21"/>
        <v>131</v>
      </c>
      <c r="S126" s="76">
        <f>VLOOKUP(B126,'115+260'!$B$14:$AB$647,22,FALSE)</f>
        <v>975</v>
      </c>
      <c r="T126" s="75">
        <f>VLOOKUP(B126,'115+260'!$B$15:$AB$647,6,FALSE)</f>
        <v>947</v>
      </c>
      <c r="U126" s="74">
        <f t="shared" si="17"/>
        <v>1625</v>
      </c>
      <c r="V126" s="73">
        <f>VLOOKUP(B126,'115+260'!$B$15:$AB$647,15,FALSE)</f>
        <v>-375</v>
      </c>
      <c r="W126" s="72">
        <f>'115+260'!S127</f>
        <v>0</v>
      </c>
      <c r="X126" s="71">
        <f t="shared" si="22"/>
        <v>125</v>
      </c>
      <c r="Y126" s="70">
        <f t="shared" si="23"/>
        <v>0</v>
      </c>
      <c r="Z126" s="69">
        <f t="shared" si="24"/>
        <v>0</v>
      </c>
      <c r="AA126" s="68">
        <f t="shared" si="25"/>
        <v>1.3059999999999998</v>
      </c>
      <c r="AB126" s="68">
        <f t="shared" si="26"/>
        <v>1.0580000000000001</v>
      </c>
      <c r="AD126" s="56"/>
      <c r="AE126" s="55"/>
    </row>
    <row r="127" spans="1:32">
      <c r="B127" s="110">
        <f>'115+260'!B128</f>
        <v>45365</v>
      </c>
      <c r="C127" s="80">
        <f t="shared" si="18"/>
        <v>1</v>
      </c>
      <c r="D127" s="79">
        <f t="shared" si="19"/>
        <v>1069</v>
      </c>
      <c r="E127" s="78">
        <f>VLOOKUP(B127,'115+260'!B128:AB229,3,FALSE)</f>
        <v>1505</v>
      </c>
      <c r="F127" s="75">
        <f t="shared" si="14"/>
        <v>2574</v>
      </c>
      <c r="G127" s="77">
        <f>VLOOKUP(B127,'115+260'!$B$15:$AB$647,20,FALSE)</f>
        <v>959</v>
      </c>
      <c r="H127" s="77">
        <f>VLOOKUP(B127,'115+260'!$B$15:$AB$647,4,FALSE)</f>
        <v>915</v>
      </c>
      <c r="I127" s="74">
        <f t="shared" si="15"/>
        <v>1659</v>
      </c>
      <c r="J127" s="74">
        <f>VLOOKUP(B127,'115+260'!$B$15:$AB$647,13,FALSE)</f>
        <v>-341</v>
      </c>
      <c r="K127" s="72">
        <f>'115+260'!Q128</f>
        <v>0</v>
      </c>
      <c r="L127" s="71">
        <f t="shared" si="20"/>
        <v>141</v>
      </c>
      <c r="M127" s="76">
        <f>VLOOKUP(B127,'115+260'!$B$14:$AB$647,21,FALSE)</f>
        <v>969</v>
      </c>
      <c r="N127" s="75">
        <f>VLOOKUP(B127,'115+260'!$B$15:$AB$647,5,FALSE)</f>
        <v>925</v>
      </c>
      <c r="O127" s="74">
        <f t="shared" si="16"/>
        <v>1649</v>
      </c>
      <c r="P127" s="74">
        <f>VLOOKUP(B127,'115+260'!$B$15:$AB$647,14,FALSE)</f>
        <v>-351</v>
      </c>
      <c r="Q127" s="72">
        <f>'115+260'!R128</f>
        <v>0</v>
      </c>
      <c r="R127" s="71">
        <f t="shared" si="21"/>
        <v>131</v>
      </c>
      <c r="S127" s="76">
        <f>VLOOKUP(B127,'115+260'!$B$14:$AB$647,22,FALSE)</f>
        <v>975</v>
      </c>
      <c r="T127" s="75">
        <f>VLOOKUP(B127,'115+260'!$B$15:$AB$647,6,FALSE)</f>
        <v>949</v>
      </c>
      <c r="U127" s="74">
        <f t="shared" si="17"/>
        <v>1625</v>
      </c>
      <c r="V127" s="73">
        <f>VLOOKUP(B127,'115+260'!$B$15:$AB$647,15,FALSE)</f>
        <v>-375</v>
      </c>
      <c r="W127" s="72">
        <f>'115+260'!S128</f>
        <v>0</v>
      </c>
      <c r="X127" s="71">
        <f t="shared" si="22"/>
        <v>125</v>
      </c>
      <c r="Y127" s="70">
        <f t="shared" si="23"/>
        <v>0</v>
      </c>
      <c r="Z127" s="69">
        <f t="shared" si="24"/>
        <v>0</v>
      </c>
      <c r="AA127" s="68">
        <f t="shared" si="25"/>
        <v>1.3059999999999998</v>
      </c>
      <c r="AB127" s="68">
        <f t="shared" si="26"/>
        <v>1.0580000000000001</v>
      </c>
      <c r="AD127" s="56"/>
      <c r="AE127" s="55"/>
    </row>
    <row r="128" spans="1:32">
      <c r="B128" s="110">
        <f>'115+260'!B129</f>
        <v>45366</v>
      </c>
      <c r="C128" s="80">
        <f t="shared" si="18"/>
        <v>1</v>
      </c>
      <c r="D128" s="79">
        <f t="shared" si="19"/>
        <v>1069</v>
      </c>
      <c r="E128" s="78">
        <f>VLOOKUP(B128,'115+260'!B129:AB230,3,FALSE)</f>
        <v>1507</v>
      </c>
      <c r="F128" s="75">
        <f t="shared" si="14"/>
        <v>2576</v>
      </c>
      <c r="G128" s="77">
        <f>VLOOKUP(B128,'115+260'!$B$15:$AB$647,20,FALSE)</f>
        <v>959</v>
      </c>
      <c r="H128" s="77">
        <f>VLOOKUP(B128,'115+260'!$B$15:$AB$647,4,FALSE)</f>
        <v>917</v>
      </c>
      <c r="I128" s="74">
        <f t="shared" si="15"/>
        <v>1659</v>
      </c>
      <c r="J128" s="74">
        <f>VLOOKUP(B128,'115+260'!$B$15:$AB$647,13,FALSE)</f>
        <v>-341</v>
      </c>
      <c r="K128" s="72">
        <f>'115+260'!Q129</f>
        <v>0</v>
      </c>
      <c r="L128" s="71">
        <f t="shared" si="20"/>
        <v>141</v>
      </c>
      <c r="M128" s="76">
        <f>VLOOKUP(B128,'115+260'!$B$14:$AB$647,21,FALSE)</f>
        <v>969</v>
      </c>
      <c r="N128" s="75">
        <f>VLOOKUP(B128,'115+260'!$B$15:$AB$647,5,FALSE)</f>
        <v>927</v>
      </c>
      <c r="O128" s="74">
        <f t="shared" si="16"/>
        <v>1649</v>
      </c>
      <c r="P128" s="74">
        <f>VLOOKUP(B128,'115+260'!$B$15:$AB$647,14,FALSE)</f>
        <v>-351</v>
      </c>
      <c r="Q128" s="72">
        <f>'115+260'!R129</f>
        <v>0</v>
      </c>
      <c r="R128" s="71">
        <f t="shared" si="21"/>
        <v>131</v>
      </c>
      <c r="S128" s="76">
        <f>VLOOKUP(B128,'115+260'!$B$14:$AB$647,22,FALSE)</f>
        <v>975</v>
      </c>
      <c r="T128" s="75">
        <f>VLOOKUP(B128,'115+260'!$B$15:$AB$647,6,FALSE)</f>
        <v>951</v>
      </c>
      <c r="U128" s="74">
        <f t="shared" si="17"/>
        <v>1625</v>
      </c>
      <c r="V128" s="73">
        <f>VLOOKUP(B128,'115+260'!$B$15:$AB$647,15,FALSE)</f>
        <v>-375</v>
      </c>
      <c r="W128" s="72">
        <f>'115+260'!S129</f>
        <v>0</v>
      </c>
      <c r="X128" s="71">
        <f t="shared" si="22"/>
        <v>125</v>
      </c>
      <c r="Y128" s="70">
        <f t="shared" si="23"/>
        <v>0</v>
      </c>
      <c r="Z128" s="69">
        <f t="shared" si="24"/>
        <v>0</v>
      </c>
      <c r="AA128" s="68">
        <f t="shared" si="25"/>
        <v>1.3059999999999998</v>
      </c>
      <c r="AB128" s="68">
        <f t="shared" si="26"/>
        <v>1.0580000000000001</v>
      </c>
      <c r="AD128" s="56"/>
      <c r="AE128" s="55"/>
    </row>
    <row r="129" spans="2:31">
      <c r="B129" s="110">
        <f>'115+260'!B130</f>
        <v>45367</v>
      </c>
      <c r="C129" s="80">
        <f t="shared" si="18"/>
        <v>1</v>
      </c>
      <c r="D129" s="79">
        <f t="shared" si="19"/>
        <v>1069</v>
      </c>
      <c r="E129" s="78">
        <f>VLOOKUP(B129,'115+260'!B130:AB231,3,FALSE)</f>
        <v>1509</v>
      </c>
      <c r="F129" s="75">
        <f t="shared" si="14"/>
        <v>2578</v>
      </c>
      <c r="G129" s="77">
        <f>VLOOKUP(B129,'115+260'!$B$15:$AB$647,20,FALSE)</f>
        <v>959</v>
      </c>
      <c r="H129" s="77">
        <f>VLOOKUP(B129,'115+260'!$B$15:$AB$647,4,FALSE)</f>
        <v>919</v>
      </c>
      <c r="I129" s="74">
        <f t="shared" si="15"/>
        <v>1659</v>
      </c>
      <c r="J129" s="74">
        <f>VLOOKUP(B129,'115+260'!$B$15:$AB$647,13,FALSE)</f>
        <v>-341</v>
      </c>
      <c r="K129" s="72">
        <f>'115+260'!Q130</f>
        <v>0</v>
      </c>
      <c r="L129" s="71">
        <f t="shared" si="20"/>
        <v>141</v>
      </c>
      <c r="M129" s="76">
        <f>VLOOKUP(B129,'115+260'!$B$14:$AB$647,21,FALSE)</f>
        <v>969</v>
      </c>
      <c r="N129" s="75">
        <f>VLOOKUP(B129,'115+260'!$B$15:$AB$647,5,FALSE)</f>
        <v>929</v>
      </c>
      <c r="O129" s="74">
        <f t="shared" si="16"/>
        <v>1649</v>
      </c>
      <c r="P129" s="74">
        <f>VLOOKUP(B129,'115+260'!$B$15:$AB$647,14,FALSE)</f>
        <v>-351</v>
      </c>
      <c r="Q129" s="72">
        <f>'115+260'!R130</f>
        <v>0</v>
      </c>
      <c r="R129" s="71">
        <f t="shared" si="21"/>
        <v>131</v>
      </c>
      <c r="S129" s="76">
        <f>VLOOKUP(B129,'115+260'!$B$14:$AB$647,22,FALSE)</f>
        <v>975</v>
      </c>
      <c r="T129" s="75">
        <f>VLOOKUP(B129,'115+260'!$B$15:$AB$647,6,FALSE)</f>
        <v>953</v>
      </c>
      <c r="U129" s="74">
        <f t="shared" si="17"/>
        <v>1625</v>
      </c>
      <c r="V129" s="73">
        <f>VLOOKUP(B129,'115+260'!$B$15:$AB$647,15,FALSE)</f>
        <v>-375</v>
      </c>
      <c r="W129" s="72">
        <f>'115+260'!S130</f>
        <v>0</v>
      </c>
      <c r="X129" s="71">
        <f t="shared" si="22"/>
        <v>125</v>
      </c>
      <c r="Y129" s="70">
        <f t="shared" si="23"/>
        <v>0</v>
      </c>
      <c r="Z129" s="69">
        <f t="shared" si="24"/>
        <v>0</v>
      </c>
      <c r="AA129" s="68">
        <f t="shared" si="25"/>
        <v>1.3059999999999998</v>
      </c>
      <c r="AB129" s="68">
        <f t="shared" si="26"/>
        <v>1.0580000000000001</v>
      </c>
      <c r="AD129" s="56"/>
      <c r="AE129" s="55"/>
    </row>
    <row r="130" spans="2:31">
      <c r="B130" s="110">
        <f>'115+260'!B131</f>
        <v>45368</v>
      </c>
      <c r="C130" s="80">
        <f t="shared" si="18"/>
        <v>1</v>
      </c>
      <c r="D130" s="79">
        <f t="shared" si="19"/>
        <v>1069</v>
      </c>
      <c r="E130" s="78">
        <f>VLOOKUP(B130,'115+260'!B131:AB232,3,FALSE)</f>
        <v>1511</v>
      </c>
      <c r="F130" s="75">
        <f t="shared" si="14"/>
        <v>2580</v>
      </c>
      <c r="G130" s="77">
        <f>VLOOKUP(B130,'115+260'!$B$15:$AB$647,20,FALSE)</f>
        <v>959</v>
      </c>
      <c r="H130" s="77">
        <f>VLOOKUP(B130,'115+260'!$B$15:$AB$647,4,FALSE)</f>
        <v>921</v>
      </c>
      <c r="I130" s="74">
        <f t="shared" si="15"/>
        <v>1659</v>
      </c>
      <c r="J130" s="74">
        <f>VLOOKUP(B130,'115+260'!$B$15:$AB$647,13,FALSE)</f>
        <v>-341</v>
      </c>
      <c r="K130" s="72">
        <f>'115+260'!Q131</f>
        <v>0</v>
      </c>
      <c r="L130" s="71">
        <f t="shared" si="20"/>
        <v>141</v>
      </c>
      <c r="M130" s="76">
        <f>VLOOKUP(B130,'115+260'!$B$14:$AB$647,21,FALSE)</f>
        <v>969</v>
      </c>
      <c r="N130" s="75">
        <f>VLOOKUP(B130,'115+260'!$B$15:$AB$647,5,FALSE)</f>
        <v>931</v>
      </c>
      <c r="O130" s="74">
        <f t="shared" si="16"/>
        <v>1649</v>
      </c>
      <c r="P130" s="74">
        <f>VLOOKUP(B130,'115+260'!$B$15:$AB$647,14,FALSE)</f>
        <v>-351</v>
      </c>
      <c r="Q130" s="72">
        <f>'115+260'!R131</f>
        <v>0</v>
      </c>
      <c r="R130" s="71">
        <f t="shared" si="21"/>
        <v>131</v>
      </c>
      <c r="S130" s="76">
        <f>VLOOKUP(B130,'115+260'!$B$14:$AB$647,22,FALSE)</f>
        <v>975</v>
      </c>
      <c r="T130" s="75">
        <f>VLOOKUP(B130,'115+260'!$B$15:$AB$647,6,FALSE)</f>
        <v>955</v>
      </c>
      <c r="U130" s="74">
        <f t="shared" si="17"/>
        <v>1625</v>
      </c>
      <c r="V130" s="73">
        <f>VLOOKUP(B130,'115+260'!$B$15:$AB$647,15,FALSE)</f>
        <v>-375</v>
      </c>
      <c r="W130" s="72">
        <f>'115+260'!S131</f>
        <v>0</v>
      </c>
      <c r="X130" s="71">
        <f t="shared" si="22"/>
        <v>125</v>
      </c>
      <c r="Y130" s="70">
        <f t="shared" si="23"/>
        <v>0</v>
      </c>
      <c r="Z130" s="69">
        <f t="shared" si="24"/>
        <v>0</v>
      </c>
      <c r="AA130" s="68">
        <f t="shared" si="25"/>
        <v>1.3059999999999998</v>
      </c>
      <c r="AB130" s="68">
        <f t="shared" si="26"/>
        <v>1.0580000000000001</v>
      </c>
      <c r="AD130" s="56"/>
      <c r="AE130" s="55"/>
    </row>
    <row r="131" spans="2:31">
      <c r="B131" s="110">
        <f>'115+260'!B132</f>
        <v>45369</v>
      </c>
      <c r="C131" s="80">
        <f t="shared" si="18"/>
        <v>1</v>
      </c>
      <c r="D131" s="79">
        <f t="shared" si="19"/>
        <v>1069</v>
      </c>
      <c r="E131" s="78">
        <f>VLOOKUP(B131,'115+260'!B132:AB233,3,FALSE)</f>
        <v>1513</v>
      </c>
      <c r="F131" s="75">
        <f t="shared" si="14"/>
        <v>2582</v>
      </c>
      <c r="G131" s="77">
        <f>VLOOKUP(B131,'115+260'!$B$15:$AB$647,20,FALSE)</f>
        <v>959</v>
      </c>
      <c r="H131" s="77">
        <f>VLOOKUP(B131,'115+260'!$B$15:$AB$647,4,FALSE)</f>
        <v>923</v>
      </c>
      <c r="I131" s="74">
        <f t="shared" si="15"/>
        <v>1659</v>
      </c>
      <c r="J131" s="74">
        <f>VLOOKUP(B131,'115+260'!$B$15:$AB$647,13,FALSE)</f>
        <v>-341</v>
      </c>
      <c r="K131" s="72">
        <f>'115+260'!Q132</f>
        <v>0</v>
      </c>
      <c r="L131" s="71">
        <f t="shared" si="20"/>
        <v>141</v>
      </c>
      <c r="M131" s="76">
        <f>VLOOKUP(B131,'115+260'!$B$14:$AB$647,21,FALSE)</f>
        <v>969</v>
      </c>
      <c r="N131" s="75">
        <f>VLOOKUP(B131,'115+260'!$B$15:$AB$647,5,FALSE)</f>
        <v>933</v>
      </c>
      <c r="O131" s="74">
        <f t="shared" si="16"/>
        <v>1649</v>
      </c>
      <c r="P131" s="74">
        <f>VLOOKUP(B131,'115+260'!$B$15:$AB$647,14,FALSE)</f>
        <v>-351</v>
      </c>
      <c r="Q131" s="72">
        <f>'115+260'!R132</f>
        <v>0</v>
      </c>
      <c r="R131" s="71">
        <f t="shared" si="21"/>
        <v>131</v>
      </c>
      <c r="S131" s="76">
        <f>VLOOKUP(B131,'115+260'!$B$14:$AB$647,22,FALSE)</f>
        <v>975</v>
      </c>
      <c r="T131" s="75">
        <f>VLOOKUP(B131,'115+260'!$B$15:$AB$647,6,FALSE)</f>
        <v>957</v>
      </c>
      <c r="U131" s="74">
        <f t="shared" si="17"/>
        <v>1625</v>
      </c>
      <c r="V131" s="73">
        <f>VLOOKUP(B131,'115+260'!$B$15:$AB$647,15,FALSE)</f>
        <v>-375</v>
      </c>
      <c r="W131" s="72">
        <f>'115+260'!S132</f>
        <v>0</v>
      </c>
      <c r="X131" s="71">
        <f t="shared" si="22"/>
        <v>125</v>
      </c>
      <c r="Y131" s="70">
        <f t="shared" si="23"/>
        <v>0</v>
      </c>
      <c r="Z131" s="69">
        <f t="shared" si="24"/>
        <v>0</v>
      </c>
      <c r="AA131" s="68">
        <f t="shared" si="25"/>
        <v>1.3059999999999998</v>
      </c>
      <c r="AB131" s="68">
        <f t="shared" si="26"/>
        <v>1.0580000000000001</v>
      </c>
    </row>
    <row r="132" spans="2:31">
      <c r="B132" s="110">
        <f>'115+260'!B133</f>
        <v>45370</v>
      </c>
      <c r="C132" s="80">
        <f t="shared" si="18"/>
        <v>1</v>
      </c>
      <c r="D132" s="79">
        <f t="shared" si="19"/>
        <v>1069</v>
      </c>
      <c r="E132" s="78">
        <f>VLOOKUP(B132,'115+260'!B133:AB234,3,FALSE)</f>
        <v>1515</v>
      </c>
      <c r="F132" s="75">
        <f t="shared" si="14"/>
        <v>2584</v>
      </c>
      <c r="G132" s="77">
        <f>VLOOKUP(B132,'115+260'!$B$15:$AB$647,20,FALSE)</f>
        <v>959</v>
      </c>
      <c r="H132" s="77">
        <f>VLOOKUP(B132,'115+260'!$B$15:$AB$647,4,FALSE)</f>
        <v>925</v>
      </c>
      <c r="I132" s="74">
        <f t="shared" si="15"/>
        <v>1659</v>
      </c>
      <c r="J132" s="74">
        <f>VLOOKUP(B132,'115+260'!$B$15:$AB$647,13,FALSE)</f>
        <v>-341</v>
      </c>
      <c r="K132" s="72">
        <f>'115+260'!Q133</f>
        <v>0</v>
      </c>
      <c r="L132" s="71">
        <f t="shared" si="20"/>
        <v>141</v>
      </c>
      <c r="M132" s="76">
        <f>VLOOKUP(B132,'115+260'!$B$14:$AB$647,21,FALSE)</f>
        <v>969</v>
      </c>
      <c r="N132" s="75">
        <f>VLOOKUP(B132,'115+260'!$B$15:$AB$647,5,FALSE)</f>
        <v>935</v>
      </c>
      <c r="O132" s="74">
        <f t="shared" si="16"/>
        <v>1649</v>
      </c>
      <c r="P132" s="74">
        <f>VLOOKUP(B132,'115+260'!$B$15:$AB$647,14,FALSE)</f>
        <v>-351</v>
      </c>
      <c r="Q132" s="72">
        <f>'115+260'!R133</f>
        <v>0</v>
      </c>
      <c r="R132" s="71">
        <f t="shared" si="21"/>
        <v>131</v>
      </c>
      <c r="S132" s="76">
        <f>VLOOKUP(B132,'115+260'!$B$14:$AB$647,22,FALSE)</f>
        <v>975</v>
      </c>
      <c r="T132" s="75">
        <f>VLOOKUP(B132,'115+260'!$B$15:$AB$647,6,FALSE)</f>
        <v>959</v>
      </c>
      <c r="U132" s="74">
        <f t="shared" si="17"/>
        <v>1625</v>
      </c>
      <c r="V132" s="73">
        <f>VLOOKUP(B132,'115+260'!$B$15:$AB$647,15,FALSE)</f>
        <v>-375</v>
      </c>
      <c r="W132" s="72">
        <f>'115+260'!S133</f>
        <v>0</v>
      </c>
      <c r="X132" s="71">
        <f t="shared" si="22"/>
        <v>125</v>
      </c>
      <c r="Y132" s="70">
        <f t="shared" si="23"/>
        <v>0</v>
      </c>
      <c r="Z132" s="69">
        <f t="shared" si="24"/>
        <v>0</v>
      </c>
      <c r="AA132" s="68">
        <f t="shared" si="25"/>
        <v>1.3059999999999998</v>
      </c>
      <c r="AB132" s="68">
        <f t="shared" si="26"/>
        <v>1.0580000000000001</v>
      </c>
    </row>
    <row r="133" spans="2:31">
      <c r="B133" s="110">
        <f>'115+260'!B134</f>
        <v>45371</v>
      </c>
      <c r="C133" s="80">
        <f t="shared" si="18"/>
        <v>1</v>
      </c>
      <c r="D133" s="79">
        <f t="shared" si="19"/>
        <v>1069</v>
      </c>
      <c r="E133" s="78">
        <f>VLOOKUP(B133,'115+260'!B134:AB235,3,FALSE)</f>
        <v>1517</v>
      </c>
      <c r="F133" s="75">
        <f t="shared" si="14"/>
        <v>2586</v>
      </c>
      <c r="G133" s="77">
        <f>VLOOKUP(B133,'115+260'!$B$15:$AB$647,20,FALSE)</f>
        <v>959</v>
      </c>
      <c r="H133" s="77">
        <f>VLOOKUP(B133,'115+260'!$B$15:$AB$647,4,FALSE)</f>
        <v>927</v>
      </c>
      <c r="I133" s="74">
        <f t="shared" si="15"/>
        <v>1659</v>
      </c>
      <c r="J133" s="74">
        <f>VLOOKUP(B133,'115+260'!$B$15:$AB$647,13,FALSE)</f>
        <v>-341</v>
      </c>
      <c r="K133" s="72">
        <f>'115+260'!Q134</f>
        <v>0</v>
      </c>
      <c r="L133" s="71">
        <f t="shared" si="20"/>
        <v>141</v>
      </c>
      <c r="M133" s="76">
        <f>VLOOKUP(B133,'115+260'!$B$14:$AB$647,21,FALSE)</f>
        <v>969</v>
      </c>
      <c r="N133" s="75">
        <f>VLOOKUP(B133,'115+260'!$B$15:$AB$647,5,FALSE)</f>
        <v>937</v>
      </c>
      <c r="O133" s="74">
        <f t="shared" si="16"/>
        <v>1649</v>
      </c>
      <c r="P133" s="74">
        <f>VLOOKUP(B133,'115+260'!$B$15:$AB$647,14,FALSE)</f>
        <v>-351</v>
      </c>
      <c r="Q133" s="72">
        <f>'115+260'!R134</f>
        <v>0</v>
      </c>
      <c r="R133" s="71">
        <f t="shared" si="21"/>
        <v>131</v>
      </c>
      <c r="S133" s="76">
        <f>VLOOKUP(B133,'115+260'!$B$14:$AB$647,22,FALSE)</f>
        <v>975</v>
      </c>
      <c r="T133" s="75">
        <f>VLOOKUP(B133,'115+260'!$B$15:$AB$647,6,FALSE)</f>
        <v>961</v>
      </c>
      <c r="U133" s="74">
        <f t="shared" si="17"/>
        <v>1625</v>
      </c>
      <c r="V133" s="73">
        <f>VLOOKUP(B133,'115+260'!$B$15:$AB$647,15,FALSE)</f>
        <v>-375</v>
      </c>
      <c r="W133" s="72">
        <f>'115+260'!S134</f>
        <v>0</v>
      </c>
      <c r="X133" s="71">
        <f t="shared" si="22"/>
        <v>125</v>
      </c>
      <c r="Y133" s="70">
        <f t="shared" si="23"/>
        <v>0</v>
      </c>
      <c r="Z133" s="69">
        <f t="shared" si="24"/>
        <v>0</v>
      </c>
      <c r="AA133" s="68">
        <f t="shared" si="25"/>
        <v>1.3059999999999998</v>
      </c>
      <c r="AB133" s="68">
        <f t="shared" si="26"/>
        <v>1.0580000000000001</v>
      </c>
    </row>
    <row r="134" spans="2:31">
      <c r="B134" s="110">
        <f>'115+260'!B135</f>
        <v>45372</v>
      </c>
      <c r="C134" s="80">
        <f t="shared" si="18"/>
        <v>1</v>
      </c>
      <c r="D134" s="79">
        <f t="shared" si="19"/>
        <v>1069</v>
      </c>
      <c r="E134" s="78">
        <f>VLOOKUP(B134,'115+260'!B135:AB236,3,FALSE)</f>
        <v>1519</v>
      </c>
      <c r="F134" s="75">
        <f t="shared" si="14"/>
        <v>2588</v>
      </c>
      <c r="G134" s="77">
        <f>VLOOKUP(B134,'115+260'!$B$15:$AB$647,20,FALSE)</f>
        <v>959</v>
      </c>
      <c r="H134" s="77">
        <f>VLOOKUP(B134,'115+260'!$B$15:$AB$647,4,FALSE)</f>
        <v>929</v>
      </c>
      <c r="I134" s="74">
        <f t="shared" si="15"/>
        <v>1659</v>
      </c>
      <c r="J134" s="74">
        <f>VLOOKUP(B134,'115+260'!$B$15:$AB$647,13,FALSE)</f>
        <v>-341</v>
      </c>
      <c r="K134" s="72">
        <f>'115+260'!Q135</f>
        <v>0</v>
      </c>
      <c r="L134" s="71">
        <f t="shared" si="20"/>
        <v>141</v>
      </c>
      <c r="M134" s="76">
        <f>VLOOKUP(B134,'115+260'!$B$14:$AB$647,21,FALSE)</f>
        <v>969</v>
      </c>
      <c r="N134" s="75">
        <f>VLOOKUP(B134,'115+260'!$B$15:$AB$647,5,FALSE)</f>
        <v>939</v>
      </c>
      <c r="O134" s="74">
        <f t="shared" si="16"/>
        <v>1649</v>
      </c>
      <c r="P134" s="74">
        <f>VLOOKUP(B134,'115+260'!$B$15:$AB$647,14,FALSE)</f>
        <v>-351</v>
      </c>
      <c r="Q134" s="72">
        <f>'115+260'!R135</f>
        <v>0</v>
      </c>
      <c r="R134" s="71">
        <f t="shared" si="21"/>
        <v>131</v>
      </c>
      <c r="S134" s="76">
        <f>VLOOKUP(B134,'115+260'!$B$14:$AB$647,22,FALSE)</f>
        <v>975</v>
      </c>
      <c r="T134" s="75">
        <f>VLOOKUP(B134,'115+260'!$B$15:$AB$647,6,FALSE)</f>
        <v>963</v>
      </c>
      <c r="U134" s="74">
        <f t="shared" si="17"/>
        <v>1625</v>
      </c>
      <c r="V134" s="73">
        <f>VLOOKUP(B134,'115+260'!$B$15:$AB$647,15,FALSE)</f>
        <v>-375</v>
      </c>
      <c r="W134" s="72">
        <f>'115+260'!S135</f>
        <v>0</v>
      </c>
      <c r="X134" s="71">
        <f t="shared" si="22"/>
        <v>125</v>
      </c>
      <c r="Y134" s="70">
        <f t="shared" si="23"/>
        <v>0</v>
      </c>
      <c r="Z134" s="69">
        <f t="shared" si="24"/>
        <v>0</v>
      </c>
      <c r="AA134" s="68">
        <f t="shared" si="25"/>
        <v>1.3059999999999998</v>
      </c>
      <c r="AB134" s="68">
        <f t="shared" si="26"/>
        <v>1.0580000000000001</v>
      </c>
    </row>
    <row r="135" spans="2:31">
      <c r="B135" s="110">
        <f>'115+260'!B136</f>
        <v>45373</v>
      </c>
      <c r="C135" s="80">
        <f t="shared" si="18"/>
        <v>1</v>
      </c>
      <c r="D135" s="79">
        <f t="shared" si="19"/>
        <v>1069</v>
      </c>
      <c r="E135" s="78">
        <f>VLOOKUP(B135,'115+260'!B136:AB237,3,FALSE)</f>
        <v>1521</v>
      </c>
      <c r="F135" s="75">
        <f t="shared" si="14"/>
        <v>2590</v>
      </c>
      <c r="G135" s="77">
        <f>VLOOKUP(B135,'115+260'!$B$15:$AB$647,20,FALSE)</f>
        <v>959</v>
      </c>
      <c r="H135" s="77">
        <f>VLOOKUP(B135,'115+260'!$B$15:$AB$647,4,FALSE)</f>
        <v>931</v>
      </c>
      <c r="I135" s="74">
        <f t="shared" si="15"/>
        <v>1659</v>
      </c>
      <c r="J135" s="74">
        <f>VLOOKUP(B135,'115+260'!$B$15:$AB$647,13,FALSE)</f>
        <v>-341</v>
      </c>
      <c r="K135" s="72">
        <f>'115+260'!Q136</f>
        <v>0</v>
      </c>
      <c r="L135" s="71">
        <f t="shared" si="20"/>
        <v>141</v>
      </c>
      <c r="M135" s="76">
        <f>VLOOKUP(B135,'115+260'!$B$14:$AB$647,21,FALSE)</f>
        <v>969</v>
      </c>
      <c r="N135" s="75">
        <f>VLOOKUP(B135,'115+260'!$B$15:$AB$647,5,FALSE)</f>
        <v>941</v>
      </c>
      <c r="O135" s="74">
        <f t="shared" si="16"/>
        <v>1649</v>
      </c>
      <c r="P135" s="74">
        <f>VLOOKUP(B135,'115+260'!$B$15:$AB$647,14,FALSE)</f>
        <v>-351</v>
      </c>
      <c r="Q135" s="72">
        <f>'115+260'!R136</f>
        <v>0</v>
      </c>
      <c r="R135" s="71">
        <f t="shared" si="21"/>
        <v>131</v>
      </c>
      <c r="S135" s="76">
        <f>VLOOKUP(B135,'115+260'!$B$14:$AB$647,22,FALSE)</f>
        <v>975</v>
      </c>
      <c r="T135" s="75">
        <f>VLOOKUP(B135,'115+260'!$B$15:$AB$647,6,FALSE)</f>
        <v>965</v>
      </c>
      <c r="U135" s="74">
        <f t="shared" si="17"/>
        <v>1625</v>
      </c>
      <c r="V135" s="73">
        <f>VLOOKUP(B135,'115+260'!$B$15:$AB$647,15,FALSE)</f>
        <v>-375</v>
      </c>
      <c r="W135" s="72">
        <f>'115+260'!S136</f>
        <v>0</v>
      </c>
      <c r="X135" s="71">
        <f t="shared" si="22"/>
        <v>125</v>
      </c>
      <c r="Y135" s="70">
        <f t="shared" si="23"/>
        <v>0</v>
      </c>
      <c r="Z135" s="69">
        <f t="shared" si="24"/>
        <v>0</v>
      </c>
      <c r="AA135" s="68">
        <f t="shared" si="25"/>
        <v>1.3059999999999998</v>
      </c>
      <c r="AB135" s="68">
        <f t="shared" si="26"/>
        <v>1.0580000000000001</v>
      </c>
    </row>
    <row r="136" spans="2:31">
      <c r="B136" s="110">
        <f>'115+260'!B137</f>
        <v>45374</v>
      </c>
      <c r="C136" s="80">
        <f t="shared" si="18"/>
        <v>1</v>
      </c>
      <c r="D136" s="79">
        <f t="shared" si="19"/>
        <v>1069</v>
      </c>
      <c r="E136" s="78">
        <f>VLOOKUP(B136,'115+260'!B137:AB238,3,FALSE)</f>
        <v>1523</v>
      </c>
      <c r="F136" s="75">
        <f t="shared" si="14"/>
        <v>2592</v>
      </c>
      <c r="G136" s="77">
        <f>VLOOKUP(B136,'115+260'!$B$15:$AB$647,20,FALSE)</f>
        <v>959</v>
      </c>
      <c r="H136" s="77">
        <f>VLOOKUP(B136,'115+260'!$B$15:$AB$647,4,FALSE)</f>
        <v>933</v>
      </c>
      <c r="I136" s="74">
        <f t="shared" si="15"/>
        <v>1659</v>
      </c>
      <c r="J136" s="74">
        <f>VLOOKUP(B136,'115+260'!$B$15:$AB$647,13,FALSE)</f>
        <v>-341</v>
      </c>
      <c r="K136" s="72">
        <f>'115+260'!Q137</f>
        <v>0</v>
      </c>
      <c r="L136" s="71">
        <f t="shared" si="20"/>
        <v>141</v>
      </c>
      <c r="M136" s="76">
        <f>VLOOKUP(B136,'115+260'!$B$14:$AB$647,21,FALSE)</f>
        <v>969</v>
      </c>
      <c r="N136" s="75">
        <f>VLOOKUP(B136,'115+260'!$B$15:$AB$647,5,FALSE)</f>
        <v>943</v>
      </c>
      <c r="O136" s="74">
        <f t="shared" si="16"/>
        <v>1649</v>
      </c>
      <c r="P136" s="74">
        <f>VLOOKUP(B136,'115+260'!$B$15:$AB$647,14,FALSE)</f>
        <v>-351</v>
      </c>
      <c r="Q136" s="72">
        <f>'115+260'!R137</f>
        <v>0</v>
      </c>
      <c r="R136" s="71">
        <f t="shared" si="21"/>
        <v>131</v>
      </c>
      <c r="S136" s="76">
        <f>VLOOKUP(B136,'115+260'!$B$14:$AB$647,22,FALSE)</f>
        <v>975</v>
      </c>
      <c r="T136" s="75">
        <f>VLOOKUP(B136,'115+260'!$B$15:$AB$647,6,FALSE)</f>
        <v>967</v>
      </c>
      <c r="U136" s="74">
        <f t="shared" si="17"/>
        <v>1625</v>
      </c>
      <c r="V136" s="73">
        <f>VLOOKUP(B136,'115+260'!$B$15:$AB$647,15,FALSE)</f>
        <v>-375</v>
      </c>
      <c r="W136" s="72">
        <f>'115+260'!S137</f>
        <v>0</v>
      </c>
      <c r="X136" s="71">
        <f t="shared" si="22"/>
        <v>125</v>
      </c>
      <c r="Y136" s="70">
        <f t="shared" si="23"/>
        <v>0</v>
      </c>
      <c r="Z136" s="69">
        <f t="shared" si="24"/>
        <v>0</v>
      </c>
      <c r="AA136" s="68">
        <f t="shared" si="25"/>
        <v>1.3059999999999998</v>
      </c>
      <c r="AB136" s="68">
        <f t="shared" si="26"/>
        <v>1.0580000000000001</v>
      </c>
    </row>
    <row r="137" spans="2:31">
      <c r="B137" s="110">
        <f>'115+260'!B138</f>
        <v>45375</v>
      </c>
      <c r="C137" s="80">
        <f t="shared" si="18"/>
        <v>1</v>
      </c>
      <c r="D137" s="79">
        <f t="shared" si="19"/>
        <v>1069</v>
      </c>
      <c r="E137" s="78">
        <f>VLOOKUP(B137,'115+260'!B138:AB239,3,FALSE)</f>
        <v>1525</v>
      </c>
      <c r="F137" s="75">
        <f t="shared" si="14"/>
        <v>2594</v>
      </c>
      <c r="G137" s="77">
        <f>VLOOKUP(B137,'115+260'!$B$15:$AB$647,20,FALSE)</f>
        <v>959</v>
      </c>
      <c r="H137" s="77">
        <f>VLOOKUP(B137,'115+260'!$B$15:$AB$647,4,FALSE)</f>
        <v>935</v>
      </c>
      <c r="I137" s="74">
        <f t="shared" si="15"/>
        <v>1659</v>
      </c>
      <c r="J137" s="74">
        <f>VLOOKUP(B137,'115+260'!$B$15:$AB$647,13,FALSE)</f>
        <v>-341</v>
      </c>
      <c r="K137" s="72">
        <f>'115+260'!Q138</f>
        <v>0</v>
      </c>
      <c r="L137" s="71">
        <f t="shared" si="20"/>
        <v>141</v>
      </c>
      <c r="M137" s="76">
        <f>VLOOKUP(B137,'115+260'!$B$14:$AB$647,21,FALSE)</f>
        <v>969</v>
      </c>
      <c r="N137" s="75">
        <f>VLOOKUP(B137,'115+260'!$B$15:$AB$647,5,FALSE)</f>
        <v>945</v>
      </c>
      <c r="O137" s="74">
        <f t="shared" si="16"/>
        <v>1649</v>
      </c>
      <c r="P137" s="74">
        <f>VLOOKUP(B137,'115+260'!$B$15:$AB$647,14,FALSE)</f>
        <v>-351</v>
      </c>
      <c r="Q137" s="72">
        <f>'115+260'!R138</f>
        <v>0</v>
      </c>
      <c r="R137" s="71">
        <f t="shared" si="21"/>
        <v>131</v>
      </c>
      <c r="S137" s="76">
        <f>VLOOKUP(B137,'115+260'!$B$14:$AB$647,22,FALSE)</f>
        <v>975</v>
      </c>
      <c r="T137" s="75">
        <f>VLOOKUP(B137,'115+260'!$B$15:$AB$647,6,FALSE)</f>
        <v>969</v>
      </c>
      <c r="U137" s="74">
        <f t="shared" si="17"/>
        <v>1625</v>
      </c>
      <c r="V137" s="73">
        <f>VLOOKUP(B137,'115+260'!$B$15:$AB$647,15,FALSE)</f>
        <v>-375</v>
      </c>
      <c r="W137" s="72">
        <f>'115+260'!S138</f>
        <v>0</v>
      </c>
      <c r="X137" s="71">
        <f t="shared" si="22"/>
        <v>125</v>
      </c>
      <c r="Y137" s="70">
        <f t="shared" si="23"/>
        <v>0</v>
      </c>
      <c r="Z137" s="69">
        <f t="shared" si="24"/>
        <v>0</v>
      </c>
      <c r="AA137" s="68">
        <f t="shared" si="25"/>
        <v>1.3059999999999998</v>
      </c>
      <c r="AB137" s="68">
        <f t="shared" si="26"/>
        <v>1.0580000000000001</v>
      </c>
    </row>
    <row r="138" spans="2:31">
      <c r="B138" s="110">
        <f>'115+260'!B139</f>
        <v>45376</v>
      </c>
      <c r="C138" s="80">
        <f t="shared" si="18"/>
        <v>1</v>
      </c>
      <c r="D138" s="79">
        <f t="shared" si="19"/>
        <v>1069</v>
      </c>
      <c r="E138" s="78">
        <f>VLOOKUP(B138,'115+260'!B139:AB240,3,FALSE)</f>
        <v>1527</v>
      </c>
      <c r="F138" s="75">
        <f t="shared" si="14"/>
        <v>2596</v>
      </c>
      <c r="G138" s="77">
        <f>VLOOKUP(B138,'115+260'!$B$15:$AB$647,20,FALSE)</f>
        <v>959</v>
      </c>
      <c r="H138" s="77">
        <f>VLOOKUP(B138,'115+260'!$B$15:$AB$647,4,FALSE)</f>
        <v>937</v>
      </c>
      <c r="I138" s="74">
        <f t="shared" si="15"/>
        <v>1659</v>
      </c>
      <c r="J138" s="74">
        <f>VLOOKUP(B138,'115+260'!$B$15:$AB$647,13,FALSE)</f>
        <v>-341</v>
      </c>
      <c r="K138" s="72">
        <f>'115+260'!Q139</f>
        <v>0</v>
      </c>
      <c r="L138" s="71">
        <f t="shared" si="20"/>
        <v>141</v>
      </c>
      <c r="M138" s="76">
        <f>VLOOKUP(B138,'115+260'!$B$14:$AB$647,21,FALSE)</f>
        <v>969</v>
      </c>
      <c r="N138" s="75">
        <f>VLOOKUP(B138,'115+260'!$B$15:$AB$647,5,FALSE)</f>
        <v>947</v>
      </c>
      <c r="O138" s="74">
        <f t="shared" si="16"/>
        <v>1649</v>
      </c>
      <c r="P138" s="74">
        <f>VLOOKUP(B138,'115+260'!$B$15:$AB$647,14,FALSE)</f>
        <v>-351</v>
      </c>
      <c r="Q138" s="72">
        <f>'115+260'!R139</f>
        <v>0</v>
      </c>
      <c r="R138" s="71">
        <f t="shared" si="21"/>
        <v>131</v>
      </c>
      <c r="S138" s="76">
        <f>VLOOKUP(B138,'115+260'!$B$14:$AB$647,22,FALSE)</f>
        <v>975</v>
      </c>
      <c r="T138" s="75">
        <f>VLOOKUP(B138,'115+260'!$B$15:$AB$647,6,FALSE)</f>
        <v>971</v>
      </c>
      <c r="U138" s="74">
        <f t="shared" si="17"/>
        <v>1625</v>
      </c>
      <c r="V138" s="73">
        <f>VLOOKUP(B138,'115+260'!$B$15:$AB$647,15,FALSE)</f>
        <v>-375</v>
      </c>
      <c r="W138" s="72">
        <f>'115+260'!S139</f>
        <v>0</v>
      </c>
      <c r="X138" s="71">
        <f t="shared" si="22"/>
        <v>125</v>
      </c>
      <c r="Y138" s="70">
        <f t="shared" si="23"/>
        <v>0</v>
      </c>
      <c r="Z138" s="69">
        <f t="shared" si="24"/>
        <v>0</v>
      </c>
      <c r="AA138" s="68">
        <f t="shared" si="25"/>
        <v>1.3059999999999998</v>
      </c>
      <c r="AB138" s="68">
        <f t="shared" si="26"/>
        <v>1.0580000000000001</v>
      </c>
    </row>
    <row r="139" spans="2:31">
      <c r="B139" s="110">
        <f>'115+260'!B140</f>
        <v>45377</v>
      </c>
      <c r="C139" s="80">
        <f t="shared" si="18"/>
        <v>1</v>
      </c>
      <c r="D139" s="79">
        <f t="shared" si="19"/>
        <v>1069</v>
      </c>
      <c r="E139" s="78">
        <f>VLOOKUP(B139,'115+260'!B140:AB241,3,FALSE)</f>
        <v>1529</v>
      </c>
      <c r="F139" s="75">
        <f t="shared" si="14"/>
        <v>2598</v>
      </c>
      <c r="G139" s="77">
        <f>VLOOKUP(B139,'115+260'!$B$15:$AB$647,20,FALSE)</f>
        <v>959</v>
      </c>
      <c r="H139" s="77">
        <f>VLOOKUP(B139,'115+260'!$B$15:$AB$647,4,FALSE)</f>
        <v>939</v>
      </c>
      <c r="I139" s="74">
        <f t="shared" si="15"/>
        <v>1659</v>
      </c>
      <c r="J139" s="74">
        <f>VLOOKUP(B139,'115+260'!$B$15:$AB$647,13,FALSE)</f>
        <v>-341</v>
      </c>
      <c r="K139" s="72">
        <f>'115+260'!Q140</f>
        <v>0</v>
      </c>
      <c r="L139" s="71">
        <f t="shared" si="20"/>
        <v>141</v>
      </c>
      <c r="M139" s="76">
        <f>VLOOKUP(B139,'115+260'!$B$14:$AB$647,21,FALSE)</f>
        <v>969</v>
      </c>
      <c r="N139" s="75">
        <f>VLOOKUP(B139,'115+260'!$B$15:$AB$647,5,FALSE)</f>
        <v>949</v>
      </c>
      <c r="O139" s="74">
        <f t="shared" si="16"/>
        <v>1649</v>
      </c>
      <c r="P139" s="74">
        <f>VLOOKUP(B139,'115+260'!$B$15:$AB$647,14,FALSE)</f>
        <v>-351</v>
      </c>
      <c r="Q139" s="72">
        <f>'115+260'!R140</f>
        <v>0</v>
      </c>
      <c r="R139" s="71">
        <f t="shared" si="21"/>
        <v>131</v>
      </c>
      <c r="S139" s="76">
        <f>VLOOKUP(B139,'115+260'!$B$14:$AB$647,22,FALSE)</f>
        <v>975</v>
      </c>
      <c r="T139" s="75">
        <f>VLOOKUP(B139,'115+260'!$B$15:$AB$647,6,FALSE)</f>
        <v>973</v>
      </c>
      <c r="U139" s="74">
        <f t="shared" si="17"/>
        <v>1625</v>
      </c>
      <c r="V139" s="73">
        <f>VLOOKUP(B139,'115+260'!$B$15:$AB$647,15,FALSE)</f>
        <v>-375</v>
      </c>
      <c r="W139" s="72">
        <f>'115+260'!S140</f>
        <v>0</v>
      </c>
      <c r="X139" s="71">
        <f t="shared" si="22"/>
        <v>125</v>
      </c>
      <c r="Y139" s="70">
        <f t="shared" si="23"/>
        <v>0</v>
      </c>
      <c r="Z139" s="69">
        <f t="shared" si="24"/>
        <v>0</v>
      </c>
      <c r="AA139" s="68">
        <f t="shared" si="25"/>
        <v>1.3059999999999998</v>
      </c>
      <c r="AB139" s="68">
        <f t="shared" si="26"/>
        <v>1.0580000000000001</v>
      </c>
    </row>
    <row r="140" spans="2:31">
      <c r="B140" s="110">
        <f>'115+260'!B141</f>
        <v>45378</v>
      </c>
      <c r="C140" s="80">
        <f t="shared" si="18"/>
        <v>1</v>
      </c>
      <c r="D140" s="79">
        <f t="shared" si="19"/>
        <v>1069</v>
      </c>
      <c r="E140" s="78">
        <f>VLOOKUP(B140,'115+260'!B141:AB242,3,FALSE)</f>
        <v>1531</v>
      </c>
      <c r="F140" s="75">
        <f t="shared" si="14"/>
        <v>2600</v>
      </c>
      <c r="G140" s="77">
        <f>VLOOKUP(B140,'115+260'!$B$15:$AB$647,20,FALSE)</f>
        <v>959</v>
      </c>
      <c r="H140" s="77">
        <f>VLOOKUP(B140,'115+260'!$B$15:$AB$647,4,FALSE)</f>
        <v>941</v>
      </c>
      <c r="I140" s="74">
        <f t="shared" si="15"/>
        <v>1659</v>
      </c>
      <c r="J140" s="74">
        <f>VLOOKUP(B140,'115+260'!$B$15:$AB$647,13,FALSE)</f>
        <v>-341</v>
      </c>
      <c r="K140" s="72">
        <f>'115+260'!Q141</f>
        <v>0</v>
      </c>
      <c r="L140" s="71">
        <f t="shared" si="20"/>
        <v>141</v>
      </c>
      <c r="M140" s="76">
        <f>VLOOKUP(B140,'115+260'!$B$14:$AB$647,21,FALSE)</f>
        <v>969</v>
      </c>
      <c r="N140" s="75">
        <f>VLOOKUP(B140,'115+260'!$B$15:$AB$647,5,FALSE)</f>
        <v>951</v>
      </c>
      <c r="O140" s="74">
        <f t="shared" si="16"/>
        <v>1649</v>
      </c>
      <c r="P140" s="74">
        <f>VLOOKUP(B140,'115+260'!$B$15:$AB$647,14,FALSE)</f>
        <v>-351</v>
      </c>
      <c r="Q140" s="72">
        <f>'115+260'!R141</f>
        <v>0</v>
      </c>
      <c r="R140" s="71">
        <f t="shared" si="21"/>
        <v>131</v>
      </c>
      <c r="S140" s="76">
        <f>VLOOKUP(B140,'115+260'!$B$14:$AB$647,22,FALSE)</f>
        <v>975</v>
      </c>
      <c r="T140" s="75">
        <f>VLOOKUP(B140,'115+260'!$B$15:$AB$647,6,FALSE)</f>
        <v>975</v>
      </c>
      <c r="U140" s="74">
        <f t="shared" si="17"/>
        <v>1625</v>
      </c>
      <c r="V140" s="73">
        <f>VLOOKUP(B140,'115+260'!$B$15:$AB$647,15,FALSE)</f>
        <v>-375</v>
      </c>
      <c r="W140" s="72">
        <f>'115+260'!S141</f>
        <v>0</v>
      </c>
      <c r="X140" s="71">
        <f t="shared" si="22"/>
        <v>125</v>
      </c>
      <c r="Y140" s="70">
        <f t="shared" si="23"/>
        <v>0</v>
      </c>
      <c r="Z140" s="69">
        <f t="shared" si="24"/>
        <v>0</v>
      </c>
      <c r="AA140" s="68">
        <f t="shared" si="25"/>
        <v>1.3059999999999998</v>
      </c>
      <c r="AB140" s="68">
        <f t="shared" si="26"/>
        <v>1.0580000000000001</v>
      </c>
    </row>
    <row r="141" spans="2:31">
      <c r="B141" s="110">
        <f>'115+260'!B142</f>
        <v>45379</v>
      </c>
      <c r="C141" s="80">
        <f t="shared" si="18"/>
        <v>1</v>
      </c>
      <c r="D141" s="79">
        <f t="shared" si="19"/>
        <v>1069</v>
      </c>
      <c r="E141" s="78">
        <f>VLOOKUP(B141,'115+260'!B142:AB243,3,FALSE)</f>
        <v>1533</v>
      </c>
      <c r="F141" s="75">
        <f t="shared" ref="F141:F204" si="27">D141+E141</f>
        <v>2602</v>
      </c>
      <c r="G141" s="77">
        <f>VLOOKUP(B141,'115+260'!$B$15:$AB$647,20,FALSE)</f>
        <v>959</v>
      </c>
      <c r="H141" s="77">
        <f>VLOOKUP(B141,'115+260'!$B$15:$AB$647,4,FALSE)</f>
        <v>943</v>
      </c>
      <c r="I141" s="74">
        <f t="shared" ref="I141:I204" si="28">F141-H141</f>
        <v>1659</v>
      </c>
      <c r="J141" s="74">
        <f>VLOOKUP(B141,'115+260'!$B$15:$AB$647,13,FALSE)</f>
        <v>-341</v>
      </c>
      <c r="K141" s="72">
        <f>'115+260'!Q142</f>
        <v>0</v>
      </c>
      <c r="L141" s="71">
        <f t="shared" si="20"/>
        <v>141</v>
      </c>
      <c r="M141" s="76">
        <f>VLOOKUP(B141,'115+260'!$B$14:$AB$647,21,FALSE)</f>
        <v>969</v>
      </c>
      <c r="N141" s="75">
        <f>VLOOKUP(B141,'115+260'!$B$15:$AB$647,5,FALSE)</f>
        <v>953</v>
      </c>
      <c r="O141" s="74">
        <f t="shared" ref="O141:O204" si="29">F141-N141</f>
        <v>1649</v>
      </c>
      <c r="P141" s="74">
        <f>VLOOKUP(B141,'115+260'!$B$15:$AB$647,14,FALSE)</f>
        <v>-351</v>
      </c>
      <c r="Q141" s="72">
        <f>'115+260'!R142</f>
        <v>0</v>
      </c>
      <c r="R141" s="71">
        <f t="shared" si="21"/>
        <v>131</v>
      </c>
      <c r="S141" s="76">
        <f>VLOOKUP(B141,'115+260'!$B$14:$AB$647,22,FALSE)</f>
        <v>975</v>
      </c>
      <c r="T141" s="75">
        <f>VLOOKUP(B141,'115+260'!$B$15:$AB$647,6,FALSE)</f>
        <v>977</v>
      </c>
      <c r="U141" s="74">
        <f t="shared" ref="U141:U204" si="30">F141-T141</f>
        <v>1625</v>
      </c>
      <c r="V141" s="73">
        <f>VLOOKUP(B141,'115+260'!$B$15:$AB$647,15,FALSE)</f>
        <v>-375</v>
      </c>
      <c r="W141" s="72">
        <f>'115+260'!S142</f>
        <v>0</v>
      </c>
      <c r="X141" s="71">
        <f t="shared" si="22"/>
        <v>125</v>
      </c>
      <c r="Y141" s="70">
        <f t="shared" si="23"/>
        <v>0</v>
      </c>
      <c r="Z141" s="69">
        <f t="shared" si="24"/>
        <v>0</v>
      </c>
      <c r="AA141" s="68">
        <f t="shared" si="25"/>
        <v>1.3059999999999998</v>
      </c>
      <c r="AB141" s="68">
        <f t="shared" si="26"/>
        <v>1.0580000000000001</v>
      </c>
    </row>
    <row r="142" spans="2:31">
      <c r="B142" s="110">
        <f>'115+260'!B143</f>
        <v>45380</v>
      </c>
      <c r="C142" s="80">
        <f t="shared" ref="C142:C205" si="31">B142-B141</f>
        <v>1</v>
      </c>
      <c r="D142" s="79">
        <f t="shared" ref="D142:D205" si="32">D141</f>
        <v>1069</v>
      </c>
      <c r="E142" s="78">
        <f>VLOOKUP(B142,'115+260'!B143:AB244,3,FALSE)</f>
        <v>1535</v>
      </c>
      <c r="F142" s="75">
        <f t="shared" si="27"/>
        <v>2604</v>
      </c>
      <c r="G142" s="77">
        <f>VLOOKUP(B142,'115+260'!$B$15:$AB$647,20,FALSE)</f>
        <v>959</v>
      </c>
      <c r="H142" s="77">
        <f>VLOOKUP(B142,'115+260'!$B$15:$AB$647,4,FALSE)</f>
        <v>945</v>
      </c>
      <c r="I142" s="74">
        <f t="shared" si="28"/>
        <v>1659</v>
      </c>
      <c r="J142" s="74">
        <f>VLOOKUP(B142,'115+260'!$B$15:$AB$647,13,FALSE)</f>
        <v>-341</v>
      </c>
      <c r="K142" s="72">
        <f>'115+260'!Q143</f>
        <v>0</v>
      </c>
      <c r="L142" s="71">
        <f t="shared" ref="L142:L205" si="33">+K142+L141</f>
        <v>141</v>
      </c>
      <c r="M142" s="76">
        <f>VLOOKUP(B142,'115+260'!$B$14:$AB$647,21,FALSE)</f>
        <v>969</v>
      </c>
      <c r="N142" s="75">
        <f>VLOOKUP(B142,'115+260'!$B$15:$AB$647,5,FALSE)</f>
        <v>955</v>
      </c>
      <c r="O142" s="74">
        <f t="shared" si="29"/>
        <v>1649</v>
      </c>
      <c r="P142" s="74">
        <f>VLOOKUP(B142,'115+260'!$B$15:$AB$647,14,FALSE)</f>
        <v>-351</v>
      </c>
      <c r="Q142" s="72">
        <f>'115+260'!R143</f>
        <v>0</v>
      </c>
      <c r="R142" s="71">
        <f t="shared" ref="R142:R205" si="34">+Q142+R141</f>
        <v>131</v>
      </c>
      <c r="S142" s="76">
        <f>VLOOKUP(B142,'115+260'!$B$14:$AB$647,22,FALSE)</f>
        <v>975</v>
      </c>
      <c r="T142" s="75">
        <f>VLOOKUP(B142,'115+260'!$B$15:$AB$647,6,FALSE)</f>
        <v>979</v>
      </c>
      <c r="U142" s="74">
        <f t="shared" si="30"/>
        <v>1625</v>
      </c>
      <c r="V142" s="73">
        <f>VLOOKUP(B142,'115+260'!$B$15:$AB$647,15,FALSE)</f>
        <v>-375</v>
      </c>
      <c r="W142" s="72">
        <f>'115+260'!S143</f>
        <v>0</v>
      </c>
      <c r="X142" s="71">
        <f t="shared" ref="X142:X205" si="35">+W142+X141</f>
        <v>125</v>
      </c>
      <c r="Y142" s="70">
        <f t="shared" ref="Y142:Y205" si="36">S142-S141</f>
        <v>0</v>
      </c>
      <c r="Z142" s="69">
        <f t="shared" ref="Z142:Z205" si="37">IF(Y142&gt;0,Y142,0)/1000</f>
        <v>0</v>
      </c>
      <c r="AA142" s="68">
        <f t="shared" ref="AA142:AA205" si="38">AA141+Z142</f>
        <v>1.3059999999999998</v>
      </c>
      <c r="AB142" s="68">
        <f t="shared" ref="AB142:AB205" si="39">(M142-$M$13-R142)/1000</f>
        <v>1.0580000000000001</v>
      </c>
    </row>
    <row r="143" spans="2:31">
      <c r="B143" s="110">
        <f>'115+260'!B144</f>
        <v>45381</v>
      </c>
      <c r="C143" s="80">
        <f t="shared" si="31"/>
        <v>1</v>
      </c>
      <c r="D143" s="79">
        <f t="shared" si="32"/>
        <v>1069</v>
      </c>
      <c r="E143" s="78">
        <f>VLOOKUP(B143,'115+260'!B144:AB245,3,FALSE)</f>
        <v>1537</v>
      </c>
      <c r="F143" s="75">
        <f t="shared" si="27"/>
        <v>2606</v>
      </c>
      <c r="G143" s="77">
        <f>VLOOKUP(B143,'115+260'!$B$15:$AB$647,20,FALSE)</f>
        <v>959</v>
      </c>
      <c r="H143" s="77">
        <f>VLOOKUP(B143,'115+260'!$B$15:$AB$647,4,FALSE)</f>
        <v>947</v>
      </c>
      <c r="I143" s="74">
        <f t="shared" si="28"/>
        <v>1659</v>
      </c>
      <c r="J143" s="74">
        <f>VLOOKUP(B143,'115+260'!$B$15:$AB$647,13,FALSE)</f>
        <v>-341</v>
      </c>
      <c r="K143" s="72">
        <f>'115+260'!Q144</f>
        <v>0</v>
      </c>
      <c r="L143" s="71">
        <f t="shared" si="33"/>
        <v>141</v>
      </c>
      <c r="M143" s="76">
        <f>VLOOKUP(B143,'115+260'!$B$14:$AB$647,21,FALSE)</f>
        <v>969</v>
      </c>
      <c r="N143" s="75">
        <f>VLOOKUP(B143,'115+260'!$B$15:$AB$647,5,FALSE)</f>
        <v>957</v>
      </c>
      <c r="O143" s="74">
        <f t="shared" si="29"/>
        <v>1649</v>
      </c>
      <c r="P143" s="74">
        <f>VLOOKUP(B143,'115+260'!$B$15:$AB$647,14,FALSE)</f>
        <v>-351</v>
      </c>
      <c r="Q143" s="72">
        <f>'115+260'!R144</f>
        <v>0</v>
      </c>
      <c r="R143" s="71">
        <f t="shared" si="34"/>
        <v>131</v>
      </c>
      <c r="S143" s="76">
        <f>VLOOKUP(B143,'115+260'!$B$14:$AB$647,22,FALSE)</f>
        <v>975</v>
      </c>
      <c r="T143" s="75">
        <f>VLOOKUP(B143,'115+260'!$B$15:$AB$647,6,FALSE)</f>
        <v>981</v>
      </c>
      <c r="U143" s="74">
        <f t="shared" si="30"/>
        <v>1625</v>
      </c>
      <c r="V143" s="73">
        <f>VLOOKUP(B143,'115+260'!$B$15:$AB$647,15,FALSE)</f>
        <v>-375</v>
      </c>
      <c r="W143" s="72">
        <f>'115+260'!S144</f>
        <v>0</v>
      </c>
      <c r="X143" s="71">
        <f t="shared" si="35"/>
        <v>125</v>
      </c>
      <c r="Y143" s="70">
        <f t="shared" si="36"/>
        <v>0</v>
      </c>
      <c r="Z143" s="69">
        <f t="shared" si="37"/>
        <v>0</v>
      </c>
      <c r="AA143" s="68">
        <f t="shared" si="38"/>
        <v>1.3059999999999998</v>
      </c>
      <c r="AB143" s="68">
        <f t="shared" si="39"/>
        <v>1.0580000000000001</v>
      </c>
    </row>
    <row r="144" spans="2:31">
      <c r="B144" s="110">
        <f>'115+260'!B145</f>
        <v>45382</v>
      </c>
      <c r="C144" s="80">
        <f t="shared" si="31"/>
        <v>1</v>
      </c>
      <c r="D144" s="79">
        <f t="shared" si="32"/>
        <v>1069</v>
      </c>
      <c r="E144" s="78">
        <f>VLOOKUP(B144,'115+260'!B145:AB246,3,FALSE)</f>
        <v>1539</v>
      </c>
      <c r="F144" s="75">
        <f t="shared" si="27"/>
        <v>2608</v>
      </c>
      <c r="G144" s="77">
        <f>VLOOKUP(B144,'115+260'!$B$15:$AB$647,20,FALSE)</f>
        <v>959</v>
      </c>
      <c r="H144" s="77">
        <f>VLOOKUP(B144,'115+260'!$B$15:$AB$647,4,FALSE)</f>
        <v>949</v>
      </c>
      <c r="I144" s="74">
        <f t="shared" si="28"/>
        <v>1659</v>
      </c>
      <c r="J144" s="74">
        <f>VLOOKUP(B144,'115+260'!$B$15:$AB$647,13,FALSE)</f>
        <v>-341</v>
      </c>
      <c r="K144" s="72">
        <f>'115+260'!Q145</f>
        <v>0</v>
      </c>
      <c r="L144" s="71">
        <f t="shared" si="33"/>
        <v>141</v>
      </c>
      <c r="M144" s="76">
        <f>VLOOKUP(B144,'115+260'!$B$14:$AB$647,21,FALSE)</f>
        <v>969</v>
      </c>
      <c r="N144" s="75">
        <f>VLOOKUP(B144,'115+260'!$B$15:$AB$647,5,FALSE)</f>
        <v>959</v>
      </c>
      <c r="O144" s="74">
        <f t="shared" si="29"/>
        <v>1649</v>
      </c>
      <c r="P144" s="74">
        <f>VLOOKUP(B144,'115+260'!$B$15:$AB$647,14,FALSE)</f>
        <v>-351</v>
      </c>
      <c r="Q144" s="72">
        <f>'115+260'!R145</f>
        <v>0</v>
      </c>
      <c r="R144" s="71">
        <f t="shared" si="34"/>
        <v>131</v>
      </c>
      <c r="S144" s="76">
        <f>VLOOKUP(B144,'115+260'!$B$14:$AB$647,22,FALSE)</f>
        <v>975</v>
      </c>
      <c r="T144" s="75">
        <f>VLOOKUP(B144,'115+260'!$B$15:$AB$647,6,FALSE)</f>
        <v>983</v>
      </c>
      <c r="U144" s="74">
        <f t="shared" si="30"/>
        <v>1625</v>
      </c>
      <c r="V144" s="73">
        <f>VLOOKUP(B144,'115+260'!$B$15:$AB$647,15,FALSE)</f>
        <v>-375</v>
      </c>
      <c r="W144" s="72">
        <f>'115+260'!S145</f>
        <v>0</v>
      </c>
      <c r="X144" s="71">
        <f t="shared" si="35"/>
        <v>125</v>
      </c>
      <c r="Y144" s="70">
        <f t="shared" si="36"/>
        <v>0</v>
      </c>
      <c r="Z144" s="69">
        <f t="shared" si="37"/>
        <v>0</v>
      </c>
      <c r="AA144" s="68">
        <f t="shared" si="38"/>
        <v>1.3059999999999998</v>
      </c>
      <c r="AB144" s="68">
        <f t="shared" si="39"/>
        <v>1.0580000000000001</v>
      </c>
    </row>
    <row r="145" spans="2:28">
      <c r="B145" s="110">
        <f>'115+260'!B146</f>
        <v>45383</v>
      </c>
      <c r="C145" s="80">
        <f t="shared" si="31"/>
        <v>1</v>
      </c>
      <c r="D145" s="79">
        <f t="shared" si="32"/>
        <v>1069</v>
      </c>
      <c r="E145" s="78">
        <f>VLOOKUP(B145,'115+260'!B146:AB247,3,FALSE)</f>
        <v>1541</v>
      </c>
      <c r="F145" s="75">
        <f t="shared" si="27"/>
        <v>2610</v>
      </c>
      <c r="G145" s="77">
        <f>VLOOKUP(B145,'115+260'!$B$15:$AB$647,20,FALSE)</f>
        <v>959</v>
      </c>
      <c r="H145" s="77">
        <f>VLOOKUP(B145,'115+260'!$B$15:$AB$647,4,FALSE)</f>
        <v>951</v>
      </c>
      <c r="I145" s="74">
        <f t="shared" si="28"/>
        <v>1659</v>
      </c>
      <c r="J145" s="74">
        <f>VLOOKUP(B145,'115+260'!$B$15:$AB$647,13,FALSE)</f>
        <v>-341</v>
      </c>
      <c r="K145" s="72">
        <f>'115+260'!Q146</f>
        <v>0</v>
      </c>
      <c r="L145" s="71">
        <f t="shared" si="33"/>
        <v>141</v>
      </c>
      <c r="M145" s="76">
        <f>VLOOKUP(B145,'115+260'!$B$14:$AB$647,21,FALSE)</f>
        <v>969</v>
      </c>
      <c r="N145" s="75">
        <f>VLOOKUP(B145,'115+260'!$B$15:$AB$647,5,FALSE)</f>
        <v>961</v>
      </c>
      <c r="O145" s="74">
        <f t="shared" si="29"/>
        <v>1649</v>
      </c>
      <c r="P145" s="74">
        <f>VLOOKUP(B145,'115+260'!$B$15:$AB$647,14,FALSE)</f>
        <v>-351</v>
      </c>
      <c r="Q145" s="72">
        <f>'115+260'!R146</f>
        <v>0</v>
      </c>
      <c r="R145" s="71">
        <f t="shared" si="34"/>
        <v>131</v>
      </c>
      <c r="S145" s="76">
        <f>VLOOKUP(B145,'115+260'!$B$14:$AB$647,22,FALSE)</f>
        <v>975</v>
      </c>
      <c r="T145" s="75">
        <f>VLOOKUP(B145,'115+260'!$B$15:$AB$647,6,FALSE)</f>
        <v>985</v>
      </c>
      <c r="U145" s="74">
        <f t="shared" si="30"/>
        <v>1625</v>
      </c>
      <c r="V145" s="73">
        <f>VLOOKUP(B145,'115+260'!$B$15:$AB$647,15,FALSE)</f>
        <v>-375</v>
      </c>
      <c r="W145" s="72">
        <f>'115+260'!S146</f>
        <v>0</v>
      </c>
      <c r="X145" s="71">
        <f t="shared" si="35"/>
        <v>125</v>
      </c>
      <c r="Y145" s="70">
        <f t="shared" si="36"/>
        <v>0</v>
      </c>
      <c r="Z145" s="69">
        <f t="shared" si="37"/>
        <v>0</v>
      </c>
      <c r="AA145" s="68">
        <f t="shared" si="38"/>
        <v>1.3059999999999998</v>
      </c>
      <c r="AB145" s="68">
        <f t="shared" si="39"/>
        <v>1.0580000000000001</v>
      </c>
    </row>
    <row r="146" spans="2:28">
      <c r="B146" s="110">
        <f>'115+260'!B147</f>
        <v>45384</v>
      </c>
      <c r="C146" s="80">
        <f t="shared" si="31"/>
        <v>1</v>
      </c>
      <c r="D146" s="79">
        <f t="shared" si="32"/>
        <v>1069</v>
      </c>
      <c r="E146" s="78">
        <f>VLOOKUP(B146,'115+260'!B147:AB248,3,FALSE)</f>
        <v>1543</v>
      </c>
      <c r="F146" s="75">
        <f t="shared" si="27"/>
        <v>2612</v>
      </c>
      <c r="G146" s="77">
        <f>VLOOKUP(B146,'115+260'!$B$15:$AB$647,20,FALSE)</f>
        <v>959</v>
      </c>
      <c r="H146" s="77">
        <f>VLOOKUP(B146,'115+260'!$B$15:$AB$647,4,FALSE)</f>
        <v>953</v>
      </c>
      <c r="I146" s="74">
        <f t="shared" si="28"/>
        <v>1659</v>
      </c>
      <c r="J146" s="74">
        <f>VLOOKUP(B146,'115+260'!$B$15:$AB$647,13,FALSE)</f>
        <v>-341</v>
      </c>
      <c r="K146" s="72">
        <f>'115+260'!Q147</f>
        <v>0</v>
      </c>
      <c r="L146" s="71">
        <f t="shared" si="33"/>
        <v>141</v>
      </c>
      <c r="M146" s="76">
        <f>VLOOKUP(B146,'115+260'!$B$14:$AB$647,21,FALSE)</f>
        <v>969</v>
      </c>
      <c r="N146" s="75">
        <f>VLOOKUP(B146,'115+260'!$B$15:$AB$647,5,FALSE)</f>
        <v>963</v>
      </c>
      <c r="O146" s="74">
        <f t="shared" si="29"/>
        <v>1649</v>
      </c>
      <c r="P146" s="74">
        <f>VLOOKUP(B146,'115+260'!$B$15:$AB$647,14,FALSE)</f>
        <v>-351</v>
      </c>
      <c r="Q146" s="72">
        <f>'115+260'!R147</f>
        <v>0</v>
      </c>
      <c r="R146" s="71">
        <f t="shared" si="34"/>
        <v>131</v>
      </c>
      <c r="S146" s="76">
        <f>VLOOKUP(B146,'115+260'!$B$14:$AB$647,22,FALSE)</f>
        <v>975</v>
      </c>
      <c r="T146" s="75">
        <f>VLOOKUP(B146,'115+260'!$B$15:$AB$647,6,FALSE)</f>
        <v>987</v>
      </c>
      <c r="U146" s="74">
        <f t="shared" si="30"/>
        <v>1625</v>
      </c>
      <c r="V146" s="73">
        <f>VLOOKUP(B146,'115+260'!$B$15:$AB$647,15,FALSE)</f>
        <v>-375</v>
      </c>
      <c r="W146" s="72">
        <f>'115+260'!S147</f>
        <v>0</v>
      </c>
      <c r="X146" s="71">
        <f t="shared" si="35"/>
        <v>125</v>
      </c>
      <c r="Y146" s="70">
        <f t="shared" si="36"/>
        <v>0</v>
      </c>
      <c r="Z146" s="69">
        <f t="shared" si="37"/>
        <v>0</v>
      </c>
      <c r="AA146" s="68">
        <f t="shared" si="38"/>
        <v>1.3059999999999998</v>
      </c>
      <c r="AB146" s="68">
        <f t="shared" si="39"/>
        <v>1.0580000000000001</v>
      </c>
    </row>
    <row r="147" spans="2:28">
      <c r="B147" s="110">
        <f>'115+260'!B148</f>
        <v>45385</v>
      </c>
      <c r="C147" s="80">
        <f t="shared" si="31"/>
        <v>1</v>
      </c>
      <c r="D147" s="79">
        <f t="shared" si="32"/>
        <v>1069</v>
      </c>
      <c r="E147" s="78">
        <f>VLOOKUP(B147,'115+260'!B148:AB249,3,FALSE)</f>
        <v>1545</v>
      </c>
      <c r="F147" s="75">
        <f t="shared" si="27"/>
        <v>2614</v>
      </c>
      <c r="G147" s="77">
        <f>VLOOKUP(B147,'115+260'!$B$15:$AB$647,20,FALSE)</f>
        <v>959</v>
      </c>
      <c r="H147" s="77">
        <f>VLOOKUP(B147,'115+260'!$B$15:$AB$647,4,FALSE)</f>
        <v>955</v>
      </c>
      <c r="I147" s="74">
        <f t="shared" si="28"/>
        <v>1659</v>
      </c>
      <c r="J147" s="74">
        <f>VLOOKUP(B147,'115+260'!$B$15:$AB$647,13,FALSE)</f>
        <v>-341</v>
      </c>
      <c r="K147" s="72">
        <f>'115+260'!Q148</f>
        <v>0</v>
      </c>
      <c r="L147" s="71">
        <f t="shared" si="33"/>
        <v>141</v>
      </c>
      <c r="M147" s="76">
        <f>VLOOKUP(B147,'115+260'!$B$14:$AB$647,21,FALSE)</f>
        <v>969</v>
      </c>
      <c r="N147" s="75">
        <f>VLOOKUP(B147,'115+260'!$B$15:$AB$647,5,FALSE)</f>
        <v>965</v>
      </c>
      <c r="O147" s="74">
        <f t="shared" si="29"/>
        <v>1649</v>
      </c>
      <c r="P147" s="74">
        <f>VLOOKUP(B147,'115+260'!$B$15:$AB$647,14,FALSE)</f>
        <v>-351</v>
      </c>
      <c r="Q147" s="72">
        <f>'115+260'!R148</f>
        <v>0</v>
      </c>
      <c r="R147" s="71">
        <f t="shared" si="34"/>
        <v>131</v>
      </c>
      <c r="S147" s="76">
        <f>VLOOKUP(B147,'115+260'!$B$14:$AB$647,22,FALSE)</f>
        <v>975</v>
      </c>
      <c r="T147" s="75">
        <f>VLOOKUP(B147,'115+260'!$B$15:$AB$647,6,FALSE)</f>
        <v>989</v>
      </c>
      <c r="U147" s="74">
        <f t="shared" si="30"/>
        <v>1625</v>
      </c>
      <c r="V147" s="73">
        <f>VLOOKUP(B147,'115+260'!$B$15:$AB$647,15,FALSE)</f>
        <v>-375</v>
      </c>
      <c r="W147" s="72">
        <f>'115+260'!S148</f>
        <v>0</v>
      </c>
      <c r="X147" s="71">
        <f t="shared" si="35"/>
        <v>125</v>
      </c>
      <c r="Y147" s="70">
        <f t="shared" si="36"/>
        <v>0</v>
      </c>
      <c r="Z147" s="69">
        <f t="shared" si="37"/>
        <v>0</v>
      </c>
      <c r="AA147" s="68">
        <f t="shared" si="38"/>
        <v>1.3059999999999998</v>
      </c>
      <c r="AB147" s="68">
        <f t="shared" si="39"/>
        <v>1.0580000000000001</v>
      </c>
    </row>
    <row r="148" spans="2:28">
      <c r="B148" s="110">
        <f>'115+260'!B149</f>
        <v>45386</v>
      </c>
      <c r="C148" s="80">
        <f t="shared" si="31"/>
        <v>1</v>
      </c>
      <c r="D148" s="79">
        <f t="shared" si="32"/>
        <v>1069</v>
      </c>
      <c r="E148" s="78">
        <f>VLOOKUP(B148,'115+260'!B149:AB250,3,FALSE)</f>
        <v>1547</v>
      </c>
      <c r="F148" s="75">
        <f t="shared" si="27"/>
        <v>2616</v>
      </c>
      <c r="G148" s="77">
        <f>VLOOKUP(B148,'115+260'!$B$15:$AB$647,20,FALSE)</f>
        <v>959</v>
      </c>
      <c r="H148" s="77">
        <f>VLOOKUP(B148,'115+260'!$B$15:$AB$647,4,FALSE)</f>
        <v>957</v>
      </c>
      <c r="I148" s="74">
        <f t="shared" si="28"/>
        <v>1659</v>
      </c>
      <c r="J148" s="74">
        <f>VLOOKUP(B148,'115+260'!$B$15:$AB$647,13,FALSE)</f>
        <v>-341</v>
      </c>
      <c r="K148" s="72">
        <f>'115+260'!Q149</f>
        <v>0</v>
      </c>
      <c r="L148" s="71">
        <f t="shared" si="33"/>
        <v>141</v>
      </c>
      <c r="M148" s="76">
        <f>VLOOKUP(B148,'115+260'!$B$14:$AB$647,21,FALSE)</f>
        <v>969</v>
      </c>
      <c r="N148" s="75">
        <f>VLOOKUP(B148,'115+260'!$B$15:$AB$647,5,FALSE)</f>
        <v>967</v>
      </c>
      <c r="O148" s="74">
        <f t="shared" si="29"/>
        <v>1649</v>
      </c>
      <c r="P148" s="74">
        <f>VLOOKUP(B148,'115+260'!$B$15:$AB$647,14,FALSE)</f>
        <v>-351</v>
      </c>
      <c r="Q148" s="72">
        <f>'115+260'!R149</f>
        <v>0</v>
      </c>
      <c r="R148" s="71">
        <f t="shared" si="34"/>
        <v>131</v>
      </c>
      <c r="S148" s="76">
        <f>VLOOKUP(B148,'115+260'!$B$14:$AB$647,22,FALSE)</f>
        <v>975</v>
      </c>
      <c r="T148" s="75">
        <f>VLOOKUP(B148,'115+260'!$B$15:$AB$647,6,FALSE)</f>
        <v>991</v>
      </c>
      <c r="U148" s="74">
        <f t="shared" si="30"/>
        <v>1625</v>
      </c>
      <c r="V148" s="73">
        <f>VLOOKUP(B148,'115+260'!$B$15:$AB$647,15,FALSE)</f>
        <v>-375</v>
      </c>
      <c r="W148" s="72">
        <f>'115+260'!S149</f>
        <v>0</v>
      </c>
      <c r="X148" s="71">
        <f t="shared" si="35"/>
        <v>125</v>
      </c>
      <c r="Y148" s="70">
        <f t="shared" si="36"/>
        <v>0</v>
      </c>
      <c r="Z148" s="69">
        <f t="shared" si="37"/>
        <v>0</v>
      </c>
      <c r="AA148" s="68">
        <f t="shared" si="38"/>
        <v>1.3059999999999998</v>
      </c>
      <c r="AB148" s="68">
        <f t="shared" si="39"/>
        <v>1.0580000000000001</v>
      </c>
    </row>
    <row r="149" spans="2:28">
      <c r="B149" s="110">
        <f>'115+260'!B150</f>
        <v>45387</v>
      </c>
      <c r="C149" s="80">
        <f t="shared" si="31"/>
        <v>1</v>
      </c>
      <c r="D149" s="79">
        <f t="shared" si="32"/>
        <v>1069</v>
      </c>
      <c r="E149" s="78">
        <f>VLOOKUP(B149,'115+260'!B150:AB251,3,FALSE)</f>
        <v>1549</v>
      </c>
      <c r="F149" s="75">
        <f t="shared" si="27"/>
        <v>2618</v>
      </c>
      <c r="G149" s="77">
        <f>VLOOKUP(B149,'115+260'!$B$15:$AB$647,20,FALSE)</f>
        <v>959</v>
      </c>
      <c r="H149" s="77">
        <f>VLOOKUP(B149,'115+260'!$B$15:$AB$647,4,FALSE)</f>
        <v>959</v>
      </c>
      <c r="I149" s="74">
        <f t="shared" si="28"/>
        <v>1659</v>
      </c>
      <c r="J149" s="74">
        <f>VLOOKUP(B149,'115+260'!$B$15:$AB$647,13,FALSE)</f>
        <v>-341</v>
      </c>
      <c r="K149" s="72">
        <f>'115+260'!Q150</f>
        <v>0</v>
      </c>
      <c r="L149" s="71">
        <f t="shared" si="33"/>
        <v>141</v>
      </c>
      <c r="M149" s="76">
        <f>VLOOKUP(B149,'115+260'!$B$14:$AB$647,21,FALSE)</f>
        <v>969</v>
      </c>
      <c r="N149" s="75">
        <f>VLOOKUP(B149,'115+260'!$B$15:$AB$647,5,FALSE)</f>
        <v>969</v>
      </c>
      <c r="O149" s="74">
        <f t="shared" si="29"/>
        <v>1649</v>
      </c>
      <c r="P149" s="74">
        <f>VLOOKUP(B149,'115+260'!$B$15:$AB$647,14,FALSE)</f>
        <v>-351</v>
      </c>
      <c r="Q149" s="72">
        <f>'115+260'!R150</f>
        <v>0</v>
      </c>
      <c r="R149" s="71">
        <f t="shared" si="34"/>
        <v>131</v>
      </c>
      <c r="S149" s="76">
        <f>VLOOKUP(B149,'115+260'!$B$14:$AB$647,22,FALSE)</f>
        <v>975</v>
      </c>
      <c r="T149" s="75">
        <f>VLOOKUP(B149,'115+260'!$B$15:$AB$647,6,FALSE)</f>
        <v>993</v>
      </c>
      <c r="U149" s="74">
        <f t="shared" si="30"/>
        <v>1625</v>
      </c>
      <c r="V149" s="73">
        <f>VLOOKUP(B149,'115+260'!$B$15:$AB$647,15,FALSE)</f>
        <v>-375</v>
      </c>
      <c r="W149" s="72">
        <f>'115+260'!S150</f>
        <v>0</v>
      </c>
      <c r="X149" s="71">
        <f t="shared" si="35"/>
        <v>125</v>
      </c>
      <c r="Y149" s="70">
        <f t="shared" si="36"/>
        <v>0</v>
      </c>
      <c r="Z149" s="69">
        <f t="shared" si="37"/>
        <v>0</v>
      </c>
      <c r="AA149" s="68">
        <f t="shared" si="38"/>
        <v>1.3059999999999998</v>
      </c>
      <c r="AB149" s="68">
        <f t="shared" si="39"/>
        <v>1.0580000000000001</v>
      </c>
    </row>
    <row r="150" spans="2:28">
      <c r="B150" s="110">
        <f>'115+260'!B151</f>
        <v>45388</v>
      </c>
      <c r="C150" s="80">
        <f t="shared" si="31"/>
        <v>1</v>
      </c>
      <c r="D150" s="79">
        <f t="shared" si="32"/>
        <v>1069</v>
      </c>
      <c r="E150" s="78">
        <f>VLOOKUP(B150,'115+260'!B151:AB252,3,FALSE)</f>
        <v>1551</v>
      </c>
      <c r="F150" s="75">
        <f t="shared" si="27"/>
        <v>2620</v>
      </c>
      <c r="G150" s="77">
        <f>VLOOKUP(B150,'115+260'!$B$15:$AB$647,20,FALSE)</f>
        <v>959</v>
      </c>
      <c r="H150" s="77">
        <f>VLOOKUP(B150,'115+260'!$B$15:$AB$647,4,FALSE)</f>
        <v>961</v>
      </c>
      <c r="I150" s="74">
        <f t="shared" si="28"/>
        <v>1659</v>
      </c>
      <c r="J150" s="74">
        <f>VLOOKUP(B150,'115+260'!$B$15:$AB$647,13,FALSE)</f>
        <v>-341</v>
      </c>
      <c r="K150" s="72">
        <f>'115+260'!Q151</f>
        <v>0</v>
      </c>
      <c r="L150" s="71">
        <f t="shared" si="33"/>
        <v>141</v>
      </c>
      <c r="M150" s="76">
        <f>VLOOKUP(B150,'115+260'!$B$14:$AB$647,21,FALSE)</f>
        <v>969</v>
      </c>
      <c r="N150" s="75">
        <f>VLOOKUP(B150,'115+260'!$B$15:$AB$647,5,FALSE)</f>
        <v>971</v>
      </c>
      <c r="O150" s="74">
        <f t="shared" si="29"/>
        <v>1649</v>
      </c>
      <c r="P150" s="74">
        <f>VLOOKUP(B150,'115+260'!$B$15:$AB$647,14,FALSE)</f>
        <v>-351</v>
      </c>
      <c r="Q150" s="72">
        <f>'115+260'!R151</f>
        <v>0</v>
      </c>
      <c r="R150" s="71">
        <f t="shared" si="34"/>
        <v>131</v>
      </c>
      <c r="S150" s="76">
        <f>VLOOKUP(B150,'115+260'!$B$14:$AB$647,22,FALSE)</f>
        <v>975</v>
      </c>
      <c r="T150" s="75">
        <f>VLOOKUP(B150,'115+260'!$B$15:$AB$647,6,FALSE)</f>
        <v>995</v>
      </c>
      <c r="U150" s="74">
        <f t="shared" si="30"/>
        <v>1625</v>
      </c>
      <c r="V150" s="73">
        <f>VLOOKUP(B150,'115+260'!$B$15:$AB$647,15,FALSE)</f>
        <v>-375</v>
      </c>
      <c r="W150" s="72">
        <f>'115+260'!S151</f>
        <v>0</v>
      </c>
      <c r="X150" s="71">
        <f t="shared" si="35"/>
        <v>125</v>
      </c>
      <c r="Y150" s="70">
        <f t="shared" si="36"/>
        <v>0</v>
      </c>
      <c r="Z150" s="69">
        <f t="shared" si="37"/>
        <v>0</v>
      </c>
      <c r="AA150" s="68">
        <f t="shared" si="38"/>
        <v>1.3059999999999998</v>
      </c>
      <c r="AB150" s="68">
        <f t="shared" si="39"/>
        <v>1.0580000000000001</v>
      </c>
    </row>
    <row r="151" spans="2:28">
      <c r="B151" s="110">
        <f>'115+260'!B152</f>
        <v>45389</v>
      </c>
      <c r="C151" s="80">
        <f t="shared" si="31"/>
        <v>1</v>
      </c>
      <c r="D151" s="79">
        <f t="shared" si="32"/>
        <v>1069</v>
      </c>
      <c r="E151" s="78">
        <f>VLOOKUP(B151,'115+260'!B152:AB253,3,FALSE)</f>
        <v>1553</v>
      </c>
      <c r="F151" s="75">
        <f t="shared" si="27"/>
        <v>2622</v>
      </c>
      <c r="G151" s="77">
        <f>VLOOKUP(B151,'115+260'!$B$15:$AB$647,20,FALSE)</f>
        <v>959</v>
      </c>
      <c r="H151" s="77">
        <f>VLOOKUP(B151,'115+260'!$B$15:$AB$647,4,FALSE)</f>
        <v>963</v>
      </c>
      <c r="I151" s="74">
        <f t="shared" si="28"/>
        <v>1659</v>
      </c>
      <c r="J151" s="74">
        <f>VLOOKUP(B151,'115+260'!$B$15:$AB$647,13,FALSE)</f>
        <v>-341</v>
      </c>
      <c r="K151" s="72">
        <f>'115+260'!Q152</f>
        <v>0</v>
      </c>
      <c r="L151" s="71">
        <f t="shared" si="33"/>
        <v>141</v>
      </c>
      <c r="M151" s="76">
        <f>VLOOKUP(B151,'115+260'!$B$14:$AB$647,21,FALSE)</f>
        <v>969</v>
      </c>
      <c r="N151" s="75">
        <f>VLOOKUP(B151,'115+260'!$B$15:$AB$647,5,FALSE)</f>
        <v>973</v>
      </c>
      <c r="O151" s="74">
        <f t="shared" si="29"/>
        <v>1649</v>
      </c>
      <c r="P151" s="74">
        <f>VLOOKUP(B151,'115+260'!$B$15:$AB$647,14,FALSE)</f>
        <v>-351</v>
      </c>
      <c r="Q151" s="72">
        <f>'115+260'!R152</f>
        <v>0</v>
      </c>
      <c r="R151" s="71">
        <f t="shared" si="34"/>
        <v>131</v>
      </c>
      <c r="S151" s="76">
        <f>VLOOKUP(B151,'115+260'!$B$14:$AB$647,22,FALSE)</f>
        <v>975</v>
      </c>
      <c r="T151" s="75">
        <f>VLOOKUP(B151,'115+260'!$B$15:$AB$647,6,FALSE)</f>
        <v>997</v>
      </c>
      <c r="U151" s="74">
        <f t="shared" si="30"/>
        <v>1625</v>
      </c>
      <c r="V151" s="73">
        <f>VLOOKUP(B151,'115+260'!$B$15:$AB$647,15,FALSE)</f>
        <v>-375</v>
      </c>
      <c r="W151" s="72">
        <f>'115+260'!S152</f>
        <v>0</v>
      </c>
      <c r="X151" s="71">
        <f t="shared" si="35"/>
        <v>125</v>
      </c>
      <c r="Y151" s="70">
        <f t="shared" si="36"/>
        <v>0</v>
      </c>
      <c r="Z151" s="69">
        <f t="shared" si="37"/>
        <v>0</v>
      </c>
      <c r="AA151" s="68">
        <f t="shared" si="38"/>
        <v>1.3059999999999998</v>
      </c>
      <c r="AB151" s="68">
        <f t="shared" si="39"/>
        <v>1.0580000000000001</v>
      </c>
    </row>
    <row r="152" spans="2:28">
      <c r="B152" s="110">
        <f>'115+260'!B153</f>
        <v>45390</v>
      </c>
      <c r="C152" s="80">
        <f t="shared" si="31"/>
        <v>1</v>
      </c>
      <c r="D152" s="79">
        <f t="shared" si="32"/>
        <v>1069</v>
      </c>
      <c r="E152" s="78">
        <f>VLOOKUP(B152,'115+260'!B153:AB254,3,FALSE)</f>
        <v>1555</v>
      </c>
      <c r="F152" s="75">
        <f t="shared" si="27"/>
        <v>2624</v>
      </c>
      <c r="G152" s="77">
        <f>VLOOKUP(B152,'115+260'!$B$15:$AB$647,20,FALSE)</f>
        <v>959</v>
      </c>
      <c r="H152" s="77">
        <f>VLOOKUP(B152,'115+260'!$B$15:$AB$647,4,FALSE)</f>
        <v>965</v>
      </c>
      <c r="I152" s="74">
        <f t="shared" si="28"/>
        <v>1659</v>
      </c>
      <c r="J152" s="74">
        <f>VLOOKUP(B152,'115+260'!$B$15:$AB$647,13,FALSE)</f>
        <v>-341</v>
      </c>
      <c r="K152" s="72">
        <f>'115+260'!Q153</f>
        <v>0</v>
      </c>
      <c r="L152" s="71">
        <f t="shared" si="33"/>
        <v>141</v>
      </c>
      <c r="M152" s="76">
        <f>VLOOKUP(B152,'115+260'!$B$14:$AB$647,21,FALSE)</f>
        <v>969</v>
      </c>
      <c r="N152" s="75">
        <f>VLOOKUP(B152,'115+260'!$B$15:$AB$647,5,FALSE)</f>
        <v>975</v>
      </c>
      <c r="O152" s="74">
        <f t="shared" si="29"/>
        <v>1649</v>
      </c>
      <c r="P152" s="74">
        <f>VLOOKUP(B152,'115+260'!$B$15:$AB$647,14,FALSE)</f>
        <v>-351</v>
      </c>
      <c r="Q152" s="72">
        <f>'115+260'!R153</f>
        <v>0</v>
      </c>
      <c r="R152" s="71">
        <f t="shared" si="34"/>
        <v>131</v>
      </c>
      <c r="S152" s="76">
        <f>VLOOKUP(B152,'115+260'!$B$14:$AB$647,22,FALSE)</f>
        <v>975</v>
      </c>
      <c r="T152" s="75">
        <f>VLOOKUP(B152,'115+260'!$B$15:$AB$647,6,FALSE)</f>
        <v>999</v>
      </c>
      <c r="U152" s="74">
        <f t="shared" si="30"/>
        <v>1625</v>
      </c>
      <c r="V152" s="73">
        <f>VLOOKUP(B152,'115+260'!$B$15:$AB$647,15,FALSE)</f>
        <v>-375</v>
      </c>
      <c r="W152" s="72">
        <f>'115+260'!S153</f>
        <v>0</v>
      </c>
      <c r="X152" s="71">
        <f t="shared" si="35"/>
        <v>125</v>
      </c>
      <c r="Y152" s="70">
        <f t="shared" si="36"/>
        <v>0</v>
      </c>
      <c r="Z152" s="69">
        <f t="shared" si="37"/>
        <v>0</v>
      </c>
      <c r="AA152" s="68">
        <f t="shared" si="38"/>
        <v>1.3059999999999998</v>
      </c>
      <c r="AB152" s="68">
        <f t="shared" si="39"/>
        <v>1.0580000000000001</v>
      </c>
    </row>
    <row r="153" spans="2:28">
      <c r="B153" s="110">
        <f>'115+260'!B154</f>
        <v>45391</v>
      </c>
      <c r="C153" s="80">
        <f t="shared" si="31"/>
        <v>1</v>
      </c>
      <c r="D153" s="79">
        <f t="shared" si="32"/>
        <v>1069</v>
      </c>
      <c r="E153" s="78">
        <f>VLOOKUP(B153,'115+260'!B154:AB255,3,FALSE)</f>
        <v>1557</v>
      </c>
      <c r="F153" s="75">
        <f t="shared" si="27"/>
        <v>2626</v>
      </c>
      <c r="G153" s="77">
        <f>VLOOKUP(B153,'115+260'!$B$15:$AB$647,20,FALSE)</f>
        <v>959</v>
      </c>
      <c r="H153" s="77">
        <f>VLOOKUP(B153,'115+260'!$B$15:$AB$647,4,FALSE)</f>
        <v>967</v>
      </c>
      <c r="I153" s="74">
        <f t="shared" si="28"/>
        <v>1659</v>
      </c>
      <c r="J153" s="74">
        <f>VLOOKUP(B153,'115+260'!$B$15:$AB$647,13,FALSE)</f>
        <v>-341</v>
      </c>
      <c r="K153" s="72">
        <f>'115+260'!Q154</f>
        <v>0</v>
      </c>
      <c r="L153" s="71">
        <f t="shared" si="33"/>
        <v>141</v>
      </c>
      <c r="M153" s="76">
        <f>VLOOKUP(B153,'115+260'!$B$14:$AB$647,21,FALSE)</f>
        <v>969</v>
      </c>
      <c r="N153" s="75">
        <f>VLOOKUP(B153,'115+260'!$B$15:$AB$647,5,FALSE)</f>
        <v>977</v>
      </c>
      <c r="O153" s="74">
        <f t="shared" si="29"/>
        <v>1649</v>
      </c>
      <c r="P153" s="74">
        <f>VLOOKUP(B153,'115+260'!$B$15:$AB$647,14,FALSE)</f>
        <v>-351</v>
      </c>
      <c r="Q153" s="72">
        <f>'115+260'!R154</f>
        <v>0</v>
      </c>
      <c r="R153" s="71">
        <f t="shared" si="34"/>
        <v>131</v>
      </c>
      <c r="S153" s="76">
        <f>VLOOKUP(B153,'115+260'!$B$14:$AB$647,22,FALSE)</f>
        <v>975</v>
      </c>
      <c r="T153" s="75">
        <f>VLOOKUP(B153,'115+260'!$B$15:$AB$647,6,FALSE)</f>
        <v>1001</v>
      </c>
      <c r="U153" s="74">
        <f t="shared" si="30"/>
        <v>1625</v>
      </c>
      <c r="V153" s="73">
        <f>VLOOKUP(B153,'115+260'!$B$15:$AB$647,15,FALSE)</f>
        <v>-375</v>
      </c>
      <c r="W153" s="72">
        <f>'115+260'!S154</f>
        <v>0</v>
      </c>
      <c r="X153" s="71">
        <f t="shared" si="35"/>
        <v>125</v>
      </c>
      <c r="Y153" s="70">
        <f t="shared" si="36"/>
        <v>0</v>
      </c>
      <c r="Z153" s="69">
        <f t="shared" si="37"/>
        <v>0</v>
      </c>
      <c r="AA153" s="68">
        <f t="shared" si="38"/>
        <v>1.3059999999999998</v>
      </c>
      <c r="AB153" s="68">
        <f t="shared" si="39"/>
        <v>1.0580000000000001</v>
      </c>
    </row>
    <row r="154" spans="2:28">
      <c r="B154" s="110">
        <f>'115+260'!B155</f>
        <v>45392</v>
      </c>
      <c r="C154" s="80">
        <f t="shared" si="31"/>
        <v>1</v>
      </c>
      <c r="D154" s="79">
        <f t="shared" si="32"/>
        <v>1069</v>
      </c>
      <c r="E154" s="78">
        <f>VLOOKUP(B154,'115+260'!B155:AB256,3,FALSE)</f>
        <v>1559</v>
      </c>
      <c r="F154" s="75">
        <f t="shared" si="27"/>
        <v>2628</v>
      </c>
      <c r="G154" s="77">
        <f>VLOOKUP(B154,'115+260'!$B$15:$AB$647,20,FALSE)</f>
        <v>959</v>
      </c>
      <c r="H154" s="77">
        <f>VLOOKUP(B154,'115+260'!$B$15:$AB$647,4,FALSE)</f>
        <v>969</v>
      </c>
      <c r="I154" s="74">
        <f t="shared" si="28"/>
        <v>1659</v>
      </c>
      <c r="J154" s="74">
        <f>VLOOKUP(B154,'115+260'!$B$15:$AB$647,13,FALSE)</f>
        <v>-341</v>
      </c>
      <c r="K154" s="72">
        <f>'115+260'!Q155</f>
        <v>0</v>
      </c>
      <c r="L154" s="71">
        <f t="shared" si="33"/>
        <v>141</v>
      </c>
      <c r="M154" s="76">
        <f>VLOOKUP(B154,'115+260'!$B$14:$AB$647,21,FALSE)</f>
        <v>969</v>
      </c>
      <c r="N154" s="75">
        <f>VLOOKUP(B154,'115+260'!$B$15:$AB$647,5,FALSE)</f>
        <v>979</v>
      </c>
      <c r="O154" s="74">
        <f t="shared" si="29"/>
        <v>1649</v>
      </c>
      <c r="P154" s="74">
        <f>VLOOKUP(B154,'115+260'!$B$15:$AB$647,14,FALSE)</f>
        <v>-351</v>
      </c>
      <c r="Q154" s="72">
        <f>'115+260'!R155</f>
        <v>0</v>
      </c>
      <c r="R154" s="71">
        <f t="shared" si="34"/>
        <v>131</v>
      </c>
      <c r="S154" s="76">
        <f>VLOOKUP(B154,'115+260'!$B$14:$AB$647,22,FALSE)</f>
        <v>975</v>
      </c>
      <c r="T154" s="75">
        <f>VLOOKUP(B154,'115+260'!$B$15:$AB$647,6,FALSE)</f>
        <v>1003</v>
      </c>
      <c r="U154" s="74">
        <f t="shared" si="30"/>
        <v>1625</v>
      </c>
      <c r="V154" s="73">
        <f>VLOOKUP(B154,'115+260'!$B$15:$AB$647,15,FALSE)</f>
        <v>-375</v>
      </c>
      <c r="W154" s="72">
        <f>'115+260'!S155</f>
        <v>0</v>
      </c>
      <c r="X154" s="71">
        <f t="shared" si="35"/>
        <v>125</v>
      </c>
      <c r="Y154" s="70">
        <f t="shared" si="36"/>
        <v>0</v>
      </c>
      <c r="Z154" s="69">
        <f t="shared" si="37"/>
        <v>0</v>
      </c>
      <c r="AA154" s="68">
        <f t="shared" si="38"/>
        <v>1.3059999999999998</v>
      </c>
      <c r="AB154" s="68">
        <f t="shared" si="39"/>
        <v>1.0580000000000001</v>
      </c>
    </row>
    <row r="155" spans="2:28">
      <c r="B155" s="110">
        <f>'115+260'!B156</f>
        <v>45393</v>
      </c>
      <c r="C155" s="80">
        <f t="shared" si="31"/>
        <v>1</v>
      </c>
      <c r="D155" s="79">
        <f t="shared" si="32"/>
        <v>1069</v>
      </c>
      <c r="E155" s="78">
        <f>VLOOKUP(B155,'115+260'!B156:AB257,3,FALSE)</f>
        <v>1561</v>
      </c>
      <c r="F155" s="75">
        <f t="shared" si="27"/>
        <v>2630</v>
      </c>
      <c r="G155" s="77">
        <f>VLOOKUP(B155,'115+260'!$B$15:$AB$647,20,FALSE)</f>
        <v>959</v>
      </c>
      <c r="H155" s="77">
        <f>VLOOKUP(B155,'115+260'!$B$15:$AB$647,4,FALSE)</f>
        <v>971</v>
      </c>
      <c r="I155" s="74">
        <f t="shared" si="28"/>
        <v>1659</v>
      </c>
      <c r="J155" s="74">
        <f>VLOOKUP(B155,'115+260'!$B$15:$AB$647,13,FALSE)</f>
        <v>-341</v>
      </c>
      <c r="K155" s="72">
        <f>'115+260'!Q156</f>
        <v>0</v>
      </c>
      <c r="L155" s="71">
        <f t="shared" si="33"/>
        <v>141</v>
      </c>
      <c r="M155" s="76">
        <f>VLOOKUP(B155,'115+260'!$B$14:$AB$647,21,FALSE)</f>
        <v>969</v>
      </c>
      <c r="N155" s="75">
        <f>VLOOKUP(B155,'115+260'!$B$15:$AB$647,5,FALSE)</f>
        <v>981</v>
      </c>
      <c r="O155" s="74">
        <f t="shared" si="29"/>
        <v>1649</v>
      </c>
      <c r="P155" s="74">
        <f>VLOOKUP(B155,'115+260'!$B$15:$AB$647,14,FALSE)</f>
        <v>-351</v>
      </c>
      <c r="Q155" s="72">
        <f>'115+260'!R156</f>
        <v>0</v>
      </c>
      <c r="R155" s="71">
        <f t="shared" si="34"/>
        <v>131</v>
      </c>
      <c r="S155" s="76">
        <f>VLOOKUP(B155,'115+260'!$B$14:$AB$647,22,FALSE)</f>
        <v>975</v>
      </c>
      <c r="T155" s="75">
        <f>VLOOKUP(B155,'115+260'!$B$15:$AB$647,6,FALSE)</f>
        <v>1005</v>
      </c>
      <c r="U155" s="74">
        <f t="shared" si="30"/>
        <v>1625</v>
      </c>
      <c r="V155" s="73">
        <f>VLOOKUP(B155,'115+260'!$B$15:$AB$647,15,FALSE)</f>
        <v>-375</v>
      </c>
      <c r="W155" s="72">
        <f>'115+260'!S156</f>
        <v>0</v>
      </c>
      <c r="X155" s="71">
        <f t="shared" si="35"/>
        <v>125</v>
      </c>
      <c r="Y155" s="70">
        <f t="shared" si="36"/>
        <v>0</v>
      </c>
      <c r="Z155" s="69">
        <f t="shared" si="37"/>
        <v>0</v>
      </c>
      <c r="AA155" s="68">
        <f t="shared" si="38"/>
        <v>1.3059999999999998</v>
      </c>
      <c r="AB155" s="68">
        <f t="shared" si="39"/>
        <v>1.0580000000000001</v>
      </c>
    </row>
    <row r="156" spans="2:28">
      <c r="B156" s="110">
        <f>'115+260'!B157</f>
        <v>45394</v>
      </c>
      <c r="C156" s="80">
        <f t="shared" si="31"/>
        <v>1</v>
      </c>
      <c r="D156" s="79">
        <f t="shared" si="32"/>
        <v>1069</v>
      </c>
      <c r="E156" s="78">
        <f>VLOOKUP(B156,'115+260'!B157:AB258,3,FALSE)</f>
        <v>1563</v>
      </c>
      <c r="F156" s="75">
        <f t="shared" si="27"/>
        <v>2632</v>
      </c>
      <c r="G156" s="77">
        <f>VLOOKUP(B156,'115+260'!$B$15:$AB$647,20,FALSE)</f>
        <v>959</v>
      </c>
      <c r="H156" s="77">
        <f>VLOOKUP(B156,'115+260'!$B$15:$AB$647,4,FALSE)</f>
        <v>973</v>
      </c>
      <c r="I156" s="74">
        <f t="shared" si="28"/>
        <v>1659</v>
      </c>
      <c r="J156" s="74">
        <f>VLOOKUP(B156,'115+260'!$B$15:$AB$647,13,FALSE)</f>
        <v>-341</v>
      </c>
      <c r="K156" s="72">
        <f>'115+260'!Q157</f>
        <v>0</v>
      </c>
      <c r="L156" s="71">
        <f t="shared" si="33"/>
        <v>141</v>
      </c>
      <c r="M156" s="76">
        <f>VLOOKUP(B156,'115+260'!$B$14:$AB$647,21,FALSE)</f>
        <v>969</v>
      </c>
      <c r="N156" s="75">
        <f>VLOOKUP(B156,'115+260'!$B$15:$AB$647,5,FALSE)</f>
        <v>983</v>
      </c>
      <c r="O156" s="74">
        <f t="shared" si="29"/>
        <v>1649</v>
      </c>
      <c r="P156" s="74">
        <f>VLOOKUP(B156,'115+260'!$B$15:$AB$647,14,FALSE)</f>
        <v>-351</v>
      </c>
      <c r="Q156" s="72">
        <f>'115+260'!R157</f>
        <v>0</v>
      </c>
      <c r="R156" s="71">
        <f t="shared" si="34"/>
        <v>131</v>
      </c>
      <c r="S156" s="76">
        <f>VLOOKUP(B156,'115+260'!$B$14:$AB$647,22,FALSE)</f>
        <v>975</v>
      </c>
      <c r="T156" s="75">
        <f>VLOOKUP(B156,'115+260'!$B$15:$AB$647,6,FALSE)</f>
        <v>1007</v>
      </c>
      <c r="U156" s="74">
        <f t="shared" si="30"/>
        <v>1625</v>
      </c>
      <c r="V156" s="73">
        <f>VLOOKUP(B156,'115+260'!$B$15:$AB$647,15,FALSE)</f>
        <v>-375</v>
      </c>
      <c r="W156" s="72">
        <f>'115+260'!S157</f>
        <v>0</v>
      </c>
      <c r="X156" s="71">
        <f t="shared" si="35"/>
        <v>125</v>
      </c>
      <c r="Y156" s="70">
        <f t="shared" si="36"/>
        <v>0</v>
      </c>
      <c r="Z156" s="69">
        <f t="shared" si="37"/>
        <v>0</v>
      </c>
      <c r="AA156" s="68">
        <f t="shared" si="38"/>
        <v>1.3059999999999998</v>
      </c>
      <c r="AB156" s="68">
        <f t="shared" si="39"/>
        <v>1.0580000000000001</v>
      </c>
    </row>
    <row r="157" spans="2:28">
      <c r="B157" s="110">
        <f>'115+260'!B158</f>
        <v>45395</v>
      </c>
      <c r="C157" s="80">
        <f t="shared" si="31"/>
        <v>1</v>
      </c>
      <c r="D157" s="79">
        <f t="shared" si="32"/>
        <v>1069</v>
      </c>
      <c r="E157" s="78">
        <f>VLOOKUP(B157,'115+260'!B158:AB259,3,FALSE)</f>
        <v>1565</v>
      </c>
      <c r="F157" s="75">
        <f t="shared" si="27"/>
        <v>2634</v>
      </c>
      <c r="G157" s="77">
        <f>VLOOKUP(B157,'115+260'!$B$15:$AB$647,20,FALSE)</f>
        <v>959</v>
      </c>
      <c r="H157" s="77">
        <f>VLOOKUP(B157,'115+260'!$B$15:$AB$647,4,FALSE)</f>
        <v>975</v>
      </c>
      <c r="I157" s="74">
        <f t="shared" si="28"/>
        <v>1659</v>
      </c>
      <c r="J157" s="74">
        <f>VLOOKUP(B157,'115+260'!$B$15:$AB$647,13,FALSE)</f>
        <v>-341</v>
      </c>
      <c r="K157" s="72">
        <f>'115+260'!Q158</f>
        <v>0</v>
      </c>
      <c r="L157" s="71">
        <f t="shared" si="33"/>
        <v>141</v>
      </c>
      <c r="M157" s="76">
        <f>VLOOKUP(B157,'115+260'!$B$14:$AB$647,21,FALSE)</f>
        <v>969</v>
      </c>
      <c r="N157" s="75">
        <f>VLOOKUP(B157,'115+260'!$B$15:$AB$647,5,FALSE)</f>
        <v>985</v>
      </c>
      <c r="O157" s="74">
        <f t="shared" si="29"/>
        <v>1649</v>
      </c>
      <c r="P157" s="74">
        <f>VLOOKUP(B157,'115+260'!$B$15:$AB$647,14,FALSE)</f>
        <v>-351</v>
      </c>
      <c r="Q157" s="72">
        <f>'115+260'!R158</f>
        <v>0</v>
      </c>
      <c r="R157" s="71">
        <f t="shared" si="34"/>
        <v>131</v>
      </c>
      <c r="S157" s="76">
        <f>VLOOKUP(B157,'115+260'!$B$14:$AB$647,22,FALSE)</f>
        <v>975</v>
      </c>
      <c r="T157" s="75">
        <f>VLOOKUP(B157,'115+260'!$B$15:$AB$647,6,FALSE)</f>
        <v>1009</v>
      </c>
      <c r="U157" s="74">
        <f t="shared" si="30"/>
        <v>1625</v>
      </c>
      <c r="V157" s="73">
        <f>VLOOKUP(B157,'115+260'!$B$15:$AB$647,15,FALSE)</f>
        <v>-375</v>
      </c>
      <c r="W157" s="72">
        <f>'115+260'!S158</f>
        <v>0</v>
      </c>
      <c r="X157" s="71">
        <f t="shared" si="35"/>
        <v>125</v>
      </c>
      <c r="Y157" s="70">
        <f t="shared" si="36"/>
        <v>0</v>
      </c>
      <c r="Z157" s="69">
        <f t="shared" si="37"/>
        <v>0</v>
      </c>
      <c r="AA157" s="68">
        <f t="shared" si="38"/>
        <v>1.3059999999999998</v>
      </c>
      <c r="AB157" s="68">
        <f t="shared" si="39"/>
        <v>1.0580000000000001</v>
      </c>
    </row>
    <row r="158" spans="2:28">
      <c r="B158" s="110">
        <f>'115+260'!B159</f>
        <v>45396</v>
      </c>
      <c r="C158" s="80">
        <f t="shared" si="31"/>
        <v>1</v>
      </c>
      <c r="D158" s="79">
        <f t="shared" si="32"/>
        <v>1069</v>
      </c>
      <c r="E158" s="78">
        <f>VLOOKUP(B158,'115+260'!B159:AB260,3,FALSE)</f>
        <v>1567</v>
      </c>
      <c r="F158" s="75">
        <f t="shared" si="27"/>
        <v>2636</v>
      </c>
      <c r="G158" s="77">
        <f>VLOOKUP(B158,'115+260'!$B$15:$AB$647,20,FALSE)</f>
        <v>959</v>
      </c>
      <c r="H158" s="77">
        <f>VLOOKUP(B158,'115+260'!$B$15:$AB$647,4,FALSE)</f>
        <v>977</v>
      </c>
      <c r="I158" s="74">
        <f t="shared" si="28"/>
        <v>1659</v>
      </c>
      <c r="J158" s="74">
        <f>VLOOKUP(B158,'115+260'!$B$15:$AB$647,13,FALSE)</f>
        <v>-341</v>
      </c>
      <c r="K158" s="72">
        <f>'115+260'!Q159</f>
        <v>0</v>
      </c>
      <c r="L158" s="71">
        <f t="shared" si="33"/>
        <v>141</v>
      </c>
      <c r="M158" s="76">
        <f>VLOOKUP(B158,'115+260'!$B$14:$AB$647,21,FALSE)</f>
        <v>969</v>
      </c>
      <c r="N158" s="75">
        <f>VLOOKUP(B158,'115+260'!$B$15:$AB$647,5,FALSE)</f>
        <v>987</v>
      </c>
      <c r="O158" s="74">
        <f t="shared" si="29"/>
        <v>1649</v>
      </c>
      <c r="P158" s="74">
        <f>VLOOKUP(B158,'115+260'!$B$15:$AB$647,14,FALSE)</f>
        <v>-351</v>
      </c>
      <c r="Q158" s="72">
        <f>'115+260'!R159</f>
        <v>0</v>
      </c>
      <c r="R158" s="71">
        <f t="shared" si="34"/>
        <v>131</v>
      </c>
      <c r="S158" s="76">
        <f>VLOOKUP(B158,'115+260'!$B$14:$AB$647,22,FALSE)</f>
        <v>975</v>
      </c>
      <c r="T158" s="75">
        <f>VLOOKUP(B158,'115+260'!$B$15:$AB$647,6,FALSE)</f>
        <v>1011</v>
      </c>
      <c r="U158" s="74">
        <f t="shared" si="30"/>
        <v>1625</v>
      </c>
      <c r="V158" s="73">
        <f>VLOOKUP(B158,'115+260'!$B$15:$AB$647,15,FALSE)</f>
        <v>-375</v>
      </c>
      <c r="W158" s="72">
        <f>'115+260'!S159</f>
        <v>0</v>
      </c>
      <c r="X158" s="71">
        <f t="shared" si="35"/>
        <v>125</v>
      </c>
      <c r="Y158" s="70">
        <f t="shared" si="36"/>
        <v>0</v>
      </c>
      <c r="Z158" s="69">
        <f t="shared" si="37"/>
        <v>0</v>
      </c>
      <c r="AA158" s="68">
        <f t="shared" si="38"/>
        <v>1.3059999999999998</v>
      </c>
      <c r="AB158" s="68">
        <f t="shared" si="39"/>
        <v>1.0580000000000001</v>
      </c>
    </row>
    <row r="159" spans="2:28">
      <c r="B159" s="110">
        <f>'115+260'!B160</f>
        <v>45397</v>
      </c>
      <c r="C159" s="80">
        <f t="shared" si="31"/>
        <v>1</v>
      </c>
      <c r="D159" s="79">
        <f t="shared" si="32"/>
        <v>1069</v>
      </c>
      <c r="E159" s="78">
        <f>VLOOKUP(B159,'115+260'!B160:AB261,3,FALSE)</f>
        <v>1569</v>
      </c>
      <c r="F159" s="75">
        <f t="shared" si="27"/>
        <v>2638</v>
      </c>
      <c r="G159" s="77">
        <f>VLOOKUP(B159,'115+260'!$B$15:$AB$647,20,FALSE)</f>
        <v>959</v>
      </c>
      <c r="H159" s="77">
        <f>VLOOKUP(B159,'115+260'!$B$15:$AB$647,4,FALSE)</f>
        <v>979</v>
      </c>
      <c r="I159" s="74">
        <f t="shared" si="28"/>
        <v>1659</v>
      </c>
      <c r="J159" s="74">
        <f>VLOOKUP(B159,'115+260'!$B$15:$AB$647,13,FALSE)</f>
        <v>-341</v>
      </c>
      <c r="K159" s="72">
        <f>'115+260'!Q160</f>
        <v>0</v>
      </c>
      <c r="L159" s="71">
        <f t="shared" si="33"/>
        <v>141</v>
      </c>
      <c r="M159" s="76">
        <f>VLOOKUP(B159,'115+260'!$B$14:$AB$647,21,FALSE)</f>
        <v>969</v>
      </c>
      <c r="N159" s="75">
        <f>VLOOKUP(B159,'115+260'!$B$15:$AB$647,5,FALSE)</f>
        <v>989</v>
      </c>
      <c r="O159" s="74">
        <f t="shared" si="29"/>
        <v>1649</v>
      </c>
      <c r="P159" s="74">
        <f>VLOOKUP(B159,'115+260'!$B$15:$AB$647,14,FALSE)</f>
        <v>-351</v>
      </c>
      <c r="Q159" s="72">
        <f>'115+260'!R160</f>
        <v>0</v>
      </c>
      <c r="R159" s="71">
        <f t="shared" si="34"/>
        <v>131</v>
      </c>
      <c r="S159" s="76">
        <f>VLOOKUP(B159,'115+260'!$B$14:$AB$647,22,FALSE)</f>
        <v>975</v>
      </c>
      <c r="T159" s="75">
        <f>VLOOKUP(B159,'115+260'!$B$15:$AB$647,6,FALSE)</f>
        <v>1013</v>
      </c>
      <c r="U159" s="74">
        <f t="shared" si="30"/>
        <v>1625</v>
      </c>
      <c r="V159" s="73">
        <f>VLOOKUP(B159,'115+260'!$B$15:$AB$647,15,FALSE)</f>
        <v>-375</v>
      </c>
      <c r="W159" s="72">
        <f>'115+260'!S160</f>
        <v>0</v>
      </c>
      <c r="X159" s="71">
        <f t="shared" si="35"/>
        <v>125</v>
      </c>
      <c r="Y159" s="70">
        <f t="shared" si="36"/>
        <v>0</v>
      </c>
      <c r="Z159" s="69">
        <f t="shared" si="37"/>
        <v>0</v>
      </c>
      <c r="AA159" s="68">
        <f t="shared" si="38"/>
        <v>1.3059999999999998</v>
      </c>
      <c r="AB159" s="68">
        <f t="shared" si="39"/>
        <v>1.0580000000000001</v>
      </c>
    </row>
    <row r="160" spans="2:28">
      <c r="B160" s="110">
        <f>'115+260'!B161</f>
        <v>45398</v>
      </c>
      <c r="C160" s="80">
        <f t="shared" si="31"/>
        <v>1</v>
      </c>
      <c r="D160" s="79">
        <f t="shared" si="32"/>
        <v>1069</v>
      </c>
      <c r="E160" s="78">
        <f>VLOOKUP(B160,'115+260'!B161:AB262,3,FALSE)</f>
        <v>1571</v>
      </c>
      <c r="F160" s="75">
        <f t="shared" si="27"/>
        <v>2640</v>
      </c>
      <c r="G160" s="77">
        <f>VLOOKUP(B160,'115+260'!$B$15:$AB$647,20,FALSE)</f>
        <v>959</v>
      </c>
      <c r="H160" s="77">
        <f>VLOOKUP(B160,'115+260'!$B$15:$AB$647,4,FALSE)</f>
        <v>981</v>
      </c>
      <c r="I160" s="74">
        <f t="shared" si="28"/>
        <v>1659</v>
      </c>
      <c r="J160" s="74">
        <f>VLOOKUP(B160,'115+260'!$B$15:$AB$647,13,FALSE)</f>
        <v>-341</v>
      </c>
      <c r="K160" s="72">
        <f>'115+260'!Q161</f>
        <v>0</v>
      </c>
      <c r="L160" s="71">
        <f t="shared" si="33"/>
        <v>141</v>
      </c>
      <c r="M160" s="76">
        <f>VLOOKUP(B160,'115+260'!$B$14:$AB$647,21,FALSE)</f>
        <v>969</v>
      </c>
      <c r="N160" s="75">
        <f>VLOOKUP(B160,'115+260'!$B$15:$AB$647,5,FALSE)</f>
        <v>991</v>
      </c>
      <c r="O160" s="74">
        <f t="shared" si="29"/>
        <v>1649</v>
      </c>
      <c r="P160" s="74">
        <f>VLOOKUP(B160,'115+260'!$B$15:$AB$647,14,FALSE)</f>
        <v>-351</v>
      </c>
      <c r="Q160" s="72">
        <f>'115+260'!R161</f>
        <v>0</v>
      </c>
      <c r="R160" s="71">
        <f t="shared" si="34"/>
        <v>131</v>
      </c>
      <c r="S160" s="76">
        <f>VLOOKUP(B160,'115+260'!$B$14:$AB$647,22,FALSE)</f>
        <v>975</v>
      </c>
      <c r="T160" s="75">
        <f>VLOOKUP(B160,'115+260'!$B$15:$AB$647,6,FALSE)</f>
        <v>1015</v>
      </c>
      <c r="U160" s="74">
        <f t="shared" si="30"/>
        <v>1625</v>
      </c>
      <c r="V160" s="73">
        <f>VLOOKUP(B160,'115+260'!$B$15:$AB$647,15,FALSE)</f>
        <v>-375</v>
      </c>
      <c r="W160" s="72">
        <f>'115+260'!S161</f>
        <v>0</v>
      </c>
      <c r="X160" s="71">
        <f t="shared" si="35"/>
        <v>125</v>
      </c>
      <c r="Y160" s="70">
        <f t="shared" si="36"/>
        <v>0</v>
      </c>
      <c r="Z160" s="69">
        <f t="shared" si="37"/>
        <v>0</v>
      </c>
      <c r="AA160" s="68">
        <f t="shared" si="38"/>
        <v>1.3059999999999998</v>
      </c>
      <c r="AB160" s="68">
        <f t="shared" si="39"/>
        <v>1.0580000000000001</v>
      </c>
    </row>
    <row r="161" spans="2:28">
      <c r="B161" s="110">
        <f>'115+260'!B162</f>
        <v>45399</v>
      </c>
      <c r="C161" s="80">
        <f t="shared" si="31"/>
        <v>1</v>
      </c>
      <c r="D161" s="79">
        <f t="shared" si="32"/>
        <v>1069</v>
      </c>
      <c r="E161" s="78">
        <f>VLOOKUP(B161,'115+260'!B162:AB263,3,FALSE)</f>
        <v>1573</v>
      </c>
      <c r="F161" s="75">
        <f t="shared" si="27"/>
        <v>2642</v>
      </c>
      <c r="G161" s="77">
        <f>VLOOKUP(B161,'115+260'!$B$15:$AB$647,20,FALSE)</f>
        <v>959</v>
      </c>
      <c r="H161" s="77">
        <f>VLOOKUP(B161,'115+260'!$B$15:$AB$647,4,FALSE)</f>
        <v>983</v>
      </c>
      <c r="I161" s="74">
        <f t="shared" si="28"/>
        <v>1659</v>
      </c>
      <c r="J161" s="74">
        <f>VLOOKUP(B161,'115+260'!$B$15:$AB$647,13,FALSE)</f>
        <v>-341</v>
      </c>
      <c r="K161" s="72">
        <f>'115+260'!Q162</f>
        <v>0</v>
      </c>
      <c r="L161" s="71">
        <f t="shared" si="33"/>
        <v>141</v>
      </c>
      <c r="M161" s="76">
        <f>VLOOKUP(B161,'115+260'!$B$14:$AB$647,21,FALSE)</f>
        <v>969</v>
      </c>
      <c r="N161" s="75">
        <f>VLOOKUP(B161,'115+260'!$B$15:$AB$647,5,FALSE)</f>
        <v>993</v>
      </c>
      <c r="O161" s="74">
        <f t="shared" si="29"/>
        <v>1649</v>
      </c>
      <c r="P161" s="74">
        <f>VLOOKUP(B161,'115+260'!$B$15:$AB$647,14,FALSE)</f>
        <v>-351</v>
      </c>
      <c r="Q161" s="72">
        <f>'115+260'!R162</f>
        <v>0</v>
      </c>
      <c r="R161" s="71">
        <f t="shared" si="34"/>
        <v>131</v>
      </c>
      <c r="S161" s="76">
        <f>VLOOKUP(B161,'115+260'!$B$14:$AB$647,22,FALSE)</f>
        <v>975</v>
      </c>
      <c r="T161" s="75">
        <f>VLOOKUP(B161,'115+260'!$B$15:$AB$647,6,FALSE)</f>
        <v>1017</v>
      </c>
      <c r="U161" s="74">
        <f t="shared" si="30"/>
        <v>1625</v>
      </c>
      <c r="V161" s="73">
        <f>VLOOKUP(B161,'115+260'!$B$15:$AB$647,15,FALSE)</f>
        <v>-375</v>
      </c>
      <c r="W161" s="72">
        <f>'115+260'!S162</f>
        <v>0</v>
      </c>
      <c r="X161" s="71">
        <f t="shared" si="35"/>
        <v>125</v>
      </c>
      <c r="Y161" s="70">
        <f t="shared" si="36"/>
        <v>0</v>
      </c>
      <c r="Z161" s="69">
        <f t="shared" si="37"/>
        <v>0</v>
      </c>
      <c r="AA161" s="68">
        <f t="shared" si="38"/>
        <v>1.3059999999999998</v>
      </c>
      <c r="AB161" s="68">
        <f t="shared" si="39"/>
        <v>1.0580000000000001</v>
      </c>
    </row>
    <row r="162" spans="2:28">
      <c r="B162" s="110">
        <f>'115+260'!B163</f>
        <v>45400</v>
      </c>
      <c r="C162" s="80">
        <f t="shared" si="31"/>
        <v>1</v>
      </c>
      <c r="D162" s="79">
        <f t="shared" si="32"/>
        <v>1069</v>
      </c>
      <c r="E162" s="78">
        <f>VLOOKUP(B162,'115+260'!B163:AB264,3,FALSE)</f>
        <v>1575</v>
      </c>
      <c r="F162" s="75">
        <f t="shared" si="27"/>
        <v>2644</v>
      </c>
      <c r="G162" s="77">
        <f>VLOOKUP(B162,'115+260'!$B$15:$AB$647,20,FALSE)</f>
        <v>959</v>
      </c>
      <c r="H162" s="77">
        <f>VLOOKUP(B162,'115+260'!$B$15:$AB$647,4,FALSE)</f>
        <v>985</v>
      </c>
      <c r="I162" s="74">
        <f t="shared" si="28"/>
        <v>1659</v>
      </c>
      <c r="J162" s="74">
        <f>VLOOKUP(B162,'115+260'!$B$15:$AB$647,13,FALSE)</f>
        <v>-341</v>
      </c>
      <c r="K162" s="72">
        <f>'115+260'!Q163</f>
        <v>0</v>
      </c>
      <c r="L162" s="71">
        <f t="shared" si="33"/>
        <v>141</v>
      </c>
      <c r="M162" s="76">
        <f>VLOOKUP(B162,'115+260'!$B$14:$AB$647,21,FALSE)</f>
        <v>969</v>
      </c>
      <c r="N162" s="75">
        <f>VLOOKUP(B162,'115+260'!$B$15:$AB$647,5,FALSE)</f>
        <v>995</v>
      </c>
      <c r="O162" s="74">
        <f t="shared" si="29"/>
        <v>1649</v>
      </c>
      <c r="P162" s="74">
        <f>VLOOKUP(B162,'115+260'!$B$15:$AB$647,14,FALSE)</f>
        <v>-351</v>
      </c>
      <c r="Q162" s="72">
        <f>'115+260'!R163</f>
        <v>0</v>
      </c>
      <c r="R162" s="71">
        <f t="shared" si="34"/>
        <v>131</v>
      </c>
      <c r="S162" s="76">
        <f>VLOOKUP(B162,'115+260'!$B$14:$AB$647,22,FALSE)</f>
        <v>975</v>
      </c>
      <c r="T162" s="75">
        <f>VLOOKUP(B162,'115+260'!$B$15:$AB$647,6,FALSE)</f>
        <v>1019</v>
      </c>
      <c r="U162" s="74">
        <f t="shared" si="30"/>
        <v>1625</v>
      </c>
      <c r="V162" s="73">
        <f>VLOOKUP(B162,'115+260'!$B$15:$AB$647,15,FALSE)</f>
        <v>-375</v>
      </c>
      <c r="W162" s="72">
        <f>'115+260'!S163</f>
        <v>0</v>
      </c>
      <c r="X162" s="71">
        <f t="shared" si="35"/>
        <v>125</v>
      </c>
      <c r="Y162" s="70">
        <f t="shared" si="36"/>
        <v>0</v>
      </c>
      <c r="Z162" s="69">
        <f t="shared" si="37"/>
        <v>0</v>
      </c>
      <c r="AA162" s="68">
        <f t="shared" si="38"/>
        <v>1.3059999999999998</v>
      </c>
      <c r="AB162" s="68">
        <f t="shared" si="39"/>
        <v>1.0580000000000001</v>
      </c>
    </row>
    <row r="163" spans="2:28">
      <c r="B163" s="110">
        <f>'115+260'!B164</f>
        <v>45401</v>
      </c>
      <c r="C163" s="80">
        <f t="shared" si="31"/>
        <v>1</v>
      </c>
      <c r="D163" s="79">
        <f t="shared" si="32"/>
        <v>1069</v>
      </c>
      <c r="E163" s="78">
        <f>VLOOKUP(B163,'115+260'!B164:AB265,3,FALSE)</f>
        <v>1577</v>
      </c>
      <c r="F163" s="75">
        <f t="shared" si="27"/>
        <v>2646</v>
      </c>
      <c r="G163" s="77">
        <f>VLOOKUP(B163,'115+260'!$B$15:$AB$647,20,FALSE)</f>
        <v>959</v>
      </c>
      <c r="H163" s="77">
        <f>VLOOKUP(B163,'115+260'!$B$15:$AB$647,4,FALSE)</f>
        <v>987</v>
      </c>
      <c r="I163" s="74">
        <f t="shared" si="28"/>
        <v>1659</v>
      </c>
      <c r="J163" s="74">
        <f>VLOOKUP(B163,'115+260'!$B$15:$AB$647,13,FALSE)</f>
        <v>-341</v>
      </c>
      <c r="K163" s="72">
        <f>'115+260'!Q164</f>
        <v>0</v>
      </c>
      <c r="L163" s="71">
        <f t="shared" si="33"/>
        <v>141</v>
      </c>
      <c r="M163" s="76">
        <f>VLOOKUP(B163,'115+260'!$B$14:$AB$647,21,FALSE)</f>
        <v>969</v>
      </c>
      <c r="N163" s="75">
        <f>VLOOKUP(B163,'115+260'!$B$15:$AB$647,5,FALSE)</f>
        <v>997</v>
      </c>
      <c r="O163" s="74">
        <f t="shared" si="29"/>
        <v>1649</v>
      </c>
      <c r="P163" s="74">
        <f>VLOOKUP(B163,'115+260'!$B$15:$AB$647,14,FALSE)</f>
        <v>-351</v>
      </c>
      <c r="Q163" s="72">
        <f>'115+260'!R164</f>
        <v>0</v>
      </c>
      <c r="R163" s="71">
        <f t="shared" si="34"/>
        <v>131</v>
      </c>
      <c r="S163" s="76">
        <f>VLOOKUP(B163,'115+260'!$B$14:$AB$647,22,FALSE)</f>
        <v>975</v>
      </c>
      <c r="T163" s="75">
        <f>VLOOKUP(B163,'115+260'!$B$15:$AB$647,6,FALSE)</f>
        <v>1021</v>
      </c>
      <c r="U163" s="74">
        <f t="shared" si="30"/>
        <v>1625</v>
      </c>
      <c r="V163" s="73">
        <f>VLOOKUP(B163,'115+260'!$B$15:$AB$647,15,FALSE)</f>
        <v>-375</v>
      </c>
      <c r="W163" s="72">
        <f>'115+260'!S164</f>
        <v>0</v>
      </c>
      <c r="X163" s="71">
        <f t="shared" si="35"/>
        <v>125</v>
      </c>
      <c r="Y163" s="70">
        <f t="shared" si="36"/>
        <v>0</v>
      </c>
      <c r="Z163" s="69">
        <f t="shared" si="37"/>
        <v>0</v>
      </c>
      <c r="AA163" s="68">
        <f t="shared" si="38"/>
        <v>1.3059999999999998</v>
      </c>
      <c r="AB163" s="68">
        <f t="shared" si="39"/>
        <v>1.0580000000000001</v>
      </c>
    </row>
    <row r="164" spans="2:28">
      <c r="B164" s="110">
        <f>'115+260'!B165</f>
        <v>45402</v>
      </c>
      <c r="C164" s="80">
        <f t="shared" si="31"/>
        <v>1</v>
      </c>
      <c r="D164" s="79">
        <f t="shared" si="32"/>
        <v>1069</v>
      </c>
      <c r="E164" s="78">
        <f>VLOOKUP(B164,'115+260'!B165:AB266,3,FALSE)</f>
        <v>1579</v>
      </c>
      <c r="F164" s="75">
        <f t="shared" si="27"/>
        <v>2648</v>
      </c>
      <c r="G164" s="77">
        <f>VLOOKUP(B164,'115+260'!$B$15:$AB$647,20,FALSE)</f>
        <v>1250</v>
      </c>
      <c r="H164" s="77">
        <f>VLOOKUP(B164,'115+260'!$B$15:$AB$647,4,FALSE)</f>
        <v>998</v>
      </c>
      <c r="I164" s="74">
        <f t="shared" si="28"/>
        <v>1650</v>
      </c>
      <c r="J164" s="74">
        <f>VLOOKUP(B164,'115+260'!$B$15:$AB$647,13,FALSE)</f>
        <v>-350</v>
      </c>
      <c r="K164" s="72">
        <f>'115+260'!Q165</f>
        <v>9</v>
      </c>
      <c r="L164" s="71">
        <f t="shared" si="33"/>
        <v>150</v>
      </c>
      <c r="M164" s="76">
        <f>VLOOKUP(B164,'115+260'!$B$14:$AB$647,21,FALSE)</f>
        <v>1260</v>
      </c>
      <c r="N164" s="75">
        <f>VLOOKUP(B164,'115+260'!$B$15:$AB$647,5,FALSE)</f>
        <v>1008</v>
      </c>
      <c r="O164" s="74">
        <f t="shared" si="29"/>
        <v>1640</v>
      </c>
      <c r="P164" s="74">
        <f>VLOOKUP(B164,'115+260'!$B$15:$AB$647,14,FALSE)</f>
        <v>-360</v>
      </c>
      <c r="Q164" s="72">
        <f>'115+260'!R165</f>
        <v>9</v>
      </c>
      <c r="R164" s="71">
        <f t="shared" si="34"/>
        <v>140</v>
      </c>
      <c r="S164" s="76">
        <f>VLOOKUP(B164,'115+260'!$B$14:$AB$647,22,FALSE)</f>
        <v>1267</v>
      </c>
      <c r="T164" s="75">
        <f>VLOOKUP(B164,'115+260'!$B$15:$AB$647,6,FALSE)</f>
        <v>1031</v>
      </c>
      <c r="U164" s="74">
        <f t="shared" si="30"/>
        <v>1617</v>
      </c>
      <c r="V164" s="73">
        <f>VLOOKUP(B164,'115+260'!$B$15:$AB$647,15,FALSE)</f>
        <v>-383</v>
      </c>
      <c r="W164" s="72">
        <f>'115+260'!S165</f>
        <v>8</v>
      </c>
      <c r="X164" s="71">
        <f t="shared" si="35"/>
        <v>133</v>
      </c>
      <c r="Y164" s="70">
        <f t="shared" si="36"/>
        <v>292</v>
      </c>
      <c r="Z164" s="69">
        <f t="shared" si="37"/>
        <v>0.29199999999999998</v>
      </c>
      <c r="AA164" s="68">
        <f t="shared" si="38"/>
        <v>1.5979999999999999</v>
      </c>
      <c r="AB164" s="68">
        <f t="shared" si="39"/>
        <v>1.34</v>
      </c>
    </row>
    <row r="165" spans="2:28">
      <c r="B165" s="110">
        <f>'115+260'!B166</f>
        <v>45403</v>
      </c>
      <c r="C165" s="80">
        <f t="shared" si="31"/>
        <v>1</v>
      </c>
      <c r="D165" s="79">
        <f t="shared" si="32"/>
        <v>1069</v>
      </c>
      <c r="E165" s="78">
        <f>VLOOKUP(B165,'115+260'!B166:AB267,3,FALSE)</f>
        <v>1581</v>
      </c>
      <c r="F165" s="75">
        <f t="shared" si="27"/>
        <v>2650</v>
      </c>
      <c r="G165" s="77">
        <f>VLOOKUP(B165,'115+260'!$B$15:$AB$647,20,FALSE)</f>
        <v>1244</v>
      </c>
      <c r="H165" s="77">
        <f>VLOOKUP(B165,'115+260'!$B$15:$AB$647,4,FALSE)</f>
        <v>1006</v>
      </c>
      <c r="I165" s="74">
        <f t="shared" si="28"/>
        <v>1644</v>
      </c>
      <c r="J165" s="74">
        <f>VLOOKUP(B165,'115+260'!$B$15:$AB$647,13,FALSE)</f>
        <v>-356</v>
      </c>
      <c r="K165" s="72">
        <f>'115+260'!Q166</f>
        <v>6</v>
      </c>
      <c r="L165" s="71">
        <f t="shared" si="33"/>
        <v>156</v>
      </c>
      <c r="M165" s="76">
        <f>VLOOKUP(B165,'115+260'!$B$14:$AB$647,21,FALSE)</f>
        <v>1254</v>
      </c>
      <c r="N165" s="75">
        <f>VLOOKUP(B165,'115+260'!$B$15:$AB$647,5,FALSE)</f>
        <v>1016</v>
      </c>
      <c r="O165" s="74">
        <f t="shared" si="29"/>
        <v>1634</v>
      </c>
      <c r="P165" s="74">
        <f>VLOOKUP(B165,'115+260'!$B$15:$AB$647,14,FALSE)</f>
        <v>-366</v>
      </c>
      <c r="Q165" s="72">
        <f>'115+260'!R166</f>
        <v>6</v>
      </c>
      <c r="R165" s="71">
        <f t="shared" si="34"/>
        <v>146</v>
      </c>
      <c r="S165" s="76">
        <f>VLOOKUP(B165,'115+260'!$B$14:$AB$647,22,FALSE)</f>
        <v>1264</v>
      </c>
      <c r="T165" s="75">
        <f>VLOOKUP(B165,'115+260'!$B$15:$AB$647,6,FALSE)</f>
        <v>1036</v>
      </c>
      <c r="U165" s="74">
        <f t="shared" si="30"/>
        <v>1614</v>
      </c>
      <c r="V165" s="73">
        <f>VLOOKUP(B165,'115+260'!$B$15:$AB$647,15,FALSE)</f>
        <v>-386</v>
      </c>
      <c r="W165" s="72">
        <f>'115+260'!S166</f>
        <v>3</v>
      </c>
      <c r="X165" s="71">
        <f t="shared" si="35"/>
        <v>136</v>
      </c>
      <c r="Y165" s="70">
        <f t="shared" si="36"/>
        <v>-3</v>
      </c>
      <c r="Z165" s="69">
        <f t="shared" si="37"/>
        <v>0</v>
      </c>
      <c r="AA165" s="68">
        <f t="shared" si="38"/>
        <v>1.5979999999999999</v>
      </c>
      <c r="AB165" s="68">
        <f t="shared" si="39"/>
        <v>1.3280000000000001</v>
      </c>
    </row>
    <row r="166" spans="2:28">
      <c r="B166" s="110">
        <f>'115+260'!B167</f>
        <v>45404</v>
      </c>
      <c r="C166" s="80">
        <f t="shared" si="31"/>
        <v>1</v>
      </c>
      <c r="D166" s="79">
        <f t="shared" si="32"/>
        <v>1069</v>
      </c>
      <c r="E166" s="78">
        <f>VLOOKUP(B166,'115+260'!B167:AB268,3,FALSE)</f>
        <v>1583</v>
      </c>
      <c r="F166" s="75">
        <f t="shared" si="27"/>
        <v>2652</v>
      </c>
      <c r="G166" s="77">
        <f>VLOOKUP(B166,'115+260'!$B$15:$AB$647,20,FALSE)</f>
        <v>1239</v>
      </c>
      <c r="H166" s="77">
        <f>VLOOKUP(B166,'115+260'!$B$15:$AB$647,4,FALSE)</f>
        <v>1013</v>
      </c>
      <c r="I166" s="74">
        <f t="shared" si="28"/>
        <v>1639</v>
      </c>
      <c r="J166" s="74">
        <f>VLOOKUP(B166,'115+260'!$B$15:$AB$647,13,FALSE)</f>
        <v>-361</v>
      </c>
      <c r="K166" s="72">
        <f>'115+260'!Q167</f>
        <v>5</v>
      </c>
      <c r="L166" s="71">
        <f t="shared" si="33"/>
        <v>161</v>
      </c>
      <c r="M166" s="76">
        <f>VLOOKUP(B166,'115+260'!$B$14:$AB$647,21,FALSE)</f>
        <v>1249</v>
      </c>
      <c r="N166" s="75">
        <f>VLOOKUP(B166,'115+260'!$B$15:$AB$647,5,FALSE)</f>
        <v>1023</v>
      </c>
      <c r="O166" s="74">
        <f t="shared" si="29"/>
        <v>1629</v>
      </c>
      <c r="P166" s="74">
        <f>VLOOKUP(B166,'115+260'!$B$15:$AB$647,14,FALSE)</f>
        <v>-371</v>
      </c>
      <c r="Q166" s="72">
        <f>'115+260'!R167</f>
        <v>5</v>
      </c>
      <c r="R166" s="71">
        <f t="shared" si="34"/>
        <v>151</v>
      </c>
      <c r="S166" s="76">
        <f>VLOOKUP(B166,'115+260'!$B$14:$AB$647,22,FALSE)</f>
        <v>1260</v>
      </c>
      <c r="T166" s="75">
        <f>VLOOKUP(B166,'115+260'!$B$15:$AB$647,6,FALSE)</f>
        <v>1042</v>
      </c>
      <c r="U166" s="74">
        <f t="shared" si="30"/>
        <v>1610</v>
      </c>
      <c r="V166" s="73">
        <f>VLOOKUP(B166,'115+260'!$B$15:$AB$647,15,FALSE)</f>
        <v>-390</v>
      </c>
      <c r="W166" s="72">
        <f>'115+260'!S167</f>
        <v>4</v>
      </c>
      <c r="X166" s="71">
        <f t="shared" si="35"/>
        <v>140</v>
      </c>
      <c r="Y166" s="70">
        <f t="shared" si="36"/>
        <v>-4</v>
      </c>
      <c r="Z166" s="69">
        <f t="shared" si="37"/>
        <v>0</v>
      </c>
      <c r="AA166" s="68">
        <f t="shared" si="38"/>
        <v>1.5979999999999999</v>
      </c>
      <c r="AB166" s="68">
        <f t="shared" si="39"/>
        <v>1.3180000000000001</v>
      </c>
    </row>
    <row r="167" spans="2:28">
      <c r="B167" s="110">
        <f>'115+260'!B168</f>
        <v>45405</v>
      </c>
      <c r="C167" s="80">
        <f t="shared" si="31"/>
        <v>1</v>
      </c>
      <c r="D167" s="79">
        <f t="shared" si="32"/>
        <v>1069</v>
      </c>
      <c r="E167" s="78">
        <f>VLOOKUP(B167,'115+260'!B168:AB269,3,FALSE)</f>
        <v>1585</v>
      </c>
      <c r="F167" s="75">
        <f t="shared" si="27"/>
        <v>2654</v>
      </c>
      <c r="G167" s="77">
        <f>VLOOKUP(B167,'115+260'!$B$15:$AB$647,20,FALSE)</f>
        <v>1234</v>
      </c>
      <c r="H167" s="77">
        <f>VLOOKUP(B167,'115+260'!$B$15:$AB$647,4,FALSE)</f>
        <v>1020</v>
      </c>
      <c r="I167" s="74">
        <f t="shared" si="28"/>
        <v>1634</v>
      </c>
      <c r="J167" s="74">
        <f>VLOOKUP(B167,'115+260'!$B$15:$AB$647,13,FALSE)</f>
        <v>-366</v>
      </c>
      <c r="K167" s="72">
        <f>'115+260'!Q168</f>
        <v>5</v>
      </c>
      <c r="L167" s="71">
        <f t="shared" si="33"/>
        <v>166</v>
      </c>
      <c r="M167" s="76">
        <f>VLOOKUP(B167,'115+260'!$B$14:$AB$647,21,FALSE)</f>
        <v>1243</v>
      </c>
      <c r="N167" s="75">
        <f>VLOOKUP(B167,'115+260'!$B$15:$AB$647,5,FALSE)</f>
        <v>1031</v>
      </c>
      <c r="O167" s="74">
        <f t="shared" si="29"/>
        <v>1623</v>
      </c>
      <c r="P167" s="74">
        <f>VLOOKUP(B167,'115+260'!$B$15:$AB$647,14,FALSE)</f>
        <v>-377</v>
      </c>
      <c r="Q167" s="72">
        <f>'115+260'!R168</f>
        <v>6</v>
      </c>
      <c r="R167" s="71">
        <f t="shared" si="34"/>
        <v>157</v>
      </c>
      <c r="S167" s="76">
        <f>VLOOKUP(B167,'115+260'!$B$14:$AB$647,22,FALSE)</f>
        <v>1256</v>
      </c>
      <c r="T167" s="75">
        <f>VLOOKUP(B167,'115+260'!$B$15:$AB$647,6,FALSE)</f>
        <v>1048</v>
      </c>
      <c r="U167" s="74">
        <f t="shared" si="30"/>
        <v>1606</v>
      </c>
      <c r="V167" s="73">
        <f>VLOOKUP(B167,'115+260'!$B$15:$AB$647,15,FALSE)</f>
        <v>-394</v>
      </c>
      <c r="W167" s="72">
        <f>'115+260'!S168</f>
        <v>4</v>
      </c>
      <c r="X167" s="71">
        <f t="shared" si="35"/>
        <v>144</v>
      </c>
      <c r="Y167" s="70">
        <f t="shared" si="36"/>
        <v>-4</v>
      </c>
      <c r="Z167" s="69">
        <f t="shared" si="37"/>
        <v>0</v>
      </c>
      <c r="AA167" s="68">
        <f t="shared" si="38"/>
        <v>1.5979999999999999</v>
      </c>
      <c r="AB167" s="68">
        <f t="shared" si="39"/>
        <v>1.306</v>
      </c>
    </row>
    <row r="168" spans="2:28">
      <c r="B168" s="110">
        <f>'115+260'!B169</f>
        <v>45406</v>
      </c>
      <c r="C168" s="80">
        <f t="shared" si="31"/>
        <v>1</v>
      </c>
      <c r="D168" s="79">
        <f t="shared" si="32"/>
        <v>1069</v>
      </c>
      <c r="E168" s="78">
        <f>VLOOKUP(B168,'115+260'!B169:AB270,3,FALSE)</f>
        <v>1587</v>
      </c>
      <c r="F168" s="75">
        <f t="shared" si="27"/>
        <v>2656</v>
      </c>
      <c r="G168" s="77">
        <f>VLOOKUP(B168,'115+260'!$B$15:$AB$647,20,FALSE)</f>
        <v>1525</v>
      </c>
      <c r="H168" s="77">
        <f>VLOOKUP(B168,'115+260'!$B$15:$AB$647,4,FALSE)</f>
        <v>1031</v>
      </c>
      <c r="I168" s="74">
        <f t="shared" si="28"/>
        <v>1625</v>
      </c>
      <c r="J168" s="74">
        <f>VLOOKUP(B168,'115+260'!$B$15:$AB$647,13,FALSE)</f>
        <v>-375</v>
      </c>
      <c r="K168" s="72">
        <f>'115+260'!Q169</f>
        <v>9</v>
      </c>
      <c r="L168" s="71">
        <f t="shared" si="33"/>
        <v>175</v>
      </c>
      <c r="M168" s="76">
        <f>VLOOKUP(B168,'115+260'!$B$14:$AB$647,21,FALSE)</f>
        <v>1534</v>
      </c>
      <c r="N168" s="75">
        <f>VLOOKUP(B168,'115+260'!$B$15:$AB$647,5,FALSE)</f>
        <v>1042</v>
      </c>
      <c r="O168" s="74">
        <f t="shared" si="29"/>
        <v>1614</v>
      </c>
      <c r="P168" s="74">
        <f>VLOOKUP(B168,'115+260'!$B$15:$AB$647,14,FALSE)</f>
        <v>-386</v>
      </c>
      <c r="Q168" s="72">
        <f>'115+260'!R169</f>
        <v>9</v>
      </c>
      <c r="R168" s="71">
        <f t="shared" si="34"/>
        <v>166</v>
      </c>
      <c r="S168" s="76">
        <f>VLOOKUP(B168,'115+260'!$B$14:$AB$647,22,FALSE)</f>
        <v>1548</v>
      </c>
      <c r="T168" s="75">
        <f>VLOOKUP(B168,'115+260'!$B$15:$AB$647,6,FALSE)</f>
        <v>1058</v>
      </c>
      <c r="U168" s="74">
        <f t="shared" si="30"/>
        <v>1598</v>
      </c>
      <c r="V168" s="73">
        <f>VLOOKUP(B168,'115+260'!$B$15:$AB$647,15,FALSE)</f>
        <v>-402</v>
      </c>
      <c r="W168" s="72">
        <f>'115+260'!S169</f>
        <v>8</v>
      </c>
      <c r="X168" s="71">
        <f t="shared" si="35"/>
        <v>152</v>
      </c>
      <c r="Y168" s="70">
        <f t="shared" si="36"/>
        <v>292</v>
      </c>
      <c r="Z168" s="69">
        <f t="shared" si="37"/>
        <v>0.29199999999999998</v>
      </c>
      <c r="AA168" s="68">
        <f t="shared" si="38"/>
        <v>1.89</v>
      </c>
      <c r="AB168" s="68">
        <f t="shared" si="39"/>
        <v>1.5880000000000001</v>
      </c>
    </row>
    <row r="169" spans="2:28">
      <c r="B169" s="110">
        <f>'115+260'!B170</f>
        <v>45407</v>
      </c>
      <c r="C169" s="80">
        <f t="shared" si="31"/>
        <v>1</v>
      </c>
      <c r="D169" s="79">
        <f t="shared" si="32"/>
        <v>1069</v>
      </c>
      <c r="E169" s="78">
        <f>VLOOKUP(B169,'115+260'!B170:AB271,3,FALSE)</f>
        <v>1589</v>
      </c>
      <c r="F169" s="75">
        <f t="shared" si="27"/>
        <v>2658</v>
      </c>
      <c r="G169" s="77">
        <f>VLOOKUP(B169,'115+260'!$B$15:$AB$647,20,FALSE)</f>
        <v>1519</v>
      </c>
      <c r="H169" s="77">
        <f>VLOOKUP(B169,'115+260'!$B$15:$AB$647,4,FALSE)</f>
        <v>1039</v>
      </c>
      <c r="I169" s="74">
        <f t="shared" si="28"/>
        <v>1619</v>
      </c>
      <c r="J169" s="74">
        <f>VLOOKUP(B169,'115+260'!$B$15:$AB$647,13,FALSE)</f>
        <v>-381</v>
      </c>
      <c r="K169" s="72">
        <f>'115+260'!Q170</f>
        <v>6</v>
      </c>
      <c r="L169" s="71">
        <f t="shared" si="33"/>
        <v>181</v>
      </c>
      <c r="M169" s="76">
        <f>VLOOKUP(B169,'115+260'!$B$14:$AB$647,21,FALSE)</f>
        <v>1528</v>
      </c>
      <c r="N169" s="75">
        <f>VLOOKUP(B169,'115+260'!$B$15:$AB$647,5,FALSE)</f>
        <v>1050</v>
      </c>
      <c r="O169" s="74">
        <f t="shared" si="29"/>
        <v>1608</v>
      </c>
      <c r="P169" s="74">
        <f>VLOOKUP(B169,'115+260'!$B$15:$AB$647,14,FALSE)</f>
        <v>-392</v>
      </c>
      <c r="Q169" s="72">
        <f>'115+260'!R170</f>
        <v>6</v>
      </c>
      <c r="R169" s="71">
        <f t="shared" si="34"/>
        <v>172</v>
      </c>
      <c r="S169" s="76">
        <f>VLOOKUP(B169,'115+260'!$B$14:$AB$647,22,FALSE)</f>
        <v>1545</v>
      </c>
      <c r="T169" s="75">
        <f>VLOOKUP(B169,'115+260'!$B$15:$AB$647,6,FALSE)</f>
        <v>1063</v>
      </c>
      <c r="U169" s="74">
        <f t="shared" si="30"/>
        <v>1595</v>
      </c>
      <c r="V169" s="73">
        <f>VLOOKUP(B169,'115+260'!$B$15:$AB$647,15,FALSE)</f>
        <v>-405</v>
      </c>
      <c r="W169" s="72">
        <f>'115+260'!S170</f>
        <v>3</v>
      </c>
      <c r="X169" s="71">
        <f t="shared" si="35"/>
        <v>155</v>
      </c>
      <c r="Y169" s="70">
        <f t="shared" si="36"/>
        <v>-3</v>
      </c>
      <c r="Z169" s="69">
        <f t="shared" si="37"/>
        <v>0</v>
      </c>
      <c r="AA169" s="68">
        <f t="shared" si="38"/>
        <v>1.89</v>
      </c>
      <c r="AB169" s="68">
        <f t="shared" si="39"/>
        <v>1.5760000000000001</v>
      </c>
    </row>
    <row r="170" spans="2:28">
      <c r="B170" s="110">
        <f>'115+260'!B171</f>
        <v>45408</v>
      </c>
      <c r="C170" s="80">
        <f t="shared" si="31"/>
        <v>1</v>
      </c>
      <c r="D170" s="79">
        <f t="shared" si="32"/>
        <v>1069</v>
      </c>
      <c r="E170" s="78">
        <f>VLOOKUP(B170,'115+260'!B171:AB272,3,FALSE)</f>
        <v>1591</v>
      </c>
      <c r="F170" s="75">
        <f t="shared" si="27"/>
        <v>2660</v>
      </c>
      <c r="G170" s="77">
        <f>VLOOKUP(B170,'115+260'!$B$15:$AB$647,20,FALSE)</f>
        <v>1514</v>
      </c>
      <c r="H170" s="77">
        <f>VLOOKUP(B170,'115+260'!$B$15:$AB$647,4,FALSE)</f>
        <v>1046</v>
      </c>
      <c r="I170" s="74">
        <f t="shared" si="28"/>
        <v>1614</v>
      </c>
      <c r="J170" s="74">
        <f>VLOOKUP(B170,'115+260'!$B$15:$AB$647,13,FALSE)</f>
        <v>-386</v>
      </c>
      <c r="K170" s="72">
        <f>'115+260'!Q171</f>
        <v>5</v>
      </c>
      <c r="L170" s="71">
        <f t="shared" si="33"/>
        <v>186</v>
      </c>
      <c r="M170" s="76">
        <f>VLOOKUP(B170,'115+260'!$B$14:$AB$647,21,FALSE)</f>
        <v>1523</v>
      </c>
      <c r="N170" s="75">
        <f>VLOOKUP(B170,'115+260'!$B$15:$AB$647,5,FALSE)</f>
        <v>1057</v>
      </c>
      <c r="O170" s="74">
        <f t="shared" si="29"/>
        <v>1603</v>
      </c>
      <c r="P170" s="74">
        <f>VLOOKUP(B170,'115+260'!$B$15:$AB$647,14,FALSE)</f>
        <v>-397</v>
      </c>
      <c r="Q170" s="72">
        <f>'115+260'!R171</f>
        <v>5</v>
      </c>
      <c r="R170" s="71">
        <f t="shared" si="34"/>
        <v>177</v>
      </c>
      <c r="S170" s="76">
        <f>VLOOKUP(B170,'115+260'!$B$14:$AB$647,22,FALSE)</f>
        <v>1541</v>
      </c>
      <c r="T170" s="75">
        <f>VLOOKUP(B170,'115+260'!$B$15:$AB$647,6,FALSE)</f>
        <v>1069</v>
      </c>
      <c r="U170" s="74">
        <f t="shared" si="30"/>
        <v>1591</v>
      </c>
      <c r="V170" s="73">
        <f>VLOOKUP(B170,'115+260'!$B$15:$AB$647,15,FALSE)</f>
        <v>-409</v>
      </c>
      <c r="W170" s="72">
        <f>'115+260'!S171</f>
        <v>4</v>
      </c>
      <c r="X170" s="71">
        <f t="shared" si="35"/>
        <v>159</v>
      </c>
      <c r="Y170" s="70">
        <f t="shared" si="36"/>
        <v>-4</v>
      </c>
      <c r="Z170" s="69">
        <f t="shared" si="37"/>
        <v>0</v>
      </c>
      <c r="AA170" s="68">
        <f t="shared" si="38"/>
        <v>1.89</v>
      </c>
      <c r="AB170" s="68">
        <f t="shared" si="39"/>
        <v>1.5660000000000001</v>
      </c>
    </row>
    <row r="171" spans="2:28">
      <c r="B171" s="110">
        <f>'115+260'!B172</f>
        <v>45409</v>
      </c>
      <c r="C171" s="80">
        <f t="shared" si="31"/>
        <v>1</v>
      </c>
      <c r="D171" s="79">
        <f t="shared" si="32"/>
        <v>1069</v>
      </c>
      <c r="E171" s="78">
        <f>VLOOKUP(B171,'115+260'!B172:AB273,3,FALSE)</f>
        <v>1593</v>
      </c>
      <c r="F171" s="75">
        <f t="shared" si="27"/>
        <v>2662</v>
      </c>
      <c r="G171" s="77">
        <f>VLOOKUP(B171,'115+260'!$B$15:$AB$647,20,FALSE)</f>
        <v>1509</v>
      </c>
      <c r="H171" s="77">
        <f>VLOOKUP(B171,'115+260'!$B$15:$AB$647,4,FALSE)</f>
        <v>1053</v>
      </c>
      <c r="I171" s="74">
        <f t="shared" si="28"/>
        <v>1609</v>
      </c>
      <c r="J171" s="74">
        <f>VLOOKUP(B171,'115+260'!$B$15:$AB$647,13,FALSE)</f>
        <v>-391</v>
      </c>
      <c r="K171" s="72">
        <f>'115+260'!Q172</f>
        <v>5</v>
      </c>
      <c r="L171" s="71">
        <f t="shared" si="33"/>
        <v>191</v>
      </c>
      <c r="M171" s="76">
        <f>VLOOKUP(B171,'115+260'!$B$14:$AB$647,21,FALSE)</f>
        <v>1517</v>
      </c>
      <c r="N171" s="75">
        <f>VLOOKUP(B171,'115+260'!$B$15:$AB$647,5,FALSE)</f>
        <v>1065</v>
      </c>
      <c r="O171" s="74">
        <f t="shared" si="29"/>
        <v>1597</v>
      </c>
      <c r="P171" s="74">
        <f>VLOOKUP(B171,'115+260'!$B$15:$AB$647,14,FALSE)</f>
        <v>-403</v>
      </c>
      <c r="Q171" s="72">
        <f>'115+260'!R172</f>
        <v>6</v>
      </c>
      <c r="R171" s="71">
        <f t="shared" si="34"/>
        <v>183</v>
      </c>
      <c r="S171" s="76">
        <f>VLOOKUP(B171,'115+260'!$B$14:$AB$647,22,FALSE)</f>
        <v>1537</v>
      </c>
      <c r="T171" s="75">
        <f>VLOOKUP(B171,'115+260'!$B$15:$AB$647,6,FALSE)</f>
        <v>1075</v>
      </c>
      <c r="U171" s="74">
        <f t="shared" si="30"/>
        <v>1587</v>
      </c>
      <c r="V171" s="73">
        <f>VLOOKUP(B171,'115+260'!$B$15:$AB$647,15,FALSE)</f>
        <v>-413</v>
      </c>
      <c r="W171" s="72">
        <f>'115+260'!S172</f>
        <v>4</v>
      </c>
      <c r="X171" s="71">
        <f t="shared" si="35"/>
        <v>163</v>
      </c>
      <c r="Y171" s="70">
        <f t="shared" si="36"/>
        <v>-4</v>
      </c>
      <c r="Z171" s="69">
        <f t="shared" si="37"/>
        <v>0</v>
      </c>
      <c r="AA171" s="68">
        <f t="shared" si="38"/>
        <v>1.89</v>
      </c>
      <c r="AB171" s="68">
        <f t="shared" si="39"/>
        <v>1.554</v>
      </c>
    </row>
    <row r="172" spans="2:28">
      <c r="B172" s="110">
        <f>'115+260'!B173</f>
        <v>45410</v>
      </c>
      <c r="C172" s="80">
        <f t="shared" si="31"/>
        <v>1</v>
      </c>
      <c r="D172" s="79">
        <f t="shared" si="32"/>
        <v>1069</v>
      </c>
      <c r="E172" s="78">
        <f>VLOOKUP(B172,'115+260'!B173:AB274,3,FALSE)</f>
        <v>1595</v>
      </c>
      <c r="F172" s="75">
        <f t="shared" si="27"/>
        <v>2664</v>
      </c>
      <c r="G172" s="77">
        <f>VLOOKUP(B172,'115+260'!$B$15:$AB$647,20,FALSE)</f>
        <v>1504</v>
      </c>
      <c r="H172" s="77">
        <f>VLOOKUP(B172,'115+260'!$B$15:$AB$647,4,FALSE)</f>
        <v>60</v>
      </c>
      <c r="I172" s="74">
        <f t="shared" si="28"/>
        <v>2604</v>
      </c>
      <c r="J172" s="74">
        <f>VLOOKUP(B172,'115+260'!$B$15:$AB$647,13,FALSE)</f>
        <v>-396</v>
      </c>
      <c r="K172" s="72">
        <f>'115+260'!Q173</f>
        <v>5</v>
      </c>
      <c r="L172" s="71">
        <f t="shared" si="33"/>
        <v>196</v>
      </c>
      <c r="M172" s="76">
        <f>VLOOKUP(B172,'115+260'!$B$14:$AB$647,21,FALSE)</f>
        <v>1511</v>
      </c>
      <c r="N172" s="75">
        <f>VLOOKUP(B172,'115+260'!$B$15:$AB$647,5,FALSE)</f>
        <v>73</v>
      </c>
      <c r="O172" s="74">
        <f t="shared" si="29"/>
        <v>2591</v>
      </c>
      <c r="P172" s="74">
        <f>VLOOKUP(B172,'115+260'!$B$15:$AB$647,14,FALSE)</f>
        <v>-409</v>
      </c>
      <c r="Q172" s="72">
        <f>'115+260'!R173</f>
        <v>6</v>
      </c>
      <c r="R172" s="71">
        <f t="shared" si="34"/>
        <v>189</v>
      </c>
      <c r="S172" s="76">
        <f>VLOOKUP(B172,'115+260'!$B$14:$AB$647,22,FALSE)</f>
        <v>1533</v>
      </c>
      <c r="T172" s="75">
        <f>VLOOKUP(B172,'115+260'!$B$15:$AB$647,6,FALSE)</f>
        <v>81</v>
      </c>
      <c r="U172" s="74">
        <f t="shared" si="30"/>
        <v>2583</v>
      </c>
      <c r="V172" s="73">
        <f>VLOOKUP(B172,'115+260'!$B$15:$AB$647,15,FALSE)</f>
        <v>-417</v>
      </c>
      <c r="W172" s="72">
        <f>'115+260'!S173</f>
        <v>4</v>
      </c>
      <c r="X172" s="71">
        <f t="shared" si="35"/>
        <v>167</v>
      </c>
      <c r="Y172" s="70">
        <f t="shared" si="36"/>
        <v>-4</v>
      </c>
      <c r="Z172" s="69">
        <f t="shared" si="37"/>
        <v>0</v>
      </c>
      <c r="AA172" s="68">
        <f t="shared" si="38"/>
        <v>1.89</v>
      </c>
      <c r="AB172" s="68">
        <f t="shared" si="39"/>
        <v>1.542</v>
      </c>
    </row>
    <row r="173" spans="2:28">
      <c r="B173" s="110">
        <f>'115+260'!B174</f>
        <v>45411</v>
      </c>
      <c r="C173" s="80">
        <f t="shared" si="31"/>
        <v>1</v>
      </c>
      <c r="D173" s="79">
        <f t="shared" si="32"/>
        <v>1069</v>
      </c>
      <c r="E173" s="78">
        <f>VLOOKUP(B173,'115+260'!B174:AB274,3,FALSE)</f>
        <v>1597</v>
      </c>
      <c r="F173" s="75">
        <f t="shared" si="27"/>
        <v>2666</v>
      </c>
      <c r="G173" s="77">
        <f>VLOOKUP(B173,'115+260'!$B$15:$AB$647,20,FALSE)</f>
        <v>1795</v>
      </c>
      <c r="H173" s="77">
        <f>VLOOKUP(B173,'115+260'!$B$15:$AB$647,4,FALSE)</f>
        <v>71</v>
      </c>
      <c r="I173" s="74">
        <f t="shared" si="28"/>
        <v>2595</v>
      </c>
      <c r="J173" s="74">
        <f>VLOOKUP(B173,'115+260'!$B$15:$AB$647,13,FALSE)</f>
        <v>-405</v>
      </c>
      <c r="K173" s="72">
        <f>'115+260'!Q174</f>
        <v>9</v>
      </c>
      <c r="L173" s="71">
        <f t="shared" si="33"/>
        <v>205</v>
      </c>
      <c r="M173" s="76">
        <f>VLOOKUP(B173,'115+260'!$B$14:$AB$647,21,FALSE)</f>
        <v>1802</v>
      </c>
      <c r="N173" s="75">
        <f>VLOOKUP(B173,'115+260'!$B$15:$AB$647,5,FALSE)</f>
        <v>84</v>
      </c>
      <c r="O173" s="74">
        <f t="shared" si="29"/>
        <v>2582</v>
      </c>
      <c r="P173" s="74">
        <f>VLOOKUP(B173,'115+260'!$B$15:$AB$647,14,FALSE)</f>
        <v>-418</v>
      </c>
      <c r="Q173" s="72">
        <f>'115+260'!R174</f>
        <v>9</v>
      </c>
      <c r="R173" s="71">
        <f t="shared" si="34"/>
        <v>198</v>
      </c>
      <c r="S173" s="76">
        <f>VLOOKUP(B173,'115+260'!$B$14:$AB$647,22,FALSE)</f>
        <v>1824</v>
      </c>
      <c r="T173" s="75">
        <f>VLOOKUP(B173,'115+260'!$B$15:$AB$647,6,FALSE)</f>
        <v>92</v>
      </c>
      <c r="U173" s="74">
        <f t="shared" si="30"/>
        <v>2574</v>
      </c>
      <c r="V173" s="73">
        <f>VLOOKUP(B173,'115+260'!$B$15:$AB$647,15,FALSE)</f>
        <v>-426</v>
      </c>
      <c r="W173" s="72">
        <f>'115+260'!S174</f>
        <v>9</v>
      </c>
      <c r="X173" s="71">
        <f t="shared" si="35"/>
        <v>176</v>
      </c>
      <c r="Y173" s="70">
        <f t="shared" si="36"/>
        <v>291</v>
      </c>
      <c r="Z173" s="69">
        <f t="shared" si="37"/>
        <v>0.29099999999999998</v>
      </c>
      <c r="AA173" s="68">
        <f t="shared" si="38"/>
        <v>2.181</v>
      </c>
      <c r="AB173" s="68">
        <f t="shared" si="39"/>
        <v>1.8240000000000001</v>
      </c>
    </row>
    <row r="174" spans="2:28">
      <c r="B174" s="110">
        <f>'115+260'!B175</f>
        <v>45412</v>
      </c>
      <c r="C174" s="80">
        <f t="shared" si="31"/>
        <v>1</v>
      </c>
      <c r="D174" s="79">
        <f t="shared" si="32"/>
        <v>1069</v>
      </c>
      <c r="E174" s="78">
        <f>VLOOKUP(B174,'115+260'!B175:AB274,3,FALSE)</f>
        <v>1599</v>
      </c>
      <c r="F174" s="75">
        <f t="shared" si="27"/>
        <v>2668</v>
      </c>
      <c r="G174" s="77">
        <f>VLOOKUP(B174,'115+260'!$B$15:$AB$647,20,FALSE)</f>
        <v>1792</v>
      </c>
      <c r="H174" s="77">
        <f>VLOOKUP(B174,'115+260'!$B$15:$AB$647,4,FALSE)</f>
        <v>76</v>
      </c>
      <c r="I174" s="74">
        <f t="shared" si="28"/>
        <v>2592</v>
      </c>
      <c r="J174" s="74">
        <f>VLOOKUP(B174,'115+260'!$B$15:$AB$647,13,FALSE)</f>
        <v>-408</v>
      </c>
      <c r="K174" s="72">
        <f>'115+260'!Q175</f>
        <v>3</v>
      </c>
      <c r="L174" s="71">
        <f t="shared" si="33"/>
        <v>208</v>
      </c>
      <c r="M174" s="76">
        <f>VLOOKUP(B174,'115+260'!$B$14:$AB$647,21,FALSE)</f>
        <v>1798</v>
      </c>
      <c r="N174" s="75">
        <f>VLOOKUP(B174,'115+260'!$B$15:$AB$647,5,FALSE)</f>
        <v>90</v>
      </c>
      <c r="O174" s="74">
        <f t="shared" si="29"/>
        <v>2578</v>
      </c>
      <c r="P174" s="74">
        <f>VLOOKUP(B174,'115+260'!$B$15:$AB$647,14,FALSE)</f>
        <v>-422</v>
      </c>
      <c r="Q174" s="72">
        <f>'115+260'!R175</f>
        <v>4</v>
      </c>
      <c r="R174" s="71">
        <f t="shared" si="34"/>
        <v>202</v>
      </c>
      <c r="S174" s="76">
        <f>VLOOKUP(B174,'115+260'!$B$14:$AB$647,22,FALSE)</f>
        <v>1820</v>
      </c>
      <c r="T174" s="75">
        <f>VLOOKUP(B174,'115+260'!$B$15:$AB$647,6,FALSE)</f>
        <v>98</v>
      </c>
      <c r="U174" s="74">
        <f t="shared" si="30"/>
        <v>2570</v>
      </c>
      <c r="V174" s="73">
        <f>VLOOKUP(B174,'115+260'!$B$15:$AB$647,15,FALSE)</f>
        <v>-430</v>
      </c>
      <c r="W174" s="72">
        <f>'115+260'!S175</f>
        <v>4</v>
      </c>
      <c r="X174" s="71">
        <f t="shared" si="35"/>
        <v>180</v>
      </c>
      <c r="Y174" s="70">
        <f t="shared" si="36"/>
        <v>-4</v>
      </c>
      <c r="Z174" s="69">
        <f t="shared" si="37"/>
        <v>0</v>
      </c>
      <c r="AA174" s="68">
        <f t="shared" si="38"/>
        <v>2.181</v>
      </c>
      <c r="AB174" s="68">
        <f t="shared" si="39"/>
        <v>1.8160000000000001</v>
      </c>
    </row>
    <row r="175" spans="2:28">
      <c r="B175" s="110">
        <f>'115+260'!B176</f>
        <v>45413</v>
      </c>
      <c r="C175" s="80">
        <f t="shared" si="31"/>
        <v>1</v>
      </c>
      <c r="D175" s="79">
        <f t="shared" si="32"/>
        <v>1069</v>
      </c>
      <c r="E175" s="78">
        <f>VLOOKUP(B175,'115+260'!B176:AB274,3,FALSE)</f>
        <v>1601</v>
      </c>
      <c r="F175" s="75">
        <f t="shared" si="27"/>
        <v>2670</v>
      </c>
      <c r="G175" s="77">
        <f>VLOOKUP(B175,'115+260'!$B$15:$AB$647,20,FALSE)</f>
        <v>1790</v>
      </c>
      <c r="H175" s="77">
        <f>VLOOKUP(B175,'115+260'!$B$15:$AB$647,4,FALSE)</f>
        <v>80</v>
      </c>
      <c r="I175" s="74">
        <f t="shared" si="28"/>
        <v>2590</v>
      </c>
      <c r="J175" s="74">
        <f>VLOOKUP(B175,'115+260'!$B$15:$AB$647,13,FALSE)</f>
        <v>-410</v>
      </c>
      <c r="K175" s="72">
        <f>'115+260'!Q176</f>
        <v>2</v>
      </c>
      <c r="L175" s="71">
        <f t="shared" si="33"/>
        <v>210</v>
      </c>
      <c r="M175" s="76">
        <f>VLOOKUP(B175,'115+260'!$B$14:$AB$647,21,FALSE)</f>
        <v>1793</v>
      </c>
      <c r="N175" s="75">
        <f>VLOOKUP(B175,'115+260'!$B$15:$AB$647,5,FALSE)</f>
        <v>97</v>
      </c>
      <c r="O175" s="74">
        <f t="shared" si="29"/>
        <v>2573</v>
      </c>
      <c r="P175" s="74">
        <f>VLOOKUP(B175,'115+260'!$B$15:$AB$647,14,FALSE)</f>
        <v>-427</v>
      </c>
      <c r="Q175" s="72">
        <f>'115+260'!R176</f>
        <v>5</v>
      </c>
      <c r="R175" s="71">
        <f t="shared" si="34"/>
        <v>207</v>
      </c>
      <c r="S175" s="76">
        <f>VLOOKUP(B175,'115+260'!$B$14:$AB$647,22,FALSE)</f>
        <v>1818</v>
      </c>
      <c r="T175" s="75">
        <f>VLOOKUP(B175,'115+260'!$B$15:$AB$647,6,FALSE)</f>
        <v>102</v>
      </c>
      <c r="U175" s="74">
        <f t="shared" si="30"/>
        <v>2568</v>
      </c>
      <c r="V175" s="73">
        <f>VLOOKUP(B175,'115+260'!$B$15:$AB$647,15,FALSE)</f>
        <v>-432</v>
      </c>
      <c r="W175" s="72">
        <f>'115+260'!S176</f>
        <v>2</v>
      </c>
      <c r="X175" s="71">
        <f t="shared" si="35"/>
        <v>182</v>
      </c>
      <c r="Y175" s="70">
        <f t="shared" si="36"/>
        <v>-2</v>
      </c>
      <c r="Z175" s="69">
        <f t="shared" si="37"/>
        <v>0</v>
      </c>
      <c r="AA175" s="68">
        <f t="shared" si="38"/>
        <v>2.181</v>
      </c>
      <c r="AB175" s="68">
        <f t="shared" si="39"/>
        <v>1.806</v>
      </c>
    </row>
    <row r="176" spans="2:28">
      <c r="B176" s="110">
        <f>'115+260'!B177</f>
        <v>45414</v>
      </c>
      <c r="C176" s="80">
        <f t="shared" si="31"/>
        <v>1</v>
      </c>
      <c r="D176" s="79">
        <f t="shared" si="32"/>
        <v>1069</v>
      </c>
      <c r="E176" s="78">
        <f>VLOOKUP(B176,'115+260'!B177:AB274,3,FALSE)</f>
        <v>1603</v>
      </c>
      <c r="F176" s="75">
        <f t="shared" si="27"/>
        <v>2672</v>
      </c>
      <c r="G176" s="77">
        <f>VLOOKUP(B176,'115+260'!$B$15:$AB$647,20,FALSE)</f>
        <v>1786</v>
      </c>
      <c r="H176" s="77">
        <f>VLOOKUP(B176,'115+260'!$B$15:$AB$647,4,FALSE)</f>
        <v>86</v>
      </c>
      <c r="I176" s="74">
        <f t="shared" si="28"/>
        <v>2586</v>
      </c>
      <c r="J176" s="74">
        <f>VLOOKUP(B176,'115+260'!$B$15:$AB$647,13,FALSE)</f>
        <v>-414</v>
      </c>
      <c r="K176" s="72">
        <f>'115+260'!Q177</f>
        <v>4</v>
      </c>
      <c r="L176" s="71">
        <f t="shared" si="33"/>
        <v>214</v>
      </c>
      <c r="M176" s="76">
        <f>VLOOKUP(B176,'115+260'!$B$14:$AB$647,21,FALSE)</f>
        <v>1788</v>
      </c>
      <c r="N176" s="75">
        <f>VLOOKUP(B176,'115+260'!$B$15:$AB$647,5,FALSE)</f>
        <v>104</v>
      </c>
      <c r="O176" s="74">
        <f t="shared" si="29"/>
        <v>2568</v>
      </c>
      <c r="P176" s="74">
        <f>VLOOKUP(B176,'115+260'!$B$15:$AB$647,14,FALSE)</f>
        <v>-432</v>
      </c>
      <c r="Q176" s="72">
        <f>'115+260'!R177</f>
        <v>5</v>
      </c>
      <c r="R176" s="71">
        <f t="shared" si="34"/>
        <v>212</v>
      </c>
      <c r="S176" s="76">
        <f>VLOOKUP(B176,'115+260'!$B$14:$AB$647,22,FALSE)</f>
        <v>1813</v>
      </c>
      <c r="T176" s="75">
        <f>VLOOKUP(B176,'115+260'!$B$15:$AB$647,6,FALSE)</f>
        <v>109</v>
      </c>
      <c r="U176" s="74">
        <f t="shared" si="30"/>
        <v>2563</v>
      </c>
      <c r="V176" s="73">
        <f>VLOOKUP(B176,'115+260'!$B$15:$AB$647,15,FALSE)</f>
        <v>-437</v>
      </c>
      <c r="W176" s="72">
        <f>'115+260'!S177</f>
        <v>5</v>
      </c>
      <c r="X176" s="71">
        <f t="shared" si="35"/>
        <v>187</v>
      </c>
      <c r="Y176" s="70">
        <f t="shared" si="36"/>
        <v>-5</v>
      </c>
      <c r="Z176" s="69">
        <f t="shared" si="37"/>
        <v>0</v>
      </c>
      <c r="AA176" s="68">
        <f t="shared" si="38"/>
        <v>2.181</v>
      </c>
      <c r="AB176" s="68">
        <f t="shared" si="39"/>
        <v>1.796</v>
      </c>
    </row>
    <row r="177" spans="2:28">
      <c r="B177" s="110">
        <f>'115+260'!B178</f>
        <v>45415</v>
      </c>
      <c r="C177" s="80">
        <f t="shared" si="31"/>
        <v>1</v>
      </c>
      <c r="D177" s="79">
        <f t="shared" si="32"/>
        <v>1069</v>
      </c>
      <c r="E177" s="78">
        <f>VLOOKUP(B177,'115+260'!B178:AB274,3,FALSE)</f>
        <v>1605</v>
      </c>
      <c r="F177" s="75">
        <f t="shared" si="27"/>
        <v>2674</v>
      </c>
      <c r="G177" s="77">
        <f>VLOOKUP(B177,'115+260'!$B$15:$AB$647,20,FALSE)</f>
        <v>2078</v>
      </c>
      <c r="H177" s="77">
        <f>VLOOKUP(B177,'115+260'!$B$15:$AB$647,4,FALSE)</f>
        <v>96</v>
      </c>
      <c r="I177" s="74">
        <f t="shared" si="28"/>
        <v>2578</v>
      </c>
      <c r="J177" s="74">
        <f>VLOOKUP(B177,'115+260'!$B$15:$AB$647,13,FALSE)</f>
        <v>-422</v>
      </c>
      <c r="K177" s="72">
        <f>'115+260'!Q178</f>
        <v>8</v>
      </c>
      <c r="L177" s="71">
        <f t="shared" si="33"/>
        <v>222</v>
      </c>
      <c r="M177" s="76">
        <f>VLOOKUP(B177,'115+260'!$B$14:$AB$647,21,FALSE)</f>
        <v>2079</v>
      </c>
      <c r="N177" s="75">
        <f>VLOOKUP(B177,'115+260'!$B$15:$AB$647,5,FALSE)</f>
        <v>115</v>
      </c>
      <c r="O177" s="74">
        <f t="shared" si="29"/>
        <v>2559</v>
      </c>
      <c r="P177" s="74">
        <f>VLOOKUP(B177,'115+260'!$B$15:$AB$647,14,FALSE)</f>
        <v>-441</v>
      </c>
      <c r="Q177" s="72">
        <f>'115+260'!R178</f>
        <v>9</v>
      </c>
      <c r="R177" s="71">
        <f t="shared" si="34"/>
        <v>221</v>
      </c>
      <c r="S177" s="76">
        <f>VLOOKUP(B177,'115+260'!$B$14:$AB$647,22,FALSE)</f>
        <v>2105</v>
      </c>
      <c r="T177" s="75">
        <f>VLOOKUP(B177,'115+260'!$B$15:$AB$647,6,FALSE)</f>
        <v>119</v>
      </c>
      <c r="U177" s="74">
        <f t="shared" si="30"/>
        <v>2555</v>
      </c>
      <c r="V177" s="73">
        <f>VLOOKUP(B177,'115+260'!$B$15:$AB$647,15,FALSE)</f>
        <v>-445</v>
      </c>
      <c r="W177" s="72">
        <f>'115+260'!S178</f>
        <v>8</v>
      </c>
      <c r="X177" s="71">
        <f t="shared" si="35"/>
        <v>195</v>
      </c>
      <c r="Y177" s="70">
        <f t="shared" si="36"/>
        <v>292</v>
      </c>
      <c r="Z177" s="69">
        <f t="shared" si="37"/>
        <v>0.29199999999999998</v>
      </c>
      <c r="AA177" s="68">
        <f t="shared" si="38"/>
        <v>2.4729999999999999</v>
      </c>
      <c r="AB177" s="68">
        <f t="shared" si="39"/>
        <v>2.0779999999999998</v>
      </c>
    </row>
    <row r="178" spans="2:28">
      <c r="B178" s="110">
        <f>'115+260'!B179</f>
        <v>45416</v>
      </c>
      <c r="C178" s="80">
        <f t="shared" si="31"/>
        <v>1</v>
      </c>
      <c r="D178" s="79">
        <f t="shared" si="32"/>
        <v>1069</v>
      </c>
      <c r="E178" s="78">
        <f>VLOOKUP(B178,'115+260'!B179:AB274,3,FALSE)</f>
        <v>1607</v>
      </c>
      <c r="F178" s="75">
        <f t="shared" si="27"/>
        <v>2676</v>
      </c>
      <c r="G178" s="77">
        <f>VLOOKUP(B178,'115+260'!$B$15:$AB$647,20,FALSE)</f>
        <v>2073</v>
      </c>
      <c r="H178" s="77">
        <f>VLOOKUP(B178,'115+260'!$B$15:$AB$647,4,FALSE)</f>
        <v>103</v>
      </c>
      <c r="I178" s="74">
        <f t="shared" si="28"/>
        <v>2573</v>
      </c>
      <c r="J178" s="74">
        <f>VLOOKUP(B178,'115+260'!$B$15:$AB$647,13,FALSE)</f>
        <v>-427</v>
      </c>
      <c r="K178" s="72">
        <f>'115+260'!Q179</f>
        <v>5</v>
      </c>
      <c r="L178" s="71">
        <f t="shared" si="33"/>
        <v>227</v>
      </c>
      <c r="M178" s="76">
        <f>VLOOKUP(B178,'115+260'!$B$14:$AB$647,21,FALSE)</f>
        <v>2074</v>
      </c>
      <c r="N178" s="75">
        <f>VLOOKUP(B178,'115+260'!$B$15:$AB$647,5,FALSE)</f>
        <v>122</v>
      </c>
      <c r="O178" s="74">
        <f t="shared" si="29"/>
        <v>2554</v>
      </c>
      <c r="P178" s="74">
        <f>VLOOKUP(B178,'115+260'!$B$15:$AB$647,14,FALSE)</f>
        <v>-446</v>
      </c>
      <c r="Q178" s="72">
        <f>'115+260'!R179</f>
        <v>5</v>
      </c>
      <c r="R178" s="71">
        <f t="shared" si="34"/>
        <v>226</v>
      </c>
      <c r="S178" s="76">
        <f>VLOOKUP(B178,'115+260'!$B$14:$AB$647,22,FALSE)</f>
        <v>2101</v>
      </c>
      <c r="T178" s="75">
        <f>VLOOKUP(B178,'115+260'!$B$15:$AB$647,6,FALSE)</f>
        <v>125</v>
      </c>
      <c r="U178" s="74">
        <f t="shared" si="30"/>
        <v>2551</v>
      </c>
      <c r="V178" s="73">
        <f>VLOOKUP(B178,'115+260'!$B$15:$AB$647,15,FALSE)</f>
        <v>-449</v>
      </c>
      <c r="W178" s="72">
        <f>'115+260'!S179</f>
        <v>4</v>
      </c>
      <c r="X178" s="71">
        <f t="shared" si="35"/>
        <v>199</v>
      </c>
      <c r="Y178" s="70">
        <f t="shared" si="36"/>
        <v>-4</v>
      </c>
      <c r="Z178" s="69">
        <f t="shared" si="37"/>
        <v>0</v>
      </c>
      <c r="AA178" s="68">
        <f t="shared" si="38"/>
        <v>2.4729999999999999</v>
      </c>
      <c r="AB178" s="68">
        <f t="shared" si="39"/>
        <v>2.0680000000000001</v>
      </c>
    </row>
    <row r="179" spans="2:28">
      <c r="B179" s="110">
        <f>'115+260'!B180</f>
        <v>45417</v>
      </c>
      <c r="C179" s="80">
        <f t="shared" si="31"/>
        <v>1</v>
      </c>
      <c r="D179" s="79">
        <f t="shared" si="32"/>
        <v>1069</v>
      </c>
      <c r="E179" s="78">
        <f>VLOOKUP(B179,'115+260'!B180:AB274,3,FALSE)</f>
        <v>1609</v>
      </c>
      <c r="F179" s="75">
        <f t="shared" si="27"/>
        <v>2678</v>
      </c>
      <c r="G179" s="77">
        <f>VLOOKUP(B179,'115+260'!$B$15:$AB$647,20,FALSE)</f>
        <v>2068</v>
      </c>
      <c r="H179" s="77">
        <f>VLOOKUP(B179,'115+260'!$B$15:$AB$647,4,FALSE)</f>
        <v>110</v>
      </c>
      <c r="I179" s="74">
        <f t="shared" si="28"/>
        <v>2568</v>
      </c>
      <c r="J179" s="74">
        <f>VLOOKUP(B179,'115+260'!$B$15:$AB$647,13,FALSE)</f>
        <v>-432</v>
      </c>
      <c r="K179" s="72">
        <f>'115+260'!Q180</f>
        <v>5</v>
      </c>
      <c r="L179" s="71">
        <f t="shared" si="33"/>
        <v>232</v>
      </c>
      <c r="M179" s="76">
        <f>VLOOKUP(B179,'115+260'!$B$14:$AB$647,21,FALSE)</f>
        <v>2070</v>
      </c>
      <c r="N179" s="75">
        <f>VLOOKUP(B179,'115+260'!$B$15:$AB$647,5,FALSE)</f>
        <v>128</v>
      </c>
      <c r="O179" s="74">
        <f t="shared" si="29"/>
        <v>2550</v>
      </c>
      <c r="P179" s="74">
        <f>VLOOKUP(B179,'115+260'!$B$15:$AB$647,14,FALSE)</f>
        <v>-450</v>
      </c>
      <c r="Q179" s="72">
        <f>'115+260'!R180</f>
        <v>4</v>
      </c>
      <c r="R179" s="71">
        <f t="shared" si="34"/>
        <v>230</v>
      </c>
      <c r="S179" s="76">
        <f>VLOOKUP(B179,'115+260'!$B$14:$AB$647,22,FALSE)</f>
        <v>2098</v>
      </c>
      <c r="T179" s="75">
        <f>VLOOKUP(B179,'115+260'!$B$15:$AB$647,6,FALSE)</f>
        <v>130</v>
      </c>
      <c r="U179" s="74">
        <f t="shared" si="30"/>
        <v>2548</v>
      </c>
      <c r="V179" s="73">
        <f>VLOOKUP(B179,'115+260'!$B$15:$AB$647,15,FALSE)</f>
        <v>-452</v>
      </c>
      <c r="W179" s="72">
        <f>'115+260'!S180</f>
        <v>3</v>
      </c>
      <c r="X179" s="71">
        <f t="shared" si="35"/>
        <v>202</v>
      </c>
      <c r="Y179" s="70">
        <f t="shared" si="36"/>
        <v>-3</v>
      </c>
      <c r="Z179" s="69">
        <f t="shared" si="37"/>
        <v>0</v>
      </c>
      <c r="AA179" s="68">
        <f t="shared" si="38"/>
        <v>2.4729999999999999</v>
      </c>
      <c r="AB179" s="68">
        <f t="shared" si="39"/>
        <v>2.06</v>
      </c>
    </row>
    <row r="180" spans="2:28">
      <c r="B180" s="110">
        <f>'115+260'!B181</f>
        <v>45418</v>
      </c>
      <c r="C180" s="80">
        <f t="shared" si="31"/>
        <v>1</v>
      </c>
      <c r="D180" s="79">
        <f t="shared" si="32"/>
        <v>1069</v>
      </c>
      <c r="E180" s="78">
        <f>VLOOKUP(B180,'115+260'!B181:AB274,3,FALSE)</f>
        <v>1611</v>
      </c>
      <c r="F180" s="75">
        <f t="shared" si="27"/>
        <v>2680</v>
      </c>
      <c r="G180" s="77">
        <f>VLOOKUP(B180,'115+260'!$B$15:$AB$647,20,FALSE)</f>
        <v>2064</v>
      </c>
      <c r="H180" s="77">
        <f>VLOOKUP(B180,'115+260'!$B$15:$AB$647,4,FALSE)</f>
        <v>116</v>
      </c>
      <c r="I180" s="74">
        <f t="shared" si="28"/>
        <v>2564</v>
      </c>
      <c r="J180" s="74">
        <f>VLOOKUP(B180,'115+260'!$B$15:$AB$647,13,FALSE)</f>
        <v>-436</v>
      </c>
      <c r="K180" s="72">
        <f>'115+260'!Q181</f>
        <v>4</v>
      </c>
      <c r="L180" s="71">
        <f t="shared" si="33"/>
        <v>236</v>
      </c>
      <c r="M180" s="76">
        <f>VLOOKUP(B180,'115+260'!$B$14:$AB$647,21,FALSE)</f>
        <v>2066</v>
      </c>
      <c r="N180" s="75">
        <f>VLOOKUP(B180,'115+260'!$B$15:$AB$647,5,FALSE)</f>
        <v>134</v>
      </c>
      <c r="O180" s="74">
        <f t="shared" si="29"/>
        <v>2546</v>
      </c>
      <c r="P180" s="74">
        <f>VLOOKUP(B180,'115+260'!$B$15:$AB$647,14,FALSE)</f>
        <v>-454</v>
      </c>
      <c r="Q180" s="72">
        <f>'115+260'!R181</f>
        <v>4</v>
      </c>
      <c r="R180" s="71">
        <f t="shared" si="34"/>
        <v>234</v>
      </c>
      <c r="S180" s="76">
        <f>VLOOKUP(B180,'115+260'!$B$14:$AB$647,22,FALSE)</f>
        <v>2097</v>
      </c>
      <c r="T180" s="75">
        <f>VLOOKUP(B180,'115+260'!$B$15:$AB$647,6,FALSE)</f>
        <v>133</v>
      </c>
      <c r="U180" s="74">
        <f t="shared" si="30"/>
        <v>2547</v>
      </c>
      <c r="V180" s="73">
        <f>VLOOKUP(B180,'115+260'!$B$15:$AB$647,15,FALSE)</f>
        <v>-453</v>
      </c>
      <c r="W180" s="72">
        <f>'115+260'!S181</f>
        <v>1</v>
      </c>
      <c r="X180" s="71">
        <f t="shared" si="35"/>
        <v>203</v>
      </c>
      <c r="Y180" s="70">
        <f t="shared" si="36"/>
        <v>-1</v>
      </c>
      <c r="Z180" s="69">
        <f t="shared" si="37"/>
        <v>0</v>
      </c>
      <c r="AA180" s="68">
        <f t="shared" si="38"/>
        <v>2.4729999999999999</v>
      </c>
      <c r="AB180" s="68">
        <f t="shared" si="39"/>
        <v>2.052</v>
      </c>
    </row>
    <row r="181" spans="2:28">
      <c r="B181" s="110">
        <f>'115+260'!B182</f>
        <v>45419</v>
      </c>
      <c r="C181" s="80">
        <f t="shared" si="31"/>
        <v>1</v>
      </c>
      <c r="D181" s="79">
        <f t="shared" si="32"/>
        <v>1069</v>
      </c>
      <c r="E181" s="78">
        <f>VLOOKUP(B181,'115+260'!B182:AB274,3,FALSE)</f>
        <v>1613</v>
      </c>
      <c r="F181" s="75">
        <f t="shared" si="27"/>
        <v>2682</v>
      </c>
      <c r="G181" s="77">
        <f>VLOOKUP(B181,'115+260'!$B$15:$AB$647,20,FALSE)</f>
        <v>2061</v>
      </c>
      <c r="H181" s="77">
        <f>VLOOKUP(B181,'115+260'!$B$15:$AB$647,4,FALSE)</f>
        <v>121</v>
      </c>
      <c r="I181" s="74">
        <f t="shared" si="28"/>
        <v>2561</v>
      </c>
      <c r="J181" s="74">
        <f>VLOOKUP(B181,'115+260'!$B$15:$AB$647,13,FALSE)</f>
        <v>-439</v>
      </c>
      <c r="K181" s="72">
        <f>'115+260'!Q182</f>
        <v>3</v>
      </c>
      <c r="L181" s="71">
        <f t="shared" si="33"/>
        <v>239</v>
      </c>
      <c r="M181" s="76">
        <f>VLOOKUP(B181,'115+260'!$B$14:$AB$647,21,FALSE)</f>
        <v>2063</v>
      </c>
      <c r="N181" s="75">
        <f>VLOOKUP(B181,'115+260'!$B$15:$AB$647,5,FALSE)</f>
        <v>139</v>
      </c>
      <c r="O181" s="74">
        <f t="shared" si="29"/>
        <v>2543</v>
      </c>
      <c r="P181" s="74">
        <f>VLOOKUP(B181,'115+260'!$B$15:$AB$647,14,FALSE)</f>
        <v>-457</v>
      </c>
      <c r="Q181" s="72">
        <f>'115+260'!R182</f>
        <v>3</v>
      </c>
      <c r="R181" s="71">
        <f t="shared" si="34"/>
        <v>237</v>
      </c>
      <c r="S181" s="76">
        <f>VLOOKUP(B181,'115+260'!$B$14:$AB$647,22,FALSE)</f>
        <v>2096</v>
      </c>
      <c r="T181" s="75">
        <f>VLOOKUP(B181,'115+260'!$B$15:$AB$647,6,FALSE)</f>
        <v>136</v>
      </c>
      <c r="U181" s="74">
        <f t="shared" si="30"/>
        <v>2546</v>
      </c>
      <c r="V181" s="73">
        <f>VLOOKUP(B181,'115+260'!$B$15:$AB$647,15,FALSE)</f>
        <v>-454</v>
      </c>
      <c r="W181" s="72">
        <f>'115+260'!S182</f>
        <v>1</v>
      </c>
      <c r="X181" s="71">
        <f t="shared" si="35"/>
        <v>204</v>
      </c>
      <c r="Y181" s="70">
        <f t="shared" si="36"/>
        <v>-1</v>
      </c>
      <c r="Z181" s="69">
        <f t="shared" si="37"/>
        <v>0</v>
      </c>
      <c r="AA181" s="68">
        <f t="shared" si="38"/>
        <v>2.4729999999999999</v>
      </c>
      <c r="AB181" s="68">
        <f t="shared" si="39"/>
        <v>2.0459999999999998</v>
      </c>
    </row>
    <row r="182" spans="2:28">
      <c r="B182" s="110">
        <f>'115+260'!B183</f>
        <v>45420</v>
      </c>
      <c r="C182" s="80">
        <f t="shared" si="31"/>
        <v>1</v>
      </c>
      <c r="D182" s="79">
        <f t="shared" si="32"/>
        <v>1069</v>
      </c>
      <c r="E182" s="78">
        <f>VLOOKUP(B182,'115+260'!B183:AB274,3,FALSE)</f>
        <v>1615</v>
      </c>
      <c r="F182" s="75">
        <f t="shared" si="27"/>
        <v>2684</v>
      </c>
      <c r="G182" s="77">
        <f>VLOOKUP(B182,'115+260'!$B$15:$AB$647,20,FALSE)</f>
        <v>2059</v>
      </c>
      <c r="H182" s="77">
        <f>VLOOKUP(B182,'115+260'!$B$15:$AB$647,4,FALSE)</f>
        <v>125</v>
      </c>
      <c r="I182" s="74">
        <f t="shared" si="28"/>
        <v>2559</v>
      </c>
      <c r="J182" s="74">
        <f>VLOOKUP(B182,'115+260'!$B$15:$AB$647,13,FALSE)</f>
        <v>-441</v>
      </c>
      <c r="K182" s="72">
        <f>'115+260'!Q183</f>
        <v>2</v>
      </c>
      <c r="L182" s="71">
        <f t="shared" si="33"/>
        <v>241</v>
      </c>
      <c r="M182" s="76">
        <f>VLOOKUP(B182,'115+260'!$B$14:$AB$647,21,FALSE)</f>
        <v>2058</v>
      </c>
      <c r="N182" s="75">
        <f>VLOOKUP(B182,'115+260'!$B$15:$AB$647,5,FALSE)</f>
        <v>146</v>
      </c>
      <c r="O182" s="74">
        <f t="shared" si="29"/>
        <v>2538</v>
      </c>
      <c r="P182" s="74">
        <f>VLOOKUP(B182,'115+260'!$B$15:$AB$647,14,FALSE)</f>
        <v>-462</v>
      </c>
      <c r="Q182" s="72">
        <f>'115+260'!R183</f>
        <v>5</v>
      </c>
      <c r="R182" s="71">
        <f t="shared" si="34"/>
        <v>242</v>
      </c>
      <c r="S182" s="76">
        <f>VLOOKUP(B182,'115+260'!$B$14:$AB$647,22,FALSE)</f>
        <v>2095</v>
      </c>
      <c r="T182" s="75">
        <f>VLOOKUP(B182,'115+260'!$B$15:$AB$647,6,FALSE)</f>
        <v>139</v>
      </c>
      <c r="U182" s="74">
        <f t="shared" si="30"/>
        <v>2545</v>
      </c>
      <c r="V182" s="73">
        <f>VLOOKUP(B182,'115+260'!$B$15:$AB$647,15,FALSE)</f>
        <v>-455</v>
      </c>
      <c r="W182" s="72">
        <f>'115+260'!S183</f>
        <v>1</v>
      </c>
      <c r="X182" s="71">
        <f t="shared" si="35"/>
        <v>205</v>
      </c>
      <c r="Y182" s="70">
        <f t="shared" si="36"/>
        <v>-1</v>
      </c>
      <c r="Z182" s="69">
        <f t="shared" si="37"/>
        <v>0</v>
      </c>
      <c r="AA182" s="68">
        <f t="shared" si="38"/>
        <v>2.4729999999999999</v>
      </c>
      <c r="AB182" s="68">
        <f t="shared" si="39"/>
        <v>2.036</v>
      </c>
    </row>
    <row r="183" spans="2:28">
      <c r="B183" s="110">
        <f>'115+260'!B184</f>
        <v>45421</v>
      </c>
      <c r="C183" s="80">
        <f t="shared" si="31"/>
        <v>1</v>
      </c>
      <c r="D183" s="79">
        <f t="shared" si="32"/>
        <v>1069</v>
      </c>
      <c r="E183" s="78">
        <f>VLOOKUP(B183,'115+260'!B184:AB274,3,FALSE)</f>
        <v>1617</v>
      </c>
      <c r="F183" s="75">
        <f t="shared" si="27"/>
        <v>2686</v>
      </c>
      <c r="G183" s="77">
        <f>VLOOKUP(B183,'115+260'!$B$15:$AB$647,20,FALSE)</f>
        <v>2055</v>
      </c>
      <c r="H183" s="77">
        <f>VLOOKUP(B183,'115+260'!$B$15:$AB$647,4,FALSE)</f>
        <v>131</v>
      </c>
      <c r="I183" s="74">
        <f t="shared" si="28"/>
        <v>2555</v>
      </c>
      <c r="J183" s="74">
        <f>VLOOKUP(B183,'115+260'!$B$15:$AB$647,13,FALSE)</f>
        <v>-445</v>
      </c>
      <c r="K183" s="72">
        <f>'115+260'!Q184</f>
        <v>4</v>
      </c>
      <c r="L183" s="71">
        <f t="shared" si="33"/>
        <v>245</v>
      </c>
      <c r="M183" s="76">
        <f>VLOOKUP(B183,'115+260'!$B$14:$AB$647,21,FALSE)</f>
        <v>2053</v>
      </c>
      <c r="N183" s="75">
        <f>VLOOKUP(B183,'115+260'!$B$15:$AB$647,5,FALSE)</f>
        <v>153</v>
      </c>
      <c r="O183" s="74">
        <f t="shared" si="29"/>
        <v>2533</v>
      </c>
      <c r="P183" s="74">
        <f>VLOOKUP(B183,'115+260'!$B$15:$AB$647,14,FALSE)</f>
        <v>-467</v>
      </c>
      <c r="Q183" s="72">
        <f>'115+260'!R184</f>
        <v>5</v>
      </c>
      <c r="R183" s="71">
        <f t="shared" si="34"/>
        <v>247</v>
      </c>
      <c r="S183" s="76">
        <f>VLOOKUP(B183,'115+260'!$B$14:$AB$647,22,FALSE)</f>
        <v>2092</v>
      </c>
      <c r="T183" s="75">
        <f>VLOOKUP(B183,'115+260'!$B$15:$AB$647,6,FALSE)</f>
        <v>144</v>
      </c>
      <c r="U183" s="74">
        <f t="shared" si="30"/>
        <v>2542</v>
      </c>
      <c r="V183" s="73">
        <f>VLOOKUP(B183,'115+260'!$B$15:$AB$647,15,FALSE)</f>
        <v>-458</v>
      </c>
      <c r="W183" s="72">
        <f>'115+260'!S184</f>
        <v>3</v>
      </c>
      <c r="X183" s="71">
        <f t="shared" si="35"/>
        <v>208</v>
      </c>
      <c r="Y183" s="70">
        <f t="shared" si="36"/>
        <v>-3</v>
      </c>
      <c r="Z183" s="69">
        <f t="shared" si="37"/>
        <v>0</v>
      </c>
      <c r="AA183" s="68">
        <f t="shared" si="38"/>
        <v>2.4729999999999999</v>
      </c>
      <c r="AB183" s="68">
        <f t="shared" si="39"/>
        <v>2.0259999999999998</v>
      </c>
    </row>
    <row r="184" spans="2:28">
      <c r="B184" s="110">
        <f>'115+260'!B185</f>
        <v>45422</v>
      </c>
      <c r="C184" s="80">
        <f t="shared" si="31"/>
        <v>1</v>
      </c>
      <c r="D184" s="79">
        <f t="shared" si="32"/>
        <v>1069</v>
      </c>
      <c r="E184" s="78">
        <f>VLOOKUP(B184,'115+260'!B185:AB274,3,FALSE)</f>
        <v>1619</v>
      </c>
      <c r="F184" s="75">
        <f t="shared" si="27"/>
        <v>2688</v>
      </c>
      <c r="G184" s="77">
        <f>VLOOKUP(B184,'115+260'!$B$15:$AB$647,20,FALSE)</f>
        <v>2053</v>
      </c>
      <c r="H184" s="77">
        <f>VLOOKUP(B184,'115+260'!$B$15:$AB$647,4,FALSE)</f>
        <v>135</v>
      </c>
      <c r="I184" s="74">
        <f t="shared" si="28"/>
        <v>2553</v>
      </c>
      <c r="J184" s="74">
        <f>VLOOKUP(B184,'115+260'!$B$15:$AB$647,13,FALSE)</f>
        <v>-447</v>
      </c>
      <c r="K184" s="72">
        <f>'115+260'!Q185</f>
        <v>2</v>
      </c>
      <c r="L184" s="71">
        <f t="shared" si="33"/>
        <v>247</v>
      </c>
      <c r="M184" s="76">
        <f>VLOOKUP(B184,'115+260'!$B$14:$AB$647,21,FALSE)</f>
        <v>2049</v>
      </c>
      <c r="N184" s="75">
        <f>VLOOKUP(B184,'115+260'!$B$15:$AB$647,5,FALSE)</f>
        <v>159</v>
      </c>
      <c r="O184" s="74">
        <f t="shared" si="29"/>
        <v>2529</v>
      </c>
      <c r="P184" s="74">
        <f>VLOOKUP(B184,'115+260'!$B$15:$AB$647,14,FALSE)</f>
        <v>-471</v>
      </c>
      <c r="Q184" s="72">
        <f>'115+260'!R185</f>
        <v>4</v>
      </c>
      <c r="R184" s="71">
        <f t="shared" si="34"/>
        <v>251</v>
      </c>
      <c r="S184" s="76">
        <f>VLOOKUP(B184,'115+260'!$B$14:$AB$647,22,FALSE)</f>
        <v>2091</v>
      </c>
      <c r="T184" s="75">
        <f>VLOOKUP(B184,'115+260'!$B$15:$AB$647,6,FALSE)</f>
        <v>147</v>
      </c>
      <c r="U184" s="74">
        <f t="shared" si="30"/>
        <v>2541</v>
      </c>
      <c r="V184" s="73">
        <f>VLOOKUP(B184,'115+260'!$B$15:$AB$647,15,FALSE)</f>
        <v>-459</v>
      </c>
      <c r="W184" s="72">
        <f>'115+260'!S185</f>
        <v>1</v>
      </c>
      <c r="X184" s="71">
        <f t="shared" si="35"/>
        <v>209</v>
      </c>
      <c r="Y184" s="70">
        <f t="shared" si="36"/>
        <v>-1</v>
      </c>
      <c r="Z184" s="69">
        <f t="shared" si="37"/>
        <v>0</v>
      </c>
      <c r="AA184" s="68">
        <f t="shared" si="38"/>
        <v>2.4729999999999999</v>
      </c>
      <c r="AB184" s="68">
        <f t="shared" si="39"/>
        <v>2.0179999999999998</v>
      </c>
    </row>
    <row r="185" spans="2:28">
      <c r="B185" s="110">
        <f>'115+260'!B186</f>
        <v>45423</v>
      </c>
      <c r="C185" s="80">
        <f t="shared" si="31"/>
        <v>1</v>
      </c>
      <c r="D185" s="79">
        <f t="shared" si="32"/>
        <v>1069</v>
      </c>
      <c r="E185" s="78">
        <f>VLOOKUP(B185,'115+260'!B186:AB274,3,FALSE)</f>
        <v>1621</v>
      </c>
      <c r="F185" s="75">
        <f t="shared" si="27"/>
        <v>2690</v>
      </c>
      <c r="G185" s="77">
        <f>VLOOKUP(B185,'115+260'!$B$15:$AB$647,20,FALSE)</f>
        <v>2053</v>
      </c>
      <c r="H185" s="77">
        <f>VLOOKUP(B185,'115+260'!$B$15:$AB$647,4,FALSE)</f>
        <v>137</v>
      </c>
      <c r="I185" s="74">
        <f t="shared" si="28"/>
        <v>2553</v>
      </c>
      <c r="J185" s="74">
        <f>VLOOKUP(B185,'115+260'!$B$15:$AB$647,13,FALSE)</f>
        <v>-447</v>
      </c>
      <c r="K185" s="72">
        <f>'115+260'!Q186</f>
        <v>0</v>
      </c>
      <c r="L185" s="71">
        <f t="shared" si="33"/>
        <v>247</v>
      </c>
      <c r="M185" s="76">
        <f>VLOOKUP(B185,'115+260'!$B$14:$AB$647,21,FALSE)</f>
        <v>2049</v>
      </c>
      <c r="N185" s="75">
        <f>VLOOKUP(B185,'115+260'!$B$15:$AB$647,5,FALSE)</f>
        <v>161</v>
      </c>
      <c r="O185" s="74">
        <f t="shared" si="29"/>
        <v>2529</v>
      </c>
      <c r="P185" s="74">
        <f>VLOOKUP(B185,'115+260'!$B$15:$AB$647,14,FALSE)</f>
        <v>-471</v>
      </c>
      <c r="Q185" s="72">
        <f>'115+260'!R186</f>
        <v>0</v>
      </c>
      <c r="R185" s="71">
        <f t="shared" si="34"/>
        <v>251</v>
      </c>
      <c r="S185" s="76">
        <f>VLOOKUP(B185,'115+260'!$B$14:$AB$647,22,FALSE)</f>
        <v>2091</v>
      </c>
      <c r="T185" s="75">
        <f>VLOOKUP(B185,'115+260'!$B$15:$AB$647,6,FALSE)</f>
        <v>149</v>
      </c>
      <c r="U185" s="74">
        <f t="shared" si="30"/>
        <v>2541</v>
      </c>
      <c r="V185" s="73">
        <f>VLOOKUP(B185,'115+260'!$B$15:$AB$647,15,FALSE)</f>
        <v>-459</v>
      </c>
      <c r="W185" s="72">
        <f>'115+260'!S186</f>
        <v>0</v>
      </c>
      <c r="X185" s="71">
        <f t="shared" si="35"/>
        <v>209</v>
      </c>
      <c r="Y185" s="70">
        <f t="shared" si="36"/>
        <v>0</v>
      </c>
      <c r="Z185" s="69">
        <f t="shared" si="37"/>
        <v>0</v>
      </c>
      <c r="AA185" s="68">
        <f t="shared" si="38"/>
        <v>2.4729999999999999</v>
      </c>
      <c r="AB185" s="68">
        <f t="shared" si="39"/>
        <v>2.0179999999999998</v>
      </c>
    </row>
    <row r="186" spans="2:28">
      <c r="B186" s="110">
        <f>'115+260'!B187</f>
        <v>45424</v>
      </c>
      <c r="C186" s="80">
        <f t="shared" si="31"/>
        <v>1</v>
      </c>
      <c r="D186" s="79">
        <f t="shared" si="32"/>
        <v>1069</v>
      </c>
      <c r="E186" s="78">
        <f>VLOOKUP(B186,'115+260'!B187:AB274,3,FALSE)</f>
        <v>1623</v>
      </c>
      <c r="F186" s="75">
        <f t="shared" si="27"/>
        <v>2692</v>
      </c>
      <c r="G186" s="77">
        <f>VLOOKUP(B186,'115+260'!$B$15:$AB$647,20,FALSE)</f>
        <v>2053</v>
      </c>
      <c r="H186" s="77">
        <f>VLOOKUP(B186,'115+260'!$B$15:$AB$647,4,FALSE)</f>
        <v>139</v>
      </c>
      <c r="I186" s="74">
        <f t="shared" si="28"/>
        <v>2553</v>
      </c>
      <c r="J186" s="74">
        <f>VLOOKUP(B186,'115+260'!$B$15:$AB$647,13,FALSE)</f>
        <v>-447</v>
      </c>
      <c r="K186" s="72">
        <f>'115+260'!Q187</f>
        <v>0</v>
      </c>
      <c r="L186" s="71">
        <f t="shared" si="33"/>
        <v>247</v>
      </c>
      <c r="M186" s="76">
        <f>VLOOKUP(B186,'115+260'!$B$14:$AB$647,21,FALSE)</f>
        <v>2049</v>
      </c>
      <c r="N186" s="75">
        <f>VLOOKUP(B186,'115+260'!$B$15:$AB$647,5,FALSE)</f>
        <v>163</v>
      </c>
      <c r="O186" s="74">
        <f t="shared" si="29"/>
        <v>2529</v>
      </c>
      <c r="P186" s="74">
        <f>VLOOKUP(B186,'115+260'!$B$15:$AB$647,14,FALSE)</f>
        <v>-471</v>
      </c>
      <c r="Q186" s="72">
        <f>'115+260'!R187</f>
        <v>0</v>
      </c>
      <c r="R186" s="71">
        <f t="shared" si="34"/>
        <v>251</v>
      </c>
      <c r="S186" s="76">
        <f>VLOOKUP(B186,'115+260'!$B$14:$AB$647,22,FALSE)</f>
        <v>2091</v>
      </c>
      <c r="T186" s="75">
        <f>VLOOKUP(B186,'115+260'!$B$15:$AB$647,6,FALSE)</f>
        <v>151</v>
      </c>
      <c r="U186" s="74">
        <f t="shared" si="30"/>
        <v>2541</v>
      </c>
      <c r="V186" s="73">
        <f>VLOOKUP(B186,'115+260'!$B$15:$AB$647,15,FALSE)</f>
        <v>-459</v>
      </c>
      <c r="W186" s="72">
        <f>'115+260'!S187</f>
        <v>0</v>
      </c>
      <c r="X186" s="71">
        <f t="shared" si="35"/>
        <v>209</v>
      </c>
      <c r="Y186" s="70">
        <f t="shared" si="36"/>
        <v>0</v>
      </c>
      <c r="Z186" s="69">
        <f t="shared" si="37"/>
        <v>0</v>
      </c>
      <c r="AA186" s="68">
        <f t="shared" si="38"/>
        <v>2.4729999999999999</v>
      </c>
      <c r="AB186" s="68">
        <f t="shared" si="39"/>
        <v>2.0179999999999998</v>
      </c>
    </row>
    <row r="187" spans="2:28">
      <c r="B187" s="110">
        <f>'115+260'!B188</f>
        <v>45425</v>
      </c>
      <c r="C187" s="80">
        <f t="shared" si="31"/>
        <v>1</v>
      </c>
      <c r="D187" s="79">
        <f t="shared" si="32"/>
        <v>1069</v>
      </c>
      <c r="E187" s="78">
        <f>VLOOKUP(B187,'115+260'!B188:AB274,3,FALSE)</f>
        <v>1625</v>
      </c>
      <c r="F187" s="75">
        <f t="shared" si="27"/>
        <v>2694</v>
      </c>
      <c r="G187" s="77">
        <f>VLOOKUP(B187,'115+260'!$B$15:$AB$647,20,FALSE)</f>
        <v>2053</v>
      </c>
      <c r="H187" s="77">
        <f>VLOOKUP(B187,'115+260'!$B$15:$AB$647,4,FALSE)</f>
        <v>141</v>
      </c>
      <c r="I187" s="74">
        <f t="shared" si="28"/>
        <v>2553</v>
      </c>
      <c r="J187" s="74">
        <f>VLOOKUP(B187,'115+260'!$B$15:$AB$647,13,FALSE)</f>
        <v>-447</v>
      </c>
      <c r="K187" s="72">
        <f>'115+260'!Q188</f>
        <v>0</v>
      </c>
      <c r="L187" s="71">
        <f t="shared" si="33"/>
        <v>247</v>
      </c>
      <c r="M187" s="76">
        <f>VLOOKUP(B187,'115+260'!$B$14:$AB$647,21,FALSE)</f>
        <v>2049</v>
      </c>
      <c r="N187" s="75">
        <f>VLOOKUP(B187,'115+260'!$B$15:$AB$647,5,FALSE)</f>
        <v>165</v>
      </c>
      <c r="O187" s="74">
        <f t="shared" si="29"/>
        <v>2529</v>
      </c>
      <c r="P187" s="74">
        <f>VLOOKUP(B187,'115+260'!$B$15:$AB$647,14,FALSE)</f>
        <v>-471</v>
      </c>
      <c r="Q187" s="72">
        <f>'115+260'!R188</f>
        <v>0</v>
      </c>
      <c r="R187" s="71">
        <f t="shared" si="34"/>
        <v>251</v>
      </c>
      <c r="S187" s="76">
        <f>VLOOKUP(B187,'115+260'!$B$14:$AB$647,22,FALSE)</f>
        <v>2091</v>
      </c>
      <c r="T187" s="75">
        <f>VLOOKUP(B187,'115+260'!$B$15:$AB$647,6,FALSE)</f>
        <v>153</v>
      </c>
      <c r="U187" s="74">
        <f t="shared" si="30"/>
        <v>2541</v>
      </c>
      <c r="V187" s="73">
        <f>VLOOKUP(B187,'115+260'!$B$15:$AB$647,15,FALSE)</f>
        <v>-459</v>
      </c>
      <c r="W187" s="72">
        <f>'115+260'!S188</f>
        <v>0</v>
      </c>
      <c r="X187" s="71">
        <f t="shared" si="35"/>
        <v>209</v>
      </c>
      <c r="Y187" s="70">
        <f t="shared" si="36"/>
        <v>0</v>
      </c>
      <c r="Z187" s="69">
        <f t="shared" si="37"/>
        <v>0</v>
      </c>
      <c r="AA187" s="68">
        <f t="shared" si="38"/>
        <v>2.4729999999999999</v>
      </c>
      <c r="AB187" s="68">
        <f t="shared" si="39"/>
        <v>2.0179999999999998</v>
      </c>
    </row>
    <row r="188" spans="2:28">
      <c r="B188" s="110">
        <f>'115+260'!B189</f>
        <v>45426</v>
      </c>
      <c r="C188" s="80">
        <f t="shared" si="31"/>
        <v>1</v>
      </c>
      <c r="D188" s="79">
        <f t="shared" si="32"/>
        <v>1069</v>
      </c>
      <c r="E188" s="78">
        <f>VLOOKUP(B188,'115+260'!B189:AB274,3,FALSE)</f>
        <v>1627</v>
      </c>
      <c r="F188" s="75">
        <f t="shared" si="27"/>
        <v>2696</v>
      </c>
      <c r="G188" s="77">
        <f>VLOOKUP(B188,'115+260'!$B$15:$AB$647,20,FALSE)</f>
        <v>2053</v>
      </c>
      <c r="H188" s="77">
        <f>VLOOKUP(B188,'115+260'!$B$15:$AB$647,4,FALSE)</f>
        <v>143</v>
      </c>
      <c r="I188" s="74">
        <f t="shared" si="28"/>
        <v>2553</v>
      </c>
      <c r="J188" s="74">
        <f>VLOOKUP(B188,'115+260'!$B$15:$AB$647,13,FALSE)</f>
        <v>-447</v>
      </c>
      <c r="K188" s="72">
        <f>'115+260'!Q189</f>
        <v>0</v>
      </c>
      <c r="L188" s="71">
        <f t="shared" si="33"/>
        <v>247</v>
      </c>
      <c r="M188" s="76">
        <f>VLOOKUP(B188,'115+260'!$B$14:$AB$647,21,FALSE)</f>
        <v>2049</v>
      </c>
      <c r="N188" s="75">
        <f>VLOOKUP(B188,'115+260'!$B$15:$AB$647,5,FALSE)</f>
        <v>167</v>
      </c>
      <c r="O188" s="74">
        <f t="shared" si="29"/>
        <v>2529</v>
      </c>
      <c r="P188" s="74">
        <f>VLOOKUP(B188,'115+260'!$B$15:$AB$647,14,FALSE)</f>
        <v>-471</v>
      </c>
      <c r="Q188" s="72">
        <f>'115+260'!R189</f>
        <v>0</v>
      </c>
      <c r="R188" s="71">
        <f t="shared" si="34"/>
        <v>251</v>
      </c>
      <c r="S188" s="76">
        <f>VLOOKUP(B188,'115+260'!$B$14:$AB$647,22,FALSE)</f>
        <v>2091</v>
      </c>
      <c r="T188" s="75">
        <f>VLOOKUP(B188,'115+260'!$B$15:$AB$647,6,FALSE)</f>
        <v>155</v>
      </c>
      <c r="U188" s="74">
        <f t="shared" si="30"/>
        <v>2541</v>
      </c>
      <c r="V188" s="73">
        <f>VLOOKUP(B188,'115+260'!$B$15:$AB$647,15,FALSE)</f>
        <v>-459</v>
      </c>
      <c r="W188" s="72">
        <f>'115+260'!S189</f>
        <v>0</v>
      </c>
      <c r="X188" s="71">
        <f t="shared" si="35"/>
        <v>209</v>
      </c>
      <c r="Y188" s="70">
        <f t="shared" si="36"/>
        <v>0</v>
      </c>
      <c r="Z188" s="69">
        <f t="shared" si="37"/>
        <v>0</v>
      </c>
      <c r="AA188" s="68">
        <f t="shared" si="38"/>
        <v>2.4729999999999999</v>
      </c>
      <c r="AB188" s="68">
        <f t="shared" si="39"/>
        <v>2.0179999999999998</v>
      </c>
    </row>
    <row r="189" spans="2:28">
      <c r="B189" s="110">
        <f>'115+260'!B190</f>
        <v>45427</v>
      </c>
      <c r="C189" s="80">
        <f t="shared" si="31"/>
        <v>1</v>
      </c>
      <c r="D189" s="79">
        <f t="shared" si="32"/>
        <v>1069</v>
      </c>
      <c r="E189" s="78">
        <f>VLOOKUP(B189,'115+260'!B190:AB274,3,FALSE)</f>
        <v>1629</v>
      </c>
      <c r="F189" s="75">
        <f t="shared" si="27"/>
        <v>2698</v>
      </c>
      <c r="G189" s="77">
        <f>VLOOKUP(B189,'115+260'!$B$15:$AB$647,20,FALSE)</f>
        <v>2053</v>
      </c>
      <c r="H189" s="77">
        <f>VLOOKUP(B189,'115+260'!$B$15:$AB$647,4,FALSE)</f>
        <v>145</v>
      </c>
      <c r="I189" s="74">
        <f t="shared" si="28"/>
        <v>2553</v>
      </c>
      <c r="J189" s="74">
        <f>VLOOKUP(B189,'115+260'!$B$15:$AB$647,13,FALSE)</f>
        <v>-447</v>
      </c>
      <c r="K189" s="72">
        <f>'115+260'!Q190</f>
        <v>0</v>
      </c>
      <c r="L189" s="71">
        <f t="shared" si="33"/>
        <v>247</v>
      </c>
      <c r="M189" s="76">
        <f>VLOOKUP(B189,'115+260'!$B$14:$AB$647,21,FALSE)</f>
        <v>2049</v>
      </c>
      <c r="N189" s="75">
        <f>VLOOKUP(B189,'115+260'!$B$15:$AB$647,5,FALSE)</f>
        <v>169</v>
      </c>
      <c r="O189" s="74">
        <f t="shared" si="29"/>
        <v>2529</v>
      </c>
      <c r="P189" s="74">
        <f>VLOOKUP(B189,'115+260'!$B$15:$AB$647,14,FALSE)</f>
        <v>-471</v>
      </c>
      <c r="Q189" s="72">
        <f>'115+260'!R190</f>
        <v>0</v>
      </c>
      <c r="R189" s="71">
        <f t="shared" si="34"/>
        <v>251</v>
      </c>
      <c r="S189" s="76">
        <f>VLOOKUP(B189,'115+260'!$B$14:$AB$647,22,FALSE)</f>
        <v>2091</v>
      </c>
      <c r="T189" s="75">
        <f>VLOOKUP(B189,'115+260'!$B$15:$AB$647,6,FALSE)</f>
        <v>157</v>
      </c>
      <c r="U189" s="74">
        <f t="shared" si="30"/>
        <v>2541</v>
      </c>
      <c r="V189" s="73">
        <f>VLOOKUP(B189,'115+260'!$B$15:$AB$647,15,FALSE)</f>
        <v>-459</v>
      </c>
      <c r="W189" s="72">
        <f>'115+260'!S190</f>
        <v>0</v>
      </c>
      <c r="X189" s="71">
        <f t="shared" si="35"/>
        <v>209</v>
      </c>
      <c r="Y189" s="70">
        <f t="shared" si="36"/>
        <v>0</v>
      </c>
      <c r="Z189" s="69">
        <f t="shared" si="37"/>
        <v>0</v>
      </c>
      <c r="AA189" s="68">
        <f t="shared" si="38"/>
        <v>2.4729999999999999</v>
      </c>
      <c r="AB189" s="68">
        <f t="shared" si="39"/>
        <v>2.0179999999999998</v>
      </c>
    </row>
    <row r="190" spans="2:28">
      <c r="B190" s="110">
        <f>'115+260'!B191</f>
        <v>45428</v>
      </c>
      <c r="C190" s="80">
        <f t="shared" si="31"/>
        <v>1</v>
      </c>
      <c r="D190" s="79">
        <f t="shared" si="32"/>
        <v>1069</v>
      </c>
      <c r="E190" s="78">
        <f>VLOOKUP(B190,'115+260'!B191:AB274,3,FALSE)</f>
        <v>1631</v>
      </c>
      <c r="F190" s="75">
        <f t="shared" si="27"/>
        <v>2700</v>
      </c>
      <c r="G190" s="77">
        <f>VLOOKUP(B190,'115+260'!$B$15:$AB$647,20,FALSE)</f>
        <v>2053</v>
      </c>
      <c r="H190" s="77">
        <f>VLOOKUP(B190,'115+260'!$B$15:$AB$647,4,FALSE)</f>
        <v>147</v>
      </c>
      <c r="I190" s="74">
        <f t="shared" si="28"/>
        <v>2553</v>
      </c>
      <c r="J190" s="74">
        <f>VLOOKUP(B190,'115+260'!$B$15:$AB$647,13,FALSE)</f>
        <v>-447</v>
      </c>
      <c r="K190" s="72">
        <f>'115+260'!Q191</f>
        <v>0</v>
      </c>
      <c r="L190" s="71">
        <f t="shared" si="33"/>
        <v>247</v>
      </c>
      <c r="M190" s="76">
        <f>VLOOKUP(B190,'115+260'!$B$14:$AB$647,21,FALSE)</f>
        <v>2049</v>
      </c>
      <c r="N190" s="75">
        <f>VLOOKUP(B190,'115+260'!$B$15:$AB$647,5,FALSE)</f>
        <v>171</v>
      </c>
      <c r="O190" s="74">
        <f t="shared" si="29"/>
        <v>2529</v>
      </c>
      <c r="P190" s="74">
        <f>VLOOKUP(B190,'115+260'!$B$15:$AB$647,14,FALSE)</f>
        <v>-471</v>
      </c>
      <c r="Q190" s="72">
        <f>'115+260'!R191</f>
        <v>0</v>
      </c>
      <c r="R190" s="71">
        <f t="shared" si="34"/>
        <v>251</v>
      </c>
      <c r="S190" s="76">
        <f>VLOOKUP(B190,'115+260'!$B$14:$AB$647,22,FALSE)</f>
        <v>2091</v>
      </c>
      <c r="T190" s="75">
        <f>VLOOKUP(B190,'115+260'!$B$15:$AB$647,6,FALSE)</f>
        <v>159</v>
      </c>
      <c r="U190" s="74">
        <f t="shared" si="30"/>
        <v>2541</v>
      </c>
      <c r="V190" s="73">
        <f>VLOOKUP(B190,'115+260'!$B$15:$AB$647,15,FALSE)</f>
        <v>-459</v>
      </c>
      <c r="W190" s="72">
        <f>'115+260'!S191</f>
        <v>0</v>
      </c>
      <c r="X190" s="71">
        <f t="shared" si="35"/>
        <v>209</v>
      </c>
      <c r="Y190" s="70">
        <f t="shared" si="36"/>
        <v>0</v>
      </c>
      <c r="Z190" s="69">
        <f t="shared" si="37"/>
        <v>0</v>
      </c>
      <c r="AA190" s="68">
        <f t="shared" si="38"/>
        <v>2.4729999999999999</v>
      </c>
      <c r="AB190" s="68">
        <f t="shared" si="39"/>
        <v>2.0179999999999998</v>
      </c>
    </row>
    <row r="191" spans="2:28">
      <c r="B191" s="110">
        <f>'115+260'!B192</f>
        <v>45429</v>
      </c>
      <c r="C191" s="80">
        <f t="shared" si="31"/>
        <v>1</v>
      </c>
      <c r="D191" s="79">
        <f t="shared" si="32"/>
        <v>1069</v>
      </c>
      <c r="E191" s="78">
        <f>VLOOKUP(B191,'115+260'!B192:AB274,3,FALSE)</f>
        <v>1633</v>
      </c>
      <c r="F191" s="75">
        <f t="shared" si="27"/>
        <v>2702</v>
      </c>
      <c r="G191" s="77">
        <f>VLOOKUP(B191,'115+260'!$B$15:$AB$647,20,FALSE)</f>
        <v>2053</v>
      </c>
      <c r="H191" s="77">
        <f>VLOOKUP(B191,'115+260'!$B$15:$AB$647,4,FALSE)</f>
        <v>149</v>
      </c>
      <c r="I191" s="74">
        <f t="shared" si="28"/>
        <v>2553</v>
      </c>
      <c r="J191" s="74">
        <f>VLOOKUP(B191,'115+260'!$B$15:$AB$647,13,FALSE)</f>
        <v>-447</v>
      </c>
      <c r="K191" s="72">
        <f>'115+260'!Q192</f>
        <v>0</v>
      </c>
      <c r="L191" s="71">
        <f t="shared" si="33"/>
        <v>247</v>
      </c>
      <c r="M191" s="76">
        <f>VLOOKUP(B191,'115+260'!$B$14:$AB$647,21,FALSE)</f>
        <v>2049</v>
      </c>
      <c r="N191" s="75">
        <f>VLOOKUP(B191,'115+260'!$B$15:$AB$647,5,FALSE)</f>
        <v>173</v>
      </c>
      <c r="O191" s="74">
        <f t="shared" si="29"/>
        <v>2529</v>
      </c>
      <c r="P191" s="74">
        <f>VLOOKUP(B191,'115+260'!$B$15:$AB$647,14,FALSE)</f>
        <v>-471</v>
      </c>
      <c r="Q191" s="72">
        <f>'115+260'!R192</f>
        <v>0</v>
      </c>
      <c r="R191" s="71">
        <f t="shared" si="34"/>
        <v>251</v>
      </c>
      <c r="S191" s="76">
        <f>VLOOKUP(B191,'115+260'!$B$14:$AB$647,22,FALSE)</f>
        <v>2091</v>
      </c>
      <c r="T191" s="75">
        <f>VLOOKUP(B191,'115+260'!$B$15:$AB$647,6,FALSE)</f>
        <v>161</v>
      </c>
      <c r="U191" s="74">
        <f t="shared" si="30"/>
        <v>2541</v>
      </c>
      <c r="V191" s="73">
        <f>VLOOKUP(B191,'115+260'!$B$15:$AB$647,15,FALSE)</f>
        <v>-459</v>
      </c>
      <c r="W191" s="72">
        <f>'115+260'!S192</f>
        <v>0</v>
      </c>
      <c r="X191" s="71">
        <f t="shared" si="35"/>
        <v>209</v>
      </c>
      <c r="Y191" s="70">
        <f t="shared" si="36"/>
        <v>0</v>
      </c>
      <c r="Z191" s="69">
        <f t="shared" si="37"/>
        <v>0</v>
      </c>
      <c r="AA191" s="68">
        <f t="shared" si="38"/>
        <v>2.4729999999999999</v>
      </c>
      <c r="AB191" s="68">
        <f t="shared" si="39"/>
        <v>2.0179999999999998</v>
      </c>
    </row>
    <row r="192" spans="2:28">
      <c r="B192" s="110">
        <f>'115+260'!B193</f>
        <v>45430</v>
      </c>
      <c r="C192" s="80">
        <f t="shared" si="31"/>
        <v>1</v>
      </c>
      <c r="D192" s="79">
        <f t="shared" si="32"/>
        <v>1069</v>
      </c>
      <c r="E192" s="78">
        <f>VLOOKUP(B192,'115+260'!B193:AB274,3,FALSE)</f>
        <v>1635</v>
      </c>
      <c r="F192" s="75">
        <f t="shared" si="27"/>
        <v>2704</v>
      </c>
      <c r="G192" s="77">
        <f>VLOOKUP(B192,'115+260'!$B$15:$AB$647,20,FALSE)</f>
        <v>2053</v>
      </c>
      <c r="H192" s="77">
        <f>VLOOKUP(B192,'115+260'!$B$15:$AB$647,4,FALSE)</f>
        <v>151</v>
      </c>
      <c r="I192" s="74">
        <f t="shared" si="28"/>
        <v>2553</v>
      </c>
      <c r="J192" s="74">
        <f>VLOOKUP(B192,'115+260'!$B$15:$AB$647,13,FALSE)</f>
        <v>-447</v>
      </c>
      <c r="K192" s="72">
        <f>'115+260'!Q193</f>
        <v>0</v>
      </c>
      <c r="L192" s="71">
        <f t="shared" si="33"/>
        <v>247</v>
      </c>
      <c r="M192" s="76">
        <f>VLOOKUP(B192,'115+260'!$B$14:$AB$647,21,FALSE)</f>
        <v>2049</v>
      </c>
      <c r="N192" s="75">
        <f>VLOOKUP(B192,'115+260'!$B$15:$AB$647,5,FALSE)</f>
        <v>175</v>
      </c>
      <c r="O192" s="74">
        <f t="shared" si="29"/>
        <v>2529</v>
      </c>
      <c r="P192" s="74">
        <f>VLOOKUP(B192,'115+260'!$B$15:$AB$647,14,FALSE)</f>
        <v>-471</v>
      </c>
      <c r="Q192" s="72">
        <f>'115+260'!R193</f>
        <v>0</v>
      </c>
      <c r="R192" s="71">
        <f t="shared" si="34"/>
        <v>251</v>
      </c>
      <c r="S192" s="76">
        <f>VLOOKUP(B192,'115+260'!$B$14:$AB$647,22,FALSE)</f>
        <v>2091</v>
      </c>
      <c r="T192" s="75">
        <f>VLOOKUP(B192,'115+260'!$B$15:$AB$647,6,FALSE)</f>
        <v>163</v>
      </c>
      <c r="U192" s="74">
        <f t="shared" si="30"/>
        <v>2541</v>
      </c>
      <c r="V192" s="73">
        <f>VLOOKUP(B192,'115+260'!$B$15:$AB$647,15,FALSE)</f>
        <v>-459</v>
      </c>
      <c r="W192" s="72">
        <f>'115+260'!S193</f>
        <v>0</v>
      </c>
      <c r="X192" s="71">
        <f t="shared" si="35"/>
        <v>209</v>
      </c>
      <c r="Y192" s="70">
        <f t="shared" si="36"/>
        <v>0</v>
      </c>
      <c r="Z192" s="69">
        <f t="shared" si="37"/>
        <v>0</v>
      </c>
      <c r="AA192" s="68">
        <f t="shared" si="38"/>
        <v>2.4729999999999999</v>
      </c>
      <c r="AB192" s="68">
        <f t="shared" si="39"/>
        <v>2.0179999999999998</v>
      </c>
    </row>
    <row r="193" spans="2:28">
      <c r="B193" s="110">
        <f>'115+260'!B194</f>
        <v>45431</v>
      </c>
      <c r="C193" s="80">
        <f t="shared" si="31"/>
        <v>1</v>
      </c>
      <c r="D193" s="79">
        <f t="shared" si="32"/>
        <v>1069</v>
      </c>
      <c r="E193" s="78">
        <f>VLOOKUP(B193,'115+260'!B194:AB274,3,FALSE)</f>
        <v>1637</v>
      </c>
      <c r="F193" s="75">
        <f t="shared" si="27"/>
        <v>2706</v>
      </c>
      <c r="G193" s="77">
        <f>VLOOKUP(B193,'115+260'!$B$15:$AB$647,20,FALSE)</f>
        <v>2053</v>
      </c>
      <c r="H193" s="77">
        <f>VLOOKUP(B193,'115+260'!$B$15:$AB$647,4,FALSE)</f>
        <v>153</v>
      </c>
      <c r="I193" s="74">
        <f t="shared" si="28"/>
        <v>2553</v>
      </c>
      <c r="J193" s="74">
        <f>VLOOKUP(B193,'115+260'!$B$15:$AB$647,13,FALSE)</f>
        <v>-447</v>
      </c>
      <c r="K193" s="72">
        <f>'115+260'!Q194</f>
        <v>0</v>
      </c>
      <c r="L193" s="71">
        <f t="shared" si="33"/>
        <v>247</v>
      </c>
      <c r="M193" s="76">
        <f>VLOOKUP(B193,'115+260'!$B$14:$AB$647,21,FALSE)</f>
        <v>2049</v>
      </c>
      <c r="N193" s="75">
        <f>VLOOKUP(B193,'115+260'!$B$15:$AB$647,5,FALSE)</f>
        <v>177</v>
      </c>
      <c r="O193" s="74">
        <f t="shared" si="29"/>
        <v>2529</v>
      </c>
      <c r="P193" s="74">
        <f>VLOOKUP(B193,'115+260'!$B$15:$AB$647,14,FALSE)</f>
        <v>-471</v>
      </c>
      <c r="Q193" s="72">
        <f>'115+260'!R194</f>
        <v>0</v>
      </c>
      <c r="R193" s="71">
        <f t="shared" si="34"/>
        <v>251</v>
      </c>
      <c r="S193" s="76">
        <f>VLOOKUP(B193,'115+260'!$B$14:$AB$647,22,FALSE)</f>
        <v>2091</v>
      </c>
      <c r="T193" s="75">
        <f>VLOOKUP(B193,'115+260'!$B$15:$AB$647,6,FALSE)</f>
        <v>165</v>
      </c>
      <c r="U193" s="74">
        <f t="shared" si="30"/>
        <v>2541</v>
      </c>
      <c r="V193" s="73">
        <f>VLOOKUP(B193,'115+260'!$B$15:$AB$647,15,FALSE)</f>
        <v>-459</v>
      </c>
      <c r="W193" s="72">
        <f>'115+260'!S194</f>
        <v>0</v>
      </c>
      <c r="X193" s="71">
        <f t="shared" si="35"/>
        <v>209</v>
      </c>
      <c r="Y193" s="70">
        <f t="shared" si="36"/>
        <v>0</v>
      </c>
      <c r="Z193" s="69">
        <f t="shared" si="37"/>
        <v>0</v>
      </c>
      <c r="AA193" s="68">
        <f t="shared" si="38"/>
        <v>2.4729999999999999</v>
      </c>
      <c r="AB193" s="68">
        <f t="shared" si="39"/>
        <v>2.0179999999999998</v>
      </c>
    </row>
    <row r="194" spans="2:28">
      <c r="B194" s="110">
        <f>'115+260'!B195</f>
        <v>45432</v>
      </c>
      <c r="C194" s="80">
        <f t="shared" si="31"/>
        <v>1</v>
      </c>
      <c r="D194" s="79">
        <f t="shared" si="32"/>
        <v>1069</v>
      </c>
      <c r="E194" s="78">
        <f>VLOOKUP(B194,'115+260'!B195:AB274,3,FALSE)</f>
        <v>1639</v>
      </c>
      <c r="F194" s="75">
        <f t="shared" si="27"/>
        <v>2708</v>
      </c>
      <c r="G194" s="77">
        <f>VLOOKUP(B194,'115+260'!$B$15:$AB$647,20,FALSE)</f>
        <v>2053</v>
      </c>
      <c r="H194" s="77">
        <f>VLOOKUP(B194,'115+260'!$B$15:$AB$647,4,FALSE)</f>
        <v>155</v>
      </c>
      <c r="I194" s="74">
        <f t="shared" si="28"/>
        <v>2553</v>
      </c>
      <c r="J194" s="74">
        <f>VLOOKUP(B194,'115+260'!$B$15:$AB$647,13,FALSE)</f>
        <v>-447</v>
      </c>
      <c r="K194" s="72">
        <f>'115+260'!Q195</f>
        <v>0</v>
      </c>
      <c r="L194" s="71">
        <f t="shared" si="33"/>
        <v>247</v>
      </c>
      <c r="M194" s="76">
        <f>VLOOKUP(B194,'115+260'!$B$14:$AB$647,21,FALSE)</f>
        <v>2049</v>
      </c>
      <c r="N194" s="75">
        <f>VLOOKUP(B194,'115+260'!$B$15:$AB$647,5,FALSE)</f>
        <v>179</v>
      </c>
      <c r="O194" s="74">
        <f t="shared" si="29"/>
        <v>2529</v>
      </c>
      <c r="P194" s="74">
        <f>VLOOKUP(B194,'115+260'!$B$15:$AB$647,14,FALSE)</f>
        <v>-471</v>
      </c>
      <c r="Q194" s="72">
        <f>'115+260'!R195</f>
        <v>0</v>
      </c>
      <c r="R194" s="71">
        <f t="shared" si="34"/>
        <v>251</v>
      </c>
      <c r="S194" s="76">
        <f>VLOOKUP(B194,'115+260'!$B$14:$AB$647,22,FALSE)</f>
        <v>2091</v>
      </c>
      <c r="T194" s="75">
        <f>VLOOKUP(B194,'115+260'!$B$15:$AB$647,6,FALSE)</f>
        <v>167</v>
      </c>
      <c r="U194" s="74">
        <f t="shared" si="30"/>
        <v>2541</v>
      </c>
      <c r="V194" s="73">
        <f>VLOOKUP(B194,'115+260'!$B$15:$AB$647,15,FALSE)</f>
        <v>-459</v>
      </c>
      <c r="W194" s="72">
        <f>'115+260'!S195</f>
        <v>0</v>
      </c>
      <c r="X194" s="71">
        <f t="shared" si="35"/>
        <v>209</v>
      </c>
      <c r="Y194" s="70">
        <f t="shared" si="36"/>
        <v>0</v>
      </c>
      <c r="Z194" s="69">
        <f t="shared" si="37"/>
        <v>0</v>
      </c>
      <c r="AA194" s="68">
        <f t="shared" si="38"/>
        <v>2.4729999999999999</v>
      </c>
      <c r="AB194" s="68">
        <f t="shared" si="39"/>
        <v>2.0179999999999998</v>
      </c>
    </row>
    <row r="195" spans="2:28">
      <c r="B195" s="110">
        <f>'115+260'!B196</f>
        <v>45433</v>
      </c>
      <c r="C195" s="80">
        <f t="shared" si="31"/>
        <v>1</v>
      </c>
      <c r="D195" s="79">
        <f t="shared" si="32"/>
        <v>1069</v>
      </c>
      <c r="E195" s="78">
        <f>VLOOKUP(B195,'115+260'!B196:AB274,3,FALSE)</f>
        <v>1641</v>
      </c>
      <c r="F195" s="75">
        <f t="shared" si="27"/>
        <v>2710</v>
      </c>
      <c r="G195" s="77">
        <f>VLOOKUP(B195,'115+260'!$B$15:$AB$647,20,FALSE)</f>
        <v>2053</v>
      </c>
      <c r="H195" s="77">
        <f>VLOOKUP(B195,'115+260'!$B$15:$AB$647,4,FALSE)</f>
        <v>157</v>
      </c>
      <c r="I195" s="74">
        <f t="shared" si="28"/>
        <v>2553</v>
      </c>
      <c r="J195" s="74">
        <f>VLOOKUP(B195,'115+260'!$B$15:$AB$647,13,FALSE)</f>
        <v>-447</v>
      </c>
      <c r="K195" s="72">
        <f>'115+260'!Q196</f>
        <v>0</v>
      </c>
      <c r="L195" s="71">
        <f t="shared" si="33"/>
        <v>247</v>
      </c>
      <c r="M195" s="76">
        <f>VLOOKUP(B195,'115+260'!$B$14:$AB$647,21,FALSE)</f>
        <v>2049</v>
      </c>
      <c r="N195" s="75">
        <f>VLOOKUP(B195,'115+260'!$B$15:$AB$647,5,FALSE)</f>
        <v>181</v>
      </c>
      <c r="O195" s="74">
        <f t="shared" si="29"/>
        <v>2529</v>
      </c>
      <c r="P195" s="74">
        <f>VLOOKUP(B195,'115+260'!$B$15:$AB$647,14,FALSE)</f>
        <v>-471</v>
      </c>
      <c r="Q195" s="72">
        <f>'115+260'!R196</f>
        <v>0</v>
      </c>
      <c r="R195" s="71">
        <f t="shared" si="34"/>
        <v>251</v>
      </c>
      <c r="S195" s="76">
        <f>VLOOKUP(B195,'115+260'!$B$14:$AB$647,22,FALSE)</f>
        <v>2091</v>
      </c>
      <c r="T195" s="75">
        <f>VLOOKUP(B195,'115+260'!$B$15:$AB$647,6,FALSE)</f>
        <v>169</v>
      </c>
      <c r="U195" s="74">
        <f t="shared" si="30"/>
        <v>2541</v>
      </c>
      <c r="V195" s="73">
        <f>VLOOKUP(B195,'115+260'!$B$15:$AB$647,15,FALSE)</f>
        <v>-459</v>
      </c>
      <c r="W195" s="72">
        <f>'115+260'!S196</f>
        <v>0</v>
      </c>
      <c r="X195" s="71">
        <f t="shared" si="35"/>
        <v>209</v>
      </c>
      <c r="Y195" s="70">
        <f t="shared" si="36"/>
        <v>0</v>
      </c>
      <c r="Z195" s="69">
        <f t="shared" si="37"/>
        <v>0</v>
      </c>
      <c r="AA195" s="68">
        <f t="shared" si="38"/>
        <v>2.4729999999999999</v>
      </c>
      <c r="AB195" s="68">
        <f t="shared" si="39"/>
        <v>2.0179999999999998</v>
      </c>
    </row>
    <row r="196" spans="2:28">
      <c r="B196" s="110">
        <f>'115+260'!B197</f>
        <v>45434</v>
      </c>
      <c r="C196" s="80">
        <f t="shared" si="31"/>
        <v>1</v>
      </c>
      <c r="D196" s="79">
        <f t="shared" si="32"/>
        <v>1069</v>
      </c>
      <c r="E196" s="78">
        <f>VLOOKUP(B196,'115+260'!B197:AB274,3,FALSE)</f>
        <v>1643</v>
      </c>
      <c r="F196" s="75">
        <f t="shared" si="27"/>
        <v>2712</v>
      </c>
      <c r="G196" s="77">
        <f>VLOOKUP(B196,'115+260'!$B$15:$AB$647,20,FALSE)</f>
        <v>2053</v>
      </c>
      <c r="H196" s="77">
        <f>VLOOKUP(B196,'115+260'!$B$15:$AB$647,4,FALSE)</f>
        <v>159</v>
      </c>
      <c r="I196" s="74">
        <f t="shared" si="28"/>
        <v>2553</v>
      </c>
      <c r="J196" s="74">
        <f>VLOOKUP(B196,'115+260'!$B$15:$AB$647,13,FALSE)</f>
        <v>-447</v>
      </c>
      <c r="K196" s="72">
        <f>'115+260'!Q197</f>
        <v>0</v>
      </c>
      <c r="L196" s="71">
        <f t="shared" si="33"/>
        <v>247</v>
      </c>
      <c r="M196" s="76">
        <f>VLOOKUP(B196,'115+260'!$B$14:$AB$647,21,FALSE)</f>
        <v>2049</v>
      </c>
      <c r="N196" s="75">
        <f>VLOOKUP(B196,'115+260'!$B$15:$AB$647,5,FALSE)</f>
        <v>183</v>
      </c>
      <c r="O196" s="74">
        <f t="shared" si="29"/>
        <v>2529</v>
      </c>
      <c r="P196" s="74">
        <f>VLOOKUP(B196,'115+260'!$B$15:$AB$647,14,FALSE)</f>
        <v>-471</v>
      </c>
      <c r="Q196" s="72">
        <f>'115+260'!R197</f>
        <v>0</v>
      </c>
      <c r="R196" s="71">
        <f t="shared" si="34"/>
        <v>251</v>
      </c>
      <c r="S196" s="76">
        <f>VLOOKUP(B196,'115+260'!$B$14:$AB$647,22,FALSE)</f>
        <v>2091</v>
      </c>
      <c r="T196" s="75">
        <f>VLOOKUP(B196,'115+260'!$B$15:$AB$647,6,FALSE)</f>
        <v>171</v>
      </c>
      <c r="U196" s="74">
        <f t="shared" si="30"/>
        <v>2541</v>
      </c>
      <c r="V196" s="73">
        <f>VLOOKUP(B196,'115+260'!$B$15:$AB$647,15,FALSE)</f>
        <v>-459</v>
      </c>
      <c r="W196" s="72">
        <f>'115+260'!S197</f>
        <v>0</v>
      </c>
      <c r="X196" s="71">
        <f t="shared" si="35"/>
        <v>209</v>
      </c>
      <c r="Y196" s="70">
        <f t="shared" si="36"/>
        <v>0</v>
      </c>
      <c r="Z196" s="69">
        <f t="shared" si="37"/>
        <v>0</v>
      </c>
      <c r="AA196" s="68">
        <f t="shared" si="38"/>
        <v>2.4729999999999999</v>
      </c>
      <c r="AB196" s="68">
        <f t="shared" si="39"/>
        <v>2.0179999999999998</v>
      </c>
    </row>
    <row r="197" spans="2:28">
      <c r="B197" s="110">
        <f>'115+260'!B198</f>
        <v>45435</v>
      </c>
      <c r="C197" s="80">
        <f t="shared" si="31"/>
        <v>1</v>
      </c>
      <c r="D197" s="79">
        <f t="shared" si="32"/>
        <v>1069</v>
      </c>
      <c r="E197" s="78">
        <f>VLOOKUP(B197,'115+260'!B198:AB274,3,FALSE)</f>
        <v>1645</v>
      </c>
      <c r="F197" s="75">
        <f t="shared" si="27"/>
        <v>2714</v>
      </c>
      <c r="G197" s="77">
        <f>VLOOKUP(B197,'115+260'!$B$15:$AB$647,20,FALSE)</f>
        <v>2053</v>
      </c>
      <c r="H197" s="77">
        <f>VLOOKUP(B197,'115+260'!$B$15:$AB$647,4,FALSE)</f>
        <v>161</v>
      </c>
      <c r="I197" s="74">
        <f t="shared" si="28"/>
        <v>2553</v>
      </c>
      <c r="J197" s="74">
        <f>VLOOKUP(B197,'115+260'!$B$15:$AB$647,13,FALSE)</f>
        <v>-447</v>
      </c>
      <c r="K197" s="72">
        <f>'115+260'!Q198</f>
        <v>0</v>
      </c>
      <c r="L197" s="71">
        <f t="shared" si="33"/>
        <v>247</v>
      </c>
      <c r="M197" s="76">
        <f>VLOOKUP(B197,'115+260'!$B$14:$AB$647,21,FALSE)</f>
        <v>2049</v>
      </c>
      <c r="N197" s="75">
        <f>VLOOKUP(B197,'115+260'!$B$15:$AB$647,5,FALSE)</f>
        <v>185</v>
      </c>
      <c r="O197" s="74">
        <f t="shared" si="29"/>
        <v>2529</v>
      </c>
      <c r="P197" s="74">
        <f>VLOOKUP(B197,'115+260'!$B$15:$AB$647,14,FALSE)</f>
        <v>-471</v>
      </c>
      <c r="Q197" s="72">
        <f>'115+260'!R198</f>
        <v>0</v>
      </c>
      <c r="R197" s="71">
        <f t="shared" si="34"/>
        <v>251</v>
      </c>
      <c r="S197" s="76">
        <f>VLOOKUP(B197,'115+260'!$B$14:$AB$647,22,FALSE)</f>
        <v>2091</v>
      </c>
      <c r="T197" s="75">
        <f>VLOOKUP(B197,'115+260'!$B$15:$AB$647,6,FALSE)</f>
        <v>173</v>
      </c>
      <c r="U197" s="74">
        <f t="shared" si="30"/>
        <v>2541</v>
      </c>
      <c r="V197" s="73">
        <f>VLOOKUP(B197,'115+260'!$B$15:$AB$647,15,FALSE)</f>
        <v>-459</v>
      </c>
      <c r="W197" s="72">
        <f>'115+260'!S198</f>
        <v>0</v>
      </c>
      <c r="X197" s="71">
        <f t="shared" si="35"/>
        <v>209</v>
      </c>
      <c r="Y197" s="70">
        <f t="shared" si="36"/>
        <v>0</v>
      </c>
      <c r="Z197" s="69">
        <f t="shared" si="37"/>
        <v>0</v>
      </c>
      <c r="AA197" s="68">
        <f t="shared" si="38"/>
        <v>2.4729999999999999</v>
      </c>
      <c r="AB197" s="68">
        <f t="shared" si="39"/>
        <v>2.0179999999999998</v>
      </c>
    </row>
    <row r="198" spans="2:28">
      <c r="B198" s="110">
        <f>'115+260'!B199</f>
        <v>45436</v>
      </c>
      <c r="C198" s="80">
        <f t="shared" si="31"/>
        <v>1</v>
      </c>
      <c r="D198" s="79">
        <f t="shared" si="32"/>
        <v>1069</v>
      </c>
      <c r="E198" s="78">
        <f>VLOOKUP(B198,'115+260'!B199:AB274,3,FALSE)</f>
        <v>1647</v>
      </c>
      <c r="F198" s="75">
        <f t="shared" si="27"/>
        <v>2716</v>
      </c>
      <c r="G198" s="77">
        <f>VLOOKUP(B198,'115+260'!$B$15:$AB$647,20,FALSE)</f>
        <v>2053</v>
      </c>
      <c r="H198" s="77">
        <f>VLOOKUP(B198,'115+260'!$B$15:$AB$647,4,FALSE)</f>
        <v>163</v>
      </c>
      <c r="I198" s="74">
        <f t="shared" si="28"/>
        <v>2553</v>
      </c>
      <c r="J198" s="74">
        <f>VLOOKUP(B198,'115+260'!$B$15:$AB$647,13,FALSE)</f>
        <v>-447</v>
      </c>
      <c r="K198" s="72">
        <f>'115+260'!Q199</f>
        <v>0</v>
      </c>
      <c r="L198" s="71">
        <f t="shared" si="33"/>
        <v>247</v>
      </c>
      <c r="M198" s="76">
        <f>VLOOKUP(B198,'115+260'!$B$14:$AB$647,21,FALSE)</f>
        <v>2049</v>
      </c>
      <c r="N198" s="75">
        <f>VLOOKUP(B198,'115+260'!$B$15:$AB$647,5,FALSE)</f>
        <v>187</v>
      </c>
      <c r="O198" s="74">
        <f t="shared" si="29"/>
        <v>2529</v>
      </c>
      <c r="P198" s="74">
        <f>VLOOKUP(B198,'115+260'!$B$15:$AB$647,14,FALSE)</f>
        <v>-471</v>
      </c>
      <c r="Q198" s="72">
        <f>'115+260'!R199</f>
        <v>0</v>
      </c>
      <c r="R198" s="71">
        <f t="shared" si="34"/>
        <v>251</v>
      </c>
      <c r="S198" s="76">
        <f>VLOOKUP(B198,'115+260'!$B$14:$AB$647,22,FALSE)</f>
        <v>2091</v>
      </c>
      <c r="T198" s="75">
        <f>VLOOKUP(B198,'115+260'!$B$15:$AB$647,6,FALSE)</f>
        <v>175</v>
      </c>
      <c r="U198" s="74">
        <f t="shared" si="30"/>
        <v>2541</v>
      </c>
      <c r="V198" s="73">
        <f>VLOOKUP(B198,'115+260'!$B$15:$AB$647,15,FALSE)</f>
        <v>-459</v>
      </c>
      <c r="W198" s="72">
        <f>'115+260'!S199</f>
        <v>0</v>
      </c>
      <c r="X198" s="71">
        <f t="shared" si="35"/>
        <v>209</v>
      </c>
      <c r="Y198" s="70">
        <f t="shared" si="36"/>
        <v>0</v>
      </c>
      <c r="Z198" s="69">
        <f t="shared" si="37"/>
        <v>0</v>
      </c>
      <c r="AA198" s="68">
        <f t="shared" si="38"/>
        <v>2.4729999999999999</v>
      </c>
      <c r="AB198" s="68">
        <f t="shared" si="39"/>
        <v>2.0179999999999998</v>
      </c>
    </row>
    <row r="199" spans="2:28">
      <c r="B199" s="110">
        <f>'115+260'!B200</f>
        <v>45437</v>
      </c>
      <c r="C199" s="80">
        <f t="shared" si="31"/>
        <v>1</v>
      </c>
      <c r="D199" s="79">
        <f t="shared" si="32"/>
        <v>1069</v>
      </c>
      <c r="E199" s="78">
        <f>VLOOKUP(B199,'115+260'!B200:AB274,3,FALSE)</f>
        <v>1649</v>
      </c>
      <c r="F199" s="75">
        <f t="shared" si="27"/>
        <v>2718</v>
      </c>
      <c r="G199" s="77">
        <f>VLOOKUP(B199,'115+260'!$B$15:$AB$647,20,FALSE)</f>
        <v>2053</v>
      </c>
      <c r="H199" s="77">
        <f>VLOOKUP(B199,'115+260'!$B$15:$AB$647,4,FALSE)</f>
        <v>165</v>
      </c>
      <c r="I199" s="74">
        <f t="shared" si="28"/>
        <v>2553</v>
      </c>
      <c r="J199" s="74">
        <f>VLOOKUP(B199,'115+260'!$B$15:$AB$647,13,FALSE)</f>
        <v>-447</v>
      </c>
      <c r="K199" s="72">
        <f>'115+260'!Q200</f>
        <v>0</v>
      </c>
      <c r="L199" s="71">
        <f t="shared" si="33"/>
        <v>247</v>
      </c>
      <c r="M199" s="76">
        <f>VLOOKUP(B199,'115+260'!$B$14:$AB$647,21,FALSE)</f>
        <v>2049</v>
      </c>
      <c r="N199" s="75">
        <f>VLOOKUP(B199,'115+260'!$B$15:$AB$647,5,FALSE)</f>
        <v>189</v>
      </c>
      <c r="O199" s="74">
        <f t="shared" si="29"/>
        <v>2529</v>
      </c>
      <c r="P199" s="74">
        <f>VLOOKUP(B199,'115+260'!$B$15:$AB$647,14,FALSE)</f>
        <v>-471</v>
      </c>
      <c r="Q199" s="72">
        <f>'115+260'!R200</f>
        <v>0</v>
      </c>
      <c r="R199" s="71">
        <f t="shared" si="34"/>
        <v>251</v>
      </c>
      <c r="S199" s="76">
        <f>VLOOKUP(B199,'115+260'!$B$14:$AB$647,22,FALSE)</f>
        <v>2091</v>
      </c>
      <c r="T199" s="75">
        <f>VLOOKUP(B199,'115+260'!$B$15:$AB$647,6,FALSE)</f>
        <v>177</v>
      </c>
      <c r="U199" s="74">
        <f t="shared" si="30"/>
        <v>2541</v>
      </c>
      <c r="V199" s="73">
        <f>VLOOKUP(B199,'115+260'!$B$15:$AB$647,15,FALSE)</f>
        <v>-459</v>
      </c>
      <c r="W199" s="72">
        <f>'115+260'!S200</f>
        <v>0</v>
      </c>
      <c r="X199" s="71">
        <f t="shared" si="35"/>
        <v>209</v>
      </c>
      <c r="Y199" s="70">
        <f t="shared" si="36"/>
        <v>0</v>
      </c>
      <c r="Z199" s="69">
        <f t="shared" si="37"/>
        <v>0</v>
      </c>
      <c r="AA199" s="68">
        <f t="shared" si="38"/>
        <v>2.4729999999999999</v>
      </c>
      <c r="AB199" s="68">
        <f t="shared" si="39"/>
        <v>2.0179999999999998</v>
      </c>
    </row>
    <row r="200" spans="2:28">
      <c r="B200" s="110">
        <f>'115+260'!B201</f>
        <v>45438</v>
      </c>
      <c r="C200" s="80">
        <f t="shared" si="31"/>
        <v>1</v>
      </c>
      <c r="D200" s="79">
        <f t="shared" si="32"/>
        <v>1069</v>
      </c>
      <c r="E200" s="78">
        <f>VLOOKUP(B200,'115+260'!B201:AB274,3,FALSE)</f>
        <v>1651</v>
      </c>
      <c r="F200" s="75">
        <f t="shared" si="27"/>
        <v>2720</v>
      </c>
      <c r="G200" s="77">
        <f>VLOOKUP(B200,'115+260'!$B$15:$AB$647,20,FALSE)</f>
        <v>2053</v>
      </c>
      <c r="H200" s="77">
        <f>VLOOKUP(B200,'115+260'!$B$15:$AB$647,4,FALSE)</f>
        <v>167</v>
      </c>
      <c r="I200" s="74">
        <f t="shared" si="28"/>
        <v>2553</v>
      </c>
      <c r="J200" s="74">
        <f>VLOOKUP(B200,'115+260'!$B$15:$AB$647,13,FALSE)</f>
        <v>-447</v>
      </c>
      <c r="K200" s="72">
        <f>'115+260'!Q201</f>
        <v>0</v>
      </c>
      <c r="L200" s="71">
        <f t="shared" si="33"/>
        <v>247</v>
      </c>
      <c r="M200" s="76">
        <f>VLOOKUP(B200,'115+260'!$B$14:$AB$647,21,FALSE)</f>
        <v>2049</v>
      </c>
      <c r="N200" s="75">
        <f>VLOOKUP(B200,'115+260'!$B$15:$AB$647,5,FALSE)</f>
        <v>191</v>
      </c>
      <c r="O200" s="74">
        <f t="shared" si="29"/>
        <v>2529</v>
      </c>
      <c r="P200" s="74">
        <f>VLOOKUP(B200,'115+260'!$B$15:$AB$647,14,FALSE)</f>
        <v>-471</v>
      </c>
      <c r="Q200" s="72">
        <f>'115+260'!R201</f>
        <v>0</v>
      </c>
      <c r="R200" s="71">
        <f t="shared" si="34"/>
        <v>251</v>
      </c>
      <c r="S200" s="76">
        <f>VLOOKUP(B200,'115+260'!$B$14:$AB$647,22,FALSE)</f>
        <v>2091</v>
      </c>
      <c r="T200" s="75">
        <f>VLOOKUP(B200,'115+260'!$B$15:$AB$647,6,FALSE)</f>
        <v>179</v>
      </c>
      <c r="U200" s="74">
        <f t="shared" si="30"/>
        <v>2541</v>
      </c>
      <c r="V200" s="73">
        <f>VLOOKUP(B200,'115+260'!$B$15:$AB$647,15,FALSE)</f>
        <v>-459</v>
      </c>
      <c r="W200" s="72">
        <f>'115+260'!S201</f>
        <v>0</v>
      </c>
      <c r="X200" s="71">
        <f t="shared" si="35"/>
        <v>209</v>
      </c>
      <c r="Y200" s="70">
        <f t="shared" si="36"/>
        <v>0</v>
      </c>
      <c r="Z200" s="69">
        <f t="shared" si="37"/>
        <v>0</v>
      </c>
      <c r="AA200" s="68">
        <f t="shared" si="38"/>
        <v>2.4729999999999999</v>
      </c>
      <c r="AB200" s="68">
        <f t="shared" si="39"/>
        <v>2.0179999999999998</v>
      </c>
    </row>
    <row r="201" spans="2:28">
      <c r="B201" s="110">
        <f>'115+260'!B202</f>
        <v>45439</v>
      </c>
      <c r="C201" s="80">
        <f t="shared" si="31"/>
        <v>1</v>
      </c>
      <c r="D201" s="79">
        <f t="shared" si="32"/>
        <v>1069</v>
      </c>
      <c r="E201" s="78">
        <f>VLOOKUP(B201,'115+260'!B202:AB274,3,FALSE)</f>
        <v>1653</v>
      </c>
      <c r="F201" s="75">
        <f t="shared" si="27"/>
        <v>2722</v>
      </c>
      <c r="G201" s="77">
        <f>VLOOKUP(B201,'115+260'!$B$15:$AB$647,20,FALSE)</f>
        <v>2053</v>
      </c>
      <c r="H201" s="77">
        <f>VLOOKUP(B201,'115+260'!$B$15:$AB$647,4,FALSE)</f>
        <v>169</v>
      </c>
      <c r="I201" s="74">
        <f t="shared" si="28"/>
        <v>2553</v>
      </c>
      <c r="J201" s="74">
        <f>VLOOKUP(B201,'115+260'!$B$15:$AB$647,13,FALSE)</f>
        <v>-447</v>
      </c>
      <c r="K201" s="72">
        <f>'115+260'!Q202</f>
        <v>0</v>
      </c>
      <c r="L201" s="71">
        <f t="shared" si="33"/>
        <v>247</v>
      </c>
      <c r="M201" s="76">
        <f>VLOOKUP(B201,'115+260'!$B$14:$AB$647,21,FALSE)</f>
        <v>2049</v>
      </c>
      <c r="N201" s="75">
        <f>VLOOKUP(B201,'115+260'!$B$15:$AB$647,5,FALSE)</f>
        <v>193</v>
      </c>
      <c r="O201" s="74">
        <f t="shared" si="29"/>
        <v>2529</v>
      </c>
      <c r="P201" s="74">
        <f>VLOOKUP(B201,'115+260'!$B$15:$AB$647,14,FALSE)</f>
        <v>-471</v>
      </c>
      <c r="Q201" s="72">
        <f>'115+260'!R202</f>
        <v>0</v>
      </c>
      <c r="R201" s="71">
        <f t="shared" si="34"/>
        <v>251</v>
      </c>
      <c r="S201" s="76">
        <f>VLOOKUP(B201,'115+260'!$B$14:$AB$647,22,FALSE)</f>
        <v>2091</v>
      </c>
      <c r="T201" s="75">
        <f>VLOOKUP(B201,'115+260'!$B$15:$AB$647,6,FALSE)</f>
        <v>181</v>
      </c>
      <c r="U201" s="74">
        <f t="shared" si="30"/>
        <v>2541</v>
      </c>
      <c r="V201" s="73">
        <f>VLOOKUP(B201,'115+260'!$B$15:$AB$647,15,FALSE)</f>
        <v>-459</v>
      </c>
      <c r="W201" s="72">
        <f>'115+260'!S202</f>
        <v>0</v>
      </c>
      <c r="X201" s="71">
        <f t="shared" si="35"/>
        <v>209</v>
      </c>
      <c r="Y201" s="70">
        <f t="shared" si="36"/>
        <v>0</v>
      </c>
      <c r="Z201" s="69">
        <f t="shared" si="37"/>
        <v>0</v>
      </c>
      <c r="AA201" s="68">
        <f t="shared" si="38"/>
        <v>2.4729999999999999</v>
      </c>
      <c r="AB201" s="68">
        <f t="shared" si="39"/>
        <v>2.0179999999999998</v>
      </c>
    </row>
    <row r="202" spans="2:28">
      <c r="B202" s="110">
        <f>'115+260'!B203</f>
        <v>45440</v>
      </c>
      <c r="C202" s="80">
        <f t="shared" si="31"/>
        <v>1</v>
      </c>
      <c r="D202" s="79">
        <f t="shared" si="32"/>
        <v>1069</v>
      </c>
      <c r="E202" s="78">
        <f>VLOOKUP(B202,'115+260'!B203:AB274,3,FALSE)</f>
        <v>1655</v>
      </c>
      <c r="F202" s="75">
        <f t="shared" si="27"/>
        <v>2724</v>
      </c>
      <c r="G202" s="77">
        <f>VLOOKUP(B202,'115+260'!$B$15:$AB$647,20,FALSE)</f>
        <v>2053</v>
      </c>
      <c r="H202" s="77">
        <f>VLOOKUP(B202,'115+260'!$B$15:$AB$647,4,FALSE)</f>
        <v>171</v>
      </c>
      <c r="I202" s="74">
        <f t="shared" si="28"/>
        <v>2553</v>
      </c>
      <c r="J202" s="74">
        <f>VLOOKUP(B202,'115+260'!$B$15:$AB$647,13,FALSE)</f>
        <v>-447</v>
      </c>
      <c r="K202" s="72">
        <f>'115+260'!Q203</f>
        <v>0</v>
      </c>
      <c r="L202" s="71">
        <f t="shared" si="33"/>
        <v>247</v>
      </c>
      <c r="M202" s="76">
        <f>VLOOKUP(B202,'115+260'!$B$14:$AB$647,21,FALSE)</f>
        <v>2049</v>
      </c>
      <c r="N202" s="75">
        <f>VLOOKUP(B202,'115+260'!$B$15:$AB$647,5,FALSE)</f>
        <v>195</v>
      </c>
      <c r="O202" s="74">
        <f t="shared" si="29"/>
        <v>2529</v>
      </c>
      <c r="P202" s="74">
        <f>VLOOKUP(B202,'115+260'!$B$15:$AB$647,14,FALSE)</f>
        <v>-471</v>
      </c>
      <c r="Q202" s="72">
        <f>'115+260'!R203</f>
        <v>0</v>
      </c>
      <c r="R202" s="71">
        <f t="shared" si="34"/>
        <v>251</v>
      </c>
      <c r="S202" s="76">
        <f>VLOOKUP(B202,'115+260'!$B$14:$AB$647,22,FALSE)</f>
        <v>2091</v>
      </c>
      <c r="T202" s="75">
        <f>VLOOKUP(B202,'115+260'!$B$15:$AB$647,6,FALSE)</f>
        <v>183</v>
      </c>
      <c r="U202" s="74">
        <f t="shared" si="30"/>
        <v>2541</v>
      </c>
      <c r="V202" s="73">
        <f>VLOOKUP(B202,'115+260'!$B$15:$AB$647,15,FALSE)</f>
        <v>-459</v>
      </c>
      <c r="W202" s="72">
        <f>'115+260'!S203</f>
        <v>0</v>
      </c>
      <c r="X202" s="71">
        <f t="shared" si="35"/>
        <v>209</v>
      </c>
      <c r="Y202" s="70">
        <f t="shared" si="36"/>
        <v>0</v>
      </c>
      <c r="Z202" s="69">
        <f t="shared" si="37"/>
        <v>0</v>
      </c>
      <c r="AA202" s="68">
        <f t="shared" si="38"/>
        <v>2.4729999999999999</v>
      </c>
      <c r="AB202" s="68">
        <f t="shared" si="39"/>
        <v>2.0179999999999998</v>
      </c>
    </row>
    <row r="203" spans="2:28">
      <c r="B203" s="110">
        <f>'115+260'!B204</f>
        <v>45441</v>
      </c>
      <c r="C203" s="80">
        <f t="shared" si="31"/>
        <v>1</v>
      </c>
      <c r="D203" s="79">
        <f t="shared" si="32"/>
        <v>1069</v>
      </c>
      <c r="E203" s="78">
        <f>VLOOKUP(B203,'115+260'!B204:AB274,3,FALSE)</f>
        <v>1657</v>
      </c>
      <c r="F203" s="75">
        <f t="shared" si="27"/>
        <v>2726</v>
      </c>
      <c r="G203" s="77">
        <f>VLOOKUP(B203,'115+260'!$B$15:$AB$647,20,FALSE)</f>
        <v>2053</v>
      </c>
      <c r="H203" s="77">
        <f>VLOOKUP(B203,'115+260'!$B$15:$AB$647,4,FALSE)</f>
        <v>173</v>
      </c>
      <c r="I203" s="74">
        <f t="shared" si="28"/>
        <v>2553</v>
      </c>
      <c r="J203" s="74">
        <f>VLOOKUP(B203,'115+260'!$B$15:$AB$647,13,FALSE)</f>
        <v>-447</v>
      </c>
      <c r="K203" s="72">
        <f>'115+260'!Q204</f>
        <v>0</v>
      </c>
      <c r="L203" s="71">
        <f t="shared" si="33"/>
        <v>247</v>
      </c>
      <c r="M203" s="76">
        <f>VLOOKUP(B203,'115+260'!$B$14:$AB$647,21,FALSE)</f>
        <v>2049</v>
      </c>
      <c r="N203" s="75">
        <f>VLOOKUP(B203,'115+260'!$B$15:$AB$647,5,FALSE)</f>
        <v>197</v>
      </c>
      <c r="O203" s="74">
        <f t="shared" si="29"/>
        <v>2529</v>
      </c>
      <c r="P203" s="74">
        <f>VLOOKUP(B203,'115+260'!$B$15:$AB$647,14,FALSE)</f>
        <v>-471</v>
      </c>
      <c r="Q203" s="72">
        <f>'115+260'!R204</f>
        <v>0</v>
      </c>
      <c r="R203" s="71">
        <f t="shared" si="34"/>
        <v>251</v>
      </c>
      <c r="S203" s="76">
        <f>VLOOKUP(B203,'115+260'!$B$14:$AB$647,22,FALSE)</f>
        <v>2091</v>
      </c>
      <c r="T203" s="75">
        <f>VLOOKUP(B203,'115+260'!$B$15:$AB$647,6,FALSE)</f>
        <v>185</v>
      </c>
      <c r="U203" s="74">
        <f t="shared" si="30"/>
        <v>2541</v>
      </c>
      <c r="V203" s="73">
        <f>VLOOKUP(B203,'115+260'!$B$15:$AB$647,15,FALSE)</f>
        <v>-459</v>
      </c>
      <c r="W203" s="72">
        <f>'115+260'!S204</f>
        <v>0</v>
      </c>
      <c r="X203" s="71">
        <f t="shared" si="35"/>
        <v>209</v>
      </c>
      <c r="Y203" s="70">
        <f t="shared" si="36"/>
        <v>0</v>
      </c>
      <c r="Z203" s="69">
        <f t="shared" si="37"/>
        <v>0</v>
      </c>
      <c r="AA203" s="68">
        <f t="shared" si="38"/>
        <v>2.4729999999999999</v>
      </c>
      <c r="AB203" s="68">
        <f t="shared" si="39"/>
        <v>2.0179999999999998</v>
      </c>
    </row>
    <row r="204" spans="2:28">
      <c r="B204" s="110">
        <f>'115+260'!B205</f>
        <v>45442</v>
      </c>
      <c r="C204" s="80">
        <f t="shared" si="31"/>
        <v>1</v>
      </c>
      <c r="D204" s="79">
        <f t="shared" si="32"/>
        <v>1069</v>
      </c>
      <c r="E204" s="78">
        <f>VLOOKUP(B204,'115+260'!B205:AB274,3,FALSE)</f>
        <v>1659</v>
      </c>
      <c r="F204" s="75">
        <f t="shared" si="27"/>
        <v>2728</v>
      </c>
      <c r="G204" s="77">
        <f>VLOOKUP(B204,'115+260'!$B$15:$AB$647,20,FALSE)</f>
        <v>2053</v>
      </c>
      <c r="H204" s="77">
        <f>VLOOKUP(B204,'115+260'!$B$15:$AB$647,4,FALSE)</f>
        <v>175</v>
      </c>
      <c r="I204" s="74">
        <f t="shared" si="28"/>
        <v>2553</v>
      </c>
      <c r="J204" s="74">
        <f>VLOOKUP(B204,'115+260'!$B$15:$AB$647,13,FALSE)</f>
        <v>-447</v>
      </c>
      <c r="K204" s="72">
        <f>'115+260'!Q205</f>
        <v>0</v>
      </c>
      <c r="L204" s="71">
        <f t="shared" si="33"/>
        <v>247</v>
      </c>
      <c r="M204" s="76">
        <f>VLOOKUP(B204,'115+260'!$B$14:$AB$647,21,FALSE)</f>
        <v>2049</v>
      </c>
      <c r="N204" s="75">
        <f>VLOOKUP(B204,'115+260'!$B$15:$AB$647,5,FALSE)</f>
        <v>199</v>
      </c>
      <c r="O204" s="74">
        <f t="shared" si="29"/>
        <v>2529</v>
      </c>
      <c r="P204" s="74">
        <f>VLOOKUP(B204,'115+260'!$B$15:$AB$647,14,FALSE)</f>
        <v>-471</v>
      </c>
      <c r="Q204" s="72">
        <f>'115+260'!R205</f>
        <v>0</v>
      </c>
      <c r="R204" s="71">
        <f t="shared" si="34"/>
        <v>251</v>
      </c>
      <c r="S204" s="76">
        <f>VLOOKUP(B204,'115+260'!$B$14:$AB$647,22,FALSE)</f>
        <v>2091</v>
      </c>
      <c r="T204" s="75">
        <f>VLOOKUP(B204,'115+260'!$B$15:$AB$647,6,FALSE)</f>
        <v>187</v>
      </c>
      <c r="U204" s="74">
        <f t="shared" si="30"/>
        <v>2541</v>
      </c>
      <c r="V204" s="73">
        <f>VLOOKUP(B204,'115+260'!$B$15:$AB$647,15,FALSE)</f>
        <v>-459</v>
      </c>
      <c r="W204" s="72">
        <f>'115+260'!S205</f>
        <v>0</v>
      </c>
      <c r="X204" s="71">
        <f t="shared" si="35"/>
        <v>209</v>
      </c>
      <c r="Y204" s="70">
        <f t="shared" si="36"/>
        <v>0</v>
      </c>
      <c r="Z204" s="69">
        <f t="shared" si="37"/>
        <v>0</v>
      </c>
      <c r="AA204" s="68">
        <f t="shared" si="38"/>
        <v>2.4729999999999999</v>
      </c>
      <c r="AB204" s="68">
        <f t="shared" si="39"/>
        <v>2.0179999999999998</v>
      </c>
    </row>
    <row r="205" spans="2:28">
      <c r="B205" s="110">
        <f>'115+260'!B206</f>
        <v>45443</v>
      </c>
      <c r="C205" s="80">
        <f t="shared" si="31"/>
        <v>1</v>
      </c>
      <c r="D205" s="79">
        <f t="shared" si="32"/>
        <v>1069</v>
      </c>
      <c r="E205" s="78">
        <f>VLOOKUP(B205,'115+260'!B206:AB274,3,FALSE)</f>
        <v>1661</v>
      </c>
      <c r="F205" s="75">
        <f t="shared" ref="F205:F268" si="40">D205+E205</f>
        <v>2730</v>
      </c>
      <c r="G205" s="77">
        <f>VLOOKUP(B205,'115+260'!$B$15:$AB$647,20,FALSE)</f>
        <v>2053</v>
      </c>
      <c r="H205" s="77">
        <f>VLOOKUP(B205,'115+260'!$B$15:$AB$647,4,FALSE)</f>
        <v>177</v>
      </c>
      <c r="I205" s="74">
        <f t="shared" ref="I205:I268" si="41">F205-H205</f>
        <v>2553</v>
      </c>
      <c r="J205" s="74">
        <f>VLOOKUP(B205,'115+260'!$B$15:$AB$647,13,FALSE)</f>
        <v>-447</v>
      </c>
      <c r="K205" s="72">
        <f>'115+260'!Q206</f>
        <v>0</v>
      </c>
      <c r="L205" s="71">
        <f t="shared" si="33"/>
        <v>247</v>
      </c>
      <c r="M205" s="76">
        <f>VLOOKUP(B205,'115+260'!$B$14:$AB$647,21,FALSE)</f>
        <v>2049</v>
      </c>
      <c r="N205" s="75">
        <f>VLOOKUP(B205,'115+260'!$B$15:$AB$647,5,FALSE)</f>
        <v>201</v>
      </c>
      <c r="O205" s="74">
        <f t="shared" ref="O205:O268" si="42">F205-N205</f>
        <v>2529</v>
      </c>
      <c r="P205" s="74">
        <f>VLOOKUP(B205,'115+260'!$B$15:$AB$647,14,FALSE)</f>
        <v>-471</v>
      </c>
      <c r="Q205" s="72">
        <f>'115+260'!R206</f>
        <v>0</v>
      </c>
      <c r="R205" s="71">
        <f t="shared" si="34"/>
        <v>251</v>
      </c>
      <c r="S205" s="76">
        <f>VLOOKUP(B205,'115+260'!$B$14:$AB$647,22,FALSE)</f>
        <v>2091</v>
      </c>
      <c r="T205" s="75">
        <f>VLOOKUP(B205,'115+260'!$B$15:$AB$647,6,FALSE)</f>
        <v>189</v>
      </c>
      <c r="U205" s="74">
        <f t="shared" ref="U205:U268" si="43">F205-T205</f>
        <v>2541</v>
      </c>
      <c r="V205" s="73">
        <f>VLOOKUP(B205,'115+260'!$B$15:$AB$647,15,FALSE)</f>
        <v>-459</v>
      </c>
      <c r="W205" s="72">
        <f>'115+260'!S206</f>
        <v>0</v>
      </c>
      <c r="X205" s="71">
        <f t="shared" si="35"/>
        <v>209</v>
      </c>
      <c r="Y205" s="70">
        <f t="shared" si="36"/>
        <v>0</v>
      </c>
      <c r="Z205" s="69">
        <f t="shared" si="37"/>
        <v>0</v>
      </c>
      <c r="AA205" s="68">
        <f t="shared" si="38"/>
        <v>2.4729999999999999</v>
      </c>
      <c r="AB205" s="68">
        <f t="shared" si="39"/>
        <v>2.0179999999999998</v>
      </c>
    </row>
    <row r="206" spans="2:28">
      <c r="B206" s="110">
        <f>'115+260'!B207</f>
        <v>45444</v>
      </c>
      <c r="C206" s="80">
        <f t="shared" ref="C206:C269" si="44">B206-B205</f>
        <v>1</v>
      </c>
      <c r="D206" s="79">
        <f t="shared" ref="D206:D269" si="45">D205</f>
        <v>1069</v>
      </c>
      <c r="E206" s="78">
        <f>VLOOKUP(B206,'115+260'!B207:AB274,3,FALSE)</f>
        <v>1663</v>
      </c>
      <c r="F206" s="75">
        <f t="shared" si="40"/>
        <v>2732</v>
      </c>
      <c r="G206" s="77">
        <f>VLOOKUP(B206,'115+260'!$B$15:$AB$647,20,FALSE)</f>
        <v>2053</v>
      </c>
      <c r="H206" s="77">
        <f>VLOOKUP(B206,'115+260'!$B$15:$AB$647,4,FALSE)</f>
        <v>179</v>
      </c>
      <c r="I206" s="74">
        <f t="shared" si="41"/>
        <v>2553</v>
      </c>
      <c r="J206" s="74">
        <f>VLOOKUP(B206,'115+260'!$B$15:$AB$647,13,FALSE)</f>
        <v>-447</v>
      </c>
      <c r="K206" s="72">
        <f>'115+260'!Q207</f>
        <v>0</v>
      </c>
      <c r="L206" s="71">
        <f t="shared" ref="L206:L269" si="46">+K206+L205</f>
        <v>247</v>
      </c>
      <c r="M206" s="76">
        <f>VLOOKUP(B206,'115+260'!$B$14:$AB$647,21,FALSE)</f>
        <v>2049</v>
      </c>
      <c r="N206" s="75">
        <f>VLOOKUP(B206,'115+260'!$B$15:$AB$647,5,FALSE)</f>
        <v>203</v>
      </c>
      <c r="O206" s="74">
        <f t="shared" si="42"/>
        <v>2529</v>
      </c>
      <c r="P206" s="74">
        <f>VLOOKUP(B206,'115+260'!$B$15:$AB$647,14,FALSE)</f>
        <v>-471</v>
      </c>
      <c r="Q206" s="72">
        <f>'115+260'!R207</f>
        <v>0</v>
      </c>
      <c r="R206" s="71">
        <f t="shared" ref="R206:R269" si="47">+Q206+R205</f>
        <v>251</v>
      </c>
      <c r="S206" s="76">
        <f>VLOOKUP(B206,'115+260'!$B$14:$AB$647,22,FALSE)</f>
        <v>2091</v>
      </c>
      <c r="T206" s="75">
        <f>VLOOKUP(B206,'115+260'!$B$15:$AB$647,6,FALSE)</f>
        <v>191</v>
      </c>
      <c r="U206" s="74">
        <f t="shared" si="43"/>
        <v>2541</v>
      </c>
      <c r="V206" s="73">
        <f>VLOOKUP(B206,'115+260'!$B$15:$AB$647,15,FALSE)</f>
        <v>-459</v>
      </c>
      <c r="W206" s="72">
        <f>'115+260'!S207</f>
        <v>0</v>
      </c>
      <c r="X206" s="71">
        <f t="shared" ref="X206:X269" si="48">+W206+X205</f>
        <v>209</v>
      </c>
      <c r="Y206" s="70">
        <f t="shared" ref="Y206:Y269" si="49">S206-S205</f>
        <v>0</v>
      </c>
      <c r="Z206" s="69">
        <f t="shared" ref="Z206:Z269" si="50">IF(Y206&gt;0,Y206,0)/1000</f>
        <v>0</v>
      </c>
      <c r="AA206" s="68">
        <f t="shared" ref="AA206:AA269" si="51">AA205+Z206</f>
        <v>2.4729999999999999</v>
      </c>
      <c r="AB206" s="68">
        <f t="shared" ref="AB206:AB269" si="52">(M206-$M$13-R206)/1000</f>
        <v>2.0179999999999998</v>
      </c>
    </row>
    <row r="207" spans="2:28">
      <c r="B207" s="110">
        <f>'115+260'!B208</f>
        <v>45445</v>
      </c>
      <c r="C207" s="80">
        <f t="shared" si="44"/>
        <v>1</v>
      </c>
      <c r="D207" s="79">
        <f t="shared" si="45"/>
        <v>1069</v>
      </c>
      <c r="E207" s="78">
        <f>VLOOKUP(B207,'115+260'!B208:AB274,3,FALSE)</f>
        <v>1665</v>
      </c>
      <c r="F207" s="75">
        <f t="shared" si="40"/>
        <v>2734</v>
      </c>
      <c r="G207" s="77">
        <f>VLOOKUP(B207,'115+260'!$B$15:$AB$647,20,FALSE)</f>
        <v>2053</v>
      </c>
      <c r="H207" s="77">
        <f>VLOOKUP(B207,'115+260'!$B$15:$AB$647,4,FALSE)</f>
        <v>181</v>
      </c>
      <c r="I207" s="74">
        <f t="shared" si="41"/>
        <v>2553</v>
      </c>
      <c r="J207" s="74">
        <f>VLOOKUP(B207,'115+260'!$B$15:$AB$647,13,FALSE)</f>
        <v>-447</v>
      </c>
      <c r="K207" s="72">
        <f>'115+260'!Q208</f>
        <v>0</v>
      </c>
      <c r="L207" s="71">
        <f t="shared" si="46"/>
        <v>247</v>
      </c>
      <c r="M207" s="76">
        <f>VLOOKUP(B207,'115+260'!$B$14:$AB$647,21,FALSE)</f>
        <v>2049</v>
      </c>
      <c r="N207" s="75">
        <f>VLOOKUP(B207,'115+260'!$B$15:$AB$647,5,FALSE)</f>
        <v>205</v>
      </c>
      <c r="O207" s="74">
        <f t="shared" si="42"/>
        <v>2529</v>
      </c>
      <c r="P207" s="74">
        <f>VLOOKUP(B207,'115+260'!$B$15:$AB$647,14,FALSE)</f>
        <v>-471</v>
      </c>
      <c r="Q207" s="72">
        <f>'115+260'!R208</f>
        <v>0</v>
      </c>
      <c r="R207" s="71">
        <f t="shared" si="47"/>
        <v>251</v>
      </c>
      <c r="S207" s="76">
        <f>VLOOKUP(B207,'115+260'!$B$14:$AB$647,22,FALSE)</f>
        <v>2091</v>
      </c>
      <c r="T207" s="75">
        <f>VLOOKUP(B207,'115+260'!$B$15:$AB$647,6,FALSE)</f>
        <v>193</v>
      </c>
      <c r="U207" s="74">
        <f t="shared" si="43"/>
        <v>2541</v>
      </c>
      <c r="V207" s="73">
        <f>VLOOKUP(B207,'115+260'!$B$15:$AB$647,15,FALSE)</f>
        <v>-459</v>
      </c>
      <c r="W207" s="72">
        <f>'115+260'!S208</f>
        <v>0</v>
      </c>
      <c r="X207" s="71">
        <f t="shared" si="48"/>
        <v>209</v>
      </c>
      <c r="Y207" s="70">
        <f t="shared" si="49"/>
        <v>0</v>
      </c>
      <c r="Z207" s="69">
        <f t="shared" si="50"/>
        <v>0</v>
      </c>
      <c r="AA207" s="68">
        <f t="shared" si="51"/>
        <v>2.4729999999999999</v>
      </c>
      <c r="AB207" s="68">
        <f t="shared" si="52"/>
        <v>2.0179999999999998</v>
      </c>
    </row>
    <row r="208" spans="2:28">
      <c r="B208" s="110">
        <f>'115+260'!B209</f>
        <v>45446</v>
      </c>
      <c r="C208" s="80">
        <f t="shared" si="44"/>
        <v>1</v>
      </c>
      <c r="D208" s="79">
        <f t="shared" si="45"/>
        <v>1069</v>
      </c>
      <c r="E208" s="78">
        <f>VLOOKUP(B208,'115+260'!B209:AB274,3,FALSE)</f>
        <v>1667</v>
      </c>
      <c r="F208" s="75">
        <f t="shared" si="40"/>
        <v>2736</v>
      </c>
      <c r="G208" s="77">
        <f>VLOOKUP(B208,'115+260'!$B$15:$AB$647,20,FALSE)</f>
        <v>2053</v>
      </c>
      <c r="H208" s="77">
        <f>VLOOKUP(B208,'115+260'!$B$15:$AB$647,4,FALSE)</f>
        <v>183</v>
      </c>
      <c r="I208" s="74">
        <f t="shared" si="41"/>
        <v>2553</v>
      </c>
      <c r="J208" s="74">
        <f>VLOOKUP(B208,'115+260'!$B$15:$AB$647,13,FALSE)</f>
        <v>-447</v>
      </c>
      <c r="K208" s="72">
        <f>'115+260'!Q209</f>
        <v>0</v>
      </c>
      <c r="L208" s="71">
        <f t="shared" si="46"/>
        <v>247</v>
      </c>
      <c r="M208" s="76">
        <f>VLOOKUP(B208,'115+260'!$B$14:$AB$647,21,FALSE)</f>
        <v>2049</v>
      </c>
      <c r="N208" s="75">
        <f>VLOOKUP(B208,'115+260'!$B$15:$AB$647,5,FALSE)</f>
        <v>207</v>
      </c>
      <c r="O208" s="74">
        <f t="shared" si="42"/>
        <v>2529</v>
      </c>
      <c r="P208" s="74">
        <f>VLOOKUP(B208,'115+260'!$B$15:$AB$647,14,FALSE)</f>
        <v>-471</v>
      </c>
      <c r="Q208" s="72">
        <f>'115+260'!R209</f>
        <v>0</v>
      </c>
      <c r="R208" s="71">
        <f t="shared" si="47"/>
        <v>251</v>
      </c>
      <c r="S208" s="76">
        <f>VLOOKUP(B208,'115+260'!$B$14:$AB$647,22,FALSE)</f>
        <v>2091</v>
      </c>
      <c r="T208" s="75">
        <f>VLOOKUP(B208,'115+260'!$B$15:$AB$647,6,FALSE)</f>
        <v>195</v>
      </c>
      <c r="U208" s="74">
        <f t="shared" si="43"/>
        <v>2541</v>
      </c>
      <c r="V208" s="73">
        <f>VLOOKUP(B208,'115+260'!$B$15:$AB$647,15,FALSE)</f>
        <v>-459</v>
      </c>
      <c r="W208" s="72">
        <f>'115+260'!S209</f>
        <v>0</v>
      </c>
      <c r="X208" s="71">
        <f t="shared" si="48"/>
        <v>209</v>
      </c>
      <c r="Y208" s="70">
        <f t="shared" si="49"/>
        <v>0</v>
      </c>
      <c r="Z208" s="69">
        <f t="shared" si="50"/>
        <v>0</v>
      </c>
      <c r="AA208" s="68">
        <f t="shared" si="51"/>
        <v>2.4729999999999999</v>
      </c>
      <c r="AB208" s="68">
        <f t="shared" si="52"/>
        <v>2.0179999999999998</v>
      </c>
    </row>
    <row r="209" spans="2:28">
      <c r="B209" s="110">
        <f>'115+260'!B210</f>
        <v>45447</v>
      </c>
      <c r="C209" s="80">
        <f t="shared" si="44"/>
        <v>1</v>
      </c>
      <c r="D209" s="79">
        <f t="shared" si="45"/>
        <v>1069</v>
      </c>
      <c r="E209" s="78">
        <f>VLOOKUP(B209,'115+260'!B210:AB274,3,FALSE)</f>
        <v>1669</v>
      </c>
      <c r="F209" s="75">
        <f t="shared" si="40"/>
        <v>2738</v>
      </c>
      <c r="G209" s="77">
        <f>VLOOKUP(B209,'115+260'!$B$15:$AB$647,20,FALSE)</f>
        <v>2053</v>
      </c>
      <c r="H209" s="77">
        <f>VLOOKUP(B209,'115+260'!$B$15:$AB$647,4,FALSE)</f>
        <v>185</v>
      </c>
      <c r="I209" s="74">
        <f t="shared" si="41"/>
        <v>2553</v>
      </c>
      <c r="J209" s="74">
        <f>VLOOKUP(B209,'115+260'!$B$15:$AB$647,13,FALSE)</f>
        <v>-447</v>
      </c>
      <c r="K209" s="72">
        <f>'115+260'!Q210</f>
        <v>0</v>
      </c>
      <c r="L209" s="71">
        <f t="shared" si="46"/>
        <v>247</v>
      </c>
      <c r="M209" s="76">
        <f>VLOOKUP(B209,'115+260'!$B$14:$AB$647,21,FALSE)</f>
        <v>2049</v>
      </c>
      <c r="N209" s="75">
        <f>VLOOKUP(B209,'115+260'!$B$15:$AB$647,5,FALSE)</f>
        <v>209</v>
      </c>
      <c r="O209" s="74">
        <f t="shared" si="42"/>
        <v>2529</v>
      </c>
      <c r="P209" s="74">
        <f>VLOOKUP(B209,'115+260'!$B$15:$AB$647,14,FALSE)</f>
        <v>-471</v>
      </c>
      <c r="Q209" s="72">
        <f>'115+260'!R210</f>
        <v>0</v>
      </c>
      <c r="R209" s="71">
        <f t="shared" si="47"/>
        <v>251</v>
      </c>
      <c r="S209" s="76">
        <f>VLOOKUP(B209,'115+260'!$B$14:$AB$647,22,FALSE)</f>
        <v>2091</v>
      </c>
      <c r="T209" s="75">
        <f>VLOOKUP(B209,'115+260'!$B$15:$AB$647,6,FALSE)</f>
        <v>197</v>
      </c>
      <c r="U209" s="74">
        <f t="shared" si="43"/>
        <v>2541</v>
      </c>
      <c r="V209" s="73">
        <f>VLOOKUP(B209,'115+260'!$B$15:$AB$647,15,FALSE)</f>
        <v>-459</v>
      </c>
      <c r="W209" s="72">
        <f>'115+260'!S210</f>
        <v>0</v>
      </c>
      <c r="X209" s="71">
        <f t="shared" si="48"/>
        <v>209</v>
      </c>
      <c r="Y209" s="70">
        <f t="shared" si="49"/>
        <v>0</v>
      </c>
      <c r="Z209" s="69">
        <f t="shared" si="50"/>
        <v>0</v>
      </c>
      <c r="AA209" s="68">
        <f t="shared" si="51"/>
        <v>2.4729999999999999</v>
      </c>
      <c r="AB209" s="68">
        <f t="shared" si="52"/>
        <v>2.0179999999999998</v>
      </c>
    </row>
    <row r="210" spans="2:28">
      <c r="B210" s="110">
        <f>'115+260'!B211</f>
        <v>45448</v>
      </c>
      <c r="C210" s="80">
        <f t="shared" si="44"/>
        <v>1</v>
      </c>
      <c r="D210" s="79">
        <f t="shared" si="45"/>
        <v>1069</v>
      </c>
      <c r="E210" s="78">
        <f>VLOOKUP(B210,'115+260'!B211:AB274,3,FALSE)</f>
        <v>1671</v>
      </c>
      <c r="F210" s="75">
        <f t="shared" si="40"/>
        <v>2740</v>
      </c>
      <c r="G210" s="77">
        <f>VLOOKUP(B210,'115+260'!$B$15:$AB$647,20,FALSE)</f>
        <v>2053</v>
      </c>
      <c r="H210" s="77">
        <f>VLOOKUP(B210,'115+260'!$B$15:$AB$647,4,FALSE)</f>
        <v>187</v>
      </c>
      <c r="I210" s="74">
        <f t="shared" si="41"/>
        <v>2553</v>
      </c>
      <c r="J210" s="74">
        <f>VLOOKUP(B210,'115+260'!$B$15:$AB$647,13,FALSE)</f>
        <v>-447</v>
      </c>
      <c r="K210" s="72">
        <f>'115+260'!Q211</f>
        <v>0</v>
      </c>
      <c r="L210" s="71">
        <f t="shared" si="46"/>
        <v>247</v>
      </c>
      <c r="M210" s="76">
        <f>VLOOKUP(B210,'115+260'!$B$14:$AB$647,21,FALSE)</f>
        <v>2049</v>
      </c>
      <c r="N210" s="75">
        <f>VLOOKUP(B210,'115+260'!$B$15:$AB$647,5,FALSE)</f>
        <v>211</v>
      </c>
      <c r="O210" s="74">
        <f t="shared" si="42"/>
        <v>2529</v>
      </c>
      <c r="P210" s="74">
        <f>VLOOKUP(B210,'115+260'!$B$15:$AB$647,14,FALSE)</f>
        <v>-471</v>
      </c>
      <c r="Q210" s="72">
        <f>'115+260'!R211</f>
        <v>0</v>
      </c>
      <c r="R210" s="71">
        <f t="shared" si="47"/>
        <v>251</v>
      </c>
      <c r="S210" s="76">
        <f>VLOOKUP(B210,'115+260'!$B$14:$AB$647,22,FALSE)</f>
        <v>2091</v>
      </c>
      <c r="T210" s="75">
        <f>VLOOKUP(B210,'115+260'!$B$15:$AB$647,6,FALSE)</f>
        <v>199</v>
      </c>
      <c r="U210" s="74">
        <f t="shared" si="43"/>
        <v>2541</v>
      </c>
      <c r="V210" s="73">
        <f>VLOOKUP(B210,'115+260'!$B$15:$AB$647,15,FALSE)</f>
        <v>-459</v>
      </c>
      <c r="W210" s="72">
        <f>'115+260'!S211</f>
        <v>0</v>
      </c>
      <c r="X210" s="71">
        <f t="shared" si="48"/>
        <v>209</v>
      </c>
      <c r="Y210" s="70">
        <f t="shared" si="49"/>
        <v>0</v>
      </c>
      <c r="Z210" s="69">
        <f t="shared" si="50"/>
        <v>0</v>
      </c>
      <c r="AA210" s="68">
        <f t="shared" si="51"/>
        <v>2.4729999999999999</v>
      </c>
      <c r="AB210" s="68">
        <f t="shared" si="52"/>
        <v>2.0179999999999998</v>
      </c>
    </row>
    <row r="211" spans="2:28">
      <c r="B211" s="110">
        <f>'115+260'!B212</f>
        <v>45449</v>
      </c>
      <c r="C211" s="80">
        <f t="shared" si="44"/>
        <v>1</v>
      </c>
      <c r="D211" s="79">
        <f t="shared" si="45"/>
        <v>1069</v>
      </c>
      <c r="E211" s="78">
        <f>VLOOKUP(B211,'115+260'!B212:AB274,3,FALSE)</f>
        <v>1673</v>
      </c>
      <c r="F211" s="75">
        <f t="shared" si="40"/>
        <v>2742</v>
      </c>
      <c r="G211" s="77">
        <f>VLOOKUP(B211,'115+260'!$B$15:$AB$647,20,FALSE)</f>
        <v>2053</v>
      </c>
      <c r="H211" s="77">
        <f>VLOOKUP(B211,'115+260'!$B$15:$AB$647,4,FALSE)</f>
        <v>189</v>
      </c>
      <c r="I211" s="74">
        <f t="shared" si="41"/>
        <v>2553</v>
      </c>
      <c r="J211" s="74">
        <f>VLOOKUP(B211,'115+260'!$B$15:$AB$647,13,FALSE)</f>
        <v>-447</v>
      </c>
      <c r="K211" s="72">
        <f>'115+260'!Q212</f>
        <v>0</v>
      </c>
      <c r="L211" s="71">
        <f t="shared" si="46"/>
        <v>247</v>
      </c>
      <c r="M211" s="76">
        <f>VLOOKUP(B211,'115+260'!$B$14:$AB$647,21,FALSE)</f>
        <v>2049</v>
      </c>
      <c r="N211" s="75">
        <f>VLOOKUP(B211,'115+260'!$B$15:$AB$647,5,FALSE)</f>
        <v>213</v>
      </c>
      <c r="O211" s="74">
        <f t="shared" si="42"/>
        <v>2529</v>
      </c>
      <c r="P211" s="74">
        <f>VLOOKUP(B211,'115+260'!$B$15:$AB$647,14,FALSE)</f>
        <v>-471</v>
      </c>
      <c r="Q211" s="72">
        <f>'115+260'!R212</f>
        <v>0</v>
      </c>
      <c r="R211" s="71">
        <f t="shared" si="47"/>
        <v>251</v>
      </c>
      <c r="S211" s="76">
        <f>VLOOKUP(B211,'115+260'!$B$14:$AB$647,22,FALSE)</f>
        <v>2091</v>
      </c>
      <c r="T211" s="75">
        <f>VLOOKUP(B211,'115+260'!$B$15:$AB$647,6,FALSE)</f>
        <v>201</v>
      </c>
      <c r="U211" s="74">
        <f t="shared" si="43"/>
        <v>2541</v>
      </c>
      <c r="V211" s="73">
        <f>VLOOKUP(B211,'115+260'!$B$15:$AB$647,15,FALSE)</f>
        <v>-459</v>
      </c>
      <c r="W211" s="72">
        <f>'115+260'!S212</f>
        <v>0</v>
      </c>
      <c r="X211" s="71">
        <f t="shared" si="48"/>
        <v>209</v>
      </c>
      <c r="Y211" s="70">
        <f t="shared" si="49"/>
        <v>0</v>
      </c>
      <c r="Z211" s="69">
        <f t="shared" si="50"/>
        <v>0</v>
      </c>
      <c r="AA211" s="68">
        <f t="shared" si="51"/>
        <v>2.4729999999999999</v>
      </c>
      <c r="AB211" s="68">
        <f t="shared" si="52"/>
        <v>2.0179999999999998</v>
      </c>
    </row>
    <row r="212" spans="2:28">
      <c r="B212" s="110">
        <f>'115+260'!B213</f>
        <v>45450</v>
      </c>
      <c r="C212" s="80">
        <f t="shared" si="44"/>
        <v>1</v>
      </c>
      <c r="D212" s="79">
        <f t="shared" si="45"/>
        <v>1069</v>
      </c>
      <c r="E212" s="78">
        <f>VLOOKUP(B212,'115+260'!B213:AB274,3,FALSE)</f>
        <v>1675</v>
      </c>
      <c r="F212" s="75">
        <f t="shared" si="40"/>
        <v>2744</v>
      </c>
      <c r="G212" s="77">
        <f>VLOOKUP(B212,'115+260'!$B$15:$AB$647,20,FALSE)</f>
        <v>2053</v>
      </c>
      <c r="H212" s="77">
        <f>VLOOKUP(B212,'115+260'!$B$15:$AB$647,4,FALSE)</f>
        <v>191</v>
      </c>
      <c r="I212" s="74">
        <f t="shared" si="41"/>
        <v>2553</v>
      </c>
      <c r="J212" s="74">
        <f>VLOOKUP(B212,'115+260'!$B$15:$AB$647,13,FALSE)</f>
        <v>-447</v>
      </c>
      <c r="K212" s="72">
        <f>'115+260'!Q213</f>
        <v>0</v>
      </c>
      <c r="L212" s="71">
        <f t="shared" si="46"/>
        <v>247</v>
      </c>
      <c r="M212" s="76">
        <f>VLOOKUP(B212,'115+260'!$B$14:$AB$647,21,FALSE)</f>
        <v>2049</v>
      </c>
      <c r="N212" s="75">
        <f>VLOOKUP(B212,'115+260'!$B$15:$AB$647,5,FALSE)</f>
        <v>215</v>
      </c>
      <c r="O212" s="74">
        <f t="shared" si="42"/>
        <v>2529</v>
      </c>
      <c r="P212" s="74">
        <f>VLOOKUP(B212,'115+260'!$B$15:$AB$647,14,FALSE)</f>
        <v>-471</v>
      </c>
      <c r="Q212" s="72">
        <f>'115+260'!R213</f>
        <v>0</v>
      </c>
      <c r="R212" s="71">
        <f t="shared" si="47"/>
        <v>251</v>
      </c>
      <c r="S212" s="76">
        <f>VLOOKUP(B212,'115+260'!$B$14:$AB$647,22,FALSE)</f>
        <v>2091</v>
      </c>
      <c r="T212" s="75">
        <f>VLOOKUP(B212,'115+260'!$B$15:$AB$647,6,FALSE)</f>
        <v>203</v>
      </c>
      <c r="U212" s="74">
        <f t="shared" si="43"/>
        <v>2541</v>
      </c>
      <c r="V212" s="73">
        <f>VLOOKUP(B212,'115+260'!$B$15:$AB$647,15,FALSE)</f>
        <v>-459</v>
      </c>
      <c r="W212" s="72">
        <f>'115+260'!S213</f>
        <v>0</v>
      </c>
      <c r="X212" s="71">
        <f t="shared" si="48"/>
        <v>209</v>
      </c>
      <c r="Y212" s="70">
        <f t="shared" si="49"/>
        <v>0</v>
      </c>
      <c r="Z212" s="69">
        <f t="shared" si="50"/>
        <v>0</v>
      </c>
      <c r="AA212" s="68">
        <f t="shared" si="51"/>
        <v>2.4729999999999999</v>
      </c>
      <c r="AB212" s="68">
        <f t="shared" si="52"/>
        <v>2.0179999999999998</v>
      </c>
    </row>
    <row r="213" spans="2:28">
      <c r="B213" s="110">
        <f>'115+260'!B214</f>
        <v>45451</v>
      </c>
      <c r="C213" s="80">
        <f t="shared" si="44"/>
        <v>1</v>
      </c>
      <c r="D213" s="79">
        <f t="shared" si="45"/>
        <v>1069</v>
      </c>
      <c r="E213" s="78">
        <f>VLOOKUP(B213,'115+260'!B214:AB274,3,FALSE)</f>
        <v>1677</v>
      </c>
      <c r="F213" s="75">
        <f t="shared" si="40"/>
        <v>2746</v>
      </c>
      <c r="G213" s="77">
        <f>VLOOKUP(B213,'115+260'!$B$15:$AB$647,20,FALSE)</f>
        <v>2053</v>
      </c>
      <c r="H213" s="77">
        <f>VLOOKUP(B213,'115+260'!$B$15:$AB$647,4,FALSE)</f>
        <v>193</v>
      </c>
      <c r="I213" s="74">
        <f t="shared" si="41"/>
        <v>2553</v>
      </c>
      <c r="J213" s="74">
        <f>VLOOKUP(B213,'115+260'!$B$15:$AB$647,13,FALSE)</f>
        <v>-447</v>
      </c>
      <c r="K213" s="72">
        <f>'115+260'!Q214</f>
        <v>0</v>
      </c>
      <c r="L213" s="71">
        <f t="shared" si="46"/>
        <v>247</v>
      </c>
      <c r="M213" s="76">
        <f>VLOOKUP(B213,'115+260'!$B$14:$AB$647,21,FALSE)</f>
        <v>2049</v>
      </c>
      <c r="N213" s="75">
        <f>VLOOKUP(B213,'115+260'!$B$15:$AB$647,5,FALSE)</f>
        <v>217</v>
      </c>
      <c r="O213" s="74">
        <f t="shared" si="42"/>
        <v>2529</v>
      </c>
      <c r="P213" s="74">
        <f>VLOOKUP(B213,'115+260'!$B$15:$AB$647,14,FALSE)</f>
        <v>-471</v>
      </c>
      <c r="Q213" s="72">
        <f>'115+260'!R214</f>
        <v>0</v>
      </c>
      <c r="R213" s="71">
        <f t="shared" si="47"/>
        <v>251</v>
      </c>
      <c r="S213" s="76">
        <f>VLOOKUP(B213,'115+260'!$B$14:$AB$647,22,FALSE)</f>
        <v>2091</v>
      </c>
      <c r="T213" s="75">
        <f>VLOOKUP(B213,'115+260'!$B$15:$AB$647,6,FALSE)</f>
        <v>205</v>
      </c>
      <c r="U213" s="74">
        <f t="shared" si="43"/>
        <v>2541</v>
      </c>
      <c r="V213" s="73">
        <f>VLOOKUP(B213,'115+260'!$B$15:$AB$647,15,FALSE)</f>
        <v>-459</v>
      </c>
      <c r="W213" s="72">
        <f>'115+260'!S214</f>
        <v>0</v>
      </c>
      <c r="X213" s="71">
        <f t="shared" si="48"/>
        <v>209</v>
      </c>
      <c r="Y213" s="70">
        <f t="shared" si="49"/>
        <v>0</v>
      </c>
      <c r="Z213" s="69">
        <f t="shared" si="50"/>
        <v>0</v>
      </c>
      <c r="AA213" s="68">
        <f t="shared" si="51"/>
        <v>2.4729999999999999</v>
      </c>
      <c r="AB213" s="68">
        <f t="shared" si="52"/>
        <v>2.0179999999999998</v>
      </c>
    </row>
    <row r="214" spans="2:28">
      <c r="B214" s="110">
        <f>'115+260'!B215</f>
        <v>45452</v>
      </c>
      <c r="C214" s="80">
        <f t="shared" si="44"/>
        <v>1</v>
      </c>
      <c r="D214" s="79">
        <f t="shared" si="45"/>
        <v>1069</v>
      </c>
      <c r="E214" s="78">
        <f>VLOOKUP(B214,'115+260'!B215:AB274,3,FALSE)</f>
        <v>1679</v>
      </c>
      <c r="F214" s="75">
        <f t="shared" si="40"/>
        <v>2748</v>
      </c>
      <c r="G214" s="77">
        <f>VLOOKUP(B214,'115+260'!$B$15:$AB$647,20,FALSE)</f>
        <v>2053</v>
      </c>
      <c r="H214" s="77">
        <f>VLOOKUP(B214,'115+260'!$B$15:$AB$647,4,FALSE)</f>
        <v>195</v>
      </c>
      <c r="I214" s="74">
        <f t="shared" si="41"/>
        <v>2553</v>
      </c>
      <c r="J214" s="74">
        <f>VLOOKUP(B214,'115+260'!$B$15:$AB$647,13,FALSE)</f>
        <v>-447</v>
      </c>
      <c r="K214" s="72">
        <f>'115+260'!Q215</f>
        <v>0</v>
      </c>
      <c r="L214" s="71">
        <f t="shared" si="46"/>
        <v>247</v>
      </c>
      <c r="M214" s="76">
        <f>VLOOKUP(B214,'115+260'!$B$14:$AB$647,21,FALSE)</f>
        <v>2049</v>
      </c>
      <c r="N214" s="75">
        <f>VLOOKUP(B214,'115+260'!$B$15:$AB$647,5,FALSE)</f>
        <v>219</v>
      </c>
      <c r="O214" s="74">
        <f t="shared" si="42"/>
        <v>2529</v>
      </c>
      <c r="P214" s="74">
        <f>VLOOKUP(B214,'115+260'!$B$15:$AB$647,14,FALSE)</f>
        <v>-471</v>
      </c>
      <c r="Q214" s="72">
        <f>'115+260'!R215</f>
        <v>0</v>
      </c>
      <c r="R214" s="71">
        <f t="shared" si="47"/>
        <v>251</v>
      </c>
      <c r="S214" s="76">
        <f>VLOOKUP(B214,'115+260'!$B$14:$AB$647,22,FALSE)</f>
        <v>2091</v>
      </c>
      <c r="T214" s="75">
        <f>VLOOKUP(B214,'115+260'!$B$15:$AB$647,6,FALSE)</f>
        <v>207</v>
      </c>
      <c r="U214" s="74">
        <f t="shared" si="43"/>
        <v>2541</v>
      </c>
      <c r="V214" s="73">
        <f>VLOOKUP(B214,'115+260'!$B$15:$AB$647,15,FALSE)</f>
        <v>-459</v>
      </c>
      <c r="W214" s="72">
        <f>'115+260'!S215</f>
        <v>0</v>
      </c>
      <c r="X214" s="71">
        <f t="shared" si="48"/>
        <v>209</v>
      </c>
      <c r="Y214" s="70">
        <f t="shared" si="49"/>
        <v>0</v>
      </c>
      <c r="Z214" s="69">
        <f t="shared" si="50"/>
        <v>0</v>
      </c>
      <c r="AA214" s="68">
        <f t="shared" si="51"/>
        <v>2.4729999999999999</v>
      </c>
      <c r="AB214" s="68">
        <f t="shared" si="52"/>
        <v>2.0179999999999998</v>
      </c>
    </row>
    <row r="215" spans="2:28">
      <c r="B215" s="110">
        <f>'115+260'!B216</f>
        <v>45453</v>
      </c>
      <c r="C215" s="80">
        <f t="shared" si="44"/>
        <v>1</v>
      </c>
      <c r="D215" s="79">
        <f t="shared" si="45"/>
        <v>1069</v>
      </c>
      <c r="E215" s="78">
        <f>VLOOKUP(B215,'115+260'!B216:AB274,3,FALSE)</f>
        <v>1681</v>
      </c>
      <c r="F215" s="75">
        <f t="shared" si="40"/>
        <v>2750</v>
      </c>
      <c r="G215" s="77">
        <f>VLOOKUP(B215,'115+260'!$B$15:$AB$647,20,FALSE)</f>
        <v>2053</v>
      </c>
      <c r="H215" s="77">
        <f>VLOOKUP(B215,'115+260'!$B$15:$AB$647,4,FALSE)</f>
        <v>197</v>
      </c>
      <c r="I215" s="74">
        <f t="shared" si="41"/>
        <v>2553</v>
      </c>
      <c r="J215" s="74">
        <f>VLOOKUP(B215,'115+260'!$B$15:$AB$647,13,FALSE)</f>
        <v>-447</v>
      </c>
      <c r="K215" s="72">
        <f>'115+260'!Q216</f>
        <v>0</v>
      </c>
      <c r="L215" s="71">
        <f t="shared" si="46"/>
        <v>247</v>
      </c>
      <c r="M215" s="76">
        <f>VLOOKUP(B215,'115+260'!$B$14:$AB$647,21,FALSE)</f>
        <v>2049</v>
      </c>
      <c r="N215" s="75">
        <f>VLOOKUP(B215,'115+260'!$B$15:$AB$647,5,FALSE)</f>
        <v>221</v>
      </c>
      <c r="O215" s="74">
        <f t="shared" si="42"/>
        <v>2529</v>
      </c>
      <c r="P215" s="74">
        <f>VLOOKUP(B215,'115+260'!$B$15:$AB$647,14,FALSE)</f>
        <v>-471</v>
      </c>
      <c r="Q215" s="72">
        <f>'115+260'!R216</f>
        <v>0</v>
      </c>
      <c r="R215" s="71">
        <f t="shared" si="47"/>
        <v>251</v>
      </c>
      <c r="S215" s="76">
        <f>VLOOKUP(B215,'115+260'!$B$14:$AB$647,22,FALSE)</f>
        <v>2091</v>
      </c>
      <c r="T215" s="75">
        <f>VLOOKUP(B215,'115+260'!$B$15:$AB$647,6,FALSE)</f>
        <v>209</v>
      </c>
      <c r="U215" s="74">
        <f t="shared" si="43"/>
        <v>2541</v>
      </c>
      <c r="V215" s="73">
        <f>VLOOKUP(B215,'115+260'!$B$15:$AB$647,15,FALSE)</f>
        <v>-459</v>
      </c>
      <c r="W215" s="72">
        <f>'115+260'!S216</f>
        <v>0</v>
      </c>
      <c r="X215" s="71">
        <f t="shared" si="48"/>
        <v>209</v>
      </c>
      <c r="Y215" s="70">
        <f t="shared" si="49"/>
        <v>0</v>
      </c>
      <c r="Z215" s="69">
        <f t="shared" si="50"/>
        <v>0</v>
      </c>
      <c r="AA215" s="68">
        <f t="shared" si="51"/>
        <v>2.4729999999999999</v>
      </c>
      <c r="AB215" s="68">
        <f t="shared" si="52"/>
        <v>2.0179999999999998</v>
      </c>
    </row>
    <row r="216" spans="2:28">
      <c r="B216" s="110">
        <f>'115+260'!B217</f>
        <v>45454</v>
      </c>
      <c r="C216" s="80">
        <f t="shared" si="44"/>
        <v>1</v>
      </c>
      <c r="D216" s="79">
        <f t="shared" si="45"/>
        <v>1069</v>
      </c>
      <c r="E216" s="78">
        <f>VLOOKUP(B216,'115+260'!B217:AB274,3,FALSE)</f>
        <v>1683</v>
      </c>
      <c r="F216" s="75">
        <f t="shared" si="40"/>
        <v>2752</v>
      </c>
      <c r="G216" s="77">
        <f>VLOOKUP(B216,'115+260'!$B$15:$AB$647,20,FALSE)</f>
        <v>2053</v>
      </c>
      <c r="H216" s="77">
        <f>VLOOKUP(B216,'115+260'!$B$15:$AB$647,4,FALSE)</f>
        <v>199</v>
      </c>
      <c r="I216" s="74">
        <f t="shared" si="41"/>
        <v>2553</v>
      </c>
      <c r="J216" s="74">
        <f>VLOOKUP(B216,'115+260'!$B$15:$AB$647,13,FALSE)</f>
        <v>-447</v>
      </c>
      <c r="K216" s="72">
        <f>'115+260'!Q217</f>
        <v>0</v>
      </c>
      <c r="L216" s="71">
        <f t="shared" si="46"/>
        <v>247</v>
      </c>
      <c r="M216" s="76">
        <f>VLOOKUP(B216,'115+260'!$B$14:$AB$647,21,FALSE)</f>
        <v>2049</v>
      </c>
      <c r="N216" s="75">
        <f>VLOOKUP(B216,'115+260'!$B$15:$AB$647,5,FALSE)</f>
        <v>223</v>
      </c>
      <c r="O216" s="74">
        <f t="shared" si="42"/>
        <v>2529</v>
      </c>
      <c r="P216" s="74">
        <f>VLOOKUP(B216,'115+260'!$B$15:$AB$647,14,FALSE)</f>
        <v>-471</v>
      </c>
      <c r="Q216" s="72">
        <f>'115+260'!R217</f>
        <v>0</v>
      </c>
      <c r="R216" s="71">
        <f t="shared" si="47"/>
        <v>251</v>
      </c>
      <c r="S216" s="76">
        <f>VLOOKUP(B216,'115+260'!$B$14:$AB$647,22,FALSE)</f>
        <v>2091</v>
      </c>
      <c r="T216" s="75">
        <f>VLOOKUP(B216,'115+260'!$B$15:$AB$647,6,FALSE)</f>
        <v>211</v>
      </c>
      <c r="U216" s="74">
        <f t="shared" si="43"/>
        <v>2541</v>
      </c>
      <c r="V216" s="73">
        <f>VLOOKUP(B216,'115+260'!$B$15:$AB$647,15,FALSE)</f>
        <v>-459</v>
      </c>
      <c r="W216" s="72">
        <f>'115+260'!S217</f>
        <v>0</v>
      </c>
      <c r="X216" s="71">
        <f t="shared" si="48"/>
        <v>209</v>
      </c>
      <c r="Y216" s="70">
        <f t="shared" si="49"/>
        <v>0</v>
      </c>
      <c r="Z216" s="69">
        <f t="shared" si="50"/>
        <v>0</v>
      </c>
      <c r="AA216" s="68">
        <f t="shared" si="51"/>
        <v>2.4729999999999999</v>
      </c>
      <c r="AB216" s="68">
        <f t="shared" si="52"/>
        <v>2.0179999999999998</v>
      </c>
    </row>
    <row r="217" spans="2:28">
      <c r="B217" s="110">
        <f>'115+260'!B218</f>
        <v>45455</v>
      </c>
      <c r="C217" s="80">
        <f t="shared" si="44"/>
        <v>1</v>
      </c>
      <c r="D217" s="79">
        <f t="shared" si="45"/>
        <v>1069</v>
      </c>
      <c r="E217" s="78">
        <f>VLOOKUP(B217,'115+260'!B218:AB274,3,FALSE)</f>
        <v>1685</v>
      </c>
      <c r="F217" s="75">
        <f t="shared" si="40"/>
        <v>2754</v>
      </c>
      <c r="G217" s="77">
        <f>VLOOKUP(B217,'115+260'!$B$15:$AB$647,20,FALSE)</f>
        <v>2053</v>
      </c>
      <c r="H217" s="77">
        <f>VLOOKUP(B217,'115+260'!$B$15:$AB$647,4,FALSE)</f>
        <v>201</v>
      </c>
      <c r="I217" s="74">
        <f t="shared" si="41"/>
        <v>2553</v>
      </c>
      <c r="J217" s="74">
        <f>VLOOKUP(B217,'115+260'!$B$15:$AB$647,13,FALSE)</f>
        <v>-447</v>
      </c>
      <c r="K217" s="72">
        <f>'115+260'!Q218</f>
        <v>0</v>
      </c>
      <c r="L217" s="71">
        <f t="shared" si="46"/>
        <v>247</v>
      </c>
      <c r="M217" s="76">
        <f>VLOOKUP(B217,'115+260'!$B$14:$AB$647,21,FALSE)</f>
        <v>2049</v>
      </c>
      <c r="N217" s="75">
        <f>VLOOKUP(B217,'115+260'!$B$15:$AB$647,5,FALSE)</f>
        <v>225</v>
      </c>
      <c r="O217" s="74">
        <f t="shared" si="42"/>
        <v>2529</v>
      </c>
      <c r="P217" s="74">
        <f>VLOOKUP(B217,'115+260'!$B$15:$AB$647,14,FALSE)</f>
        <v>-471</v>
      </c>
      <c r="Q217" s="72">
        <f>'115+260'!R218</f>
        <v>0</v>
      </c>
      <c r="R217" s="71">
        <f t="shared" si="47"/>
        <v>251</v>
      </c>
      <c r="S217" s="76">
        <f>VLOOKUP(B217,'115+260'!$B$14:$AB$647,22,FALSE)</f>
        <v>2091</v>
      </c>
      <c r="T217" s="75">
        <f>VLOOKUP(B217,'115+260'!$B$15:$AB$647,6,FALSE)</f>
        <v>213</v>
      </c>
      <c r="U217" s="74">
        <f t="shared" si="43"/>
        <v>2541</v>
      </c>
      <c r="V217" s="73">
        <f>VLOOKUP(B217,'115+260'!$B$15:$AB$647,15,FALSE)</f>
        <v>-459</v>
      </c>
      <c r="W217" s="72">
        <f>'115+260'!S218</f>
        <v>0</v>
      </c>
      <c r="X217" s="71">
        <f t="shared" si="48"/>
        <v>209</v>
      </c>
      <c r="Y217" s="70">
        <f t="shared" si="49"/>
        <v>0</v>
      </c>
      <c r="Z217" s="69">
        <f t="shared" si="50"/>
        <v>0</v>
      </c>
      <c r="AA217" s="68">
        <f t="shared" si="51"/>
        <v>2.4729999999999999</v>
      </c>
      <c r="AB217" s="68">
        <f t="shared" si="52"/>
        <v>2.0179999999999998</v>
      </c>
    </row>
    <row r="218" spans="2:28">
      <c r="B218" s="110">
        <f>'115+260'!B219</f>
        <v>45456</v>
      </c>
      <c r="C218" s="80">
        <f t="shared" si="44"/>
        <v>1</v>
      </c>
      <c r="D218" s="79">
        <f t="shared" si="45"/>
        <v>1069</v>
      </c>
      <c r="E218" s="78">
        <f>VLOOKUP(B218,'115+260'!B219:AB274,3,FALSE)</f>
        <v>1687</v>
      </c>
      <c r="F218" s="75">
        <f t="shared" si="40"/>
        <v>2756</v>
      </c>
      <c r="G218" s="77">
        <f>VLOOKUP(B218,'115+260'!$B$15:$AB$647,20,FALSE)</f>
        <v>2053</v>
      </c>
      <c r="H218" s="77">
        <f>VLOOKUP(B218,'115+260'!$B$15:$AB$647,4,FALSE)</f>
        <v>203</v>
      </c>
      <c r="I218" s="74">
        <f t="shared" si="41"/>
        <v>2553</v>
      </c>
      <c r="J218" s="74">
        <f>VLOOKUP(B218,'115+260'!$B$15:$AB$647,13,FALSE)</f>
        <v>-447</v>
      </c>
      <c r="K218" s="72">
        <f>'115+260'!Q219</f>
        <v>0</v>
      </c>
      <c r="L218" s="71">
        <f t="shared" si="46"/>
        <v>247</v>
      </c>
      <c r="M218" s="76">
        <f>VLOOKUP(B218,'115+260'!$B$14:$AB$647,21,FALSE)</f>
        <v>2049</v>
      </c>
      <c r="N218" s="75">
        <f>VLOOKUP(B218,'115+260'!$B$15:$AB$647,5,FALSE)</f>
        <v>227</v>
      </c>
      <c r="O218" s="74">
        <f t="shared" si="42"/>
        <v>2529</v>
      </c>
      <c r="P218" s="74">
        <f>VLOOKUP(B218,'115+260'!$B$15:$AB$647,14,FALSE)</f>
        <v>-471</v>
      </c>
      <c r="Q218" s="72">
        <f>'115+260'!R219</f>
        <v>0</v>
      </c>
      <c r="R218" s="71">
        <f t="shared" si="47"/>
        <v>251</v>
      </c>
      <c r="S218" s="76">
        <f>VLOOKUP(B218,'115+260'!$B$14:$AB$647,22,FALSE)</f>
        <v>2091</v>
      </c>
      <c r="T218" s="75">
        <f>VLOOKUP(B218,'115+260'!$B$15:$AB$647,6,FALSE)</f>
        <v>215</v>
      </c>
      <c r="U218" s="74">
        <f t="shared" si="43"/>
        <v>2541</v>
      </c>
      <c r="V218" s="73">
        <f>VLOOKUP(B218,'115+260'!$B$15:$AB$647,15,FALSE)</f>
        <v>-459</v>
      </c>
      <c r="W218" s="72">
        <f>'115+260'!S219</f>
        <v>0</v>
      </c>
      <c r="X218" s="71">
        <f t="shared" si="48"/>
        <v>209</v>
      </c>
      <c r="Y218" s="70">
        <f t="shared" si="49"/>
        <v>0</v>
      </c>
      <c r="Z218" s="69">
        <f t="shared" si="50"/>
        <v>0</v>
      </c>
      <c r="AA218" s="68">
        <f t="shared" si="51"/>
        <v>2.4729999999999999</v>
      </c>
      <c r="AB218" s="68">
        <f t="shared" si="52"/>
        <v>2.0179999999999998</v>
      </c>
    </row>
    <row r="219" spans="2:28">
      <c r="B219" s="110">
        <f>'115+260'!B220</f>
        <v>45457</v>
      </c>
      <c r="C219" s="80">
        <f t="shared" si="44"/>
        <v>1</v>
      </c>
      <c r="D219" s="79">
        <f t="shared" si="45"/>
        <v>1069</v>
      </c>
      <c r="E219" s="78">
        <f>VLOOKUP(B219,'115+260'!B220:AB274,3,FALSE)</f>
        <v>1689</v>
      </c>
      <c r="F219" s="75">
        <f t="shared" si="40"/>
        <v>2758</v>
      </c>
      <c r="G219" s="77">
        <f>VLOOKUP(B219,'115+260'!$B$15:$AB$647,20,FALSE)</f>
        <v>2053</v>
      </c>
      <c r="H219" s="77">
        <f>VLOOKUP(B219,'115+260'!$B$15:$AB$647,4,FALSE)</f>
        <v>205</v>
      </c>
      <c r="I219" s="74">
        <f t="shared" si="41"/>
        <v>2553</v>
      </c>
      <c r="J219" s="74">
        <f>VLOOKUP(B219,'115+260'!$B$15:$AB$647,13,FALSE)</f>
        <v>-447</v>
      </c>
      <c r="K219" s="72">
        <f>'115+260'!Q220</f>
        <v>0</v>
      </c>
      <c r="L219" s="71">
        <f t="shared" si="46"/>
        <v>247</v>
      </c>
      <c r="M219" s="76">
        <f>VLOOKUP(B219,'115+260'!$B$14:$AB$647,21,FALSE)</f>
        <v>2049</v>
      </c>
      <c r="N219" s="75">
        <f>VLOOKUP(B219,'115+260'!$B$15:$AB$647,5,FALSE)</f>
        <v>229</v>
      </c>
      <c r="O219" s="74">
        <f t="shared" si="42"/>
        <v>2529</v>
      </c>
      <c r="P219" s="74">
        <f>VLOOKUP(B219,'115+260'!$B$15:$AB$647,14,FALSE)</f>
        <v>-471</v>
      </c>
      <c r="Q219" s="72">
        <f>'115+260'!R220</f>
        <v>0</v>
      </c>
      <c r="R219" s="71">
        <f t="shared" si="47"/>
        <v>251</v>
      </c>
      <c r="S219" s="76">
        <f>VLOOKUP(B219,'115+260'!$B$14:$AB$647,22,FALSE)</f>
        <v>2091</v>
      </c>
      <c r="T219" s="75">
        <f>VLOOKUP(B219,'115+260'!$B$15:$AB$647,6,FALSE)</f>
        <v>217</v>
      </c>
      <c r="U219" s="74">
        <f t="shared" si="43"/>
        <v>2541</v>
      </c>
      <c r="V219" s="73">
        <f>VLOOKUP(B219,'115+260'!$B$15:$AB$647,15,FALSE)</f>
        <v>-459</v>
      </c>
      <c r="W219" s="72">
        <f>'115+260'!S220</f>
        <v>0</v>
      </c>
      <c r="X219" s="71">
        <f t="shared" si="48"/>
        <v>209</v>
      </c>
      <c r="Y219" s="70">
        <f t="shared" si="49"/>
        <v>0</v>
      </c>
      <c r="Z219" s="69">
        <f t="shared" si="50"/>
        <v>0</v>
      </c>
      <c r="AA219" s="68">
        <f t="shared" si="51"/>
        <v>2.4729999999999999</v>
      </c>
      <c r="AB219" s="68">
        <f t="shared" si="52"/>
        <v>2.0179999999999998</v>
      </c>
    </row>
    <row r="220" spans="2:28">
      <c r="B220" s="110">
        <f>'115+260'!B221</f>
        <v>45458</v>
      </c>
      <c r="C220" s="80">
        <f t="shared" si="44"/>
        <v>1</v>
      </c>
      <c r="D220" s="79">
        <f t="shared" si="45"/>
        <v>1069</v>
      </c>
      <c r="E220" s="78">
        <f>VLOOKUP(B220,'115+260'!B221:AB274,3,FALSE)</f>
        <v>1691</v>
      </c>
      <c r="F220" s="75">
        <f t="shared" si="40"/>
        <v>2760</v>
      </c>
      <c r="G220" s="77">
        <f>VLOOKUP(B220,'115+260'!$B$15:$AB$647,20,FALSE)</f>
        <v>2053</v>
      </c>
      <c r="H220" s="77">
        <f>VLOOKUP(B220,'115+260'!$B$15:$AB$647,4,FALSE)</f>
        <v>207</v>
      </c>
      <c r="I220" s="74">
        <f t="shared" si="41"/>
        <v>2553</v>
      </c>
      <c r="J220" s="74">
        <f>VLOOKUP(B220,'115+260'!$B$15:$AB$647,13,FALSE)</f>
        <v>-447</v>
      </c>
      <c r="K220" s="72">
        <f>'115+260'!Q221</f>
        <v>0</v>
      </c>
      <c r="L220" s="71">
        <f t="shared" si="46"/>
        <v>247</v>
      </c>
      <c r="M220" s="76">
        <f>VLOOKUP(B220,'115+260'!$B$14:$AB$647,21,FALSE)</f>
        <v>2049</v>
      </c>
      <c r="N220" s="75">
        <f>VLOOKUP(B220,'115+260'!$B$15:$AB$647,5,FALSE)</f>
        <v>231</v>
      </c>
      <c r="O220" s="74">
        <f t="shared" si="42"/>
        <v>2529</v>
      </c>
      <c r="P220" s="74">
        <f>VLOOKUP(B220,'115+260'!$B$15:$AB$647,14,FALSE)</f>
        <v>-471</v>
      </c>
      <c r="Q220" s="72">
        <f>'115+260'!R221</f>
        <v>0</v>
      </c>
      <c r="R220" s="71">
        <f t="shared" si="47"/>
        <v>251</v>
      </c>
      <c r="S220" s="76">
        <f>VLOOKUP(B220,'115+260'!$B$14:$AB$647,22,FALSE)</f>
        <v>2091</v>
      </c>
      <c r="T220" s="75">
        <f>VLOOKUP(B220,'115+260'!$B$15:$AB$647,6,FALSE)</f>
        <v>219</v>
      </c>
      <c r="U220" s="74">
        <f t="shared" si="43"/>
        <v>2541</v>
      </c>
      <c r="V220" s="73">
        <f>VLOOKUP(B220,'115+260'!$B$15:$AB$647,15,FALSE)</f>
        <v>-459</v>
      </c>
      <c r="W220" s="72">
        <f>'115+260'!S221</f>
        <v>0</v>
      </c>
      <c r="X220" s="71">
        <f t="shared" si="48"/>
        <v>209</v>
      </c>
      <c r="Y220" s="70">
        <f t="shared" si="49"/>
        <v>0</v>
      </c>
      <c r="Z220" s="69">
        <f t="shared" si="50"/>
        <v>0</v>
      </c>
      <c r="AA220" s="68">
        <f t="shared" si="51"/>
        <v>2.4729999999999999</v>
      </c>
      <c r="AB220" s="68">
        <f t="shared" si="52"/>
        <v>2.0179999999999998</v>
      </c>
    </row>
    <row r="221" spans="2:28">
      <c r="B221" s="110">
        <f>'115+260'!B222</f>
        <v>45459</v>
      </c>
      <c r="C221" s="80">
        <f t="shared" si="44"/>
        <v>1</v>
      </c>
      <c r="D221" s="79">
        <f t="shared" si="45"/>
        <v>1069</v>
      </c>
      <c r="E221" s="78">
        <f>VLOOKUP(B221,'115+260'!B222:AB274,3,FALSE)</f>
        <v>1693</v>
      </c>
      <c r="F221" s="75">
        <f t="shared" si="40"/>
        <v>2762</v>
      </c>
      <c r="G221" s="77">
        <f>VLOOKUP(B221,'115+260'!$B$15:$AB$647,20,FALSE)</f>
        <v>2053</v>
      </c>
      <c r="H221" s="77">
        <f>VLOOKUP(B221,'115+260'!$B$15:$AB$647,4,FALSE)</f>
        <v>209</v>
      </c>
      <c r="I221" s="74">
        <f t="shared" si="41"/>
        <v>2553</v>
      </c>
      <c r="J221" s="74">
        <f>VLOOKUP(B221,'115+260'!$B$15:$AB$647,13,FALSE)</f>
        <v>-447</v>
      </c>
      <c r="K221" s="72">
        <f>'115+260'!Q222</f>
        <v>0</v>
      </c>
      <c r="L221" s="71">
        <f t="shared" si="46"/>
        <v>247</v>
      </c>
      <c r="M221" s="76">
        <f>VLOOKUP(B221,'115+260'!$B$14:$AB$647,21,FALSE)</f>
        <v>2049</v>
      </c>
      <c r="N221" s="75">
        <f>VLOOKUP(B221,'115+260'!$B$15:$AB$647,5,FALSE)</f>
        <v>233</v>
      </c>
      <c r="O221" s="74">
        <f t="shared" si="42"/>
        <v>2529</v>
      </c>
      <c r="P221" s="74">
        <f>VLOOKUP(B221,'115+260'!$B$15:$AB$647,14,FALSE)</f>
        <v>-471</v>
      </c>
      <c r="Q221" s="72">
        <f>'115+260'!R222</f>
        <v>0</v>
      </c>
      <c r="R221" s="71">
        <f t="shared" si="47"/>
        <v>251</v>
      </c>
      <c r="S221" s="76">
        <f>VLOOKUP(B221,'115+260'!$B$14:$AB$647,22,FALSE)</f>
        <v>2091</v>
      </c>
      <c r="T221" s="75">
        <f>VLOOKUP(B221,'115+260'!$B$15:$AB$647,6,FALSE)</f>
        <v>221</v>
      </c>
      <c r="U221" s="74">
        <f t="shared" si="43"/>
        <v>2541</v>
      </c>
      <c r="V221" s="73">
        <f>VLOOKUP(B221,'115+260'!$B$15:$AB$647,15,FALSE)</f>
        <v>-459</v>
      </c>
      <c r="W221" s="72">
        <f>'115+260'!S222</f>
        <v>0</v>
      </c>
      <c r="X221" s="71">
        <f t="shared" si="48"/>
        <v>209</v>
      </c>
      <c r="Y221" s="70">
        <f t="shared" si="49"/>
        <v>0</v>
      </c>
      <c r="Z221" s="69">
        <f t="shared" si="50"/>
        <v>0</v>
      </c>
      <c r="AA221" s="68">
        <f t="shared" si="51"/>
        <v>2.4729999999999999</v>
      </c>
      <c r="AB221" s="68">
        <f t="shared" si="52"/>
        <v>2.0179999999999998</v>
      </c>
    </row>
    <row r="222" spans="2:28">
      <c r="B222" s="110">
        <f>'115+260'!B223</f>
        <v>45460</v>
      </c>
      <c r="C222" s="80">
        <f t="shared" si="44"/>
        <v>1</v>
      </c>
      <c r="D222" s="79">
        <f t="shared" si="45"/>
        <v>1069</v>
      </c>
      <c r="E222" s="78">
        <f>VLOOKUP(B222,'115+260'!B223:AB274,3,FALSE)</f>
        <v>1695</v>
      </c>
      <c r="F222" s="75">
        <f t="shared" si="40"/>
        <v>2764</v>
      </c>
      <c r="G222" s="77">
        <f>VLOOKUP(B222,'115+260'!$B$15:$AB$647,20,FALSE)</f>
        <v>2053</v>
      </c>
      <c r="H222" s="77">
        <f>VLOOKUP(B222,'115+260'!$B$15:$AB$647,4,FALSE)</f>
        <v>211</v>
      </c>
      <c r="I222" s="74">
        <f t="shared" si="41"/>
        <v>2553</v>
      </c>
      <c r="J222" s="74">
        <f>VLOOKUP(B222,'115+260'!$B$15:$AB$647,13,FALSE)</f>
        <v>-447</v>
      </c>
      <c r="K222" s="72">
        <f>'115+260'!Q223</f>
        <v>0</v>
      </c>
      <c r="L222" s="71">
        <f t="shared" si="46"/>
        <v>247</v>
      </c>
      <c r="M222" s="76">
        <f>VLOOKUP(B222,'115+260'!$B$14:$AB$647,21,FALSE)</f>
        <v>2049</v>
      </c>
      <c r="N222" s="75">
        <f>VLOOKUP(B222,'115+260'!$B$15:$AB$647,5,FALSE)</f>
        <v>235</v>
      </c>
      <c r="O222" s="74">
        <f t="shared" si="42"/>
        <v>2529</v>
      </c>
      <c r="P222" s="74">
        <f>VLOOKUP(B222,'115+260'!$B$15:$AB$647,14,FALSE)</f>
        <v>-471</v>
      </c>
      <c r="Q222" s="72">
        <f>'115+260'!R223</f>
        <v>0</v>
      </c>
      <c r="R222" s="71">
        <f t="shared" si="47"/>
        <v>251</v>
      </c>
      <c r="S222" s="76">
        <f>VLOOKUP(B222,'115+260'!$B$14:$AB$647,22,FALSE)</f>
        <v>2091</v>
      </c>
      <c r="T222" s="75">
        <f>VLOOKUP(B222,'115+260'!$B$15:$AB$647,6,FALSE)</f>
        <v>223</v>
      </c>
      <c r="U222" s="74">
        <f t="shared" si="43"/>
        <v>2541</v>
      </c>
      <c r="V222" s="73">
        <f>VLOOKUP(B222,'115+260'!$B$15:$AB$647,15,FALSE)</f>
        <v>-459</v>
      </c>
      <c r="W222" s="72">
        <f>'115+260'!S223</f>
        <v>0</v>
      </c>
      <c r="X222" s="71">
        <f t="shared" si="48"/>
        <v>209</v>
      </c>
      <c r="Y222" s="70">
        <f t="shared" si="49"/>
        <v>0</v>
      </c>
      <c r="Z222" s="69">
        <f t="shared" si="50"/>
        <v>0</v>
      </c>
      <c r="AA222" s="68">
        <f t="shared" si="51"/>
        <v>2.4729999999999999</v>
      </c>
      <c r="AB222" s="68">
        <f t="shared" si="52"/>
        <v>2.0179999999999998</v>
      </c>
    </row>
    <row r="223" spans="2:28">
      <c r="B223" s="110">
        <f>'115+260'!B224</f>
        <v>45461</v>
      </c>
      <c r="C223" s="80">
        <f t="shared" si="44"/>
        <v>1</v>
      </c>
      <c r="D223" s="79">
        <f t="shared" si="45"/>
        <v>1069</v>
      </c>
      <c r="E223" s="78">
        <f>VLOOKUP(B223,'115+260'!B224:AB274,3,FALSE)</f>
        <v>1697</v>
      </c>
      <c r="F223" s="75">
        <f t="shared" si="40"/>
        <v>2766</v>
      </c>
      <c r="G223" s="77">
        <f>VLOOKUP(B223,'115+260'!$B$15:$AB$647,20,FALSE)</f>
        <v>2053</v>
      </c>
      <c r="H223" s="77">
        <f>VLOOKUP(B223,'115+260'!$B$15:$AB$647,4,FALSE)</f>
        <v>213</v>
      </c>
      <c r="I223" s="74">
        <f t="shared" si="41"/>
        <v>2553</v>
      </c>
      <c r="J223" s="74">
        <f>VLOOKUP(B223,'115+260'!$B$15:$AB$647,13,FALSE)</f>
        <v>-447</v>
      </c>
      <c r="K223" s="72">
        <f>'115+260'!Q224</f>
        <v>0</v>
      </c>
      <c r="L223" s="71">
        <f t="shared" si="46"/>
        <v>247</v>
      </c>
      <c r="M223" s="76">
        <f>VLOOKUP(B223,'115+260'!$B$14:$AB$647,21,FALSE)</f>
        <v>2049</v>
      </c>
      <c r="N223" s="75">
        <f>VLOOKUP(B223,'115+260'!$B$15:$AB$647,5,FALSE)</f>
        <v>237</v>
      </c>
      <c r="O223" s="74">
        <f t="shared" si="42"/>
        <v>2529</v>
      </c>
      <c r="P223" s="74">
        <f>VLOOKUP(B223,'115+260'!$B$15:$AB$647,14,FALSE)</f>
        <v>-471</v>
      </c>
      <c r="Q223" s="72">
        <f>'115+260'!R224</f>
        <v>0</v>
      </c>
      <c r="R223" s="71">
        <f t="shared" si="47"/>
        <v>251</v>
      </c>
      <c r="S223" s="76">
        <f>VLOOKUP(B223,'115+260'!$B$14:$AB$647,22,FALSE)</f>
        <v>2091</v>
      </c>
      <c r="T223" s="75">
        <f>VLOOKUP(B223,'115+260'!$B$15:$AB$647,6,FALSE)</f>
        <v>225</v>
      </c>
      <c r="U223" s="74">
        <f t="shared" si="43"/>
        <v>2541</v>
      </c>
      <c r="V223" s="73">
        <f>VLOOKUP(B223,'115+260'!$B$15:$AB$647,15,FALSE)</f>
        <v>-459</v>
      </c>
      <c r="W223" s="72">
        <f>'115+260'!S224</f>
        <v>0</v>
      </c>
      <c r="X223" s="71">
        <f t="shared" si="48"/>
        <v>209</v>
      </c>
      <c r="Y223" s="70">
        <f t="shared" si="49"/>
        <v>0</v>
      </c>
      <c r="Z223" s="69">
        <f t="shared" si="50"/>
        <v>0</v>
      </c>
      <c r="AA223" s="68">
        <f t="shared" si="51"/>
        <v>2.4729999999999999</v>
      </c>
      <c r="AB223" s="68">
        <f t="shared" si="52"/>
        <v>2.0179999999999998</v>
      </c>
    </row>
    <row r="224" spans="2:28">
      <c r="B224" s="110">
        <f>'115+260'!B225</f>
        <v>45462</v>
      </c>
      <c r="C224" s="80">
        <f t="shared" si="44"/>
        <v>1</v>
      </c>
      <c r="D224" s="79">
        <f t="shared" si="45"/>
        <v>1069</v>
      </c>
      <c r="E224" s="78">
        <f>VLOOKUP(B224,'115+260'!B225:AB274,3,FALSE)</f>
        <v>1699</v>
      </c>
      <c r="F224" s="75">
        <f t="shared" si="40"/>
        <v>2768</v>
      </c>
      <c r="G224" s="77">
        <f>VLOOKUP(B224,'115+260'!$B$15:$AB$647,20,FALSE)</f>
        <v>2053</v>
      </c>
      <c r="H224" s="77">
        <f>VLOOKUP(B224,'115+260'!$B$15:$AB$647,4,FALSE)</f>
        <v>215</v>
      </c>
      <c r="I224" s="74">
        <f t="shared" si="41"/>
        <v>2553</v>
      </c>
      <c r="J224" s="74">
        <f>VLOOKUP(B224,'115+260'!$B$15:$AB$647,13,FALSE)</f>
        <v>-447</v>
      </c>
      <c r="K224" s="72">
        <f>'115+260'!Q225</f>
        <v>0</v>
      </c>
      <c r="L224" s="71">
        <f t="shared" si="46"/>
        <v>247</v>
      </c>
      <c r="M224" s="76">
        <f>VLOOKUP(B224,'115+260'!$B$14:$AB$647,21,FALSE)</f>
        <v>2049</v>
      </c>
      <c r="N224" s="75">
        <f>VLOOKUP(B224,'115+260'!$B$15:$AB$647,5,FALSE)</f>
        <v>239</v>
      </c>
      <c r="O224" s="74">
        <f t="shared" si="42"/>
        <v>2529</v>
      </c>
      <c r="P224" s="74">
        <f>VLOOKUP(B224,'115+260'!$B$15:$AB$647,14,FALSE)</f>
        <v>-471</v>
      </c>
      <c r="Q224" s="72">
        <f>'115+260'!R225</f>
        <v>0</v>
      </c>
      <c r="R224" s="71">
        <f t="shared" si="47"/>
        <v>251</v>
      </c>
      <c r="S224" s="76">
        <f>VLOOKUP(B224,'115+260'!$B$14:$AB$647,22,FALSE)</f>
        <v>2091</v>
      </c>
      <c r="T224" s="75">
        <f>VLOOKUP(B224,'115+260'!$B$15:$AB$647,6,FALSE)</f>
        <v>227</v>
      </c>
      <c r="U224" s="74">
        <f t="shared" si="43"/>
        <v>2541</v>
      </c>
      <c r="V224" s="73">
        <f>VLOOKUP(B224,'115+260'!$B$15:$AB$647,15,FALSE)</f>
        <v>-459</v>
      </c>
      <c r="W224" s="72">
        <f>'115+260'!S225</f>
        <v>0</v>
      </c>
      <c r="X224" s="71">
        <f t="shared" si="48"/>
        <v>209</v>
      </c>
      <c r="Y224" s="70">
        <f t="shared" si="49"/>
        <v>0</v>
      </c>
      <c r="Z224" s="69">
        <f t="shared" si="50"/>
        <v>0</v>
      </c>
      <c r="AA224" s="68">
        <f t="shared" si="51"/>
        <v>2.4729999999999999</v>
      </c>
      <c r="AB224" s="68">
        <f t="shared" si="52"/>
        <v>2.0179999999999998</v>
      </c>
    </row>
    <row r="225" spans="2:28">
      <c r="B225" s="110">
        <f>'115+260'!B226</f>
        <v>45463</v>
      </c>
      <c r="C225" s="80">
        <f t="shared" si="44"/>
        <v>1</v>
      </c>
      <c r="D225" s="79">
        <f t="shared" si="45"/>
        <v>1069</v>
      </c>
      <c r="E225" s="78">
        <f>VLOOKUP(B225,'115+260'!B226:AB274,3,FALSE)</f>
        <v>1701</v>
      </c>
      <c r="F225" s="75">
        <f t="shared" si="40"/>
        <v>2770</v>
      </c>
      <c r="G225" s="77">
        <f>VLOOKUP(B225,'115+260'!$B$15:$AB$647,20,FALSE)</f>
        <v>2053</v>
      </c>
      <c r="H225" s="77">
        <f>VLOOKUP(B225,'115+260'!$B$15:$AB$647,4,FALSE)</f>
        <v>217</v>
      </c>
      <c r="I225" s="74">
        <f t="shared" si="41"/>
        <v>2553</v>
      </c>
      <c r="J225" s="74">
        <f>VLOOKUP(B225,'115+260'!$B$15:$AB$647,13,FALSE)</f>
        <v>-447</v>
      </c>
      <c r="K225" s="72">
        <f>'115+260'!Q226</f>
        <v>0</v>
      </c>
      <c r="L225" s="71">
        <f t="shared" si="46"/>
        <v>247</v>
      </c>
      <c r="M225" s="76">
        <f>VLOOKUP(B225,'115+260'!$B$14:$AB$647,21,FALSE)</f>
        <v>2049</v>
      </c>
      <c r="N225" s="75">
        <f>VLOOKUP(B225,'115+260'!$B$15:$AB$647,5,FALSE)</f>
        <v>241</v>
      </c>
      <c r="O225" s="74">
        <f t="shared" si="42"/>
        <v>2529</v>
      </c>
      <c r="P225" s="74">
        <f>VLOOKUP(B225,'115+260'!$B$15:$AB$647,14,FALSE)</f>
        <v>-471</v>
      </c>
      <c r="Q225" s="72">
        <f>'115+260'!R226</f>
        <v>0</v>
      </c>
      <c r="R225" s="71">
        <f t="shared" si="47"/>
        <v>251</v>
      </c>
      <c r="S225" s="76">
        <f>VLOOKUP(B225,'115+260'!$B$14:$AB$647,22,FALSE)</f>
        <v>2091</v>
      </c>
      <c r="T225" s="75">
        <f>VLOOKUP(B225,'115+260'!$B$15:$AB$647,6,FALSE)</f>
        <v>229</v>
      </c>
      <c r="U225" s="74">
        <f t="shared" si="43"/>
        <v>2541</v>
      </c>
      <c r="V225" s="73">
        <f>VLOOKUP(B225,'115+260'!$B$15:$AB$647,15,FALSE)</f>
        <v>-459</v>
      </c>
      <c r="W225" s="72">
        <f>'115+260'!S226</f>
        <v>0</v>
      </c>
      <c r="X225" s="71">
        <f t="shared" si="48"/>
        <v>209</v>
      </c>
      <c r="Y225" s="70">
        <f t="shared" si="49"/>
        <v>0</v>
      </c>
      <c r="Z225" s="69">
        <f t="shared" si="50"/>
        <v>0</v>
      </c>
      <c r="AA225" s="68">
        <f t="shared" si="51"/>
        <v>2.4729999999999999</v>
      </c>
      <c r="AB225" s="68">
        <f t="shared" si="52"/>
        <v>2.0179999999999998</v>
      </c>
    </row>
    <row r="226" spans="2:28">
      <c r="B226" s="110">
        <f>'115+260'!B227</f>
        <v>45464</v>
      </c>
      <c r="C226" s="80">
        <f t="shared" si="44"/>
        <v>1</v>
      </c>
      <c r="D226" s="79">
        <f t="shared" si="45"/>
        <v>1069</v>
      </c>
      <c r="E226" s="78">
        <f>VLOOKUP(B226,'115+260'!B227:AB274,3,FALSE)</f>
        <v>1703</v>
      </c>
      <c r="F226" s="75">
        <f t="shared" si="40"/>
        <v>2772</v>
      </c>
      <c r="G226" s="77">
        <f>VLOOKUP(B226,'115+260'!$B$15:$AB$647,20,FALSE)</f>
        <v>2053</v>
      </c>
      <c r="H226" s="77">
        <f>VLOOKUP(B226,'115+260'!$B$15:$AB$647,4,FALSE)</f>
        <v>219</v>
      </c>
      <c r="I226" s="74">
        <f t="shared" si="41"/>
        <v>2553</v>
      </c>
      <c r="J226" s="74">
        <f>VLOOKUP(B226,'115+260'!$B$15:$AB$647,13,FALSE)</f>
        <v>-447</v>
      </c>
      <c r="K226" s="72">
        <f>'115+260'!Q227</f>
        <v>0</v>
      </c>
      <c r="L226" s="71">
        <f t="shared" si="46"/>
        <v>247</v>
      </c>
      <c r="M226" s="76">
        <f>VLOOKUP(B226,'115+260'!$B$14:$AB$647,21,FALSE)</f>
        <v>2049</v>
      </c>
      <c r="N226" s="75">
        <f>VLOOKUP(B226,'115+260'!$B$15:$AB$647,5,FALSE)</f>
        <v>243</v>
      </c>
      <c r="O226" s="74">
        <f t="shared" si="42"/>
        <v>2529</v>
      </c>
      <c r="P226" s="74">
        <f>VLOOKUP(B226,'115+260'!$B$15:$AB$647,14,FALSE)</f>
        <v>-471</v>
      </c>
      <c r="Q226" s="72">
        <f>'115+260'!R227</f>
        <v>0</v>
      </c>
      <c r="R226" s="71">
        <f t="shared" si="47"/>
        <v>251</v>
      </c>
      <c r="S226" s="76">
        <f>VLOOKUP(B226,'115+260'!$B$14:$AB$647,22,FALSE)</f>
        <v>2091</v>
      </c>
      <c r="T226" s="75">
        <f>VLOOKUP(B226,'115+260'!$B$15:$AB$647,6,FALSE)</f>
        <v>231</v>
      </c>
      <c r="U226" s="74">
        <f t="shared" si="43"/>
        <v>2541</v>
      </c>
      <c r="V226" s="73">
        <f>VLOOKUP(B226,'115+260'!$B$15:$AB$647,15,FALSE)</f>
        <v>-459</v>
      </c>
      <c r="W226" s="72">
        <f>'115+260'!S227</f>
        <v>0</v>
      </c>
      <c r="X226" s="71">
        <f t="shared" si="48"/>
        <v>209</v>
      </c>
      <c r="Y226" s="70">
        <f t="shared" si="49"/>
        <v>0</v>
      </c>
      <c r="Z226" s="69">
        <f t="shared" si="50"/>
        <v>0</v>
      </c>
      <c r="AA226" s="68">
        <f t="shared" si="51"/>
        <v>2.4729999999999999</v>
      </c>
      <c r="AB226" s="68">
        <f t="shared" si="52"/>
        <v>2.0179999999999998</v>
      </c>
    </row>
    <row r="227" spans="2:28">
      <c r="B227" s="110">
        <f>'115+260'!B228</f>
        <v>45465</v>
      </c>
      <c r="C227" s="80">
        <f t="shared" si="44"/>
        <v>1</v>
      </c>
      <c r="D227" s="79">
        <f t="shared" si="45"/>
        <v>1069</v>
      </c>
      <c r="E227" s="78">
        <f>VLOOKUP(B227,'115+260'!B228:AB274,3,FALSE)</f>
        <v>1705</v>
      </c>
      <c r="F227" s="75">
        <f t="shared" si="40"/>
        <v>2774</v>
      </c>
      <c r="G227" s="77">
        <f>VLOOKUP(B227,'115+260'!$B$15:$AB$647,20,FALSE)</f>
        <v>2053</v>
      </c>
      <c r="H227" s="77">
        <f>VLOOKUP(B227,'115+260'!$B$15:$AB$647,4,FALSE)</f>
        <v>221</v>
      </c>
      <c r="I227" s="74">
        <f t="shared" si="41"/>
        <v>2553</v>
      </c>
      <c r="J227" s="74">
        <f>VLOOKUP(B227,'115+260'!$B$15:$AB$647,13,FALSE)</f>
        <v>-447</v>
      </c>
      <c r="K227" s="72">
        <f>'115+260'!Q228</f>
        <v>0</v>
      </c>
      <c r="L227" s="71">
        <f t="shared" si="46"/>
        <v>247</v>
      </c>
      <c r="M227" s="76">
        <f>VLOOKUP(B227,'115+260'!$B$14:$AB$647,21,FALSE)</f>
        <v>2049</v>
      </c>
      <c r="N227" s="75">
        <f>VLOOKUP(B227,'115+260'!$B$15:$AB$647,5,FALSE)</f>
        <v>245</v>
      </c>
      <c r="O227" s="74">
        <f t="shared" si="42"/>
        <v>2529</v>
      </c>
      <c r="P227" s="74">
        <f>VLOOKUP(B227,'115+260'!$B$15:$AB$647,14,FALSE)</f>
        <v>-471</v>
      </c>
      <c r="Q227" s="72">
        <f>'115+260'!R228</f>
        <v>0</v>
      </c>
      <c r="R227" s="71">
        <f t="shared" si="47"/>
        <v>251</v>
      </c>
      <c r="S227" s="76">
        <f>VLOOKUP(B227,'115+260'!$B$14:$AB$647,22,FALSE)</f>
        <v>2091</v>
      </c>
      <c r="T227" s="75">
        <f>VLOOKUP(B227,'115+260'!$B$15:$AB$647,6,FALSE)</f>
        <v>233</v>
      </c>
      <c r="U227" s="74">
        <f t="shared" si="43"/>
        <v>2541</v>
      </c>
      <c r="V227" s="73">
        <f>VLOOKUP(B227,'115+260'!$B$15:$AB$647,15,FALSE)</f>
        <v>-459</v>
      </c>
      <c r="W227" s="72">
        <f>'115+260'!S228</f>
        <v>0</v>
      </c>
      <c r="X227" s="71">
        <f t="shared" si="48"/>
        <v>209</v>
      </c>
      <c r="Y227" s="70">
        <f t="shared" si="49"/>
        <v>0</v>
      </c>
      <c r="Z227" s="69">
        <f t="shared" si="50"/>
        <v>0</v>
      </c>
      <c r="AA227" s="68">
        <f t="shared" si="51"/>
        <v>2.4729999999999999</v>
      </c>
      <c r="AB227" s="68">
        <f t="shared" si="52"/>
        <v>2.0179999999999998</v>
      </c>
    </row>
    <row r="228" spans="2:28">
      <c r="B228" s="110">
        <f>'115+260'!B229</f>
        <v>45466</v>
      </c>
      <c r="C228" s="80">
        <f t="shared" si="44"/>
        <v>1</v>
      </c>
      <c r="D228" s="79">
        <f t="shared" si="45"/>
        <v>1069</v>
      </c>
      <c r="E228" s="78">
        <f>VLOOKUP(B228,'115+260'!B229:AB274,3,FALSE)</f>
        <v>1707</v>
      </c>
      <c r="F228" s="75">
        <f t="shared" si="40"/>
        <v>2776</v>
      </c>
      <c r="G228" s="77">
        <f>VLOOKUP(B228,'115+260'!$B$15:$AB$647,20,FALSE)</f>
        <v>2053</v>
      </c>
      <c r="H228" s="77">
        <f>VLOOKUP(B228,'115+260'!$B$15:$AB$647,4,FALSE)</f>
        <v>223</v>
      </c>
      <c r="I228" s="74">
        <f t="shared" si="41"/>
        <v>2553</v>
      </c>
      <c r="J228" s="74">
        <f>VLOOKUP(B228,'115+260'!$B$15:$AB$647,13,FALSE)</f>
        <v>-447</v>
      </c>
      <c r="K228" s="72">
        <f>'115+260'!Q229</f>
        <v>0</v>
      </c>
      <c r="L228" s="71">
        <f t="shared" si="46"/>
        <v>247</v>
      </c>
      <c r="M228" s="76">
        <f>VLOOKUP(B228,'115+260'!$B$14:$AB$647,21,FALSE)</f>
        <v>2049</v>
      </c>
      <c r="N228" s="75">
        <f>VLOOKUP(B228,'115+260'!$B$15:$AB$647,5,FALSE)</f>
        <v>247</v>
      </c>
      <c r="O228" s="74">
        <f t="shared" si="42"/>
        <v>2529</v>
      </c>
      <c r="P228" s="74">
        <f>VLOOKUP(B228,'115+260'!$B$15:$AB$647,14,FALSE)</f>
        <v>-471</v>
      </c>
      <c r="Q228" s="72">
        <f>'115+260'!R229</f>
        <v>0</v>
      </c>
      <c r="R228" s="71">
        <f t="shared" si="47"/>
        <v>251</v>
      </c>
      <c r="S228" s="76">
        <f>VLOOKUP(B228,'115+260'!$B$14:$AB$647,22,FALSE)</f>
        <v>2091</v>
      </c>
      <c r="T228" s="75">
        <f>VLOOKUP(B228,'115+260'!$B$15:$AB$647,6,FALSE)</f>
        <v>235</v>
      </c>
      <c r="U228" s="74">
        <f t="shared" si="43"/>
        <v>2541</v>
      </c>
      <c r="V228" s="73">
        <f>VLOOKUP(B228,'115+260'!$B$15:$AB$647,15,FALSE)</f>
        <v>-459</v>
      </c>
      <c r="W228" s="72">
        <f>'115+260'!S229</f>
        <v>0</v>
      </c>
      <c r="X228" s="71">
        <f t="shared" si="48"/>
        <v>209</v>
      </c>
      <c r="Y228" s="70">
        <f t="shared" si="49"/>
        <v>0</v>
      </c>
      <c r="Z228" s="69">
        <f t="shared" si="50"/>
        <v>0</v>
      </c>
      <c r="AA228" s="68">
        <f t="shared" si="51"/>
        <v>2.4729999999999999</v>
      </c>
      <c r="AB228" s="68">
        <f t="shared" si="52"/>
        <v>2.0179999999999998</v>
      </c>
    </row>
    <row r="229" spans="2:28">
      <c r="B229" s="110">
        <f>'115+260'!B230</f>
        <v>45467</v>
      </c>
      <c r="C229" s="80">
        <f t="shared" si="44"/>
        <v>1</v>
      </c>
      <c r="D229" s="79">
        <f t="shared" si="45"/>
        <v>1069</v>
      </c>
      <c r="E229" s="78">
        <f>VLOOKUP(B229,'115+260'!B230:AB274,3,FALSE)</f>
        <v>1709</v>
      </c>
      <c r="F229" s="75">
        <f t="shared" si="40"/>
        <v>2778</v>
      </c>
      <c r="G229" s="77">
        <f>VLOOKUP(B229,'115+260'!$B$15:$AB$647,20,FALSE)</f>
        <v>2053</v>
      </c>
      <c r="H229" s="77">
        <f>VLOOKUP(B229,'115+260'!$B$15:$AB$647,4,FALSE)</f>
        <v>225</v>
      </c>
      <c r="I229" s="74">
        <f t="shared" si="41"/>
        <v>2553</v>
      </c>
      <c r="J229" s="74">
        <f>VLOOKUP(B229,'115+260'!$B$15:$AB$647,13,FALSE)</f>
        <v>-447</v>
      </c>
      <c r="K229" s="72">
        <f>'115+260'!Q230</f>
        <v>0</v>
      </c>
      <c r="L229" s="71">
        <f t="shared" si="46"/>
        <v>247</v>
      </c>
      <c r="M229" s="76">
        <f>VLOOKUP(B229,'115+260'!$B$14:$AB$647,21,FALSE)</f>
        <v>2049</v>
      </c>
      <c r="N229" s="75">
        <f>VLOOKUP(B229,'115+260'!$B$15:$AB$647,5,FALSE)</f>
        <v>249</v>
      </c>
      <c r="O229" s="74">
        <f t="shared" si="42"/>
        <v>2529</v>
      </c>
      <c r="P229" s="74">
        <f>VLOOKUP(B229,'115+260'!$B$15:$AB$647,14,FALSE)</f>
        <v>-471</v>
      </c>
      <c r="Q229" s="72">
        <f>'115+260'!R230</f>
        <v>0</v>
      </c>
      <c r="R229" s="71">
        <f t="shared" si="47"/>
        <v>251</v>
      </c>
      <c r="S229" s="76">
        <f>VLOOKUP(B229,'115+260'!$B$14:$AB$647,22,FALSE)</f>
        <v>2091</v>
      </c>
      <c r="T229" s="75">
        <f>VLOOKUP(B229,'115+260'!$B$15:$AB$647,6,FALSE)</f>
        <v>237</v>
      </c>
      <c r="U229" s="74">
        <f t="shared" si="43"/>
        <v>2541</v>
      </c>
      <c r="V229" s="73">
        <f>VLOOKUP(B229,'115+260'!$B$15:$AB$647,15,FALSE)</f>
        <v>-459</v>
      </c>
      <c r="W229" s="72">
        <f>'115+260'!S230</f>
        <v>0</v>
      </c>
      <c r="X229" s="71">
        <f t="shared" si="48"/>
        <v>209</v>
      </c>
      <c r="Y229" s="70">
        <f t="shared" si="49"/>
        <v>0</v>
      </c>
      <c r="Z229" s="69">
        <f t="shared" si="50"/>
        <v>0</v>
      </c>
      <c r="AA229" s="68">
        <f t="shared" si="51"/>
        <v>2.4729999999999999</v>
      </c>
      <c r="AB229" s="68">
        <f t="shared" si="52"/>
        <v>2.0179999999999998</v>
      </c>
    </row>
    <row r="230" spans="2:28">
      <c r="B230" s="110">
        <f>'115+260'!B231</f>
        <v>45468</v>
      </c>
      <c r="C230" s="80">
        <f t="shared" si="44"/>
        <v>1</v>
      </c>
      <c r="D230" s="79">
        <f t="shared" si="45"/>
        <v>1069</v>
      </c>
      <c r="E230" s="78">
        <f>VLOOKUP(B230,'115+260'!B231:AB274,3,FALSE)</f>
        <v>1711</v>
      </c>
      <c r="F230" s="75">
        <f t="shared" si="40"/>
        <v>2780</v>
      </c>
      <c r="G230" s="77">
        <f>VLOOKUP(B230,'115+260'!$B$15:$AB$647,20,FALSE)</f>
        <v>2053</v>
      </c>
      <c r="H230" s="77">
        <f>VLOOKUP(B230,'115+260'!$B$15:$AB$647,4,FALSE)</f>
        <v>227</v>
      </c>
      <c r="I230" s="74">
        <f t="shared" si="41"/>
        <v>2553</v>
      </c>
      <c r="J230" s="74">
        <f>VLOOKUP(B230,'115+260'!$B$15:$AB$647,13,FALSE)</f>
        <v>-447</v>
      </c>
      <c r="K230" s="72">
        <f>'115+260'!Q231</f>
        <v>0</v>
      </c>
      <c r="L230" s="71">
        <f t="shared" si="46"/>
        <v>247</v>
      </c>
      <c r="M230" s="76">
        <f>VLOOKUP(B230,'115+260'!$B$14:$AB$647,21,FALSE)</f>
        <v>2049</v>
      </c>
      <c r="N230" s="75">
        <f>VLOOKUP(B230,'115+260'!$B$15:$AB$647,5,FALSE)</f>
        <v>251</v>
      </c>
      <c r="O230" s="74">
        <f t="shared" si="42"/>
        <v>2529</v>
      </c>
      <c r="P230" s="74">
        <f>VLOOKUP(B230,'115+260'!$B$15:$AB$647,14,FALSE)</f>
        <v>-471</v>
      </c>
      <c r="Q230" s="72">
        <f>'115+260'!R231</f>
        <v>0</v>
      </c>
      <c r="R230" s="71">
        <f t="shared" si="47"/>
        <v>251</v>
      </c>
      <c r="S230" s="76">
        <f>VLOOKUP(B230,'115+260'!$B$14:$AB$647,22,FALSE)</f>
        <v>2091</v>
      </c>
      <c r="T230" s="75">
        <f>VLOOKUP(B230,'115+260'!$B$15:$AB$647,6,FALSE)</f>
        <v>239</v>
      </c>
      <c r="U230" s="74">
        <f t="shared" si="43"/>
        <v>2541</v>
      </c>
      <c r="V230" s="73">
        <f>VLOOKUP(B230,'115+260'!$B$15:$AB$647,15,FALSE)</f>
        <v>-459</v>
      </c>
      <c r="W230" s="72">
        <f>'115+260'!S231</f>
        <v>0</v>
      </c>
      <c r="X230" s="71">
        <f t="shared" si="48"/>
        <v>209</v>
      </c>
      <c r="Y230" s="70">
        <f t="shared" si="49"/>
        <v>0</v>
      </c>
      <c r="Z230" s="69">
        <f t="shared" si="50"/>
        <v>0</v>
      </c>
      <c r="AA230" s="68">
        <f t="shared" si="51"/>
        <v>2.4729999999999999</v>
      </c>
      <c r="AB230" s="68">
        <f t="shared" si="52"/>
        <v>2.0179999999999998</v>
      </c>
    </row>
    <row r="231" spans="2:28">
      <c r="B231" s="110">
        <f>'115+260'!B232</f>
        <v>45469</v>
      </c>
      <c r="C231" s="80">
        <f t="shared" si="44"/>
        <v>1</v>
      </c>
      <c r="D231" s="79">
        <f t="shared" si="45"/>
        <v>1069</v>
      </c>
      <c r="E231" s="78">
        <f>VLOOKUP(B231,'115+260'!B232:AB274,3,FALSE)</f>
        <v>1713</v>
      </c>
      <c r="F231" s="75">
        <f t="shared" si="40"/>
        <v>2782</v>
      </c>
      <c r="G231" s="77">
        <f>VLOOKUP(B231,'115+260'!$B$15:$AB$647,20,FALSE)</f>
        <v>2053</v>
      </c>
      <c r="H231" s="77">
        <f>VLOOKUP(B231,'115+260'!$B$15:$AB$647,4,FALSE)</f>
        <v>229</v>
      </c>
      <c r="I231" s="74">
        <f t="shared" si="41"/>
        <v>2553</v>
      </c>
      <c r="J231" s="74">
        <f>VLOOKUP(B231,'115+260'!$B$15:$AB$647,13,FALSE)</f>
        <v>-447</v>
      </c>
      <c r="K231" s="72">
        <f>'115+260'!Q232</f>
        <v>0</v>
      </c>
      <c r="L231" s="71">
        <f t="shared" si="46"/>
        <v>247</v>
      </c>
      <c r="M231" s="76">
        <f>VLOOKUP(B231,'115+260'!$B$14:$AB$647,21,FALSE)</f>
        <v>2049</v>
      </c>
      <c r="N231" s="75">
        <f>VLOOKUP(B231,'115+260'!$B$15:$AB$647,5,FALSE)</f>
        <v>253</v>
      </c>
      <c r="O231" s="74">
        <f t="shared" si="42"/>
        <v>2529</v>
      </c>
      <c r="P231" s="74">
        <f>VLOOKUP(B231,'115+260'!$B$15:$AB$647,14,FALSE)</f>
        <v>-471</v>
      </c>
      <c r="Q231" s="72">
        <f>'115+260'!R232</f>
        <v>0</v>
      </c>
      <c r="R231" s="71">
        <f t="shared" si="47"/>
        <v>251</v>
      </c>
      <c r="S231" s="76">
        <f>VLOOKUP(B231,'115+260'!$B$14:$AB$647,22,FALSE)</f>
        <v>2091</v>
      </c>
      <c r="T231" s="75">
        <f>VLOOKUP(B231,'115+260'!$B$15:$AB$647,6,FALSE)</f>
        <v>241</v>
      </c>
      <c r="U231" s="74">
        <f t="shared" si="43"/>
        <v>2541</v>
      </c>
      <c r="V231" s="73">
        <f>VLOOKUP(B231,'115+260'!$B$15:$AB$647,15,FALSE)</f>
        <v>-459</v>
      </c>
      <c r="W231" s="72">
        <f>'115+260'!S232</f>
        <v>0</v>
      </c>
      <c r="X231" s="71">
        <f t="shared" si="48"/>
        <v>209</v>
      </c>
      <c r="Y231" s="70">
        <f t="shared" si="49"/>
        <v>0</v>
      </c>
      <c r="Z231" s="69">
        <f t="shared" si="50"/>
        <v>0</v>
      </c>
      <c r="AA231" s="68">
        <f t="shared" si="51"/>
        <v>2.4729999999999999</v>
      </c>
      <c r="AB231" s="68">
        <f t="shared" si="52"/>
        <v>2.0179999999999998</v>
      </c>
    </row>
    <row r="232" spans="2:28">
      <c r="B232" s="110">
        <f>'115+260'!B233</f>
        <v>45470</v>
      </c>
      <c r="C232" s="80">
        <f t="shared" si="44"/>
        <v>1</v>
      </c>
      <c r="D232" s="79">
        <f t="shared" si="45"/>
        <v>1069</v>
      </c>
      <c r="E232" s="78">
        <f>VLOOKUP(B232,'115+260'!B233:AB274,3,FALSE)</f>
        <v>1715</v>
      </c>
      <c r="F232" s="75">
        <f t="shared" si="40"/>
        <v>2784</v>
      </c>
      <c r="G232" s="77">
        <f>VLOOKUP(B232,'115+260'!$B$15:$AB$647,20,FALSE)</f>
        <v>2053</v>
      </c>
      <c r="H232" s="77">
        <f>VLOOKUP(B232,'115+260'!$B$15:$AB$647,4,FALSE)</f>
        <v>231</v>
      </c>
      <c r="I232" s="74">
        <f t="shared" si="41"/>
        <v>2553</v>
      </c>
      <c r="J232" s="74">
        <f>VLOOKUP(B232,'115+260'!$B$15:$AB$647,13,FALSE)</f>
        <v>-447</v>
      </c>
      <c r="K232" s="72">
        <f>'115+260'!Q233</f>
        <v>0</v>
      </c>
      <c r="L232" s="71">
        <f t="shared" si="46"/>
        <v>247</v>
      </c>
      <c r="M232" s="76">
        <f>VLOOKUP(B232,'115+260'!$B$14:$AB$647,21,FALSE)</f>
        <v>2049</v>
      </c>
      <c r="N232" s="75">
        <f>VLOOKUP(B232,'115+260'!$B$15:$AB$647,5,FALSE)</f>
        <v>255</v>
      </c>
      <c r="O232" s="74">
        <f t="shared" si="42"/>
        <v>2529</v>
      </c>
      <c r="P232" s="74">
        <f>VLOOKUP(B232,'115+260'!$B$15:$AB$647,14,FALSE)</f>
        <v>-471</v>
      </c>
      <c r="Q232" s="72">
        <f>'115+260'!R233</f>
        <v>0</v>
      </c>
      <c r="R232" s="71">
        <f t="shared" si="47"/>
        <v>251</v>
      </c>
      <c r="S232" s="76">
        <f>VLOOKUP(B232,'115+260'!$B$14:$AB$647,22,FALSE)</f>
        <v>2091</v>
      </c>
      <c r="T232" s="75">
        <f>VLOOKUP(B232,'115+260'!$B$15:$AB$647,6,FALSE)</f>
        <v>243</v>
      </c>
      <c r="U232" s="74">
        <f t="shared" si="43"/>
        <v>2541</v>
      </c>
      <c r="V232" s="73">
        <f>VLOOKUP(B232,'115+260'!$B$15:$AB$647,15,FALSE)</f>
        <v>-459</v>
      </c>
      <c r="W232" s="72">
        <f>'115+260'!S233</f>
        <v>0</v>
      </c>
      <c r="X232" s="71">
        <f t="shared" si="48"/>
        <v>209</v>
      </c>
      <c r="Y232" s="70">
        <f t="shared" si="49"/>
        <v>0</v>
      </c>
      <c r="Z232" s="69">
        <f t="shared" si="50"/>
        <v>0</v>
      </c>
      <c r="AA232" s="68">
        <f t="shared" si="51"/>
        <v>2.4729999999999999</v>
      </c>
      <c r="AB232" s="68">
        <f t="shared" si="52"/>
        <v>2.0179999999999998</v>
      </c>
    </row>
    <row r="233" spans="2:28">
      <c r="B233" s="110">
        <f>'115+260'!B234</f>
        <v>45471</v>
      </c>
      <c r="C233" s="80">
        <f t="shared" si="44"/>
        <v>1</v>
      </c>
      <c r="D233" s="79">
        <f t="shared" si="45"/>
        <v>1069</v>
      </c>
      <c r="E233" s="78">
        <f>VLOOKUP(B233,'115+260'!B234:AB274,3,FALSE)</f>
        <v>1717</v>
      </c>
      <c r="F233" s="75">
        <f t="shared" si="40"/>
        <v>2786</v>
      </c>
      <c r="G233" s="77">
        <f>VLOOKUP(B233,'115+260'!$B$15:$AB$647,20,FALSE)</f>
        <v>2053</v>
      </c>
      <c r="H233" s="77">
        <f>VLOOKUP(B233,'115+260'!$B$15:$AB$647,4,FALSE)</f>
        <v>233</v>
      </c>
      <c r="I233" s="74">
        <f t="shared" si="41"/>
        <v>2553</v>
      </c>
      <c r="J233" s="74">
        <f>VLOOKUP(B233,'115+260'!$B$15:$AB$647,13,FALSE)</f>
        <v>-447</v>
      </c>
      <c r="K233" s="72">
        <f>'115+260'!Q234</f>
        <v>0</v>
      </c>
      <c r="L233" s="71">
        <f t="shared" si="46"/>
        <v>247</v>
      </c>
      <c r="M233" s="76">
        <f>VLOOKUP(B233,'115+260'!$B$14:$AB$647,21,FALSE)</f>
        <v>2049</v>
      </c>
      <c r="N233" s="75">
        <f>VLOOKUP(B233,'115+260'!$B$15:$AB$647,5,FALSE)</f>
        <v>257</v>
      </c>
      <c r="O233" s="74">
        <f t="shared" si="42"/>
        <v>2529</v>
      </c>
      <c r="P233" s="74">
        <f>VLOOKUP(B233,'115+260'!$B$15:$AB$647,14,FALSE)</f>
        <v>-471</v>
      </c>
      <c r="Q233" s="72">
        <f>'115+260'!R234</f>
        <v>0</v>
      </c>
      <c r="R233" s="71">
        <f t="shared" si="47"/>
        <v>251</v>
      </c>
      <c r="S233" s="76">
        <f>VLOOKUP(B233,'115+260'!$B$14:$AB$647,22,FALSE)</f>
        <v>2091</v>
      </c>
      <c r="T233" s="75">
        <f>VLOOKUP(B233,'115+260'!$B$15:$AB$647,6,FALSE)</f>
        <v>245</v>
      </c>
      <c r="U233" s="74">
        <f t="shared" si="43"/>
        <v>2541</v>
      </c>
      <c r="V233" s="73">
        <f>VLOOKUP(B233,'115+260'!$B$15:$AB$647,15,FALSE)</f>
        <v>-459</v>
      </c>
      <c r="W233" s="72">
        <f>'115+260'!S234</f>
        <v>0</v>
      </c>
      <c r="X233" s="71">
        <f t="shared" si="48"/>
        <v>209</v>
      </c>
      <c r="Y233" s="70">
        <f t="shared" si="49"/>
        <v>0</v>
      </c>
      <c r="Z233" s="69">
        <f t="shared" si="50"/>
        <v>0</v>
      </c>
      <c r="AA233" s="68">
        <f t="shared" si="51"/>
        <v>2.4729999999999999</v>
      </c>
      <c r="AB233" s="68">
        <f t="shared" si="52"/>
        <v>2.0179999999999998</v>
      </c>
    </row>
    <row r="234" spans="2:28">
      <c r="B234" s="110">
        <f>'115+260'!B235</f>
        <v>45472</v>
      </c>
      <c r="C234" s="80">
        <f t="shared" si="44"/>
        <v>1</v>
      </c>
      <c r="D234" s="79">
        <f t="shared" si="45"/>
        <v>1069</v>
      </c>
      <c r="E234" s="78">
        <f>VLOOKUP(B234,'115+260'!B235:AB274,3,FALSE)</f>
        <v>1719</v>
      </c>
      <c r="F234" s="75">
        <f t="shared" si="40"/>
        <v>2788</v>
      </c>
      <c r="G234" s="77">
        <f>VLOOKUP(B234,'115+260'!$B$15:$AB$647,20,FALSE)</f>
        <v>2053</v>
      </c>
      <c r="H234" s="77">
        <f>VLOOKUP(B234,'115+260'!$B$15:$AB$647,4,FALSE)</f>
        <v>235</v>
      </c>
      <c r="I234" s="74">
        <f t="shared" si="41"/>
        <v>2553</v>
      </c>
      <c r="J234" s="74">
        <f>VLOOKUP(B234,'115+260'!$B$15:$AB$647,13,FALSE)</f>
        <v>-447</v>
      </c>
      <c r="K234" s="72">
        <f>'115+260'!Q235</f>
        <v>0</v>
      </c>
      <c r="L234" s="71">
        <f t="shared" si="46"/>
        <v>247</v>
      </c>
      <c r="M234" s="76">
        <f>VLOOKUP(B234,'115+260'!$B$14:$AB$647,21,FALSE)</f>
        <v>2049</v>
      </c>
      <c r="N234" s="75">
        <f>VLOOKUP(B234,'115+260'!$B$15:$AB$647,5,FALSE)</f>
        <v>259</v>
      </c>
      <c r="O234" s="74">
        <f t="shared" si="42"/>
        <v>2529</v>
      </c>
      <c r="P234" s="74">
        <f>VLOOKUP(B234,'115+260'!$B$15:$AB$647,14,FALSE)</f>
        <v>-471</v>
      </c>
      <c r="Q234" s="72">
        <f>'115+260'!R235</f>
        <v>0</v>
      </c>
      <c r="R234" s="71">
        <f t="shared" si="47"/>
        <v>251</v>
      </c>
      <c r="S234" s="76">
        <f>VLOOKUP(B234,'115+260'!$B$14:$AB$647,22,FALSE)</f>
        <v>2091</v>
      </c>
      <c r="T234" s="75">
        <f>VLOOKUP(B234,'115+260'!$B$15:$AB$647,6,FALSE)</f>
        <v>247</v>
      </c>
      <c r="U234" s="74">
        <f t="shared" si="43"/>
        <v>2541</v>
      </c>
      <c r="V234" s="73">
        <f>VLOOKUP(B234,'115+260'!$B$15:$AB$647,15,FALSE)</f>
        <v>-459</v>
      </c>
      <c r="W234" s="72">
        <f>'115+260'!S235</f>
        <v>0</v>
      </c>
      <c r="X234" s="71">
        <f t="shared" si="48"/>
        <v>209</v>
      </c>
      <c r="Y234" s="70">
        <f t="shared" si="49"/>
        <v>0</v>
      </c>
      <c r="Z234" s="69">
        <f t="shared" si="50"/>
        <v>0</v>
      </c>
      <c r="AA234" s="68">
        <f t="shared" si="51"/>
        <v>2.4729999999999999</v>
      </c>
      <c r="AB234" s="68">
        <f t="shared" si="52"/>
        <v>2.0179999999999998</v>
      </c>
    </row>
    <row r="235" spans="2:28">
      <c r="B235" s="110">
        <f>'115+260'!B236</f>
        <v>45473</v>
      </c>
      <c r="C235" s="80">
        <f t="shared" si="44"/>
        <v>1</v>
      </c>
      <c r="D235" s="79">
        <f t="shared" si="45"/>
        <v>1069</v>
      </c>
      <c r="E235" s="78">
        <f>VLOOKUP(B235,'115+260'!B236:AB274,3,FALSE)</f>
        <v>1721</v>
      </c>
      <c r="F235" s="75">
        <f t="shared" si="40"/>
        <v>2790</v>
      </c>
      <c r="G235" s="77">
        <f>VLOOKUP(B235,'115+260'!$B$15:$AB$647,20,FALSE)</f>
        <v>2053</v>
      </c>
      <c r="H235" s="77">
        <f>VLOOKUP(B235,'115+260'!$B$15:$AB$647,4,FALSE)</f>
        <v>237</v>
      </c>
      <c r="I235" s="74">
        <f t="shared" si="41"/>
        <v>2553</v>
      </c>
      <c r="J235" s="74">
        <f>VLOOKUP(B235,'115+260'!$B$15:$AB$647,13,FALSE)</f>
        <v>-447</v>
      </c>
      <c r="K235" s="72">
        <f>'115+260'!Q236</f>
        <v>0</v>
      </c>
      <c r="L235" s="71">
        <f t="shared" si="46"/>
        <v>247</v>
      </c>
      <c r="M235" s="76">
        <f>VLOOKUP(B235,'115+260'!$B$14:$AB$647,21,FALSE)</f>
        <v>2049</v>
      </c>
      <c r="N235" s="75">
        <f>VLOOKUP(B235,'115+260'!$B$15:$AB$647,5,FALSE)</f>
        <v>261</v>
      </c>
      <c r="O235" s="74">
        <f t="shared" si="42"/>
        <v>2529</v>
      </c>
      <c r="P235" s="74">
        <f>VLOOKUP(B235,'115+260'!$B$15:$AB$647,14,FALSE)</f>
        <v>-471</v>
      </c>
      <c r="Q235" s="72">
        <f>'115+260'!R236</f>
        <v>0</v>
      </c>
      <c r="R235" s="71">
        <f t="shared" si="47"/>
        <v>251</v>
      </c>
      <c r="S235" s="76">
        <f>VLOOKUP(B235,'115+260'!$B$14:$AB$647,22,FALSE)</f>
        <v>2091</v>
      </c>
      <c r="T235" s="75">
        <f>VLOOKUP(B235,'115+260'!$B$15:$AB$647,6,FALSE)</f>
        <v>249</v>
      </c>
      <c r="U235" s="74">
        <f t="shared" si="43"/>
        <v>2541</v>
      </c>
      <c r="V235" s="73">
        <f>VLOOKUP(B235,'115+260'!$B$15:$AB$647,15,FALSE)</f>
        <v>-459</v>
      </c>
      <c r="W235" s="72">
        <f>'115+260'!S236</f>
        <v>0</v>
      </c>
      <c r="X235" s="71">
        <f t="shared" si="48"/>
        <v>209</v>
      </c>
      <c r="Y235" s="70">
        <f t="shared" si="49"/>
        <v>0</v>
      </c>
      <c r="Z235" s="69">
        <f t="shared" si="50"/>
        <v>0</v>
      </c>
      <c r="AA235" s="68">
        <f t="shared" si="51"/>
        <v>2.4729999999999999</v>
      </c>
      <c r="AB235" s="68">
        <f t="shared" si="52"/>
        <v>2.0179999999999998</v>
      </c>
    </row>
    <row r="236" spans="2:28">
      <c r="B236" s="110">
        <f>'115+260'!B237</f>
        <v>45474</v>
      </c>
      <c r="C236" s="80">
        <f t="shared" si="44"/>
        <v>1</v>
      </c>
      <c r="D236" s="79">
        <f t="shared" si="45"/>
        <v>1069</v>
      </c>
      <c r="E236" s="78">
        <f>VLOOKUP(B236,'115+260'!B237:AB274,3,FALSE)</f>
        <v>1723</v>
      </c>
      <c r="F236" s="75">
        <f t="shared" si="40"/>
        <v>2792</v>
      </c>
      <c r="G236" s="77">
        <f>VLOOKUP(B236,'115+260'!$B$15:$AB$647,20,FALSE)</f>
        <v>2053</v>
      </c>
      <c r="H236" s="77">
        <f>VLOOKUP(B236,'115+260'!$B$15:$AB$647,4,FALSE)</f>
        <v>239</v>
      </c>
      <c r="I236" s="74">
        <f t="shared" si="41"/>
        <v>2553</v>
      </c>
      <c r="J236" s="74">
        <f>VLOOKUP(B236,'115+260'!$B$15:$AB$647,13,FALSE)</f>
        <v>-447</v>
      </c>
      <c r="K236" s="72">
        <f>'115+260'!Q237</f>
        <v>0</v>
      </c>
      <c r="L236" s="71">
        <f t="shared" si="46"/>
        <v>247</v>
      </c>
      <c r="M236" s="76">
        <f>VLOOKUP(B236,'115+260'!$B$14:$AB$647,21,FALSE)</f>
        <v>2049</v>
      </c>
      <c r="N236" s="75">
        <f>VLOOKUP(B236,'115+260'!$B$15:$AB$647,5,FALSE)</f>
        <v>263</v>
      </c>
      <c r="O236" s="74">
        <f t="shared" si="42"/>
        <v>2529</v>
      </c>
      <c r="P236" s="74">
        <f>VLOOKUP(B236,'115+260'!$B$15:$AB$647,14,FALSE)</f>
        <v>-471</v>
      </c>
      <c r="Q236" s="72">
        <f>'115+260'!R237</f>
        <v>0</v>
      </c>
      <c r="R236" s="71">
        <f t="shared" si="47"/>
        <v>251</v>
      </c>
      <c r="S236" s="76">
        <f>VLOOKUP(B236,'115+260'!$B$14:$AB$647,22,FALSE)</f>
        <v>2091</v>
      </c>
      <c r="T236" s="75">
        <f>VLOOKUP(B236,'115+260'!$B$15:$AB$647,6,FALSE)</f>
        <v>251</v>
      </c>
      <c r="U236" s="74">
        <f t="shared" si="43"/>
        <v>2541</v>
      </c>
      <c r="V236" s="73">
        <f>VLOOKUP(B236,'115+260'!$B$15:$AB$647,15,FALSE)</f>
        <v>-459</v>
      </c>
      <c r="W236" s="72">
        <f>'115+260'!S237</f>
        <v>0</v>
      </c>
      <c r="X236" s="71">
        <f t="shared" si="48"/>
        <v>209</v>
      </c>
      <c r="Y236" s="70">
        <f t="shared" si="49"/>
        <v>0</v>
      </c>
      <c r="Z236" s="69">
        <f t="shared" si="50"/>
        <v>0</v>
      </c>
      <c r="AA236" s="68">
        <f t="shared" si="51"/>
        <v>2.4729999999999999</v>
      </c>
      <c r="AB236" s="68">
        <f t="shared" si="52"/>
        <v>2.0179999999999998</v>
      </c>
    </row>
    <row r="237" spans="2:28">
      <c r="B237" s="110">
        <f>'115+260'!B238</f>
        <v>45475</v>
      </c>
      <c r="C237" s="80">
        <f t="shared" si="44"/>
        <v>1</v>
      </c>
      <c r="D237" s="79">
        <f t="shared" si="45"/>
        <v>1069</v>
      </c>
      <c r="E237" s="78">
        <f>VLOOKUP(B237,'115+260'!B238:AB274,3,FALSE)</f>
        <v>1725</v>
      </c>
      <c r="F237" s="75">
        <f t="shared" si="40"/>
        <v>2794</v>
      </c>
      <c r="G237" s="77">
        <f>VLOOKUP(B237,'115+260'!$B$15:$AB$647,20,FALSE)</f>
        <v>2053</v>
      </c>
      <c r="H237" s="77">
        <f>VLOOKUP(B237,'115+260'!$B$15:$AB$647,4,FALSE)</f>
        <v>241</v>
      </c>
      <c r="I237" s="74">
        <f t="shared" si="41"/>
        <v>2553</v>
      </c>
      <c r="J237" s="74">
        <f>VLOOKUP(B237,'115+260'!$B$15:$AB$647,13,FALSE)</f>
        <v>-447</v>
      </c>
      <c r="K237" s="72">
        <f>'115+260'!Q238</f>
        <v>0</v>
      </c>
      <c r="L237" s="71">
        <f t="shared" si="46"/>
        <v>247</v>
      </c>
      <c r="M237" s="76">
        <f>VLOOKUP(B237,'115+260'!$B$14:$AB$647,21,FALSE)</f>
        <v>2049</v>
      </c>
      <c r="N237" s="75">
        <f>VLOOKUP(B237,'115+260'!$B$15:$AB$647,5,FALSE)</f>
        <v>265</v>
      </c>
      <c r="O237" s="74">
        <f t="shared" si="42"/>
        <v>2529</v>
      </c>
      <c r="P237" s="74">
        <f>VLOOKUP(B237,'115+260'!$B$15:$AB$647,14,FALSE)</f>
        <v>-471</v>
      </c>
      <c r="Q237" s="72">
        <f>'115+260'!R238</f>
        <v>0</v>
      </c>
      <c r="R237" s="71">
        <f t="shared" si="47"/>
        <v>251</v>
      </c>
      <c r="S237" s="76">
        <f>VLOOKUP(B237,'115+260'!$B$14:$AB$647,22,FALSE)</f>
        <v>2091</v>
      </c>
      <c r="T237" s="75">
        <f>VLOOKUP(B237,'115+260'!$B$15:$AB$647,6,FALSE)</f>
        <v>253</v>
      </c>
      <c r="U237" s="74">
        <f t="shared" si="43"/>
        <v>2541</v>
      </c>
      <c r="V237" s="73">
        <f>VLOOKUP(B237,'115+260'!$B$15:$AB$647,15,FALSE)</f>
        <v>-459</v>
      </c>
      <c r="W237" s="72">
        <f>'115+260'!S238</f>
        <v>0</v>
      </c>
      <c r="X237" s="71">
        <f t="shared" si="48"/>
        <v>209</v>
      </c>
      <c r="Y237" s="70">
        <f t="shared" si="49"/>
        <v>0</v>
      </c>
      <c r="Z237" s="69">
        <f t="shared" si="50"/>
        <v>0</v>
      </c>
      <c r="AA237" s="68">
        <f t="shared" si="51"/>
        <v>2.4729999999999999</v>
      </c>
      <c r="AB237" s="68">
        <f t="shared" si="52"/>
        <v>2.0179999999999998</v>
      </c>
    </row>
    <row r="238" spans="2:28">
      <c r="B238" s="110">
        <f>'115+260'!B239</f>
        <v>45476</v>
      </c>
      <c r="C238" s="80">
        <f t="shared" si="44"/>
        <v>1</v>
      </c>
      <c r="D238" s="79">
        <f t="shared" si="45"/>
        <v>1069</v>
      </c>
      <c r="E238" s="78">
        <f>VLOOKUP(B238,'115+260'!B239:AB274,3,FALSE)</f>
        <v>1727</v>
      </c>
      <c r="F238" s="75">
        <f t="shared" si="40"/>
        <v>2796</v>
      </c>
      <c r="G238" s="77">
        <f>VLOOKUP(B238,'115+260'!$B$15:$AB$647,20,FALSE)</f>
        <v>2053</v>
      </c>
      <c r="H238" s="77">
        <f>VLOOKUP(B238,'115+260'!$B$15:$AB$647,4,FALSE)</f>
        <v>243</v>
      </c>
      <c r="I238" s="74">
        <f t="shared" si="41"/>
        <v>2553</v>
      </c>
      <c r="J238" s="74">
        <f>VLOOKUP(B238,'115+260'!$B$15:$AB$647,13,FALSE)</f>
        <v>-447</v>
      </c>
      <c r="K238" s="72">
        <f>'115+260'!Q239</f>
        <v>0</v>
      </c>
      <c r="L238" s="71">
        <f t="shared" si="46"/>
        <v>247</v>
      </c>
      <c r="M238" s="76">
        <f>VLOOKUP(B238,'115+260'!$B$14:$AB$647,21,FALSE)</f>
        <v>2049</v>
      </c>
      <c r="N238" s="75">
        <f>VLOOKUP(B238,'115+260'!$B$15:$AB$647,5,FALSE)</f>
        <v>267</v>
      </c>
      <c r="O238" s="74">
        <f t="shared" si="42"/>
        <v>2529</v>
      </c>
      <c r="P238" s="74">
        <f>VLOOKUP(B238,'115+260'!$B$15:$AB$647,14,FALSE)</f>
        <v>-471</v>
      </c>
      <c r="Q238" s="72">
        <f>'115+260'!R239</f>
        <v>0</v>
      </c>
      <c r="R238" s="71">
        <f t="shared" si="47"/>
        <v>251</v>
      </c>
      <c r="S238" s="76">
        <f>VLOOKUP(B238,'115+260'!$B$14:$AB$647,22,FALSE)</f>
        <v>2091</v>
      </c>
      <c r="T238" s="75">
        <f>VLOOKUP(B238,'115+260'!$B$15:$AB$647,6,FALSE)</f>
        <v>255</v>
      </c>
      <c r="U238" s="74">
        <f t="shared" si="43"/>
        <v>2541</v>
      </c>
      <c r="V238" s="73">
        <f>VLOOKUP(B238,'115+260'!$B$15:$AB$647,15,FALSE)</f>
        <v>-459</v>
      </c>
      <c r="W238" s="72">
        <f>'115+260'!S239</f>
        <v>0</v>
      </c>
      <c r="X238" s="71">
        <f t="shared" si="48"/>
        <v>209</v>
      </c>
      <c r="Y238" s="70">
        <f t="shared" si="49"/>
        <v>0</v>
      </c>
      <c r="Z238" s="69">
        <f t="shared" si="50"/>
        <v>0</v>
      </c>
      <c r="AA238" s="68">
        <f t="shared" si="51"/>
        <v>2.4729999999999999</v>
      </c>
      <c r="AB238" s="68">
        <f t="shared" si="52"/>
        <v>2.0179999999999998</v>
      </c>
    </row>
    <row r="239" spans="2:28">
      <c r="B239" s="110">
        <f>'115+260'!B240</f>
        <v>45477</v>
      </c>
      <c r="C239" s="80">
        <f t="shared" si="44"/>
        <v>1</v>
      </c>
      <c r="D239" s="79">
        <f t="shared" si="45"/>
        <v>1069</v>
      </c>
      <c r="E239" s="78">
        <f>VLOOKUP(B239,'115+260'!B240:AB274,3,FALSE)</f>
        <v>1729</v>
      </c>
      <c r="F239" s="75">
        <f t="shared" si="40"/>
        <v>2798</v>
      </c>
      <c r="G239" s="77">
        <f>VLOOKUP(B239,'115+260'!$B$15:$AB$647,20,FALSE)</f>
        <v>2053</v>
      </c>
      <c r="H239" s="77">
        <f>VLOOKUP(B239,'115+260'!$B$15:$AB$647,4,FALSE)</f>
        <v>245</v>
      </c>
      <c r="I239" s="74">
        <f t="shared" si="41"/>
        <v>2553</v>
      </c>
      <c r="J239" s="74">
        <f>VLOOKUP(B239,'115+260'!$B$15:$AB$647,13,FALSE)</f>
        <v>-447</v>
      </c>
      <c r="K239" s="72">
        <f>'115+260'!Q240</f>
        <v>0</v>
      </c>
      <c r="L239" s="71">
        <f t="shared" si="46"/>
        <v>247</v>
      </c>
      <c r="M239" s="76">
        <f>VLOOKUP(B239,'115+260'!$B$14:$AB$647,21,FALSE)</f>
        <v>2049</v>
      </c>
      <c r="N239" s="75">
        <f>VLOOKUP(B239,'115+260'!$B$15:$AB$647,5,FALSE)</f>
        <v>269</v>
      </c>
      <c r="O239" s="74">
        <f t="shared" si="42"/>
        <v>2529</v>
      </c>
      <c r="P239" s="74">
        <f>VLOOKUP(B239,'115+260'!$B$15:$AB$647,14,FALSE)</f>
        <v>-471</v>
      </c>
      <c r="Q239" s="72">
        <f>'115+260'!R240</f>
        <v>0</v>
      </c>
      <c r="R239" s="71">
        <f t="shared" si="47"/>
        <v>251</v>
      </c>
      <c r="S239" s="76">
        <f>VLOOKUP(B239,'115+260'!$B$14:$AB$647,22,FALSE)</f>
        <v>2091</v>
      </c>
      <c r="T239" s="75">
        <f>VLOOKUP(B239,'115+260'!$B$15:$AB$647,6,FALSE)</f>
        <v>257</v>
      </c>
      <c r="U239" s="74">
        <f t="shared" si="43"/>
        <v>2541</v>
      </c>
      <c r="V239" s="73">
        <f>VLOOKUP(B239,'115+260'!$B$15:$AB$647,15,FALSE)</f>
        <v>-459</v>
      </c>
      <c r="W239" s="72">
        <f>'115+260'!S240</f>
        <v>0</v>
      </c>
      <c r="X239" s="71">
        <f t="shared" si="48"/>
        <v>209</v>
      </c>
      <c r="Y239" s="70">
        <f t="shared" si="49"/>
        <v>0</v>
      </c>
      <c r="Z239" s="69">
        <f t="shared" si="50"/>
        <v>0</v>
      </c>
      <c r="AA239" s="68">
        <f t="shared" si="51"/>
        <v>2.4729999999999999</v>
      </c>
      <c r="AB239" s="68">
        <f t="shared" si="52"/>
        <v>2.0179999999999998</v>
      </c>
    </row>
    <row r="240" spans="2:28">
      <c r="B240" s="110">
        <f>'115+260'!B241</f>
        <v>45478</v>
      </c>
      <c r="C240" s="80">
        <f t="shared" si="44"/>
        <v>1</v>
      </c>
      <c r="D240" s="79">
        <f t="shared" si="45"/>
        <v>1069</v>
      </c>
      <c r="E240" s="78">
        <f>VLOOKUP(B240,'115+260'!B241:AB274,3,FALSE)</f>
        <v>1731</v>
      </c>
      <c r="F240" s="75">
        <f t="shared" si="40"/>
        <v>2800</v>
      </c>
      <c r="G240" s="77">
        <f>VLOOKUP(B240,'115+260'!$B$15:$AB$647,20,FALSE)</f>
        <v>2053</v>
      </c>
      <c r="H240" s="77">
        <f>VLOOKUP(B240,'115+260'!$B$15:$AB$647,4,FALSE)</f>
        <v>247</v>
      </c>
      <c r="I240" s="74">
        <f t="shared" si="41"/>
        <v>2553</v>
      </c>
      <c r="J240" s="74">
        <f>VLOOKUP(B240,'115+260'!$B$15:$AB$647,13,FALSE)</f>
        <v>-447</v>
      </c>
      <c r="K240" s="72">
        <f>'115+260'!Q241</f>
        <v>0</v>
      </c>
      <c r="L240" s="71">
        <f t="shared" si="46"/>
        <v>247</v>
      </c>
      <c r="M240" s="76">
        <f>VLOOKUP(B240,'115+260'!$B$14:$AB$647,21,FALSE)</f>
        <v>2049</v>
      </c>
      <c r="N240" s="75">
        <f>VLOOKUP(B240,'115+260'!$B$15:$AB$647,5,FALSE)</f>
        <v>271</v>
      </c>
      <c r="O240" s="74">
        <f t="shared" si="42"/>
        <v>2529</v>
      </c>
      <c r="P240" s="74">
        <f>VLOOKUP(B240,'115+260'!$B$15:$AB$647,14,FALSE)</f>
        <v>-471</v>
      </c>
      <c r="Q240" s="72">
        <f>'115+260'!R241</f>
        <v>0</v>
      </c>
      <c r="R240" s="71">
        <f t="shared" si="47"/>
        <v>251</v>
      </c>
      <c r="S240" s="76">
        <f>VLOOKUP(B240,'115+260'!$B$14:$AB$647,22,FALSE)</f>
        <v>2091</v>
      </c>
      <c r="T240" s="75">
        <f>VLOOKUP(B240,'115+260'!$B$15:$AB$647,6,FALSE)</f>
        <v>259</v>
      </c>
      <c r="U240" s="74">
        <f t="shared" si="43"/>
        <v>2541</v>
      </c>
      <c r="V240" s="73">
        <f>VLOOKUP(B240,'115+260'!$B$15:$AB$647,15,FALSE)</f>
        <v>-459</v>
      </c>
      <c r="W240" s="72">
        <f>'115+260'!S241</f>
        <v>0</v>
      </c>
      <c r="X240" s="71">
        <f t="shared" si="48"/>
        <v>209</v>
      </c>
      <c r="Y240" s="70">
        <f t="shared" si="49"/>
        <v>0</v>
      </c>
      <c r="Z240" s="69">
        <f t="shared" si="50"/>
        <v>0</v>
      </c>
      <c r="AA240" s="68">
        <f t="shared" si="51"/>
        <v>2.4729999999999999</v>
      </c>
      <c r="AB240" s="68">
        <f t="shared" si="52"/>
        <v>2.0179999999999998</v>
      </c>
    </row>
    <row r="241" spans="2:28">
      <c r="B241" s="110">
        <f>'115+260'!B242</f>
        <v>45479</v>
      </c>
      <c r="C241" s="80">
        <f t="shared" si="44"/>
        <v>1</v>
      </c>
      <c r="D241" s="79">
        <f t="shared" si="45"/>
        <v>1069</v>
      </c>
      <c r="E241" s="78">
        <f>VLOOKUP(B241,'115+260'!B242:AB274,3,FALSE)</f>
        <v>1733</v>
      </c>
      <c r="F241" s="75">
        <f t="shared" si="40"/>
        <v>2802</v>
      </c>
      <c r="G241" s="77">
        <f>VLOOKUP(B241,'115+260'!$B$15:$AB$647,20,FALSE)</f>
        <v>2053</v>
      </c>
      <c r="H241" s="77">
        <f>VLOOKUP(B241,'115+260'!$B$15:$AB$647,4,FALSE)</f>
        <v>249</v>
      </c>
      <c r="I241" s="74">
        <f t="shared" si="41"/>
        <v>2553</v>
      </c>
      <c r="J241" s="74">
        <f>VLOOKUP(B241,'115+260'!$B$15:$AB$647,13,FALSE)</f>
        <v>-447</v>
      </c>
      <c r="K241" s="72">
        <f>'115+260'!Q242</f>
        <v>0</v>
      </c>
      <c r="L241" s="71">
        <f t="shared" si="46"/>
        <v>247</v>
      </c>
      <c r="M241" s="76">
        <f>VLOOKUP(B241,'115+260'!$B$14:$AB$647,21,FALSE)</f>
        <v>2049</v>
      </c>
      <c r="N241" s="75">
        <f>VLOOKUP(B241,'115+260'!$B$15:$AB$647,5,FALSE)</f>
        <v>273</v>
      </c>
      <c r="O241" s="74">
        <f t="shared" si="42"/>
        <v>2529</v>
      </c>
      <c r="P241" s="74">
        <f>VLOOKUP(B241,'115+260'!$B$15:$AB$647,14,FALSE)</f>
        <v>-471</v>
      </c>
      <c r="Q241" s="72">
        <f>'115+260'!R242</f>
        <v>0</v>
      </c>
      <c r="R241" s="71">
        <f t="shared" si="47"/>
        <v>251</v>
      </c>
      <c r="S241" s="76">
        <f>VLOOKUP(B241,'115+260'!$B$14:$AB$647,22,FALSE)</f>
        <v>2091</v>
      </c>
      <c r="T241" s="75">
        <f>VLOOKUP(B241,'115+260'!$B$15:$AB$647,6,FALSE)</f>
        <v>261</v>
      </c>
      <c r="U241" s="74">
        <f t="shared" si="43"/>
        <v>2541</v>
      </c>
      <c r="V241" s="73">
        <f>VLOOKUP(B241,'115+260'!$B$15:$AB$647,15,FALSE)</f>
        <v>-459</v>
      </c>
      <c r="W241" s="72">
        <f>'115+260'!S242</f>
        <v>0</v>
      </c>
      <c r="X241" s="71">
        <f t="shared" si="48"/>
        <v>209</v>
      </c>
      <c r="Y241" s="70">
        <f t="shared" si="49"/>
        <v>0</v>
      </c>
      <c r="Z241" s="69">
        <f t="shared" si="50"/>
        <v>0</v>
      </c>
      <c r="AA241" s="68">
        <f t="shared" si="51"/>
        <v>2.4729999999999999</v>
      </c>
      <c r="AB241" s="68">
        <f t="shared" si="52"/>
        <v>2.0179999999999998</v>
      </c>
    </row>
    <row r="242" spans="2:28">
      <c r="B242" s="110">
        <f>'115+260'!B243</f>
        <v>45480</v>
      </c>
      <c r="C242" s="80">
        <f t="shared" si="44"/>
        <v>1</v>
      </c>
      <c r="D242" s="79">
        <f t="shared" si="45"/>
        <v>1069</v>
      </c>
      <c r="E242" s="78">
        <f>VLOOKUP(B242,'115+260'!B243:AB274,3,FALSE)</f>
        <v>1735</v>
      </c>
      <c r="F242" s="75">
        <f t="shared" si="40"/>
        <v>2804</v>
      </c>
      <c r="G242" s="77">
        <f>VLOOKUP(B242,'115+260'!$B$15:$AB$647,20,FALSE)</f>
        <v>2053</v>
      </c>
      <c r="H242" s="77">
        <f>VLOOKUP(B242,'115+260'!$B$15:$AB$647,4,FALSE)</f>
        <v>251</v>
      </c>
      <c r="I242" s="74">
        <f t="shared" si="41"/>
        <v>2553</v>
      </c>
      <c r="J242" s="74">
        <f>VLOOKUP(B242,'115+260'!$B$15:$AB$647,13,FALSE)</f>
        <v>-447</v>
      </c>
      <c r="K242" s="72">
        <f>'115+260'!Q243</f>
        <v>0</v>
      </c>
      <c r="L242" s="71">
        <f t="shared" si="46"/>
        <v>247</v>
      </c>
      <c r="M242" s="76">
        <f>VLOOKUP(B242,'115+260'!$B$14:$AB$647,21,FALSE)</f>
        <v>2049</v>
      </c>
      <c r="N242" s="75">
        <f>VLOOKUP(B242,'115+260'!$B$15:$AB$647,5,FALSE)</f>
        <v>275</v>
      </c>
      <c r="O242" s="74">
        <f t="shared" si="42"/>
        <v>2529</v>
      </c>
      <c r="P242" s="74">
        <f>VLOOKUP(B242,'115+260'!$B$15:$AB$647,14,FALSE)</f>
        <v>-471</v>
      </c>
      <c r="Q242" s="72">
        <f>'115+260'!R243</f>
        <v>0</v>
      </c>
      <c r="R242" s="71">
        <f t="shared" si="47"/>
        <v>251</v>
      </c>
      <c r="S242" s="76">
        <f>VLOOKUP(B242,'115+260'!$B$14:$AB$647,22,FALSE)</f>
        <v>2091</v>
      </c>
      <c r="T242" s="75">
        <f>VLOOKUP(B242,'115+260'!$B$15:$AB$647,6,FALSE)</f>
        <v>263</v>
      </c>
      <c r="U242" s="74">
        <f t="shared" si="43"/>
        <v>2541</v>
      </c>
      <c r="V242" s="73">
        <f>VLOOKUP(B242,'115+260'!$B$15:$AB$647,15,FALSE)</f>
        <v>-459</v>
      </c>
      <c r="W242" s="72">
        <f>'115+260'!S243</f>
        <v>0</v>
      </c>
      <c r="X242" s="71">
        <f t="shared" si="48"/>
        <v>209</v>
      </c>
      <c r="Y242" s="70">
        <f t="shared" si="49"/>
        <v>0</v>
      </c>
      <c r="Z242" s="69">
        <f t="shared" si="50"/>
        <v>0</v>
      </c>
      <c r="AA242" s="68">
        <f t="shared" si="51"/>
        <v>2.4729999999999999</v>
      </c>
      <c r="AB242" s="68">
        <f t="shared" si="52"/>
        <v>2.0179999999999998</v>
      </c>
    </row>
    <row r="243" spans="2:28">
      <c r="B243" s="110">
        <f>'115+260'!B244</f>
        <v>45481</v>
      </c>
      <c r="C243" s="80">
        <f t="shared" si="44"/>
        <v>1</v>
      </c>
      <c r="D243" s="79">
        <f t="shared" si="45"/>
        <v>1069</v>
      </c>
      <c r="E243" s="78">
        <f>VLOOKUP(B243,'115+260'!B244:AB274,3,FALSE)</f>
        <v>1737</v>
      </c>
      <c r="F243" s="75">
        <f t="shared" si="40"/>
        <v>2806</v>
      </c>
      <c r="G243" s="77">
        <f>VLOOKUP(B243,'115+260'!$B$15:$AB$647,20,FALSE)</f>
        <v>2053</v>
      </c>
      <c r="H243" s="77">
        <f>VLOOKUP(B243,'115+260'!$B$15:$AB$647,4,FALSE)</f>
        <v>253</v>
      </c>
      <c r="I243" s="74">
        <f t="shared" si="41"/>
        <v>2553</v>
      </c>
      <c r="J243" s="74">
        <f>VLOOKUP(B243,'115+260'!$B$15:$AB$647,13,FALSE)</f>
        <v>-447</v>
      </c>
      <c r="K243" s="72">
        <f>'115+260'!Q244</f>
        <v>0</v>
      </c>
      <c r="L243" s="71">
        <f t="shared" si="46"/>
        <v>247</v>
      </c>
      <c r="M243" s="76">
        <f>VLOOKUP(B243,'115+260'!$B$14:$AB$647,21,FALSE)</f>
        <v>2049</v>
      </c>
      <c r="N243" s="75">
        <f>VLOOKUP(B243,'115+260'!$B$15:$AB$647,5,FALSE)</f>
        <v>277</v>
      </c>
      <c r="O243" s="74">
        <f t="shared" si="42"/>
        <v>2529</v>
      </c>
      <c r="P243" s="74">
        <f>VLOOKUP(B243,'115+260'!$B$15:$AB$647,14,FALSE)</f>
        <v>-471</v>
      </c>
      <c r="Q243" s="72">
        <f>'115+260'!R244</f>
        <v>0</v>
      </c>
      <c r="R243" s="71">
        <f t="shared" si="47"/>
        <v>251</v>
      </c>
      <c r="S243" s="76">
        <f>VLOOKUP(B243,'115+260'!$B$14:$AB$647,22,FALSE)</f>
        <v>2091</v>
      </c>
      <c r="T243" s="75">
        <f>VLOOKUP(B243,'115+260'!$B$15:$AB$647,6,FALSE)</f>
        <v>265</v>
      </c>
      <c r="U243" s="74">
        <f t="shared" si="43"/>
        <v>2541</v>
      </c>
      <c r="V243" s="73">
        <f>VLOOKUP(B243,'115+260'!$B$15:$AB$647,15,FALSE)</f>
        <v>-459</v>
      </c>
      <c r="W243" s="72">
        <f>'115+260'!S244</f>
        <v>0</v>
      </c>
      <c r="X243" s="71">
        <f t="shared" si="48"/>
        <v>209</v>
      </c>
      <c r="Y243" s="70">
        <f t="shared" si="49"/>
        <v>0</v>
      </c>
      <c r="Z243" s="69">
        <f t="shared" si="50"/>
        <v>0</v>
      </c>
      <c r="AA243" s="68">
        <f t="shared" si="51"/>
        <v>2.4729999999999999</v>
      </c>
      <c r="AB243" s="68">
        <f t="shared" si="52"/>
        <v>2.0179999999999998</v>
      </c>
    </row>
    <row r="244" spans="2:28">
      <c r="B244" s="110">
        <f>'115+260'!B245</f>
        <v>45482</v>
      </c>
      <c r="C244" s="80">
        <f t="shared" si="44"/>
        <v>1</v>
      </c>
      <c r="D244" s="79">
        <f t="shared" si="45"/>
        <v>1069</v>
      </c>
      <c r="E244" s="78">
        <f>VLOOKUP(B244,'115+260'!B245:AB274,3,FALSE)</f>
        <v>1739</v>
      </c>
      <c r="F244" s="75">
        <f t="shared" si="40"/>
        <v>2808</v>
      </c>
      <c r="G244" s="77">
        <f>VLOOKUP(B244,'115+260'!$B$15:$AB$647,20,FALSE)</f>
        <v>2053</v>
      </c>
      <c r="H244" s="77">
        <f>VLOOKUP(B244,'115+260'!$B$15:$AB$647,4,FALSE)</f>
        <v>255</v>
      </c>
      <c r="I244" s="74">
        <f t="shared" si="41"/>
        <v>2553</v>
      </c>
      <c r="J244" s="74">
        <f>VLOOKUP(B244,'115+260'!$B$15:$AB$647,13,FALSE)</f>
        <v>-447</v>
      </c>
      <c r="K244" s="72">
        <f>'115+260'!Q245</f>
        <v>0</v>
      </c>
      <c r="L244" s="71">
        <f t="shared" si="46"/>
        <v>247</v>
      </c>
      <c r="M244" s="76">
        <f>VLOOKUP(B244,'115+260'!$B$14:$AB$647,21,FALSE)</f>
        <v>2049</v>
      </c>
      <c r="N244" s="75">
        <f>VLOOKUP(B244,'115+260'!$B$15:$AB$647,5,FALSE)</f>
        <v>279</v>
      </c>
      <c r="O244" s="74">
        <f t="shared" si="42"/>
        <v>2529</v>
      </c>
      <c r="P244" s="74">
        <f>VLOOKUP(B244,'115+260'!$B$15:$AB$647,14,FALSE)</f>
        <v>-471</v>
      </c>
      <c r="Q244" s="72">
        <f>'115+260'!R245</f>
        <v>0</v>
      </c>
      <c r="R244" s="71">
        <f t="shared" si="47"/>
        <v>251</v>
      </c>
      <c r="S244" s="76">
        <f>VLOOKUP(B244,'115+260'!$B$14:$AB$647,22,FALSE)</f>
        <v>2091</v>
      </c>
      <c r="T244" s="75">
        <f>VLOOKUP(B244,'115+260'!$B$15:$AB$647,6,FALSE)</f>
        <v>267</v>
      </c>
      <c r="U244" s="74">
        <f t="shared" si="43"/>
        <v>2541</v>
      </c>
      <c r="V244" s="73">
        <f>VLOOKUP(B244,'115+260'!$B$15:$AB$647,15,FALSE)</f>
        <v>-459</v>
      </c>
      <c r="W244" s="72">
        <f>'115+260'!S245</f>
        <v>0</v>
      </c>
      <c r="X244" s="71">
        <f t="shared" si="48"/>
        <v>209</v>
      </c>
      <c r="Y244" s="70">
        <f t="shared" si="49"/>
        <v>0</v>
      </c>
      <c r="Z244" s="69">
        <f t="shared" si="50"/>
        <v>0</v>
      </c>
      <c r="AA244" s="68">
        <f t="shared" si="51"/>
        <v>2.4729999999999999</v>
      </c>
      <c r="AB244" s="68">
        <f t="shared" si="52"/>
        <v>2.0179999999999998</v>
      </c>
    </row>
    <row r="245" spans="2:28">
      <c r="B245" s="110">
        <f>'115+260'!B246</f>
        <v>45483</v>
      </c>
      <c r="C245" s="80">
        <f t="shared" si="44"/>
        <v>1</v>
      </c>
      <c r="D245" s="79">
        <f t="shared" si="45"/>
        <v>1069</v>
      </c>
      <c r="E245" s="78">
        <f>VLOOKUP(B245,'115+260'!B246:AB274,3,FALSE)</f>
        <v>1741</v>
      </c>
      <c r="F245" s="75">
        <f t="shared" si="40"/>
        <v>2810</v>
      </c>
      <c r="G245" s="77">
        <f>VLOOKUP(B245,'115+260'!$B$15:$AB$647,20,FALSE)</f>
        <v>2053</v>
      </c>
      <c r="H245" s="77">
        <f>VLOOKUP(B245,'115+260'!$B$15:$AB$647,4,FALSE)</f>
        <v>257</v>
      </c>
      <c r="I245" s="74">
        <f t="shared" si="41"/>
        <v>2553</v>
      </c>
      <c r="J245" s="74">
        <f>VLOOKUP(B245,'115+260'!$B$15:$AB$647,13,FALSE)</f>
        <v>-447</v>
      </c>
      <c r="K245" s="72">
        <f>'115+260'!Q246</f>
        <v>0</v>
      </c>
      <c r="L245" s="71">
        <f t="shared" si="46"/>
        <v>247</v>
      </c>
      <c r="M245" s="76">
        <f>VLOOKUP(B245,'115+260'!$B$14:$AB$647,21,FALSE)</f>
        <v>2049</v>
      </c>
      <c r="N245" s="75">
        <f>VLOOKUP(B245,'115+260'!$B$15:$AB$647,5,FALSE)</f>
        <v>281</v>
      </c>
      <c r="O245" s="74">
        <f t="shared" si="42"/>
        <v>2529</v>
      </c>
      <c r="P245" s="74">
        <f>VLOOKUP(B245,'115+260'!$B$15:$AB$647,14,FALSE)</f>
        <v>-471</v>
      </c>
      <c r="Q245" s="72">
        <f>'115+260'!R246</f>
        <v>0</v>
      </c>
      <c r="R245" s="71">
        <f t="shared" si="47"/>
        <v>251</v>
      </c>
      <c r="S245" s="76">
        <f>VLOOKUP(B245,'115+260'!$B$14:$AB$647,22,FALSE)</f>
        <v>2091</v>
      </c>
      <c r="T245" s="75">
        <f>VLOOKUP(B245,'115+260'!$B$15:$AB$647,6,FALSE)</f>
        <v>269</v>
      </c>
      <c r="U245" s="74">
        <f t="shared" si="43"/>
        <v>2541</v>
      </c>
      <c r="V245" s="73">
        <f>VLOOKUP(B245,'115+260'!$B$15:$AB$647,15,FALSE)</f>
        <v>-459</v>
      </c>
      <c r="W245" s="72">
        <f>'115+260'!S246</f>
        <v>0</v>
      </c>
      <c r="X245" s="71">
        <f t="shared" si="48"/>
        <v>209</v>
      </c>
      <c r="Y245" s="70">
        <f t="shared" si="49"/>
        <v>0</v>
      </c>
      <c r="Z245" s="69">
        <f t="shared" si="50"/>
        <v>0</v>
      </c>
      <c r="AA245" s="68">
        <f t="shared" si="51"/>
        <v>2.4729999999999999</v>
      </c>
      <c r="AB245" s="68">
        <f t="shared" si="52"/>
        <v>2.0179999999999998</v>
      </c>
    </row>
    <row r="246" spans="2:28">
      <c r="B246" s="110">
        <f>'115+260'!B247</f>
        <v>45484</v>
      </c>
      <c r="C246" s="80">
        <f t="shared" si="44"/>
        <v>1</v>
      </c>
      <c r="D246" s="79">
        <f t="shared" si="45"/>
        <v>1069</v>
      </c>
      <c r="E246" s="78">
        <f>VLOOKUP(B246,'115+260'!B247:AB274,3,FALSE)</f>
        <v>1743</v>
      </c>
      <c r="F246" s="75">
        <f t="shared" si="40"/>
        <v>2812</v>
      </c>
      <c r="G246" s="77">
        <f>VLOOKUP(B246,'115+260'!$B$15:$AB$647,20,FALSE)</f>
        <v>2053</v>
      </c>
      <c r="H246" s="77">
        <f>VLOOKUP(B246,'115+260'!$B$15:$AB$647,4,FALSE)</f>
        <v>259</v>
      </c>
      <c r="I246" s="74">
        <f t="shared" si="41"/>
        <v>2553</v>
      </c>
      <c r="J246" s="74">
        <f>VLOOKUP(B246,'115+260'!$B$15:$AB$647,13,FALSE)</f>
        <v>-447</v>
      </c>
      <c r="K246" s="72">
        <f>'115+260'!Q247</f>
        <v>0</v>
      </c>
      <c r="L246" s="71">
        <f t="shared" si="46"/>
        <v>247</v>
      </c>
      <c r="M246" s="76">
        <f>VLOOKUP(B246,'115+260'!$B$14:$AB$647,21,FALSE)</f>
        <v>2049</v>
      </c>
      <c r="N246" s="75">
        <f>VLOOKUP(B246,'115+260'!$B$15:$AB$647,5,FALSE)</f>
        <v>283</v>
      </c>
      <c r="O246" s="74">
        <f t="shared" si="42"/>
        <v>2529</v>
      </c>
      <c r="P246" s="74">
        <f>VLOOKUP(B246,'115+260'!$B$15:$AB$647,14,FALSE)</f>
        <v>-471</v>
      </c>
      <c r="Q246" s="72">
        <f>'115+260'!R247</f>
        <v>0</v>
      </c>
      <c r="R246" s="71">
        <f t="shared" si="47"/>
        <v>251</v>
      </c>
      <c r="S246" s="76">
        <f>VLOOKUP(B246,'115+260'!$B$14:$AB$647,22,FALSE)</f>
        <v>2091</v>
      </c>
      <c r="T246" s="75">
        <f>VLOOKUP(B246,'115+260'!$B$15:$AB$647,6,FALSE)</f>
        <v>271</v>
      </c>
      <c r="U246" s="74">
        <f t="shared" si="43"/>
        <v>2541</v>
      </c>
      <c r="V246" s="73">
        <f>VLOOKUP(B246,'115+260'!$B$15:$AB$647,15,FALSE)</f>
        <v>-459</v>
      </c>
      <c r="W246" s="72">
        <f>'115+260'!S247</f>
        <v>0</v>
      </c>
      <c r="X246" s="71">
        <f t="shared" si="48"/>
        <v>209</v>
      </c>
      <c r="Y246" s="70">
        <f t="shared" si="49"/>
        <v>0</v>
      </c>
      <c r="Z246" s="69">
        <f t="shared" si="50"/>
        <v>0</v>
      </c>
      <c r="AA246" s="68">
        <f t="shared" si="51"/>
        <v>2.4729999999999999</v>
      </c>
      <c r="AB246" s="68">
        <f t="shared" si="52"/>
        <v>2.0179999999999998</v>
      </c>
    </row>
    <row r="247" spans="2:28">
      <c r="B247" s="110">
        <f>'115+260'!B248</f>
        <v>45485</v>
      </c>
      <c r="C247" s="80">
        <f t="shared" si="44"/>
        <v>1</v>
      </c>
      <c r="D247" s="79">
        <f t="shared" si="45"/>
        <v>1069</v>
      </c>
      <c r="E247" s="78">
        <f>VLOOKUP(B247,'115+260'!B248:AB274,3,FALSE)</f>
        <v>1745</v>
      </c>
      <c r="F247" s="75">
        <f t="shared" si="40"/>
        <v>2814</v>
      </c>
      <c r="G247" s="77">
        <f>VLOOKUP(B247,'115+260'!$B$15:$AB$647,20,FALSE)</f>
        <v>2053</v>
      </c>
      <c r="H247" s="77">
        <f>VLOOKUP(B247,'115+260'!$B$15:$AB$647,4,FALSE)</f>
        <v>261</v>
      </c>
      <c r="I247" s="74">
        <f t="shared" si="41"/>
        <v>2553</v>
      </c>
      <c r="J247" s="74">
        <f>VLOOKUP(B247,'115+260'!$B$15:$AB$647,13,FALSE)</f>
        <v>-447</v>
      </c>
      <c r="K247" s="72">
        <f>'115+260'!Q248</f>
        <v>0</v>
      </c>
      <c r="L247" s="71">
        <f t="shared" si="46"/>
        <v>247</v>
      </c>
      <c r="M247" s="76">
        <f>VLOOKUP(B247,'115+260'!$B$14:$AB$647,21,FALSE)</f>
        <v>2049</v>
      </c>
      <c r="N247" s="75">
        <f>VLOOKUP(B247,'115+260'!$B$15:$AB$647,5,FALSE)</f>
        <v>285</v>
      </c>
      <c r="O247" s="74">
        <f t="shared" si="42"/>
        <v>2529</v>
      </c>
      <c r="P247" s="74">
        <f>VLOOKUP(B247,'115+260'!$B$15:$AB$647,14,FALSE)</f>
        <v>-471</v>
      </c>
      <c r="Q247" s="72">
        <f>'115+260'!R248</f>
        <v>0</v>
      </c>
      <c r="R247" s="71">
        <f t="shared" si="47"/>
        <v>251</v>
      </c>
      <c r="S247" s="76">
        <f>VLOOKUP(B247,'115+260'!$B$14:$AB$647,22,FALSE)</f>
        <v>2091</v>
      </c>
      <c r="T247" s="75">
        <f>VLOOKUP(B247,'115+260'!$B$15:$AB$647,6,FALSE)</f>
        <v>273</v>
      </c>
      <c r="U247" s="74">
        <f t="shared" si="43"/>
        <v>2541</v>
      </c>
      <c r="V247" s="73">
        <f>VLOOKUP(B247,'115+260'!$B$15:$AB$647,15,FALSE)</f>
        <v>-459</v>
      </c>
      <c r="W247" s="72">
        <f>'115+260'!S248</f>
        <v>0</v>
      </c>
      <c r="X247" s="71">
        <f t="shared" si="48"/>
        <v>209</v>
      </c>
      <c r="Y247" s="70">
        <f t="shared" si="49"/>
        <v>0</v>
      </c>
      <c r="Z247" s="69">
        <f t="shared" si="50"/>
        <v>0</v>
      </c>
      <c r="AA247" s="68">
        <f t="shared" si="51"/>
        <v>2.4729999999999999</v>
      </c>
      <c r="AB247" s="68">
        <f t="shared" si="52"/>
        <v>2.0179999999999998</v>
      </c>
    </row>
    <row r="248" spans="2:28">
      <c r="B248" s="110">
        <f>'115+260'!B249</f>
        <v>45486</v>
      </c>
      <c r="C248" s="80">
        <f t="shared" si="44"/>
        <v>1</v>
      </c>
      <c r="D248" s="79">
        <f t="shared" si="45"/>
        <v>1069</v>
      </c>
      <c r="E248" s="78">
        <f>VLOOKUP(B248,'115+260'!B249:AB274,3,FALSE)</f>
        <v>1747</v>
      </c>
      <c r="F248" s="75">
        <f t="shared" si="40"/>
        <v>2816</v>
      </c>
      <c r="G248" s="77">
        <f>VLOOKUP(B248,'115+260'!$B$15:$AB$647,20,FALSE)</f>
        <v>2053</v>
      </c>
      <c r="H248" s="77">
        <f>VLOOKUP(B248,'115+260'!$B$15:$AB$647,4,FALSE)</f>
        <v>263</v>
      </c>
      <c r="I248" s="74">
        <f t="shared" si="41"/>
        <v>2553</v>
      </c>
      <c r="J248" s="74">
        <f>VLOOKUP(B248,'115+260'!$B$15:$AB$647,13,FALSE)</f>
        <v>-447</v>
      </c>
      <c r="K248" s="72">
        <f>'115+260'!Q249</f>
        <v>0</v>
      </c>
      <c r="L248" s="71">
        <f t="shared" si="46"/>
        <v>247</v>
      </c>
      <c r="M248" s="76">
        <f>VLOOKUP(B248,'115+260'!$B$14:$AB$647,21,FALSE)</f>
        <v>2049</v>
      </c>
      <c r="N248" s="75">
        <f>VLOOKUP(B248,'115+260'!$B$15:$AB$647,5,FALSE)</f>
        <v>287</v>
      </c>
      <c r="O248" s="74">
        <f t="shared" si="42"/>
        <v>2529</v>
      </c>
      <c r="P248" s="74">
        <f>VLOOKUP(B248,'115+260'!$B$15:$AB$647,14,FALSE)</f>
        <v>-471</v>
      </c>
      <c r="Q248" s="72">
        <f>'115+260'!R249</f>
        <v>0</v>
      </c>
      <c r="R248" s="71">
        <f t="shared" si="47"/>
        <v>251</v>
      </c>
      <c r="S248" s="76">
        <f>VLOOKUP(B248,'115+260'!$B$14:$AB$647,22,FALSE)</f>
        <v>2091</v>
      </c>
      <c r="T248" s="75">
        <f>VLOOKUP(B248,'115+260'!$B$15:$AB$647,6,FALSE)</f>
        <v>275</v>
      </c>
      <c r="U248" s="74">
        <f t="shared" si="43"/>
        <v>2541</v>
      </c>
      <c r="V248" s="73">
        <f>VLOOKUP(B248,'115+260'!$B$15:$AB$647,15,FALSE)</f>
        <v>-459</v>
      </c>
      <c r="W248" s="72">
        <f>'115+260'!S249</f>
        <v>0</v>
      </c>
      <c r="X248" s="71">
        <f t="shared" si="48"/>
        <v>209</v>
      </c>
      <c r="Y248" s="70">
        <f t="shared" si="49"/>
        <v>0</v>
      </c>
      <c r="Z248" s="69">
        <f t="shared" si="50"/>
        <v>0</v>
      </c>
      <c r="AA248" s="68">
        <f t="shared" si="51"/>
        <v>2.4729999999999999</v>
      </c>
      <c r="AB248" s="68">
        <f t="shared" si="52"/>
        <v>2.0179999999999998</v>
      </c>
    </row>
    <row r="249" spans="2:28">
      <c r="B249" s="110">
        <f>'115+260'!B250</f>
        <v>45487</v>
      </c>
      <c r="C249" s="80">
        <f t="shared" si="44"/>
        <v>1</v>
      </c>
      <c r="D249" s="79">
        <f t="shared" si="45"/>
        <v>1069</v>
      </c>
      <c r="E249" s="78">
        <f>VLOOKUP(B249,'115+260'!B250:AB274,3,FALSE)</f>
        <v>1749</v>
      </c>
      <c r="F249" s="75">
        <f t="shared" si="40"/>
        <v>2818</v>
      </c>
      <c r="G249" s="77">
        <f>VLOOKUP(B249,'115+260'!$B$15:$AB$647,20,FALSE)</f>
        <v>2053</v>
      </c>
      <c r="H249" s="77">
        <f>VLOOKUP(B249,'115+260'!$B$15:$AB$647,4,FALSE)</f>
        <v>265</v>
      </c>
      <c r="I249" s="74">
        <f t="shared" si="41"/>
        <v>2553</v>
      </c>
      <c r="J249" s="74">
        <f>VLOOKUP(B249,'115+260'!$B$15:$AB$647,13,FALSE)</f>
        <v>-447</v>
      </c>
      <c r="K249" s="72">
        <f>'115+260'!Q250</f>
        <v>0</v>
      </c>
      <c r="L249" s="71">
        <f t="shared" si="46"/>
        <v>247</v>
      </c>
      <c r="M249" s="76">
        <f>VLOOKUP(B249,'115+260'!$B$14:$AB$647,21,FALSE)</f>
        <v>2049</v>
      </c>
      <c r="N249" s="75">
        <f>VLOOKUP(B249,'115+260'!$B$15:$AB$647,5,FALSE)</f>
        <v>289</v>
      </c>
      <c r="O249" s="74">
        <f t="shared" si="42"/>
        <v>2529</v>
      </c>
      <c r="P249" s="74">
        <f>VLOOKUP(B249,'115+260'!$B$15:$AB$647,14,FALSE)</f>
        <v>-471</v>
      </c>
      <c r="Q249" s="72">
        <f>'115+260'!R250</f>
        <v>0</v>
      </c>
      <c r="R249" s="71">
        <f t="shared" si="47"/>
        <v>251</v>
      </c>
      <c r="S249" s="76">
        <f>VLOOKUP(B249,'115+260'!$B$14:$AB$647,22,FALSE)</f>
        <v>2091</v>
      </c>
      <c r="T249" s="75">
        <f>VLOOKUP(B249,'115+260'!$B$15:$AB$647,6,FALSE)</f>
        <v>277</v>
      </c>
      <c r="U249" s="74">
        <f t="shared" si="43"/>
        <v>2541</v>
      </c>
      <c r="V249" s="73">
        <f>VLOOKUP(B249,'115+260'!$B$15:$AB$647,15,FALSE)</f>
        <v>-459</v>
      </c>
      <c r="W249" s="72">
        <f>'115+260'!S250</f>
        <v>0</v>
      </c>
      <c r="X249" s="71">
        <f t="shared" si="48"/>
        <v>209</v>
      </c>
      <c r="Y249" s="70">
        <f t="shared" si="49"/>
        <v>0</v>
      </c>
      <c r="Z249" s="69">
        <f t="shared" si="50"/>
        <v>0</v>
      </c>
      <c r="AA249" s="68">
        <f t="shared" si="51"/>
        <v>2.4729999999999999</v>
      </c>
      <c r="AB249" s="68">
        <f t="shared" si="52"/>
        <v>2.0179999999999998</v>
      </c>
    </row>
    <row r="250" spans="2:28">
      <c r="B250" s="110">
        <f>'115+260'!B251</f>
        <v>45488</v>
      </c>
      <c r="C250" s="80">
        <f t="shared" si="44"/>
        <v>1</v>
      </c>
      <c r="D250" s="79">
        <f t="shared" si="45"/>
        <v>1069</v>
      </c>
      <c r="E250" s="78">
        <f>VLOOKUP(B250,'115+260'!B251:AB274,3,FALSE)</f>
        <v>1751</v>
      </c>
      <c r="F250" s="75">
        <f t="shared" si="40"/>
        <v>2820</v>
      </c>
      <c r="G250" s="77">
        <f>VLOOKUP(B250,'115+260'!$B$15:$AB$647,20,FALSE)</f>
        <v>2053</v>
      </c>
      <c r="H250" s="77">
        <f>VLOOKUP(B250,'115+260'!$B$15:$AB$647,4,FALSE)</f>
        <v>267</v>
      </c>
      <c r="I250" s="74">
        <f t="shared" si="41"/>
        <v>2553</v>
      </c>
      <c r="J250" s="74">
        <f>VLOOKUP(B250,'115+260'!$B$15:$AB$647,13,FALSE)</f>
        <v>-447</v>
      </c>
      <c r="K250" s="72">
        <f>'115+260'!Q251</f>
        <v>0</v>
      </c>
      <c r="L250" s="71">
        <f t="shared" si="46"/>
        <v>247</v>
      </c>
      <c r="M250" s="76">
        <f>VLOOKUP(B250,'115+260'!$B$14:$AB$647,21,FALSE)</f>
        <v>2049</v>
      </c>
      <c r="N250" s="75">
        <f>VLOOKUP(B250,'115+260'!$B$15:$AB$647,5,FALSE)</f>
        <v>291</v>
      </c>
      <c r="O250" s="74">
        <f t="shared" si="42"/>
        <v>2529</v>
      </c>
      <c r="P250" s="74">
        <f>VLOOKUP(B250,'115+260'!$B$15:$AB$647,14,FALSE)</f>
        <v>-471</v>
      </c>
      <c r="Q250" s="72">
        <f>'115+260'!R251</f>
        <v>0</v>
      </c>
      <c r="R250" s="71">
        <f t="shared" si="47"/>
        <v>251</v>
      </c>
      <c r="S250" s="76">
        <f>VLOOKUP(B250,'115+260'!$B$14:$AB$647,22,FALSE)</f>
        <v>2091</v>
      </c>
      <c r="T250" s="75">
        <f>VLOOKUP(B250,'115+260'!$B$15:$AB$647,6,FALSE)</f>
        <v>279</v>
      </c>
      <c r="U250" s="74">
        <f t="shared" si="43"/>
        <v>2541</v>
      </c>
      <c r="V250" s="73">
        <f>VLOOKUP(B250,'115+260'!$B$15:$AB$647,15,FALSE)</f>
        <v>-459</v>
      </c>
      <c r="W250" s="72">
        <f>'115+260'!S251</f>
        <v>0</v>
      </c>
      <c r="X250" s="71">
        <f t="shared" si="48"/>
        <v>209</v>
      </c>
      <c r="Y250" s="70">
        <f t="shared" si="49"/>
        <v>0</v>
      </c>
      <c r="Z250" s="69">
        <f t="shared" si="50"/>
        <v>0</v>
      </c>
      <c r="AA250" s="68">
        <f t="shared" si="51"/>
        <v>2.4729999999999999</v>
      </c>
      <c r="AB250" s="68">
        <f t="shared" si="52"/>
        <v>2.0179999999999998</v>
      </c>
    </row>
    <row r="251" spans="2:28">
      <c r="B251" s="110">
        <f>'115+260'!B252</f>
        <v>45489</v>
      </c>
      <c r="C251" s="80">
        <f t="shared" si="44"/>
        <v>1</v>
      </c>
      <c r="D251" s="79">
        <f t="shared" si="45"/>
        <v>1069</v>
      </c>
      <c r="E251" s="78">
        <f>VLOOKUP(B251,'115+260'!B252:AB274,3,FALSE)</f>
        <v>1753</v>
      </c>
      <c r="F251" s="75">
        <f t="shared" si="40"/>
        <v>2822</v>
      </c>
      <c r="G251" s="77">
        <f>VLOOKUP(B251,'115+260'!$B$15:$AB$647,20,FALSE)</f>
        <v>2053</v>
      </c>
      <c r="H251" s="77">
        <f>VLOOKUP(B251,'115+260'!$B$15:$AB$647,4,FALSE)</f>
        <v>269</v>
      </c>
      <c r="I251" s="74">
        <f t="shared" si="41"/>
        <v>2553</v>
      </c>
      <c r="J251" s="74">
        <f>VLOOKUP(B251,'115+260'!$B$15:$AB$647,13,FALSE)</f>
        <v>-447</v>
      </c>
      <c r="K251" s="72">
        <f>'115+260'!Q252</f>
        <v>0</v>
      </c>
      <c r="L251" s="71">
        <f t="shared" si="46"/>
        <v>247</v>
      </c>
      <c r="M251" s="76">
        <f>VLOOKUP(B251,'115+260'!$B$14:$AB$647,21,FALSE)</f>
        <v>2049</v>
      </c>
      <c r="N251" s="75">
        <f>VLOOKUP(B251,'115+260'!$B$15:$AB$647,5,FALSE)</f>
        <v>293</v>
      </c>
      <c r="O251" s="74">
        <f t="shared" si="42"/>
        <v>2529</v>
      </c>
      <c r="P251" s="74">
        <f>VLOOKUP(B251,'115+260'!$B$15:$AB$647,14,FALSE)</f>
        <v>-471</v>
      </c>
      <c r="Q251" s="72">
        <f>'115+260'!R252</f>
        <v>0</v>
      </c>
      <c r="R251" s="71">
        <f t="shared" si="47"/>
        <v>251</v>
      </c>
      <c r="S251" s="76">
        <f>VLOOKUP(B251,'115+260'!$B$14:$AB$647,22,FALSE)</f>
        <v>2091</v>
      </c>
      <c r="T251" s="75">
        <f>VLOOKUP(B251,'115+260'!$B$15:$AB$647,6,FALSE)</f>
        <v>281</v>
      </c>
      <c r="U251" s="74">
        <f t="shared" si="43"/>
        <v>2541</v>
      </c>
      <c r="V251" s="73">
        <f>VLOOKUP(B251,'115+260'!$B$15:$AB$647,15,FALSE)</f>
        <v>-459</v>
      </c>
      <c r="W251" s="72">
        <f>'115+260'!S252</f>
        <v>0</v>
      </c>
      <c r="X251" s="71">
        <f t="shared" si="48"/>
        <v>209</v>
      </c>
      <c r="Y251" s="70">
        <f t="shared" si="49"/>
        <v>0</v>
      </c>
      <c r="Z251" s="69">
        <f t="shared" si="50"/>
        <v>0</v>
      </c>
      <c r="AA251" s="68">
        <f t="shared" si="51"/>
        <v>2.4729999999999999</v>
      </c>
      <c r="AB251" s="68">
        <f t="shared" si="52"/>
        <v>2.0179999999999998</v>
      </c>
    </row>
    <row r="252" spans="2:28">
      <c r="B252" s="110">
        <f>'115+260'!B253</f>
        <v>45490</v>
      </c>
      <c r="C252" s="80">
        <f t="shared" si="44"/>
        <v>1</v>
      </c>
      <c r="D252" s="79">
        <f t="shared" si="45"/>
        <v>1069</v>
      </c>
      <c r="E252" s="78">
        <f>VLOOKUP(B252,'115+260'!B253:AB274,3,FALSE)</f>
        <v>1755</v>
      </c>
      <c r="F252" s="75">
        <f t="shared" si="40"/>
        <v>2824</v>
      </c>
      <c r="G252" s="77">
        <f>VLOOKUP(B252,'115+260'!$B$15:$AB$647,20,FALSE)</f>
        <v>2053</v>
      </c>
      <c r="H252" s="77">
        <f>VLOOKUP(B252,'115+260'!$B$15:$AB$647,4,FALSE)</f>
        <v>271</v>
      </c>
      <c r="I252" s="74">
        <f t="shared" si="41"/>
        <v>2553</v>
      </c>
      <c r="J252" s="74">
        <f>VLOOKUP(B252,'115+260'!$B$15:$AB$647,13,FALSE)</f>
        <v>-447</v>
      </c>
      <c r="K252" s="72">
        <f>'115+260'!Q253</f>
        <v>0</v>
      </c>
      <c r="L252" s="71">
        <f t="shared" si="46"/>
        <v>247</v>
      </c>
      <c r="M252" s="76">
        <f>VLOOKUP(B252,'115+260'!$B$14:$AB$647,21,FALSE)</f>
        <v>2049</v>
      </c>
      <c r="N252" s="75">
        <f>VLOOKUP(B252,'115+260'!$B$15:$AB$647,5,FALSE)</f>
        <v>295</v>
      </c>
      <c r="O252" s="74">
        <f t="shared" si="42"/>
        <v>2529</v>
      </c>
      <c r="P252" s="74">
        <f>VLOOKUP(B252,'115+260'!$B$15:$AB$647,14,FALSE)</f>
        <v>-471</v>
      </c>
      <c r="Q252" s="72">
        <f>'115+260'!R253</f>
        <v>0</v>
      </c>
      <c r="R252" s="71">
        <f t="shared" si="47"/>
        <v>251</v>
      </c>
      <c r="S252" s="76">
        <f>VLOOKUP(B252,'115+260'!$B$14:$AB$647,22,FALSE)</f>
        <v>2091</v>
      </c>
      <c r="T252" s="75">
        <f>VLOOKUP(B252,'115+260'!$B$15:$AB$647,6,FALSE)</f>
        <v>283</v>
      </c>
      <c r="U252" s="74">
        <f t="shared" si="43"/>
        <v>2541</v>
      </c>
      <c r="V252" s="73">
        <f>VLOOKUP(B252,'115+260'!$B$15:$AB$647,15,FALSE)</f>
        <v>-459</v>
      </c>
      <c r="W252" s="72">
        <f>'115+260'!S253</f>
        <v>0</v>
      </c>
      <c r="X252" s="71">
        <f t="shared" si="48"/>
        <v>209</v>
      </c>
      <c r="Y252" s="70">
        <f t="shared" si="49"/>
        <v>0</v>
      </c>
      <c r="Z252" s="69">
        <f t="shared" si="50"/>
        <v>0</v>
      </c>
      <c r="AA252" s="68">
        <f t="shared" si="51"/>
        <v>2.4729999999999999</v>
      </c>
      <c r="AB252" s="68">
        <f t="shared" si="52"/>
        <v>2.0179999999999998</v>
      </c>
    </row>
    <row r="253" spans="2:28">
      <c r="B253" s="110">
        <f>'115+260'!B254</f>
        <v>45491</v>
      </c>
      <c r="C253" s="80">
        <f t="shared" si="44"/>
        <v>1</v>
      </c>
      <c r="D253" s="79">
        <f t="shared" si="45"/>
        <v>1069</v>
      </c>
      <c r="E253" s="78">
        <f>VLOOKUP(B253,'115+260'!B254:AB274,3,FALSE)</f>
        <v>1757</v>
      </c>
      <c r="F253" s="75">
        <f t="shared" si="40"/>
        <v>2826</v>
      </c>
      <c r="G253" s="77">
        <f>VLOOKUP(B253,'115+260'!$B$15:$AB$647,20,FALSE)</f>
        <v>2053</v>
      </c>
      <c r="H253" s="77">
        <f>VLOOKUP(B253,'115+260'!$B$15:$AB$647,4,FALSE)</f>
        <v>273</v>
      </c>
      <c r="I253" s="74">
        <f t="shared" si="41"/>
        <v>2553</v>
      </c>
      <c r="J253" s="74">
        <f>VLOOKUP(B253,'115+260'!$B$15:$AB$647,13,FALSE)</f>
        <v>-447</v>
      </c>
      <c r="K253" s="72">
        <f>'115+260'!Q254</f>
        <v>0</v>
      </c>
      <c r="L253" s="71">
        <f t="shared" si="46"/>
        <v>247</v>
      </c>
      <c r="M253" s="76">
        <f>VLOOKUP(B253,'115+260'!$B$14:$AB$647,21,FALSE)</f>
        <v>2049</v>
      </c>
      <c r="N253" s="75">
        <f>VLOOKUP(B253,'115+260'!$B$15:$AB$647,5,FALSE)</f>
        <v>297</v>
      </c>
      <c r="O253" s="74">
        <f t="shared" si="42"/>
        <v>2529</v>
      </c>
      <c r="P253" s="74">
        <f>VLOOKUP(B253,'115+260'!$B$15:$AB$647,14,FALSE)</f>
        <v>-471</v>
      </c>
      <c r="Q253" s="72">
        <f>'115+260'!R254</f>
        <v>0</v>
      </c>
      <c r="R253" s="71">
        <f t="shared" si="47"/>
        <v>251</v>
      </c>
      <c r="S253" s="76">
        <f>VLOOKUP(B253,'115+260'!$B$14:$AB$647,22,FALSE)</f>
        <v>2091</v>
      </c>
      <c r="T253" s="75">
        <f>VLOOKUP(B253,'115+260'!$B$15:$AB$647,6,FALSE)</f>
        <v>285</v>
      </c>
      <c r="U253" s="74">
        <f t="shared" si="43"/>
        <v>2541</v>
      </c>
      <c r="V253" s="73">
        <f>VLOOKUP(B253,'115+260'!$B$15:$AB$647,15,FALSE)</f>
        <v>-459</v>
      </c>
      <c r="W253" s="72">
        <f>'115+260'!S254</f>
        <v>0</v>
      </c>
      <c r="X253" s="71">
        <f t="shared" si="48"/>
        <v>209</v>
      </c>
      <c r="Y253" s="70">
        <f t="shared" si="49"/>
        <v>0</v>
      </c>
      <c r="Z253" s="69">
        <f t="shared" si="50"/>
        <v>0</v>
      </c>
      <c r="AA253" s="68">
        <f t="shared" si="51"/>
        <v>2.4729999999999999</v>
      </c>
      <c r="AB253" s="68">
        <f t="shared" si="52"/>
        <v>2.0179999999999998</v>
      </c>
    </row>
    <row r="254" spans="2:28">
      <c r="B254" s="110">
        <f>'115+260'!B255</f>
        <v>45492</v>
      </c>
      <c r="C254" s="80">
        <f t="shared" si="44"/>
        <v>1</v>
      </c>
      <c r="D254" s="79">
        <f t="shared" si="45"/>
        <v>1069</v>
      </c>
      <c r="E254" s="78">
        <f>VLOOKUP(B254,'115+260'!B255:AB274,3,FALSE)</f>
        <v>1759</v>
      </c>
      <c r="F254" s="75">
        <f t="shared" si="40"/>
        <v>2828</v>
      </c>
      <c r="G254" s="77">
        <f>VLOOKUP(B254,'115+260'!$B$15:$AB$647,20,FALSE)</f>
        <v>2053</v>
      </c>
      <c r="H254" s="77">
        <f>VLOOKUP(B254,'115+260'!$B$15:$AB$647,4,FALSE)</f>
        <v>275</v>
      </c>
      <c r="I254" s="74">
        <f t="shared" si="41"/>
        <v>2553</v>
      </c>
      <c r="J254" s="74">
        <f>VLOOKUP(B254,'115+260'!$B$15:$AB$647,13,FALSE)</f>
        <v>-447</v>
      </c>
      <c r="K254" s="72">
        <f>'115+260'!Q255</f>
        <v>0</v>
      </c>
      <c r="L254" s="71">
        <f t="shared" si="46"/>
        <v>247</v>
      </c>
      <c r="M254" s="76">
        <f>VLOOKUP(B254,'115+260'!$B$14:$AB$647,21,FALSE)</f>
        <v>2049</v>
      </c>
      <c r="N254" s="75">
        <f>VLOOKUP(B254,'115+260'!$B$15:$AB$647,5,FALSE)</f>
        <v>299</v>
      </c>
      <c r="O254" s="74">
        <f t="shared" si="42"/>
        <v>2529</v>
      </c>
      <c r="P254" s="74">
        <f>VLOOKUP(B254,'115+260'!$B$15:$AB$647,14,FALSE)</f>
        <v>-471</v>
      </c>
      <c r="Q254" s="72">
        <f>'115+260'!R255</f>
        <v>0</v>
      </c>
      <c r="R254" s="71">
        <f t="shared" si="47"/>
        <v>251</v>
      </c>
      <c r="S254" s="76">
        <f>VLOOKUP(B254,'115+260'!$B$14:$AB$647,22,FALSE)</f>
        <v>2091</v>
      </c>
      <c r="T254" s="75">
        <f>VLOOKUP(B254,'115+260'!$B$15:$AB$647,6,FALSE)</f>
        <v>287</v>
      </c>
      <c r="U254" s="74">
        <f t="shared" si="43"/>
        <v>2541</v>
      </c>
      <c r="V254" s="73">
        <f>VLOOKUP(B254,'115+260'!$B$15:$AB$647,15,FALSE)</f>
        <v>-459</v>
      </c>
      <c r="W254" s="72">
        <f>'115+260'!S255</f>
        <v>0</v>
      </c>
      <c r="X254" s="71">
        <f t="shared" si="48"/>
        <v>209</v>
      </c>
      <c r="Y254" s="70">
        <f t="shared" si="49"/>
        <v>0</v>
      </c>
      <c r="Z254" s="69">
        <f t="shared" si="50"/>
        <v>0</v>
      </c>
      <c r="AA254" s="68">
        <f t="shared" si="51"/>
        <v>2.4729999999999999</v>
      </c>
      <c r="AB254" s="68">
        <f t="shared" si="52"/>
        <v>2.0179999999999998</v>
      </c>
    </row>
    <row r="255" spans="2:28">
      <c r="B255" s="110">
        <f>'115+260'!B256</f>
        <v>45493</v>
      </c>
      <c r="C255" s="80">
        <f t="shared" si="44"/>
        <v>1</v>
      </c>
      <c r="D255" s="79">
        <f t="shared" si="45"/>
        <v>1069</v>
      </c>
      <c r="E255" s="78">
        <f>VLOOKUP(B255,'115+260'!B256:AB274,3,FALSE)</f>
        <v>1761</v>
      </c>
      <c r="F255" s="75">
        <f t="shared" si="40"/>
        <v>2830</v>
      </c>
      <c r="G255" s="77">
        <f>VLOOKUP(B255,'115+260'!$B$15:$AB$647,20,FALSE)</f>
        <v>2053</v>
      </c>
      <c r="H255" s="77">
        <f>VLOOKUP(B255,'115+260'!$B$15:$AB$647,4,FALSE)</f>
        <v>277</v>
      </c>
      <c r="I255" s="74">
        <f t="shared" si="41"/>
        <v>2553</v>
      </c>
      <c r="J255" s="74">
        <f>VLOOKUP(B255,'115+260'!$B$15:$AB$647,13,FALSE)</f>
        <v>-447</v>
      </c>
      <c r="K255" s="72">
        <f>'115+260'!Q256</f>
        <v>0</v>
      </c>
      <c r="L255" s="71">
        <f t="shared" si="46"/>
        <v>247</v>
      </c>
      <c r="M255" s="76">
        <f>VLOOKUP(B255,'115+260'!$B$14:$AB$647,21,FALSE)</f>
        <v>2049</v>
      </c>
      <c r="N255" s="75">
        <f>VLOOKUP(B255,'115+260'!$B$15:$AB$647,5,FALSE)</f>
        <v>301</v>
      </c>
      <c r="O255" s="74">
        <f t="shared" si="42"/>
        <v>2529</v>
      </c>
      <c r="P255" s="74">
        <f>VLOOKUP(B255,'115+260'!$B$15:$AB$647,14,FALSE)</f>
        <v>-471</v>
      </c>
      <c r="Q255" s="72">
        <f>'115+260'!R256</f>
        <v>0</v>
      </c>
      <c r="R255" s="71">
        <f t="shared" si="47"/>
        <v>251</v>
      </c>
      <c r="S255" s="76">
        <f>VLOOKUP(B255,'115+260'!$B$14:$AB$647,22,FALSE)</f>
        <v>2091</v>
      </c>
      <c r="T255" s="75">
        <f>VLOOKUP(B255,'115+260'!$B$15:$AB$647,6,FALSE)</f>
        <v>289</v>
      </c>
      <c r="U255" s="74">
        <f t="shared" si="43"/>
        <v>2541</v>
      </c>
      <c r="V255" s="73">
        <f>VLOOKUP(B255,'115+260'!$B$15:$AB$647,15,FALSE)</f>
        <v>-459</v>
      </c>
      <c r="W255" s="72">
        <f>'115+260'!S256</f>
        <v>0</v>
      </c>
      <c r="X255" s="71">
        <f t="shared" si="48"/>
        <v>209</v>
      </c>
      <c r="Y255" s="70">
        <f t="shared" si="49"/>
        <v>0</v>
      </c>
      <c r="Z255" s="69">
        <f t="shared" si="50"/>
        <v>0</v>
      </c>
      <c r="AA255" s="68">
        <f t="shared" si="51"/>
        <v>2.4729999999999999</v>
      </c>
      <c r="AB255" s="68">
        <f t="shared" si="52"/>
        <v>2.0179999999999998</v>
      </c>
    </row>
    <row r="256" spans="2:28">
      <c r="B256" s="110">
        <f>'115+260'!B257</f>
        <v>45494</v>
      </c>
      <c r="C256" s="80">
        <f t="shared" si="44"/>
        <v>1</v>
      </c>
      <c r="D256" s="79">
        <f t="shared" si="45"/>
        <v>1069</v>
      </c>
      <c r="E256" s="78">
        <f>VLOOKUP(B256,'115+260'!B257:AB274,3,FALSE)</f>
        <v>1763</v>
      </c>
      <c r="F256" s="75">
        <f t="shared" si="40"/>
        <v>2832</v>
      </c>
      <c r="G256" s="77">
        <f>VLOOKUP(B256,'115+260'!$B$15:$AB$647,20,FALSE)</f>
        <v>2053</v>
      </c>
      <c r="H256" s="77">
        <f>VLOOKUP(B256,'115+260'!$B$15:$AB$647,4,FALSE)</f>
        <v>279</v>
      </c>
      <c r="I256" s="74">
        <f t="shared" si="41"/>
        <v>2553</v>
      </c>
      <c r="J256" s="74">
        <f>VLOOKUP(B256,'115+260'!$B$15:$AB$647,13,FALSE)</f>
        <v>-447</v>
      </c>
      <c r="K256" s="72">
        <f>'115+260'!Q257</f>
        <v>0</v>
      </c>
      <c r="L256" s="71">
        <f t="shared" si="46"/>
        <v>247</v>
      </c>
      <c r="M256" s="76">
        <f>VLOOKUP(B256,'115+260'!$B$14:$AB$647,21,FALSE)</f>
        <v>2049</v>
      </c>
      <c r="N256" s="75">
        <f>VLOOKUP(B256,'115+260'!$B$15:$AB$647,5,FALSE)</f>
        <v>303</v>
      </c>
      <c r="O256" s="74">
        <f t="shared" si="42"/>
        <v>2529</v>
      </c>
      <c r="P256" s="74">
        <f>VLOOKUP(B256,'115+260'!$B$15:$AB$647,14,FALSE)</f>
        <v>-471</v>
      </c>
      <c r="Q256" s="72">
        <f>'115+260'!R257</f>
        <v>0</v>
      </c>
      <c r="R256" s="71">
        <f t="shared" si="47"/>
        <v>251</v>
      </c>
      <c r="S256" s="76">
        <f>VLOOKUP(B256,'115+260'!$B$14:$AB$647,22,FALSE)</f>
        <v>2091</v>
      </c>
      <c r="T256" s="75">
        <f>VLOOKUP(B256,'115+260'!$B$15:$AB$647,6,FALSE)</f>
        <v>291</v>
      </c>
      <c r="U256" s="74">
        <f t="shared" si="43"/>
        <v>2541</v>
      </c>
      <c r="V256" s="73">
        <f>VLOOKUP(B256,'115+260'!$B$15:$AB$647,15,FALSE)</f>
        <v>-459</v>
      </c>
      <c r="W256" s="72">
        <f>'115+260'!S257</f>
        <v>0</v>
      </c>
      <c r="X256" s="71">
        <f t="shared" si="48"/>
        <v>209</v>
      </c>
      <c r="Y256" s="70">
        <f t="shared" si="49"/>
        <v>0</v>
      </c>
      <c r="Z256" s="69">
        <f t="shared" si="50"/>
        <v>0</v>
      </c>
      <c r="AA256" s="68">
        <f t="shared" si="51"/>
        <v>2.4729999999999999</v>
      </c>
      <c r="AB256" s="68">
        <f t="shared" si="52"/>
        <v>2.0179999999999998</v>
      </c>
    </row>
    <row r="257" spans="2:28">
      <c r="B257" s="110">
        <f>'115+260'!B258</f>
        <v>45495</v>
      </c>
      <c r="C257" s="80">
        <f t="shared" si="44"/>
        <v>1</v>
      </c>
      <c r="D257" s="79">
        <f t="shared" si="45"/>
        <v>1069</v>
      </c>
      <c r="E257" s="78">
        <f>VLOOKUP(B257,'115+260'!B258:AB274,3,FALSE)</f>
        <v>1765</v>
      </c>
      <c r="F257" s="75">
        <f t="shared" si="40"/>
        <v>2834</v>
      </c>
      <c r="G257" s="77">
        <f>VLOOKUP(B257,'115+260'!$B$15:$AB$647,20,FALSE)</f>
        <v>2053</v>
      </c>
      <c r="H257" s="77">
        <f>VLOOKUP(B257,'115+260'!$B$15:$AB$647,4,FALSE)</f>
        <v>281</v>
      </c>
      <c r="I257" s="74">
        <f t="shared" si="41"/>
        <v>2553</v>
      </c>
      <c r="J257" s="74">
        <f>VLOOKUP(B257,'115+260'!$B$15:$AB$647,13,FALSE)</f>
        <v>-447</v>
      </c>
      <c r="K257" s="72">
        <f>'115+260'!Q258</f>
        <v>0</v>
      </c>
      <c r="L257" s="71">
        <f t="shared" si="46"/>
        <v>247</v>
      </c>
      <c r="M257" s="76">
        <f>VLOOKUP(B257,'115+260'!$B$14:$AB$647,21,FALSE)</f>
        <v>2049</v>
      </c>
      <c r="N257" s="75">
        <f>VLOOKUP(B257,'115+260'!$B$15:$AB$647,5,FALSE)</f>
        <v>305</v>
      </c>
      <c r="O257" s="74">
        <f t="shared" si="42"/>
        <v>2529</v>
      </c>
      <c r="P257" s="74">
        <f>VLOOKUP(B257,'115+260'!$B$15:$AB$647,14,FALSE)</f>
        <v>-471</v>
      </c>
      <c r="Q257" s="72">
        <f>'115+260'!R258</f>
        <v>0</v>
      </c>
      <c r="R257" s="71">
        <f t="shared" si="47"/>
        <v>251</v>
      </c>
      <c r="S257" s="76">
        <f>VLOOKUP(B257,'115+260'!$B$14:$AB$647,22,FALSE)</f>
        <v>2091</v>
      </c>
      <c r="T257" s="75">
        <f>VLOOKUP(B257,'115+260'!$B$15:$AB$647,6,FALSE)</f>
        <v>293</v>
      </c>
      <c r="U257" s="74">
        <f t="shared" si="43"/>
        <v>2541</v>
      </c>
      <c r="V257" s="73">
        <f>VLOOKUP(B257,'115+260'!$B$15:$AB$647,15,FALSE)</f>
        <v>-459</v>
      </c>
      <c r="W257" s="72">
        <f>'115+260'!S258</f>
        <v>0</v>
      </c>
      <c r="X257" s="71">
        <f t="shared" si="48"/>
        <v>209</v>
      </c>
      <c r="Y257" s="70">
        <f t="shared" si="49"/>
        <v>0</v>
      </c>
      <c r="Z257" s="69">
        <f t="shared" si="50"/>
        <v>0</v>
      </c>
      <c r="AA257" s="68">
        <f t="shared" si="51"/>
        <v>2.4729999999999999</v>
      </c>
      <c r="AB257" s="68">
        <f t="shared" si="52"/>
        <v>2.0179999999999998</v>
      </c>
    </row>
    <row r="258" spans="2:28">
      <c r="B258" s="110">
        <f>'115+260'!B259</f>
        <v>45496</v>
      </c>
      <c r="C258" s="80">
        <f t="shared" si="44"/>
        <v>1</v>
      </c>
      <c r="D258" s="79">
        <f t="shared" si="45"/>
        <v>1069</v>
      </c>
      <c r="E258" s="78">
        <f>VLOOKUP(B258,'115+260'!B259:AB274,3,FALSE)</f>
        <v>1767</v>
      </c>
      <c r="F258" s="75">
        <f t="shared" si="40"/>
        <v>2836</v>
      </c>
      <c r="G258" s="77">
        <f>VLOOKUP(B258,'115+260'!$B$15:$AB$647,20,FALSE)</f>
        <v>2053</v>
      </c>
      <c r="H258" s="77">
        <f>VLOOKUP(B258,'115+260'!$B$15:$AB$647,4,FALSE)</f>
        <v>283</v>
      </c>
      <c r="I258" s="74">
        <f t="shared" si="41"/>
        <v>2553</v>
      </c>
      <c r="J258" s="74">
        <f>VLOOKUP(B258,'115+260'!$B$15:$AB$647,13,FALSE)</f>
        <v>-447</v>
      </c>
      <c r="K258" s="72">
        <f>'115+260'!Q259</f>
        <v>0</v>
      </c>
      <c r="L258" s="71">
        <f t="shared" si="46"/>
        <v>247</v>
      </c>
      <c r="M258" s="76">
        <f>VLOOKUP(B258,'115+260'!$B$14:$AB$647,21,FALSE)</f>
        <v>2049</v>
      </c>
      <c r="N258" s="75">
        <f>VLOOKUP(B258,'115+260'!$B$15:$AB$647,5,FALSE)</f>
        <v>307</v>
      </c>
      <c r="O258" s="74">
        <f t="shared" si="42"/>
        <v>2529</v>
      </c>
      <c r="P258" s="74">
        <f>VLOOKUP(B258,'115+260'!$B$15:$AB$647,14,FALSE)</f>
        <v>-471</v>
      </c>
      <c r="Q258" s="72">
        <f>'115+260'!R259</f>
        <v>0</v>
      </c>
      <c r="R258" s="71">
        <f t="shared" si="47"/>
        <v>251</v>
      </c>
      <c r="S258" s="76">
        <f>VLOOKUP(B258,'115+260'!$B$14:$AB$647,22,FALSE)</f>
        <v>2091</v>
      </c>
      <c r="T258" s="75">
        <f>VLOOKUP(B258,'115+260'!$B$15:$AB$647,6,FALSE)</f>
        <v>295</v>
      </c>
      <c r="U258" s="74">
        <f t="shared" si="43"/>
        <v>2541</v>
      </c>
      <c r="V258" s="73">
        <f>VLOOKUP(B258,'115+260'!$B$15:$AB$647,15,FALSE)</f>
        <v>-459</v>
      </c>
      <c r="W258" s="72">
        <f>'115+260'!S259</f>
        <v>0</v>
      </c>
      <c r="X258" s="71">
        <f t="shared" si="48"/>
        <v>209</v>
      </c>
      <c r="Y258" s="70">
        <f t="shared" si="49"/>
        <v>0</v>
      </c>
      <c r="Z258" s="69">
        <f t="shared" si="50"/>
        <v>0</v>
      </c>
      <c r="AA258" s="68">
        <f t="shared" si="51"/>
        <v>2.4729999999999999</v>
      </c>
      <c r="AB258" s="68">
        <f t="shared" si="52"/>
        <v>2.0179999999999998</v>
      </c>
    </row>
    <row r="259" spans="2:28">
      <c r="B259" s="110">
        <f>'115+260'!B260</f>
        <v>45497</v>
      </c>
      <c r="C259" s="80">
        <f t="shared" si="44"/>
        <v>1</v>
      </c>
      <c r="D259" s="79">
        <f t="shared" si="45"/>
        <v>1069</v>
      </c>
      <c r="E259" s="78">
        <f>VLOOKUP(B259,'115+260'!B260:AB274,3,FALSE)</f>
        <v>1769</v>
      </c>
      <c r="F259" s="75">
        <f t="shared" si="40"/>
        <v>2838</v>
      </c>
      <c r="G259" s="77">
        <f>VLOOKUP(B259,'115+260'!$B$15:$AB$647,20,FALSE)</f>
        <v>2053</v>
      </c>
      <c r="H259" s="77">
        <f>VLOOKUP(B259,'115+260'!$B$15:$AB$647,4,FALSE)</f>
        <v>285</v>
      </c>
      <c r="I259" s="74">
        <f t="shared" si="41"/>
        <v>2553</v>
      </c>
      <c r="J259" s="74">
        <f>VLOOKUP(B259,'115+260'!$B$15:$AB$647,13,FALSE)</f>
        <v>-447</v>
      </c>
      <c r="K259" s="72">
        <f>'115+260'!Q260</f>
        <v>0</v>
      </c>
      <c r="L259" s="71">
        <f t="shared" si="46"/>
        <v>247</v>
      </c>
      <c r="M259" s="76">
        <f>VLOOKUP(B259,'115+260'!$B$14:$AB$647,21,FALSE)</f>
        <v>2049</v>
      </c>
      <c r="N259" s="75">
        <f>VLOOKUP(B259,'115+260'!$B$15:$AB$647,5,FALSE)</f>
        <v>309</v>
      </c>
      <c r="O259" s="74">
        <f t="shared" si="42"/>
        <v>2529</v>
      </c>
      <c r="P259" s="74">
        <f>VLOOKUP(B259,'115+260'!$B$15:$AB$647,14,FALSE)</f>
        <v>-471</v>
      </c>
      <c r="Q259" s="72">
        <f>'115+260'!R260</f>
        <v>0</v>
      </c>
      <c r="R259" s="71">
        <f t="shared" si="47"/>
        <v>251</v>
      </c>
      <c r="S259" s="76">
        <f>VLOOKUP(B259,'115+260'!$B$14:$AB$647,22,FALSE)</f>
        <v>2091</v>
      </c>
      <c r="T259" s="75">
        <f>VLOOKUP(B259,'115+260'!$B$15:$AB$647,6,FALSE)</f>
        <v>297</v>
      </c>
      <c r="U259" s="74">
        <f t="shared" si="43"/>
        <v>2541</v>
      </c>
      <c r="V259" s="73">
        <f>VLOOKUP(B259,'115+260'!$B$15:$AB$647,15,FALSE)</f>
        <v>-459</v>
      </c>
      <c r="W259" s="72">
        <f>'115+260'!S260</f>
        <v>0</v>
      </c>
      <c r="X259" s="71">
        <f t="shared" si="48"/>
        <v>209</v>
      </c>
      <c r="Y259" s="70">
        <f t="shared" si="49"/>
        <v>0</v>
      </c>
      <c r="Z259" s="69">
        <f t="shared" si="50"/>
        <v>0</v>
      </c>
      <c r="AA259" s="68">
        <f t="shared" si="51"/>
        <v>2.4729999999999999</v>
      </c>
      <c r="AB259" s="68">
        <f t="shared" si="52"/>
        <v>2.0179999999999998</v>
      </c>
    </row>
    <row r="260" spans="2:28">
      <c r="B260" s="110">
        <f>'115+260'!B261</f>
        <v>45498</v>
      </c>
      <c r="C260" s="80">
        <f t="shared" si="44"/>
        <v>1</v>
      </c>
      <c r="D260" s="79">
        <f t="shared" si="45"/>
        <v>1069</v>
      </c>
      <c r="E260" s="78">
        <f>VLOOKUP(B260,'115+260'!B261:AB274,3,FALSE)</f>
        <v>1771</v>
      </c>
      <c r="F260" s="75">
        <f t="shared" si="40"/>
        <v>2840</v>
      </c>
      <c r="G260" s="77">
        <f>VLOOKUP(B260,'115+260'!$B$15:$AB$647,20,FALSE)</f>
        <v>2053</v>
      </c>
      <c r="H260" s="77">
        <f>VLOOKUP(B260,'115+260'!$B$15:$AB$647,4,FALSE)</f>
        <v>287</v>
      </c>
      <c r="I260" s="74">
        <f t="shared" si="41"/>
        <v>2553</v>
      </c>
      <c r="J260" s="74">
        <f>VLOOKUP(B260,'115+260'!$B$15:$AB$647,13,FALSE)</f>
        <v>-447</v>
      </c>
      <c r="K260" s="72">
        <f>'115+260'!Q261</f>
        <v>0</v>
      </c>
      <c r="L260" s="71">
        <f t="shared" si="46"/>
        <v>247</v>
      </c>
      <c r="M260" s="76">
        <f>VLOOKUP(B260,'115+260'!$B$14:$AB$647,21,FALSE)</f>
        <v>2049</v>
      </c>
      <c r="N260" s="75">
        <f>VLOOKUP(B260,'115+260'!$B$15:$AB$647,5,FALSE)</f>
        <v>311</v>
      </c>
      <c r="O260" s="74">
        <f t="shared" si="42"/>
        <v>2529</v>
      </c>
      <c r="P260" s="74">
        <f>VLOOKUP(B260,'115+260'!$B$15:$AB$647,14,FALSE)</f>
        <v>-471</v>
      </c>
      <c r="Q260" s="72">
        <f>'115+260'!R261</f>
        <v>0</v>
      </c>
      <c r="R260" s="71">
        <f t="shared" si="47"/>
        <v>251</v>
      </c>
      <c r="S260" s="76">
        <f>VLOOKUP(B260,'115+260'!$B$14:$AB$647,22,FALSE)</f>
        <v>2091</v>
      </c>
      <c r="T260" s="75">
        <f>VLOOKUP(B260,'115+260'!$B$15:$AB$647,6,FALSE)</f>
        <v>299</v>
      </c>
      <c r="U260" s="74">
        <f t="shared" si="43"/>
        <v>2541</v>
      </c>
      <c r="V260" s="73">
        <f>VLOOKUP(B260,'115+260'!$B$15:$AB$647,15,FALSE)</f>
        <v>-459</v>
      </c>
      <c r="W260" s="72">
        <f>'115+260'!S261</f>
        <v>0</v>
      </c>
      <c r="X260" s="71">
        <f t="shared" si="48"/>
        <v>209</v>
      </c>
      <c r="Y260" s="70">
        <f t="shared" si="49"/>
        <v>0</v>
      </c>
      <c r="Z260" s="69">
        <f t="shared" si="50"/>
        <v>0</v>
      </c>
      <c r="AA260" s="68">
        <f t="shared" si="51"/>
        <v>2.4729999999999999</v>
      </c>
      <c r="AB260" s="68">
        <f t="shared" si="52"/>
        <v>2.0179999999999998</v>
      </c>
    </row>
    <row r="261" spans="2:28">
      <c r="B261" s="110">
        <f>'115+260'!B262</f>
        <v>45499</v>
      </c>
      <c r="C261" s="80">
        <f t="shared" si="44"/>
        <v>1</v>
      </c>
      <c r="D261" s="79">
        <f t="shared" si="45"/>
        <v>1069</v>
      </c>
      <c r="E261" s="78">
        <f>VLOOKUP(B261,'115+260'!B262:AB274,3,FALSE)</f>
        <v>1773</v>
      </c>
      <c r="F261" s="75">
        <f t="shared" si="40"/>
        <v>2842</v>
      </c>
      <c r="G261" s="77">
        <f>VLOOKUP(B261,'115+260'!$B$15:$AB$647,20,FALSE)</f>
        <v>2053</v>
      </c>
      <c r="H261" s="77">
        <f>VLOOKUP(B261,'115+260'!$B$15:$AB$647,4,FALSE)</f>
        <v>289</v>
      </c>
      <c r="I261" s="74">
        <f t="shared" si="41"/>
        <v>2553</v>
      </c>
      <c r="J261" s="74">
        <f>VLOOKUP(B261,'115+260'!$B$15:$AB$647,13,FALSE)</f>
        <v>-447</v>
      </c>
      <c r="K261" s="72">
        <f>'115+260'!Q262</f>
        <v>0</v>
      </c>
      <c r="L261" s="71">
        <f t="shared" si="46"/>
        <v>247</v>
      </c>
      <c r="M261" s="76">
        <f>VLOOKUP(B261,'115+260'!$B$14:$AB$647,21,FALSE)</f>
        <v>2049</v>
      </c>
      <c r="N261" s="75">
        <f>VLOOKUP(B261,'115+260'!$B$15:$AB$647,5,FALSE)</f>
        <v>313</v>
      </c>
      <c r="O261" s="74">
        <f t="shared" si="42"/>
        <v>2529</v>
      </c>
      <c r="P261" s="74">
        <f>VLOOKUP(B261,'115+260'!$B$15:$AB$647,14,FALSE)</f>
        <v>-471</v>
      </c>
      <c r="Q261" s="72">
        <f>'115+260'!R262</f>
        <v>0</v>
      </c>
      <c r="R261" s="71">
        <f t="shared" si="47"/>
        <v>251</v>
      </c>
      <c r="S261" s="76">
        <f>VLOOKUP(B261,'115+260'!$B$14:$AB$647,22,FALSE)</f>
        <v>2091</v>
      </c>
      <c r="T261" s="75">
        <f>VLOOKUP(B261,'115+260'!$B$15:$AB$647,6,FALSE)</f>
        <v>301</v>
      </c>
      <c r="U261" s="74">
        <f t="shared" si="43"/>
        <v>2541</v>
      </c>
      <c r="V261" s="73">
        <f>VLOOKUP(B261,'115+260'!$B$15:$AB$647,15,FALSE)</f>
        <v>-459</v>
      </c>
      <c r="W261" s="72">
        <f>'115+260'!S262</f>
        <v>0</v>
      </c>
      <c r="X261" s="71">
        <f t="shared" si="48"/>
        <v>209</v>
      </c>
      <c r="Y261" s="70">
        <f t="shared" si="49"/>
        <v>0</v>
      </c>
      <c r="Z261" s="69">
        <f t="shared" si="50"/>
        <v>0</v>
      </c>
      <c r="AA261" s="68">
        <f t="shared" si="51"/>
        <v>2.4729999999999999</v>
      </c>
      <c r="AB261" s="68">
        <f t="shared" si="52"/>
        <v>2.0179999999999998</v>
      </c>
    </row>
    <row r="262" spans="2:28">
      <c r="B262" s="110">
        <f>'115+260'!B263</f>
        <v>45500</v>
      </c>
      <c r="C262" s="80">
        <f t="shared" si="44"/>
        <v>1</v>
      </c>
      <c r="D262" s="79">
        <f t="shared" si="45"/>
        <v>1069</v>
      </c>
      <c r="E262" s="78">
        <f>VLOOKUP(B262,'115+260'!B263:AB274,3,FALSE)</f>
        <v>1775</v>
      </c>
      <c r="F262" s="75">
        <f t="shared" si="40"/>
        <v>2844</v>
      </c>
      <c r="G262" s="77">
        <f>VLOOKUP(B262,'115+260'!$B$15:$AB$647,20,FALSE)</f>
        <v>2053</v>
      </c>
      <c r="H262" s="77">
        <f>VLOOKUP(B262,'115+260'!$B$15:$AB$647,4,FALSE)</f>
        <v>291</v>
      </c>
      <c r="I262" s="74">
        <f t="shared" si="41"/>
        <v>2553</v>
      </c>
      <c r="J262" s="74">
        <f>VLOOKUP(B262,'115+260'!$B$15:$AB$647,13,FALSE)</f>
        <v>-447</v>
      </c>
      <c r="K262" s="72">
        <f>'115+260'!Q263</f>
        <v>0</v>
      </c>
      <c r="L262" s="71">
        <f t="shared" si="46"/>
        <v>247</v>
      </c>
      <c r="M262" s="76">
        <f>VLOOKUP(B262,'115+260'!$B$14:$AB$647,21,FALSE)</f>
        <v>2049</v>
      </c>
      <c r="N262" s="75">
        <f>VLOOKUP(B262,'115+260'!$B$15:$AB$647,5,FALSE)</f>
        <v>315</v>
      </c>
      <c r="O262" s="74">
        <f t="shared" si="42"/>
        <v>2529</v>
      </c>
      <c r="P262" s="74">
        <f>VLOOKUP(B262,'115+260'!$B$15:$AB$647,14,FALSE)</f>
        <v>-471</v>
      </c>
      <c r="Q262" s="72">
        <f>'115+260'!R263</f>
        <v>0</v>
      </c>
      <c r="R262" s="71">
        <f t="shared" si="47"/>
        <v>251</v>
      </c>
      <c r="S262" s="76">
        <f>VLOOKUP(B262,'115+260'!$B$14:$AB$647,22,FALSE)</f>
        <v>2091</v>
      </c>
      <c r="T262" s="75">
        <f>VLOOKUP(B262,'115+260'!$B$15:$AB$647,6,FALSE)</f>
        <v>303</v>
      </c>
      <c r="U262" s="74">
        <f t="shared" si="43"/>
        <v>2541</v>
      </c>
      <c r="V262" s="73">
        <f>VLOOKUP(B262,'115+260'!$B$15:$AB$647,15,FALSE)</f>
        <v>-459</v>
      </c>
      <c r="W262" s="72">
        <f>'115+260'!S263</f>
        <v>0</v>
      </c>
      <c r="X262" s="71">
        <f t="shared" si="48"/>
        <v>209</v>
      </c>
      <c r="Y262" s="70">
        <f t="shared" si="49"/>
        <v>0</v>
      </c>
      <c r="Z262" s="69">
        <f t="shared" si="50"/>
        <v>0</v>
      </c>
      <c r="AA262" s="68">
        <f t="shared" si="51"/>
        <v>2.4729999999999999</v>
      </c>
      <c r="AB262" s="68">
        <f t="shared" si="52"/>
        <v>2.0179999999999998</v>
      </c>
    </row>
    <row r="263" spans="2:28">
      <c r="B263" s="110">
        <f>'115+260'!B264</f>
        <v>45501</v>
      </c>
      <c r="C263" s="80">
        <f t="shared" si="44"/>
        <v>1</v>
      </c>
      <c r="D263" s="79">
        <f t="shared" si="45"/>
        <v>1069</v>
      </c>
      <c r="E263" s="78">
        <f>VLOOKUP(B263,'115+260'!B264:AB274,3,FALSE)</f>
        <v>1777</v>
      </c>
      <c r="F263" s="75">
        <f t="shared" si="40"/>
        <v>2846</v>
      </c>
      <c r="G263" s="77">
        <f>VLOOKUP(B263,'115+260'!$B$15:$AB$647,20,FALSE)</f>
        <v>2053</v>
      </c>
      <c r="H263" s="77">
        <f>VLOOKUP(B263,'115+260'!$B$15:$AB$647,4,FALSE)</f>
        <v>293</v>
      </c>
      <c r="I263" s="74">
        <f t="shared" si="41"/>
        <v>2553</v>
      </c>
      <c r="J263" s="74">
        <f>VLOOKUP(B263,'115+260'!$B$15:$AB$647,13,FALSE)</f>
        <v>-447</v>
      </c>
      <c r="K263" s="72">
        <f>'115+260'!Q264</f>
        <v>0</v>
      </c>
      <c r="L263" s="71">
        <f t="shared" si="46"/>
        <v>247</v>
      </c>
      <c r="M263" s="76">
        <f>VLOOKUP(B263,'115+260'!$B$14:$AB$647,21,FALSE)</f>
        <v>2049</v>
      </c>
      <c r="N263" s="75">
        <f>VLOOKUP(B263,'115+260'!$B$15:$AB$647,5,FALSE)</f>
        <v>317</v>
      </c>
      <c r="O263" s="74">
        <f t="shared" si="42"/>
        <v>2529</v>
      </c>
      <c r="P263" s="74">
        <f>VLOOKUP(B263,'115+260'!$B$15:$AB$647,14,FALSE)</f>
        <v>-471</v>
      </c>
      <c r="Q263" s="72">
        <f>'115+260'!R264</f>
        <v>0</v>
      </c>
      <c r="R263" s="71">
        <f t="shared" si="47"/>
        <v>251</v>
      </c>
      <c r="S263" s="76">
        <f>VLOOKUP(B263,'115+260'!$B$14:$AB$647,22,FALSE)</f>
        <v>2091</v>
      </c>
      <c r="T263" s="75">
        <f>VLOOKUP(B263,'115+260'!$B$15:$AB$647,6,FALSE)</f>
        <v>305</v>
      </c>
      <c r="U263" s="74">
        <f t="shared" si="43"/>
        <v>2541</v>
      </c>
      <c r="V263" s="73">
        <f>VLOOKUP(B263,'115+260'!$B$15:$AB$647,15,FALSE)</f>
        <v>-459</v>
      </c>
      <c r="W263" s="72">
        <f>'115+260'!S264</f>
        <v>0</v>
      </c>
      <c r="X263" s="71">
        <f t="shared" si="48"/>
        <v>209</v>
      </c>
      <c r="Y263" s="70">
        <f t="shared" si="49"/>
        <v>0</v>
      </c>
      <c r="Z263" s="69">
        <f t="shared" si="50"/>
        <v>0</v>
      </c>
      <c r="AA263" s="68">
        <f t="shared" si="51"/>
        <v>2.4729999999999999</v>
      </c>
      <c r="AB263" s="68">
        <f t="shared" si="52"/>
        <v>2.0179999999999998</v>
      </c>
    </row>
    <row r="264" spans="2:28">
      <c r="B264" s="110">
        <f>'115+260'!B265</f>
        <v>45502</v>
      </c>
      <c r="C264" s="80">
        <f t="shared" si="44"/>
        <v>1</v>
      </c>
      <c r="D264" s="79">
        <f t="shared" si="45"/>
        <v>1069</v>
      </c>
      <c r="E264" s="78">
        <f>VLOOKUP(B264,'115+260'!B265:AB274,3,FALSE)</f>
        <v>1779</v>
      </c>
      <c r="F264" s="75">
        <f t="shared" si="40"/>
        <v>2848</v>
      </c>
      <c r="G264" s="77">
        <f>VLOOKUP(B264,'115+260'!$B$15:$AB$647,20,FALSE)</f>
        <v>2053</v>
      </c>
      <c r="H264" s="77">
        <f>VLOOKUP(B264,'115+260'!$B$15:$AB$647,4,FALSE)</f>
        <v>295</v>
      </c>
      <c r="I264" s="74">
        <f t="shared" si="41"/>
        <v>2553</v>
      </c>
      <c r="J264" s="74">
        <f>VLOOKUP(B264,'115+260'!$B$15:$AB$647,13,FALSE)</f>
        <v>-447</v>
      </c>
      <c r="K264" s="72">
        <f>'115+260'!Q265</f>
        <v>0</v>
      </c>
      <c r="L264" s="71">
        <f t="shared" si="46"/>
        <v>247</v>
      </c>
      <c r="M264" s="76">
        <f>VLOOKUP(B264,'115+260'!$B$14:$AB$647,21,FALSE)</f>
        <v>2049</v>
      </c>
      <c r="N264" s="75">
        <f>VLOOKUP(B264,'115+260'!$B$15:$AB$647,5,FALSE)</f>
        <v>319</v>
      </c>
      <c r="O264" s="74">
        <f t="shared" si="42"/>
        <v>2529</v>
      </c>
      <c r="P264" s="74">
        <f>VLOOKUP(B264,'115+260'!$B$15:$AB$647,14,FALSE)</f>
        <v>-471</v>
      </c>
      <c r="Q264" s="72">
        <f>'115+260'!R265</f>
        <v>0</v>
      </c>
      <c r="R264" s="71">
        <f t="shared" si="47"/>
        <v>251</v>
      </c>
      <c r="S264" s="76">
        <f>VLOOKUP(B264,'115+260'!$B$14:$AB$647,22,FALSE)</f>
        <v>2091</v>
      </c>
      <c r="T264" s="75">
        <f>VLOOKUP(B264,'115+260'!$B$15:$AB$647,6,FALSE)</f>
        <v>307</v>
      </c>
      <c r="U264" s="74">
        <f t="shared" si="43"/>
        <v>2541</v>
      </c>
      <c r="V264" s="73">
        <f>VLOOKUP(B264,'115+260'!$B$15:$AB$647,15,FALSE)</f>
        <v>-459</v>
      </c>
      <c r="W264" s="72">
        <f>'115+260'!S265</f>
        <v>0</v>
      </c>
      <c r="X264" s="71">
        <f t="shared" si="48"/>
        <v>209</v>
      </c>
      <c r="Y264" s="70">
        <f t="shared" si="49"/>
        <v>0</v>
      </c>
      <c r="Z264" s="69">
        <f t="shared" si="50"/>
        <v>0</v>
      </c>
      <c r="AA264" s="68">
        <f t="shared" si="51"/>
        <v>2.4729999999999999</v>
      </c>
      <c r="AB264" s="68">
        <f t="shared" si="52"/>
        <v>2.0179999999999998</v>
      </c>
    </row>
    <row r="265" spans="2:28">
      <c r="B265" s="110">
        <f>'115+260'!B266</f>
        <v>45503</v>
      </c>
      <c r="C265" s="80">
        <f t="shared" si="44"/>
        <v>1</v>
      </c>
      <c r="D265" s="79">
        <f t="shared" si="45"/>
        <v>1069</v>
      </c>
      <c r="E265" s="78">
        <f>VLOOKUP(B265,'115+260'!B266:AB274,3,FALSE)</f>
        <v>1781</v>
      </c>
      <c r="F265" s="75">
        <f t="shared" si="40"/>
        <v>2850</v>
      </c>
      <c r="G265" s="77">
        <f>VLOOKUP(B265,'115+260'!$B$15:$AB$647,20,FALSE)</f>
        <v>2053</v>
      </c>
      <c r="H265" s="77">
        <f>VLOOKUP(B265,'115+260'!$B$15:$AB$647,4,FALSE)</f>
        <v>297</v>
      </c>
      <c r="I265" s="74">
        <f t="shared" si="41"/>
        <v>2553</v>
      </c>
      <c r="J265" s="74">
        <f>VLOOKUP(B265,'115+260'!$B$15:$AB$647,13,FALSE)</f>
        <v>-447</v>
      </c>
      <c r="K265" s="72">
        <f>'115+260'!Q266</f>
        <v>0</v>
      </c>
      <c r="L265" s="71">
        <f t="shared" si="46"/>
        <v>247</v>
      </c>
      <c r="M265" s="76">
        <f>VLOOKUP(B265,'115+260'!$B$14:$AB$647,21,FALSE)</f>
        <v>2049</v>
      </c>
      <c r="N265" s="75">
        <f>VLOOKUP(B265,'115+260'!$B$15:$AB$647,5,FALSE)</f>
        <v>321</v>
      </c>
      <c r="O265" s="74">
        <f t="shared" si="42"/>
        <v>2529</v>
      </c>
      <c r="P265" s="74">
        <f>VLOOKUP(B265,'115+260'!$B$15:$AB$647,14,FALSE)</f>
        <v>-471</v>
      </c>
      <c r="Q265" s="72">
        <f>'115+260'!R266</f>
        <v>0</v>
      </c>
      <c r="R265" s="71">
        <f t="shared" si="47"/>
        <v>251</v>
      </c>
      <c r="S265" s="76">
        <f>VLOOKUP(B265,'115+260'!$B$14:$AB$647,22,FALSE)</f>
        <v>2091</v>
      </c>
      <c r="T265" s="75">
        <f>VLOOKUP(B265,'115+260'!$B$15:$AB$647,6,FALSE)</f>
        <v>309</v>
      </c>
      <c r="U265" s="74">
        <f t="shared" si="43"/>
        <v>2541</v>
      </c>
      <c r="V265" s="73">
        <f>VLOOKUP(B265,'115+260'!$B$15:$AB$647,15,FALSE)</f>
        <v>-459</v>
      </c>
      <c r="W265" s="72">
        <f>'115+260'!S266</f>
        <v>0</v>
      </c>
      <c r="X265" s="71">
        <f t="shared" si="48"/>
        <v>209</v>
      </c>
      <c r="Y265" s="70">
        <f t="shared" si="49"/>
        <v>0</v>
      </c>
      <c r="Z265" s="69">
        <f t="shared" si="50"/>
        <v>0</v>
      </c>
      <c r="AA265" s="68">
        <f t="shared" si="51"/>
        <v>2.4729999999999999</v>
      </c>
      <c r="AB265" s="68">
        <f t="shared" si="52"/>
        <v>2.0179999999999998</v>
      </c>
    </row>
    <row r="266" spans="2:28">
      <c r="B266" s="110">
        <f>'115+260'!B267</f>
        <v>45504</v>
      </c>
      <c r="C266" s="80">
        <f t="shared" si="44"/>
        <v>1</v>
      </c>
      <c r="D266" s="79">
        <f t="shared" si="45"/>
        <v>1069</v>
      </c>
      <c r="E266" s="78">
        <f>VLOOKUP(B266,'115+260'!B267:AB274,3,FALSE)</f>
        <v>1783</v>
      </c>
      <c r="F266" s="75">
        <f t="shared" si="40"/>
        <v>2852</v>
      </c>
      <c r="G266" s="77">
        <f>VLOOKUP(B266,'115+260'!$B$15:$AB$647,20,FALSE)</f>
        <v>2053</v>
      </c>
      <c r="H266" s="77">
        <f>VLOOKUP(B266,'115+260'!$B$15:$AB$647,4,FALSE)</f>
        <v>299</v>
      </c>
      <c r="I266" s="74">
        <f t="shared" si="41"/>
        <v>2553</v>
      </c>
      <c r="J266" s="74">
        <f>VLOOKUP(B266,'115+260'!$B$15:$AB$647,13,FALSE)</f>
        <v>-447</v>
      </c>
      <c r="K266" s="72">
        <f>'115+260'!Q267</f>
        <v>0</v>
      </c>
      <c r="L266" s="71">
        <f t="shared" si="46"/>
        <v>247</v>
      </c>
      <c r="M266" s="76">
        <f>VLOOKUP(B266,'115+260'!$B$14:$AB$647,21,FALSE)</f>
        <v>2049</v>
      </c>
      <c r="N266" s="75">
        <f>VLOOKUP(B266,'115+260'!$B$15:$AB$647,5,FALSE)</f>
        <v>323</v>
      </c>
      <c r="O266" s="74">
        <f t="shared" si="42"/>
        <v>2529</v>
      </c>
      <c r="P266" s="74">
        <f>VLOOKUP(B266,'115+260'!$B$15:$AB$647,14,FALSE)</f>
        <v>-471</v>
      </c>
      <c r="Q266" s="72">
        <f>'115+260'!R267</f>
        <v>0</v>
      </c>
      <c r="R266" s="71">
        <f t="shared" si="47"/>
        <v>251</v>
      </c>
      <c r="S266" s="76">
        <f>VLOOKUP(B266,'115+260'!$B$14:$AB$647,22,FALSE)</f>
        <v>2091</v>
      </c>
      <c r="T266" s="75">
        <f>VLOOKUP(B266,'115+260'!$B$15:$AB$647,6,FALSE)</f>
        <v>311</v>
      </c>
      <c r="U266" s="74">
        <f t="shared" si="43"/>
        <v>2541</v>
      </c>
      <c r="V266" s="73">
        <f>VLOOKUP(B266,'115+260'!$B$15:$AB$647,15,FALSE)</f>
        <v>-459</v>
      </c>
      <c r="W266" s="72">
        <f>'115+260'!S267</f>
        <v>0</v>
      </c>
      <c r="X266" s="71">
        <f t="shared" si="48"/>
        <v>209</v>
      </c>
      <c r="Y266" s="70">
        <f t="shared" si="49"/>
        <v>0</v>
      </c>
      <c r="Z266" s="69">
        <f t="shared" si="50"/>
        <v>0</v>
      </c>
      <c r="AA266" s="68">
        <f t="shared" si="51"/>
        <v>2.4729999999999999</v>
      </c>
      <c r="AB266" s="68">
        <f t="shared" si="52"/>
        <v>2.0179999999999998</v>
      </c>
    </row>
    <row r="267" spans="2:28">
      <c r="B267" s="110">
        <f>'115+260'!B268</f>
        <v>45505</v>
      </c>
      <c r="C267" s="80">
        <f t="shared" si="44"/>
        <v>1</v>
      </c>
      <c r="D267" s="79">
        <f t="shared" si="45"/>
        <v>1069</v>
      </c>
      <c r="E267" s="78">
        <f>VLOOKUP(B267,'115+260'!B268:AB274,3,FALSE)</f>
        <v>1785</v>
      </c>
      <c r="F267" s="75">
        <f t="shared" si="40"/>
        <v>2854</v>
      </c>
      <c r="G267" s="77">
        <f>VLOOKUP(B267,'115+260'!$B$15:$AB$647,20,FALSE)</f>
        <v>2053</v>
      </c>
      <c r="H267" s="77">
        <f>VLOOKUP(B267,'115+260'!$B$15:$AB$647,4,FALSE)</f>
        <v>301</v>
      </c>
      <c r="I267" s="74">
        <f t="shared" si="41"/>
        <v>2553</v>
      </c>
      <c r="J267" s="74">
        <f>VLOOKUP(B267,'115+260'!$B$15:$AB$647,13,FALSE)</f>
        <v>-447</v>
      </c>
      <c r="K267" s="72">
        <f>'115+260'!Q268</f>
        <v>0</v>
      </c>
      <c r="L267" s="71">
        <f t="shared" si="46"/>
        <v>247</v>
      </c>
      <c r="M267" s="76">
        <f>VLOOKUP(B267,'115+260'!$B$14:$AB$647,21,FALSE)</f>
        <v>2049</v>
      </c>
      <c r="N267" s="75">
        <f>VLOOKUP(B267,'115+260'!$B$15:$AB$647,5,FALSE)</f>
        <v>325</v>
      </c>
      <c r="O267" s="74">
        <f t="shared" si="42"/>
        <v>2529</v>
      </c>
      <c r="P267" s="74">
        <f>VLOOKUP(B267,'115+260'!$B$15:$AB$647,14,FALSE)</f>
        <v>-471</v>
      </c>
      <c r="Q267" s="72">
        <f>'115+260'!R268</f>
        <v>0</v>
      </c>
      <c r="R267" s="71">
        <f t="shared" si="47"/>
        <v>251</v>
      </c>
      <c r="S267" s="76">
        <f>VLOOKUP(B267,'115+260'!$B$14:$AB$647,22,FALSE)</f>
        <v>2091</v>
      </c>
      <c r="T267" s="75">
        <f>VLOOKUP(B267,'115+260'!$B$15:$AB$647,6,FALSE)</f>
        <v>313</v>
      </c>
      <c r="U267" s="74">
        <f t="shared" si="43"/>
        <v>2541</v>
      </c>
      <c r="V267" s="73">
        <f>VLOOKUP(B267,'115+260'!$B$15:$AB$647,15,FALSE)</f>
        <v>-459</v>
      </c>
      <c r="W267" s="72">
        <f>'115+260'!S268</f>
        <v>0</v>
      </c>
      <c r="X267" s="71">
        <f t="shared" si="48"/>
        <v>209</v>
      </c>
      <c r="Y267" s="70">
        <f t="shared" si="49"/>
        <v>0</v>
      </c>
      <c r="Z267" s="69">
        <f t="shared" si="50"/>
        <v>0</v>
      </c>
      <c r="AA267" s="68">
        <f t="shared" si="51"/>
        <v>2.4729999999999999</v>
      </c>
      <c r="AB267" s="68">
        <f t="shared" si="52"/>
        <v>2.0179999999999998</v>
      </c>
    </row>
    <row r="268" spans="2:28">
      <c r="B268" s="110">
        <f>'115+260'!B269</f>
        <v>45506</v>
      </c>
      <c r="C268" s="80">
        <f t="shared" si="44"/>
        <v>1</v>
      </c>
      <c r="D268" s="79">
        <f t="shared" si="45"/>
        <v>1069</v>
      </c>
      <c r="E268" s="78">
        <f>VLOOKUP(B268,'115+260'!B269:AB274,3,FALSE)</f>
        <v>1787</v>
      </c>
      <c r="F268" s="75">
        <f t="shared" si="40"/>
        <v>2856</v>
      </c>
      <c r="G268" s="77">
        <f>VLOOKUP(B268,'115+260'!$B$15:$AB$647,20,FALSE)</f>
        <v>2053</v>
      </c>
      <c r="H268" s="77">
        <f>VLOOKUP(B268,'115+260'!$B$15:$AB$647,4,FALSE)</f>
        <v>303</v>
      </c>
      <c r="I268" s="74">
        <f t="shared" si="41"/>
        <v>2553</v>
      </c>
      <c r="J268" s="74">
        <f>VLOOKUP(B268,'115+260'!$B$15:$AB$647,13,FALSE)</f>
        <v>-447</v>
      </c>
      <c r="K268" s="72">
        <f>'115+260'!Q269</f>
        <v>0</v>
      </c>
      <c r="L268" s="71">
        <f t="shared" si="46"/>
        <v>247</v>
      </c>
      <c r="M268" s="76">
        <f>VLOOKUP(B268,'115+260'!$B$14:$AB$647,21,FALSE)</f>
        <v>2049</v>
      </c>
      <c r="N268" s="75">
        <f>VLOOKUP(B268,'115+260'!$B$15:$AB$647,5,FALSE)</f>
        <v>327</v>
      </c>
      <c r="O268" s="74">
        <f t="shared" si="42"/>
        <v>2529</v>
      </c>
      <c r="P268" s="74">
        <f>VLOOKUP(B268,'115+260'!$B$15:$AB$647,14,FALSE)</f>
        <v>-471</v>
      </c>
      <c r="Q268" s="72">
        <f>'115+260'!R269</f>
        <v>0</v>
      </c>
      <c r="R268" s="71">
        <f t="shared" si="47"/>
        <v>251</v>
      </c>
      <c r="S268" s="76">
        <f>VLOOKUP(B268,'115+260'!$B$14:$AB$647,22,FALSE)</f>
        <v>2091</v>
      </c>
      <c r="T268" s="75">
        <f>VLOOKUP(B268,'115+260'!$B$15:$AB$647,6,FALSE)</f>
        <v>315</v>
      </c>
      <c r="U268" s="74">
        <f t="shared" si="43"/>
        <v>2541</v>
      </c>
      <c r="V268" s="73">
        <f>VLOOKUP(B268,'115+260'!$B$15:$AB$647,15,FALSE)</f>
        <v>-459</v>
      </c>
      <c r="W268" s="72">
        <f>'115+260'!S269</f>
        <v>0</v>
      </c>
      <c r="X268" s="71">
        <f t="shared" si="48"/>
        <v>209</v>
      </c>
      <c r="Y268" s="70">
        <f t="shared" si="49"/>
        <v>0</v>
      </c>
      <c r="Z268" s="69">
        <f t="shared" si="50"/>
        <v>0</v>
      </c>
      <c r="AA268" s="68">
        <f t="shared" si="51"/>
        <v>2.4729999999999999</v>
      </c>
      <c r="AB268" s="68">
        <f t="shared" si="52"/>
        <v>2.0179999999999998</v>
      </c>
    </row>
    <row r="269" spans="2:28">
      <c r="B269" s="110">
        <f>'115+260'!B270</f>
        <v>45507</v>
      </c>
      <c r="C269" s="80">
        <f t="shared" si="44"/>
        <v>1</v>
      </c>
      <c r="D269" s="79">
        <f t="shared" si="45"/>
        <v>1069</v>
      </c>
      <c r="E269" s="78">
        <f>VLOOKUP(B269,'115+260'!B270:AB274,3,FALSE)</f>
        <v>1789</v>
      </c>
      <c r="F269" s="75">
        <f t="shared" ref="F269:F332" si="53">D269+E269</f>
        <v>2858</v>
      </c>
      <c r="G269" s="77">
        <f>VLOOKUP(B269,'115+260'!$B$15:$AB$647,20,FALSE)</f>
        <v>2053</v>
      </c>
      <c r="H269" s="77">
        <f>VLOOKUP(B269,'115+260'!$B$15:$AB$647,4,FALSE)</f>
        <v>305</v>
      </c>
      <c r="I269" s="74">
        <f t="shared" ref="I269:I332" si="54">F269-H269</f>
        <v>2553</v>
      </c>
      <c r="J269" s="74">
        <f>VLOOKUP(B269,'115+260'!$B$15:$AB$647,13,FALSE)</f>
        <v>-447</v>
      </c>
      <c r="K269" s="72">
        <f>'115+260'!Q270</f>
        <v>0</v>
      </c>
      <c r="L269" s="71">
        <f t="shared" si="46"/>
        <v>247</v>
      </c>
      <c r="M269" s="76">
        <f>VLOOKUP(B269,'115+260'!$B$14:$AB$647,21,FALSE)</f>
        <v>2049</v>
      </c>
      <c r="N269" s="75">
        <f>VLOOKUP(B269,'115+260'!$B$15:$AB$647,5,FALSE)</f>
        <v>329</v>
      </c>
      <c r="O269" s="74">
        <f t="shared" ref="O269:O332" si="55">F269-N269</f>
        <v>2529</v>
      </c>
      <c r="P269" s="74">
        <f>VLOOKUP(B269,'115+260'!$B$15:$AB$647,14,FALSE)</f>
        <v>-471</v>
      </c>
      <c r="Q269" s="72">
        <f>'115+260'!R270</f>
        <v>0</v>
      </c>
      <c r="R269" s="71">
        <f t="shared" si="47"/>
        <v>251</v>
      </c>
      <c r="S269" s="76">
        <f>VLOOKUP(B269,'115+260'!$B$14:$AB$647,22,FALSE)</f>
        <v>2091</v>
      </c>
      <c r="T269" s="75">
        <f>VLOOKUP(B269,'115+260'!$B$15:$AB$647,6,FALSE)</f>
        <v>317</v>
      </c>
      <c r="U269" s="74">
        <f t="shared" ref="U269:U332" si="56">F269-T269</f>
        <v>2541</v>
      </c>
      <c r="V269" s="73">
        <f>VLOOKUP(B269,'115+260'!$B$15:$AB$647,15,FALSE)</f>
        <v>-459</v>
      </c>
      <c r="W269" s="72">
        <f>'115+260'!S270</f>
        <v>0</v>
      </c>
      <c r="X269" s="71">
        <f t="shared" si="48"/>
        <v>209</v>
      </c>
      <c r="Y269" s="70">
        <f t="shared" si="49"/>
        <v>0</v>
      </c>
      <c r="Z269" s="69">
        <f t="shared" si="50"/>
        <v>0</v>
      </c>
      <c r="AA269" s="68">
        <f t="shared" si="51"/>
        <v>2.4729999999999999</v>
      </c>
      <c r="AB269" s="68">
        <f t="shared" si="52"/>
        <v>2.0179999999999998</v>
      </c>
    </row>
    <row r="270" spans="2:28">
      <c r="B270" s="110">
        <f>'115+260'!B271</f>
        <v>45508</v>
      </c>
      <c r="C270" s="80">
        <f t="shared" ref="C270:C333" si="57">B270-B269</f>
        <v>1</v>
      </c>
      <c r="D270" s="79">
        <f t="shared" ref="D270:D333" si="58">D269</f>
        <v>1069</v>
      </c>
      <c r="E270" s="78">
        <f>VLOOKUP(B270,'115+260'!B271:AB274,3,FALSE)</f>
        <v>1791</v>
      </c>
      <c r="F270" s="75">
        <f t="shared" si="53"/>
        <v>2860</v>
      </c>
      <c r="G270" s="77">
        <f>VLOOKUP(B270,'115+260'!$B$15:$AB$647,20,FALSE)</f>
        <v>2053</v>
      </c>
      <c r="H270" s="77">
        <f>VLOOKUP(B270,'115+260'!$B$15:$AB$647,4,FALSE)</f>
        <v>307</v>
      </c>
      <c r="I270" s="74">
        <f t="shared" si="54"/>
        <v>2553</v>
      </c>
      <c r="J270" s="74">
        <f>VLOOKUP(B270,'115+260'!$B$15:$AB$647,13,FALSE)</f>
        <v>-447</v>
      </c>
      <c r="K270" s="72">
        <f>'115+260'!Q271</f>
        <v>0</v>
      </c>
      <c r="L270" s="71">
        <f t="shared" ref="L270:L333" si="59">+K270+L269</f>
        <v>247</v>
      </c>
      <c r="M270" s="76">
        <f>VLOOKUP(B270,'115+260'!$B$14:$AB$647,21,FALSE)</f>
        <v>2049</v>
      </c>
      <c r="N270" s="75">
        <f>VLOOKUP(B270,'115+260'!$B$15:$AB$647,5,FALSE)</f>
        <v>331</v>
      </c>
      <c r="O270" s="74">
        <f t="shared" si="55"/>
        <v>2529</v>
      </c>
      <c r="P270" s="74">
        <f>VLOOKUP(B270,'115+260'!$B$15:$AB$647,14,FALSE)</f>
        <v>-471</v>
      </c>
      <c r="Q270" s="72">
        <f>'115+260'!R271</f>
        <v>0</v>
      </c>
      <c r="R270" s="71">
        <f t="shared" ref="R270:R333" si="60">+Q270+R269</f>
        <v>251</v>
      </c>
      <c r="S270" s="76">
        <f>VLOOKUP(B270,'115+260'!$B$14:$AB$647,22,FALSE)</f>
        <v>2091</v>
      </c>
      <c r="T270" s="75">
        <f>VLOOKUP(B270,'115+260'!$B$15:$AB$647,6,FALSE)</f>
        <v>319</v>
      </c>
      <c r="U270" s="74">
        <f t="shared" si="56"/>
        <v>2541</v>
      </c>
      <c r="V270" s="73">
        <f>VLOOKUP(B270,'115+260'!$B$15:$AB$647,15,FALSE)</f>
        <v>-459</v>
      </c>
      <c r="W270" s="72">
        <f>'115+260'!S271</f>
        <v>0</v>
      </c>
      <c r="X270" s="71">
        <f t="shared" ref="X270:X333" si="61">+W270+X269</f>
        <v>209</v>
      </c>
      <c r="Y270" s="70">
        <f t="shared" ref="Y270:Y333" si="62">S270-S269</f>
        <v>0</v>
      </c>
      <c r="Z270" s="69">
        <f t="shared" ref="Z270:Z333" si="63">IF(Y270&gt;0,Y270,0)/1000</f>
        <v>0</v>
      </c>
      <c r="AA270" s="68">
        <f t="shared" ref="AA270:AA333" si="64">AA269+Z270</f>
        <v>2.4729999999999999</v>
      </c>
      <c r="AB270" s="68">
        <f t="shared" ref="AB270:AB333" si="65">(M270-$M$13-R270)/1000</f>
        <v>2.0179999999999998</v>
      </c>
    </row>
    <row r="271" spans="2:28">
      <c r="B271" s="110">
        <f>'115+260'!B272</f>
        <v>45509</v>
      </c>
      <c r="C271" s="80">
        <f t="shared" si="57"/>
        <v>1</v>
      </c>
      <c r="D271" s="79">
        <f t="shared" si="58"/>
        <v>1069</v>
      </c>
      <c r="E271" s="78">
        <f>VLOOKUP(B271,'115+260'!B272:AB274,3,FALSE)</f>
        <v>1793</v>
      </c>
      <c r="F271" s="75">
        <f t="shared" si="53"/>
        <v>2862</v>
      </c>
      <c r="G271" s="77">
        <f>VLOOKUP(B271,'115+260'!$B$15:$AB$647,20,FALSE)</f>
        <v>2053</v>
      </c>
      <c r="H271" s="77">
        <f>VLOOKUP(B271,'115+260'!$B$15:$AB$647,4,FALSE)</f>
        <v>309</v>
      </c>
      <c r="I271" s="74">
        <f t="shared" si="54"/>
        <v>2553</v>
      </c>
      <c r="J271" s="74">
        <f>VLOOKUP(B271,'115+260'!$B$15:$AB$647,13,FALSE)</f>
        <v>-447</v>
      </c>
      <c r="K271" s="72">
        <f>'115+260'!Q272</f>
        <v>0</v>
      </c>
      <c r="L271" s="71">
        <f t="shared" si="59"/>
        <v>247</v>
      </c>
      <c r="M271" s="76">
        <f>VLOOKUP(B271,'115+260'!$B$14:$AB$647,21,FALSE)</f>
        <v>2049</v>
      </c>
      <c r="N271" s="75">
        <f>VLOOKUP(B271,'115+260'!$B$15:$AB$647,5,FALSE)</f>
        <v>333</v>
      </c>
      <c r="O271" s="74">
        <f t="shared" si="55"/>
        <v>2529</v>
      </c>
      <c r="P271" s="74">
        <f>VLOOKUP(B271,'115+260'!$B$15:$AB$647,14,FALSE)</f>
        <v>-471</v>
      </c>
      <c r="Q271" s="72">
        <f>'115+260'!R272</f>
        <v>0</v>
      </c>
      <c r="R271" s="71">
        <f t="shared" si="60"/>
        <v>251</v>
      </c>
      <c r="S271" s="76">
        <f>VLOOKUP(B271,'115+260'!$B$14:$AB$647,22,FALSE)</f>
        <v>2091</v>
      </c>
      <c r="T271" s="75">
        <f>VLOOKUP(B271,'115+260'!$B$15:$AB$647,6,FALSE)</f>
        <v>321</v>
      </c>
      <c r="U271" s="74">
        <f t="shared" si="56"/>
        <v>2541</v>
      </c>
      <c r="V271" s="73">
        <f>VLOOKUP(B271,'115+260'!$B$15:$AB$647,15,FALSE)</f>
        <v>-459</v>
      </c>
      <c r="W271" s="72">
        <f>'115+260'!S272</f>
        <v>0</v>
      </c>
      <c r="X271" s="71">
        <f t="shared" si="61"/>
        <v>209</v>
      </c>
      <c r="Y271" s="70">
        <f t="shared" si="62"/>
        <v>0</v>
      </c>
      <c r="Z271" s="69">
        <f t="shared" si="63"/>
        <v>0</v>
      </c>
      <c r="AA271" s="68">
        <f t="shared" si="64"/>
        <v>2.4729999999999999</v>
      </c>
      <c r="AB271" s="68">
        <f t="shared" si="65"/>
        <v>2.0179999999999998</v>
      </c>
    </row>
    <row r="272" spans="2:28">
      <c r="B272" s="110">
        <f>'115+260'!B273</f>
        <v>45510</v>
      </c>
      <c r="C272" s="80">
        <f t="shared" si="57"/>
        <v>1</v>
      </c>
      <c r="D272" s="79">
        <f t="shared" si="58"/>
        <v>1069</v>
      </c>
      <c r="E272" s="78">
        <f>VLOOKUP(B272,'115+260'!B273:AB274,3,FALSE)</f>
        <v>1795</v>
      </c>
      <c r="F272" s="75">
        <f t="shared" si="53"/>
        <v>2864</v>
      </c>
      <c r="G272" s="77">
        <f>VLOOKUP(B272,'115+260'!$B$15:$AB$647,20,FALSE)</f>
        <v>2053</v>
      </c>
      <c r="H272" s="77">
        <f>VLOOKUP(B272,'115+260'!$B$15:$AB$647,4,FALSE)</f>
        <v>311</v>
      </c>
      <c r="I272" s="74">
        <f t="shared" si="54"/>
        <v>2553</v>
      </c>
      <c r="J272" s="74">
        <f>VLOOKUP(B272,'115+260'!$B$15:$AB$647,13,FALSE)</f>
        <v>-447</v>
      </c>
      <c r="K272" s="72">
        <f>'115+260'!Q273</f>
        <v>0</v>
      </c>
      <c r="L272" s="71">
        <f t="shared" si="59"/>
        <v>247</v>
      </c>
      <c r="M272" s="76">
        <f>VLOOKUP(B272,'115+260'!$B$14:$AB$647,21,FALSE)</f>
        <v>2049</v>
      </c>
      <c r="N272" s="75">
        <f>VLOOKUP(B272,'115+260'!$B$15:$AB$647,5,FALSE)</f>
        <v>335</v>
      </c>
      <c r="O272" s="74">
        <f t="shared" si="55"/>
        <v>2529</v>
      </c>
      <c r="P272" s="74">
        <f>VLOOKUP(B272,'115+260'!$B$15:$AB$647,14,FALSE)</f>
        <v>-471</v>
      </c>
      <c r="Q272" s="72">
        <f>'115+260'!R273</f>
        <v>0</v>
      </c>
      <c r="R272" s="71">
        <f t="shared" si="60"/>
        <v>251</v>
      </c>
      <c r="S272" s="76">
        <f>VLOOKUP(B272,'115+260'!$B$14:$AB$647,22,FALSE)</f>
        <v>2091</v>
      </c>
      <c r="T272" s="75">
        <f>VLOOKUP(B272,'115+260'!$B$15:$AB$647,6,FALSE)</f>
        <v>323</v>
      </c>
      <c r="U272" s="74">
        <f t="shared" si="56"/>
        <v>2541</v>
      </c>
      <c r="V272" s="73">
        <f>VLOOKUP(B272,'115+260'!$B$15:$AB$647,15,FALSE)</f>
        <v>-459</v>
      </c>
      <c r="W272" s="72">
        <f>'115+260'!S273</f>
        <v>0</v>
      </c>
      <c r="X272" s="71">
        <f t="shared" si="61"/>
        <v>209</v>
      </c>
      <c r="Y272" s="70">
        <f t="shared" si="62"/>
        <v>0</v>
      </c>
      <c r="Z272" s="69">
        <f t="shared" si="63"/>
        <v>0</v>
      </c>
      <c r="AA272" s="68">
        <f t="shared" si="64"/>
        <v>2.4729999999999999</v>
      </c>
      <c r="AB272" s="68">
        <f t="shared" si="65"/>
        <v>2.0179999999999998</v>
      </c>
    </row>
    <row r="273" spans="2:28">
      <c r="B273" s="110">
        <f>'115+260'!B274</f>
        <v>45511</v>
      </c>
      <c r="C273" s="80">
        <f t="shared" si="57"/>
        <v>1</v>
      </c>
      <c r="D273" s="79">
        <f t="shared" si="58"/>
        <v>1069</v>
      </c>
      <c r="E273" s="78">
        <f>VLOOKUP(B273,'115+260'!B274:AB274,3,FALSE)</f>
        <v>1797</v>
      </c>
      <c r="F273" s="75">
        <f t="shared" si="53"/>
        <v>2866</v>
      </c>
      <c r="G273" s="77">
        <f>VLOOKUP(B273,'115+260'!$B$15:$AB$647,20,FALSE)</f>
        <v>2053</v>
      </c>
      <c r="H273" s="77">
        <f>VLOOKUP(B273,'115+260'!$B$15:$AB$647,4,FALSE)</f>
        <v>313</v>
      </c>
      <c r="I273" s="74">
        <f t="shared" si="54"/>
        <v>2553</v>
      </c>
      <c r="J273" s="74">
        <f>VLOOKUP(B273,'115+260'!$B$15:$AB$647,13,FALSE)</f>
        <v>-447</v>
      </c>
      <c r="K273" s="72">
        <f>'115+260'!Q274</f>
        <v>0</v>
      </c>
      <c r="L273" s="71">
        <f t="shared" si="59"/>
        <v>247</v>
      </c>
      <c r="M273" s="76">
        <f>VLOOKUP(B273,'115+260'!$B$14:$AB$647,21,FALSE)</f>
        <v>2049</v>
      </c>
      <c r="N273" s="75">
        <f>VLOOKUP(B273,'115+260'!$B$15:$AB$647,5,FALSE)</f>
        <v>337</v>
      </c>
      <c r="O273" s="74">
        <f t="shared" si="55"/>
        <v>2529</v>
      </c>
      <c r="P273" s="74">
        <f>VLOOKUP(B273,'115+260'!$B$15:$AB$647,14,FALSE)</f>
        <v>-471</v>
      </c>
      <c r="Q273" s="72">
        <f>'115+260'!R274</f>
        <v>0</v>
      </c>
      <c r="R273" s="71">
        <f t="shared" si="60"/>
        <v>251</v>
      </c>
      <c r="S273" s="76">
        <f>VLOOKUP(B273,'115+260'!$B$14:$AB$647,22,FALSE)</f>
        <v>2091</v>
      </c>
      <c r="T273" s="75">
        <f>VLOOKUP(B273,'115+260'!$B$15:$AB$647,6,FALSE)</f>
        <v>325</v>
      </c>
      <c r="U273" s="74">
        <f t="shared" si="56"/>
        <v>2541</v>
      </c>
      <c r="V273" s="73">
        <f>VLOOKUP(B273,'115+260'!$B$15:$AB$647,15,FALSE)</f>
        <v>-459</v>
      </c>
      <c r="W273" s="72">
        <f>'115+260'!S274</f>
        <v>0</v>
      </c>
      <c r="X273" s="71">
        <f t="shared" si="61"/>
        <v>209</v>
      </c>
      <c r="Y273" s="70">
        <f t="shared" si="62"/>
        <v>0</v>
      </c>
      <c r="Z273" s="69">
        <f t="shared" si="63"/>
        <v>0</v>
      </c>
      <c r="AA273" s="68">
        <f t="shared" si="64"/>
        <v>2.4729999999999999</v>
      </c>
      <c r="AB273" s="68">
        <f t="shared" si="65"/>
        <v>2.0179999999999998</v>
      </c>
    </row>
    <row r="274" spans="2:28">
      <c r="B274" s="110">
        <f>'115+260'!B275</f>
        <v>45512</v>
      </c>
      <c r="C274" s="80">
        <f t="shared" si="57"/>
        <v>1</v>
      </c>
      <c r="D274" s="79">
        <f t="shared" si="58"/>
        <v>1069</v>
      </c>
      <c r="E274" s="78">
        <f>VLOOKUP(B274,'115+260'!B275:AB275,3,FALSE)</f>
        <v>1799</v>
      </c>
      <c r="F274" s="75">
        <f t="shared" si="53"/>
        <v>2868</v>
      </c>
      <c r="G274" s="77">
        <f>VLOOKUP(B274,'115+260'!$B$15:$AB$647,20,FALSE)</f>
        <v>2053</v>
      </c>
      <c r="H274" s="77">
        <f>VLOOKUP(B274,'115+260'!$B$15:$AB$647,4,FALSE)</f>
        <v>315</v>
      </c>
      <c r="I274" s="74">
        <f t="shared" si="54"/>
        <v>2553</v>
      </c>
      <c r="J274" s="74">
        <f>VLOOKUP(B274,'115+260'!$B$15:$AB$647,13,FALSE)</f>
        <v>-447</v>
      </c>
      <c r="K274" s="72">
        <f>'115+260'!Q275</f>
        <v>0</v>
      </c>
      <c r="L274" s="71">
        <f t="shared" si="59"/>
        <v>247</v>
      </c>
      <c r="M274" s="76">
        <f>VLOOKUP(B274,'115+260'!$B$14:$AB$647,21,FALSE)</f>
        <v>2049</v>
      </c>
      <c r="N274" s="75">
        <f>VLOOKUP(B274,'115+260'!$B$15:$AB$647,5,FALSE)</f>
        <v>339</v>
      </c>
      <c r="O274" s="74">
        <f t="shared" si="55"/>
        <v>2529</v>
      </c>
      <c r="P274" s="74">
        <f>VLOOKUP(B274,'115+260'!$B$15:$AB$647,14,FALSE)</f>
        <v>-471</v>
      </c>
      <c r="Q274" s="72">
        <f>'115+260'!R275</f>
        <v>0</v>
      </c>
      <c r="R274" s="71">
        <f t="shared" si="60"/>
        <v>251</v>
      </c>
      <c r="S274" s="76">
        <f>VLOOKUP(B274,'115+260'!$B$14:$AB$647,22,FALSE)</f>
        <v>2091</v>
      </c>
      <c r="T274" s="75">
        <f>VLOOKUP(B274,'115+260'!$B$15:$AB$647,6,FALSE)</f>
        <v>327</v>
      </c>
      <c r="U274" s="74">
        <f t="shared" si="56"/>
        <v>2541</v>
      </c>
      <c r="V274" s="73">
        <f>VLOOKUP(B274,'115+260'!$B$15:$AB$647,15,FALSE)</f>
        <v>-459</v>
      </c>
      <c r="W274" s="72">
        <f>'115+260'!S275</f>
        <v>0</v>
      </c>
      <c r="X274" s="71">
        <f t="shared" si="61"/>
        <v>209</v>
      </c>
      <c r="Y274" s="70">
        <f t="shared" si="62"/>
        <v>0</v>
      </c>
      <c r="Z274" s="69">
        <f t="shared" si="63"/>
        <v>0</v>
      </c>
      <c r="AA274" s="68">
        <f t="shared" si="64"/>
        <v>2.4729999999999999</v>
      </c>
      <c r="AB274" s="68">
        <f t="shared" si="65"/>
        <v>2.0179999999999998</v>
      </c>
    </row>
    <row r="275" spans="2:28">
      <c r="B275" s="110">
        <f>'115+260'!B276</f>
        <v>45513</v>
      </c>
      <c r="C275" s="80">
        <f t="shared" si="57"/>
        <v>1</v>
      </c>
      <c r="D275" s="79">
        <f t="shared" si="58"/>
        <v>1069</v>
      </c>
      <c r="E275" s="78">
        <f>VLOOKUP(B275,'115+260'!B276:AB276,3,FALSE)</f>
        <v>1801</v>
      </c>
      <c r="F275" s="75">
        <f t="shared" si="53"/>
        <v>2870</v>
      </c>
      <c r="G275" s="77">
        <f>VLOOKUP(B275,'115+260'!$B$15:$AB$647,20,FALSE)</f>
        <v>2053</v>
      </c>
      <c r="H275" s="77">
        <f>VLOOKUP(B275,'115+260'!$B$15:$AB$647,4,FALSE)</f>
        <v>317</v>
      </c>
      <c r="I275" s="74">
        <f t="shared" si="54"/>
        <v>2553</v>
      </c>
      <c r="J275" s="74">
        <f>VLOOKUP(B275,'115+260'!$B$15:$AB$647,13,FALSE)</f>
        <v>-447</v>
      </c>
      <c r="K275" s="72">
        <f>'115+260'!Q276</f>
        <v>0</v>
      </c>
      <c r="L275" s="71">
        <f t="shared" si="59"/>
        <v>247</v>
      </c>
      <c r="M275" s="76">
        <f>VLOOKUP(B275,'115+260'!$B$14:$AB$647,21,FALSE)</f>
        <v>2049</v>
      </c>
      <c r="N275" s="75">
        <f>VLOOKUP(B275,'115+260'!$B$15:$AB$647,5,FALSE)</f>
        <v>341</v>
      </c>
      <c r="O275" s="74">
        <f t="shared" si="55"/>
        <v>2529</v>
      </c>
      <c r="P275" s="74">
        <f>VLOOKUP(B275,'115+260'!$B$15:$AB$647,14,FALSE)</f>
        <v>-471</v>
      </c>
      <c r="Q275" s="72">
        <f>'115+260'!R276</f>
        <v>0</v>
      </c>
      <c r="R275" s="71">
        <f t="shared" si="60"/>
        <v>251</v>
      </c>
      <c r="S275" s="76">
        <f>VLOOKUP(B275,'115+260'!$B$14:$AB$647,22,FALSE)</f>
        <v>2091</v>
      </c>
      <c r="T275" s="75">
        <f>VLOOKUP(B275,'115+260'!$B$15:$AB$647,6,FALSE)</f>
        <v>329</v>
      </c>
      <c r="U275" s="74">
        <f t="shared" si="56"/>
        <v>2541</v>
      </c>
      <c r="V275" s="73">
        <f>VLOOKUP(B275,'115+260'!$B$15:$AB$647,15,FALSE)</f>
        <v>-459</v>
      </c>
      <c r="W275" s="72">
        <f>'115+260'!S276</f>
        <v>0</v>
      </c>
      <c r="X275" s="71">
        <f t="shared" si="61"/>
        <v>209</v>
      </c>
      <c r="Y275" s="70">
        <f t="shared" si="62"/>
        <v>0</v>
      </c>
      <c r="Z275" s="69">
        <f t="shared" si="63"/>
        <v>0</v>
      </c>
      <c r="AA275" s="68">
        <f t="shared" si="64"/>
        <v>2.4729999999999999</v>
      </c>
      <c r="AB275" s="68">
        <f t="shared" si="65"/>
        <v>2.0179999999999998</v>
      </c>
    </row>
    <row r="276" spans="2:28">
      <c r="B276" s="110">
        <f>'115+260'!B277</f>
        <v>45514</v>
      </c>
      <c r="C276" s="80">
        <f t="shared" si="57"/>
        <v>1</v>
      </c>
      <c r="D276" s="79">
        <f t="shared" si="58"/>
        <v>1069</v>
      </c>
      <c r="E276" s="78">
        <f>VLOOKUP(B276,'115+260'!B277:AB277,3,FALSE)</f>
        <v>1803</v>
      </c>
      <c r="F276" s="75">
        <f t="shared" si="53"/>
        <v>2872</v>
      </c>
      <c r="G276" s="77">
        <f>VLOOKUP(B276,'115+260'!$B$15:$AB$647,20,FALSE)</f>
        <v>2053</v>
      </c>
      <c r="H276" s="77">
        <f>VLOOKUP(B276,'115+260'!$B$15:$AB$647,4,FALSE)</f>
        <v>319</v>
      </c>
      <c r="I276" s="74">
        <f t="shared" si="54"/>
        <v>2553</v>
      </c>
      <c r="J276" s="74">
        <f>VLOOKUP(B276,'115+260'!$B$15:$AB$647,13,FALSE)</f>
        <v>-447</v>
      </c>
      <c r="K276" s="72">
        <f>'115+260'!Q277</f>
        <v>0</v>
      </c>
      <c r="L276" s="71">
        <f t="shared" si="59"/>
        <v>247</v>
      </c>
      <c r="M276" s="76">
        <f>VLOOKUP(B276,'115+260'!$B$14:$AB$647,21,FALSE)</f>
        <v>2049</v>
      </c>
      <c r="N276" s="75">
        <f>VLOOKUP(B276,'115+260'!$B$15:$AB$647,5,FALSE)</f>
        <v>343</v>
      </c>
      <c r="O276" s="74">
        <f t="shared" si="55"/>
        <v>2529</v>
      </c>
      <c r="P276" s="74">
        <f>VLOOKUP(B276,'115+260'!$B$15:$AB$647,14,FALSE)</f>
        <v>-471</v>
      </c>
      <c r="Q276" s="72">
        <f>'115+260'!R277</f>
        <v>0</v>
      </c>
      <c r="R276" s="71">
        <f t="shared" si="60"/>
        <v>251</v>
      </c>
      <c r="S276" s="76">
        <f>VLOOKUP(B276,'115+260'!$B$14:$AB$647,22,FALSE)</f>
        <v>2091</v>
      </c>
      <c r="T276" s="75">
        <f>VLOOKUP(B276,'115+260'!$B$15:$AB$647,6,FALSE)</f>
        <v>331</v>
      </c>
      <c r="U276" s="74">
        <f t="shared" si="56"/>
        <v>2541</v>
      </c>
      <c r="V276" s="73">
        <f>VLOOKUP(B276,'115+260'!$B$15:$AB$647,15,FALSE)</f>
        <v>-459</v>
      </c>
      <c r="W276" s="72">
        <f>'115+260'!S277</f>
        <v>0</v>
      </c>
      <c r="X276" s="71">
        <f t="shared" si="61"/>
        <v>209</v>
      </c>
      <c r="Y276" s="70">
        <f t="shared" si="62"/>
        <v>0</v>
      </c>
      <c r="Z276" s="69">
        <f t="shared" si="63"/>
        <v>0</v>
      </c>
      <c r="AA276" s="68">
        <f t="shared" si="64"/>
        <v>2.4729999999999999</v>
      </c>
      <c r="AB276" s="68">
        <f t="shared" si="65"/>
        <v>2.0179999999999998</v>
      </c>
    </row>
    <row r="277" spans="2:28">
      <c r="B277" s="110">
        <f>'115+260'!B278</f>
        <v>45515</v>
      </c>
      <c r="C277" s="80">
        <f t="shared" si="57"/>
        <v>1</v>
      </c>
      <c r="D277" s="79">
        <f t="shared" si="58"/>
        <v>1069</v>
      </c>
      <c r="E277" s="78">
        <f>VLOOKUP(B277,'115+260'!B278:AB278,3,FALSE)</f>
        <v>1805</v>
      </c>
      <c r="F277" s="75">
        <f t="shared" si="53"/>
        <v>2874</v>
      </c>
      <c r="G277" s="77">
        <f>VLOOKUP(B277,'115+260'!$B$15:$AB$647,20,FALSE)</f>
        <v>2053</v>
      </c>
      <c r="H277" s="77">
        <f>VLOOKUP(B277,'115+260'!$B$15:$AB$647,4,FALSE)</f>
        <v>321</v>
      </c>
      <c r="I277" s="74">
        <f t="shared" si="54"/>
        <v>2553</v>
      </c>
      <c r="J277" s="74">
        <f>VLOOKUP(B277,'115+260'!$B$15:$AB$647,13,FALSE)</f>
        <v>-447</v>
      </c>
      <c r="K277" s="72">
        <f>'115+260'!Q278</f>
        <v>0</v>
      </c>
      <c r="L277" s="71">
        <f t="shared" si="59"/>
        <v>247</v>
      </c>
      <c r="M277" s="76">
        <f>VLOOKUP(B277,'115+260'!$B$14:$AB$647,21,FALSE)</f>
        <v>2049</v>
      </c>
      <c r="N277" s="75">
        <f>VLOOKUP(B277,'115+260'!$B$15:$AB$647,5,FALSE)</f>
        <v>345</v>
      </c>
      <c r="O277" s="74">
        <f t="shared" si="55"/>
        <v>2529</v>
      </c>
      <c r="P277" s="74">
        <f>VLOOKUP(B277,'115+260'!$B$15:$AB$647,14,FALSE)</f>
        <v>-471</v>
      </c>
      <c r="Q277" s="72">
        <f>'115+260'!R278</f>
        <v>0</v>
      </c>
      <c r="R277" s="71">
        <f t="shared" si="60"/>
        <v>251</v>
      </c>
      <c r="S277" s="76">
        <f>VLOOKUP(B277,'115+260'!$B$14:$AB$647,22,FALSE)</f>
        <v>2091</v>
      </c>
      <c r="T277" s="75">
        <f>VLOOKUP(B277,'115+260'!$B$15:$AB$647,6,FALSE)</f>
        <v>333</v>
      </c>
      <c r="U277" s="74">
        <f t="shared" si="56"/>
        <v>2541</v>
      </c>
      <c r="V277" s="73">
        <f>VLOOKUP(B277,'115+260'!$B$15:$AB$647,15,FALSE)</f>
        <v>-459</v>
      </c>
      <c r="W277" s="72">
        <f>'115+260'!S278</f>
        <v>0</v>
      </c>
      <c r="X277" s="71">
        <f t="shared" si="61"/>
        <v>209</v>
      </c>
      <c r="Y277" s="70">
        <f t="shared" si="62"/>
        <v>0</v>
      </c>
      <c r="Z277" s="69">
        <f t="shared" si="63"/>
        <v>0</v>
      </c>
      <c r="AA277" s="68">
        <f t="shared" si="64"/>
        <v>2.4729999999999999</v>
      </c>
      <c r="AB277" s="68">
        <f t="shared" si="65"/>
        <v>2.0179999999999998</v>
      </c>
    </row>
    <row r="278" spans="2:28">
      <c r="B278" s="110">
        <f>'115+260'!B279</f>
        <v>45516</v>
      </c>
      <c r="C278" s="80">
        <f t="shared" si="57"/>
        <v>1</v>
      </c>
      <c r="D278" s="79">
        <f t="shared" si="58"/>
        <v>1069</v>
      </c>
      <c r="E278" s="78">
        <f>VLOOKUP(B278,'115+260'!B279:AB279,3,FALSE)</f>
        <v>1807</v>
      </c>
      <c r="F278" s="75">
        <f t="shared" si="53"/>
        <v>2876</v>
      </c>
      <c r="G278" s="77">
        <f>VLOOKUP(B278,'115+260'!$B$15:$AB$647,20,FALSE)</f>
        <v>2053</v>
      </c>
      <c r="H278" s="77">
        <f>VLOOKUP(B278,'115+260'!$B$15:$AB$647,4,FALSE)</f>
        <v>323</v>
      </c>
      <c r="I278" s="74">
        <f t="shared" si="54"/>
        <v>2553</v>
      </c>
      <c r="J278" s="74">
        <f>VLOOKUP(B278,'115+260'!$B$15:$AB$647,13,FALSE)</f>
        <v>-447</v>
      </c>
      <c r="K278" s="72">
        <f>'115+260'!Q279</f>
        <v>0</v>
      </c>
      <c r="L278" s="71">
        <f t="shared" si="59"/>
        <v>247</v>
      </c>
      <c r="M278" s="76">
        <f>VLOOKUP(B278,'115+260'!$B$14:$AB$647,21,FALSE)</f>
        <v>2049</v>
      </c>
      <c r="N278" s="75">
        <f>VLOOKUP(B278,'115+260'!$B$15:$AB$647,5,FALSE)</f>
        <v>347</v>
      </c>
      <c r="O278" s="74">
        <f t="shared" si="55"/>
        <v>2529</v>
      </c>
      <c r="P278" s="74">
        <f>VLOOKUP(B278,'115+260'!$B$15:$AB$647,14,FALSE)</f>
        <v>-471</v>
      </c>
      <c r="Q278" s="72">
        <f>'115+260'!R279</f>
        <v>0</v>
      </c>
      <c r="R278" s="71">
        <f t="shared" si="60"/>
        <v>251</v>
      </c>
      <c r="S278" s="76">
        <f>VLOOKUP(B278,'115+260'!$B$14:$AB$647,22,FALSE)</f>
        <v>2091</v>
      </c>
      <c r="T278" s="75">
        <f>VLOOKUP(B278,'115+260'!$B$15:$AB$647,6,FALSE)</f>
        <v>335</v>
      </c>
      <c r="U278" s="74">
        <f t="shared" si="56"/>
        <v>2541</v>
      </c>
      <c r="V278" s="73">
        <f>VLOOKUP(B278,'115+260'!$B$15:$AB$647,15,FALSE)</f>
        <v>-459</v>
      </c>
      <c r="W278" s="72">
        <f>'115+260'!S279</f>
        <v>0</v>
      </c>
      <c r="X278" s="71">
        <f t="shared" si="61"/>
        <v>209</v>
      </c>
      <c r="Y278" s="70">
        <f t="shared" si="62"/>
        <v>0</v>
      </c>
      <c r="Z278" s="69">
        <f t="shared" si="63"/>
        <v>0</v>
      </c>
      <c r="AA278" s="68">
        <f t="shared" si="64"/>
        <v>2.4729999999999999</v>
      </c>
      <c r="AB278" s="68">
        <f t="shared" si="65"/>
        <v>2.0179999999999998</v>
      </c>
    </row>
    <row r="279" spans="2:28">
      <c r="B279" s="110">
        <f>'115+260'!B280</f>
        <v>45517</v>
      </c>
      <c r="C279" s="80">
        <f t="shared" si="57"/>
        <v>1</v>
      </c>
      <c r="D279" s="79">
        <f t="shared" si="58"/>
        <v>1069</v>
      </c>
      <c r="E279" s="78">
        <f>VLOOKUP(B279,'115+260'!B280:AB280,3,FALSE)</f>
        <v>1809</v>
      </c>
      <c r="F279" s="75">
        <f t="shared" si="53"/>
        <v>2878</v>
      </c>
      <c r="G279" s="77">
        <f>VLOOKUP(B279,'115+260'!$B$15:$AB$647,20,FALSE)</f>
        <v>2053</v>
      </c>
      <c r="H279" s="77">
        <f>VLOOKUP(B279,'115+260'!$B$15:$AB$647,4,FALSE)</f>
        <v>325</v>
      </c>
      <c r="I279" s="74">
        <f t="shared" si="54"/>
        <v>2553</v>
      </c>
      <c r="J279" s="74">
        <f>VLOOKUP(B279,'115+260'!$B$15:$AB$647,13,FALSE)</f>
        <v>-447</v>
      </c>
      <c r="K279" s="72">
        <f>'115+260'!Q280</f>
        <v>0</v>
      </c>
      <c r="L279" s="71">
        <f t="shared" si="59"/>
        <v>247</v>
      </c>
      <c r="M279" s="76">
        <f>VLOOKUP(B279,'115+260'!$B$14:$AB$647,21,FALSE)</f>
        <v>2049</v>
      </c>
      <c r="N279" s="75">
        <f>VLOOKUP(B279,'115+260'!$B$15:$AB$647,5,FALSE)</f>
        <v>349</v>
      </c>
      <c r="O279" s="74">
        <f t="shared" si="55"/>
        <v>2529</v>
      </c>
      <c r="P279" s="74">
        <f>VLOOKUP(B279,'115+260'!$B$15:$AB$647,14,FALSE)</f>
        <v>-471</v>
      </c>
      <c r="Q279" s="72">
        <f>'115+260'!R280</f>
        <v>0</v>
      </c>
      <c r="R279" s="71">
        <f t="shared" si="60"/>
        <v>251</v>
      </c>
      <c r="S279" s="76">
        <f>VLOOKUP(B279,'115+260'!$B$14:$AB$647,22,FALSE)</f>
        <v>2091</v>
      </c>
      <c r="T279" s="75">
        <f>VLOOKUP(B279,'115+260'!$B$15:$AB$647,6,FALSE)</f>
        <v>337</v>
      </c>
      <c r="U279" s="74">
        <f t="shared" si="56"/>
        <v>2541</v>
      </c>
      <c r="V279" s="73">
        <f>VLOOKUP(B279,'115+260'!$B$15:$AB$647,15,FALSE)</f>
        <v>-459</v>
      </c>
      <c r="W279" s="72">
        <f>'115+260'!S280</f>
        <v>0</v>
      </c>
      <c r="X279" s="71">
        <f t="shared" si="61"/>
        <v>209</v>
      </c>
      <c r="Y279" s="70">
        <f t="shared" si="62"/>
        <v>0</v>
      </c>
      <c r="Z279" s="69">
        <f t="shared" si="63"/>
        <v>0</v>
      </c>
      <c r="AA279" s="68">
        <f t="shared" si="64"/>
        <v>2.4729999999999999</v>
      </c>
      <c r="AB279" s="68">
        <f t="shared" si="65"/>
        <v>2.0179999999999998</v>
      </c>
    </row>
    <row r="280" spans="2:28">
      <c r="B280" s="110">
        <f>'115+260'!B281</f>
        <v>45518</v>
      </c>
      <c r="C280" s="80">
        <f t="shared" si="57"/>
        <v>1</v>
      </c>
      <c r="D280" s="79">
        <f t="shared" si="58"/>
        <v>1069</v>
      </c>
      <c r="E280" s="78">
        <f>VLOOKUP(B280,'115+260'!B281:AB281,3,FALSE)</f>
        <v>1811</v>
      </c>
      <c r="F280" s="75">
        <f t="shared" si="53"/>
        <v>2880</v>
      </c>
      <c r="G280" s="77">
        <f>VLOOKUP(B280,'115+260'!$B$15:$AB$647,20,FALSE)</f>
        <v>2053</v>
      </c>
      <c r="H280" s="77">
        <f>VLOOKUP(B280,'115+260'!$B$15:$AB$647,4,FALSE)</f>
        <v>327</v>
      </c>
      <c r="I280" s="74">
        <f t="shared" si="54"/>
        <v>2553</v>
      </c>
      <c r="J280" s="74">
        <f>VLOOKUP(B280,'115+260'!$B$15:$AB$647,13,FALSE)</f>
        <v>-447</v>
      </c>
      <c r="K280" s="72">
        <f>'115+260'!Q281</f>
        <v>0</v>
      </c>
      <c r="L280" s="71">
        <f t="shared" si="59"/>
        <v>247</v>
      </c>
      <c r="M280" s="76">
        <f>VLOOKUP(B280,'115+260'!$B$14:$AB$647,21,FALSE)</f>
        <v>2049</v>
      </c>
      <c r="N280" s="75">
        <f>VLOOKUP(B280,'115+260'!$B$15:$AB$647,5,FALSE)</f>
        <v>351</v>
      </c>
      <c r="O280" s="74">
        <f t="shared" si="55"/>
        <v>2529</v>
      </c>
      <c r="P280" s="74">
        <f>VLOOKUP(B280,'115+260'!$B$15:$AB$647,14,FALSE)</f>
        <v>-471</v>
      </c>
      <c r="Q280" s="72">
        <f>'115+260'!R281</f>
        <v>0</v>
      </c>
      <c r="R280" s="71">
        <f t="shared" si="60"/>
        <v>251</v>
      </c>
      <c r="S280" s="76">
        <f>VLOOKUP(B280,'115+260'!$B$14:$AB$647,22,FALSE)</f>
        <v>2091</v>
      </c>
      <c r="T280" s="75">
        <f>VLOOKUP(B280,'115+260'!$B$15:$AB$647,6,FALSE)</f>
        <v>339</v>
      </c>
      <c r="U280" s="74">
        <f t="shared" si="56"/>
        <v>2541</v>
      </c>
      <c r="V280" s="73">
        <f>VLOOKUP(B280,'115+260'!$B$15:$AB$647,15,FALSE)</f>
        <v>-459</v>
      </c>
      <c r="W280" s="72">
        <f>'115+260'!S281</f>
        <v>0</v>
      </c>
      <c r="X280" s="71">
        <f t="shared" si="61"/>
        <v>209</v>
      </c>
      <c r="Y280" s="70">
        <f t="shared" si="62"/>
        <v>0</v>
      </c>
      <c r="Z280" s="69">
        <f t="shared" si="63"/>
        <v>0</v>
      </c>
      <c r="AA280" s="68">
        <f t="shared" si="64"/>
        <v>2.4729999999999999</v>
      </c>
      <c r="AB280" s="68">
        <f t="shared" si="65"/>
        <v>2.0179999999999998</v>
      </c>
    </row>
    <row r="281" spans="2:28">
      <c r="B281" s="110">
        <f>'115+260'!B282</f>
        <v>45519</v>
      </c>
      <c r="C281" s="80">
        <f t="shared" si="57"/>
        <v>1</v>
      </c>
      <c r="D281" s="79">
        <f t="shared" si="58"/>
        <v>1069</v>
      </c>
      <c r="E281" s="78">
        <f>VLOOKUP(B281,'115+260'!B282:AB282,3,FALSE)</f>
        <v>1813</v>
      </c>
      <c r="F281" s="75">
        <f t="shared" si="53"/>
        <v>2882</v>
      </c>
      <c r="G281" s="77">
        <f>VLOOKUP(B281,'115+260'!$B$15:$AB$647,20,FALSE)</f>
        <v>2053</v>
      </c>
      <c r="H281" s="77">
        <f>VLOOKUP(B281,'115+260'!$B$15:$AB$647,4,FALSE)</f>
        <v>329</v>
      </c>
      <c r="I281" s="74">
        <f t="shared" si="54"/>
        <v>2553</v>
      </c>
      <c r="J281" s="74">
        <f>VLOOKUP(B281,'115+260'!$B$15:$AB$647,13,FALSE)</f>
        <v>-447</v>
      </c>
      <c r="K281" s="72">
        <f>'115+260'!Q282</f>
        <v>0</v>
      </c>
      <c r="L281" s="71">
        <f t="shared" si="59"/>
        <v>247</v>
      </c>
      <c r="M281" s="76">
        <f>VLOOKUP(B281,'115+260'!$B$14:$AB$647,21,FALSE)</f>
        <v>2049</v>
      </c>
      <c r="N281" s="75">
        <f>VLOOKUP(B281,'115+260'!$B$15:$AB$647,5,FALSE)</f>
        <v>353</v>
      </c>
      <c r="O281" s="74">
        <f t="shared" si="55"/>
        <v>2529</v>
      </c>
      <c r="P281" s="74">
        <f>VLOOKUP(B281,'115+260'!$B$15:$AB$647,14,FALSE)</f>
        <v>-471</v>
      </c>
      <c r="Q281" s="72">
        <f>'115+260'!R282</f>
        <v>0</v>
      </c>
      <c r="R281" s="71">
        <f t="shared" si="60"/>
        <v>251</v>
      </c>
      <c r="S281" s="76">
        <f>VLOOKUP(B281,'115+260'!$B$14:$AB$647,22,FALSE)</f>
        <v>2091</v>
      </c>
      <c r="T281" s="75">
        <f>VLOOKUP(B281,'115+260'!$B$15:$AB$647,6,FALSE)</f>
        <v>341</v>
      </c>
      <c r="U281" s="74">
        <f t="shared" si="56"/>
        <v>2541</v>
      </c>
      <c r="V281" s="73">
        <f>VLOOKUP(B281,'115+260'!$B$15:$AB$647,15,FALSE)</f>
        <v>-459</v>
      </c>
      <c r="W281" s="72">
        <f>'115+260'!S282</f>
        <v>0</v>
      </c>
      <c r="X281" s="71">
        <f t="shared" si="61"/>
        <v>209</v>
      </c>
      <c r="Y281" s="70">
        <f t="shared" si="62"/>
        <v>0</v>
      </c>
      <c r="Z281" s="69">
        <f t="shared" si="63"/>
        <v>0</v>
      </c>
      <c r="AA281" s="68">
        <f t="shared" si="64"/>
        <v>2.4729999999999999</v>
      </c>
      <c r="AB281" s="68">
        <f t="shared" si="65"/>
        <v>2.0179999999999998</v>
      </c>
    </row>
    <row r="282" spans="2:28">
      <c r="B282" s="110">
        <f>'115+260'!B283</f>
        <v>45520</v>
      </c>
      <c r="C282" s="80">
        <f t="shared" si="57"/>
        <v>1</v>
      </c>
      <c r="D282" s="79">
        <f t="shared" si="58"/>
        <v>1069</v>
      </c>
      <c r="E282" s="78">
        <f>VLOOKUP(B282,'115+260'!B283:AB283,3,FALSE)</f>
        <v>1815</v>
      </c>
      <c r="F282" s="75">
        <f t="shared" si="53"/>
        <v>2884</v>
      </c>
      <c r="G282" s="77">
        <f>VLOOKUP(B282,'115+260'!$B$15:$AB$647,20,FALSE)</f>
        <v>2053</v>
      </c>
      <c r="H282" s="77">
        <f>VLOOKUP(B282,'115+260'!$B$15:$AB$647,4,FALSE)</f>
        <v>331</v>
      </c>
      <c r="I282" s="74">
        <f t="shared" si="54"/>
        <v>2553</v>
      </c>
      <c r="J282" s="74">
        <f>VLOOKUP(B282,'115+260'!$B$15:$AB$647,13,FALSE)</f>
        <v>-447</v>
      </c>
      <c r="K282" s="72">
        <f>'115+260'!Q283</f>
        <v>0</v>
      </c>
      <c r="L282" s="71">
        <f t="shared" si="59"/>
        <v>247</v>
      </c>
      <c r="M282" s="76">
        <f>VLOOKUP(B282,'115+260'!$B$14:$AB$647,21,FALSE)</f>
        <v>2049</v>
      </c>
      <c r="N282" s="75">
        <f>VLOOKUP(B282,'115+260'!$B$15:$AB$647,5,FALSE)</f>
        <v>355</v>
      </c>
      <c r="O282" s="74">
        <f t="shared" si="55"/>
        <v>2529</v>
      </c>
      <c r="P282" s="74">
        <f>VLOOKUP(B282,'115+260'!$B$15:$AB$647,14,FALSE)</f>
        <v>-471</v>
      </c>
      <c r="Q282" s="72">
        <f>'115+260'!R283</f>
        <v>0</v>
      </c>
      <c r="R282" s="71">
        <f t="shared" si="60"/>
        <v>251</v>
      </c>
      <c r="S282" s="76">
        <f>VLOOKUP(B282,'115+260'!$B$14:$AB$647,22,FALSE)</f>
        <v>2091</v>
      </c>
      <c r="T282" s="75">
        <f>VLOOKUP(B282,'115+260'!$B$15:$AB$647,6,FALSE)</f>
        <v>343</v>
      </c>
      <c r="U282" s="74">
        <f t="shared" si="56"/>
        <v>2541</v>
      </c>
      <c r="V282" s="73">
        <f>VLOOKUP(B282,'115+260'!$B$15:$AB$647,15,FALSE)</f>
        <v>-459</v>
      </c>
      <c r="W282" s="72">
        <f>'115+260'!S283</f>
        <v>0</v>
      </c>
      <c r="X282" s="71">
        <f t="shared" si="61"/>
        <v>209</v>
      </c>
      <c r="Y282" s="70">
        <f t="shared" si="62"/>
        <v>0</v>
      </c>
      <c r="Z282" s="69">
        <f t="shared" si="63"/>
        <v>0</v>
      </c>
      <c r="AA282" s="68">
        <f t="shared" si="64"/>
        <v>2.4729999999999999</v>
      </c>
      <c r="AB282" s="68">
        <f t="shared" si="65"/>
        <v>2.0179999999999998</v>
      </c>
    </row>
    <row r="283" spans="2:28">
      <c r="B283" s="110">
        <f>'115+260'!B284</f>
        <v>45521</v>
      </c>
      <c r="C283" s="80">
        <f t="shared" si="57"/>
        <v>1</v>
      </c>
      <c r="D283" s="79">
        <f t="shared" si="58"/>
        <v>1069</v>
      </c>
      <c r="E283" s="78">
        <f>VLOOKUP(B283,'115+260'!B284:AB284,3,FALSE)</f>
        <v>1817</v>
      </c>
      <c r="F283" s="75">
        <f t="shared" si="53"/>
        <v>2886</v>
      </c>
      <c r="G283" s="77">
        <f>VLOOKUP(B283,'115+260'!$B$15:$AB$647,20,FALSE)</f>
        <v>2053</v>
      </c>
      <c r="H283" s="77">
        <f>VLOOKUP(B283,'115+260'!$B$15:$AB$647,4,FALSE)</f>
        <v>333</v>
      </c>
      <c r="I283" s="74">
        <f t="shared" si="54"/>
        <v>2553</v>
      </c>
      <c r="J283" s="74">
        <f>VLOOKUP(B283,'115+260'!$B$15:$AB$647,13,FALSE)</f>
        <v>-447</v>
      </c>
      <c r="K283" s="72">
        <f>'115+260'!Q284</f>
        <v>0</v>
      </c>
      <c r="L283" s="71">
        <f t="shared" si="59"/>
        <v>247</v>
      </c>
      <c r="M283" s="76">
        <f>VLOOKUP(B283,'115+260'!$B$14:$AB$647,21,FALSE)</f>
        <v>2049</v>
      </c>
      <c r="N283" s="75">
        <f>VLOOKUP(B283,'115+260'!$B$15:$AB$647,5,FALSE)</f>
        <v>357</v>
      </c>
      <c r="O283" s="74">
        <f t="shared" si="55"/>
        <v>2529</v>
      </c>
      <c r="P283" s="74">
        <f>VLOOKUP(B283,'115+260'!$B$15:$AB$647,14,FALSE)</f>
        <v>-471</v>
      </c>
      <c r="Q283" s="72">
        <f>'115+260'!R284</f>
        <v>0</v>
      </c>
      <c r="R283" s="71">
        <f t="shared" si="60"/>
        <v>251</v>
      </c>
      <c r="S283" s="76">
        <f>VLOOKUP(B283,'115+260'!$B$14:$AB$647,22,FALSE)</f>
        <v>2091</v>
      </c>
      <c r="T283" s="75">
        <f>VLOOKUP(B283,'115+260'!$B$15:$AB$647,6,FALSE)</f>
        <v>345</v>
      </c>
      <c r="U283" s="74">
        <f t="shared" si="56"/>
        <v>2541</v>
      </c>
      <c r="V283" s="73">
        <f>VLOOKUP(B283,'115+260'!$B$15:$AB$647,15,FALSE)</f>
        <v>-459</v>
      </c>
      <c r="W283" s="72">
        <f>'115+260'!S284</f>
        <v>0</v>
      </c>
      <c r="X283" s="71">
        <f t="shared" si="61"/>
        <v>209</v>
      </c>
      <c r="Y283" s="70">
        <f t="shared" si="62"/>
        <v>0</v>
      </c>
      <c r="Z283" s="69">
        <f t="shared" si="63"/>
        <v>0</v>
      </c>
      <c r="AA283" s="68">
        <f t="shared" si="64"/>
        <v>2.4729999999999999</v>
      </c>
      <c r="AB283" s="68">
        <f t="shared" si="65"/>
        <v>2.0179999999999998</v>
      </c>
    </row>
    <row r="284" spans="2:28">
      <c r="B284" s="110">
        <f>'115+260'!B285</f>
        <v>45522</v>
      </c>
      <c r="C284" s="80">
        <f t="shared" si="57"/>
        <v>1</v>
      </c>
      <c r="D284" s="79">
        <f t="shared" si="58"/>
        <v>1069</v>
      </c>
      <c r="E284" s="78">
        <f>VLOOKUP(B284,'115+260'!B285:AB285,3,FALSE)</f>
        <v>1819</v>
      </c>
      <c r="F284" s="75">
        <f t="shared" si="53"/>
        <v>2888</v>
      </c>
      <c r="G284" s="77">
        <f>VLOOKUP(B284,'115+260'!$B$15:$AB$647,20,FALSE)</f>
        <v>2053</v>
      </c>
      <c r="H284" s="77">
        <f>VLOOKUP(B284,'115+260'!$B$15:$AB$647,4,FALSE)</f>
        <v>335</v>
      </c>
      <c r="I284" s="74">
        <f t="shared" si="54"/>
        <v>2553</v>
      </c>
      <c r="J284" s="74">
        <f>VLOOKUP(B284,'115+260'!$B$15:$AB$647,13,FALSE)</f>
        <v>-447</v>
      </c>
      <c r="K284" s="72">
        <f>'115+260'!Q285</f>
        <v>0</v>
      </c>
      <c r="L284" s="71">
        <f t="shared" si="59"/>
        <v>247</v>
      </c>
      <c r="M284" s="76">
        <f>VLOOKUP(B284,'115+260'!$B$14:$AB$647,21,FALSE)</f>
        <v>2049</v>
      </c>
      <c r="N284" s="75">
        <f>VLOOKUP(B284,'115+260'!$B$15:$AB$647,5,FALSE)</f>
        <v>359</v>
      </c>
      <c r="O284" s="74">
        <f t="shared" si="55"/>
        <v>2529</v>
      </c>
      <c r="P284" s="74">
        <f>VLOOKUP(B284,'115+260'!$B$15:$AB$647,14,FALSE)</f>
        <v>-471</v>
      </c>
      <c r="Q284" s="72">
        <f>'115+260'!R285</f>
        <v>0</v>
      </c>
      <c r="R284" s="71">
        <f t="shared" si="60"/>
        <v>251</v>
      </c>
      <c r="S284" s="76">
        <f>VLOOKUP(B284,'115+260'!$B$14:$AB$647,22,FALSE)</f>
        <v>2091</v>
      </c>
      <c r="T284" s="75">
        <f>VLOOKUP(B284,'115+260'!$B$15:$AB$647,6,FALSE)</f>
        <v>347</v>
      </c>
      <c r="U284" s="74">
        <f t="shared" si="56"/>
        <v>2541</v>
      </c>
      <c r="V284" s="73">
        <f>VLOOKUP(B284,'115+260'!$B$15:$AB$647,15,FALSE)</f>
        <v>-459</v>
      </c>
      <c r="W284" s="72">
        <f>'115+260'!S285</f>
        <v>0</v>
      </c>
      <c r="X284" s="71">
        <f t="shared" si="61"/>
        <v>209</v>
      </c>
      <c r="Y284" s="70">
        <f t="shared" si="62"/>
        <v>0</v>
      </c>
      <c r="Z284" s="69">
        <f t="shared" si="63"/>
        <v>0</v>
      </c>
      <c r="AA284" s="68">
        <f t="shared" si="64"/>
        <v>2.4729999999999999</v>
      </c>
      <c r="AB284" s="68">
        <f t="shared" si="65"/>
        <v>2.0179999999999998</v>
      </c>
    </row>
    <row r="285" spans="2:28">
      <c r="B285" s="110">
        <f>'115+260'!B286</f>
        <v>45523</v>
      </c>
      <c r="C285" s="80">
        <f t="shared" si="57"/>
        <v>1</v>
      </c>
      <c r="D285" s="79">
        <f t="shared" si="58"/>
        <v>1069</v>
      </c>
      <c r="E285" s="78">
        <f>VLOOKUP(B285,'115+260'!B286:AB286,3,FALSE)</f>
        <v>1821</v>
      </c>
      <c r="F285" s="75">
        <f t="shared" si="53"/>
        <v>2890</v>
      </c>
      <c r="G285" s="77">
        <f>VLOOKUP(B285,'115+260'!$B$15:$AB$647,20,FALSE)</f>
        <v>2053</v>
      </c>
      <c r="H285" s="77">
        <f>VLOOKUP(B285,'115+260'!$B$15:$AB$647,4,FALSE)</f>
        <v>337</v>
      </c>
      <c r="I285" s="74">
        <f t="shared" si="54"/>
        <v>2553</v>
      </c>
      <c r="J285" s="74">
        <f>VLOOKUP(B285,'115+260'!$B$15:$AB$647,13,FALSE)</f>
        <v>-447</v>
      </c>
      <c r="K285" s="72">
        <f>'115+260'!Q286</f>
        <v>0</v>
      </c>
      <c r="L285" s="71">
        <f t="shared" si="59"/>
        <v>247</v>
      </c>
      <c r="M285" s="76">
        <f>VLOOKUP(B285,'115+260'!$B$14:$AB$647,21,FALSE)</f>
        <v>2049</v>
      </c>
      <c r="N285" s="75">
        <f>VLOOKUP(B285,'115+260'!$B$15:$AB$647,5,FALSE)</f>
        <v>361</v>
      </c>
      <c r="O285" s="74">
        <f t="shared" si="55"/>
        <v>2529</v>
      </c>
      <c r="P285" s="74">
        <f>VLOOKUP(B285,'115+260'!$B$15:$AB$647,14,FALSE)</f>
        <v>-471</v>
      </c>
      <c r="Q285" s="72">
        <f>'115+260'!R286</f>
        <v>0</v>
      </c>
      <c r="R285" s="71">
        <f t="shared" si="60"/>
        <v>251</v>
      </c>
      <c r="S285" s="76">
        <f>VLOOKUP(B285,'115+260'!$B$14:$AB$647,22,FALSE)</f>
        <v>2091</v>
      </c>
      <c r="T285" s="75">
        <f>VLOOKUP(B285,'115+260'!$B$15:$AB$647,6,FALSE)</f>
        <v>349</v>
      </c>
      <c r="U285" s="74">
        <f t="shared" si="56"/>
        <v>2541</v>
      </c>
      <c r="V285" s="73">
        <f>VLOOKUP(B285,'115+260'!$B$15:$AB$647,15,FALSE)</f>
        <v>-459</v>
      </c>
      <c r="W285" s="72">
        <f>'115+260'!S286</f>
        <v>0</v>
      </c>
      <c r="X285" s="71">
        <f t="shared" si="61"/>
        <v>209</v>
      </c>
      <c r="Y285" s="70">
        <f t="shared" si="62"/>
        <v>0</v>
      </c>
      <c r="Z285" s="69">
        <f t="shared" si="63"/>
        <v>0</v>
      </c>
      <c r="AA285" s="68">
        <f t="shared" si="64"/>
        <v>2.4729999999999999</v>
      </c>
      <c r="AB285" s="68">
        <f t="shared" si="65"/>
        <v>2.0179999999999998</v>
      </c>
    </row>
    <row r="286" spans="2:28">
      <c r="B286" s="110">
        <f>'115+260'!B287</f>
        <v>45524</v>
      </c>
      <c r="C286" s="80">
        <f t="shared" si="57"/>
        <v>1</v>
      </c>
      <c r="D286" s="79">
        <f t="shared" si="58"/>
        <v>1069</v>
      </c>
      <c r="E286" s="78">
        <f>VLOOKUP(B286,'115+260'!B287:AB287,3,FALSE)</f>
        <v>1823</v>
      </c>
      <c r="F286" s="75">
        <f t="shared" si="53"/>
        <v>2892</v>
      </c>
      <c r="G286" s="77">
        <f>VLOOKUP(B286,'115+260'!$B$15:$AB$647,20,FALSE)</f>
        <v>2053</v>
      </c>
      <c r="H286" s="77">
        <f>VLOOKUP(B286,'115+260'!$B$15:$AB$647,4,FALSE)</f>
        <v>339</v>
      </c>
      <c r="I286" s="74">
        <f t="shared" si="54"/>
        <v>2553</v>
      </c>
      <c r="J286" s="74">
        <f>VLOOKUP(B286,'115+260'!$B$15:$AB$647,13,FALSE)</f>
        <v>-447</v>
      </c>
      <c r="K286" s="72">
        <f>'115+260'!Q287</f>
        <v>0</v>
      </c>
      <c r="L286" s="71">
        <f t="shared" si="59"/>
        <v>247</v>
      </c>
      <c r="M286" s="76">
        <f>VLOOKUP(B286,'115+260'!$B$14:$AB$647,21,FALSE)</f>
        <v>2049</v>
      </c>
      <c r="N286" s="75">
        <f>VLOOKUP(B286,'115+260'!$B$15:$AB$647,5,FALSE)</f>
        <v>363</v>
      </c>
      <c r="O286" s="74">
        <f t="shared" si="55"/>
        <v>2529</v>
      </c>
      <c r="P286" s="74">
        <f>VLOOKUP(B286,'115+260'!$B$15:$AB$647,14,FALSE)</f>
        <v>-471</v>
      </c>
      <c r="Q286" s="72">
        <f>'115+260'!R287</f>
        <v>0</v>
      </c>
      <c r="R286" s="71">
        <f t="shared" si="60"/>
        <v>251</v>
      </c>
      <c r="S286" s="76">
        <f>VLOOKUP(B286,'115+260'!$B$14:$AB$647,22,FALSE)</f>
        <v>2091</v>
      </c>
      <c r="T286" s="75">
        <f>VLOOKUP(B286,'115+260'!$B$15:$AB$647,6,FALSE)</f>
        <v>351</v>
      </c>
      <c r="U286" s="74">
        <f t="shared" si="56"/>
        <v>2541</v>
      </c>
      <c r="V286" s="73">
        <f>VLOOKUP(B286,'115+260'!$B$15:$AB$647,15,FALSE)</f>
        <v>-459</v>
      </c>
      <c r="W286" s="72">
        <f>'115+260'!S287</f>
        <v>0</v>
      </c>
      <c r="X286" s="71">
        <f t="shared" si="61"/>
        <v>209</v>
      </c>
      <c r="Y286" s="70">
        <f t="shared" si="62"/>
        <v>0</v>
      </c>
      <c r="Z286" s="69">
        <f t="shared" si="63"/>
        <v>0</v>
      </c>
      <c r="AA286" s="68">
        <f t="shared" si="64"/>
        <v>2.4729999999999999</v>
      </c>
      <c r="AB286" s="68">
        <f t="shared" si="65"/>
        <v>2.0179999999999998</v>
      </c>
    </row>
    <row r="287" spans="2:28">
      <c r="B287" s="110">
        <f>'115+260'!B288</f>
        <v>45525</v>
      </c>
      <c r="C287" s="80">
        <f t="shared" si="57"/>
        <v>1</v>
      </c>
      <c r="D287" s="79">
        <f t="shared" si="58"/>
        <v>1069</v>
      </c>
      <c r="E287" s="78">
        <f>VLOOKUP(B287,'115+260'!B288:AB288,3,FALSE)</f>
        <v>1825</v>
      </c>
      <c r="F287" s="75">
        <f t="shared" si="53"/>
        <v>2894</v>
      </c>
      <c r="G287" s="77">
        <f>VLOOKUP(B287,'115+260'!$B$15:$AB$647,20,FALSE)</f>
        <v>2053</v>
      </c>
      <c r="H287" s="77">
        <f>VLOOKUP(B287,'115+260'!$B$15:$AB$647,4,FALSE)</f>
        <v>341</v>
      </c>
      <c r="I287" s="74">
        <f t="shared" si="54"/>
        <v>2553</v>
      </c>
      <c r="J287" s="74">
        <f>VLOOKUP(B287,'115+260'!$B$15:$AB$647,13,FALSE)</f>
        <v>-447</v>
      </c>
      <c r="K287" s="72">
        <f>'115+260'!Q288</f>
        <v>0</v>
      </c>
      <c r="L287" s="71">
        <f t="shared" si="59"/>
        <v>247</v>
      </c>
      <c r="M287" s="76">
        <f>VLOOKUP(B287,'115+260'!$B$14:$AB$647,21,FALSE)</f>
        <v>2049</v>
      </c>
      <c r="N287" s="75">
        <f>VLOOKUP(B287,'115+260'!$B$15:$AB$647,5,FALSE)</f>
        <v>365</v>
      </c>
      <c r="O287" s="74">
        <f t="shared" si="55"/>
        <v>2529</v>
      </c>
      <c r="P287" s="74">
        <f>VLOOKUP(B287,'115+260'!$B$15:$AB$647,14,FALSE)</f>
        <v>-471</v>
      </c>
      <c r="Q287" s="72">
        <f>'115+260'!R288</f>
        <v>0</v>
      </c>
      <c r="R287" s="71">
        <f t="shared" si="60"/>
        <v>251</v>
      </c>
      <c r="S287" s="76">
        <f>VLOOKUP(B287,'115+260'!$B$14:$AB$647,22,FALSE)</f>
        <v>2091</v>
      </c>
      <c r="T287" s="75">
        <f>VLOOKUP(B287,'115+260'!$B$15:$AB$647,6,FALSE)</f>
        <v>353</v>
      </c>
      <c r="U287" s="74">
        <f t="shared" si="56"/>
        <v>2541</v>
      </c>
      <c r="V287" s="73">
        <f>VLOOKUP(B287,'115+260'!$B$15:$AB$647,15,FALSE)</f>
        <v>-459</v>
      </c>
      <c r="W287" s="72">
        <f>'115+260'!S288</f>
        <v>0</v>
      </c>
      <c r="X287" s="71">
        <f t="shared" si="61"/>
        <v>209</v>
      </c>
      <c r="Y287" s="70">
        <f t="shared" si="62"/>
        <v>0</v>
      </c>
      <c r="Z287" s="69">
        <f t="shared" si="63"/>
        <v>0</v>
      </c>
      <c r="AA287" s="68">
        <f t="shared" si="64"/>
        <v>2.4729999999999999</v>
      </c>
      <c r="AB287" s="68">
        <f t="shared" si="65"/>
        <v>2.0179999999999998</v>
      </c>
    </row>
    <row r="288" spans="2:28">
      <c r="B288" s="110">
        <f>'115+260'!B289</f>
        <v>45526</v>
      </c>
      <c r="C288" s="80">
        <f t="shared" si="57"/>
        <v>1</v>
      </c>
      <c r="D288" s="79">
        <f t="shared" si="58"/>
        <v>1069</v>
      </c>
      <c r="E288" s="78">
        <f>VLOOKUP(B288,'115+260'!B289:AB289,3,FALSE)</f>
        <v>1827</v>
      </c>
      <c r="F288" s="75">
        <f t="shared" si="53"/>
        <v>2896</v>
      </c>
      <c r="G288" s="77">
        <f>VLOOKUP(B288,'115+260'!$B$15:$AB$647,20,FALSE)</f>
        <v>2053</v>
      </c>
      <c r="H288" s="77">
        <f>VLOOKUP(B288,'115+260'!$B$15:$AB$647,4,FALSE)</f>
        <v>343</v>
      </c>
      <c r="I288" s="74">
        <f t="shared" si="54"/>
        <v>2553</v>
      </c>
      <c r="J288" s="74">
        <f>VLOOKUP(B288,'115+260'!$B$15:$AB$647,13,FALSE)</f>
        <v>-447</v>
      </c>
      <c r="K288" s="72">
        <f>'115+260'!Q289</f>
        <v>0</v>
      </c>
      <c r="L288" s="71">
        <f t="shared" si="59"/>
        <v>247</v>
      </c>
      <c r="M288" s="76">
        <f>VLOOKUP(B288,'115+260'!$B$14:$AB$647,21,FALSE)</f>
        <v>2049</v>
      </c>
      <c r="N288" s="75">
        <f>VLOOKUP(B288,'115+260'!$B$15:$AB$647,5,FALSE)</f>
        <v>367</v>
      </c>
      <c r="O288" s="74">
        <f t="shared" si="55"/>
        <v>2529</v>
      </c>
      <c r="P288" s="74">
        <f>VLOOKUP(B288,'115+260'!$B$15:$AB$647,14,FALSE)</f>
        <v>-471</v>
      </c>
      <c r="Q288" s="72">
        <f>'115+260'!R289</f>
        <v>0</v>
      </c>
      <c r="R288" s="71">
        <f t="shared" si="60"/>
        <v>251</v>
      </c>
      <c r="S288" s="76">
        <f>VLOOKUP(B288,'115+260'!$B$14:$AB$647,22,FALSE)</f>
        <v>2091</v>
      </c>
      <c r="T288" s="75">
        <f>VLOOKUP(B288,'115+260'!$B$15:$AB$647,6,FALSE)</f>
        <v>355</v>
      </c>
      <c r="U288" s="74">
        <f t="shared" si="56"/>
        <v>2541</v>
      </c>
      <c r="V288" s="73">
        <f>VLOOKUP(B288,'115+260'!$B$15:$AB$647,15,FALSE)</f>
        <v>-459</v>
      </c>
      <c r="W288" s="72">
        <f>'115+260'!S289</f>
        <v>0</v>
      </c>
      <c r="X288" s="71">
        <f t="shared" si="61"/>
        <v>209</v>
      </c>
      <c r="Y288" s="70">
        <f t="shared" si="62"/>
        <v>0</v>
      </c>
      <c r="Z288" s="69">
        <f t="shared" si="63"/>
        <v>0</v>
      </c>
      <c r="AA288" s="68">
        <f t="shared" si="64"/>
        <v>2.4729999999999999</v>
      </c>
      <c r="AB288" s="68">
        <f t="shared" si="65"/>
        <v>2.0179999999999998</v>
      </c>
    </row>
    <row r="289" spans="2:28">
      <c r="B289" s="110">
        <f>'115+260'!B290</f>
        <v>45527</v>
      </c>
      <c r="C289" s="80">
        <f t="shared" si="57"/>
        <v>1</v>
      </c>
      <c r="D289" s="79">
        <f t="shared" si="58"/>
        <v>1069</v>
      </c>
      <c r="E289" s="78">
        <f>VLOOKUP(B289,'115+260'!B290:AB290,3,FALSE)</f>
        <v>1829</v>
      </c>
      <c r="F289" s="75">
        <f t="shared" si="53"/>
        <v>2898</v>
      </c>
      <c r="G289" s="77">
        <f>VLOOKUP(B289,'115+260'!$B$15:$AB$647,20,FALSE)</f>
        <v>2053</v>
      </c>
      <c r="H289" s="77">
        <f>VLOOKUP(B289,'115+260'!$B$15:$AB$647,4,FALSE)</f>
        <v>345</v>
      </c>
      <c r="I289" s="74">
        <f t="shared" si="54"/>
        <v>2553</v>
      </c>
      <c r="J289" s="74">
        <f>VLOOKUP(B289,'115+260'!$B$15:$AB$647,13,FALSE)</f>
        <v>-447</v>
      </c>
      <c r="K289" s="72">
        <f>'115+260'!Q290</f>
        <v>0</v>
      </c>
      <c r="L289" s="71">
        <f t="shared" si="59"/>
        <v>247</v>
      </c>
      <c r="M289" s="76">
        <f>VLOOKUP(B289,'115+260'!$B$14:$AB$647,21,FALSE)</f>
        <v>2049</v>
      </c>
      <c r="N289" s="75">
        <f>VLOOKUP(B289,'115+260'!$B$15:$AB$647,5,FALSE)</f>
        <v>369</v>
      </c>
      <c r="O289" s="74">
        <f t="shared" si="55"/>
        <v>2529</v>
      </c>
      <c r="P289" s="74">
        <f>VLOOKUP(B289,'115+260'!$B$15:$AB$647,14,FALSE)</f>
        <v>-471</v>
      </c>
      <c r="Q289" s="72">
        <f>'115+260'!R290</f>
        <v>0</v>
      </c>
      <c r="R289" s="71">
        <f t="shared" si="60"/>
        <v>251</v>
      </c>
      <c r="S289" s="76">
        <f>VLOOKUP(B289,'115+260'!$B$14:$AB$647,22,FALSE)</f>
        <v>2091</v>
      </c>
      <c r="T289" s="75">
        <f>VLOOKUP(B289,'115+260'!$B$15:$AB$647,6,FALSE)</f>
        <v>357</v>
      </c>
      <c r="U289" s="74">
        <f t="shared" si="56"/>
        <v>2541</v>
      </c>
      <c r="V289" s="73">
        <f>VLOOKUP(B289,'115+260'!$B$15:$AB$647,15,FALSE)</f>
        <v>-459</v>
      </c>
      <c r="W289" s="72">
        <f>'115+260'!S290</f>
        <v>0</v>
      </c>
      <c r="X289" s="71">
        <f t="shared" si="61"/>
        <v>209</v>
      </c>
      <c r="Y289" s="70">
        <f t="shared" si="62"/>
        <v>0</v>
      </c>
      <c r="Z289" s="69">
        <f t="shared" si="63"/>
        <v>0</v>
      </c>
      <c r="AA289" s="68">
        <f t="shared" si="64"/>
        <v>2.4729999999999999</v>
      </c>
      <c r="AB289" s="68">
        <f t="shared" si="65"/>
        <v>2.0179999999999998</v>
      </c>
    </row>
    <row r="290" spans="2:28">
      <c r="B290" s="110">
        <f>'115+260'!B291</f>
        <v>45528</v>
      </c>
      <c r="C290" s="80">
        <f t="shared" si="57"/>
        <v>1</v>
      </c>
      <c r="D290" s="79">
        <f t="shared" si="58"/>
        <v>1069</v>
      </c>
      <c r="E290" s="78">
        <f>VLOOKUP(B290,'115+260'!B291:AB291,3,FALSE)</f>
        <v>1831</v>
      </c>
      <c r="F290" s="75">
        <f t="shared" si="53"/>
        <v>2900</v>
      </c>
      <c r="G290" s="77">
        <f>VLOOKUP(B290,'115+260'!$B$15:$AB$647,20,FALSE)</f>
        <v>2053</v>
      </c>
      <c r="H290" s="77">
        <f>VLOOKUP(B290,'115+260'!$B$15:$AB$647,4,FALSE)</f>
        <v>347</v>
      </c>
      <c r="I290" s="74">
        <f t="shared" si="54"/>
        <v>2553</v>
      </c>
      <c r="J290" s="74">
        <f>VLOOKUP(B290,'115+260'!$B$15:$AB$647,13,FALSE)</f>
        <v>-447</v>
      </c>
      <c r="K290" s="72">
        <f>'115+260'!Q291</f>
        <v>0</v>
      </c>
      <c r="L290" s="71">
        <f t="shared" si="59"/>
        <v>247</v>
      </c>
      <c r="M290" s="76">
        <f>VLOOKUP(B290,'115+260'!$B$14:$AB$647,21,FALSE)</f>
        <v>2049</v>
      </c>
      <c r="N290" s="75">
        <f>VLOOKUP(B290,'115+260'!$B$15:$AB$647,5,FALSE)</f>
        <v>371</v>
      </c>
      <c r="O290" s="74">
        <f t="shared" si="55"/>
        <v>2529</v>
      </c>
      <c r="P290" s="74">
        <f>VLOOKUP(B290,'115+260'!$B$15:$AB$647,14,FALSE)</f>
        <v>-471</v>
      </c>
      <c r="Q290" s="72">
        <f>'115+260'!R291</f>
        <v>0</v>
      </c>
      <c r="R290" s="71">
        <f t="shared" si="60"/>
        <v>251</v>
      </c>
      <c r="S290" s="76">
        <f>VLOOKUP(B290,'115+260'!$B$14:$AB$647,22,FALSE)</f>
        <v>2091</v>
      </c>
      <c r="T290" s="75">
        <f>VLOOKUP(B290,'115+260'!$B$15:$AB$647,6,FALSE)</f>
        <v>359</v>
      </c>
      <c r="U290" s="74">
        <f t="shared" si="56"/>
        <v>2541</v>
      </c>
      <c r="V290" s="73">
        <f>VLOOKUP(B290,'115+260'!$B$15:$AB$647,15,FALSE)</f>
        <v>-459</v>
      </c>
      <c r="W290" s="72">
        <f>'115+260'!S291</f>
        <v>0</v>
      </c>
      <c r="X290" s="71">
        <f t="shared" si="61"/>
        <v>209</v>
      </c>
      <c r="Y290" s="70">
        <f t="shared" si="62"/>
        <v>0</v>
      </c>
      <c r="Z290" s="69">
        <f t="shared" si="63"/>
        <v>0</v>
      </c>
      <c r="AA290" s="68">
        <f t="shared" si="64"/>
        <v>2.4729999999999999</v>
      </c>
      <c r="AB290" s="68">
        <f t="shared" si="65"/>
        <v>2.0179999999999998</v>
      </c>
    </row>
    <row r="291" spans="2:28">
      <c r="B291" s="110">
        <f>'115+260'!B292</f>
        <v>45529</v>
      </c>
      <c r="C291" s="80">
        <f t="shared" si="57"/>
        <v>1</v>
      </c>
      <c r="D291" s="79">
        <f t="shared" si="58"/>
        <v>1069</v>
      </c>
      <c r="E291" s="78">
        <f>VLOOKUP(B291,'115+260'!B292:AB292,3,FALSE)</f>
        <v>1833</v>
      </c>
      <c r="F291" s="75">
        <f t="shared" si="53"/>
        <v>2902</v>
      </c>
      <c r="G291" s="77">
        <f>VLOOKUP(B291,'115+260'!$B$15:$AB$647,20,FALSE)</f>
        <v>2053</v>
      </c>
      <c r="H291" s="77">
        <f>VLOOKUP(B291,'115+260'!$B$15:$AB$647,4,FALSE)</f>
        <v>349</v>
      </c>
      <c r="I291" s="74">
        <f t="shared" si="54"/>
        <v>2553</v>
      </c>
      <c r="J291" s="74">
        <f>VLOOKUP(B291,'115+260'!$B$15:$AB$647,13,FALSE)</f>
        <v>-447</v>
      </c>
      <c r="K291" s="72">
        <f>'115+260'!Q292</f>
        <v>0</v>
      </c>
      <c r="L291" s="71">
        <f t="shared" si="59"/>
        <v>247</v>
      </c>
      <c r="M291" s="76">
        <f>VLOOKUP(B291,'115+260'!$B$14:$AB$647,21,FALSE)</f>
        <v>2049</v>
      </c>
      <c r="N291" s="75">
        <f>VLOOKUP(B291,'115+260'!$B$15:$AB$647,5,FALSE)</f>
        <v>373</v>
      </c>
      <c r="O291" s="74">
        <f t="shared" si="55"/>
        <v>2529</v>
      </c>
      <c r="P291" s="74">
        <f>VLOOKUP(B291,'115+260'!$B$15:$AB$647,14,FALSE)</f>
        <v>-471</v>
      </c>
      <c r="Q291" s="72">
        <f>'115+260'!R292</f>
        <v>0</v>
      </c>
      <c r="R291" s="71">
        <f t="shared" si="60"/>
        <v>251</v>
      </c>
      <c r="S291" s="76">
        <f>VLOOKUP(B291,'115+260'!$B$14:$AB$647,22,FALSE)</f>
        <v>2091</v>
      </c>
      <c r="T291" s="75">
        <f>VLOOKUP(B291,'115+260'!$B$15:$AB$647,6,FALSE)</f>
        <v>361</v>
      </c>
      <c r="U291" s="74">
        <f t="shared" si="56"/>
        <v>2541</v>
      </c>
      <c r="V291" s="73">
        <f>VLOOKUP(B291,'115+260'!$B$15:$AB$647,15,FALSE)</f>
        <v>-459</v>
      </c>
      <c r="W291" s="72">
        <f>'115+260'!S292</f>
        <v>0</v>
      </c>
      <c r="X291" s="71">
        <f t="shared" si="61"/>
        <v>209</v>
      </c>
      <c r="Y291" s="70">
        <f t="shared" si="62"/>
        <v>0</v>
      </c>
      <c r="Z291" s="69">
        <f t="shared" si="63"/>
        <v>0</v>
      </c>
      <c r="AA291" s="68">
        <f t="shared" si="64"/>
        <v>2.4729999999999999</v>
      </c>
      <c r="AB291" s="68">
        <f t="shared" si="65"/>
        <v>2.0179999999999998</v>
      </c>
    </row>
    <row r="292" spans="2:28">
      <c r="B292" s="110">
        <f>'115+260'!B293</f>
        <v>45530</v>
      </c>
      <c r="C292" s="80">
        <f t="shared" si="57"/>
        <v>1</v>
      </c>
      <c r="D292" s="79">
        <f t="shared" si="58"/>
        <v>1069</v>
      </c>
      <c r="E292" s="78">
        <f>VLOOKUP(B292,'115+260'!B293:AB293,3,FALSE)</f>
        <v>1835</v>
      </c>
      <c r="F292" s="75">
        <f t="shared" si="53"/>
        <v>2904</v>
      </c>
      <c r="G292" s="77">
        <f>VLOOKUP(B292,'115+260'!$B$15:$AB$647,20,FALSE)</f>
        <v>2053</v>
      </c>
      <c r="H292" s="77">
        <f>VLOOKUP(B292,'115+260'!$B$15:$AB$647,4,FALSE)</f>
        <v>351</v>
      </c>
      <c r="I292" s="74">
        <f t="shared" si="54"/>
        <v>2553</v>
      </c>
      <c r="J292" s="74">
        <f>VLOOKUP(B292,'115+260'!$B$15:$AB$647,13,FALSE)</f>
        <v>-447</v>
      </c>
      <c r="K292" s="72">
        <f>'115+260'!Q293</f>
        <v>0</v>
      </c>
      <c r="L292" s="71">
        <f t="shared" si="59"/>
        <v>247</v>
      </c>
      <c r="M292" s="76">
        <f>VLOOKUP(B292,'115+260'!$B$14:$AB$647,21,FALSE)</f>
        <v>2049</v>
      </c>
      <c r="N292" s="75">
        <f>VLOOKUP(B292,'115+260'!$B$15:$AB$647,5,FALSE)</f>
        <v>375</v>
      </c>
      <c r="O292" s="74">
        <f t="shared" si="55"/>
        <v>2529</v>
      </c>
      <c r="P292" s="74">
        <f>VLOOKUP(B292,'115+260'!$B$15:$AB$647,14,FALSE)</f>
        <v>-471</v>
      </c>
      <c r="Q292" s="72">
        <f>'115+260'!R293</f>
        <v>0</v>
      </c>
      <c r="R292" s="71">
        <f t="shared" si="60"/>
        <v>251</v>
      </c>
      <c r="S292" s="76">
        <f>VLOOKUP(B292,'115+260'!$B$14:$AB$647,22,FALSE)</f>
        <v>2091</v>
      </c>
      <c r="T292" s="75">
        <f>VLOOKUP(B292,'115+260'!$B$15:$AB$647,6,FALSE)</f>
        <v>363</v>
      </c>
      <c r="U292" s="74">
        <f t="shared" si="56"/>
        <v>2541</v>
      </c>
      <c r="V292" s="73">
        <f>VLOOKUP(B292,'115+260'!$B$15:$AB$647,15,FALSE)</f>
        <v>-459</v>
      </c>
      <c r="W292" s="72">
        <f>'115+260'!S293</f>
        <v>0</v>
      </c>
      <c r="X292" s="71">
        <f t="shared" si="61"/>
        <v>209</v>
      </c>
      <c r="Y292" s="70">
        <f t="shared" si="62"/>
        <v>0</v>
      </c>
      <c r="Z292" s="69">
        <f t="shared" si="63"/>
        <v>0</v>
      </c>
      <c r="AA292" s="68">
        <f t="shared" si="64"/>
        <v>2.4729999999999999</v>
      </c>
      <c r="AB292" s="68">
        <f t="shared" si="65"/>
        <v>2.0179999999999998</v>
      </c>
    </row>
    <row r="293" spans="2:28">
      <c r="B293" s="110">
        <f>'115+260'!B294</f>
        <v>45531</v>
      </c>
      <c r="C293" s="80">
        <f t="shared" si="57"/>
        <v>1</v>
      </c>
      <c r="D293" s="79">
        <f t="shared" si="58"/>
        <v>1069</v>
      </c>
      <c r="E293" s="78">
        <f>VLOOKUP(B293,'115+260'!B294:AB294,3,FALSE)</f>
        <v>1837</v>
      </c>
      <c r="F293" s="75">
        <f t="shared" si="53"/>
        <v>2906</v>
      </c>
      <c r="G293" s="77">
        <f>VLOOKUP(B293,'115+260'!$B$15:$AB$647,20,FALSE)</f>
        <v>2053</v>
      </c>
      <c r="H293" s="77">
        <f>VLOOKUP(B293,'115+260'!$B$15:$AB$647,4,FALSE)</f>
        <v>353</v>
      </c>
      <c r="I293" s="74">
        <f t="shared" si="54"/>
        <v>2553</v>
      </c>
      <c r="J293" s="74">
        <f>VLOOKUP(B293,'115+260'!$B$15:$AB$647,13,FALSE)</f>
        <v>-447</v>
      </c>
      <c r="K293" s="72">
        <f>'115+260'!Q294</f>
        <v>0</v>
      </c>
      <c r="L293" s="71">
        <f t="shared" si="59"/>
        <v>247</v>
      </c>
      <c r="M293" s="76">
        <f>VLOOKUP(B293,'115+260'!$B$14:$AB$647,21,FALSE)</f>
        <v>2049</v>
      </c>
      <c r="N293" s="75">
        <f>VLOOKUP(B293,'115+260'!$B$15:$AB$647,5,FALSE)</f>
        <v>377</v>
      </c>
      <c r="O293" s="74">
        <f t="shared" si="55"/>
        <v>2529</v>
      </c>
      <c r="P293" s="74">
        <f>VLOOKUP(B293,'115+260'!$B$15:$AB$647,14,FALSE)</f>
        <v>-471</v>
      </c>
      <c r="Q293" s="72">
        <f>'115+260'!R294</f>
        <v>0</v>
      </c>
      <c r="R293" s="71">
        <f t="shared" si="60"/>
        <v>251</v>
      </c>
      <c r="S293" s="76">
        <f>VLOOKUP(B293,'115+260'!$B$14:$AB$647,22,FALSE)</f>
        <v>2091</v>
      </c>
      <c r="T293" s="75">
        <f>VLOOKUP(B293,'115+260'!$B$15:$AB$647,6,FALSE)</f>
        <v>365</v>
      </c>
      <c r="U293" s="74">
        <f t="shared" si="56"/>
        <v>2541</v>
      </c>
      <c r="V293" s="73">
        <f>VLOOKUP(B293,'115+260'!$B$15:$AB$647,15,FALSE)</f>
        <v>-459</v>
      </c>
      <c r="W293" s="72">
        <f>'115+260'!S294</f>
        <v>0</v>
      </c>
      <c r="X293" s="71">
        <f t="shared" si="61"/>
        <v>209</v>
      </c>
      <c r="Y293" s="70">
        <f t="shared" si="62"/>
        <v>0</v>
      </c>
      <c r="Z293" s="69">
        <f t="shared" si="63"/>
        <v>0</v>
      </c>
      <c r="AA293" s="68">
        <f t="shared" si="64"/>
        <v>2.4729999999999999</v>
      </c>
      <c r="AB293" s="68">
        <f t="shared" si="65"/>
        <v>2.0179999999999998</v>
      </c>
    </row>
    <row r="294" spans="2:28">
      <c r="B294" s="110">
        <f>'115+260'!B295</f>
        <v>45532</v>
      </c>
      <c r="C294" s="80">
        <f t="shared" si="57"/>
        <v>1</v>
      </c>
      <c r="D294" s="79">
        <f t="shared" si="58"/>
        <v>1069</v>
      </c>
      <c r="E294" s="78">
        <f>VLOOKUP(B294,'115+260'!B295:AB295,3,FALSE)</f>
        <v>1839</v>
      </c>
      <c r="F294" s="75">
        <f t="shared" si="53"/>
        <v>2908</v>
      </c>
      <c r="G294" s="77">
        <f>VLOOKUP(B294,'115+260'!$B$15:$AB$647,20,FALSE)</f>
        <v>2053</v>
      </c>
      <c r="H294" s="77">
        <f>VLOOKUP(B294,'115+260'!$B$15:$AB$647,4,FALSE)</f>
        <v>355</v>
      </c>
      <c r="I294" s="74">
        <f t="shared" si="54"/>
        <v>2553</v>
      </c>
      <c r="J294" s="74">
        <f>VLOOKUP(B294,'115+260'!$B$15:$AB$647,13,FALSE)</f>
        <v>-447</v>
      </c>
      <c r="K294" s="72">
        <f>'115+260'!Q295</f>
        <v>0</v>
      </c>
      <c r="L294" s="71">
        <f t="shared" si="59"/>
        <v>247</v>
      </c>
      <c r="M294" s="76">
        <f>VLOOKUP(B294,'115+260'!$B$14:$AB$647,21,FALSE)</f>
        <v>2049</v>
      </c>
      <c r="N294" s="75">
        <f>VLOOKUP(B294,'115+260'!$B$15:$AB$647,5,FALSE)</f>
        <v>379</v>
      </c>
      <c r="O294" s="74">
        <f t="shared" si="55"/>
        <v>2529</v>
      </c>
      <c r="P294" s="74">
        <f>VLOOKUP(B294,'115+260'!$B$15:$AB$647,14,FALSE)</f>
        <v>-471</v>
      </c>
      <c r="Q294" s="72">
        <f>'115+260'!R295</f>
        <v>0</v>
      </c>
      <c r="R294" s="71">
        <f t="shared" si="60"/>
        <v>251</v>
      </c>
      <c r="S294" s="76">
        <f>VLOOKUP(B294,'115+260'!$B$14:$AB$647,22,FALSE)</f>
        <v>2091</v>
      </c>
      <c r="T294" s="75">
        <f>VLOOKUP(B294,'115+260'!$B$15:$AB$647,6,FALSE)</f>
        <v>367</v>
      </c>
      <c r="U294" s="74">
        <f t="shared" si="56"/>
        <v>2541</v>
      </c>
      <c r="V294" s="73">
        <f>VLOOKUP(B294,'115+260'!$B$15:$AB$647,15,FALSE)</f>
        <v>-459</v>
      </c>
      <c r="W294" s="72">
        <f>'115+260'!S295</f>
        <v>0</v>
      </c>
      <c r="X294" s="71">
        <f t="shared" si="61"/>
        <v>209</v>
      </c>
      <c r="Y294" s="70">
        <f t="shared" si="62"/>
        <v>0</v>
      </c>
      <c r="Z294" s="69">
        <f t="shared" si="63"/>
        <v>0</v>
      </c>
      <c r="AA294" s="68">
        <f t="shared" si="64"/>
        <v>2.4729999999999999</v>
      </c>
      <c r="AB294" s="68">
        <f t="shared" si="65"/>
        <v>2.0179999999999998</v>
      </c>
    </row>
    <row r="295" spans="2:28">
      <c r="B295" s="110">
        <f>'115+260'!B296</f>
        <v>45533</v>
      </c>
      <c r="C295" s="80">
        <f t="shared" si="57"/>
        <v>1</v>
      </c>
      <c r="D295" s="79">
        <f t="shared" si="58"/>
        <v>1069</v>
      </c>
      <c r="E295" s="78">
        <f>VLOOKUP(B295,'115+260'!B296:AB296,3,FALSE)</f>
        <v>1841</v>
      </c>
      <c r="F295" s="75">
        <f t="shared" si="53"/>
        <v>2910</v>
      </c>
      <c r="G295" s="77">
        <f>VLOOKUP(B295,'115+260'!$B$15:$AB$647,20,FALSE)</f>
        <v>2053</v>
      </c>
      <c r="H295" s="77">
        <f>VLOOKUP(B295,'115+260'!$B$15:$AB$647,4,FALSE)</f>
        <v>357</v>
      </c>
      <c r="I295" s="74">
        <f t="shared" si="54"/>
        <v>2553</v>
      </c>
      <c r="J295" s="74">
        <f>VLOOKUP(B295,'115+260'!$B$15:$AB$647,13,FALSE)</f>
        <v>-447</v>
      </c>
      <c r="K295" s="72">
        <f>'115+260'!Q296</f>
        <v>0</v>
      </c>
      <c r="L295" s="71">
        <f t="shared" si="59"/>
        <v>247</v>
      </c>
      <c r="M295" s="76">
        <f>VLOOKUP(B295,'115+260'!$B$14:$AB$647,21,FALSE)</f>
        <v>2049</v>
      </c>
      <c r="N295" s="75">
        <f>VLOOKUP(B295,'115+260'!$B$15:$AB$647,5,FALSE)</f>
        <v>381</v>
      </c>
      <c r="O295" s="74">
        <f t="shared" si="55"/>
        <v>2529</v>
      </c>
      <c r="P295" s="74">
        <f>VLOOKUP(B295,'115+260'!$B$15:$AB$647,14,FALSE)</f>
        <v>-471</v>
      </c>
      <c r="Q295" s="72">
        <f>'115+260'!R296</f>
        <v>0</v>
      </c>
      <c r="R295" s="71">
        <f t="shared" si="60"/>
        <v>251</v>
      </c>
      <c r="S295" s="76">
        <f>VLOOKUP(B295,'115+260'!$B$14:$AB$647,22,FALSE)</f>
        <v>2091</v>
      </c>
      <c r="T295" s="75">
        <f>VLOOKUP(B295,'115+260'!$B$15:$AB$647,6,FALSE)</f>
        <v>369</v>
      </c>
      <c r="U295" s="74">
        <f t="shared" si="56"/>
        <v>2541</v>
      </c>
      <c r="V295" s="73">
        <f>VLOOKUP(B295,'115+260'!$B$15:$AB$647,15,FALSE)</f>
        <v>-459</v>
      </c>
      <c r="W295" s="72">
        <f>'115+260'!S296</f>
        <v>0</v>
      </c>
      <c r="X295" s="71">
        <f t="shared" si="61"/>
        <v>209</v>
      </c>
      <c r="Y295" s="70">
        <f t="shared" si="62"/>
        <v>0</v>
      </c>
      <c r="Z295" s="69">
        <f t="shared" si="63"/>
        <v>0</v>
      </c>
      <c r="AA295" s="68">
        <f t="shared" si="64"/>
        <v>2.4729999999999999</v>
      </c>
      <c r="AB295" s="68">
        <f t="shared" si="65"/>
        <v>2.0179999999999998</v>
      </c>
    </row>
    <row r="296" spans="2:28">
      <c r="B296" s="110">
        <f>'115+260'!B297</f>
        <v>45534</v>
      </c>
      <c r="C296" s="80">
        <f t="shared" si="57"/>
        <v>1</v>
      </c>
      <c r="D296" s="79">
        <f t="shared" si="58"/>
        <v>1069</v>
      </c>
      <c r="E296" s="78">
        <f>VLOOKUP(B296,'115+260'!B297:AB297,3,FALSE)</f>
        <v>1843</v>
      </c>
      <c r="F296" s="75">
        <f t="shared" si="53"/>
        <v>2912</v>
      </c>
      <c r="G296" s="77">
        <f>VLOOKUP(B296,'115+260'!$B$15:$AB$647,20,FALSE)</f>
        <v>2053</v>
      </c>
      <c r="H296" s="77">
        <f>VLOOKUP(B296,'115+260'!$B$15:$AB$647,4,FALSE)</f>
        <v>359</v>
      </c>
      <c r="I296" s="74">
        <f t="shared" si="54"/>
        <v>2553</v>
      </c>
      <c r="J296" s="74">
        <f>VLOOKUP(B296,'115+260'!$B$15:$AB$647,13,FALSE)</f>
        <v>-447</v>
      </c>
      <c r="K296" s="72">
        <f>'115+260'!Q297</f>
        <v>0</v>
      </c>
      <c r="L296" s="71">
        <f t="shared" si="59"/>
        <v>247</v>
      </c>
      <c r="M296" s="76">
        <f>VLOOKUP(B296,'115+260'!$B$14:$AB$647,21,FALSE)</f>
        <v>2049</v>
      </c>
      <c r="N296" s="75">
        <f>VLOOKUP(B296,'115+260'!$B$15:$AB$647,5,FALSE)</f>
        <v>383</v>
      </c>
      <c r="O296" s="74">
        <f t="shared" si="55"/>
        <v>2529</v>
      </c>
      <c r="P296" s="74">
        <f>VLOOKUP(B296,'115+260'!$B$15:$AB$647,14,FALSE)</f>
        <v>-471</v>
      </c>
      <c r="Q296" s="72">
        <f>'115+260'!R297</f>
        <v>0</v>
      </c>
      <c r="R296" s="71">
        <f t="shared" si="60"/>
        <v>251</v>
      </c>
      <c r="S296" s="76">
        <f>VLOOKUP(B296,'115+260'!$B$14:$AB$647,22,FALSE)</f>
        <v>2091</v>
      </c>
      <c r="T296" s="75">
        <f>VLOOKUP(B296,'115+260'!$B$15:$AB$647,6,FALSE)</f>
        <v>371</v>
      </c>
      <c r="U296" s="74">
        <f t="shared" si="56"/>
        <v>2541</v>
      </c>
      <c r="V296" s="73">
        <f>VLOOKUP(B296,'115+260'!$B$15:$AB$647,15,FALSE)</f>
        <v>-459</v>
      </c>
      <c r="W296" s="72">
        <f>'115+260'!S297</f>
        <v>0</v>
      </c>
      <c r="X296" s="71">
        <f t="shared" si="61"/>
        <v>209</v>
      </c>
      <c r="Y296" s="70">
        <f t="shared" si="62"/>
        <v>0</v>
      </c>
      <c r="Z296" s="69">
        <f t="shared" si="63"/>
        <v>0</v>
      </c>
      <c r="AA296" s="68">
        <f t="shared" si="64"/>
        <v>2.4729999999999999</v>
      </c>
      <c r="AB296" s="68">
        <f t="shared" si="65"/>
        <v>2.0179999999999998</v>
      </c>
    </row>
    <row r="297" spans="2:28">
      <c r="B297" s="110">
        <f>'115+260'!B298</f>
        <v>45535</v>
      </c>
      <c r="C297" s="80">
        <f t="shared" si="57"/>
        <v>1</v>
      </c>
      <c r="D297" s="79">
        <f t="shared" si="58"/>
        <v>1069</v>
      </c>
      <c r="E297" s="78">
        <f>VLOOKUP(B297,'115+260'!B298:AB298,3,FALSE)</f>
        <v>1845</v>
      </c>
      <c r="F297" s="75">
        <f t="shared" si="53"/>
        <v>2914</v>
      </c>
      <c r="G297" s="77">
        <f>VLOOKUP(B297,'115+260'!$B$15:$AB$647,20,FALSE)</f>
        <v>2053</v>
      </c>
      <c r="H297" s="77">
        <f>VLOOKUP(B297,'115+260'!$B$15:$AB$647,4,FALSE)</f>
        <v>361</v>
      </c>
      <c r="I297" s="74">
        <f t="shared" si="54"/>
        <v>2553</v>
      </c>
      <c r="J297" s="74">
        <f>VLOOKUP(B297,'115+260'!$B$15:$AB$647,13,FALSE)</f>
        <v>-447</v>
      </c>
      <c r="K297" s="72">
        <f>'115+260'!Q298</f>
        <v>0</v>
      </c>
      <c r="L297" s="71">
        <f t="shared" si="59"/>
        <v>247</v>
      </c>
      <c r="M297" s="76">
        <f>VLOOKUP(B297,'115+260'!$B$14:$AB$647,21,FALSE)</f>
        <v>2049</v>
      </c>
      <c r="N297" s="75">
        <f>VLOOKUP(B297,'115+260'!$B$15:$AB$647,5,FALSE)</f>
        <v>385</v>
      </c>
      <c r="O297" s="74">
        <f t="shared" si="55"/>
        <v>2529</v>
      </c>
      <c r="P297" s="74">
        <f>VLOOKUP(B297,'115+260'!$B$15:$AB$647,14,FALSE)</f>
        <v>-471</v>
      </c>
      <c r="Q297" s="72">
        <f>'115+260'!R298</f>
        <v>0</v>
      </c>
      <c r="R297" s="71">
        <f t="shared" si="60"/>
        <v>251</v>
      </c>
      <c r="S297" s="76">
        <f>VLOOKUP(B297,'115+260'!$B$14:$AB$647,22,FALSE)</f>
        <v>2091</v>
      </c>
      <c r="T297" s="75">
        <f>VLOOKUP(B297,'115+260'!$B$15:$AB$647,6,FALSE)</f>
        <v>373</v>
      </c>
      <c r="U297" s="74">
        <f t="shared" si="56"/>
        <v>2541</v>
      </c>
      <c r="V297" s="73">
        <f>VLOOKUP(B297,'115+260'!$B$15:$AB$647,15,FALSE)</f>
        <v>-459</v>
      </c>
      <c r="W297" s="72">
        <f>'115+260'!S298</f>
        <v>0</v>
      </c>
      <c r="X297" s="71">
        <f t="shared" si="61"/>
        <v>209</v>
      </c>
      <c r="Y297" s="70">
        <f t="shared" si="62"/>
        <v>0</v>
      </c>
      <c r="Z297" s="69">
        <f t="shared" si="63"/>
        <v>0</v>
      </c>
      <c r="AA297" s="68">
        <f t="shared" si="64"/>
        <v>2.4729999999999999</v>
      </c>
      <c r="AB297" s="68">
        <f t="shared" si="65"/>
        <v>2.0179999999999998</v>
      </c>
    </row>
    <row r="298" spans="2:28">
      <c r="B298" s="110">
        <f>'115+260'!B299</f>
        <v>45536</v>
      </c>
      <c r="C298" s="80">
        <f t="shared" si="57"/>
        <v>1</v>
      </c>
      <c r="D298" s="79">
        <f t="shared" si="58"/>
        <v>1069</v>
      </c>
      <c r="E298" s="78">
        <f>VLOOKUP(B298,'115+260'!B299:AB299,3,FALSE)</f>
        <v>1847</v>
      </c>
      <c r="F298" s="75">
        <f t="shared" si="53"/>
        <v>2916</v>
      </c>
      <c r="G298" s="77">
        <f>VLOOKUP(B298,'115+260'!$B$15:$AB$647,20,FALSE)</f>
        <v>2053</v>
      </c>
      <c r="H298" s="77">
        <f>VLOOKUP(B298,'115+260'!$B$15:$AB$647,4,FALSE)</f>
        <v>363</v>
      </c>
      <c r="I298" s="74">
        <f t="shared" si="54"/>
        <v>2553</v>
      </c>
      <c r="J298" s="74">
        <f>VLOOKUP(B298,'115+260'!$B$15:$AB$647,13,FALSE)</f>
        <v>-447</v>
      </c>
      <c r="K298" s="72">
        <f>'115+260'!Q299</f>
        <v>0</v>
      </c>
      <c r="L298" s="71">
        <f t="shared" si="59"/>
        <v>247</v>
      </c>
      <c r="M298" s="76">
        <f>VLOOKUP(B298,'115+260'!$B$14:$AB$647,21,FALSE)</f>
        <v>2049</v>
      </c>
      <c r="N298" s="75">
        <f>VLOOKUP(B298,'115+260'!$B$15:$AB$647,5,FALSE)</f>
        <v>387</v>
      </c>
      <c r="O298" s="74">
        <f t="shared" si="55"/>
        <v>2529</v>
      </c>
      <c r="P298" s="74">
        <f>VLOOKUP(B298,'115+260'!$B$15:$AB$647,14,FALSE)</f>
        <v>-471</v>
      </c>
      <c r="Q298" s="72">
        <f>'115+260'!R299</f>
        <v>0</v>
      </c>
      <c r="R298" s="71">
        <f t="shared" si="60"/>
        <v>251</v>
      </c>
      <c r="S298" s="76">
        <f>VLOOKUP(B298,'115+260'!$B$14:$AB$647,22,FALSE)</f>
        <v>2091</v>
      </c>
      <c r="T298" s="75">
        <f>VLOOKUP(B298,'115+260'!$B$15:$AB$647,6,FALSE)</f>
        <v>375</v>
      </c>
      <c r="U298" s="74">
        <f t="shared" si="56"/>
        <v>2541</v>
      </c>
      <c r="V298" s="73">
        <f>VLOOKUP(B298,'115+260'!$B$15:$AB$647,15,FALSE)</f>
        <v>-459</v>
      </c>
      <c r="W298" s="72">
        <f>'115+260'!S299</f>
        <v>0</v>
      </c>
      <c r="X298" s="71">
        <f t="shared" si="61"/>
        <v>209</v>
      </c>
      <c r="Y298" s="70">
        <f t="shared" si="62"/>
        <v>0</v>
      </c>
      <c r="Z298" s="69">
        <f t="shared" si="63"/>
        <v>0</v>
      </c>
      <c r="AA298" s="68">
        <f t="shared" si="64"/>
        <v>2.4729999999999999</v>
      </c>
      <c r="AB298" s="68">
        <f t="shared" si="65"/>
        <v>2.0179999999999998</v>
      </c>
    </row>
    <row r="299" spans="2:28">
      <c r="B299" s="110">
        <f>'115+260'!B300</f>
        <v>45537</v>
      </c>
      <c r="C299" s="80">
        <f t="shared" si="57"/>
        <v>1</v>
      </c>
      <c r="D299" s="79">
        <f t="shared" si="58"/>
        <v>1069</v>
      </c>
      <c r="E299" s="78">
        <f>VLOOKUP(B299,'115+260'!B300:AB300,3,FALSE)</f>
        <v>1849</v>
      </c>
      <c r="F299" s="75">
        <f t="shared" si="53"/>
        <v>2918</v>
      </c>
      <c r="G299" s="77">
        <f>VLOOKUP(B299,'115+260'!$B$15:$AB$647,20,FALSE)</f>
        <v>2053</v>
      </c>
      <c r="H299" s="77">
        <f>VLOOKUP(B299,'115+260'!$B$15:$AB$647,4,FALSE)</f>
        <v>365</v>
      </c>
      <c r="I299" s="74">
        <f t="shared" si="54"/>
        <v>2553</v>
      </c>
      <c r="J299" s="74">
        <f>VLOOKUP(B299,'115+260'!$B$15:$AB$647,13,FALSE)</f>
        <v>-447</v>
      </c>
      <c r="K299" s="72">
        <f>'115+260'!Q300</f>
        <v>0</v>
      </c>
      <c r="L299" s="71">
        <f t="shared" si="59"/>
        <v>247</v>
      </c>
      <c r="M299" s="76">
        <f>VLOOKUP(B299,'115+260'!$B$14:$AB$647,21,FALSE)</f>
        <v>2049</v>
      </c>
      <c r="N299" s="75">
        <f>VLOOKUP(B299,'115+260'!$B$15:$AB$647,5,FALSE)</f>
        <v>389</v>
      </c>
      <c r="O299" s="74">
        <f t="shared" si="55"/>
        <v>2529</v>
      </c>
      <c r="P299" s="74">
        <f>VLOOKUP(B299,'115+260'!$B$15:$AB$647,14,FALSE)</f>
        <v>-471</v>
      </c>
      <c r="Q299" s="72">
        <f>'115+260'!R300</f>
        <v>0</v>
      </c>
      <c r="R299" s="71">
        <f t="shared" si="60"/>
        <v>251</v>
      </c>
      <c r="S299" s="76">
        <f>VLOOKUP(B299,'115+260'!$B$14:$AB$647,22,FALSE)</f>
        <v>2091</v>
      </c>
      <c r="T299" s="75">
        <f>VLOOKUP(B299,'115+260'!$B$15:$AB$647,6,FALSE)</f>
        <v>377</v>
      </c>
      <c r="U299" s="74">
        <f t="shared" si="56"/>
        <v>2541</v>
      </c>
      <c r="V299" s="73">
        <f>VLOOKUP(B299,'115+260'!$B$15:$AB$647,15,FALSE)</f>
        <v>-459</v>
      </c>
      <c r="W299" s="72">
        <f>'115+260'!S300</f>
        <v>0</v>
      </c>
      <c r="X299" s="71">
        <f t="shared" si="61"/>
        <v>209</v>
      </c>
      <c r="Y299" s="70">
        <f t="shared" si="62"/>
        <v>0</v>
      </c>
      <c r="Z299" s="69">
        <f t="shared" si="63"/>
        <v>0</v>
      </c>
      <c r="AA299" s="68">
        <f t="shared" si="64"/>
        <v>2.4729999999999999</v>
      </c>
      <c r="AB299" s="68">
        <f t="shared" si="65"/>
        <v>2.0179999999999998</v>
      </c>
    </row>
    <row r="300" spans="2:28">
      <c r="B300" s="110">
        <f>'115+260'!B301</f>
        <v>45538</v>
      </c>
      <c r="C300" s="80">
        <f t="shared" si="57"/>
        <v>1</v>
      </c>
      <c r="D300" s="79">
        <f t="shared" si="58"/>
        <v>1069</v>
      </c>
      <c r="E300" s="78">
        <f>VLOOKUP(B300,'115+260'!B301:AB301,3,FALSE)</f>
        <v>1851</v>
      </c>
      <c r="F300" s="75">
        <f t="shared" si="53"/>
        <v>2920</v>
      </c>
      <c r="G300" s="77">
        <f>VLOOKUP(B300,'115+260'!$B$15:$AB$647,20,FALSE)</f>
        <v>2053</v>
      </c>
      <c r="H300" s="77">
        <f>VLOOKUP(B300,'115+260'!$B$15:$AB$647,4,FALSE)</f>
        <v>367</v>
      </c>
      <c r="I300" s="74">
        <f t="shared" si="54"/>
        <v>2553</v>
      </c>
      <c r="J300" s="74">
        <f>VLOOKUP(B300,'115+260'!$B$15:$AB$647,13,FALSE)</f>
        <v>-447</v>
      </c>
      <c r="K300" s="72">
        <f>'115+260'!Q301</f>
        <v>0</v>
      </c>
      <c r="L300" s="71">
        <f t="shared" si="59"/>
        <v>247</v>
      </c>
      <c r="M300" s="76">
        <f>VLOOKUP(B300,'115+260'!$B$14:$AB$647,21,FALSE)</f>
        <v>2049</v>
      </c>
      <c r="N300" s="75">
        <f>VLOOKUP(B300,'115+260'!$B$15:$AB$647,5,FALSE)</f>
        <v>391</v>
      </c>
      <c r="O300" s="74">
        <f t="shared" si="55"/>
        <v>2529</v>
      </c>
      <c r="P300" s="74">
        <f>VLOOKUP(B300,'115+260'!$B$15:$AB$647,14,FALSE)</f>
        <v>-471</v>
      </c>
      <c r="Q300" s="72">
        <f>'115+260'!R301</f>
        <v>0</v>
      </c>
      <c r="R300" s="71">
        <f t="shared" si="60"/>
        <v>251</v>
      </c>
      <c r="S300" s="76">
        <f>VLOOKUP(B300,'115+260'!$B$14:$AB$647,22,FALSE)</f>
        <v>2091</v>
      </c>
      <c r="T300" s="75">
        <f>VLOOKUP(B300,'115+260'!$B$15:$AB$647,6,FALSE)</f>
        <v>379</v>
      </c>
      <c r="U300" s="74">
        <f t="shared" si="56"/>
        <v>2541</v>
      </c>
      <c r="V300" s="73">
        <f>VLOOKUP(B300,'115+260'!$B$15:$AB$647,15,FALSE)</f>
        <v>-459</v>
      </c>
      <c r="W300" s="72">
        <f>'115+260'!S301</f>
        <v>0</v>
      </c>
      <c r="X300" s="71">
        <f t="shared" si="61"/>
        <v>209</v>
      </c>
      <c r="Y300" s="70">
        <f t="shared" si="62"/>
        <v>0</v>
      </c>
      <c r="Z300" s="69">
        <f t="shared" si="63"/>
        <v>0</v>
      </c>
      <c r="AA300" s="68">
        <f t="shared" si="64"/>
        <v>2.4729999999999999</v>
      </c>
      <c r="AB300" s="68">
        <f t="shared" si="65"/>
        <v>2.0179999999999998</v>
      </c>
    </row>
    <row r="301" spans="2:28">
      <c r="B301" s="110">
        <f>'115+260'!B302</f>
        <v>45539</v>
      </c>
      <c r="C301" s="80">
        <f t="shared" si="57"/>
        <v>1</v>
      </c>
      <c r="D301" s="79">
        <f t="shared" si="58"/>
        <v>1069</v>
      </c>
      <c r="E301" s="78">
        <f>VLOOKUP(B301,'115+260'!B302:AB302,3,FALSE)</f>
        <v>1853</v>
      </c>
      <c r="F301" s="75">
        <f t="shared" si="53"/>
        <v>2922</v>
      </c>
      <c r="G301" s="77">
        <f>VLOOKUP(B301,'115+260'!$B$15:$AB$647,20,FALSE)</f>
        <v>2053</v>
      </c>
      <c r="H301" s="77">
        <f>VLOOKUP(B301,'115+260'!$B$15:$AB$647,4,FALSE)</f>
        <v>369</v>
      </c>
      <c r="I301" s="74">
        <f t="shared" si="54"/>
        <v>2553</v>
      </c>
      <c r="J301" s="74">
        <f>VLOOKUP(B301,'115+260'!$B$15:$AB$647,13,FALSE)</f>
        <v>-447</v>
      </c>
      <c r="K301" s="72">
        <f>'115+260'!Q302</f>
        <v>0</v>
      </c>
      <c r="L301" s="71">
        <f t="shared" si="59"/>
        <v>247</v>
      </c>
      <c r="M301" s="76">
        <f>VLOOKUP(B301,'115+260'!$B$14:$AB$647,21,FALSE)</f>
        <v>2049</v>
      </c>
      <c r="N301" s="75">
        <f>VLOOKUP(B301,'115+260'!$B$15:$AB$647,5,FALSE)</f>
        <v>393</v>
      </c>
      <c r="O301" s="74">
        <f t="shared" si="55"/>
        <v>2529</v>
      </c>
      <c r="P301" s="74">
        <f>VLOOKUP(B301,'115+260'!$B$15:$AB$647,14,FALSE)</f>
        <v>-471</v>
      </c>
      <c r="Q301" s="72">
        <f>'115+260'!R302</f>
        <v>0</v>
      </c>
      <c r="R301" s="71">
        <f t="shared" si="60"/>
        <v>251</v>
      </c>
      <c r="S301" s="76">
        <f>VLOOKUP(B301,'115+260'!$B$14:$AB$647,22,FALSE)</f>
        <v>2091</v>
      </c>
      <c r="T301" s="75">
        <f>VLOOKUP(B301,'115+260'!$B$15:$AB$647,6,FALSE)</f>
        <v>381</v>
      </c>
      <c r="U301" s="74">
        <f t="shared" si="56"/>
        <v>2541</v>
      </c>
      <c r="V301" s="73">
        <f>VLOOKUP(B301,'115+260'!$B$15:$AB$647,15,FALSE)</f>
        <v>-459</v>
      </c>
      <c r="W301" s="72">
        <f>'115+260'!S302</f>
        <v>0</v>
      </c>
      <c r="X301" s="71">
        <f t="shared" si="61"/>
        <v>209</v>
      </c>
      <c r="Y301" s="70">
        <f t="shared" si="62"/>
        <v>0</v>
      </c>
      <c r="Z301" s="69">
        <f t="shared" si="63"/>
        <v>0</v>
      </c>
      <c r="AA301" s="68">
        <f t="shared" si="64"/>
        <v>2.4729999999999999</v>
      </c>
      <c r="AB301" s="68">
        <f t="shared" si="65"/>
        <v>2.0179999999999998</v>
      </c>
    </row>
    <row r="302" spans="2:28">
      <c r="B302" s="110">
        <f>'115+260'!B303</f>
        <v>45540</v>
      </c>
      <c r="C302" s="80">
        <f t="shared" si="57"/>
        <v>1</v>
      </c>
      <c r="D302" s="79">
        <f t="shared" si="58"/>
        <v>1069</v>
      </c>
      <c r="E302" s="78">
        <f>VLOOKUP(B302,'115+260'!B303:AB303,3,FALSE)</f>
        <v>1855</v>
      </c>
      <c r="F302" s="75">
        <f t="shared" si="53"/>
        <v>2924</v>
      </c>
      <c r="G302" s="77">
        <f>VLOOKUP(B302,'115+260'!$B$15:$AB$647,20,FALSE)</f>
        <v>2053</v>
      </c>
      <c r="H302" s="77">
        <f>VLOOKUP(B302,'115+260'!$B$15:$AB$647,4,FALSE)</f>
        <v>371</v>
      </c>
      <c r="I302" s="74">
        <f t="shared" si="54"/>
        <v>2553</v>
      </c>
      <c r="J302" s="74">
        <f>VLOOKUP(B302,'115+260'!$B$15:$AB$647,13,FALSE)</f>
        <v>-447</v>
      </c>
      <c r="K302" s="72">
        <f>'115+260'!Q303</f>
        <v>0</v>
      </c>
      <c r="L302" s="71">
        <f t="shared" si="59"/>
        <v>247</v>
      </c>
      <c r="M302" s="76">
        <f>VLOOKUP(B302,'115+260'!$B$14:$AB$647,21,FALSE)</f>
        <v>2049</v>
      </c>
      <c r="N302" s="75">
        <f>VLOOKUP(B302,'115+260'!$B$15:$AB$647,5,FALSE)</f>
        <v>395</v>
      </c>
      <c r="O302" s="74">
        <f t="shared" si="55"/>
        <v>2529</v>
      </c>
      <c r="P302" s="74">
        <f>VLOOKUP(B302,'115+260'!$B$15:$AB$647,14,FALSE)</f>
        <v>-471</v>
      </c>
      <c r="Q302" s="72">
        <f>'115+260'!R303</f>
        <v>0</v>
      </c>
      <c r="R302" s="71">
        <f t="shared" si="60"/>
        <v>251</v>
      </c>
      <c r="S302" s="76">
        <f>VLOOKUP(B302,'115+260'!$B$14:$AB$647,22,FALSE)</f>
        <v>2091</v>
      </c>
      <c r="T302" s="75">
        <f>VLOOKUP(B302,'115+260'!$B$15:$AB$647,6,FALSE)</f>
        <v>383</v>
      </c>
      <c r="U302" s="74">
        <f t="shared" si="56"/>
        <v>2541</v>
      </c>
      <c r="V302" s="73">
        <f>VLOOKUP(B302,'115+260'!$B$15:$AB$647,15,FALSE)</f>
        <v>-459</v>
      </c>
      <c r="W302" s="72">
        <f>'115+260'!S303</f>
        <v>0</v>
      </c>
      <c r="X302" s="71">
        <f t="shared" si="61"/>
        <v>209</v>
      </c>
      <c r="Y302" s="70">
        <f t="shared" si="62"/>
        <v>0</v>
      </c>
      <c r="Z302" s="69">
        <f t="shared" si="63"/>
        <v>0</v>
      </c>
      <c r="AA302" s="68">
        <f t="shared" si="64"/>
        <v>2.4729999999999999</v>
      </c>
      <c r="AB302" s="68">
        <f t="shared" si="65"/>
        <v>2.0179999999999998</v>
      </c>
    </row>
    <row r="303" spans="2:28">
      <c r="B303" s="110">
        <f>'115+260'!B304</f>
        <v>45541</v>
      </c>
      <c r="C303" s="80">
        <f t="shared" si="57"/>
        <v>1</v>
      </c>
      <c r="D303" s="79">
        <f t="shared" si="58"/>
        <v>1069</v>
      </c>
      <c r="E303" s="78">
        <f>VLOOKUP(B303,'115+260'!B304:AB304,3,FALSE)</f>
        <v>1857</v>
      </c>
      <c r="F303" s="75">
        <f t="shared" si="53"/>
        <v>2926</v>
      </c>
      <c r="G303" s="77">
        <f>VLOOKUP(B303,'115+260'!$B$15:$AB$647,20,FALSE)</f>
        <v>2053</v>
      </c>
      <c r="H303" s="77">
        <f>VLOOKUP(B303,'115+260'!$B$15:$AB$647,4,FALSE)</f>
        <v>373</v>
      </c>
      <c r="I303" s="74">
        <f t="shared" si="54"/>
        <v>2553</v>
      </c>
      <c r="J303" s="74">
        <f>VLOOKUP(B303,'115+260'!$B$15:$AB$647,13,FALSE)</f>
        <v>-447</v>
      </c>
      <c r="K303" s="72">
        <f>'115+260'!Q304</f>
        <v>0</v>
      </c>
      <c r="L303" s="71">
        <f t="shared" si="59"/>
        <v>247</v>
      </c>
      <c r="M303" s="76">
        <f>VLOOKUP(B303,'115+260'!$B$14:$AB$647,21,FALSE)</f>
        <v>2049</v>
      </c>
      <c r="N303" s="75">
        <f>VLOOKUP(B303,'115+260'!$B$15:$AB$647,5,FALSE)</f>
        <v>397</v>
      </c>
      <c r="O303" s="74">
        <f t="shared" si="55"/>
        <v>2529</v>
      </c>
      <c r="P303" s="74">
        <f>VLOOKUP(B303,'115+260'!$B$15:$AB$647,14,FALSE)</f>
        <v>-471</v>
      </c>
      <c r="Q303" s="72">
        <f>'115+260'!R304</f>
        <v>0</v>
      </c>
      <c r="R303" s="71">
        <f t="shared" si="60"/>
        <v>251</v>
      </c>
      <c r="S303" s="76">
        <f>VLOOKUP(B303,'115+260'!$B$14:$AB$647,22,FALSE)</f>
        <v>2091</v>
      </c>
      <c r="T303" s="75">
        <f>VLOOKUP(B303,'115+260'!$B$15:$AB$647,6,FALSE)</f>
        <v>385</v>
      </c>
      <c r="U303" s="74">
        <f t="shared" si="56"/>
        <v>2541</v>
      </c>
      <c r="V303" s="73">
        <f>VLOOKUP(B303,'115+260'!$B$15:$AB$647,15,FALSE)</f>
        <v>-459</v>
      </c>
      <c r="W303" s="72">
        <f>'115+260'!S304</f>
        <v>0</v>
      </c>
      <c r="X303" s="71">
        <f t="shared" si="61"/>
        <v>209</v>
      </c>
      <c r="Y303" s="70">
        <f t="shared" si="62"/>
        <v>0</v>
      </c>
      <c r="Z303" s="69">
        <f t="shared" si="63"/>
        <v>0</v>
      </c>
      <c r="AA303" s="68">
        <f t="shared" si="64"/>
        <v>2.4729999999999999</v>
      </c>
      <c r="AB303" s="68">
        <f t="shared" si="65"/>
        <v>2.0179999999999998</v>
      </c>
    </row>
    <row r="304" spans="2:28">
      <c r="B304" s="110">
        <f>'115+260'!B305</f>
        <v>45542</v>
      </c>
      <c r="C304" s="80">
        <f t="shared" si="57"/>
        <v>1</v>
      </c>
      <c r="D304" s="79">
        <f t="shared" si="58"/>
        <v>1069</v>
      </c>
      <c r="E304" s="78">
        <f>VLOOKUP(B304,'115+260'!B305:AB305,3,FALSE)</f>
        <v>1859</v>
      </c>
      <c r="F304" s="75">
        <f t="shared" si="53"/>
        <v>2928</v>
      </c>
      <c r="G304" s="77">
        <f>VLOOKUP(B304,'115+260'!$B$15:$AB$647,20,FALSE)</f>
        <v>2053</v>
      </c>
      <c r="H304" s="77">
        <f>VLOOKUP(B304,'115+260'!$B$15:$AB$647,4,FALSE)</f>
        <v>375</v>
      </c>
      <c r="I304" s="74">
        <f t="shared" si="54"/>
        <v>2553</v>
      </c>
      <c r="J304" s="74">
        <f>VLOOKUP(B304,'115+260'!$B$15:$AB$647,13,FALSE)</f>
        <v>-447</v>
      </c>
      <c r="K304" s="72">
        <f>'115+260'!Q305</f>
        <v>0</v>
      </c>
      <c r="L304" s="71">
        <f t="shared" si="59"/>
        <v>247</v>
      </c>
      <c r="M304" s="76">
        <f>VLOOKUP(B304,'115+260'!$B$14:$AB$647,21,FALSE)</f>
        <v>2049</v>
      </c>
      <c r="N304" s="75">
        <f>VLOOKUP(B304,'115+260'!$B$15:$AB$647,5,FALSE)</f>
        <v>399</v>
      </c>
      <c r="O304" s="74">
        <f t="shared" si="55"/>
        <v>2529</v>
      </c>
      <c r="P304" s="74">
        <f>VLOOKUP(B304,'115+260'!$B$15:$AB$647,14,FALSE)</f>
        <v>-471</v>
      </c>
      <c r="Q304" s="72">
        <f>'115+260'!R305</f>
        <v>0</v>
      </c>
      <c r="R304" s="71">
        <f t="shared" si="60"/>
        <v>251</v>
      </c>
      <c r="S304" s="76">
        <f>VLOOKUP(B304,'115+260'!$B$14:$AB$647,22,FALSE)</f>
        <v>2091</v>
      </c>
      <c r="T304" s="75">
        <f>VLOOKUP(B304,'115+260'!$B$15:$AB$647,6,FALSE)</f>
        <v>387</v>
      </c>
      <c r="U304" s="74">
        <f t="shared" si="56"/>
        <v>2541</v>
      </c>
      <c r="V304" s="73">
        <f>VLOOKUP(B304,'115+260'!$B$15:$AB$647,15,FALSE)</f>
        <v>-459</v>
      </c>
      <c r="W304" s="72">
        <f>'115+260'!S305</f>
        <v>0</v>
      </c>
      <c r="X304" s="71">
        <f t="shared" si="61"/>
        <v>209</v>
      </c>
      <c r="Y304" s="70">
        <f t="shared" si="62"/>
        <v>0</v>
      </c>
      <c r="Z304" s="69">
        <f t="shared" si="63"/>
        <v>0</v>
      </c>
      <c r="AA304" s="68">
        <f t="shared" si="64"/>
        <v>2.4729999999999999</v>
      </c>
      <c r="AB304" s="68">
        <f t="shared" si="65"/>
        <v>2.0179999999999998</v>
      </c>
    </row>
    <row r="305" spans="2:28">
      <c r="B305" s="110">
        <f>'115+260'!B306</f>
        <v>45543</v>
      </c>
      <c r="C305" s="80">
        <f t="shared" si="57"/>
        <v>1</v>
      </c>
      <c r="D305" s="79">
        <f t="shared" si="58"/>
        <v>1069</v>
      </c>
      <c r="E305" s="78">
        <f>VLOOKUP(B305,'115+260'!B306:AB306,3,FALSE)</f>
        <v>1861</v>
      </c>
      <c r="F305" s="75">
        <f t="shared" si="53"/>
        <v>2930</v>
      </c>
      <c r="G305" s="77">
        <f>VLOOKUP(B305,'115+260'!$B$15:$AB$647,20,FALSE)</f>
        <v>2053</v>
      </c>
      <c r="H305" s="77">
        <f>VLOOKUP(B305,'115+260'!$B$15:$AB$647,4,FALSE)</f>
        <v>377</v>
      </c>
      <c r="I305" s="74">
        <f t="shared" si="54"/>
        <v>2553</v>
      </c>
      <c r="J305" s="74">
        <f>VLOOKUP(B305,'115+260'!$B$15:$AB$647,13,FALSE)</f>
        <v>-447</v>
      </c>
      <c r="K305" s="72">
        <f>'115+260'!Q306</f>
        <v>0</v>
      </c>
      <c r="L305" s="71">
        <f t="shared" si="59"/>
        <v>247</v>
      </c>
      <c r="M305" s="76">
        <f>VLOOKUP(B305,'115+260'!$B$14:$AB$647,21,FALSE)</f>
        <v>2049</v>
      </c>
      <c r="N305" s="75">
        <f>VLOOKUP(B305,'115+260'!$B$15:$AB$647,5,FALSE)</f>
        <v>401</v>
      </c>
      <c r="O305" s="74">
        <f t="shared" si="55"/>
        <v>2529</v>
      </c>
      <c r="P305" s="74">
        <f>VLOOKUP(B305,'115+260'!$B$15:$AB$647,14,FALSE)</f>
        <v>-471</v>
      </c>
      <c r="Q305" s="72">
        <f>'115+260'!R306</f>
        <v>0</v>
      </c>
      <c r="R305" s="71">
        <f t="shared" si="60"/>
        <v>251</v>
      </c>
      <c r="S305" s="76">
        <f>VLOOKUP(B305,'115+260'!$B$14:$AB$647,22,FALSE)</f>
        <v>2091</v>
      </c>
      <c r="T305" s="75">
        <f>VLOOKUP(B305,'115+260'!$B$15:$AB$647,6,FALSE)</f>
        <v>389</v>
      </c>
      <c r="U305" s="74">
        <f t="shared" si="56"/>
        <v>2541</v>
      </c>
      <c r="V305" s="73">
        <f>VLOOKUP(B305,'115+260'!$B$15:$AB$647,15,FALSE)</f>
        <v>-459</v>
      </c>
      <c r="W305" s="72">
        <f>'115+260'!S306</f>
        <v>0</v>
      </c>
      <c r="X305" s="71">
        <f t="shared" si="61"/>
        <v>209</v>
      </c>
      <c r="Y305" s="70">
        <f t="shared" si="62"/>
        <v>0</v>
      </c>
      <c r="Z305" s="69">
        <f t="shared" si="63"/>
        <v>0</v>
      </c>
      <c r="AA305" s="68">
        <f t="shared" si="64"/>
        <v>2.4729999999999999</v>
      </c>
      <c r="AB305" s="68">
        <f t="shared" si="65"/>
        <v>2.0179999999999998</v>
      </c>
    </row>
    <row r="306" spans="2:28">
      <c r="B306" s="110">
        <f>'115+260'!B307</f>
        <v>45544</v>
      </c>
      <c r="C306" s="80">
        <f t="shared" si="57"/>
        <v>1</v>
      </c>
      <c r="D306" s="79">
        <f t="shared" si="58"/>
        <v>1069</v>
      </c>
      <c r="E306" s="78">
        <f>VLOOKUP(B306,'115+260'!B307:AB307,3,FALSE)</f>
        <v>1863</v>
      </c>
      <c r="F306" s="75">
        <f t="shared" si="53"/>
        <v>2932</v>
      </c>
      <c r="G306" s="77">
        <f>VLOOKUP(B306,'115+260'!$B$15:$AB$647,20,FALSE)</f>
        <v>2053</v>
      </c>
      <c r="H306" s="77">
        <f>VLOOKUP(B306,'115+260'!$B$15:$AB$647,4,FALSE)</f>
        <v>379</v>
      </c>
      <c r="I306" s="74">
        <f t="shared" si="54"/>
        <v>2553</v>
      </c>
      <c r="J306" s="74">
        <f>VLOOKUP(B306,'115+260'!$B$15:$AB$647,13,FALSE)</f>
        <v>-447</v>
      </c>
      <c r="K306" s="72">
        <f>'115+260'!Q307</f>
        <v>0</v>
      </c>
      <c r="L306" s="71">
        <f t="shared" si="59"/>
        <v>247</v>
      </c>
      <c r="M306" s="76">
        <f>VLOOKUP(B306,'115+260'!$B$14:$AB$647,21,FALSE)</f>
        <v>2049</v>
      </c>
      <c r="N306" s="75">
        <f>VLOOKUP(B306,'115+260'!$B$15:$AB$647,5,FALSE)</f>
        <v>403</v>
      </c>
      <c r="O306" s="74">
        <f t="shared" si="55"/>
        <v>2529</v>
      </c>
      <c r="P306" s="74">
        <f>VLOOKUP(B306,'115+260'!$B$15:$AB$647,14,FALSE)</f>
        <v>-471</v>
      </c>
      <c r="Q306" s="72">
        <f>'115+260'!R307</f>
        <v>0</v>
      </c>
      <c r="R306" s="71">
        <f t="shared" si="60"/>
        <v>251</v>
      </c>
      <c r="S306" s="76">
        <f>VLOOKUP(B306,'115+260'!$B$14:$AB$647,22,FALSE)</f>
        <v>2091</v>
      </c>
      <c r="T306" s="75">
        <f>VLOOKUP(B306,'115+260'!$B$15:$AB$647,6,FALSE)</f>
        <v>391</v>
      </c>
      <c r="U306" s="74">
        <f t="shared" si="56"/>
        <v>2541</v>
      </c>
      <c r="V306" s="73">
        <f>VLOOKUP(B306,'115+260'!$B$15:$AB$647,15,FALSE)</f>
        <v>-459</v>
      </c>
      <c r="W306" s="72">
        <f>'115+260'!S307</f>
        <v>0</v>
      </c>
      <c r="X306" s="71">
        <f t="shared" si="61"/>
        <v>209</v>
      </c>
      <c r="Y306" s="70">
        <f t="shared" si="62"/>
        <v>0</v>
      </c>
      <c r="Z306" s="69">
        <f t="shared" si="63"/>
        <v>0</v>
      </c>
      <c r="AA306" s="68">
        <f t="shared" si="64"/>
        <v>2.4729999999999999</v>
      </c>
      <c r="AB306" s="68">
        <f t="shared" si="65"/>
        <v>2.0179999999999998</v>
      </c>
    </row>
    <row r="307" spans="2:28">
      <c r="B307" s="110">
        <f>'115+260'!B308</f>
        <v>45545</v>
      </c>
      <c r="C307" s="80">
        <f t="shared" si="57"/>
        <v>1</v>
      </c>
      <c r="D307" s="79">
        <f t="shared" si="58"/>
        <v>1069</v>
      </c>
      <c r="E307" s="78">
        <f>VLOOKUP(B307,'115+260'!B308:AB308,3,FALSE)</f>
        <v>1865</v>
      </c>
      <c r="F307" s="75">
        <f t="shared" si="53"/>
        <v>2934</v>
      </c>
      <c r="G307" s="77">
        <f>VLOOKUP(B307,'115+260'!$B$15:$AB$647,20,FALSE)</f>
        <v>2053</v>
      </c>
      <c r="H307" s="77">
        <f>VLOOKUP(B307,'115+260'!$B$15:$AB$647,4,FALSE)</f>
        <v>381</v>
      </c>
      <c r="I307" s="74">
        <f t="shared" si="54"/>
        <v>2553</v>
      </c>
      <c r="J307" s="74">
        <f>VLOOKUP(B307,'115+260'!$B$15:$AB$647,13,FALSE)</f>
        <v>-447</v>
      </c>
      <c r="K307" s="72">
        <f>'115+260'!Q308</f>
        <v>0</v>
      </c>
      <c r="L307" s="71">
        <f t="shared" si="59"/>
        <v>247</v>
      </c>
      <c r="M307" s="76">
        <f>VLOOKUP(B307,'115+260'!$B$14:$AB$647,21,FALSE)</f>
        <v>2049</v>
      </c>
      <c r="N307" s="75">
        <f>VLOOKUP(B307,'115+260'!$B$15:$AB$647,5,FALSE)</f>
        <v>405</v>
      </c>
      <c r="O307" s="74">
        <f t="shared" si="55"/>
        <v>2529</v>
      </c>
      <c r="P307" s="74">
        <f>VLOOKUP(B307,'115+260'!$B$15:$AB$647,14,FALSE)</f>
        <v>-471</v>
      </c>
      <c r="Q307" s="72">
        <f>'115+260'!R308</f>
        <v>0</v>
      </c>
      <c r="R307" s="71">
        <f t="shared" si="60"/>
        <v>251</v>
      </c>
      <c r="S307" s="76">
        <f>VLOOKUP(B307,'115+260'!$B$14:$AB$647,22,FALSE)</f>
        <v>2091</v>
      </c>
      <c r="T307" s="75">
        <f>VLOOKUP(B307,'115+260'!$B$15:$AB$647,6,FALSE)</f>
        <v>393</v>
      </c>
      <c r="U307" s="74">
        <f t="shared" si="56"/>
        <v>2541</v>
      </c>
      <c r="V307" s="73">
        <f>VLOOKUP(B307,'115+260'!$B$15:$AB$647,15,FALSE)</f>
        <v>-459</v>
      </c>
      <c r="W307" s="72">
        <f>'115+260'!S308</f>
        <v>0</v>
      </c>
      <c r="X307" s="71">
        <f t="shared" si="61"/>
        <v>209</v>
      </c>
      <c r="Y307" s="70">
        <f t="shared" si="62"/>
        <v>0</v>
      </c>
      <c r="Z307" s="69">
        <f t="shared" si="63"/>
        <v>0</v>
      </c>
      <c r="AA307" s="68">
        <f t="shared" si="64"/>
        <v>2.4729999999999999</v>
      </c>
      <c r="AB307" s="68">
        <f t="shared" si="65"/>
        <v>2.0179999999999998</v>
      </c>
    </row>
    <row r="308" spans="2:28">
      <c r="B308" s="110">
        <f>'115+260'!B309</f>
        <v>45546</v>
      </c>
      <c r="C308" s="80">
        <f t="shared" si="57"/>
        <v>1</v>
      </c>
      <c r="D308" s="79">
        <f t="shared" si="58"/>
        <v>1069</v>
      </c>
      <c r="E308" s="78">
        <f>VLOOKUP(B308,'115+260'!B309:AB309,3,FALSE)</f>
        <v>1867</v>
      </c>
      <c r="F308" s="75">
        <f t="shared" si="53"/>
        <v>2936</v>
      </c>
      <c r="G308" s="77">
        <f>VLOOKUP(B308,'115+260'!$B$15:$AB$647,20,FALSE)</f>
        <v>2053</v>
      </c>
      <c r="H308" s="77">
        <f>VLOOKUP(B308,'115+260'!$B$15:$AB$647,4,FALSE)</f>
        <v>383</v>
      </c>
      <c r="I308" s="74">
        <f t="shared" si="54"/>
        <v>2553</v>
      </c>
      <c r="J308" s="74">
        <f>VLOOKUP(B308,'115+260'!$B$15:$AB$647,13,FALSE)</f>
        <v>-447</v>
      </c>
      <c r="K308" s="72">
        <f>'115+260'!Q309</f>
        <v>0</v>
      </c>
      <c r="L308" s="71">
        <f t="shared" si="59"/>
        <v>247</v>
      </c>
      <c r="M308" s="76">
        <f>VLOOKUP(B308,'115+260'!$B$14:$AB$647,21,FALSE)</f>
        <v>2049</v>
      </c>
      <c r="N308" s="75">
        <f>VLOOKUP(B308,'115+260'!$B$15:$AB$647,5,FALSE)</f>
        <v>407</v>
      </c>
      <c r="O308" s="74">
        <f t="shared" si="55"/>
        <v>2529</v>
      </c>
      <c r="P308" s="74">
        <f>VLOOKUP(B308,'115+260'!$B$15:$AB$647,14,FALSE)</f>
        <v>-471</v>
      </c>
      <c r="Q308" s="72">
        <f>'115+260'!R309</f>
        <v>0</v>
      </c>
      <c r="R308" s="71">
        <f t="shared" si="60"/>
        <v>251</v>
      </c>
      <c r="S308" s="76">
        <f>VLOOKUP(B308,'115+260'!$B$14:$AB$647,22,FALSE)</f>
        <v>2091</v>
      </c>
      <c r="T308" s="75">
        <f>VLOOKUP(B308,'115+260'!$B$15:$AB$647,6,FALSE)</f>
        <v>395</v>
      </c>
      <c r="U308" s="74">
        <f t="shared" si="56"/>
        <v>2541</v>
      </c>
      <c r="V308" s="73">
        <f>VLOOKUP(B308,'115+260'!$B$15:$AB$647,15,FALSE)</f>
        <v>-459</v>
      </c>
      <c r="W308" s="72">
        <f>'115+260'!S309</f>
        <v>0</v>
      </c>
      <c r="X308" s="71">
        <f t="shared" si="61"/>
        <v>209</v>
      </c>
      <c r="Y308" s="70">
        <f t="shared" si="62"/>
        <v>0</v>
      </c>
      <c r="Z308" s="69">
        <f t="shared" si="63"/>
        <v>0</v>
      </c>
      <c r="AA308" s="68">
        <f t="shared" si="64"/>
        <v>2.4729999999999999</v>
      </c>
      <c r="AB308" s="68">
        <f t="shared" si="65"/>
        <v>2.0179999999999998</v>
      </c>
    </row>
    <row r="309" spans="2:28">
      <c r="B309" s="110">
        <f>'115+260'!B310</f>
        <v>45547</v>
      </c>
      <c r="C309" s="80">
        <f t="shared" si="57"/>
        <v>1</v>
      </c>
      <c r="D309" s="79">
        <f t="shared" si="58"/>
        <v>1069</v>
      </c>
      <c r="E309" s="78">
        <f>VLOOKUP(B309,'115+260'!B310:AB310,3,FALSE)</f>
        <v>1869</v>
      </c>
      <c r="F309" s="75">
        <f t="shared" si="53"/>
        <v>2938</v>
      </c>
      <c r="G309" s="77">
        <f>VLOOKUP(B309,'115+260'!$B$15:$AB$647,20,FALSE)</f>
        <v>2053</v>
      </c>
      <c r="H309" s="77">
        <f>VLOOKUP(B309,'115+260'!$B$15:$AB$647,4,FALSE)</f>
        <v>385</v>
      </c>
      <c r="I309" s="74">
        <f t="shared" si="54"/>
        <v>2553</v>
      </c>
      <c r="J309" s="74">
        <f>VLOOKUP(B309,'115+260'!$B$15:$AB$647,13,FALSE)</f>
        <v>-447</v>
      </c>
      <c r="K309" s="72">
        <f>'115+260'!Q310</f>
        <v>0</v>
      </c>
      <c r="L309" s="71">
        <f t="shared" si="59"/>
        <v>247</v>
      </c>
      <c r="M309" s="76">
        <f>VLOOKUP(B309,'115+260'!$B$14:$AB$647,21,FALSE)</f>
        <v>2049</v>
      </c>
      <c r="N309" s="75">
        <f>VLOOKUP(B309,'115+260'!$B$15:$AB$647,5,FALSE)</f>
        <v>409</v>
      </c>
      <c r="O309" s="74">
        <f t="shared" si="55"/>
        <v>2529</v>
      </c>
      <c r="P309" s="74">
        <f>VLOOKUP(B309,'115+260'!$B$15:$AB$647,14,FALSE)</f>
        <v>-471</v>
      </c>
      <c r="Q309" s="72">
        <f>'115+260'!R310</f>
        <v>0</v>
      </c>
      <c r="R309" s="71">
        <f t="shared" si="60"/>
        <v>251</v>
      </c>
      <c r="S309" s="76">
        <f>VLOOKUP(B309,'115+260'!$B$14:$AB$647,22,FALSE)</f>
        <v>2091</v>
      </c>
      <c r="T309" s="75">
        <f>VLOOKUP(B309,'115+260'!$B$15:$AB$647,6,FALSE)</f>
        <v>397</v>
      </c>
      <c r="U309" s="74">
        <f t="shared" si="56"/>
        <v>2541</v>
      </c>
      <c r="V309" s="73">
        <f>VLOOKUP(B309,'115+260'!$B$15:$AB$647,15,FALSE)</f>
        <v>-459</v>
      </c>
      <c r="W309" s="72">
        <f>'115+260'!S310</f>
        <v>0</v>
      </c>
      <c r="X309" s="71">
        <f t="shared" si="61"/>
        <v>209</v>
      </c>
      <c r="Y309" s="70">
        <f t="shared" si="62"/>
        <v>0</v>
      </c>
      <c r="Z309" s="69">
        <f t="shared" si="63"/>
        <v>0</v>
      </c>
      <c r="AA309" s="68">
        <f t="shared" si="64"/>
        <v>2.4729999999999999</v>
      </c>
      <c r="AB309" s="68">
        <f t="shared" si="65"/>
        <v>2.0179999999999998</v>
      </c>
    </row>
    <row r="310" spans="2:28">
      <c r="B310" s="110">
        <f>'115+260'!B311</f>
        <v>45548</v>
      </c>
      <c r="C310" s="80">
        <f t="shared" si="57"/>
        <v>1</v>
      </c>
      <c r="D310" s="79">
        <f t="shared" si="58"/>
        <v>1069</v>
      </c>
      <c r="E310" s="78">
        <f>VLOOKUP(B310,'115+260'!B311:AB311,3,FALSE)</f>
        <v>1871</v>
      </c>
      <c r="F310" s="75">
        <f t="shared" si="53"/>
        <v>2940</v>
      </c>
      <c r="G310" s="77">
        <f>VLOOKUP(B310,'115+260'!$B$15:$AB$647,20,FALSE)</f>
        <v>2053</v>
      </c>
      <c r="H310" s="77">
        <f>VLOOKUP(B310,'115+260'!$B$15:$AB$647,4,FALSE)</f>
        <v>387</v>
      </c>
      <c r="I310" s="74">
        <f t="shared" si="54"/>
        <v>2553</v>
      </c>
      <c r="J310" s="74">
        <f>VLOOKUP(B310,'115+260'!$B$15:$AB$647,13,FALSE)</f>
        <v>-447</v>
      </c>
      <c r="K310" s="72">
        <f>'115+260'!Q311</f>
        <v>0</v>
      </c>
      <c r="L310" s="71">
        <f t="shared" si="59"/>
        <v>247</v>
      </c>
      <c r="M310" s="76">
        <f>VLOOKUP(B310,'115+260'!$B$14:$AB$647,21,FALSE)</f>
        <v>2049</v>
      </c>
      <c r="N310" s="75">
        <f>VLOOKUP(B310,'115+260'!$B$15:$AB$647,5,FALSE)</f>
        <v>411</v>
      </c>
      <c r="O310" s="74">
        <f t="shared" si="55"/>
        <v>2529</v>
      </c>
      <c r="P310" s="74">
        <f>VLOOKUP(B310,'115+260'!$B$15:$AB$647,14,FALSE)</f>
        <v>-471</v>
      </c>
      <c r="Q310" s="72">
        <f>'115+260'!R311</f>
        <v>0</v>
      </c>
      <c r="R310" s="71">
        <f t="shared" si="60"/>
        <v>251</v>
      </c>
      <c r="S310" s="76">
        <f>VLOOKUP(B310,'115+260'!$B$14:$AB$647,22,FALSE)</f>
        <v>2091</v>
      </c>
      <c r="T310" s="75">
        <f>VLOOKUP(B310,'115+260'!$B$15:$AB$647,6,FALSE)</f>
        <v>399</v>
      </c>
      <c r="U310" s="74">
        <f t="shared" si="56"/>
        <v>2541</v>
      </c>
      <c r="V310" s="73">
        <f>VLOOKUP(B310,'115+260'!$B$15:$AB$647,15,FALSE)</f>
        <v>-459</v>
      </c>
      <c r="W310" s="72">
        <f>'115+260'!S311</f>
        <v>0</v>
      </c>
      <c r="X310" s="71">
        <f t="shared" si="61"/>
        <v>209</v>
      </c>
      <c r="Y310" s="70">
        <f t="shared" si="62"/>
        <v>0</v>
      </c>
      <c r="Z310" s="69">
        <f t="shared" si="63"/>
        <v>0</v>
      </c>
      <c r="AA310" s="68">
        <f t="shared" si="64"/>
        <v>2.4729999999999999</v>
      </c>
      <c r="AB310" s="68">
        <f t="shared" si="65"/>
        <v>2.0179999999999998</v>
      </c>
    </row>
    <row r="311" spans="2:28">
      <c r="B311" s="110">
        <f>'115+260'!B312</f>
        <v>45549</v>
      </c>
      <c r="C311" s="80">
        <f t="shared" si="57"/>
        <v>1</v>
      </c>
      <c r="D311" s="79">
        <f t="shared" si="58"/>
        <v>1069</v>
      </c>
      <c r="E311" s="78">
        <f>VLOOKUP(B311,'115+260'!B312:AB312,3,FALSE)</f>
        <v>1873</v>
      </c>
      <c r="F311" s="75">
        <f t="shared" si="53"/>
        <v>2942</v>
      </c>
      <c r="G311" s="77">
        <f>VLOOKUP(B311,'115+260'!$B$15:$AB$647,20,FALSE)</f>
        <v>2053</v>
      </c>
      <c r="H311" s="77">
        <f>VLOOKUP(B311,'115+260'!$B$15:$AB$647,4,FALSE)</f>
        <v>389</v>
      </c>
      <c r="I311" s="74">
        <f t="shared" si="54"/>
        <v>2553</v>
      </c>
      <c r="J311" s="74">
        <f>VLOOKUP(B311,'115+260'!$B$15:$AB$647,13,FALSE)</f>
        <v>-447</v>
      </c>
      <c r="K311" s="72">
        <f>'115+260'!Q312</f>
        <v>0</v>
      </c>
      <c r="L311" s="71">
        <f t="shared" si="59"/>
        <v>247</v>
      </c>
      <c r="M311" s="76">
        <f>VLOOKUP(B311,'115+260'!$B$14:$AB$647,21,FALSE)</f>
        <v>2049</v>
      </c>
      <c r="N311" s="75">
        <f>VLOOKUP(B311,'115+260'!$B$15:$AB$647,5,FALSE)</f>
        <v>413</v>
      </c>
      <c r="O311" s="74">
        <f t="shared" si="55"/>
        <v>2529</v>
      </c>
      <c r="P311" s="74">
        <f>VLOOKUP(B311,'115+260'!$B$15:$AB$647,14,FALSE)</f>
        <v>-471</v>
      </c>
      <c r="Q311" s="72">
        <f>'115+260'!R312</f>
        <v>0</v>
      </c>
      <c r="R311" s="71">
        <f t="shared" si="60"/>
        <v>251</v>
      </c>
      <c r="S311" s="76">
        <f>VLOOKUP(B311,'115+260'!$B$14:$AB$647,22,FALSE)</f>
        <v>2091</v>
      </c>
      <c r="T311" s="75">
        <f>VLOOKUP(B311,'115+260'!$B$15:$AB$647,6,FALSE)</f>
        <v>401</v>
      </c>
      <c r="U311" s="74">
        <f t="shared" si="56"/>
        <v>2541</v>
      </c>
      <c r="V311" s="73">
        <f>VLOOKUP(B311,'115+260'!$B$15:$AB$647,15,FALSE)</f>
        <v>-459</v>
      </c>
      <c r="W311" s="72">
        <f>'115+260'!S312</f>
        <v>0</v>
      </c>
      <c r="X311" s="71">
        <f t="shared" si="61"/>
        <v>209</v>
      </c>
      <c r="Y311" s="70">
        <f t="shared" si="62"/>
        <v>0</v>
      </c>
      <c r="Z311" s="69">
        <f t="shared" si="63"/>
        <v>0</v>
      </c>
      <c r="AA311" s="68">
        <f t="shared" si="64"/>
        <v>2.4729999999999999</v>
      </c>
      <c r="AB311" s="68">
        <f t="shared" si="65"/>
        <v>2.0179999999999998</v>
      </c>
    </row>
    <row r="312" spans="2:28">
      <c r="B312" s="110">
        <f>'115+260'!B313</f>
        <v>45550</v>
      </c>
      <c r="C312" s="80">
        <f t="shared" si="57"/>
        <v>1</v>
      </c>
      <c r="D312" s="79">
        <f t="shared" si="58"/>
        <v>1069</v>
      </c>
      <c r="E312" s="78">
        <f>VLOOKUP(B312,'115+260'!B313:AB313,3,FALSE)</f>
        <v>1875</v>
      </c>
      <c r="F312" s="75">
        <f t="shared" si="53"/>
        <v>2944</v>
      </c>
      <c r="G312" s="77">
        <f>VLOOKUP(B312,'115+260'!$B$15:$AB$647,20,FALSE)</f>
        <v>2053</v>
      </c>
      <c r="H312" s="77">
        <f>VLOOKUP(B312,'115+260'!$B$15:$AB$647,4,FALSE)</f>
        <v>391</v>
      </c>
      <c r="I312" s="74">
        <f t="shared" si="54"/>
        <v>2553</v>
      </c>
      <c r="J312" s="74">
        <f>VLOOKUP(B312,'115+260'!$B$15:$AB$647,13,FALSE)</f>
        <v>-447</v>
      </c>
      <c r="K312" s="72">
        <f>'115+260'!Q313</f>
        <v>0</v>
      </c>
      <c r="L312" s="71">
        <f t="shared" si="59"/>
        <v>247</v>
      </c>
      <c r="M312" s="76">
        <f>VLOOKUP(B312,'115+260'!$B$14:$AB$647,21,FALSE)</f>
        <v>2049</v>
      </c>
      <c r="N312" s="75">
        <f>VLOOKUP(B312,'115+260'!$B$15:$AB$647,5,FALSE)</f>
        <v>415</v>
      </c>
      <c r="O312" s="74">
        <f t="shared" si="55"/>
        <v>2529</v>
      </c>
      <c r="P312" s="74">
        <f>VLOOKUP(B312,'115+260'!$B$15:$AB$647,14,FALSE)</f>
        <v>-471</v>
      </c>
      <c r="Q312" s="72">
        <f>'115+260'!R313</f>
        <v>0</v>
      </c>
      <c r="R312" s="71">
        <f t="shared" si="60"/>
        <v>251</v>
      </c>
      <c r="S312" s="76">
        <f>VLOOKUP(B312,'115+260'!$B$14:$AB$647,22,FALSE)</f>
        <v>2091</v>
      </c>
      <c r="T312" s="75">
        <f>VLOOKUP(B312,'115+260'!$B$15:$AB$647,6,FALSE)</f>
        <v>403</v>
      </c>
      <c r="U312" s="74">
        <f t="shared" si="56"/>
        <v>2541</v>
      </c>
      <c r="V312" s="73">
        <f>VLOOKUP(B312,'115+260'!$B$15:$AB$647,15,FALSE)</f>
        <v>-459</v>
      </c>
      <c r="W312" s="72">
        <f>'115+260'!S313</f>
        <v>0</v>
      </c>
      <c r="X312" s="71">
        <f t="shared" si="61"/>
        <v>209</v>
      </c>
      <c r="Y312" s="70">
        <f t="shared" si="62"/>
        <v>0</v>
      </c>
      <c r="Z312" s="69">
        <f t="shared" si="63"/>
        <v>0</v>
      </c>
      <c r="AA312" s="68">
        <f t="shared" si="64"/>
        <v>2.4729999999999999</v>
      </c>
      <c r="AB312" s="68">
        <f t="shared" si="65"/>
        <v>2.0179999999999998</v>
      </c>
    </row>
    <row r="313" spans="2:28">
      <c r="B313" s="110">
        <f>'115+260'!B314</f>
        <v>45551</v>
      </c>
      <c r="C313" s="80">
        <f t="shared" si="57"/>
        <v>1</v>
      </c>
      <c r="D313" s="79">
        <f t="shared" si="58"/>
        <v>1069</v>
      </c>
      <c r="E313" s="78">
        <f>VLOOKUP(B313,'115+260'!B314:AB314,3,FALSE)</f>
        <v>1877</v>
      </c>
      <c r="F313" s="75">
        <f t="shared" si="53"/>
        <v>2946</v>
      </c>
      <c r="G313" s="77">
        <f>VLOOKUP(B313,'115+260'!$B$15:$AB$647,20,FALSE)</f>
        <v>2053</v>
      </c>
      <c r="H313" s="77">
        <f>VLOOKUP(B313,'115+260'!$B$15:$AB$647,4,FALSE)</f>
        <v>393</v>
      </c>
      <c r="I313" s="74">
        <f t="shared" si="54"/>
        <v>2553</v>
      </c>
      <c r="J313" s="74">
        <f>VLOOKUP(B313,'115+260'!$B$15:$AB$647,13,FALSE)</f>
        <v>-447</v>
      </c>
      <c r="K313" s="72">
        <f>'115+260'!Q314</f>
        <v>0</v>
      </c>
      <c r="L313" s="71">
        <f t="shared" si="59"/>
        <v>247</v>
      </c>
      <c r="M313" s="76">
        <f>VLOOKUP(B313,'115+260'!$B$14:$AB$647,21,FALSE)</f>
        <v>2049</v>
      </c>
      <c r="N313" s="75">
        <f>VLOOKUP(B313,'115+260'!$B$15:$AB$647,5,FALSE)</f>
        <v>417</v>
      </c>
      <c r="O313" s="74">
        <f t="shared" si="55"/>
        <v>2529</v>
      </c>
      <c r="P313" s="74">
        <f>VLOOKUP(B313,'115+260'!$B$15:$AB$647,14,FALSE)</f>
        <v>-471</v>
      </c>
      <c r="Q313" s="72">
        <f>'115+260'!R314</f>
        <v>0</v>
      </c>
      <c r="R313" s="71">
        <f t="shared" si="60"/>
        <v>251</v>
      </c>
      <c r="S313" s="76">
        <f>VLOOKUP(B313,'115+260'!$B$14:$AB$647,22,FALSE)</f>
        <v>2091</v>
      </c>
      <c r="T313" s="75">
        <f>VLOOKUP(B313,'115+260'!$B$15:$AB$647,6,FALSE)</f>
        <v>405</v>
      </c>
      <c r="U313" s="74">
        <f t="shared" si="56"/>
        <v>2541</v>
      </c>
      <c r="V313" s="73">
        <f>VLOOKUP(B313,'115+260'!$B$15:$AB$647,15,FALSE)</f>
        <v>-459</v>
      </c>
      <c r="W313" s="72">
        <f>'115+260'!S314</f>
        <v>0</v>
      </c>
      <c r="X313" s="71">
        <f t="shared" si="61"/>
        <v>209</v>
      </c>
      <c r="Y313" s="70">
        <f t="shared" si="62"/>
        <v>0</v>
      </c>
      <c r="Z313" s="69">
        <f t="shared" si="63"/>
        <v>0</v>
      </c>
      <c r="AA313" s="68">
        <f t="shared" si="64"/>
        <v>2.4729999999999999</v>
      </c>
      <c r="AB313" s="68">
        <f t="shared" si="65"/>
        <v>2.0179999999999998</v>
      </c>
    </row>
    <row r="314" spans="2:28">
      <c r="B314" s="110">
        <f>'115+260'!B315</f>
        <v>45552</v>
      </c>
      <c r="C314" s="80">
        <f t="shared" si="57"/>
        <v>1</v>
      </c>
      <c r="D314" s="79">
        <f t="shared" si="58"/>
        <v>1069</v>
      </c>
      <c r="E314" s="78">
        <f>VLOOKUP(B314,'115+260'!B315:AB315,3,FALSE)</f>
        <v>1879</v>
      </c>
      <c r="F314" s="75">
        <f t="shared" si="53"/>
        <v>2948</v>
      </c>
      <c r="G314" s="77">
        <f>VLOOKUP(B314,'115+260'!$B$15:$AB$647,20,FALSE)</f>
        <v>2053</v>
      </c>
      <c r="H314" s="77">
        <f>VLOOKUP(B314,'115+260'!$B$15:$AB$647,4,FALSE)</f>
        <v>395</v>
      </c>
      <c r="I314" s="74">
        <f t="shared" si="54"/>
        <v>2553</v>
      </c>
      <c r="J314" s="74">
        <f>VLOOKUP(B314,'115+260'!$B$15:$AB$647,13,FALSE)</f>
        <v>-447</v>
      </c>
      <c r="K314" s="72">
        <f>'115+260'!Q315</f>
        <v>0</v>
      </c>
      <c r="L314" s="71">
        <f t="shared" si="59"/>
        <v>247</v>
      </c>
      <c r="M314" s="76">
        <f>VLOOKUP(B314,'115+260'!$B$14:$AB$647,21,FALSE)</f>
        <v>2049</v>
      </c>
      <c r="N314" s="75">
        <f>VLOOKUP(B314,'115+260'!$B$15:$AB$647,5,FALSE)</f>
        <v>419</v>
      </c>
      <c r="O314" s="74">
        <f t="shared" si="55"/>
        <v>2529</v>
      </c>
      <c r="P314" s="74">
        <f>VLOOKUP(B314,'115+260'!$B$15:$AB$647,14,FALSE)</f>
        <v>-471</v>
      </c>
      <c r="Q314" s="72">
        <f>'115+260'!R315</f>
        <v>0</v>
      </c>
      <c r="R314" s="71">
        <f t="shared" si="60"/>
        <v>251</v>
      </c>
      <c r="S314" s="76">
        <f>VLOOKUP(B314,'115+260'!$B$14:$AB$647,22,FALSE)</f>
        <v>2091</v>
      </c>
      <c r="T314" s="75">
        <f>VLOOKUP(B314,'115+260'!$B$15:$AB$647,6,FALSE)</f>
        <v>407</v>
      </c>
      <c r="U314" s="74">
        <f t="shared" si="56"/>
        <v>2541</v>
      </c>
      <c r="V314" s="73">
        <f>VLOOKUP(B314,'115+260'!$B$15:$AB$647,15,FALSE)</f>
        <v>-459</v>
      </c>
      <c r="W314" s="72">
        <f>'115+260'!S315</f>
        <v>0</v>
      </c>
      <c r="X314" s="71">
        <f t="shared" si="61"/>
        <v>209</v>
      </c>
      <c r="Y314" s="70">
        <f t="shared" si="62"/>
        <v>0</v>
      </c>
      <c r="Z314" s="69">
        <f t="shared" si="63"/>
        <v>0</v>
      </c>
      <c r="AA314" s="68">
        <f t="shared" si="64"/>
        <v>2.4729999999999999</v>
      </c>
      <c r="AB314" s="68">
        <f t="shared" si="65"/>
        <v>2.0179999999999998</v>
      </c>
    </row>
    <row r="315" spans="2:28">
      <c r="B315" s="110">
        <f>'115+260'!B316</f>
        <v>45553</v>
      </c>
      <c r="C315" s="80">
        <f t="shared" si="57"/>
        <v>1</v>
      </c>
      <c r="D315" s="79">
        <f t="shared" si="58"/>
        <v>1069</v>
      </c>
      <c r="E315" s="78">
        <f>VLOOKUP(B315,'115+260'!B316:AB316,3,FALSE)</f>
        <v>1881</v>
      </c>
      <c r="F315" s="75">
        <f t="shared" si="53"/>
        <v>2950</v>
      </c>
      <c r="G315" s="77">
        <f>VLOOKUP(B315,'115+260'!$B$15:$AB$647,20,FALSE)</f>
        <v>2053</v>
      </c>
      <c r="H315" s="77">
        <f>VLOOKUP(B315,'115+260'!$B$15:$AB$647,4,FALSE)</f>
        <v>397</v>
      </c>
      <c r="I315" s="74">
        <f t="shared" si="54"/>
        <v>2553</v>
      </c>
      <c r="J315" s="74">
        <f>VLOOKUP(B315,'115+260'!$B$15:$AB$647,13,FALSE)</f>
        <v>-447</v>
      </c>
      <c r="K315" s="72">
        <f>'115+260'!Q316</f>
        <v>0</v>
      </c>
      <c r="L315" s="71">
        <f t="shared" si="59"/>
        <v>247</v>
      </c>
      <c r="M315" s="76">
        <f>VLOOKUP(B315,'115+260'!$B$14:$AB$647,21,FALSE)</f>
        <v>2049</v>
      </c>
      <c r="N315" s="75">
        <f>VLOOKUP(B315,'115+260'!$B$15:$AB$647,5,FALSE)</f>
        <v>421</v>
      </c>
      <c r="O315" s="74">
        <f t="shared" si="55"/>
        <v>2529</v>
      </c>
      <c r="P315" s="74">
        <f>VLOOKUP(B315,'115+260'!$B$15:$AB$647,14,FALSE)</f>
        <v>-471</v>
      </c>
      <c r="Q315" s="72">
        <f>'115+260'!R316</f>
        <v>0</v>
      </c>
      <c r="R315" s="71">
        <f t="shared" si="60"/>
        <v>251</v>
      </c>
      <c r="S315" s="76">
        <f>VLOOKUP(B315,'115+260'!$B$14:$AB$647,22,FALSE)</f>
        <v>2091</v>
      </c>
      <c r="T315" s="75">
        <f>VLOOKUP(B315,'115+260'!$B$15:$AB$647,6,FALSE)</f>
        <v>409</v>
      </c>
      <c r="U315" s="74">
        <f t="shared" si="56"/>
        <v>2541</v>
      </c>
      <c r="V315" s="73">
        <f>VLOOKUP(B315,'115+260'!$B$15:$AB$647,15,FALSE)</f>
        <v>-459</v>
      </c>
      <c r="W315" s="72">
        <f>'115+260'!S316</f>
        <v>0</v>
      </c>
      <c r="X315" s="71">
        <f t="shared" si="61"/>
        <v>209</v>
      </c>
      <c r="Y315" s="70">
        <f t="shared" si="62"/>
        <v>0</v>
      </c>
      <c r="Z315" s="69">
        <f t="shared" si="63"/>
        <v>0</v>
      </c>
      <c r="AA315" s="68">
        <f t="shared" si="64"/>
        <v>2.4729999999999999</v>
      </c>
      <c r="AB315" s="68">
        <f t="shared" si="65"/>
        <v>2.0179999999999998</v>
      </c>
    </row>
    <row r="316" spans="2:28">
      <c r="B316" s="110">
        <f>'115+260'!B317</f>
        <v>45554</v>
      </c>
      <c r="C316" s="80">
        <f t="shared" si="57"/>
        <v>1</v>
      </c>
      <c r="D316" s="79">
        <f t="shared" si="58"/>
        <v>1069</v>
      </c>
      <c r="E316" s="78">
        <f>VLOOKUP(B316,'115+260'!B317:AB317,3,FALSE)</f>
        <v>1883</v>
      </c>
      <c r="F316" s="75">
        <f t="shared" si="53"/>
        <v>2952</v>
      </c>
      <c r="G316" s="77">
        <f>VLOOKUP(B316,'115+260'!$B$15:$AB$647,20,FALSE)</f>
        <v>2053</v>
      </c>
      <c r="H316" s="77">
        <f>VLOOKUP(B316,'115+260'!$B$15:$AB$647,4,FALSE)</f>
        <v>399</v>
      </c>
      <c r="I316" s="74">
        <f t="shared" si="54"/>
        <v>2553</v>
      </c>
      <c r="J316" s="74">
        <f>VLOOKUP(B316,'115+260'!$B$15:$AB$647,13,FALSE)</f>
        <v>-447</v>
      </c>
      <c r="K316" s="72">
        <f>'115+260'!Q317</f>
        <v>0</v>
      </c>
      <c r="L316" s="71">
        <f t="shared" si="59"/>
        <v>247</v>
      </c>
      <c r="M316" s="76">
        <f>VLOOKUP(B316,'115+260'!$B$14:$AB$647,21,FALSE)</f>
        <v>2049</v>
      </c>
      <c r="N316" s="75">
        <f>VLOOKUP(B316,'115+260'!$B$15:$AB$647,5,FALSE)</f>
        <v>423</v>
      </c>
      <c r="O316" s="74">
        <f t="shared" si="55"/>
        <v>2529</v>
      </c>
      <c r="P316" s="74">
        <f>VLOOKUP(B316,'115+260'!$B$15:$AB$647,14,FALSE)</f>
        <v>-471</v>
      </c>
      <c r="Q316" s="72">
        <f>'115+260'!R317</f>
        <v>0</v>
      </c>
      <c r="R316" s="71">
        <f t="shared" si="60"/>
        <v>251</v>
      </c>
      <c r="S316" s="76">
        <f>VLOOKUP(B316,'115+260'!$B$14:$AB$647,22,FALSE)</f>
        <v>2091</v>
      </c>
      <c r="T316" s="75">
        <f>VLOOKUP(B316,'115+260'!$B$15:$AB$647,6,FALSE)</f>
        <v>411</v>
      </c>
      <c r="U316" s="74">
        <f t="shared" si="56"/>
        <v>2541</v>
      </c>
      <c r="V316" s="73">
        <f>VLOOKUP(B316,'115+260'!$B$15:$AB$647,15,FALSE)</f>
        <v>-459</v>
      </c>
      <c r="W316" s="72">
        <f>'115+260'!S317</f>
        <v>0</v>
      </c>
      <c r="X316" s="71">
        <f t="shared" si="61"/>
        <v>209</v>
      </c>
      <c r="Y316" s="70">
        <f t="shared" si="62"/>
        <v>0</v>
      </c>
      <c r="Z316" s="69">
        <f t="shared" si="63"/>
        <v>0</v>
      </c>
      <c r="AA316" s="68">
        <f t="shared" si="64"/>
        <v>2.4729999999999999</v>
      </c>
      <c r="AB316" s="68">
        <f t="shared" si="65"/>
        <v>2.0179999999999998</v>
      </c>
    </row>
    <row r="317" spans="2:28">
      <c r="B317" s="110">
        <f>'115+260'!B318</f>
        <v>45555</v>
      </c>
      <c r="C317" s="80">
        <f t="shared" si="57"/>
        <v>1</v>
      </c>
      <c r="D317" s="79">
        <f t="shared" si="58"/>
        <v>1069</v>
      </c>
      <c r="E317" s="78">
        <f>VLOOKUP(B317,'115+260'!B318:AB318,3,FALSE)</f>
        <v>1885</v>
      </c>
      <c r="F317" s="75">
        <f t="shared" si="53"/>
        <v>2954</v>
      </c>
      <c r="G317" s="77">
        <f>VLOOKUP(B317,'115+260'!$B$15:$AB$647,20,FALSE)</f>
        <v>2053</v>
      </c>
      <c r="H317" s="77">
        <f>VLOOKUP(B317,'115+260'!$B$15:$AB$647,4,FALSE)</f>
        <v>401</v>
      </c>
      <c r="I317" s="74">
        <f t="shared" si="54"/>
        <v>2553</v>
      </c>
      <c r="J317" s="74">
        <f>VLOOKUP(B317,'115+260'!$B$15:$AB$647,13,FALSE)</f>
        <v>-447</v>
      </c>
      <c r="K317" s="72">
        <f>'115+260'!Q318</f>
        <v>0</v>
      </c>
      <c r="L317" s="71">
        <f t="shared" si="59"/>
        <v>247</v>
      </c>
      <c r="M317" s="76">
        <f>VLOOKUP(B317,'115+260'!$B$14:$AB$647,21,FALSE)</f>
        <v>2049</v>
      </c>
      <c r="N317" s="75">
        <f>VLOOKUP(B317,'115+260'!$B$15:$AB$647,5,FALSE)</f>
        <v>425</v>
      </c>
      <c r="O317" s="74">
        <f t="shared" si="55"/>
        <v>2529</v>
      </c>
      <c r="P317" s="74">
        <f>VLOOKUP(B317,'115+260'!$B$15:$AB$647,14,FALSE)</f>
        <v>-471</v>
      </c>
      <c r="Q317" s="72">
        <f>'115+260'!R318</f>
        <v>0</v>
      </c>
      <c r="R317" s="71">
        <f t="shared" si="60"/>
        <v>251</v>
      </c>
      <c r="S317" s="76">
        <f>VLOOKUP(B317,'115+260'!$B$14:$AB$647,22,FALSE)</f>
        <v>2091</v>
      </c>
      <c r="T317" s="75">
        <f>VLOOKUP(B317,'115+260'!$B$15:$AB$647,6,FALSE)</f>
        <v>413</v>
      </c>
      <c r="U317" s="74">
        <f t="shared" si="56"/>
        <v>2541</v>
      </c>
      <c r="V317" s="73">
        <f>VLOOKUP(B317,'115+260'!$B$15:$AB$647,15,FALSE)</f>
        <v>-459</v>
      </c>
      <c r="W317" s="72">
        <f>'115+260'!S318</f>
        <v>0</v>
      </c>
      <c r="X317" s="71">
        <f t="shared" si="61"/>
        <v>209</v>
      </c>
      <c r="Y317" s="70">
        <f t="shared" si="62"/>
        <v>0</v>
      </c>
      <c r="Z317" s="69">
        <f t="shared" si="63"/>
        <v>0</v>
      </c>
      <c r="AA317" s="68">
        <f t="shared" si="64"/>
        <v>2.4729999999999999</v>
      </c>
      <c r="AB317" s="68">
        <f t="shared" si="65"/>
        <v>2.0179999999999998</v>
      </c>
    </row>
    <row r="318" spans="2:28">
      <c r="B318" s="110">
        <f>'115+260'!B319</f>
        <v>45556</v>
      </c>
      <c r="C318" s="80">
        <f t="shared" si="57"/>
        <v>1</v>
      </c>
      <c r="D318" s="79">
        <f t="shared" si="58"/>
        <v>1069</v>
      </c>
      <c r="E318" s="78">
        <f>VLOOKUP(B318,'115+260'!B319:AB319,3,FALSE)</f>
        <v>1887</v>
      </c>
      <c r="F318" s="75">
        <f t="shared" si="53"/>
        <v>2956</v>
      </c>
      <c r="G318" s="77">
        <f>VLOOKUP(B318,'115+260'!$B$15:$AB$647,20,FALSE)</f>
        <v>2053</v>
      </c>
      <c r="H318" s="77">
        <f>VLOOKUP(B318,'115+260'!$B$15:$AB$647,4,FALSE)</f>
        <v>403</v>
      </c>
      <c r="I318" s="74">
        <f t="shared" si="54"/>
        <v>2553</v>
      </c>
      <c r="J318" s="74">
        <f>VLOOKUP(B318,'115+260'!$B$15:$AB$647,13,FALSE)</f>
        <v>-447</v>
      </c>
      <c r="K318" s="72">
        <f>'115+260'!Q319</f>
        <v>0</v>
      </c>
      <c r="L318" s="71">
        <f t="shared" si="59"/>
        <v>247</v>
      </c>
      <c r="M318" s="76">
        <f>VLOOKUP(B318,'115+260'!$B$14:$AB$647,21,FALSE)</f>
        <v>2049</v>
      </c>
      <c r="N318" s="75">
        <f>VLOOKUP(B318,'115+260'!$B$15:$AB$647,5,FALSE)</f>
        <v>427</v>
      </c>
      <c r="O318" s="74">
        <f t="shared" si="55"/>
        <v>2529</v>
      </c>
      <c r="P318" s="74">
        <f>VLOOKUP(B318,'115+260'!$B$15:$AB$647,14,FALSE)</f>
        <v>-471</v>
      </c>
      <c r="Q318" s="72">
        <f>'115+260'!R319</f>
        <v>0</v>
      </c>
      <c r="R318" s="71">
        <f t="shared" si="60"/>
        <v>251</v>
      </c>
      <c r="S318" s="76">
        <f>VLOOKUP(B318,'115+260'!$B$14:$AB$647,22,FALSE)</f>
        <v>2091</v>
      </c>
      <c r="T318" s="75">
        <f>VLOOKUP(B318,'115+260'!$B$15:$AB$647,6,FALSE)</f>
        <v>415</v>
      </c>
      <c r="U318" s="74">
        <f t="shared" si="56"/>
        <v>2541</v>
      </c>
      <c r="V318" s="73">
        <f>VLOOKUP(B318,'115+260'!$B$15:$AB$647,15,FALSE)</f>
        <v>-459</v>
      </c>
      <c r="W318" s="72">
        <f>'115+260'!S319</f>
        <v>0</v>
      </c>
      <c r="X318" s="71">
        <f t="shared" si="61"/>
        <v>209</v>
      </c>
      <c r="Y318" s="70">
        <f t="shared" si="62"/>
        <v>0</v>
      </c>
      <c r="Z318" s="69">
        <f t="shared" si="63"/>
        <v>0</v>
      </c>
      <c r="AA318" s="68">
        <f t="shared" si="64"/>
        <v>2.4729999999999999</v>
      </c>
      <c r="AB318" s="68">
        <f t="shared" si="65"/>
        <v>2.0179999999999998</v>
      </c>
    </row>
    <row r="319" spans="2:28">
      <c r="B319" s="110">
        <f>'115+260'!B320</f>
        <v>45557</v>
      </c>
      <c r="C319" s="80">
        <f t="shared" si="57"/>
        <v>1</v>
      </c>
      <c r="D319" s="79">
        <f t="shared" si="58"/>
        <v>1069</v>
      </c>
      <c r="E319" s="78">
        <f>VLOOKUP(B319,'115+260'!B320:AB320,3,FALSE)</f>
        <v>1889</v>
      </c>
      <c r="F319" s="75">
        <f t="shared" si="53"/>
        <v>2958</v>
      </c>
      <c r="G319" s="77">
        <f>VLOOKUP(B319,'115+260'!$B$15:$AB$647,20,FALSE)</f>
        <v>2053</v>
      </c>
      <c r="H319" s="77">
        <f>VLOOKUP(B319,'115+260'!$B$15:$AB$647,4,FALSE)</f>
        <v>405</v>
      </c>
      <c r="I319" s="74">
        <f t="shared" si="54"/>
        <v>2553</v>
      </c>
      <c r="J319" s="74">
        <f>VLOOKUP(B319,'115+260'!$B$15:$AB$647,13,FALSE)</f>
        <v>-447</v>
      </c>
      <c r="K319" s="72">
        <f>'115+260'!Q320</f>
        <v>0</v>
      </c>
      <c r="L319" s="71">
        <f t="shared" si="59"/>
        <v>247</v>
      </c>
      <c r="M319" s="76">
        <f>VLOOKUP(B319,'115+260'!$B$14:$AB$647,21,FALSE)</f>
        <v>2049</v>
      </c>
      <c r="N319" s="75">
        <f>VLOOKUP(B319,'115+260'!$B$15:$AB$647,5,FALSE)</f>
        <v>429</v>
      </c>
      <c r="O319" s="74">
        <f t="shared" si="55"/>
        <v>2529</v>
      </c>
      <c r="P319" s="74">
        <f>VLOOKUP(B319,'115+260'!$B$15:$AB$647,14,FALSE)</f>
        <v>-471</v>
      </c>
      <c r="Q319" s="72">
        <f>'115+260'!R320</f>
        <v>0</v>
      </c>
      <c r="R319" s="71">
        <f t="shared" si="60"/>
        <v>251</v>
      </c>
      <c r="S319" s="76">
        <f>VLOOKUP(B319,'115+260'!$B$14:$AB$647,22,FALSE)</f>
        <v>2091</v>
      </c>
      <c r="T319" s="75">
        <f>VLOOKUP(B319,'115+260'!$B$15:$AB$647,6,FALSE)</f>
        <v>417</v>
      </c>
      <c r="U319" s="74">
        <f t="shared" si="56"/>
        <v>2541</v>
      </c>
      <c r="V319" s="73">
        <f>VLOOKUP(B319,'115+260'!$B$15:$AB$647,15,FALSE)</f>
        <v>-459</v>
      </c>
      <c r="W319" s="72">
        <f>'115+260'!S320</f>
        <v>0</v>
      </c>
      <c r="X319" s="71">
        <f t="shared" si="61"/>
        <v>209</v>
      </c>
      <c r="Y319" s="70">
        <f t="shared" si="62"/>
        <v>0</v>
      </c>
      <c r="Z319" s="69">
        <f t="shared" si="63"/>
        <v>0</v>
      </c>
      <c r="AA319" s="68">
        <f t="shared" si="64"/>
        <v>2.4729999999999999</v>
      </c>
      <c r="AB319" s="68">
        <f t="shared" si="65"/>
        <v>2.0179999999999998</v>
      </c>
    </row>
    <row r="320" spans="2:28">
      <c r="B320" s="110">
        <f>'115+260'!B321</f>
        <v>45558</v>
      </c>
      <c r="C320" s="80">
        <f t="shared" si="57"/>
        <v>1</v>
      </c>
      <c r="D320" s="79">
        <f t="shared" si="58"/>
        <v>1069</v>
      </c>
      <c r="E320" s="78">
        <f>VLOOKUP(B320,'115+260'!B321:AB321,3,FALSE)</f>
        <v>1891</v>
      </c>
      <c r="F320" s="75">
        <f t="shared" si="53"/>
        <v>2960</v>
      </c>
      <c r="G320" s="77">
        <f>VLOOKUP(B320,'115+260'!$B$15:$AB$647,20,FALSE)</f>
        <v>2053</v>
      </c>
      <c r="H320" s="77">
        <f>VLOOKUP(B320,'115+260'!$B$15:$AB$647,4,FALSE)</f>
        <v>407</v>
      </c>
      <c r="I320" s="74">
        <f t="shared" si="54"/>
        <v>2553</v>
      </c>
      <c r="J320" s="74">
        <f>VLOOKUP(B320,'115+260'!$B$15:$AB$647,13,FALSE)</f>
        <v>-447</v>
      </c>
      <c r="K320" s="72">
        <f>'115+260'!Q321</f>
        <v>0</v>
      </c>
      <c r="L320" s="71">
        <f t="shared" si="59"/>
        <v>247</v>
      </c>
      <c r="M320" s="76">
        <f>VLOOKUP(B320,'115+260'!$B$14:$AB$647,21,FALSE)</f>
        <v>2049</v>
      </c>
      <c r="N320" s="75">
        <f>VLOOKUP(B320,'115+260'!$B$15:$AB$647,5,FALSE)</f>
        <v>431</v>
      </c>
      <c r="O320" s="74">
        <f t="shared" si="55"/>
        <v>2529</v>
      </c>
      <c r="P320" s="74">
        <f>VLOOKUP(B320,'115+260'!$B$15:$AB$647,14,FALSE)</f>
        <v>-471</v>
      </c>
      <c r="Q320" s="72">
        <f>'115+260'!R321</f>
        <v>0</v>
      </c>
      <c r="R320" s="71">
        <f t="shared" si="60"/>
        <v>251</v>
      </c>
      <c r="S320" s="76">
        <f>VLOOKUP(B320,'115+260'!$B$14:$AB$647,22,FALSE)</f>
        <v>2091</v>
      </c>
      <c r="T320" s="75">
        <f>VLOOKUP(B320,'115+260'!$B$15:$AB$647,6,FALSE)</f>
        <v>419</v>
      </c>
      <c r="U320" s="74">
        <f t="shared" si="56"/>
        <v>2541</v>
      </c>
      <c r="V320" s="73">
        <f>VLOOKUP(B320,'115+260'!$B$15:$AB$647,15,FALSE)</f>
        <v>-459</v>
      </c>
      <c r="W320" s="72">
        <f>'115+260'!S321</f>
        <v>0</v>
      </c>
      <c r="X320" s="71">
        <f t="shared" si="61"/>
        <v>209</v>
      </c>
      <c r="Y320" s="70">
        <f t="shared" si="62"/>
        <v>0</v>
      </c>
      <c r="Z320" s="69">
        <f t="shared" si="63"/>
        <v>0</v>
      </c>
      <c r="AA320" s="68">
        <f t="shared" si="64"/>
        <v>2.4729999999999999</v>
      </c>
      <c r="AB320" s="68">
        <f t="shared" si="65"/>
        <v>2.0179999999999998</v>
      </c>
    </row>
    <row r="321" spans="2:28">
      <c r="B321" s="110">
        <f>'115+260'!B322</f>
        <v>45559</v>
      </c>
      <c r="C321" s="80">
        <f t="shared" si="57"/>
        <v>1</v>
      </c>
      <c r="D321" s="79">
        <f t="shared" si="58"/>
        <v>1069</v>
      </c>
      <c r="E321" s="78">
        <f>VLOOKUP(B321,'115+260'!B322:AB322,3,FALSE)</f>
        <v>1893</v>
      </c>
      <c r="F321" s="75">
        <f t="shared" si="53"/>
        <v>2962</v>
      </c>
      <c r="G321" s="77">
        <f>VLOOKUP(B321,'115+260'!$B$15:$AB$647,20,FALSE)</f>
        <v>2053</v>
      </c>
      <c r="H321" s="77">
        <f>VLOOKUP(B321,'115+260'!$B$15:$AB$647,4,FALSE)</f>
        <v>409</v>
      </c>
      <c r="I321" s="74">
        <f t="shared" si="54"/>
        <v>2553</v>
      </c>
      <c r="J321" s="74">
        <f>VLOOKUP(B321,'115+260'!$B$15:$AB$647,13,FALSE)</f>
        <v>-447</v>
      </c>
      <c r="K321" s="72">
        <f>'115+260'!Q322</f>
        <v>0</v>
      </c>
      <c r="L321" s="71">
        <f t="shared" si="59"/>
        <v>247</v>
      </c>
      <c r="M321" s="76">
        <f>VLOOKUP(B321,'115+260'!$B$14:$AB$647,21,FALSE)</f>
        <v>2049</v>
      </c>
      <c r="N321" s="75">
        <f>VLOOKUP(B321,'115+260'!$B$15:$AB$647,5,FALSE)</f>
        <v>433</v>
      </c>
      <c r="O321" s="74">
        <f t="shared" si="55"/>
        <v>2529</v>
      </c>
      <c r="P321" s="74">
        <f>VLOOKUP(B321,'115+260'!$B$15:$AB$647,14,FALSE)</f>
        <v>-471</v>
      </c>
      <c r="Q321" s="72">
        <f>'115+260'!R322</f>
        <v>0</v>
      </c>
      <c r="R321" s="71">
        <f t="shared" si="60"/>
        <v>251</v>
      </c>
      <c r="S321" s="76">
        <f>VLOOKUP(B321,'115+260'!$B$14:$AB$647,22,FALSE)</f>
        <v>2091</v>
      </c>
      <c r="T321" s="75">
        <f>VLOOKUP(B321,'115+260'!$B$15:$AB$647,6,FALSE)</f>
        <v>421</v>
      </c>
      <c r="U321" s="74">
        <f t="shared" si="56"/>
        <v>2541</v>
      </c>
      <c r="V321" s="73">
        <f>VLOOKUP(B321,'115+260'!$B$15:$AB$647,15,FALSE)</f>
        <v>-459</v>
      </c>
      <c r="W321" s="72">
        <f>'115+260'!S322</f>
        <v>0</v>
      </c>
      <c r="X321" s="71">
        <f t="shared" si="61"/>
        <v>209</v>
      </c>
      <c r="Y321" s="70">
        <f t="shared" si="62"/>
        <v>0</v>
      </c>
      <c r="Z321" s="69">
        <f t="shared" si="63"/>
        <v>0</v>
      </c>
      <c r="AA321" s="68">
        <f t="shared" si="64"/>
        <v>2.4729999999999999</v>
      </c>
      <c r="AB321" s="68">
        <f t="shared" si="65"/>
        <v>2.0179999999999998</v>
      </c>
    </row>
    <row r="322" spans="2:28">
      <c r="B322" s="110">
        <f>'115+260'!B323</f>
        <v>45560</v>
      </c>
      <c r="C322" s="80">
        <f t="shared" si="57"/>
        <v>1</v>
      </c>
      <c r="D322" s="79">
        <f t="shared" si="58"/>
        <v>1069</v>
      </c>
      <c r="E322" s="78">
        <f>VLOOKUP(B322,'115+260'!B323:AB323,3,FALSE)</f>
        <v>1895</v>
      </c>
      <c r="F322" s="75">
        <f t="shared" si="53"/>
        <v>2964</v>
      </c>
      <c r="G322" s="77">
        <f>VLOOKUP(B322,'115+260'!$B$15:$AB$647,20,FALSE)</f>
        <v>2053</v>
      </c>
      <c r="H322" s="77">
        <f>VLOOKUP(B322,'115+260'!$B$15:$AB$647,4,FALSE)</f>
        <v>411</v>
      </c>
      <c r="I322" s="74">
        <f t="shared" si="54"/>
        <v>2553</v>
      </c>
      <c r="J322" s="74">
        <f>VLOOKUP(B322,'115+260'!$B$15:$AB$647,13,FALSE)</f>
        <v>-447</v>
      </c>
      <c r="K322" s="72">
        <f>'115+260'!Q323</f>
        <v>0</v>
      </c>
      <c r="L322" s="71">
        <f t="shared" si="59"/>
        <v>247</v>
      </c>
      <c r="M322" s="76">
        <f>VLOOKUP(B322,'115+260'!$B$14:$AB$647,21,FALSE)</f>
        <v>2049</v>
      </c>
      <c r="N322" s="75">
        <f>VLOOKUP(B322,'115+260'!$B$15:$AB$647,5,FALSE)</f>
        <v>435</v>
      </c>
      <c r="O322" s="74">
        <f t="shared" si="55"/>
        <v>2529</v>
      </c>
      <c r="P322" s="74">
        <f>VLOOKUP(B322,'115+260'!$B$15:$AB$647,14,FALSE)</f>
        <v>-471</v>
      </c>
      <c r="Q322" s="72">
        <f>'115+260'!R323</f>
        <v>0</v>
      </c>
      <c r="R322" s="71">
        <f t="shared" si="60"/>
        <v>251</v>
      </c>
      <c r="S322" s="76">
        <f>VLOOKUP(B322,'115+260'!$B$14:$AB$647,22,FALSE)</f>
        <v>2091</v>
      </c>
      <c r="T322" s="75">
        <f>VLOOKUP(B322,'115+260'!$B$15:$AB$647,6,FALSE)</f>
        <v>423</v>
      </c>
      <c r="U322" s="74">
        <f t="shared" si="56"/>
        <v>2541</v>
      </c>
      <c r="V322" s="73">
        <f>VLOOKUP(B322,'115+260'!$B$15:$AB$647,15,FALSE)</f>
        <v>-459</v>
      </c>
      <c r="W322" s="72">
        <f>'115+260'!S323</f>
        <v>0</v>
      </c>
      <c r="X322" s="71">
        <f t="shared" si="61"/>
        <v>209</v>
      </c>
      <c r="Y322" s="70">
        <f t="shared" si="62"/>
        <v>0</v>
      </c>
      <c r="Z322" s="69">
        <f t="shared" si="63"/>
        <v>0</v>
      </c>
      <c r="AA322" s="68">
        <f t="shared" si="64"/>
        <v>2.4729999999999999</v>
      </c>
      <c r="AB322" s="68">
        <f t="shared" si="65"/>
        <v>2.0179999999999998</v>
      </c>
    </row>
    <row r="323" spans="2:28">
      <c r="B323" s="110">
        <f>'115+260'!B324</f>
        <v>45561</v>
      </c>
      <c r="C323" s="80">
        <f t="shared" si="57"/>
        <v>1</v>
      </c>
      <c r="D323" s="79">
        <f t="shared" si="58"/>
        <v>1069</v>
      </c>
      <c r="E323" s="78">
        <f>VLOOKUP(B323,'115+260'!B324:AB324,3,FALSE)</f>
        <v>1897</v>
      </c>
      <c r="F323" s="75">
        <f t="shared" si="53"/>
        <v>2966</v>
      </c>
      <c r="G323" s="77">
        <f>VLOOKUP(B323,'115+260'!$B$15:$AB$647,20,FALSE)</f>
        <v>2053</v>
      </c>
      <c r="H323" s="77">
        <f>VLOOKUP(B323,'115+260'!$B$15:$AB$647,4,FALSE)</f>
        <v>413</v>
      </c>
      <c r="I323" s="74">
        <f t="shared" si="54"/>
        <v>2553</v>
      </c>
      <c r="J323" s="74">
        <f>VLOOKUP(B323,'115+260'!$B$15:$AB$647,13,FALSE)</f>
        <v>-447</v>
      </c>
      <c r="K323" s="72">
        <f>'115+260'!Q324</f>
        <v>0</v>
      </c>
      <c r="L323" s="71">
        <f t="shared" si="59"/>
        <v>247</v>
      </c>
      <c r="M323" s="76">
        <f>VLOOKUP(B323,'115+260'!$B$14:$AB$647,21,FALSE)</f>
        <v>2049</v>
      </c>
      <c r="N323" s="75">
        <f>VLOOKUP(B323,'115+260'!$B$15:$AB$647,5,FALSE)</f>
        <v>437</v>
      </c>
      <c r="O323" s="74">
        <f t="shared" si="55"/>
        <v>2529</v>
      </c>
      <c r="P323" s="74">
        <f>VLOOKUP(B323,'115+260'!$B$15:$AB$647,14,FALSE)</f>
        <v>-471</v>
      </c>
      <c r="Q323" s="72">
        <f>'115+260'!R324</f>
        <v>0</v>
      </c>
      <c r="R323" s="71">
        <f t="shared" si="60"/>
        <v>251</v>
      </c>
      <c r="S323" s="76">
        <f>VLOOKUP(B323,'115+260'!$B$14:$AB$647,22,FALSE)</f>
        <v>2091</v>
      </c>
      <c r="T323" s="75">
        <f>VLOOKUP(B323,'115+260'!$B$15:$AB$647,6,FALSE)</f>
        <v>425</v>
      </c>
      <c r="U323" s="74">
        <f t="shared" si="56"/>
        <v>2541</v>
      </c>
      <c r="V323" s="73">
        <f>VLOOKUP(B323,'115+260'!$B$15:$AB$647,15,FALSE)</f>
        <v>-459</v>
      </c>
      <c r="W323" s="72">
        <f>'115+260'!S324</f>
        <v>0</v>
      </c>
      <c r="X323" s="71">
        <f t="shared" si="61"/>
        <v>209</v>
      </c>
      <c r="Y323" s="70">
        <f t="shared" si="62"/>
        <v>0</v>
      </c>
      <c r="Z323" s="69">
        <f t="shared" si="63"/>
        <v>0</v>
      </c>
      <c r="AA323" s="68">
        <f t="shared" si="64"/>
        <v>2.4729999999999999</v>
      </c>
      <c r="AB323" s="68">
        <f t="shared" si="65"/>
        <v>2.0179999999999998</v>
      </c>
    </row>
    <row r="324" spans="2:28">
      <c r="B324" s="110">
        <f>'115+260'!B325</f>
        <v>45562</v>
      </c>
      <c r="C324" s="80">
        <f t="shared" si="57"/>
        <v>1</v>
      </c>
      <c r="D324" s="79">
        <f t="shared" si="58"/>
        <v>1069</v>
      </c>
      <c r="E324" s="78">
        <f>VLOOKUP(B324,'115+260'!B325:AB325,3,FALSE)</f>
        <v>1899</v>
      </c>
      <c r="F324" s="75">
        <f t="shared" si="53"/>
        <v>2968</v>
      </c>
      <c r="G324" s="77">
        <f>VLOOKUP(B324,'115+260'!$B$15:$AB$647,20,FALSE)</f>
        <v>2053</v>
      </c>
      <c r="H324" s="77">
        <f>VLOOKUP(B324,'115+260'!$B$15:$AB$647,4,FALSE)</f>
        <v>415</v>
      </c>
      <c r="I324" s="74">
        <f t="shared" si="54"/>
        <v>2553</v>
      </c>
      <c r="J324" s="74">
        <f>VLOOKUP(B324,'115+260'!$B$15:$AB$647,13,FALSE)</f>
        <v>-447</v>
      </c>
      <c r="K324" s="72">
        <f>'115+260'!Q325</f>
        <v>0</v>
      </c>
      <c r="L324" s="71">
        <f t="shared" si="59"/>
        <v>247</v>
      </c>
      <c r="M324" s="76">
        <f>VLOOKUP(B324,'115+260'!$B$14:$AB$647,21,FALSE)</f>
        <v>2049</v>
      </c>
      <c r="N324" s="75">
        <f>VLOOKUP(B324,'115+260'!$B$15:$AB$647,5,FALSE)</f>
        <v>439</v>
      </c>
      <c r="O324" s="74">
        <f t="shared" si="55"/>
        <v>2529</v>
      </c>
      <c r="P324" s="74">
        <f>VLOOKUP(B324,'115+260'!$B$15:$AB$647,14,FALSE)</f>
        <v>-471</v>
      </c>
      <c r="Q324" s="72">
        <f>'115+260'!R325</f>
        <v>0</v>
      </c>
      <c r="R324" s="71">
        <f t="shared" si="60"/>
        <v>251</v>
      </c>
      <c r="S324" s="76">
        <f>VLOOKUP(B324,'115+260'!$B$14:$AB$647,22,FALSE)</f>
        <v>2091</v>
      </c>
      <c r="T324" s="75">
        <f>VLOOKUP(B324,'115+260'!$B$15:$AB$647,6,FALSE)</f>
        <v>427</v>
      </c>
      <c r="U324" s="74">
        <f t="shared" si="56"/>
        <v>2541</v>
      </c>
      <c r="V324" s="73">
        <f>VLOOKUP(B324,'115+260'!$B$15:$AB$647,15,FALSE)</f>
        <v>-459</v>
      </c>
      <c r="W324" s="72">
        <f>'115+260'!S325</f>
        <v>0</v>
      </c>
      <c r="X324" s="71">
        <f t="shared" si="61"/>
        <v>209</v>
      </c>
      <c r="Y324" s="70">
        <f t="shared" si="62"/>
        <v>0</v>
      </c>
      <c r="Z324" s="69">
        <f t="shared" si="63"/>
        <v>0</v>
      </c>
      <c r="AA324" s="68">
        <f t="shared" si="64"/>
        <v>2.4729999999999999</v>
      </c>
      <c r="AB324" s="68">
        <f t="shared" si="65"/>
        <v>2.0179999999999998</v>
      </c>
    </row>
    <row r="325" spans="2:28">
      <c r="B325" s="110">
        <f>'115+260'!B326</f>
        <v>45563</v>
      </c>
      <c r="C325" s="80">
        <f t="shared" si="57"/>
        <v>1</v>
      </c>
      <c r="D325" s="79">
        <f t="shared" si="58"/>
        <v>1069</v>
      </c>
      <c r="E325" s="78">
        <f>VLOOKUP(B325,'115+260'!B326:AB326,3,FALSE)</f>
        <v>1901</v>
      </c>
      <c r="F325" s="75">
        <f t="shared" si="53"/>
        <v>2970</v>
      </c>
      <c r="G325" s="77">
        <f>VLOOKUP(B325,'115+260'!$B$15:$AB$647,20,FALSE)</f>
        <v>2053</v>
      </c>
      <c r="H325" s="77">
        <f>VLOOKUP(B325,'115+260'!$B$15:$AB$647,4,FALSE)</f>
        <v>417</v>
      </c>
      <c r="I325" s="74">
        <f t="shared" si="54"/>
        <v>2553</v>
      </c>
      <c r="J325" s="74">
        <f>VLOOKUP(B325,'115+260'!$B$15:$AB$647,13,FALSE)</f>
        <v>-447</v>
      </c>
      <c r="K325" s="72">
        <f>'115+260'!Q326</f>
        <v>0</v>
      </c>
      <c r="L325" s="71">
        <f t="shared" si="59"/>
        <v>247</v>
      </c>
      <c r="M325" s="76">
        <f>VLOOKUP(B325,'115+260'!$B$14:$AB$647,21,FALSE)</f>
        <v>2049</v>
      </c>
      <c r="N325" s="75">
        <f>VLOOKUP(B325,'115+260'!$B$15:$AB$647,5,FALSE)</f>
        <v>441</v>
      </c>
      <c r="O325" s="74">
        <f t="shared" si="55"/>
        <v>2529</v>
      </c>
      <c r="P325" s="74">
        <f>VLOOKUP(B325,'115+260'!$B$15:$AB$647,14,FALSE)</f>
        <v>-471</v>
      </c>
      <c r="Q325" s="72">
        <f>'115+260'!R326</f>
        <v>0</v>
      </c>
      <c r="R325" s="71">
        <f t="shared" si="60"/>
        <v>251</v>
      </c>
      <c r="S325" s="76">
        <f>VLOOKUP(B325,'115+260'!$B$14:$AB$647,22,FALSE)</f>
        <v>2091</v>
      </c>
      <c r="T325" s="75">
        <f>VLOOKUP(B325,'115+260'!$B$15:$AB$647,6,FALSE)</f>
        <v>429</v>
      </c>
      <c r="U325" s="74">
        <f t="shared" si="56"/>
        <v>2541</v>
      </c>
      <c r="V325" s="73">
        <f>VLOOKUP(B325,'115+260'!$B$15:$AB$647,15,FALSE)</f>
        <v>-459</v>
      </c>
      <c r="W325" s="72">
        <f>'115+260'!S326</f>
        <v>0</v>
      </c>
      <c r="X325" s="71">
        <f t="shared" si="61"/>
        <v>209</v>
      </c>
      <c r="Y325" s="70">
        <f t="shared" si="62"/>
        <v>0</v>
      </c>
      <c r="Z325" s="69">
        <f t="shared" si="63"/>
        <v>0</v>
      </c>
      <c r="AA325" s="68">
        <f t="shared" si="64"/>
        <v>2.4729999999999999</v>
      </c>
      <c r="AB325" s="68">
        <f t="shared" si="65"/>
        <v>2.0179999999999998</v>
      </c>
    </row>
    <row r="326" spans="2:28">
      <c r="B326" s="110">
        <f>'115+260'!B327</f>
        <v>45564</v>
      </c>
      <c r="C326" s="80">
        <f t="shared" si="57"/>
        <v>1</v>
      </c>
      <c r="D326" s="79">
        <f t="shared" si="58"/>
        <v>1069</v>
      </c>
      <c r="E326" s="78">
        <f>VLOOKUP(B326,'115+260'!B327:AB327,3,FALSE)</f>
        <v>1903</v>
      </c>
      <c r="F326" s="75">
        <f t="shared" si="53"/>
        <v>2972</v>
      </c>
      <c r="G326" s="77">
        <f>VLOOKUP(B326,'115+260'!$B$15:$AB$647,20,FALSE)</f>
        <v>2053</v>
      </c>
      <c r="H326" s="77">
        <f>VLOOKUP(B326,'115+260'!$B$15:$AB$647,4,FALSE)</f>
        <v>419</v>
      </c>
      <c r="I326" s="74">
        <f t="shared" si="54"/>
        <v>2553</v>
      </c>
      <c r="J326" s="74">
        <f>VLOOKUP(B326,'115+260'!$B$15:$AB$647,13,FALSE)</f>
        <v>-447</v>
      </c>
      <c r="K326" s="72">
        <f>'115+260'!Q327</f>
        <v>0</v>
      </c>
      <c r="L326" s="71">
        <f t="shared" si="59"/>
        <v>247</v>
      </c>
      <c r="M326" s="76">
        <f>VLOOKUP(B326,'115+260'!$B$14:$AB$647,21,FALSE)</f>
        <v>2049</v>
      </c>
      <c r="N326" s="75">
        <f>VLOOKUP(B326,'115+260'!$B$15:$AB$647,5,FALSE)</f>
        <v>443</v>
      </c>
      <c r="O326" s="74">
        <f t="shared" si="55"/>
        <v>2529</v>
      </c>
      <c r="P326" s="74">
        <f>VLOOKUP(B326,'115+260'!$B$15:$AB$647,14,FALSE)</f>
        <v>-471</v>
      </c>
      <c r="Q326" s="72">
        <f>'115+260'!R327</f>
        <v>0</v>
      </c>
      <c r="R326" s="71">
        <f t="shared" si="60"/>
        <v>251</v>
      </c>
      <c r="S326" s="76">
        <f>VLOOKUP(B326,'115+260'!$B$14:$AB$647,22,FALSE)</f>
        <v>2091</v>
      </c>
      <c r="T326" s="75">
        <f>VLOOKUP(B326,'115+260'!$B$15:$AB$647,6,FALSE)</f>
        <v>431</v>
      </c>
      <c r="U326" s="74">
        <f t="shared" si="56"/>
        <v>2541</v>
      </c>
      <c r="V326" s="73">
        <f>VLOOKUP(B326,'115+260'!$B$15:$AB$647,15,FALSE)</f>
        <v>-459</v>
      </c>
      <c r="W326" s="72">
        <f>'115+260'!S327</f>
        <v>0</v>
      </c>
      <c r="X326" s="71">
        <f t="shared" si="61"/>
        <v>209</v>
      </c>
      <c r="Y326" s="70">
        <f t="shared" si="62"/>
        <v>0</v>
      </c>
      <c r="Z326" s="69">
        <f t="shared" si="63"/>
        <v>0</v>
      </c>
      <c r="AA326" s="68">
        <f t="shared" si="64"/>
        <v>2.4729999999999999</v>
      </c>
      <c r="AB326" s="68">
        <f t="shared" si="65"/>
        <v>2.0179999999999998</v>
      </c>
    </row>
    <row r="327" spans="2:28">
      <c r="B327" s="110">
        <f>'115+260'!B328</f>
        <v>45565</v>
      </c>
      <c r="C327" s="80">
        <f t="shared" si="57"/>
        <v>1</v>
      </c>
      <c r="D327" s="79">
        <f t="shared" si="58"/>
        <v>1069</v>
      </c>
      <c r="E327" s="78">
        <f>VLOOKUP(B327,'115+260'!B328:AB328,3,FALSE)</f>
        <v>1905</v>
      </c>
      <c r="F327" s="75">
        <f t="shared" si="53"/>
        <v>2974</v>
      </c>
      <c r="G327" s="77">
        <f>VLOOKUP(B327,'115+260'!$B$15:$AB$647,20,FALSE)</f>
        <v>2053</v>
      </c>
      <c r="H327" s="77">
        <f>VLOOKUP(B327,'115+260'!$B$15:$AB$647,4,FALSE)</f>
        <v>421</v>
      </c>
      <c r="I327" s="74">
        <f t="shared" si="54"/>
        <v>2553</v>
      </c>
      <c r="J327" s="74">
        <f>VLOOKUP(B327,'115+260'!$B$15:$AB$647,13,FALSE)</f>
        <v>-447</v>
      </c>
      <c r="K327" s="72">
        <f>'115+260'!Q328</f>
        <v>0</v>
      </c>
      <c r="L327" s="71">
        <f t="shared" si="59"/>
        <v>247</v>
      </c>
      <c r="M327" s="76">
        <f>VLOOKUP(B327,'115+260'!$B$14:$AB$647,21,FALSE)</f>
        <v>2049</v>
      </c>
      <c r="N327" s="75">
        <f>VLOOKUP(B327,'115+260'!$B$15:$AB$647,5,FALSE)</f>
        <v>445</v>
      </c>
      <c r="O327" s="74">
        <f t="shared" si="55"/>
        <v>2529</v>
      </c>
      <c r="P327" s="74">
        <f>VLOOKUP(B327,'115+260'!$B$15:$AB$647,14,FALSE)</f>
        <v>-471</v>
      </c>
      <c r="Q327" s="72">
        <f>'115+260'!R328</f>
        <v>0</v>
      </c>
      <c r="R327" s="71">
        <f t="shared" si="60"/>
        <v>251</v>
      </c>
      <c r="S327" s="76">
        <f>VLOOKUP(B327,'115+260'!$B$14:$AB$647,22,FALSE)</f>
        <v>2091</v>
      </c>
      <c r="T327" s="75">
        <f>VLOOKUP(B327,'115+260'!$B$15:$AB$647,6,FALSE)</f>
        <v>433</v>
      </c>
      <c r="U327" s="74">
        <f t="shared" si="56"/>
        <v>2541</v>
      </c>
      <c r="V327" s="73">
        <f>VLOOKUP(B327,'115+260'!$B$15:$AB$647,15,FALSE)</f>
        <v>-459</v>
      </c>
      <c r="W327" s="72">
        <f>'115+260'!S328</f>
        <v>0</v>
      </c>
      <c r="X327" s="71">
        <f t="shared" si="61"/>
        <v>209</v>
      </c>
      <c r="Y327" s="70">
        <f t="shared" si="62"/>
        <v>0</v>
      </c>
      <c r="Z327" s="69">
        <f t="shared" si="63"/>
        <v>0</v>
      </c>
      <c r="AA327" s="68">
        <f t="shared" si="64"/>
        <v>2.4729999999999999</v>
      </c>
      <c r="AB327" s="68">
        <f t="shared" si="65"/>
        <v>2.0179999999999998</v>
      </c>
    </row>
    <row r="328" spans="2:28">
      <c r="B328" s="110">
        <f>'115+260'!B329</f>
        <v>45566</v>
      </c>
      <c r="C328" s="80">
        <f t="shared" si="57"/>
        <v>1</v>
      </c>
      <c r="D328" s="79">
        <f t="shared" si="58"/>
        <v>1069</v>
      </c>
      <c r="E328" s="78">
        <f>VLOOKUP(B328,'115+260'!B329:AB329,3,FALSE)</f>
        <v>1907</v>
      </c>
      <c r="F328" s="75">
        <f t="shared" si="53"/>
        <v>2976</v>
      </c>
      <c r="G328" s="77">
        <f>VLOOKUP(B328,'115+260'!$B$15:$AB$647,20,FALSE)</f>
        <v>2053</v>
      </c>
      <c r="H328" s="77">
        <f>VLOOKUP(B328,'115+260'!$B$15:$AB$647,4,FALSE)</f>
        <v>423</v>
      </c>
      <c r="I328" s="74">
        <f t="shared" si="54"/>
        <v>2553</v>
      </c>
      <c r="J328" s="74">
        <f>VLOOKUP(B328,'115+260'!$B$15:$AB$647,13,FALSE)</f>
        <v>-447</v>
      </c>
      <c r="K328" s="72">
        <f>'115+260'!Q329</f>
        <v>0</v>
      </c>
      <c r="L328" s="71">
        <f t="shared" si="59"/>
        <v>247</v>
      </c>
      <c r="M328" s="76">
        <f>VLOOKUP(B328,'115+260'!$B$14:$AB$647,21,FALSE)</f>
        <v>2049</v>
      </c>
      <c r="N328" s="75">
        <f>VLOOKUP(B328,'115+260'!$B$15:$AB$647,5,FALSE)</f>
        <v>447</v>
      </c>
      <c r="O328" s="74">
        <f t="shared" si="55"/>
        <v>2529</v>
      </c>
      <c r="P328" s="74">
        <f>VLOOKUP(B328,'115+260'!$B$15:$AB$647,14,FALSE)</f>
        <v>-471</v>
      </c>
      <c r="Q328" s="72">
        <f>'115+260'!R329</f>
        <v>0</v>
      </c>
      <c r="R328" s="71">
        <f t="shared" si="60"/>
        <v>251</v>
      </c>
      <c r="S328" s="76">
        <f>VLOOKUP(B328,'115+260'!$B$14:$AB$647,22,FALSE)</f>
        <v>2091</v>
      </c>
      <c r="T328" s="75">
        <f>VLOOKUP(B328,'115+260'!$B$15:$AB$647,6,FALSE)</f>
        <v>435</v>
      </c>
      <c r="U328" s="74">
        <f t="shared" si="56"/>
        <v>2541</v>
      </c>
      <c r="V328" s="73">
        <f>VLOOKUP(B328,'115+260'!$B$15:$AB$647,15,FALSE)</f>
        <v>-459</v>
      </c>
      <c r="W328" s="72">
        <f>'115+260'!S329</f>
        <v>0</v>
      </c>
      <c r="X328" s="71">
        <f t="shared" si="61"/>
        <v>209</v>
      </c>
      <c r="Y328" s="70">
        <f t="shared" si="62"/>
        <v>0</v>
      </c>
      <c r="Z328" s="69">
        <f t="shared" si="63"/>
        <v>0</v>
      </c>
      <c r="AA328" s="68">
        <f t="shared" si="64"/>
        <v>2.4729999999999999</v>
      </c>
      <c r="AB328" s="68">
        <f t="shared" si="65"/>
        <v>2.0179999999999998</v>
      </c>
    </row>
    <row r="329" spans="2:28">
      <c r="B329" s="110">
        <f>'115+260'!B330</f>
        <v>45567</v>
      </c>
      <c r="C329" s="80">
        <f t="shared" si="57"/>
        <v>1</v>
      </c>
      <c r="D329" s="79">
        <f t="shared" si="58"/>
        <v>1069</v>
      </c>
      <c r="E329" s="78">
        <f>VLOOKUP(B329,'115+260'!B330:AB330,3,FALSE)</f>
        <v>1909</v>
      </c>
      <c r="F329" s="75">
        <f t="shared" si="53"/>
        <v>2978</v>
      </c>
      <c r="G329" s="77">
        <f>VLOOKUP(B329,'115+260'!$B$15:$AB$647,20,FALSE)</f>
        <v>2053</v>
      </c>
      <c r="H329" s="77">
        <f>VLOOKUP(B329,'115+260'!$B$15:$AB$647,4,FALSE)</f>
        <v>425</v>
      </c>
      <c r="I329" s="74">
        <f t="shared" si="54"/>
        <v>2553</v>
      </c>
      <c r="J329" s="74">
        <f>VLOOKUP(B329,'115+260'!$B$15:$AB$647,13,FALSE)</f>
        <v>-447</v>
      </c>
      <c r="K329" s="72">
        <f>'115+260'!Q330</f>
        <v>0</v>
      </c>
      <c r="L329" s="71">
        <f t="shared" si="59"/>
        <v>247</v>
      </c>
      <c r="M329" s="76">
        <f>VLOOKUP(B329,'115+260'!$B$14:$AB$647,21,FALSE)</f>
        <v>2049</v>
      </c>
      <c r="N329" s="75">
        <f>VLOOKUP(B329,'115+260'!$B$15:$AB$647,5,FALSE)</f>
        <v>449</v>
      </c>
      <c r="O329" s="74">
        <f t="shared" si="55"/>
        <v>2529</v>
      </c>
      <c r="P329" s="74">
        <f>VLOOKUP(B329,'115+260'!$B$15:$AB$647,14,FALSE)</f>
        <v>-471</v>
      </c>
      <c r="Q329" s="72">
        <f>'115+260'!R330</f>
        <v>0</v>
      </c>
      <c r="R329" s="71">
        <f t="shared" si="60"/>
        <v>251</v>
      </c>
      <c r="S329" s="76">
        <f>VLOOKUP(B329,'115+260'!$B$14:$AB$647,22,FALSE)</f>
        <v>2091</v>
      </c>
      <c r="T329" s="75">
        <f>VLOOKUP(B329,'115+260'!$B$15:$AB$647,6,FALSE)</f>
        <v>437</v>
      </c>
      <c r="U329" s="74">
        <f t="shared" si="56"/>
        <v>2541</v>
      </c>
      <c r="V329" s="73">
        <f>VLOOKUP(B329,'115+260'!$B$15:$AB$647,15,FALSE)</f>
        <v>-459</v>
      </c>
      <c r="W329" s="72">
        <f>'115+260'!S330</f>
        <v>0</v>
      </c>
      <c r="X329" s="71">
        <f t="shared" si="61"/>
        <v>209</v>
      </c>
      <c r="Y329" s="70">
        <f t="shared" si="62"/>
        <v>0</v>
      </c>
      <c r="Z329" s="69">
        <f t="shared" si="63"/>
        <v>0</v>
      </c>
      <c r="AA329" s="68">
        <f t="shared" si="64"/>
        <v>2.4729999999999999</v>
      </c>
      <c r="AB329" s="68">
        <f t="shared" si="65"/>
        <v>2.0179999999999998</v>
      </c>
    </row>
    <row r="330" spans="2:28">
      <c r="B330" s="110">
        <f>'115+260'!B331</f>
        <v>45568</v>
      </c>
      <c r="C330" s="80">
        <f t="shared" si="57"/>
        <v>1</v>
      </c>
      <c r="D330" s="79">
        <f t="shared" si="58"/>
        <v>1069</v>
      </c>
      <c r="E330" s="78">
        <f>VLOOKUP(B330,'115+260'!B331:AB331,3,FALSE)</f>
        <v>1911</v>
      </c>
      <c r="F330" s="75">
        <f t="shared" si="53"/>
        <v>2980</v>
      </c>
      <c r="G330" s="77">
        <f>VLOOKUP(B330,'115+260'!$B$15:$AB$647,20,FALSE)</f>
        <v>2053</v>
      </c>
      <c r="H330" s="77">
        <f>VLOOKUP(B330,'115+260'!$B$15:$AB$647,4,FALSE)</f>
        <v>427</v>
      </c>
      <c r="I330" s="74">
        <f t="shared" si="54"/>
        <v>2553</v>
      </c>
      <c r="J330" s="74">
        <f>VLOOKUP(B330,'115+260'!$B$15:$AB$647,13,FALSE)</f>
        <v>-447</v>
      </c>
      <c r="K330" s="72">
        <f>'115+260'!Q331</f>
        <v>0</v>
      </c>
      <c r="L330" s="71">
        <f t="shared" si="59"/>
        <v>247</v>
      </c>
      <c r="M330" s="76">
        <f>VLOOKUP(B330,'115+260'!$B$14:$AB$647,21,FALSE)</f>
        <v>2049</v>
      </c>
      <c r="N330" s="75">
        <f>VLOOKUP(B330,'115+260'!$B$15:$AB$647,5,FALSE)</f>
        <v>451</v>
      </c>
      <c r="O330" s="74">
        <f t="shared" si="55"/>
        <v>2529</v>
      </c>
      <c r="P330" s="74">
        <f>VLOOKUP(B330,'115+260'!$B$15:$AB$647,14,FALSE)</f>
        <v>-471</v>
      </c>
      <c r="Q330" s="72">
        <f>'115+260'!R331</f>
        <v>0</v>
      </c>
      <c r="R330" s="71">
        <f t="shared" si="60"/>
        <v>251</v>
      </c>
      <c r="S330" s="76">
        <f>VLOOKUP(B330,'115+260'!$B$14:$AB$647,22,FALSE)</f>
        <v>2091</v>
      </c>
      <c r="T330" s="75">
        <f>VLOOKUP(B330,'115+260'!$B$15:$AB$647,6,FALSE)</f>
        <v>439</v>
      </c>
      <c r="U330" s="74">
        <f t="shared" si="56"/>
        <v>2541</v>
      </c>
      <c r="V330" s="73">
        <f>VLOOKUP(B330,'115+260'!$B$15:$AB$647,15,FALSE)</f>
        <v>-459</v>
      </c>
      <c r="W330" s="72">
        <f>'115+260'!S331</f>
        <v>0</v>
      </c>
      <c r="X330" s="71">
        <f t="shared" si="61"/>
        <v>209</v>
      </c>
      <c r="Y330" s="70">
        <f t="shared" si="62"/>
        <v>0</v>
      </c>
      <c r="Z330" s="69">
        <f t="shared" si="63"/>
        <v>0</v>
      </c>
      <c r="AA330" s="68">
        <f t="shared" si="64"/>
        <v>2.4729999999999999</v>
      </c>
      <c r="AB330" s="68">
        <f t="shared" si="65"/>
        <v>2.0179999999999998</v>
      </c>
    </row>
    <row r="331" spans="2:28">
      <c r="B331" s="110">
        <f>'115+260'!B332</f>
        <v>45569</v>
      </c>
      <c r="C331" s="80">
        <f t="shared" si="57"/>
        <v>1</v>
      </c>
      <c r="D331" s="79">
        <f t="shared" si="58"/>
        <v>1069</v>
      </c>
      <c r="E331" s="78">
        <f>VLOOKUP(B331,'115+260'!B332:AB332,3,FALSE)</f>
        <v>1913</v>
      </c>
      <c r="F331" s="75">
        <f t="shared" si="53"/>
        <v>2982</v>
      </c>
      <c r="G331" s="77">
        <f>VLOOKUP(B331,'115+260'!$B$15:$AB$647,20,FALSE)</f>
        <v>2053</v>
      </c>
      <c r="H331" s="77">
        <f>VLOOKUP(B331,'115+260'!$B$15:$AB$647,4,FALSE)</f>
        <v>429</v>
      </c>
      <c r="I331" s="74">
        <f t="shared" si="54"/>
        <v>2553</v>
      </c>
      <c r="J331" s="74">
        <f>VLOOKUP(B331,'115+260'!$B$15:$AB$647,13,FALSE)</f>
        <v>-447</v>
      </c>
      <c r="K331" s="72">
        <f>'115+260'!Q332</f>
        <v>0</v>
      </c>
      <c r="L331" s="71">
        <f t="shared" si="59"/>
        <v>247</v>
      </c>
      <c r="M331" s="76">
        <f>VLOOKUP(B331,'115+260'!$B$14:$AB$647,21,FALSE)</f>
        <v>2049</v>
      </c>
      <c r="N331" s="75">
        <f>VLOOKUP(B331,'115+260'!$B$15:$AB$647,5,FALSE)</f>
        <v>453</v>
      </c>
      <c r="O331" s="74">
        <f t="shared" si="55"/>
        <v>2529</v>
      </c>
      <c r="P331" s="74">
        <f>VLOOKUP(B331,'115+260'!$B$15:$AB$647,14,FALSE)</f>
        <v>-471</v>
      </c>
      <c r="Q331" s="72">
        <f>'115+260'!R332</f>
        <v>0</v>
      </c>
      <c r="R331" s="71">
        <f t="shared" si="60"/>
        <v>251</v>
      </c>
      <c r="S331" s="76">
        <f>VLOOKUP(B331,'115+260'!$B$14:$AB$647,22,FALSE)</f>
        <v>2091</v>
      </c>
      <c r="T331" s="75">
        <f>VLOOKUP(B331,'115+260'!$B$15:$AB$647,6,FALSE)</f>
        <v>441</v>
      </c>
      <c r="U331" s="74">
        <f t="shared" si="56"/>
        <v>2541</v>
      </c>
      <c r="V331" s="73">
        <f>VLOOKUP(B331,'115+260'!$B$15:$AB$647,15,FALSE)</f>
        <v>-459</v>
      </c>
      <c r="W331" s="72">
        <f>'115+260'!S332</f>
        <v>0</v>
      </c>
      <c r="X331" s="71">
        <f t="shared" si="61"/>
        <v>209</v>
      </c>
      <c r="Y331" s="70">
        <f t="shared" si="62"/>
        <v>0</v>
      </c>
      <c r="Z331" s="69">
        <f t="shared" si="63"/>
        <v>0</v>
      </c>
      <c r="AA331" s="68">
        <f t="shared" si="64"/>
        <v>2.4729999999999999</v>
      </c>
      <c r="AB331" s="68">
        <f t="shared" si="65"/>
        <v>2.0179999999999998</v>
      </c>
    </row>
    <row r="332" spans="2:28">
      <c r="B332" s="110">
        <f>'115+260'!B333</f>
        <v>45570</v>
      </c>
      <c r="C332" s="80">
        <f t="shared" si="57"/>
        <v>1</v>
      </c>
      <c r="D332" s="79">
        <f t="shared" si="58"/>
        <v>1069</v>
      </c>
      <c r="E332" s="78">
        <f>VLOOKUP(B332,'115+260'!B333:AB333,3,FALSE)</f>
        <v>1915</v>
      </c>
      <c r="F332" s="75">
        <f t="shared" si="53"/>
        <v>2984</v>
      </c>
      <c r="G332" s="77">
        <f>VLOOKUP(B332,'115+260'!$B$15:$AB$647,20,FALSE)</f>
        <v>2053</v>
      </c>
      <c r="H332" s="77">
        <f>VLOOKUP(B332,'115+260'!$B$15:$AB$647,4,FALSE)</f>
        <v>431</v>
      </c>
      <c r="I332" s="74">
        <f t="shared" si="54"/>
        <v>2553</v>
      </c>
      <c r="J332" s="74">
        <f>VLOOKUP(B332,'115+260'!$B$15:$AB$647,13,FALSE)</f>
        <v>-447</v>
      </c>
      <c r="K332" s="72">
        <f>'115+260'!Q333</f>
        <v>0</v>
      </c>
      <c r="L332" s="71">
        <f t="shared" si="59"/>
        <v>247</v>
      </c>
      <c r="M332" s="76">
        <f>VLOOKUP(B332,'115+260'!$B$14:$AB$647,21,FALSE)</f>
        <v>2049</v>
      </c>
      <c r="N332" s="75">
        <f>VLOOKUP(B332,'115+260'!$B$15:$AB$647,5,FALSE)</f>
        <v>455</v>
      </c>
      <c r="O332" s="74">
        <f t="shared" si="55"/>
        <v>2529</v>
      </c>
      <c r="P332" s="74">
        <f>VLOOKUP(B332,'115+260'!$B$15:$AB$647,14,FALSE)</f>
        <v>-471</v>
      </c>
      <c r="Q332" s="72">
        <f>'115+260'!R333</f>
        <v>0</v>
      </c>
      <c r="R332" s="71">
        <f t="shared" si="60"/>
        <v>251</v>
      </c>
      <c r="S332" s="76">
        <f>VLOOKUP(B332,'115+260'!$B$14:$AB$647,22,FALSE)</f>
        <v>2091</v>
      </c>
      <c r="T332" s="75">
        <f>VLOOKUP(B332,'115+260'!$B$15:$AB$647,6,FALSE)</f>
        <v>443</v>
      </c>
      <c r="U332" s="74">
        <f t="shared" si="56"/>
        <v>2541</v>
      </c>
      <c r="V332" s="73">
        <f>VLOOKUP(B332,'115+260'!$B$15:$AB$647,15,FALSE)</f>
        <v>-459</v>
      </c>
      <c r="W332" s="72">
        <f>'115+260'!S333</f>
        <v>0</v>
      </c>
      <c r="X332" s="71">
        <f t="shared" si="61"/>
        <v>209</v>
      </c>
      <c r="Y332" s="70">
        <f t="shared" si="62"/>
        <v>0</v>
      </c>
      <c r="Z332" s="69">
        <f t="shared" si="63"/>
        <v>0</v>
      </c>
      <c r="AA332" s="68">
        <f t="shared" si="64"/>
        <v>2.4729999999999999</v>
      </c>
      <c r="AB332" s="68">
        <f t="shared" si="65"/>
        <v>2.0179999999999998</v>
      </c>
    </row>
    <row r="333" spans="2:28">
      <c r="B333" s="110">
        <f>'115+260'!B334</f>
        <v>45571</v>
      </c>
      <c r="C333" s="80">
        <f t="shared" si="57"/>
        <v>1</v>
      </c>
      <c r="D333" s="79">
        <f t="shared" si="58"/>
        <v>1069</v>
      </c>
      <c r="E333" s="78">
        <f>VLOOKUP(B333,'115+260'!B334:AB334,3,FALSE)</f>
        <v>1917</v>
      </c>
      <c r="F333" s="75">
        <f t="shared" ref="F333:F396" si="66">D333+E333</f>
        <v>2986</v>
      </c>
      <c r="G333" s="77">
        <f>VLOOKUP(B333,'115+260'!$B$15:$AB$647,20,FALSE)</f>
        <v>2053</v>
      </c>
      <c r="H333" s="77">
        <f>VLOOKUP(B333,'115+260'!$B$15:$AB$647,4,FALSE)</f>
        <v>433</v>
      </c>
      <c r="I333" s="74">
        <f t="shared" ref="I333:I396" si="67">F333-H333</f>
        <v>2553</v>
      </c>
      <c r="J333" s="74">
        <f>VLOOKUP(B333,'115+260'!$B$15:$AB$647,13,FALSE)</f>
        <v>-447</v>
      </c>
      <c r="K333" s="72">
        <f>'115+260'!Q334</f>
        <v>0</v>
      </c>
      <c r="L333" s="71">
        <f t="shared" si="59"/>
        <v>247</v>
      </c>
      <c r="M333" s="76">
        <f>VLOOKUP(B333,'115+260'!$B$14:$AB$647,21,FALSE)</f>
        <v>2049</v>
      </c>
      <c r="N333" s="75">
        <f>VLOOKUP(B333,'115+260'!$B$15:$AB$647,5,FALSE)</f>
        <v>457</v>
      </c>
      <c r="O333" s="74">
        <f t="shared" ref="O333:O396" si="68">F333-N333</f>
        <v>2529</v>
      </c>
      <c r="P333" s="74">
        <f>VLOOKUP(B333,'115+260'!$B$15:$AB$647,14,FALSE)</f>
        <v>-471</v>
      </c>
      <c r="Q333" s="72">
        <f>'115+260'!R334</f>
        <v>0</v>
      </c>
      <c r="R333" s="71">
        <f t="shared" si="60"/>
        <v>251</v>
      </c>
      <c r="S333" s="76">
        <f>VLOOKUP(B333,'115+260'!$B$14:$AB$647,22,FALSE)</f>
        <v>2091</v>
      </c>
      <c r="T333" s="75">
        <f>VLOOKUP(B333,'115+260'!$B$15:$AB$647,6,FALSE)</f>
        <v>445</v>
      </c>
      <c r="U333" s="74">
        <f t="shared" ref="U333:U396" si="69">F333-T333</f>
        <v>2541</v>
      </c>
      <c r="V333" s="73">
        <f>VLOOKUP(B333,'115+260'!$B$15:$AB$647,15,FALSE)</f>
        <v>-459</v>
      </c>
      <c r="W333" s="72">
        <f>'115+260'!S334</f>
        <v>0</v>
      </c>
      <c r="X333" s="71">
        <f t="shared" si="61"/>
        <v>209</v>
      </c>
      <c r="Y333" s="70">
        <f t="shared" si="62"/>
        <v>0</v>
      </c>
      <c r="Z333" s="69">
        <f t="shared" si="63"/>
        <v>0</v>
      </c>
      <c r="AA333" s="68">
        <f t="shared" si="64"/>
        <v>2.4729999999999999</v>
      </c>
      <c r="AB333" s="68">
        <f t="shared" si="65"/>
        <v>2.0179999999999998</v>
      </c>
    </row>
    <row r="334" spans="2:28">
      <c r="B334" s="110">
        <f>'115+260'!B335</f>
        <v>45572</v>
      </c>
      <c r="C334" s="80">
        <f t="shared" ref="C334:C397" si="70">B334-B333</f>
        <v>1</v>
      </c>
      <c r="D334" s="79">
        <f t="shared" ref="D334:D397" si="71">D333</f>
        <v>1069</v>
      </c>
      <c r="E334" s="78">
        <f>VLOOKUP(B334,'115+260'!B335:AB335,3,FALSE)</f>
        <v>1919</v>
      </c>
      <c r="F334" s="75">
        <f t="shared" si="66"/>
        <v>2988</v>
      </c>
      <c r="G334" s="77">
        <f>VLOOKUP(B334,'115+260'!$B$15:$AB$647,20,FALSE)</f>
        <v>2053</v>
      </c>
      <c r="H334" s="77">
        <f>VLOOKUP(B334,'115+260'!$B$15:$AB$647,4,FALSE)</f>
        <v>435</v>
      </c>
      <c r="I334" s="74">
        <f t="shared" si="67"/>
        <v>2553</v>
      </c>
      <c r="J334" s="74">
        <f>VLOOKUP(B334,'115+260'!$B$15:$AB$647,13,FALSE)</f>
        <v>-447</v>
      </c>
      <c r="K334" s="72">
        <f>'115+260'!Q335</f>
        <v>0</v>
      </c>
      <c r="L334" s="71">
        <f t="shared" ref="L334:L397" si="72">+K334+L333</f>
        <v>247</v>
      </c>
      <c r="M334" s="76">
        <f>VLOOKUP(B334,'115+260'!$B$14:$AB$647,21,FALSE)</f>
        <v>2049</v>
      </c>
      <c r="N334" s="75">
        <f>VLOOKUP(B334,'115+260'!$B$15:$AB$647,5,FALSE)</f>
        <v>459</v>
      </c>
      <c r="O334" s="74">
        <f t="shared" si="68"/>
        <v>2529</v>
      </c>
      <c r="P334" s="74">
        <f>VLOOKUP(B334,'115+260'!$B$15:$AB$647,14,FALSE)</f>
        <v>-471</v>
      </c>
      <c r="Q334" s="72">
        <f>'115+260'!R335</f>
        <v>0</v>
      </c>
      <c r="R334" s="71">
        <f t="shared" ref="R334:R397" si="73">+Q334+R333</f>
        <v>251</v>
      </c>
      <c r="S334" s="76">
        <f>VLOOKUP(B334,'115+260'!$B$14:$AB$647,22,FALSE)</f>
        <v>2091</v>
      </c>
      <c r="T334" s="75">
        <f>VLOOKUP(B334,'115+260'!$B$15:$AB$647,6,FALSE)</f>
        <v>447</v>
      </c>
      <c r="U334" s="74">
        <f t="shared" si="69"/>
        <v>2541</v>
      </c>
      <c r="V334" s="73">
        <f>VLOOKUP(B334,'115+260'!$B$15:$AB$647,15,FALSE)</f>
        <v>-459</v>
      </c>
      <c r="W334" s="72">
        <f>'115+260'!S335</f>
        <v>0</v>
      </c>
      <c r="X334" s="71">
        <f t="shared" ref="X334:X397" si="74">+W334+X333</f>
        <v>209</v>
      </c>
      <c r="Y334" s="70">
        <f t="shared" ref="Y334:Y397" si="75">S334-S333</f>
        <v>0</v>
      </c>
      <c r="Z334" s="69">
        <f t="shared" ref="Z334:Z397" si="76">IF(Y334&gt;0,Y334,0)/1000</f>
        <v>0</v>
      </c>
      <c r="AA334" s="68">
        <f t="shared" ref="AA334:AA397" si="77">AA333+Z334</f>
        <v>2.4729999999999999</v>
      </c>
      <c r="AB334" s="68">
        <f t="shared" ref="AB334:AB397" si="78">(M334-$M$13-R334)/1000</f>
        <v>2.0179999999999998</v>
      </c>
    </row>
    <row r="335" spans="2:28">
      <c r="B335" s="110">
        <f>'115+260'!B336</f>
        <v>45573</v>
      </c>
      <c r="C335" s="80">
        <f t="shared" si="70"/>
        <v>1</v>
      </c>
      <c r="D335" s="79">
        <f t="shared" si="71"/>
        <v>1069</v>
      </c>
      <c r="E335" s="78">
        <f>VLOOKUP(B335,'115+260'!B336:AB336,3,FALSE)</f>
        <v>1921</v>
      </c>
      <c r="F335" s="75">
        <f t="shared" si="66"/>
        <v>2990</v>
      </c>
      <c r="G335" s="77">
        <f>VLOOKUP(B335,'115+260'!$B$15:$AB$647,20,FALSE)</f>
        <v>2053</v>
      </c>
      <c r="H335" s="77">
        <f>VLOOKUP(B335,'115+260'!$B$15:$AB$647,4,FALSE)</f>
        <v>437</v>
      </c>
      <c r="I335" s="74">
        <f t="shared" si="67"/>
        <v>2553</v>
      </c>
      <c r="J335" s="74">
        <f>VLOOKUP(B335,'115+260'!$B$15:$AB$647,13,FALSE)</f>
        <v>-447</v>
      </c>
      <c r="K335" s="72">
        <f>'115+260'!Q336</f>
        <v>0</v>
      </c>
      <c r="L335" s="71">
        <f t="shared" si="72"/>
        <v>247</v>
      </c>
      <c r="M335" s="76">
        <f>VLOOKUP(B335,'115+260'!$B$14:$AB$647,21,FALSE)</f>
        <v>2049</v>
      </c>
      <c r="N335" s="75">
        <f>VLOOKUP(B335,'115+260'!$B$15:$AB$647,5,FALSE)</f>
        <v>461</v>
      </c>
      <c r="O335" s="74">
        <f t="shared" si="68"/>
        <v>2529</v>
      </c>
      <c r="P335" s="74">
        <f>VLOOKUP(B335,'115+260'!$B$15:$AB$647,14,FALSE)</f>
        <v>-471</v>
      </c>
      <c r="Q335" s="72">
        <f>'115+260'!R336</f>
        <v>0</v>
      </c>
      <c r="R335" s="71">
        <f t="shared" si="73"/>
        <v>251</v>
      </c>
      <c r="S335" s="76">
        <f>VLOOKUP(B335,'115+260'!$B$14:$AB$647,22,FALSE)</f>
        <v>2091</v>
      </c>
      <c r="T335" s="75">
        <f>VLOOKUP(B335,'115+260'!$B$15:$AB$647,6,FALSE)</f>
        <v>449</v>
      </c>
      <c r="U335" s="74">
        <f t="shared" si="69"/>
        <v>2541</v>
      </c>
      <c r="V335" s="73">
        <f>VLOOKUP(B335,'115+260'!$B$15:$AB$647,15,FALSE)</f>
        <v>-459</v>
      </c>
      <c r="W335" s="72">
        <f>'115+260'!S336</f>
        <v>0</v>
      </c>
      <c r="X335" s="71">
        <f t="shared" si="74"/>
        <v>209</v>
      </c>
      <c r="Y335" s="70">
        <f t="shared" si="75"/>
        <v>0</v>
      </c>
      <c r="Z335" s="69">
        <f t="shared" si="76"/>
        <v>0</v>
      </c>
      <c r="AA335" s="68">
        <f t="shared" si="77"/>
        <v>2.4729999999999999</v>
      </c>
      <c r="AB335" s="68">
        <f t="shared" si="78"/>
        <v>2.0179999999999998</v>
      </c>
    </row>
    <row r="336" spans="2:28">
      <c r="B336" s="110">
        <f>'115+260'!B337</f>
        <v>45574</v>
      </c>
      <c r="C336" s="80">
        <f t="shared" si="70"/>
        <v>1</v>
      </c>
      <c r="D336" s="79">
        <f t="shared" si="71"/>
        <v>1069</v>
      </c>
      <c r="E336" s="78">
        <f>VLOOKUP(B336,'115+260'!B337:AB337,3,FALSE)</f>
        <v>1923</v>
      </c>
      <c r="F336" s="75">
        <f t="shared" si="66"/>
        <v>2992</v>
      </c>
      <c r="G336" s="77">
        <f>VLOOKUP(B336,'115+260'!$B$15:$AB$647,20,FALSE)</f>
        <v>2053</v>
      </c>
      <c r="H336" s="77">
        <f>VLOOKUP(B336,'115+260'!$B$15:$AB$647,4,FALSE)</f>
        <v>439</v>
      </c>
      <c r="I336" s="74">
        <f t="shared" si="67"/>
        <v>2553</v>
      </c>
      <c r="J336" s="74">
        <f>VLOOKUP(B336,'115+260'!$B$15:$AB$647,13,FALSE)</f>
        <v>-447</v>
      </c>
      <c r="K336" s="72">
        <f>'115+260'!Q337</f>
        <v>0</v>
      </c>
      <c r="L336" s="71">
        <f t="shared" si="72"/>
        <v>247</v>
      </c>
      <c r="M336" s="76">
        <f>VLOOKUP(B336,'115+260'!$B$14:$AB$647,21,FALSE)</f>
        <v>2049</v>
      </c>
      <c r="N336" s="75">
        <f>VLOOKUP(B336,'115+260'!$B$15:$AB$647,5,FALSE)</f>
        <v>463</v>
      </c>
      <c r="O336" s="74">
        <f t="shared" si="68"/>
        <v>2529</v>
      </c>
      <c r="P336" s="74">
        <f>VLOOKUP(B336,'115+260'!$B$15:$AB$647,14,FALSE)</f>
        <v>-471</v>
      </c>
      <c r="Q336" s="72">
        <f>'115+260'!R337</f>
        <v>0</v>
      </c>
      <c r="R336" s="71">
        <f t="shared" si="73"/>
        <v>251</v>
      </c>
      <c r="S336" s="76">
        <f>VLOOKUP(B336,'115+260'!$B$14:$AB$647,22,FALSE)</f>
        <v>2091</v>
      </c>
      <c r="T336" s="75">
        <f>VLOOKUP(B336,'115+260'!$B$15:$AB$647,6,FALSE)</f>
        <v>451</v>
      </c>
      <c r="U336" s="74">
        <f t="shared" si="69"/>
        <v>2541</v>
      </c>
      <c r="V336" s="73">
        <f>VLOOKUP(B336,'115+260'!$B$15:$AB$647,15,FALSE)</f>
        <v>-459</v>
      </c>
      <c r="W336" s="72">
        <f>'115+260'!S337</f>
        <v>0</v>
      </c>
      <c r="X336" s="71">
        <f t="shared" si="74"/>
        <v>209</v>
      </c>
      <c r="Y336" s="70">
        <f t="shared" si="75"/>
        <v>0</v>
      </c>
      <c r="Z336" s="69">
        <f t="shared" si="76"/>
        <v>0</v>
      </c>
      <c r="AA336" s="68">
        <f t="shared" si="77"/>
        <v>2.4729999999999999</v>
      </c>
      <c r="AB336" s="68">
        <f t="shared" si="78"/>
        <v>2.0179999999999998</v>
      </c>
    </row>
    <row r="337" spans="2:28">
      <c r="B337" s="110">
        <f>'115+260'!B338</f>
        <v>45575</v>
      </c>
      <c r="C337" s="80">
        <f t="shared" si="70"/>
        <v>1</v>
      </c>
      <c r="D337" s="79">
        <f t="shared" si="71"/>
        <v>1069</v>
      </c>
      <c r="E337" s="78">
        <f>VLOOKUP(B337,'115+260'!B338:AB338,3,FALSE)</f>
        <v>1925</v>
      </c>
      <c r="F337" s="75">
        <f t="shared" si="66"/>
        <v>2994</v>
      </c>
      <c r="G337" s="77">
        <f>VLOOKUP(B337,'115+260'!$B$15:$AB$647,20,FALSE)</f>
        <v>2053</v>
      </c>
      <c r="H337" s="77">
        <f>VLOOKUP(B337,'115+260'!$B$15:$AB$647,4,FALSE)</f>
        <v>441</v>
      </c>
      <c r="I337" s="74">
        <f t="shared" si="67"/>
        <v>2553</v>
      </c>
      <c r="J337" s="74">
        <f>VLOOKUP(B337,'115+260'!$B$15:$AB$647,13,FALSE)</f>
        <v>-447</v>
      </c>
      <c r="K337" s="72">
        <f>'115+260'!Q338</f>
        <v>0</v>
      </c>
      <c r="L337" s="71">
        <f t="shared" si="72"/>
        <v>247</v>
      </c>
      <c r="M337" s="76">
        <f>VLOOKUP(B337,'115+260'!$B$14:$AB$647,21,FALSE)</f>
        <v>2049</v>
      </c>
      <c r="N337" s="75">
        <f>VLOOKUP(B337,'115+260'!$B$15:$AB$647,5,FALSE)</f>
        <v>465</v>
      </c>
      <c r="O337" s="74">
        <f t="shared" si="68"/>
        <v>2529</v>
      </c>
      <c r="P337" s="74">
        <f>VLOOKUP(B337,'115+260'!$B$15:$AB$647,14,FALSE)</f>
        <v>-471</v>
      </c>
      <c r="Q337" s="72">
        <f>'115+260'!R338</f>
        <v>0</v>
      </c>
      <c r="R337" s="71">
        <f t="shared" si="73"/>
        <v>251</v>
      </c>
      <c r="S337" s="76">
        <f>VLOOKUP(B337,'115+260'!$B$14:$AB$647,22,FALSE)</f>
        <v>2091</v>
      </c>
      <c r="T337" s="75">
        <f>VLOOKUP(B337,'115+260'!$B$15:$AB$647,6,FALSE)</f>
        <v>453</v>
      </c>
      <c r="U337" s="74">
        <f t="shared" si="69"/>
        <v>2541</v>
      </c>
      <c r="V337" s="73">
        <f>VLOOKUP(B337,'115+260'!$B$15:$AB$647,15,FALSE)</f>
        <v>-459</v>
      </c>
      <c r="W337" s="72">
        <f>'115+260'!S338</f>
        <v>0</v>
      </c>
      <c r="X337" s="71">
        <f t="shared" si="74"/>
        <v>209</v>
      </c>
      <c r="Y337" s="70">
        <f t="shared" si="75"/>
        <v>0</v>
      </c>
      <c r="Z337" s="69">
        <f t="shared" si="76"/>
        <v>0</v>
      </c>
      <c r="AA337" s="68">
        <f t="shared" si="77"/>
        <v>2.4729999999999999</v>
      </c>
      <c r="AB337" s="68">
        <f t="shared" si="78"/>
        <v>2.0179999999999998</v>
      </c>
    </row>
    <row r="338" spans="2:28">
      <c r="B338" s="110">
        <f>'115+260'!B339</f>
        <v>45576</v>
      </c>
      <c r="C338" s="80">
        <f t="shared" si="70"/>
        <v>1</v>
      </c>
      <c r="D338" s="79">
        <f t="shared" si="71"/>
        <v>1069</v>
      </c>
      <c r="E338" s="78">
        <f>VLOOKUP(B338,'115+260'!B339:AB339,3,FALSE)</f>
        <v>1927</v>
      </c>
      <c r="F338" s="75">
        <f t="shared" si="66"/>
        <v>2996</v>
      </c>
      <c r="G338" s="77">
        <f>VLOOKUP(B338,'115+260'!$B$15:$AB$647,20,FALSE)</f>
        <v>2053</v>
      </c>
      <c r="H338" s="77">
        <f>VLOOKUP(B338,'115+260'!$B$15:$AB$647,4,FALSE)</f>
        <v>443</v>
      </c>
      <c r="I338" s="74">
        <f t="shared" si="67"/>
        <v>2553</v>
      </c>
      <c r="J338" s="74">
        <f>VLOOKUP(B338,'115+260'!$B$15:$AB$647,13,FALSE)</f>
        <v>-447</v>
      </c>
      <c r="K338" s="72">
        <f>'115+260'!Q339</f>
        <v>0</v>
      </c>
      <c r="L338" s="71">
        <f t="shared" si="72"/>
        <v>247</v>
      </c>
      <c r="M338" s="76">
        <f>VLOOKUP(B338,'115+260'!$B$14:$AB$647,21,FALSE)</f>
        <v>2049</v>
      </c>
      <c r="N338" s="75">
        <f>VLOOKUP(B338,'115+260'!$B$15:$AB$647,5,FALSE)</f>
        <v>467</v>
      </c>
      <c r="O338" s="74">
        <f t="shared" si="68"/>
        <v>2529</v>
      </c>
      <c r="P338" s="74">
        <f>VLOOKUP(B338,'115+260'!$B$15:$AB$647,14,FALSE)</f>
        <v>-471</v>
      </c>
      <c r="Q338" s="72">
        <f>'115+260'!R339</f>
        <v>0</v>
      </c>
      <c r="R338" s="71">
        <f t="shared" si="73"/>
        <v>251</v>
      </c>
      <c r="S338" s="76">
        <f>VLOOKUP(B338,'115+260'!$B$14:$AB$647,22,FALSE)</f>
        <v>2091</v>
      </c>
      <c r="T338" s="75">
        <f>VLOOKUP(B338,'115+260'!$B$15:$AB$647,6,FALSE)</f>
        <v>455</v>
      </c>
      <c r="U338" s="74">
        <f t="shared" si="69"/>
        <v>2541</v>
      </c>
      <c r="V338" s="73">
        <f>VLOOKUP(B338,'115+260'!$B$15:$AB$647,15,FALSE)</f>
        <v>-459</v>
      </c>
      <c r="W338" s="72">
        <f>'115+260'!S339</f>
        <v>0</v>
      </c>
      <c r="X338" s="71">
        <f t="shared" si="74"/>
        <v>209</v>
      </c>
      <c r="Y338" s="70">
        <f t="shared" si="75"/>
        <v>0</v>
      </c>
      <c r="Z338" s="69">
        <f t="shared" si="76"/>
        <v>0</v>
      </c>
      <c r="AA338" s="68">
        <f t="shared" si="77"/>
        <v>2.4729999999999999</v>
      </c>
      <c r="AB338" s="68">
        <f t="shared" si="78"/>
        <v>2.0179999999999998</v>
      </c>
    </row>
    <row r="339" spans="2:28">
      <c r="B339" s="110">
        <f>'115+260'!B340</f>
        <v>45577</v>
      </c>
      <c r="C339" s="80">
        <f t="shared" si="70"/>
        <v>1</v>
      </c>
      <c r="D339" s="79">
        <f t="shared" si="71"/>
        <v>1069</v>
      </c>
      <c r="E339" s="78">
        <f>VLOOKUP(B339,'115+260'!B340:AB340,3,FALSE)</f>
        <v>1929</v>
      </c>
      <c r="F339" s="75">
        <f t="shared" si="66"/>
        <v>2998</v>
      </c>
      <c r="G339" s="77">
        <f>VLOOKUP(B339,'115+260'!$B$15:$AB$647,20,FALSE)</f>
        <v>2053</v>
      </c>
      <c r="H339" s="77">
        <f>VLOOKUP(B339,'115+260'!$B$15:$AB$647,4,FALSE)</f>
        <v>445</v>
      </c>
      <c r="I339" s="74">
        <f t="shared" si="67"/>
        <v>2553</v>
      </c>
      <c r="J339" s="74">
        <f>VLOOKUP(B339,'115+260'!$B$15:$AB$647,13,FALSE)</f>
        <v>-447</v>
      </c>
      <c r="K339" s="72">
        <f>'115+260'!Q340</f>
        <v>0</v>
      </c>
      <c r="L339" s="71">
        <f t="shared" si="72"/>
        <v>247</v>
      </c>
      <c r="M339" s="76">
        <f>VLOOKUP(B339,'115+260'!$B$14:$AB$647,21,FALSE)</f>
        <v>2049</v>
      </c>
      <c r="N339" s="75">
        <f>VLOOKUP(B339,'115+260'!$B$15:$AB$647,5,FALSE)</f>
        <v>469</v>
      </c>
      <c r="O339" s="74">
        <f t="shared" si="68"/>
        <v>2529</v>
      </c>
      <c r="P339" s="74">
        <f>VLOOKUP(B339,'115+260'!$B$15:$AB$647,14,FALSE)</f>
        <v>-471</v>
      </c>
      <c r="Q339" s="72">
        <f>'115+260'!R340</f>
        <v>0</v>
      </c>
      <c r="R339" s="71">
        <f t="shared" si="73"/>
        <v>251</v>
      </c>
      <c r="S339" s="76">
        <f>VLOOKUP(B339,'115+260'!$B$14:$AB$647,22,FALSE)</f>
        <v>2091</v>
      </c>
      <c r="T339" s="75">
        <f>VLOOKUP(B339,'115+260'!$B$15:$AB$647,6,FALSE)</f>
        <v>457</v>
      </c>
      <c r="U339" s="74">
        <f t="shared" si="69"/>
        <v>2541</v>
      </c>
      <c r="V339" s="73">
        <f>VLOOKUP(B339,'115+260'!$B$15:$AB$647,15,FALSE)</f>
        <v>-459</v>
      </c>
      <c r="W339" s="72">
        <f>'115+260'!S340</f>
        <v>0</v>
      </c>
      <c r="X339" s="71">
        <f t="shared" si="74"/>
        <v>209</v>
      </c>
      <c r="Y339" s="70">
        <f t="shared" si="75"/>
        <v>0</v>
      </c>
      <c r="Z339" s="69">
        <f t="shared" si="76"/>
        <v>0</v>
      </c>
      <c r="AA339" s="68">
        <f t="shared" si="77"/>
        <v>2.4729999999999999</v>
      </c>
      <c r="AB339" s="68">
        <f t="shared" si="78"/>
        <v>2.0179999999999998</v>
      </c>
    </row>
    <row r="340" spans="2:28">
      <c r="B340" s="110">
        <f>'115+260'!B341</f>
        <v>45578</v>
      </c>
      <c r="C340" s="80">
        <f t="shared" si="70"/>
        <v>1</v>
      </c>
      <c r="D340" s="79">
        <f t="shared" si="71"/>
        <v>1069</v>
      </c>
      <c r="E340" s="78">
        <f>VLOOKUP(B340,'115+260'!B341:AB341,3,FALSE)</f>
        <v>1931</v>
      </c>
      <c r="F340" s="75">
        <f t="shared" si="66"/>
        <v>3000</v>
      </c>
      <c r="G340" s="77">
        <f>VLOOKUP(B340,'115+260'!$B$15:$AB$647,20,FALSE)</f>
        <v>2053</v>
      </c>
      <c r="H340" s="77">
        <f>VLOOKUP(B340,'115+260'!$B$15:$AB$647,4,FALSE)</f>
        <v>447</v>
      </c>
      <c r="I340" s="74">
        <f t="shared" si="67"/>
        <v>2553</v>
      </c>
      <c r="J340" s="74">
        <f>VLOOKUP(B340,'115+260'!$B$15:$AB$647,13,FALSE)</f>
        <v>-447</v>
      </c>
      <c r="K340" s="72">
        <f>'115+260'!Q341</f>
        <v>0</v>
      </c>
      <c r="L340" s="71">
        <f t="shared" si="72"/>
        <v>247</v>
      </c>
      <c r="M340" s="76">
        <f>VLOOKUP(B340,'115+260'!$B$14:$AB$647,21,FALSE)</f>
        <v>2049</v>
      </c>
      <c r="N340" s="75">
        <f>VLOOKUP(B340,'115+260'!$B$15:$AB$647,5,FALSE)</f>
        <v>471</v>
      </c>
      <c r="O340" s="74">
        <f t="shared" si="68"/>
        <v>2529</v>
      </c>
      <c r="P340" s="74">
        <f>VLOOKUP(B340,'115+260'!$B$15:$AB$647,14,FALSE)</f>
        <v>-471</v>
      </c>
      <c r="Q340" s="72">
        <f>'115+260'!R341</f>
        <v>0</v>
      </c>
      <c r="R340" s="71">
        <f t="shared" si="73"/>
        <v>251</v>
      </c>
      <c r="S340" s="76">
        <f>VLOOKUP(B340,'115+260'!$B$14:$AB$647,22,FALSE)</f>
        <v>2091</v>
      </c>
      <c r="T340" s="75">
        <f>VLOOKUP(B340,'115+260'!$B$15:$AB$647,6,FALSE)</f>
        <v>459</v>
      </c>
      <c r="U340" s="74">
        <f t="shared" si="69"/>
        <v>2541</v>
      </c>
      <c r="V340" s="73">
        <f>VLOOKUP(B340,'115+260'!$B$15:$AB$647,15,FALSE)</f>
        <v>-459</v>
      </c>
      <c r="W340" s="72">
        <f>'115+260'!S341</f>
        <v>0</v>
      </c>
      <c r="X340" s="71">
        <f t="shared" si="74"/>
        <v>209</v>
      </c>
      <c r="Y340" s="70">
        <f t="shared" si="75"/>
        <v>0</v>
      </c>
      <c r="Z340" s="69">
        <f t="shared" si="76"/>
        <v>0</v>
      </c>
      <c r="AA340" s="68">
        <f t="shared" si="77"/>
        <v>2.4729999999999999</v>
      </c>
      <c r="AB340" s="68">
        <f t="shared" si="78"/>
        <v>2.0179999999999998</v>
      </c>
    </row>
    <row r="341" spans="2:28">
      <c r="B341" s="110">
        <f>'115+260'!B342</f>
        <v>45579</v>
      </c>
      <c r="C341" s="80">
        <f t="shared" si="70"/>
        <v>1</v>
      </c>
      <c r="D341" s="79">
        <f t="shared" si="71"/>
        <v>1069</v>
      </c>
      <c r="E341" s="78">
        <f>VLOOKUP(B341,'115+260'!B342:AB342,3,FALSE)</f>
        <v>1933</v>
      </c>
      <c r="F341" s="75">
        <f t="shared" si="66"/>
        <v>3002</v>
      </c>
      <c r="G341" s="77">
        <f>VLOOKUP(B341,'115+260'!$B$15:$AB$647,20,FALSE)</f>
        <v>2053</v>
      </c>
      <c r="H341" s="77">
        <f>VLOOKUP(B341,'115+260'!$B$15:$AB$647,4,FALSE)</f>
        <v>449</v>
      </c>
      <c r="I341" s="74">
        <f t="shared" si="67"/>
        <v>2553</v>
      </c>
      <c r="J341" s="74">
        <f>VLOOKUP(B341,'115+260'!$B$15:$AB$647,13,FALSE)</f>
        <v>-447</v>
      </c>
      <c r="K341" s="72">
        <f>'115+260'!Q342</f>
        <v>0</v>
      </c>
      <c r="L341" s="71">
        <f t="shared" si="72"/>
        <v>247</v>
      </c>
      <c r="M341" s="76">
        <f>VLOOKUP(B341,'115+260'!$B$14:$AB$647,21,FALSE)</f>
        <v>2049</v>
      </c>
      <c r="N341" s="75">
        <f>VLOOKUP(B341,'115+260'!$B$15:$AB$647,5,FALSE)</f>
        <v>473</v>
      </c>
      <c r="O341" s="74">
        <f t="shared" si="68"/>
        <v>2529</v>
      </c>
      <c r="P341" s="74">
        <f>VLOOKUP(B341,'115+260'!$B$15:$AB$647,14,FALSE)</f>
        <v>-471</v>
      </c>
      <c r="Q341" s="72">
        <f>'115+260'!R342</f>
        <v>0</v>
      </c>
      <c r="R341" s="71">
        <f t="shared" si="73"/>
        <v>251</v>
      </c>
      <c r="S341" s="76">
        <f>VLOOKUP(B341,'115+260'!$B$14:$AB$647,22,FALSE)</f>
        <v>2091</v>
      </c>
      <c r="T341" s="75">
        <f>VLOOKUP(B341,'115+260'!$B$15:$AB$647,6,FALSE)</f>
        <v>461</v>
      </c>
      <c r="U341" s="74">
        <f t="shared" si="69"/>
        <v>2541</v>
      </c>
      <c r="V341" s="73">
        <f>VLOOKUP(B341,'115+260'!$B$15:$AB$647,15,FALSE)</f>
        <v>-459</v>
      </c>
      <c r="W341" s="72">
        <f>'115+260'!S342</f>
        <v>0</v>
      </c>
      <c r="X341" s="71">
        <f t="shared" si="74"/>
        <v>209</v>
      </c>
      <c r="Y341" s="70">
        <f t="shared" si="75"/>
        <v>0</v>
      </c>
      <c r="Z341" s="69">
        <f t="shared" si="76"/>
        <v>0</v>
      </c>
      <c r="AA341" s="68">
        <f t="shared" si="77"/>
        <v>2.4729999999999999</v>
      </c>
      <c r="AB341" s="68">
        <f t="shared" si="78"/>
        <v>2.0179999999999998</v>
      </c>
    </row>
    <row r="342" spans="2:28">
      <c r="B342" s="110">
        <f>'115+260'!B343</f>
        <v>45580</v>
      </c>
      <c r="C342" s="80">
        <f t="shared" si="70"/>
        <v>1</v>
      </c>
      <c r="D342" s="79">
        <f t="shared" si="71"/>
        <v>1069</v>
      </c>
      <c r="E342" s="78">
        <f>VLOOKUP(B342,'115+260'!B343:AB343,3,FALSE)</f>
        <v>1935</v>
      </c>
      <c r="F342" s="75">
        <f t="shared" si="66"/>
        <v>3004</v>
      </c>
      <c r="G342" s="77">
        <f>VLOOKUP(B342,'115+260'!$B$15:$AB$647,20,FALSE)</f>
        <v>2053</v>
      </c>
      <c r="H342" s="77">
        <f>VLOOKUP(B342,'115+260'!$B$15:$AB$647,4,FALSE)</f>
        <v>451</v>
      </c>
      <c r="I342" s="74">
        <f t="shared" si="67"/>
        <v>2553</v>
      </c>
      <c r="J342" s="74">
        <f>VLOOKUP(B342,'115+260'!$B$15:$AB$647,13,FALSE)</f>
        <v>-447</v>
      </c>
      <c r="K342" s="72">
        <f>'115+260'!Q343</f>
        <v>0</v>
      </c>
      <c r="L342" s="71">
        <f t="shared" si="72"/>
        <v>247</v>
      </c>
      <c r="M342" s="76">
        <f>VLOOKUP(B342,'115+260'!$B$14:$AB$647,21,FALSE)</f>
        <v>2049</v>
      </c>
      <c r="N342" s="75">
        <f>VLOOKUP(B342,'115+260'!$B$15:$AB$647,5,FALSE)</f>
        <v>475</v>
      </c>
      <c r="O342" s="74">
        <f t="shared" si="68"/>
        <v>2529</v>
      </c>
      <c r="P342" s="74">
        <f>VLOOKUP(B342,'115+260'!$B$15:$AB$647,14,FALSE)</f>
        <v>-471</v>
      </c>
      <c r="Q342" s="72">
        <f>'115+260'!R343</f>
        <v>0</v>
      </c>
      <c r="R342" s="71">
        <f t="shared" si="73"/>
        <v>251</v>
      </c>
      <c r="S342" s="76">
        <f>VLOOKUP(B342,'115+260'!$B$14:$AB$647,22,FALSE)</f>
        <v>2091</v>
      </c>
      <c r="T342" s="75">
        <f>VLOOKUP(B342,'115+260'!$B$15:$AB$647,6,FALSE)</f>
        <v>463</v>
      </c>
      <c r="U342" s="74">
        <f t="shared" si="69"/>
        <v>2541</v>
      </c>
      <c r="V342" s="73">
        <f>VLOOKUP(B342,'115+260'!$B$15:$AB$647,15,FALSE)</f>
        <v>-459</v>
      </c>
      <c r="W342" s="72">
        <f>'115+260'!S343</f>
        <v>0</v>
      </c>
      <c r="X342" s="71">
        <f t="shared" si="74"/>
        <v>209</v>
      </c>
      <c r="Y342" s="70">
        <f t="shared" si="75"/>
        <v>0</v>
      </c>
      <c r="Z342" s="69">
        <f t="shared" si="76"/>
        <v>0</v>
      </c>
      <c r="AA342" s="68">
        <f t="shared" si="77"/>
        <v>2.4729999999999999</v>
      </c>
      <c r="AB342" s="68">
        <f t="shared" si="78"/>
        <v>2.0179999999999998</v>
      </c>
    </row>
    <row r="343" spans="2:28">
      <c r="B343" s="110">
        <f>'115+260'!B344</f>
        <v>45581</v>
      </c>
      <c r="C343" s="80">
        <f t="shared" si="70"/>
        <v>1</v>
      </c>
      <c r="D343" s="79">
        <f t="shared" si="71"/>
        <v>1069</v>
      </c>
      <c r="E343" s="78">
        <f>VLOOKUP(B343,'115+260'!B344:AB344,3,FALSE)</f>
        <v>1937</v>
      </c>
      <c r="F343" s="75">
        <f t="shared" si="66"/>
        <v>3006</v>
      </c>
      <c r="G343" s="77">
        <f>VLOOKUP(B343,'115+260'!$B$15:$AB$647,20,FALSE)</f>
        <v>2053</v>
      </c>
      <c r="H343" s="77">
        <f>VLOOKUP(B343,'115+260'!$B$15:$AB$647,4,FALSE)</f>
        <v>453</v>
      </c>
      <c r="I343" s="74">
        <f t="shared" si="67"/>
        <v>2553</v>
      </c>
      <c r="J343" s="74">
        <f>VLOOKUP(B343,'115+260'!$B$15:$AB$647,13,FALSE)</f>
        <v>-447</v>
      </c>
      <c r="K343" s="72">
        <f>'115+260'!Q344</f>
        <v>0</v>
      </c>
      <c r="L343" s="71">
        <f t="shared" si="72"/>
        <v>247</v>
      </c>
      <c r="M343" s="76">
        <f>VLOOKUP(B343,'115+260'!$B$14:$AB$647,21,FALSE)</f>
        <v>2049</v>
      </c>
      <c r="N343" s="75">
        <f>VLOOKUP(B343,'115+260'!$B$15:$AB$647,5,FALSE)</f>
        <v>477</v>
      </c>
      <c r="O343" s="74">
        <f t="shared" si="68"/>
        <v>2529</v>
      </c>
      <c r="P343" s="74">
        <f>VLOOKUP(B343,'115+260'!$B$15:$AB$647,14,FALSE)</f>
        <v>-471</v>
      </c>
      <c r="Q343" s="72">
        <f>'115+260'!R344</f>
        <v>0</v>
      </c>
      <c r="R343" s="71">
        <f t="shared" si="73"/>
        <v>251</v>
      </c>
      <c r="S343" s="76">
        <f>VLOOKUP(B343,'115+260'!$B$14:$AB$647,22,FALSE)</f>
        <v>2091</v>
      </c>
      <c r="T343" s="75">
        <f>VLOOKUP(B343,'115+260'!$B$15:$AB$647,6,FALSE)</f>
        <v>465</v>
      </c>
      <c r="U343" s="74">
        <f t="shared" si="69"/>
        <v>2541</v>
      </c>
      <c r="V343" s="73">
        <f>VLOOKUP(B343,'115+260'!$B$15:$AB$647,15,FALSE)</f>
        <v>-459</v>
      </c>
      <c r="W343" s="72">
        <f>'115+260'!S344</f>
        <v>0</v>
      </c>
      <c r="X343" s="71">
        <f t="shared" si="74"/>
        <v>209</v>
      </c>
      <c r="Y343" s="70">
        <f t="shared" si="75"/>
        <v>0</v>
      </c>
      <c r="Z343" s="69">
        <f t="shared" si="76"/>
        <v>0</v>
      </c>
      <c r="AA343" s="68">
        <f t="shared" si="77"/>
        <v>2.4729999999999999</v>
      </c>
      <c r="AB343" s="68">
        <f t="shared" si="78"/>
        <v>2.0179999999999998</v>
      </c>
    </row>
    <row r="344" spans="2:28">
      <c r="B344" s="110">
        <f>'115+260'!B345</f>
        <v>45582</v>
      </c>
      <c r="C344" s="80">
        <f t="shared" si="70"/>
        <v>1</v>
      </c>
      <c r="D344" s="79">
        <f t="shared" si="71"/>
        <v>1069</v>
      </c>
      <c r="E344" s="78">
        <f>VLOOKUP(B344,'115+260'!B345:AB345,3,FALSE)</f>
        <v>1939</v>
      </c>
      <c r="F344" s="75">
        <f t="shared" si="66"/>
        <v>3008</v>
      </c>
      <c r="G344" s="77">
        <f>VLOOKUP(B344,'115+260'!$B$15:$AB$647,20,FALSE)</f>
        <v>2053</v>
      </c>
      <c r="H344" s="77">
        <f>VLOOKUP(B344,'115+260'!$B$15:$AB$647,4,FALSE)</f>
        <v>455</v>
      </c>
      <c r="I344" s="74">
        <f t="shared" si="67"/>
        <v>2553</v>
      </c>
      <c r="J344" s="74">
        <f>VLOOKUP(B344,'115+260'!$B$15:$AB$647,13,FALSE)</f>
        <v>-447</v>
      </c>
      <c r="K344" s="72">
        <f>'115+260'!Q345</f>
        <v>0</v>
      </c>
      <c r="L344" s="71">
        <f t="shared" si="72"/>
        <v>247</v>
      </c>
      <c r="M344" s="76">
        <f>VLOOKUP(B344,'115+260'!$B$14:$AB$647,21,FALSE)</f>
        <v>2049</v>
      </c>
      <c r="N344" s="75">
        <f>VLOOKUP(B344,'115+260'!$B$15:$AB$647,5,FALSE)</f>
        <v>479</v>
      </c>
      <c r="O344" s="74">
        <f t="shared" si="68"/>
        <v>2529</v>
      </c>
      <c r="P344" s="74">
        <f>VLOOKUP(B344,'115+260'!$B$15:$AB$647,14,FALSE)</f>
        <v>-471</v>
      </c>
      <c r="Q344" s="72">
        <f>'115+260'!R345</f>
        <v>0</v>
      </c>
      <c r="R344" s="71">
        <f t="shared" si="73"/>
        <v>251</v>
      </c>
      <c r="S344" s="76">
        <f>VLOOKUP(B344,'115+260'!$B$14:$AB$647,22,FALSE)</f>
        <v>2091</v>
      </c>
      <c r="T344" s="75">
        <f>VLOOKUP(B344,'115+260'!$B$15:$AB$647,6,FALSE)</f>
        <v>467</v>
      </c>
      <c r="U344" s="74">
        <f t="shared" si="69"/>
        <v>2541</v>
      </c>
      <c r="V344" s="73">
        <f>VLOOKUP(B344,'115+260'!$B$15:$AB$647,15,FALSE)</f>
        <v>-459</v>
      </c>
      <c r="W344" s="72">
        <f>'115+260'!S345</f>
        <v>0</v>
      </c>
      <c r="X344" s="71">
        <f t="shared" si="74"/>
        <v>209</v>
      </c>
      <c r="Y344" s="70">
        <f t="shared" si="75"/>
        <v>0</v>
      </c>
      <c r="Z344" s="69">
        <f t="shared" si="76"/>
        <v>0</v>
      </c>
      <c r="AA344" s="68">
        <f t="shared" si="77"/>
        <v>2.4729999999999999</v>
      </c>
      <c r="AB344" s="68">
        <f t="shared" si="78"/>
        <v>2.0179999999999998</v>
      </c>
    </row>
    <row r="345" spans="2:28">
      <c r="B345" s="110">
        <f>'115+260'!B346</f>
        <v>45583</v>
      </c>
      <c r="C345" s="80">
        <f t="shared" si="70"/>
        <v>1</v>
      </c>
      <c r="D345" s="79">
        <f t="shared" si="71"/>
        <v>1069</v>
      </c>
      <c r="E345" s="78">
        <f>VLOOKUP(B345,'115+260'!B346:AB346,3,FALSE)</f>
        <v>1941</v>
      </c>
      <c r="F345" s="75">
        <f t="shared" si="66"/>
        <v>3010</v>
      </c>
      <c r="G345" s="77">
        <f>VLOOKUP(B345,'115+260'!$B$15:$AB$647,20,FALSE)</f>
        <v>2053</v>
      </c>
      <c r="H345" s="77">
        <f>VLOOKUP(B345,'115+260'!$B$15:$AB$647,4,FALSE)</f>
        <v>457</v>
      </c>
      <c r="I345" s="74">
        <f t="shared" si="67"/>
        <v>2553</v>
      </c>
      <c r="J345" s="74">
        <f>VLOOKUP(B345,'115+260'!$B$15:$AB$647,13,FALSE)</f>
        <v>-447</v>
      </c>
      <c r="K345" s="72">
        <f>'115+260'!Q346</f>
        <v>0</v>
      </c>
      <c r="L345" s="71">
        <f t="shared" si="72"/>
        <v>247</v>
      </c>
      <c r="M345" s="76">
        <f>VLOOKUP(B345,'115+260'!$B$14:$AB$647,21,FALSE)</f>
        <v>2049</v>
      </c>
      <c r="N345" s="75">
        <f>VLOOKUP(B345,'115+260'!$B$15:$AB$647,5,FALSE)</f>
        <v>481</v>
      </c>
      <c r="O345" s="74">
        <f t="shared" si="68"/>
        <v>2529</v>
      </c>
      <c r="P345" s="74">
        <f>VLOOKUP(B345,'115+260'!$B$15:$AB$647,14,FALSE)</f>
        <v>-471</v>
      </c>
      <c r="Q345" s="72">
        <f>'115+260'!R346</f>
        <v>0</v>
      </c>
      <c r="R345" s="71">
        <f t="shared" si="73"/>
        <v>251</v>
      </c>
      <c r="S345" s="76">
        <f>VLOOKUP(B345,'115+260'!$B$14:$AB$647,22,FALSE)</f>
        <v>2091</v>
      </c>
      <c r="T345" s="75">
        <f>VLOOKUP(B345,'115+260'!$B$15:$AB$647,6,FALSE)</f>
        <v>469</v>
      </c>
      <c r="U345" s="74">
        <f t="shared" si="69"/>
        <v>2541</v>
      </c>
      <c r="V345" s="73">
        <f>VLOOKUP(B345,'115+260'!$B$15:$AB$647,15,FALSE)</f>
        <v>-459</v>
      </c>
      <c r="W345" s="72">
        <f>'115+260'!S346</f>
        <v>0</v>
      </c>
      <c r="X345" s="71">
        <f t="shared" si="74"/>
        <v>209</v>
      </c>
      <c r="Y345" s="70">
        <f t="shared" si="75"/>
        <v>0</v>
      </c>
      <c r="Z345" s="69">
        <f t="shared" si="76"/>
        <v>0</v>
      </c>
      <c r="AA345" s="68">
        <f t="shared" si="77"/>
        <v>2.4729999999999999</v>
      </c>
      <c r="AB345" s="68">
        <f t="shared" si="78"/>
        <v>2.0179999999999998</v>
      </c>
    </row>
    <row r="346" spans="2:28">
      <c r="B346" s="110">
        <f>'115+260'!B347</f>
        <v>45584</v>
      </c>
      <c r="C346" s="80">
        <f t="shared" si="70"/>
        <v>1</v>
      </c>
      <c r="D346" s="79">
        <f t="shared" si="71"/>
        <v>1069</v>
      </c>
      <c r="E346" s="78">
        <f>VLOOKUP(B346,'115+260'!B347:AB347,3,FALSE)</f>
        <v>1943</v>
      </c>
      <c r="F346" s="75">
        <f t="shared" si="66"/>
        <v>3012</v>
      </c>
      <c r="G346" s="77">
        <f>VLOOKUP(B346,'115+260'!$B$15:$AB$647,20,FALSE)</f>
        <v>2053</v>
      </c>
      <c r="H346" s="77">
        <f>VLOOKUP(B346,'115+260'!$B$15:$AB$647,4,FALSE)</f>
        <v>459</v>
      </c>
      <c r="I346" s="74">
        <f t="shared" si="67"/>
        <v>2553</v>
      </c>
      <c r="J346" s="74">
        <f>VLOOKUP(B346,'115+260'!$B$15:$AB$647,13,FALSE)</f>
        <v>-447</v>
      </c>
      <c r="K346" s="72">
        <f>'115+260'!Q347</f>
        <v>0</v>
      </c>
      <c r="L346" s="71">
        <f t="shared" si="72"/>
        <v>247</v>
      </c>
      <c r="M346" s="76">
        <f>VLOOKUP(B346,'115+260'!$B$14:$AB$647,21,FALSE)</f>
        <v>2049</v>
      </c>
      <c r="N346" s="75">
        <f>VLOOKUP(B346,'115+260'!$B$15:$AB$647,5,FALSE)</f>
        <v>483</v>
      </c>
      <c r="O346" s="74">
        <f t="shared" si="68"/>
        <v>2529</v>
      </c>
      <c r="P346" s="74">
        <f>VLOOKUP(B346,'115+260'!$B$15:$AB$647,14,FALSE)</f>
        <v>-471</v>
      </c>
      <c r="Q346" s="72">
        <f>'115+260'!R347</f>
        <v>0</v>
      </c>
      <c r="R346" s="71">
        <f t="shared" si="73"/>
        <v>251</v>
      </c>
      <c r="S346" s="76">
        <f>VLOOKUP(B346,'115+260'!$B$14:$AB$647,22,FALSE)</f>
        <v>2091</v>
      </c>
      <c r="T346" s="75">
        <f>VLOOKUP(B346,'115+260'!$B$15:$AB$647,6,FALSE)</f>
        <v>471</v>
      </c>
      <c r="U346" s="74">
        <f t="shared" si="69"/>
        <v>2541</v>
      </c>
      <c r="V346" s="73">
        <f>VLOOKUP(B346,'115+260'!$B$15:$AB$647,15,FALSE)</f>
        <v>-459</v>
      </c>
      <c r="W346" s="72">
        <f>'115+260'!S347</f>
        <v>0</v>
      </c>
      <c r="X346" s="71">
        <f t="shared" si="74"/>
        <v>209</v>
      </c>
      <c r="Y346" s="70">
        <f t="shared" si="75"/>
        <v>0</v>
      </c>
      <c r="Z346" s="69">
        <f t="shared" si="76"/>
        <v>0</v>
      </c>
      <c r="AA346" s="68">
        <f t="shared" si="77"/>
        <v>2.4729999999999999</v>
      </c>
      <c r="AB346" s="68">
        <f t="shared" si="78"/>
        <v>2.0179999999999998</v>
      </c>
    </row>
    <row r="347" spans="2:28">
      <c r="B347" s="110">
        <f>'115+260'!B348</f>
        <v>45585</v>
      </c>
      <c r="C347" s="80">
        <f t="shared" si="70"/>
        <v>1</v>
      </c>
      <c r="D347" s="79">
        <f t="shared" si="71"/>
        <v>1069</v>
      </c>
      <c r="E347" s="78">
        <f>VLOOKUP(B347,'115+260'!B348:AB348,3,FALSE)</f>
        <v>1945</v>
      </c>
      <c r="F347" s="75">
        <f t="shared" si="66"/>
        <v>3014</v>
      </c>
      <c r="G347" s="77">
        <f>VLOOKUP(B347,'115+260'!$B$15:$AB$647,20,FALSE)</f>
        <v>2053</v>
      </c>
      <c r="H347" s="77">
        <f>VLOOKUP(B347,'115+260'!$B$15:$AB$647,4,FALSE)</f>
        <v>461</v>
      </c>
      <c r="I347" s="74">
        <f t="shared" si="67"/>
        <v>2553</v>
      </c>
      <c r="J347" s="74">
        <f>VLOOKUP(B347,'115+260'!$B$15:$AB$647,13,FALSE)</f>
        <v>-447</v>
      </c>
      <c r="K347" s="72">
        <f>'115+260'!Q348</f>
        <v>0</v>
      </c>
      <c r="L347" s="71">
        <f t="shared" si="72"/>
        <v>247</v>
      </c>
      <c r="M347" s="76">
        <f>VLOOKUP(B347,'115+260'!$B$14:$AB$647,21,FALSE)</f>
        <v>2049</v>
      </c>
      <c r="N347" s="75">
        <f>VLOOKUP(B347,'115+260'!$B$15:$AB$647,5,FALSE)</f>
        <v>485</v>
      </c>
      <c r="O347" s="74">
        <f t="shared" si="68"/>
        <v>2529</v>
      </c>
      <c r="P347" s="74">
        <f>VLOOKUP(B347,'115+260'!$B$15:$AB$647,14,FALSE)</f>
        <v>-471</v>
      </c>
      <c r="Q347" s="72">
        <f>'115+260'!R348</f>
        <v>0</v>
      </c>
      <c r="R347" s="71">
        <f t="shared" si="73"/>
        <v>251</v>
      </c>
      <c r="S347" s="76">
        <f>VLOOKUP(B347,'115+260'!$B$14:$AB$647,22,FALSE)</f>
        <v>2091</v>
      </c>
      <c r="T347" s="75">
        <f>VLOOKUP(B347,'115+260'!$B$15:$AB$647,6,FALSE)</f>
        <v>473</v>
      </c>
      <c r="U347" s="74">
        <f t="shared" si="69"/>
        <v>2541</v>
      </c>
      <c r="V347" s="73">
        <f>VLOOKUP(B347,'115+260'!$B$15:$AB$647,15,FALSE)</f>
        <v>-459</v>
      </c>
      <c r="W347" s="72">
        <f>'115+260'!S348</f>
        <v>0</v>
      </c>
      <c r="X347" s="71">
        <f t="shared" si="74"/>
        <v>209</v>
      </c>
      <c r="Y347" s="70">
        <f t="shared" si="75"/>
        <v>0</v>
      </c>
      <c r="Z347" s="69">
        <f t="shared" si="76"/>
        <v>0</v>
      </c>
      <c r="AA347" s="68">
        <f t="shared" si="77"/>
        <v>2.4729999999999999</v>
      </c>
      <c r="AB347" s="68">
        <f t="shared" si="78"/>
        <v>2.0179999999999998</v>
      </c>
    </row>
    <row r="348" spans="2:28">
      <c r="B348" s="110">
        <f>'115+260'!B349</f>
        <v>45586</v>
      </c>
      <c r="C348" s="80">
        <f t="shared" si="70"/>
        <v>1</v>
      </c>
      <c r="D348" s="79">
        <f t="shared" si="71"/>
        <v>1069</v>
      </c>
      <c r="E348" s="78">
        <f>VLOOKUP(B348,'115+260'!B349:AB349,3,FALSE)</f>
        <v>1947</v>
      </c>
      <c r="F348" s="75">
        <f t="shared" si="66"/>
        <v>3016</v>
      </c>
      <c r="G348" s="77">
        <f>VLOOKUP(B348,'115+260'!$B$15:$AB$647,20,FALSE)</f>
        <v>2053</v>
      </c>
      <c r="H348" s="77">
        <f>VLOOKUP(B348,'115+260'!$B$15:$AB$647,4,FALSE)</f>
        <v>463</v>
      </c>
      <c r="I348" s="74">
        <f t="shared" si="67"/>
        <v>2553</v>
      </c>
      <c r="J348" s="74">
        <f>VLOOKUP(B348,'115+260'!$B$15:$AB$647,13,FALSE)</f>
        <v>-447</v>
      </c>
      <c r="K348" s="72">
        <f>'115+260'!Q349</f>
        <v>0</v>
      </c>
      <c r="L348" s="71">
        <f t="shared" si="72"/>
        <v>247</v>
      </c>
      <c r="M348" s="76">
        <f>VLOOKUP(B348,'115+260'!$B$14:$AB$647,21,FALSE)</f>
        <v>2049</v>
      </c>
      <c r="N348" s="75">
        <f>VLOOKUP(B348,'115+260'!$B$15:$AB$647,5,FALSE)</f>
        <v>487</v>
      </c>
      <c r="O348" s="74">
        <f t="shared" si="68"/>
        <v>2529</v>
      </c>
      <c r="P348" s="74">
        <f>VLOOKUP(B348,'115+260'!$B$15:$AB$647,14,FALSE)</f>
        <v>-471</v>
      </c>
      <c r="Q348" s="72">
        <f>'115+260'!R349</f>
        <v>0</v>
      </c>
      <c r="R348" s="71">
        <f t="shared" si="73"/>
        <v>251</v>
      </c>
      <c r="S348" s="76">
        <f>VLOOKUP(B348,'115+260'!$B$14:$AB$647,22,FALSE)</f>
        <v>2091</v>
      </c>
      <c r="T348" s="75">
        <f>VLOOKUP(B348,'115+260'!$B$15:$AB$647,6,FALSE)</f>
        <v>475</v>
      </c>
      <c r="U348" s="74">
        <f t="shared" si="69"/>
        <v>2541</v>
      </c>
      <c r="V348" s="73">
        <f>VLOOKUP(B348,'115+260'!$B$15:$AB$647,15,FALSE)</f>
        <v>-459</v>
      </c>
      <c r="W348" s="72">
        <f>'115+260'!S349</f>
        <v>0</v>
      </c>
      <c r="X348" s="71">
        <f t="shared" si="74"/>
        <v>209</v>
      </c>
      <c r="Y348" s="70">
        <f t="shared" si="75"/>
        <v>0</v>
      </c>
      <c r="Z348" s="69">
        <f t="shared" si="76"/>
        <v>0</v>
      </c>
      <c r="AA348" s="68">
        <f t="shared" si="77"/>
        <v>2.4729999999999999</v>
      </c>
      <c r="AB348" s="68">
        <f t="shared" si="78"/>
        <v>2.0179999999999998</v>
      </c>
    </row>
    <row r="349" spans="2:28">
      <c r="B349" s="110">
        <f>'115+260'!B350</f>
        <v>45587</v>
      </c>
      <c r="C349" s="80">
        <f t="shared" si="70"/>
        <v>1</v>
      </c>
      <c r="D349" s="79">
        <f t="shared" si="71"/>
        <v>1069</v>
      </c>
      <c r="E349" s="78">
        <f>VLOOKUP(B349,'115+260'!B350:AB350,3,FALSE)</f>
        <v>1949</v>
      </c>
      <c r="F349" s="75">
        <f t="shared" si="66"/>
        <v>3018</v>
      </c>
      <c r="G349" s="77">
        <f>VLOOKUP(B349,'115+260'!$B$15:$AB$647,20,FALSE)</f>
        <v>2053</v>
      </c>
      <c r="H349" s="77">
        <f>VLOOKUP(B349,'115+260'!$B$15:$AB$647,4,FALSE)</f>
        <v>465</v>
      </c>
      <c r="I349" s="74">
        <f t="shared" si="67"/>
        <v>2553</v>
      </c>
      <c r="J349" s="74">
        <f>VLOOKUP(B349,'115+260'!$B$15:$AB$647,13,FALSE)</f>
        <v>-447</v>
      </c>
      <c r="K349" s="72">
        <f>'115+260'!Q350</f>
        <v>0</v>
      </c>
      <c r="L349" s="71">
        <f t="shared" si="72"/>
        <v>247</v>
      </c>
      <c r="M349" s="76">
        <f>VLOOKUP(B349,'115+260'!$B$14:$AB$647,21,FALSE)</f>
        <v>2049</v>
      </c>
      <c r="N349" s="75">
        <f>VLOOKUP(B349,'115+260'!$B$15:$AB$647,5,FALSE)</f>
        <v>489</v>
      </c>
      <c r="O349" s="74">
        <f t="shared" si="68"/>
        <v>2529</v>
      </c>
      <c r="P349" s="74">
        <f>VLOOKUP(B349,'115+260'!$B$15:$AB$647,14,FALSE)</f>
        <v>-471</v>
      </c>
      <c r="Q349" s="72">
        <f>'115+260'!R350</f>
        <v>0</v>
      </c>
      <c r="R349" s="71">
        <f t="shared" si="73"/>
        <v>251</v>
      </c>
      <c r="S349" s="76">
        <f>VLOOKUP(B349,'115+260'!$B$14:$AB$647,22,FALSE)</f>
        <v>2091</v>
      </c>
      <c r="T349" s="75">
        <f>VLOOKUP(B349,'115+260'!$B$15:$AB$647,6,FALSE)</f>
        <v>477</v>
      </c>
      <c r="U349" s="74">
        <f t="shared" si="69"/>
        <v>2541</v>
      </c>
      <c r="V349" s="73">
        <f>VLOOKUP(B349,'115+260'!$B$15:$AB$647,15,FALSE)</f>
        <v>-459</v>
      </c>
      <c r="W349" s="72">
        <f>'115+260'!S350</f>
        <v>0</v>
      </c>
      <c r="X349" s="71">
        <f t="shared" si="74"/>
        <v>209</v>
      </c>
      <c r="Y349" s="70">
        <f t="shared" si="75"/>
        <v>0</v>
      </c>
      <c r="Z349" s="69">
        <f t="shared" si="76"/>
        <v>0</v>
      </c>
      <c r="AA349" s="68">
        <f t="shared" si="77"/>
        <v>2.4729999999999999</v>
      </c>
      <c r="AB349" s="68">
        <f t="shared" si="78"/>
        <v>2.0179999999999998</v>
      </c>
    </row>
    <row r="350" spans="2:28">
      <c r="B350" s="110">
        <f>'115+260'!B351</f>
        <v>45588</v>
      </c>
      <c r="C350" s="80">
        <f t="shared" si="70"/>
        <v>1</v>
      </c>
      <c r="D350" s="79">
        <f t="shared" si="71"/>
        <v>1069</v>
      </c>
      <c r="E350" s="78">
        <f>VLOOKUP(B350,'115+260'!B351:AB351,3,FALSE)</f>
        <v>1951</v>
      </c>
      <c r="F350" s="75">
        <f t="shared" si="66"/>
        <v>3020</v>
      </c>
      <c r="G350" s="77">
        <f>VLOOKUP(B350,'115+260'!$B$15:$AB$647,20,FALSE)</f>
        <v>2053</v>
      </c>
      <c r="H350" s="77">
        <f>VLOOKUP(B350,'115+260'!$B$15:$AB$647,4,FALSE)</f>
        <v>467</v>
      </c>
      <c r="I350" s="74">
        <f t="shared" si="67"/>
        <v>2553</v>
      </c>
      <c r="J350" s="74">
        <f>VLOOKUP(B350,'115+260'!$B$15:$AB$647,13,FALSE)</f>
        <v>-447</v>
      </c>
      <c r="K350" s="72">
        <f>'115+260'!Q351</f>
        <v>0</v>
      </c>
      <c r="L350" s="71">
        <f t="shared" si="72"/>
        <v>247</v>
      </c>
      <c r="M350" s="76">
        <f>VLOOKUP(B350,'115+260'!$B$14:$AB$647,21,FALSE)</f>
        <v>2049</v>
      </c>
      <c r="N350" s="75">
        <f>VLOOKUP(B350,'115+260'!$B$15:$AB$647,5,FALSE)</f>
        <v>491</v>
      </c>
      <c r="O350" s="74">
        <f t="shared" si="68"/>
        <v>2529</v>
      </c>
      <c r="P350" s="74">
        <f>VLOOKUP(B350,'115+260'!$B$15:$AB$647,14,FALSE)</f>
        <v>-471</v>
      </c>
      <c r="Q350" s="72">
        <f>'115+260'!R351</f>
        <v>0</v>
      </c>
      <c r="R350" s="71">
        <f t="shared" si="73"/>
        <v>251</v>
      </c>
      <c r="S350" s="76">
        <f>VLOOKUP(B350,'115+260'!$B$14:$AB$647,22,FALSE)</f>
        <v>2091</v>
      </c>
      <c r="T350" s="75">
        <f>VLOOKUP(B350,'115+260'!$B$15:$AB$647,6,FALSE)</f>
        <v>479</v>
      </c>
      <c r="U350" s="74">
        <f t="shared" si="69"/>
        <v>2541</v>
      </c>
      <c r="V350" s="73">
        <f>VLOOKUP(B350,'115+260'!$B$15:$AB$647,15,FALSE)</f>
        <v>-459</v>
      </c>
      <c r="W350" s="72">
        <f>'115+260'!S351</f>
        <v>0</v>
      </c>
      <c r="X350" s="71">
        <f t="shared" si="74"/>
        <v>209</v>
      </c>
      <c r="Y350" s="70">
        <f t="shared" si="75"/>
        <v>0</v>
      </c>
      <c r="Z350" s="69">
        <f t="shared" si="76"/>
        <v>0</v>
      </c>
      <c r="AA350" s="68">
        <f t="shared" si="77"/>
        <v>2.4729999999999999</v>
      </c>
      <c r="AB350" s="68">
        <f t="shared" si="78"/>
        <v>2.0179999999999998</v>
      </c>
    </row>
    <row r="351" spans="2:28">
      <c r="B351" s="110">
        <f>'115+260'!B352</f>
        <v>45589</v>
      </c>
      <c r="C351" s="80">
        <f t="shared" si="70"/>
        <v>1</v>
      </c>
      <c r="D351" s="79">
        <f t="shared" si="71"/>
        <v>1069</v>
      </c>
      <c r="E351" s="78">
        <f>VLOOKUP(B351,'115+260'!B352:AB352,3,FALSE)</f>
        <v>1953</v>
      </c>
      <c r="F351" s="75">
        <f t="shared" si="66"/>
        <v>3022</v>
      </c>
      <c r="G351" s="77">
        <f>VLOOKUP(B351,'115+260'!$B$15:$AB$647,20,FALSE)</f>
        <v>2053</v>
      </c>
      <c r="H351" s="77">
        <f>VLOOKUP(B351,'115+260'!$B$15:$AB$647,4,FALSE)</f>
        <v>469</v>
      </c>
      <c r="I351" s="74">
        <f t="shared" si="67"/>
        <v>2553</v>
      </c>
      <c r="J351" s="74">
        <f>VLOOKUP(B351,'115+260'!$B$15:$AB$647,13,FALSE)</f>
        <v>-447</v>
      </c>
      <c r="K351" s="72">
        <f>'115+260'!Q352</f>
        <v>0</v>
      </c>
      <c r="L351" s="71">
        <f t="shared" si="72"/>
        <v>247</v>
      </c>
      <c r="M351" s="76">
        <f>VLOOKUP(B351,'115+260'!$B$14:$AB$647,21,FALSE)</f>
        <v>2049</v>
      </c>
      <c r="N351" s="75">
        <f>VLOOKUP(B351,'115+260'!$B$15:$AB$647,5,FALSE)</f>
        <v>493</v>
      </c>
      <c r="O351" s="74">
        <f t="shared" si="68"/>
        <v>2529</v>
      </c>
      <c r="P351" s="74">
        <f>VLOOKUP(B351,'115+260'!$B$15:$AB$647,14,FALSE)</f>
        <v>-471</v>
      </c>
      <c r="Q351" s="72">
        <f>'115+260'!R352</f>
        <v>0</v>
      </c>
      <c r="R351" s="71">
        <f t="shared" si="73"/>
        <v>251</v>
      </c>
      <c r="S351" s="76">
        <f>VLOOKUP(B351,'115+260'!$B$14:$AB$647,22,FALSE)</f>
        <v>2091</v>
      </c>
      <c r="T351" s="75">
        <f>VLOOKUP(B351,'115+260'!$B$15:$AB$647,6,FALSE)</f>
        <v>481</v>
      </c>
      <c r="U351" s="74">
        <f t="shared" si="69"/>
        <v>2541</v>
      </c>
      <c r="V351" s="73">
        <f>VLOOKUP(B351,'115+260'!$B$15:$AB$647,15,FALSE)</f>
        <v>-459</v>
      </c>
      <c r="W351" s="72">
        <f>'115+260'!S352</f>
        <v>0</v>
      </c>
      <c r="X351" s="71">
        <f t="shared" si="74"/>
        <v>209</v>
      </c>
      <c r="Y351" s="70">
        <f t="shared" si="75"/>
        <v>0</v>
      </c>
      <c r="Z351" s="69">
        <f t="shared" si="76"/>
        <v>0</v>
      </c>
      <c r="AA351" s="68">
        <f t="shared" si="77"/>
        <v>2.4729999999999999</v>
      </c>
      <c r="AB351" s="68">
        <f t="shared" si="78"/>
        <v>2.0179999999999998</v>
      </c>
    </row>
    <row r="352" spans="2:28">
      <c r="B352" s="110">
        <f>'115+260'!B353</f>
        <v>45590</v>
      </c>
      <c r="C352" s="80">
        <f t="shared" si="70"/>
        <v>1</v>
      </c>
      <c r="D352" s="79">
        <f t="shared" si="71"/>
        <v>1069</v>
      </c>
      <c r="E352" s="78">
        <f>VLOOKUP(B352,'115+260'!B353:AB353,3,FALSE)</f>
        <v>1955</v>
      </c>
      <c r="F352" s="75">
        <f t="shared" si="66"/>
        <v>3024</v>
      </c>
      <c r="G352" s="77">
        <f>VLOOKUP(B352,'115+260'!$B$15:$AB$647,20,FALSE)</f>
        <v>2053</v>
      </c>
      <c r="H352" s="77">
        <f>VLOOKUP(B352,'115+260'!$B$15:$AB$647,4,FALSE)</f>
        <v>471</v>
      </c>
      <c r="I352" s="74">
        <f t="shared" si="67"/>
        <v>2553</v>
      </c>
      <c r="J352" s="74">
        <f>VLOOKUP(B352,'115+260'!$B$15:$AB$647,13,FALSE)</f>
        <v>-447</v>
      </c>
      <c r="K352" s="72">
        <f>'115+260'!Q353</f>
        <v>0</v>
      </c>
      <c r="L352" s="71">
        <f t="shared" si="72"/>
        <v>247</v>
      </c>
      <c r="M352" s="76">
        <f>VLOOKUP(B352,'115+260'!$B$14:$AB$647,21,FALSE)</f>
        <v>2049</v>
      </c>
      <c r="N352" s="75">
        <f>VLOOKUP(B352,'115+260'!$B$15:$AB$647,5,FALSE)</f>
        <v>495</v>
      </c>
      <c r="O352" s="74">
        <f t="shared" si="68"/>
        <v>2529</v>
      </c>
      <c r="P352" s="74">
        <f>VLOOKUP(B352,'115+260'!$B$15:$AB$647,14,FALSE)</f>
        <v>-471</v>
      </c>
      <c r="Q352" s="72">
        <f>'115+260'!R353</f>
        <v>0</v>
      </c>
      <c r="R352" s="71">
        <f t="shared" si="73"/>
        <v>251</v>
      </c>
      <c r="S352" s="76">
        <f>VLOOKUP(B352,'115+260'!$B$14:$AB$647,22,FALSE)</f>
        <v>2091</v>
      </c>
      <c r="T352" s="75">
        <f>VLOOKUP(B352,'115+260'!$B$15:$AB$647,6,FALSE)</f>
        <v>483</v>
      </c>
      <c r="U352" s="74">
        <f t="shared" si="69"/>
        <v>2541</v>
      </c>
      <c r="V352" s="73">
        <f>VLOOKUP(B352,'115+260'!$B$15:$AB$647,15,FALSE)</f>
        <v>-459</v>
      </c>
      <c r="W352" s="72">
        <f>'115+260'!S353</f>
        <v>0</v>
      </c>
      <c r="X352" s="71">
        <f t="shared" si="74"/>
        <v>209</v>
      </c>
      <c r="Y352" s="70">
        <f t="shared" si="75"/>
        <v>0</v>
      </c>
      <c r="Z352" s="69">
        <f t="shared" si="76"/>
        <v>0</v>
      </c>
      <c r="AA352" s="68">
        <f t="shared" si="77"/>
        <v>2.4729999999999999</v>
      </c>
      <c r="AB352" s="68">
        <f t="shared" si="78"/>
        <v>2.0179999999999998</v>
      </c>
    </row>
    <row r="353" spans="2:28">
      <c r="B353" s="110">
        <f>'115+260'!B354</f>
        <v>45591</v>
      </c>
      <c r="C353" s="80">
        <f t="shared" si="70"/>
        <v>1</v>
      </c>
      <c r="D353" s="79">
        <f t="shared" si="71"/>
        <v>1069</v>
      </c>
      <c r="E353" s="78">
        <f>VLOOKUP(B353,'115+260'!B354:AB354,3,FALSE)</f>
        <v>1957</v>
      </c>
      <c r="F353" s="75">
        <f t="shared" si="66"/>
        <v>3026</v>
      </c>
      <c r="G353" s="77">
        <f>VLOOKUP(B353,'115+260'!$B$15:$AB$647,20,FALSE)</f>
        <v>2053</v>
      </c>
      <c r="H353" s="77">
        <f>VLOOKUP(B353,'115+260'!$B$15:$AB$647,4,FALSE)</f>
        <v>473</v>
      </c>
      <c r="I353" s="74">
        <f t="shared" si="67"/>
        <v>2553</v>
      </c>
      <c r="J353" s="74">
        <f>VLOOKUP(B353,'115+260'!$B$15:$AB$647,13,FALSE)</f>
        <v>-447</v>
      </c>
      <c r="K353" s="72">
        <f>'115+260'!Q354</f>
        <v>0</v>
      </c>
      <c r="L353" s="71">
        <f t="shared" si="72"/>
        <v>247</v>
      </c>
      <c r="M353" s="76">
        <f>VLOOKUP(B353,'115+260'!$B$14:$AB$647,21,FALSE)</f>
        <v>2049</v>
      </c>
      <c r="N353" s="75">
        <f>VLOOKUP(B353,'115+260'!$B$15:$AB$647,5,FALSE)</f>
        <v>497</v>
      </c>
      <c r="O353" s="74">
        <f t="shared" si="68"/>
        <v>2529</v>
      </c>
      <c r="P353" s="74">
        <f>VLOOKUP(B353,'115+260'!$B$15:$AB$647,14,FALSE)</f>
        <v>-471</v>
      </c>
      <c r="Q353" s="72">
        <f>'115+260'!R354</f>
        <v>0</v>
      </c>
      <c r="R353" s="71">
        <f t="shared" si="73"/>
        <v>251</v>
      </c>
      <c r="S353" s="76">
        <f>VLOOKUP(B353,'115+260'!$B$14:$AB$647,22,FALSE)</f>
        <v>2091</v>
      </c>
      <c r="T353" s="75">
        <f>VLOOKUP(B353,'115+260'!$B$15:$AB$647,6,FALSE)</f>
        <v>485</v>
      </c>
      <c r="U353" s="74">
        <f t="shared" si="69"/>
        <v>2541</v>
      </c>
      <c r="V353" s="73">
        <f>VLOOKUP(B353,'115+260'!$B$15:$AB$647,15,FALSE)</f>
        <v>-459</v>
      </c>
      <c r="W353" s="72">
        <f>'115+260'!S354</f>
        <v>0</v>
      </c>
      <c r="X353" s="71">
        <f t="shared" si="74"/>
        <v>209</v>
      </c>
      <c r="Y353" s="70">
        <f t="shared" si="75"/>
        <v>0</v>
      </c>
      <c r="Z353" s="69">
        <f t="shared" si="76"/>
        <v>0</v>
      </c>
      <c r="AA353" s="68">
        <f t="shared" si="77"/>
        <v>2.4729999999999999</v>
      </c>
      <c r="AB353" s="68">
        <f t="shared" si="78"/>
        <v>2.0179999999999998</v>
      </c>
    </row>
    <row r="354" spans="2:28">
      <c r="B354" s="110">
        <f>'115+260'!B355</f>
        <v>45592</v>
      </c>
      <c r="C354" s="80">
        <f t="shared" si="70"/>
        <v>1</v>
      </c>
      <c r="D354" s="79">
        <f t="shared" si="71"/>
        <v>1069</v>
      </c>
      <c r="E354" s="78">
        <f>VLOOKUP(B354,'115+260'!B355:AB355,3,FALSE)</f>
        <v>1959</v>
      </c>
      <c r="F354" s="75">
        <f t="shared" si="66"/>
        <v>3028</v>
      </c>
      <c r="G354" s="77">
        <f>VLOOKUP(B354,'115+260'!$B$15:$AB$647,20,FALSE)</f>
        <v>2053</v>
      </c>
      <c r="H354" s="77">
        <f>VLOOKUP(B354,'115+260'!$B$15:$AB$647,4,FALSE)</f>
        <v>475</v>
      </c>
      <c r="I354" s="74">
        <f t="shared" si="67"/>
        <v>2553</v>
      </c>
      <c r="J354" s="74">
        <f>VLOOKUP(B354,'115+260'!$B$15:$AB$647,13,FALSE)</f>
        <v>-447</v>
      </c>
      <c r="K354" s="72">
        <f>'115+260'!Q355</f>
        <v>0</v>
      </c>
      <c r="L354" s="71">
        <f t="shared" si="72"/>
        <v>247</v>
      </c>
      <c r="M354" s="76">
        <f>VLOOKUP(B354,'115+260'!$B$14:$AB$647,21,FALSE)</f>
        <v>2049</v>
      </c>
      <c r="N354" s="75">
        <f>VLOOKUP(B354,'115+260'!$B$15:$AB$647,5,FALSE)</f>
        <v>499</v>
      </c>
      <c r="O354" s="74">
        <f t="shared" si="68"/>
        <v>2529</v>
      </c>
      <c r="P354" s="74">
        <f>VLOOKUP(B354,'115+260'!$B$15:$AB$647,14,FALSE)</f>
        <v>-471</v>
      </c>
      <c r="Q354" s="72">
        <f>'115+260'!R355</f>
        <v>0</v>
      </c>
      <c r="R354" s="71">
        <f t="shared" si="73"/>
        <v>251</v>
      </c>
      <c r="S354" s="76">
        <f>VLOOKUP(B354,'115+260'!$B$14:$AB$647,22,FALSE)</f>
        <v>2091</v>
      </c>
      <c r="T354" s="75">
        <f>VLOOKUP(B354,'115+260'!$B$15:$AB$647,6,FALSE)</f>
        <v>487</v>
      </c>
      <c r="U354" s="74">
        <f t="shared" si="69"/>
        <v>2541</v>
      </c>
      <c r="V354" s="73">
        <f>VLOOKUP(B354,'115+260'!$B$15:$AB$647,15,FALSE)</f>
        <v>-459</v>
      </c>
      <c r="W354" s="72">
        <f>'115+260'!S355</f>
        <v>0</v>
      </c>
      <c r="X354" s="71">
        <f t="shared" si="74"/>
        <v>209</v>
      </c>
      <c r="Y354" s="70">
        <f t="shared" si="75"/>
        <v>0</v>
      </c>
      <c r="Z354" s="69">
        <f t="shared" si="76"/>
        <v>0</v>
      </c>
      <c r="AA354" s="68">
        <f t="shared" si="77"/>
        <v>2.4729999999999999</v>
      </c>
      <c r="AB354" s="68">
        <f t="shared" si="78"/>
        <v>2.0179999999999998</v>
      </c>
    </row>
    <row r="355" spans="2:28">
      <c r="B355" s="110">
        <f>'115+260'!B356</f>
        <v>45593</v>
      </c>
      <c r="C355" s="80">
        <f t="shared" si="70"/>
        <v>1</v>
      </c>
      <c r="D355" s="79">
        <f t="shared" si="71"/>
        <v>1069</v>
      </c>
      <c r="E355" s="78">
        <f>VLOOKUP(B355,'115+260'!B356:AB356,3,FALSE)</f>
        <v>1961</v>
      </c>
      <c r="F355" s="75">
        <f t="shared" si="66"/>
        <v>3030</v>
      </c>
      <c r="G355" s="77">
        <f>VLOOKUP(B355,'115+260'!$B$15:$AB$647,20,FALSE)</f>
        <v>2053</v>
      </c>
      <c r="H355" s="77">
        <f>VLOOKUP(B355,'115+260'!$B$15:$AB$647,4,FALSE)</f>
        <v>477</v>
      </c>
      <c r="I355" s="74">
        <f t="shared" si="67"/>
        <v>2553</v>
      </c>
      <c r="J355" s="74">
        <f>VLOOKUP(B355,'115+260'!$B$15:$AB$647,13,FALSE)</f>
        <v>-447</v>
      </c>
      <c r="K355" s="72">
        <f>'115+260'!Q356</f>
        <v>0</v>
      </c>
      <c r="L355" s="71">
        <f t="shared" si="72"/>
        <v>247</v>
      </c>
      <c r="M355" s="76">
        <f>VLOOKUP(B355,'115+260'!$B$14:$AB$647,21,FALSE)</f>
        <v>2049</v>
      </c>
      <c r="N355" s="75">
        <f>VLOOKUP(B355,'115+260'!$B$15:$AB$647,5,FALSE)</f>
        <v>501</v>
      </c>
      <c r="O355" s="74">
        <f t="shared" si="68"/>
        <v>2529</v>
      </c>
      <c r="P355" s="74">
        <f>VLOOKUP(B355,'115+260'!$B$15:$AB$647,14,FALSE)</f>
        <v>-471</v>
      </c>
      <c r="Q355" s="72">
        <f>'115+260'!R356</f>
        <v>0</v>
      </c>
      <c r="R355" s="71">
        <f t="shared" si="73"/>
        <v>251</v>
      </c>
      <c r="S355" s="76">
        <f>VLOOKUP(B355,'115+260'!$B$14:$AB$647,22,FALSE)</f>
        <v>2091</v>
      </c>
      <c r="T355" s="75">
        <f>VLOOKUP(B355,'115+260'!$B$15:$AB$647,6,FALSE)</f>
        <v>489</v>
      </c>
      <c r="U355" s="74">
        <f t="shared" si="69"/>
        <v>2541</v>
      </c>
      <c r="V355" s="73">
        <f>VLOOKUP(B355,'115+260'!$B$15:$AB$647,15,FALSE)</f>
        <v>-459</v>
      </c>
      <c r="W355" s="72">
        <f>'115+260'!S356</f>
        <v>0</v>
      </c>
      <c r="X355" s="71">
        <f t="shared" si="74"/>
        <v>209</v>
      </c>
      <c r="Y355" s="70">
        <f t="shared" si="75"/>
        <v>0</v>
      </c>
      <c r="Z355" s="69">
        <f t="shared" si="76"/>
        <v>0</v>
      </c>
      <c r="AA355" s="68">
        <f t="shared" si="77"/>
        <v>2.4729999999999999</v>
      </c>
      <c r="AB355" s="68">
        <f t="shared" si="78"/>
        <v>2.0179999999999998</v>
      </c>
    </row>
    <row r="356" spans="2:28">
      <c r="B356" s="110">
        <f>'115+260'!B357</f>
        <v>45594</v>
      </c>
      <c r="C356" s="80">
        <f t="shared" si="70"/>
        <v>1</v>
      </c>
      <c r="D356" s="79">
        <f t="shared" si="71"/>
        <v>1069</v>
      </c>
      <c r="E356" s="78">
        <f>VLOOKUP(B356,'115+260'!B357:AB357,3,FALSE)</f>
        <v>1963</v>
      </c>
      <c r="F356" s="75">
        <f t="shared" si="66"/>
        <v>3032</v>
      </c>
      <c r="G356" s="77">
        <f>VLOOKUP(B356,'115+260'!$B$15:$AB$647,20,FALSE)</f>
        <v>2053</v>
      </c>
      <c r="H356" s="77">
        <f>VLOOKUP(B356,'115+260'!$B$15:$AB$647,4,FALSE)</f>
        <v>479</v>
      </c>
      <c r="I356" s="74">
        <f t="shared" si="67"/>
        <v>2553</v>
      </c>
      <c r="J356" s="74">
        <f>VLOOKUP(B356,'115+260'!$B$15:$AB$647,13,FALSE)</f>
        <v>-447</v>
      </c>
      <c r="K356" s="72">
        <f>'115+260'!Q357</f>
        <v>0</v>
      </c>
      <c r="L356" s="71">
        <f t="shared" si="72"/>
        <v>247</v>
      </c>
      <c r="M356" s="76">
        <f>VLOOKUP(B356,'115+260'!$B$14:$AB$647,21,FALSE)</f>
        <v>2049</v>
      </c>
      <c r="N356" s="75">
        <f>VLOOKUP(B356,'115+260'!$B$15:$AB$647,5,FALSE)</f>
        <v>503</v>
      </c>
      <c r="O356" s="74">
        <f t="shared" si="68"/>
        <v>2529</v>
      </c>
      <c r="P356" s="74">
        <f>VLOOKUP(B356,'115+260'!$B$15:$AB$647,14,FALSE)</f>
        <v>-471</v>
      </c>
      <c r="Q356" s="72">
        <f>'115+260'!R357</f>
        <v>0</v>
      </c>
      <c r="R356" s="71">
        <f t="shared" si="73"/>
        <v>251</v>
      </c>
      <c r="S356" s="76">
        <f>VLOOKUP(B356,'115+260'!$B$14:$AB$647,22,FALSE)</f>
        <v>2091</v>
      </c>
      <c r="T356" s="75">
        <f>VLOOKUP(B356,'115+260'!$B$15:$AB$647,6,FALSE)</f>
        <v>491</v>
      </c>
      <c r="U356" s="74">
        <f t="shared" si="69"/>
        <v>2541</v>
      </c>
      <c r="V356" s="73">
        <f>VLOOKUP(B356,'115+260'!$B$15:$AB$647,15,FALSE)</f>
        <v>-459</v>
      </c>
      <c r="W356" s="72">
        <f>'115+260'!S357</f>
        <v>0</v>
      </c>
      <c r="X356" s="71">
        <f t="shared" si="74"/>
        <v>209</v>
      </c>
      <c r="Y356" s="70">
        <f t="shared" si="75"/>
        <v>0</v>
      </c>
      <c r="Z356" s="69">
        <f t="shared" si="76"/>
        <v>0</v>
      </c>
      <c r="AA356" s="68">
        <f t="shared" si="77"/>
        <v>2.4729999999999999</v>
      </c>
      <c r="AB356" s="68">
        <f t="shared" si="78"/>
        <v>2.0179999999999998</v>
      </c>
    </row>
    <row r="357" spans="2:28">
      <c r="B357" s="110">
        <f>'115+260'!B358</f>
        <v>45595</v>
      </c>
      <c r="C357" s="80">
        <f t="shared" si="70"/>
        <v>1</v>
      </c>
      <c r="D357" s="79">
        <f t="shared" si="71"/>
        <v>1069</v>
      </c>
      <c r="E357" s="78">
        <f>VLOOKUP(B357,'115+260'!B358:AB358,3,FALSE)</f>
        <v>1965</v>
      </c>
      <c r="F357" s="75">
        <f t="shared" si="66"/>
        <v>3034</v>
      </c>
      <c r="G357" s="77">
        <f>VLOOKUP(B357,'115+260'!$B$15:$AB$647,20,FALSE)</f>
        <v>2053</v>
      </c>
      <c r="H357" s="77">
        <f>VLOOKUP(B357,'115+260'!$B$15:$AB$647,4,FALSE)</f>
        <v>481</v>
      </c>
      <c r="I357" s="74">
        <f t="shared" si="67"/>
        <v>2553</v>
      </c>
      <c r="J357" s="74">
        <f>VLOOKUP(B357,'115+260'!$B$15:$AB$647,13,FALSE)</f>
        <v>-447</v>
      </c>
      <c r="K357" s="72">
        <f>'115+260'!Q358</f>
        <v>0</v>
      </c>
      <c r="L357" s="71">
        <f t="shared" si="72"/>
        <v>247</v>
      </c>
      <c r="M357" s="76">
        <f>VLOOKUP(B357,'115+260'!$B$14:$AB$647,21,FALSE)</f>
        <v>2049</v>
      </c>
      <c r="N357" s="75">
        <f>VLOOKUP(B357,'115+260'!$B$15:$AB$647,5,FALSE)</f>
        <v>505</v>
      </c>
      <c r="O357" s="74">
        <f t="shared" si="68"/>
        <v>2529</v>
      </c>
      <c r="P357" s="74">
        <f>VLOOKUP(B357,'115+260'!$B$15:$AB$647,14,FALSE)</f>
        <v>-471</v>
      </c>
      <c r="Q357" s="72">
        <f>'115+260'!R358</f>
        <v>0</v>
      </c>
      <c r="R357" s="71">
        <f t="shared" si="73"/>
        <v>251</v>
      </c>
      <c r="S357" s="76">
        <f>VLOOKUP(B357,'115+260'!$B$14:$AB$647,22,FALSE)</f>
        <v>2091</v>
      </c>
      <c r="T357" s="75">
        <f>VLOOKUP(B357,'115+260'!$B$15:$AB$647,6,FALSE)</f>
        <v>493</v>
      </c>
      <c r="U357" s="74">
        <f t="shared" si="69"/>
        <v>2541</v>
      </c>
      <c r="V357" s="73">
        <f>VLOOKUP(B357,'115+260'!$B$15:$AB$647,15,FALSE)</f>
        <v>-459</v>
      </c>
      <c r="W357" s="72">
        <f>'115+260'!S358</f>
        <v>0</v>
      </c>
      <c r="X357" s="71">
        <f t="shared" si="74"/>
        <v>209</v>
      </c>
      <c r="Y357" s="70">
        <f t="shared" si="75"/>
        <v>0</v>
      </c>
      <c r="Z357" s="69">
        <f t="shared" si="76"/>
        <v>0</v>
      </c>
      <c r="AA357" s="68">
        <f t="shared" si="77"/>
        <v>2.4729999999999999</v>
      </c>
      <c r="AB357" s="68">
        <f t="shared" si="78"/>
        <v>2.0179999999999998</v>
      </c>
    </row>
    <row r="358" spans="2:28">
      <c r="B358" s="110">
        <f>'115+260'!B359</f>
        <v>45596</v>
      </c>
      <c r="C358" s="80">
        <f t="shared" si="70"/>
        <v>1</v>
      </c>
      <c r="D358" s="79">
        <f t="shared" si="71"/>
        <v>1069</v>
      </c>
      <c r="E358" s="78">
        <f>VLOOKUP(B358,'115+260'!B359:AB359,3,FALSE)</f>
        <v>1967</v>
      </c>
      <c r="F358" s="75">
        <f t="shared" si="66"/>
        <v>3036</v>
      </c>
      <c r="G358" s="77">
        <f>VLOOKUP(B358,'115+260'!$B$15:$AB$647,20,FALSE)</f>
        <v>2053</v>
      </c>
      <c r="H358" s="77">
        <f>VLOOKUP(B358,'115+260'!$B$15:$AB$647,4,FALSE)</f>
        <v>483</v>
      </c>
      <c r="I358" s="74">
        <f t="shared" si="67"/>
        <v>2553</v>
      </c>
      <c r="J358" s="74">
        <f>VLOOKUP(B358,'115+260'!$B$15:$AB$647,13,FALSE)</f>
        <v>-447</v>
      </c>
      <c r="K358" s="72">
        <f>'115+260'!Q359</f>
        <v>0</v>
      </c>
      <c r="L358" s="71">
        <f t="shared" si="72"/>
        <v>247</v>
      </c>
      <c r="M358" s="76">
        <f>VLOOKUP(B358,'115+260'!$B$14:$AB$647,21,FALSE)</f>
        <v>2049</v>
      </c>
      <c r="N358" s="75">
        <f>VLOOKUP(B358,'115+260'!$B$15:$AB$647,5,FALSE)</f>
        <v>507</v>
      </c>
      <c r="O358" s="74">
        <f t="shared" si="68"/>
        <v>2529</v>
      </c>
      <c r="P358" s="74">
        <f>VLOOKUP(B358,'115+260'!$B$15:$AB$647,14,FALSE)</f>
        <v>-471</v>
      </c>
      <c r="Q358" s="72">
        <f>'115+260'!R359</f>
        <v>0</v>
      </c>
      <c r="R358" s="71">
        <f t="shared" si="73"/>
        <v>251</v>
      </c>
      <c r="S358" s="76">
        <f>VLOOKUP(B358,'115+260'!$B$14:$AB$647,22,FALSE)</f>
        <v>2091</v>
      </c>
      <c r="T358" s="75">
        <f>VLOOKUP(B358,'115+260'!$B$15:$AB$647,6,FALSE)</f>
        <v>495</v>
      </c>
      <c r="U358" s="74">
        <f t="shared" si="69"/>
        <v>2541</v>
      </c>
      <c r="V358" s="73">
        <f>VLOOKUP(B358,'115+260'!$B$15:$AB$647,15,FALSE)</f>
        <v>-459</v>
      </c>
      <c r="W358" s="72">
        <f>'115+260'!S359</f>
        <v>0</v>
      </c>
      <c r="X358" s="71">
        <f t="shared" si="74"/>
        <v>209</v>
      </c>
      <c r="Y358" s="70">
        <f t="shared" si="75"/>
        <v>0</v>
      </c>
      <c r="Z358" s="69">
        <f t="shared" si="76"/>
        <v>0</v>
      </c>
      <c r="AA358" s="68">
        <f t="shared" si="77"/>
        <v>2.4729999999999999</v>
      </c>
      <c r="AB358" s="68">
        <f t="shared" si="78"/>
        <v>2.0179999999999998</v>
      </c>
    </row>
    <row r="359" spans="2:28">
      <c r="B359" s="110">
        <f>'115+260'!B360</f>
        <v>45597</v>
      </c>
      <c r="C359" s="80">
        <f t="shared" si="70"/>
        <v>1</v>
      </c>
      <c r="D359" s="79">
        <f t="shared" si="71"/>
        <v>1069</v>
      </c>
      <c r="E359" s="78">
        <f>VLOOKUP(B359,'115+260'!B360:AB360,3,FALSE)</f>
        <v>1969</v>
      </c>
      <c r="F359" s="75">
        <f t="shared" si="66"/>
        <v>3038</v>
      </c>
      <c r="G359" s="77">
        <f>VLOOKUP(B359,'115+260'!$B$15:$AB$647,20,FALSE)</f>
        <v>2053</v>
      </c>
      <c r="H359" s="77">
        <f>VLOOKUP(B359,'115+260'!$B$15:$AB$647,4,FALSE)</f>
        <v>485</v>
      </c>
      <c r="I359" s="74">
        <f t="shared" si="67"/>
        <v>2553</v>
      </c>
      <c r="J359" s="74">
        <f>VLOOKUP(B359,'115+260'!$B$15:$AB$647,13,FALSE)</f>
        <v>-447</v>
      </c>
      <c r="K359" s="72">
        <f>'115+260'!Q360</f>
        <v>0</v>
      </c>
      <c r="L359" s="71">
        <f t="shared" si="72"/>
        <v>247</v>
      </c>
      <c r="M359" s="76">
        <f>VLOOKUP(B359,'115+260'!$B$14:$AB$647,21,FALSE)</f>
        <v>2049</v>
      </c>
      <c r="N359" s="75">
        <f>VLOOKUP(B359,'115+260'!$B$15:$AB$647,5,FALSE)</f>
        <v>509</v>
      </c>
      <c r="O359" s="74">
        <f t="shared" si="68"/>
        <v>2529</v>
      </c>
      <c r="P359" s="74">
        <f>VLOOKUP(B359,'115+260'!$B$15:$AB$647,14,FALSE)</f>
        <v>-471</v>
      </c>
      <c r="Q359" s="72">
        <f>'115+260'!R360</f>
        <v>0</v>
      </c>
      <c r="R359" s="71">
        <f t="shared" si="73"/>
        <v>251</v>
      </c>
      <c r="S359" s="76">
        <f>VLOOKUP(B359,'115+260'!$B$14:$AB$647,22,FALSE)</f>
        <v>2091</v>
      </c>
      <c r="T359" s="75">
        <f>VLOOKUP(B359,'115+260'!$B$15:$AB$647,6,FALSE)</f>
        <v>497</v>
      </c>
      <c r="U359" s="74">
        <f t="shared" si="69"/>
        <v>2541</v>
      </c>
      <c r="V359" s="73">
        <f>VLOOKUP(B359,'115+260'!$B$15:$AB$647,15,FALSE)</f>
        <v>-459</v>
      </c>
      <c r="W359" s="72">
        <f>'115+260'!S360</f>
        <v>0</v>
      </c>
      <c r="X359" s="71">
        <f t="shared" si="74"/>
        <v>209</v>
      </c>
      <c r="Y359" s="70">
        <f t="shared" si="75"/>
        <v>0</v>
      </c>
      <c r="Z359" s="69">
        <f t="shared" si="76"/>
        <v>0</v>
      </c>
      <c r="AA359" s="68">
        <f t="shared" si="77"/>
        <v>2.4729999999999999</v>
      </c>
      <c r="AB359" s="68">
        <f t="shared" si="78"/>
        <v>2.0179999999999998</v>
      </c>
    </row>
    <row r="360" spans="2:28">
      <c r="B360" s="110">
        <f>'115+260'!B361</f>
        <v>45598</v>
      </c>
      <c r="C360" s="80">
        <f t="shared" si="70"/>
        <v>1</v>
      </c>
      <c r="D360" s="79">
        <f t="shared" si="71"/>
        <v>1069</v>
      </c>
      <c r="E360" s="78">
        <f>VLOOKUP(B360,'115+260'!B361:AB361,3,FALSE)</f>
        <v>1971</v>
      </c>
      <c r="F360" s="75">
        <f t="shared" si="66"/>
        <v>3040</v>
      </c>
      <c r="G360" s="77">
        <f>VLOOKUP(B360,'115+260'!$B$15:$AB$647,20,FALSE)</f>
        <v>2053</v>
      </c>
      <c r="H360" s="77">
        <f>VLOOKUP(B360,'115+260'!$B$15:$AB$647,4,FALSE)</f>
        <v>487</v>
      </c>
      <c r="I360" s="74">
        <f t="shared" si="67"/>
        <v>2553</v>
      </c>
      <c r="J360" s="74">
        <f>VLOOKUP(B360,'115+260'!$B$15:$AB$647,13,FALSE)</f>
        <v>-447</v>
      </c>
      <c r="K360" s="72">
        <f>'115+260'!Q361</f>
        <v>0</v>
      </c>
      <c r="L360" s="71">
        <f t="shared" si="72"/>
        <v>247</v>
      </c>
      <c r="M360" s="76">
        <f>VLOOKUP(B360,'115+260'!$B$14:$AB$647,21,FALSE)</f>
        <v>2049</v>
      </c>
      <c r="N360" s="75">
        <f>VLOOKUP(B360,'115+260'!$B$15:$AB$647,5,FALSE)</f>
        <v>511</v>
      </c>
      <c r="O360" s="74">
        <f t="shared" si="68"/>
        <v>2529</v>
      </c>
      <c r="P360" s="74">
        <f>VLOOKUP(B360,'115+260'!$B$15:$AB$647,14,FALSE)</f>
        <v>-471</v>
      </c>
      <c r="Q360" s="72">
        <f>'115+260'!R361</f>
        <v>0</v>
      </c>
      <c r="R360" s="71">
        <f t="shared" si="73"/>
        <v>251</v>
      </c>
      <c r="S360" s="76">
        <f>VLOOKUP(B360,'115+260'!$B$14:$AB$647,22,FALSE)</f>
        <v>2091</v>
      </c>
      <c r="T360" s="75">
        <f>VLOOKUP(B360,'115+260'!$B$15:$AB$647,6,FALSE)</f>
        <v>499</v>
      </c>
      <c r="U360" s="74">
        <f t="shared" si="69"/>
        <v>2541</v>
      </c>
      <c r="V360" s="73">
        <f>VLOOKUP(B360,'115+260'!$B$15:$AB$647,15,FALSE)</f>
        <v>-459</v>
      </c>
      <c r="W360" s="72">
        <f>'115+260'!S361</f>
        <v>0</v>
      </c>
      <c r="X360" s="71">
        <f t="shared" si="74"/>
        <v>209</v>
      </c>
      <c r="Y360" s="70">
        <f t="shared" si="75"/>
        <v>0</v>
      </c>
      <c r="Z360" s="69">
        <f t="shared" si="76"/>
        <v>0</v>
      </c>
      <c r="AA360" s="68">
        <f t="shared" si="77"/>
        <v>2.4729999999999999</v>
      </c>
      <c r="AB360" s="68">
        <f t="shared" si="78"/>
        <v>2.0179999999999998</v>
      </c>
    </row>
    <row r="361" spans="2:28">
      <c r="B361" s="110">
        <f>'115+260'!B362</f>
        <v>45599</v>
      </c>
      <c r="C361" s="80">
        <f t="shared" si="70"/>
        <v>1</v>
      </c>
      <c r="D361" s="79">
        <f t="shared" si="71"/>
        <v>1069</v>
      </c>
      <c r="E361" s="78">
        <f>VLOOKUP(B361,'115+260'!B362:AB362,3,FALSE)</f>
        <v>1973</v>
      </c>
      <c r="F361" s="75">
        <f t="shared" si="66"/>
        <v>3042</v>
      </c>
      <c r="G361" s="77">
        <f>VLOOKUP(B361,'115+260'!$B$15:$AB$647,20,FALSE)</f>
        <v>2053</v>
      </c>
      <c r="H361" s="77">
        <f>VLOOKUP(B361,'115+260'!$B$15:$AB$647,4,FALSE)</f>
        <v>489</v>
      </c>
      <c r="I361" s="74">
        <f t="shared" si="67"/>
        <v>2553</v>
      </c>
      <c r="J361" s="74">
        <f>VLOOKUP(B361,'115+260'!$B$15:$AB$647,13,FALSE)</f>
        <v>-447</v>
      </c>
      <c r="K361" s="72">
        <f>'115+260'!Q362</f>
        <v>0</v>
      </c>
      <c r="L361" s="71">
        <f t="shared" si="72"/>
        <v>247</v>
      </c>
      <c r="M361" s="76">
        <f>VLOOKUP(B361,'115+260'!$B$14:$AB$647,21,FALSE)</f>
        <v>2049</v>
      </c>
      <c r="N361" s="75">
        <f>VLOOKUP(B361,'115+260'!$B$15:$AB$647,5,FALSE)</f>
        <v>513</v>
      </c>
      <c r="O361" s="74">
        <f t="shared" si="68"/>
        <v>2529</v>
      </c>
      <c r="P361" s="74">
        <f>VLOOKUP(B361,'115+260'!$B$15:$AB$647,14,FALSE)</f>
        <v>-471</v>
      </c>
      <c r="Q361" s="72">
        <f>'115+260'!R362</f>
        <v>0</v>
      </c>
      <c r="R361" s="71">
        <f t="shared" si="73"/>
        <v>251</v>
      </c>
      <c r="S361" s="76">
        <f>VLOOKUP(B361,'115+260'!$B$14:$AB$647,22,FALSE)</f>
        <v>2091</v>
      </c>
      <c r="T361" s="75">
        <f>VLOOKUP(B361,'115+260'!$B$15:$AB$647,6,FALSE)</f>
        <v>501</v>
      </c>
      <c r="U361" s="74">
        <f t="shared" si="69"/>
        <v>2541</v>
      </c>
      <c r="V361" s="73">
        <f>VLOOKUP(B361,'115+260'!$B$15:$AB$647,15,FALSE)</f>
        <v>-459</v>
      </c>
      <c r="W361" s="72">
        <f>'115+260'!S362</f>
        <v>0</v>
      </c>
      <c r="X361" s="71">
        <f t="shared" si="74"/>
        <v>209</v>
      </c>
      <c r="Y361" s="70">
        <f t="shared" si="75"/>
        <v>0</v>
      </c>
      <c r="Z361" s="69">
        <f t="shared" si="76"/>
        <v>0</v>
      </c>
      <c r="AA361" s="68">
        <f t="shared" si="77"/>
        <v>2.4729999999999999</v>
      </c>
      <c r="AB361" s="68">
        <f t="shared" si="78"/>
        <v>2.0179999999999998</v>
      </c>
    </row>
    <row r="362" spans="2:28">
      <c r="B362" s="110">
        <f>'115+260'!B363</f>
        <v>45600</v>
      </c>
      <c r="C362" s="80">
        <f t="shared" si="70"/>
        <v>1</v>
      </c>
      <c r="D362" s="79">
        <f t="shared" si="71"/>
        <v>1069</v>
      </c>
      <c r="E362" s="78">
        <f>VLOOKUP(B362,'115+260'!B363:AB363,3,FALSE)</f>
        <v>1975</v>
      </c>
      <c r="F362" s="75">
        <f t="shared" si="66"/>
        <v>3044</v>
      </c>
      <c r="G362" s="77">
        <f>VLOOKUP(B362,'115+260'!$B$15:$AB$647,20,FALSE)</f>
        <v>2053</v>
      </c>
      <c r="H362" s="77">
        <f>VLOOKUP(B362,'115+260'!$B$15:$AB$647,4,FALSE)</f>
        <v>491</v>
      </c>
      <c r="I362" s="74">
        <f t="shared" si="67"/>
        <v>2553</v>
      </c>
      <c r="J362" s="74">
        <f>VLOOKUP(B362,'115+260'!$B$15:$AB$647,13,FALSE)</f>
        <v>-447</v>
      </c>
      <c r="K362" s="72">
        <f>'115+260'!Q363</f>
        <v>0</v>
      </c>
      <c r="L362" s="71">
        <f t="shared" si="72"/>
        <v>247</v>
      </c>
      <c r="M362" s="76">
        <f>VLOOKUP(B362,'115+260'!$B$14:$AB$647,21,FALSE)</f>
        <v>2049</v>
      </c>
      <c r="N362" s="75">
        <f>VLOOKUP(B362,'115+260'!$B$15:$AB$647,5,FALSE)</f>
        <v>515</v>
      </c>
      <c r="O362" s="74">
        <f t="shared" si="68"/>
        <v>2529</v>
      </c>
      <c r="P362" s="74">
        <f>VLOOKUP(B362,'115+260'!$B$15:$AB$647,14,FALSE)</f>
        <v>-471</v>
      </c>
      <c r="Q362" s="72">
        <f>'115+260'!R363</f>
        <v>0</v>
      </c>
      <c r="R362" s="71">
        <f t="shared" si="73"/>
        <v>251</v>
      </c>
      <c r="S362" s="76">
        <f>VLOOKUP(B362,'115+260'!$B$14:$AB$647,22,FALSE)</f>
        <v>2091</v>
      </c>
      <c r="T362" s="75">
        <f>VLOOKUP(B362,'115+260'!$B$15:$AB$647,6,FALSE)</f>
        <v>503</v>
      </c>
      <c r="U362" s="74">
        <f t="shared" si="69"/>
        <v>2541</v>
      </c>
      <c r="V362" s="73">
        <f>VLOOKUP(B362,'115+260'!$B$15:$AB$647,15,FALSE)</f>
        <v>-459</v>
      </c>
      <c r="W362" s="72">
        <f>'115+260'!S363</f>
        <v>0</v>
      </c>
      <c r="X362" s="71">
        <f t="shared" si="74"/>
        <v>209</v>
      </c>
      <c r="Y362" s="70">
        <f t="shared" si="75"/>
        <v>0</v>
      </c>
      <c r="Z362" s="69">
        <f t="shared" si="76"/>
        <v>0</v>
      </c>
      <c r="AA362" s="68">
        <f t="shared" si="77"/>
        <v>2.4729999999999999</v>
      </c>
      <c r="AB362" s="68">
        <f t="shared" si="78"/>
        <v>2.0179999999999998</v>
      </c>
    </row>
    <row r="363" spans="2:28">
      <c r="B363" s="110">
        <f>'115+260'!B364</f>
        <v>45601</v>
      </c>
      <c r="C363" s="80">
        <f t="shared" si="70"/>
        <v>1</v>
      </c>
      <c r="D363" s="79">
        <f t="shared" si="71"/>
        <v>1069</v>
      </c>
      <c r="E363" s="78">
        <f>VLOOKUP(B363,'115+260'!B364:AB364,3,FALSE)</f>
        <v>1977</v>
      </c>
      <c r="F363" s="75">
        <f t="shared" si="66"/>
        <v>3046</v>
      </c>
      <c r="G363" s="77">
        <f>VLOOKUP(B363,'115+260'!$B$15:$AB$647,20,FALSE)</f>
        <v>2053</v>
      </c>
      <c r="H363" s="77">
        <f>VLOOKUP(B363,'115+260'!$B$15:$AB$647,4,FALSE)</f>
        <v>493</v>
      </c>
      <c r="I363" s="74">
        <f t="shared" si="67"/>
        <v>2553</v>
      </c>
      <c r="J363" s="74">
        <f>VLOOKUP(B363,'115+260'!$B$15:$AB$647,13,FALSE)</f>
        <v>-447</v>
      </c>
      <c r="K363" s="72">
        <f>'115+260'!Q364</f>
        <v>0</v>
      </c>
      <c r="L363" s="71">
        <f t="shared" si="72"/>
        <v>247</v>
      </c>
      <c r="M363" s="76">
        <f>VLOOKUP(B363,'115+260'!$B$14:$AB$647,21,FALSE)</f>
        <v>2049</v>
      </c>
      <c r="N363" s="75">
        <f>VLOOKUP(B363,'115+260'!$B$15:$AB$647,5,FALSE)</f>
        <v>517</v>
      </c>
      <c r="O363" s="74">
        <f t="shared" si="68"/>
        <v>2529</v>
      </c>
      <c r="P363" s="74">
        <f>VLOOKUP(B363,'115+260'!$B$15:$AB$647,14,FALSE)</f>
        <v>-471</v>
      </c>
      <c r="Q363" s="72">
        <f>'115+260'!R364</f>
        <v>0</v>
      </c>
      <c r="R363" s="71">
        <f t="shared" si="73"/>
        <v>251</v>
      </c>
      <c r="S363" s="76">
        <f>VLOOKUP(B363,'115+260'!$B$14:$AB$647,22,FALSE)</f>
        <v>2091</v>
      </c>
      <c r="T363" s="75">
        <f>VLOOKUP(B363,'115+260'!$B$15:$AB$647,6,FALSE)</f>
        <v>505</v>
      </c>
      <c r="U363" s="74">
        <f t="shared" si="69"/>
        <v>2541</v>
      </c>
      <c r="V363" s="73">
        <f>VLOOKUP(B363,'115+260'!$B$15:$AB$647,15,FALSE)</f>
        <v>-459</v>
      </c>
      <c r="W363" s="72">
        <f>'115+260'!S364</f>
        <v>0</v>
      </c>
      <c r="X363" s="71">
        <f t="shared" si="74"/>
        <v>209</v>
      </c>
      <c r="Y363" s="70">
        <f t="shared" si="75"/>
        <v>0</v>
      </c>
      <c r="Z363" s="69">
        <f t="shared" si="76"/>
        <v>0</v>
      </c>
      <c r="AA363" s="68">
        <f t="shared" si="77"/>
        <v>2.4729999999999999</v>
      </c>
      <c r="AB363" s="68">
        <f t="shared" si="78"/>
        <v>2.0179999999999998</v>
      </c>
    </row>
    <row r="364" spans="2:28">
      <c r="B364" s="110">
        <f>'115+260'!B365</f>
        <v>45602</v>
      </c>
      <c r="C364" s="80">
        <f t="shared" si="70"/>
        <v>1</v>
      </c>
      <c r="D364" s="79">
        <f t="shared" si="71"/>
        <v>1069</v>
      </c>
      <c r="E364" s="78">
        <f>VLOOKUP(B364,'115+260'!B365:AB365,3,FALSE)</f>
        <v>1979</v>
      </c>
      <c r="F364" s="75">
        <f t="shared" si="66"/>
        <v>3048</v>
      </c>
      <c r="G364" s="77">
        <f>VLOOKUP(B364,'115+260'!$B$15:$AB$647,20,FALSE)</f>
        <v>2053</v>
      </c>
      <c r="H364" s="77">
        <f>VLOOKUP(B364,'115+260'!$B$15:$AB$647,4,FALSE)</f>
        <v>495</v>
      </c>
      <c r="I364" s="74">
        <f t="shared" si="67"/>
        <v>2553</v>
      </c>
      <c r="J364" s="74">
        <f>VLOOKUP(B364,'115+260'!$B$15:$AB$647,13,FALSE)</f>
        <v>-447</v>
      </c>
      <c r="K364" s="72">
        <f>'115+260'!Q365</f>
        <v>0</v>
      </c>
      <c r="L364" s="71">
        <f t="shared" si="72"/>
        <v>247</v>
      </c>
      <c r="M364" s="76">
        <f>VLOOKUP(B364,'115+260'!$B$14:$AB$647,21,FALSE)</f>
        <v>2049</v>
      </c>
      <c r="N364" s="75">
        <f>VLOOKUP(B364,'115+260'!$B$15:$AB$647,5,FALSE)</f>
        <v>519</v>
      </c>
      <c r="O364" s="74">
        <f t="shared" si="68"/>
        <v>2529</v>
      </c>
      <c r="P364" s="74">
        <f>VLOOKUP(B364,'115+260'!$B$15:$AB$647,14,FALSE)</f>
        <v>-471</v>
      </c>
      <c r="Q364" s="72">
        <f>'115+260'!R365</f>
        <v>0</v>
      </c>
      <c r="R364" s="71">
        <f t="shared" si="73"/>
        <v>251</v>
      </c>
      <c r="S364" s="76">
        <f>VLOOKUP(B364,'115+260'!$B$14:$AB$647,22,FALSE)</f>
        <v>2091</v>
      </c>
      <c r="T364" s="75">
        <f>VLOOKUP(B364,'115+260'!$B$15:$AB$647,6,FALSE)</f>
        <v>507</v>
      </c>
      <c r="U364" s="74">
        <f t="shared" si="69"/>
        <v>2541</v>
      </c>
      <c r="V364" s="73">
        <f>VLOOKUP(B364,'115+260'!$B$15:$AB$647,15,FALSE)</f>
        <v>-459</v>
      </c>
      <c r="W364" s="72">
        <f>'115+260'!S365</f>
        <v>0</v>
      </c>
      <c r="X364" s="71">
        <f t="shared" si="74"/>
        <v>209</v>
      </c>
      <c r="Y364" s="70">
        <f t="shared" si="75"/>
        <v>0</v>
      </c>
      <c r="Z364" s="69">
        <f t="shared" si="76"/>
        <v>0</v>
      </c>
      <c r="AA364" s="68">
        <f t="shared" si="77"/>
        <v>2.4729999999999999</v>
      </c>
      <c r="AB364" s="68">
        <f t="shared" si="78"/>
        <v>2.0179999999999998</v>
      </c>
    </row>
    <row r="365" spans="2:28">
      <c r="B365" s="110">
        <f>'115+260'!B366</f>
        <v>45603</v>
      </c>
      <c r="C365" s="80">
        <f t="shared" si="70"/>
        <v>1</v>
      </c>
      <c r="D365" s="79">
        <f t="shared" si="71"/>
        <v>1069</v>
      </c>
      <c r="E365" s="78">
        <f>VLOOKUP(B365,'115+260'!B366:AB366,3,FALSE)</f>
        <v>1981</v>
      </c>
      <c r="F365" s="75">
        <f t="shared" si="66"/>
        <v>3050</v>
      </c>
      <c r="G365" s="77">
        <f>VLOOKUP(B365,'115+260'!$B$15:$AB$647,20,FALSE)</f>
        <v>2053</v>
      </c>
      <c r="H365" s="77">
        <f>VLOOKUP(B365,'115+260'!$B$15:$AB$647,4,FALSE)</f>
        <v>497</v>
      </c>
      <c r="I365" s="74">
        <f t="shared" si="67"/>
        <v>2553</v>
      </c>
      <c r="J365" s="74">
        <f>VLOOKUP(B365,'115+260'!$B$15:$AB$647,13,FALSE)</f>
        <v>-447</v>
      </c>
      <c r="K365" s="72">
        <f>'115+260'!Q366</f>
        <v>0</v>
      </c>
      <c r="L365" s="71">
        <f t="shared" si="72"/>
        <v>247</v>
      </c>
      <c r="M365" s="76">
        <f>VLOOKUP(B365,'115+260'!$B$14:$AB$647,21,FALSE)</f>
        <v>2049</v>
      </c>
      <c r="N365" s="75">
        <f>VLOOKUP(B365,'115+260'!$B$15:$AB$647,5,FALSE)</f>
        <v>521</v>
      </c>
      <c r="O365" s="74">
        <f t="shared" si="68"/>
        <v>2529</v>
      </c>
      <c r="P365" s="74">
        <f>VLOOKUP(B365,'115+260'!$B$15:$AB$647,14,FALSE)</f>
        <v>-471</v>
      </c>
      <c r="Q365" s="72">
        <f>'115+260'!R366</f>
        <v>0</v>
      </c>
      <c r="R365" s="71">
        <f t="shared" si="73"/>
        <v>251</v>
      </c>
      <c r="S365" s="76">
        <f>VLOOKUP(B365,'115+260'!$B$14:$AB$647,22,FALSE)</f>
        <v>2091</v>
      </c>
      <c r="T365" s="75">
        <f>VLOOKUP(B365,'115+260'!$B$15:$AB$647,6,FALSE)</f>
        <v>509</v>
      </c>
      <c r="U365" s="74">
        <f t="shared" si="69"/>
        <v>2541</v>
      </c>
      <c r="V365" s="73">
        <f>VLOOKUP(B365,'115+260'!$B$15:$AB$647,15,FALSE)</f>
        <v>-459</v>
      </c>
      <c r="W365" s="72">
        <f>'115+260'!S366</f>
        <v>0</v>
      </c>
      <c r="X365" s="71">
        <f t="shared" si="74"/>
        <v>209</v>
      </c>
      <c r="Y365" s="70">
        <f t="shared" si="75"/>
        <v>0</v>
      </c>
      <c r="Z365" s="69">
        <f t="shared" si="76"/>
        <v>0</v>
      </c>
      <c r="AA365" s="68">
        <f t="shared" si="77"/>
        <v>2.4729999999999999</v>
      </c>
      <c r="AB365" s="68">
        <f t="shared" si="78"/>
        <v>2.0179999999999998</v>
      </c>
    </row>
    <row r="366" spans="2:28">
      <c r="B366" s="110">
        <f>'115+260'!B367</f>
        <v>45604</v>
      </c>
      <c r="C366" s="80">
        <f t="shared" si="70"/>
        <v>1</v>
      </c>
      <c r="D366" s="79">
        <f t="shared" si="71"/>
        <v>1069</v>
      </c>
      <c r="E366" s="78">
        <f>VLOOKUP(B366,'115+260'!B367:AB367,3,FALSE)</f>
        <v>1983</v>
      </c>
      <c r="F366" s="75">
        <f t="shared" si="66"/>
        <v>3052</v>
      </c>
      <c r="G366" s="77">
        <f>VLOOKUP(B366,'115+260'!$B$15:$AB$647,20,FALSE)</f>
        <v>2053</v>
      </c>
      <c r="H366" s="77">
        <f>VLOOKUP(B366,'115+260'!$B$15:$AB$647,4,FALSE)</f>
        <v>499</v>
      </c>
      <c r="I366" s="74">
        <f t="shared" si="67"/>
        <v>2553</v>
      </c>
      <c r="J366" s="74">
        <f>VLOOKUP(B366,'115+260'!$B$15:$AB$647,13,FALSE)</f>
        <v>-447</v>
      </c>
      <c r="K366" s="72">
        <f>'115+260'!Q367</f>
        <v>0</v>
      </c>
      <c r="L366" s="71">
        <f t="shared" si="72"/>
        <v>247</v>
      </c>
      <c r="M366" s="76">
        <f>VLOOKUP(B366,'115+260'!$B$14:$AB$647,21,FALSE)</f>
        <v>2049</v>
      </c>
      <c r="N366" s="75">
        <f>VLOOKUP(B366,'115+260'!$B$15:$AB$647,5,FALSE)</f>
        <v>523</v>
      </c>
      <c r="O366" s="74">
        <f t="shared" si="68"/>
        <v>2529</v>
      </c>
      <c r="P366" s="74">
        <f>VLOOKUP(B366,'115+260'!$B$15:$AB$647,14,FALSE)</f>
        <v>-471</v>
      </c>
      <c r="Q366" s="72">
        <f>'115+260'!R367</f>
        <v>0</v>
      </c>
      <c r="R366" s="71">
        <f t="shared" si="73"/>
        <v>251</v>
      </c>
      <c r="S366" s="76">
        <f>VLOOKUP(B366,'115+260'!$B$14:$AB$647,22,FALSE)</f>
        <v>2091</v>
      </c>
      <c r="T366" s="75">
        <f>VLOOKUP(B366,'115+260'!$B$15:$AB$647,6,FALSE)</f>
        <v>511</v>
      </c>
      <c r="U366" s="74">
        <f t="shared" si="69"/>
        <v>2541</v>
      </c>
      <c r="V366" s="73">
        <f>VLOOKUP(B366,'115+260'!$B$15:$AB$647,15,FALSE)</f>
        <v>-459</v>
      </c>
      <c r="W366" s="72">
        <f>'115+260'!S367</f>
        <v>0</v>
      </c>
      <c r="X366" s="71">
        <f t="shared" si="74"/>
        <v>209</v>
      </c>
      <c r="Y366" s="70">
        <f t="shared" si="75"/>
        <v>0</v>
      </c>
      <c r="Z366" s="69">
        <f t="shared" si="76"/>
        <v>0</v>
      </c>
      <c r="AA366" s="68">
        <f t="shared" si="77"/>
        <v>2.4729999999999999</v>
      </c>
      <c r="AB366" s="68">
        <f t="shared" si="78"/>
        <v>2.0179999999999998</v>
      </c>
    </row>
    <row r="367" spans="2:28">
      <c r="B367" s="110">
        <f>'115+260'!B368</f>
        <v>45605</v>
      </c>
      <c r="C367" s="80">
        <f t="shared" si="70"/>
        <v>1</v>
      </c>
      <c r="D367" s="79">
        <f t="shared" si="71"/>
        <v>1069</v>
      </c>
      <c r="E367" s="78">
        <f>VLOOKUP(B367,'115+260'!B368:AB368,3,FALSE)</f>
        <v>1985</v>
      </c>
      <c r="F367" s="75">
        <f t="shared" si="66"/>
        <v>3054</v>
      </c>
      <c r="G367" s="77">
        <f>VLOOKUP(B367,'115+260'!$B$15:$AB$647,20,FALSE)</f>
        <v>2053</v>
      </c>
      <c r="H367" s="77">
        <f>VLOOKUP(B367,'115+260'!$B$15:$AB$647,4,FALSE)</f>
        <v>501</v>
      </c>
      <c r="I367" s="74">
        <f t="shared" si="67"/>
        <v>2553</v>
      </c>
      <c r="J367" s="74">
        <f>VLOOKUP(B367,'115+260'!$B$15:$AB$647,13,FALSE)</f>
        <v>-447</v>
      </c>
      <c r="K367" s="72">
        <f>'115+260'!Q368</f>
        <v>0</v>
      </c>
      <c r="L367" s="71">
        <f t="shared" si="72"/>
        <v>247</v>
      </c>
      <c r="M367" s="76">
        <f>VLOOKUP(B367,'115+260'!$B$14:$AB$647,21,FALSE)</f>
        <v>2049</v>
      </c>
      <c r="N367" s="75">
        <f>VLOOKUP(B367,'115+260'!$B$15:$AB$647,5,FALSE)</f>
        <v>525</v>
      </c>
      <c r="O367" s="74">
        <f t="shared" si="68"/>
        <v>2529</v>
      </c>
      <c r="P367" s="74">
        <f>VLOOKUP(B367,'115+260'!$B$15:$AB$647,14,FALSE)</f>
        <v>-471</v>
      </c>
      <c r="Q367" s="72">
        <f>'115+260'!R368</f>
        <v>0</v>
      </c>
      <c r="R367" s="71">
        <f t="shared" si="73"/>
        <v>251</v>
      </c>
      <c r="S367" s="76">
        <f>VLOOKUP(B367,'115+260'!$B$14:$AB$647,22,FALSE)</f>
        <v>2091</v>
      </c>
      <c r="T367" s="75">
        <f>VLOOKUP(B367,'115+260'!$B$15:$AB$647,6,FALSE)</f>
        <v>513</v>
      </c>
      <c r="U367" s="74">
        <f t="shared" si="69"/>
        <v>2541</v>
      </c>
      <c r="V367" s="73">
        <f>VLOOKUP(B367,'115+260'!$B$15:$AB$647,15,FALSE)</f>
        <v>-459</v>
      </c>
      <c r="W367" s="72">
        <f>'115+260'!S368</f>
        <v>0</v>
      </c>
      <c r="X367" s="71">
        <f t="shared" si="74"/>
        <v>209</v>
      </c>
      <c r="Y367" s="70">
        <f t="shared" si="75"/>
        <v>0</v>
      </c>
      <c r="Z367" s="69">
        <f t="shared" si="76"/>
        <v>0</v>
      </c>
      <c r="AA367" s="68">
        <f t="shared" si="77"/>
        <v>2.4729999999999999</v>
      </c>
      <c r="AB367" s="68">
        <f t="shared" si="78"/>
        <v>2.0179999999999998</v>
      </c>
    </row>
    <row r="368" spans="2:28">
      <c r="B368" s="110">
        <f>'115+260'!B369</f>
        <v>45606</v>
      </c>
      <c r="C368" s="80">
        <f t="shared" si="70"/>
        <v>1</v>
      </c>
      <c r="D368" s="79">
        <f t="shared" si="71"/>
        <v>1069</v>
      </c>
      <c r="E368" s="78">
        <f>VLOOKUP(B368,'115+260'!B369:AB369,3,FALSE)</f>
        <v>1987</v>
      </c>
      <c r="F368" s="75">
        <f t="shared" si="66"/>
        <v>3056</v>
      </c>
      <c r="G368" s="77">
        <f>VLOOKUP(B368,'115+260'!$B$15:$AB$647,20,FALSE)</f>
        <v>2053</v>
      </c>
      <c r="H368" s="77">
        <f>VLOOKUP(B368,'115+260'!$B$15:$AB$647,4,FALSE)</f>
        <v>503</v>
      </c>
      <c r="I368" s="74">
        <f t="shared" si="67"/>
        <v>2553</v>
      </c>
      <c r="J368" s="74">
        <f>VLOOKUP(B368,'115+260'!$B$15:$AB$647,13,FALSE)</f>
        <v>-447</v>
      </c>
      <c r="K368" s="72">
        <f>'115+260'!Q369</f>
        <v>0</v>
      </c>
      <c r="L368" s="71">
        <f t="shared" si="72"/>
        <v>247</v>
      </c>
      <c r="M368" s="76">
        <f>VLOOKUP(B368,'115+260'!$B$14:$AB$647,21,FALSE)</f>
        <v>2049</v>
      </c>
      <c r="N368" s="75">
        <f>VLOOKUP(B368,'115+260'!$B$15:$AB$647,5,FALSE)</f>
        <v>527</v>
      </c>
      <c r="O368" s="74">
        <f t="shared" si="68"/>
        <v>2529</v>
      </c>
      <c r="P368" s="74">
        <f>VLOOKUP(B368,'115+260'!$B$15:$AB$647,14,FALSE)</f>
        <v>-471</v>
      </c>
      <c r="Q368" s="72">
        <f>'115+260'!R369</f>
        <v>0</v>
      </c>
      <c r="R368" s="71">
        <f t="shared" si="73"/>
        <v>251</v>
      </c>
      <c r="S368" s="76">
        <f>VLOOKUP(B368,'115+260'!$B$14:$AB$647,22,FALSE)</f>
        <v>2091</v>
      </c>
      <c r="T368" s="75">
        <f>VLOOKUP(B368,'115+260'!$B$15:$AB$647,6,FALSE)</f>
        <v>515</v>
      </c>
      <c r="U368" s="74">
        <f t="shared" si="69"/>
        <v>2541</v>
      </c>
      <c r="V368" s="73">
        <f>VLOOKUP(B368,'115+260'!$B$15:$AB$647,15,FALSE)</f>
        <v>-459</v>
      </c>
      <c r="W368" s="72">
        <f>'115+260'!S369</f>
        <v>0</v>
      </c>
      <c r="X368" s="71">
        <f t="shared" si="74"/>
        <v>209</v>
      </c>
      <c r="Y368" s="70">
        <f t="shared" si="75"/>
        <v>0</v>
      </c>
      <c r="Z368" s="69">
        <f t="shared" si="76"/>
        <v>0</v>
      </c>
      <c r="AA368" s="68">
        <f t="shared" si="77"/>
        <v>2.4729999999999999</v>
      </c>
      <c r="AB368" s="68">
        <f t="shared" si="78"/>
        <v>2.0179999999999998</v>
      </c>
    </row>
    <row r="369" spans="2:28">
      <c r="B369" s="110">
        <f>'115+260'!B370</f>
        <v>45607</v>
      </c>
      <c r="C369" s="80">
        <f t="shared" si="70"/>
        <v>1</v>
      </c>
      <c r="D369" s="79">
        <f t="shared" si="71"/>
        <v>1069</v>
      </c>
      <c r="E369" s="78">
        <f>VLOOKUP(B369,'115+260'!B370:AB370,3,FALSE)</f>
        <v>1989</v>
      </c>
      <c r="F369" s="75">
        <f t="shared" si="66"/>
        <v>3058</v>
      </c>
      <c r="G369" s="77">
        <f>VLOOKUP(B369,'115+260'!$B$15:$AB$647,20,FALSE)</f>
        <v>2053</v>
      </c>
      <c r="H369" s="77">
        <f>VLOOKUP(B369,'115+260'!$B$15:$AB$647,4,FALSE)</f>
        <v>505</v>
      </c>
      <c r="I369" s="74">
        <f t="shared" si="67"/>
        <v>2553</v>
      </c>
      <c r="J369" s="74">
        <f>VLOOKUP(B369,'115+260'!$B$15:$AB$647,13,FALSE)</f>
        <v>-447</v>
      </c>
      <c r="K369" s="72">
        <f>'115+260'!Q370</f>
        <v>0</v>
      </c>
      <c r="L369" s="71">
        <f t="shared" si="72"/>
        <v>247</v>
      </c>
      <c r="M369" s="76">
        <f>VLOOKUP(B369,'115+260'!$B$14:$AB$647,21,FALSE)</f>
        <v>2049</v>
      </c>
      <c r="N369" s="75">
        <f>VLOOKUP(B369,'115+260'!$B$15:$AB$647,5,FALSE)</f>
        <v>529</v>
      </c>
      <c r="O369" s="74">
        <f t="shared" si="68"/>
        <v>2529</v>
      </c>
      <c r="P369" s="74">
        <f>VLOOKUP(B369,'115+260'!$B$15:$AB$647,14,FALSE)</f>
        <v>-471</v>
      </c>
      <c r="Q369" s="72">
        <f>'115+260'!R370</f>
        <v>0</v>
      </c>
      <c r="R369" s="71">
        <f t="shared" si="73"/>
        <v>251</v>
      </c>
      <c r="S369" s="76">
        <f>VLOOKUP(B369,'115+260'!$B$14:$AB$647,22,FALSE)</f>
        <v>2091</v>
      </c>
      <c r="T369" s="75">
        <f>VLOOKUP(B369,'115+260'!$B$15:$AB$647,6,FALSE)</f>
        <v>517</v>
      </c>
      <c r="U369" s="74">
        <f t="shared" si="69"/>
        <v>2541</v>
      </c>
      <c r="V369" s="73">
        <f>VLOOKUP(B369,'115+260'!$B$15:$AB$647,15,FALSE)</f>
        <v>-459</v>
      </c>
      <c r="W369" s="72">
        <f>'115+260'!S370</f>
        <v>0</v>
      </c>
      <c r="X369" s="71">
        <f t="shared" si="74"/>
        <v>209</v>
      </c>
      <c r="Y369" s="70">
        <f t="shared" si="75"/>
        <v>0</v>
      </c>
      <c r="Z369" s="69">
        <f t="shared" si="76"/>
        <v>0</v>
      </c>
      <c r="AA369" s="68">
        <f t="shared" si="77"/>
        <v>2.4729999999999999</v>
      </c>
      <c r="AB369" s="68">
        <f t="shared" si="78"/>
        <v>2.0179999999999998</v>
      </c>
    </row>
    <row r="370" spans="2:28">
      <c r="B370" s="110">
        <f>'115+260'!B371</f>
        <v>45608</v>
      </c>
      <c r="C370" s="80">
        <f t="shared" si="70"/>
        <v>1</v>
      </c>
      <c r="D370" s="79">
        <f t="shared" si="71"/>
        <v>1069</v>
      </c>
      <c r="E370" s="78">
        <f>VLOOKUP(B370,'115+260'!B371:AB371,3,FALSE)</f>
        <v>1991</v>
      </c>
      <c r="F370" s="75">
        <f t="shared" si="66"/>
        <v>3060</v>
      </c>
      <c r="G370" s="77">
        <f>VLOOKUP(B370,'115+260'!$B$15:$AB$647,20,FALSE)</f>
        <v>2053</v>
      </c>
      <c r="H370" s="77">
        <f>VLOOKUP(B370,'115+260'!$B$15:$AB$647,4,FALSE)</f>
        <v>507</v>
      </c>
      <c r="I370" s="74">
        <f t="shared" si="67"/>
        <v>2553</v>
      </c>
      <c r="J370" s="74">
        <f>VLOOKUP(B370,'115+260'!$B$15:$AB$647,13,FALSE)</f>
        <v>-447</v>
      </c>
      <c r="K370" s="72">
        <f>'115+260'!Q371</f>
        <v>0</v>
      </c>
      <c r="L370" s="71">
        <f t="shared" si="72"/>
        <v>247</v>
      </c>
      <c r="M370" s="76">
        <f>VLOOKUP(B370,'115+260'!$B$14:$AB$647,21,FALSE)</f>
        <v>2049</v>
      </c>
      <c r="N370" s="75">
        <f>VLOOKUP(B370,'115+260'!$B$15:$AB$647,5,FALSE)</f>
        <v>531</v>
      </c>
      <c r="O370" s="74">
        <f t="shared" si="68"/>
        <v>2529</v>
      </c>
      <c r="P370" s="74">
        <f>VLOOKUP(B370,'115+260'!$B$15:$AB$647,14,FALSE)</f>
        <v>-471</v>
      </c>
      <c r="Q370" s="72">
        <f>'115+260'!R371</f>
        <v>0</v>
      </c>
      <c r="R370" s="71">
        <f t="shared" si="73"/>
        <v>251</v>
      </c>
      <c r="S370" s="76">
        <f>VLOOKUP(B370,'115+260'!$B$14:$AB$647,22,FALSE)</f>
        <v>2091</v>
      </c>
      <c r="T370" s="75">
        <f>VLOOKUP(B370,'115+260'!$B$15:$AB$647,6,FALSE)</f>
        <v>519</v>
      </c>
      <c r="U370" s="74">
        <f t="shared" si="69"/>
        <v>2541</v>
      </c>
      <c r="V370" s="73">
        <f>VLOOKUP(B370,'115+260'!$B$15:$AB$647,15,FALSE)</f>
        <v>-459</v>
      </c>
      <c r="W370" s="72">
        <f>'115+260'!S371</f>
        <v>0</v>
      </c>
      <c r="X370" s="71">
        <f t="shared" si="74"/>
        <v>209</v>
      </c>
      <c r="Y370" s="70">
        <f t="shared" si="75"/>
        <v>0</v>
      </c>
      <c r="Z370" s="69">
        <f t="shared" si="76"/>
        <v>0</v>
      </c>
      <c r="AA370" s="68">
        <f t="shared" si="77"/>
        <v>2.4729999999999999</v>
      </c>
      <c r="AB370" s="68">
        <f t="shared" si="78"/>
        <v>2.0179999999999998</v>
      </c>
    </row>
    <row r="371" spans="2:28">
      <c r="B371" s="110">
        <f>'115+260'!B372</f>
        <v>45609</v>
      </c>
      <c r="C371" s="80">
        <f t="shared" si="70"/>
        <v>1</v>
      </c>
      <c r="D371" s="79">
        <f t="shared" si="71"/>
        <v>1069</v>
      </c>
      <c r="E371" s="78">
        <f>VLOOKUP(B371,'115+260'!B372:AB372,3,FALSE)</f>
        <v>1993</v>
      </c>
      <c r="F371" s="75">
        <f t="shared" si="66"/>
        <v>3062</v>
      </c>
      <c r="G371" s="77">
        <f>VLOOKUP(B371,'115+260'!$B$15:$AB$647,20,FALSE)</f>
        <v>2053</v>
      </c>
      <c r="H371" s="77">
        <f>VLOOKUP(B371,'115+260'!$B$15:$AB$647,4,FALSE)</f>
        <v>509</v>
      </c>
      <c r="I371" s="74">
        <f t="shared" si="67"/>
        <v>2553</v>
      </c>
      <c r="J371" s="74">
        <f>VLOOKUP(B371,'115+260'!$B$15:$AB$647,13,FALSE)</f>
        <v>-447</v>
      </c>
      <c r="K371" s="72">
        <f>'115+260'!Q372</f>
        <v>0</v>
      </c>
      <c r="L371" s="71">
        <f t="shared" si="72"/>
        <v>247</v>
      </c>
      <c r="M371" s="76">
        <f>VLOOKUP(B371,'115+260'!$B$14:$AB$647,21,FALSE)</f>
        <v>2049</v>
      </c>
      <c r="N371" s="75">
        <f>VLOOKUP(B371,'115+260'!$B$15:$AB$647,5,FALSE)</f>
        <v>533</v>
      </c>
      <c r="O371" s="74">
        <f t="shared" si="68"/>
        <v>2529</v>
      </c>
      <c r="P371" s="74">
        <f>VLOOKUP(B371,'115+260'!$B$15:$AB$647,14,FALSE)</f>
        <v>-471</v>
      </c>
      <c r="Q371" s="72">
        <f>'115+260'!R372</f>
        <v>0</v>
      </c>
      <c r="R371" s="71">
        <f t="shared" si="73"/>
        <v>251</v>
      </c>
      <c r="S371" s="76">
        <f>VLOOKUP(B371,'115+260'!$B$14:$AB$647,22,FALSE)</f>
        <v>2091</v>
      </c>
      <c r="T371" s="75">
        <f>VLOOKUP(B371,'115+260'!$B$15:$AB$647,6,FALSE)</f>
        <v>521</v>
      </c>
      <c r="U371" s="74">
        <f t="shared" si="69"/>
        <v>2541</v>
      </c>
      <c r="V371" s="73">
        <f>VLOOKUP(B371,'115+260'!$B$15:$AB$647,15,FALSE)</f>
        <v>-459</v>
      </c>
      <c r="W371" s="72">
        <f>'115+260'!S372</f>
        <v>0</v>
      </c>
      <c r="X371" s="71">
        <f t="shared" si="74"/>
        <v>209</v>
      </c>
      <c r="Y371" s="70">
        <f t="shared" si="75"/>
        <v>0</v>
      </c>
      <c r="Z371" s="69">
        <f t="shared" si="76"/>
        <v>0</v>
      </c>
      <c r="AA371" s="68">
        <f t="shared" si="77"/>
        <v>2.4729999999999999</v>
      </c>
      <c r="AB371" s="68">
        <f t="shared" si="78"/>
        <v>2.0179999999999998</v>
      </c>
    </row>
    <row r="372" spans="2:28">
      <c r="B372" s="110">
        <f>'115+260'!B373</f>
        <v>45610</v>
      </c>
      <c r="C372" s="80">
        <f t="shared" si="70"/>
        <v>1</v>
      </c>
      <c r="D372" s="79">
        <f t="shared" si="71"/>
        <v>1069</v>
      </c>
      <c r="E372" s="78">
        <f>VLOOKUP(B372,'115+260'!B373:AB373,3,FALSE)</f>
        <v>1995</v>
      </c>
      <c r="F372" s="75">
        <f t="shared" si="66"/>
        <v>3064</v>
      </c>
      <c r="G372" s="77">
        <f>VLOOKUP(B372,'115+260'!$B$15:$AB$647,20,FALSE)</f>
        <v>2053</v>
      </c>
      <c r="H372" s="77">
        <f>VLOOKUP(B372,'115+260'!$B$15:$AB$647,4,FALSE)</f>
        <v>511</v>
      </c>
      <c r="I372" s="74">
        <f t="shared" si="67"/>
        <v>2553</v>
      </c>
      <c r="J372" s="74">
        <f>VLOOKUP(B372,'115+260'!$B$15:$AB$647,13,FALSE)</f>
        <v>-447</v>
      </c>
      <c r="K372" s="72">
        <f>'115+260'!Q373</f>
        <v>0</v>
      </c>
      <c r="L372" s="71">
        <f t="shared" si="72"/>
        <v>247</v>
      </c>
      <c r="M372" s="76">
        <f>VLOOKUP(B372,'115+260'!$B$14:$AB$647,21,FALSE)</f>
        <v>2049</v>
      </c>
      <c r="N372" s="75">
        <f>VLOOKUP(B372,'115+260'!$B$15:$AB$647,5,FALSE)</f>
        <v>535</v>
      </c>
      <c r="O372" s="74">
        <f t="shared" si="68"/>
        <v>2529</v>
      </c>
      <c r="P372" s="74">
        <f>VLOOKUP(B372,'115+260'!$B$15:$AB$647,14,FALSE)</f>
        <v>-471</v>
      </c>
      <c r="Q372" s="72">
        <f>'115+260'!R373</f>
        <v>0</v>
      </c>
      <c r="R372" s="71">
        <f t="shared" si="73"/>
        <v>251</v>
      </c>
      <c r="S372" s="76">
        <f>VLOOKUP(B372,'115+260'!$B$14:$AB$647,22,FALSE)</f>
        <v>2091</v>
      </c>
      <c r="T372" s="75">
        <f>VLOOKUP(B372,'115+260'!$B$15:$AB$647,6,FALSE)</f>
        <v>523</v>
      </c>
      <c r="U372" s="74">
        <f t="shared" si="69"/>
        <v>2541</v>
      </c>
      <c r="V372" s="73">
        <f>VLOOKUP(B372,'115+260'!$B$15:$AB$647,15,FALSE)</f>
        <v>-459</v>
      </c>
      <c r="W372" s="72">
        <f>'115+260'!S373</f>
        <v>0</v>
      </c>
      <c r="X372" s="71">
        <f t="shared" si="74"/>
        <v>209</v>
      </c>
      <c r="Y372" s="70">
        <f t="shared" si="75"/>
        <v>0</v>
      </c>
      <c r="Z372" s="69">
        <f t="shared" si="76"/>
        <v>0</v>
      </c>
      <c r="AA372" s="68">
        <f t="shared" si="77"/>
        <v>2.4729999999999999</v>
      </c>
      <c r="AB372" s="68">
        <f t="shared" si="78"/>
        <v>2.0179999999999998</v>
      </c>
    </row>
    <row r="373" spans="2:28">
      <c r="B373" s="110">
        <f>'115+260'!B374</f>
        <v>45611</v>
      </c>
      <c r="C373" s="80">
        <f t="shared" si="70"/>
        <v>1</v>
      </c>
      <c r="D373" s="79">
        <f t="shared" si="71"/>
        <v>1069</v>
      </c>
      <c r="E373" s="78">
        <f>VLOOKUP(B373,'115+260'!B374:AB374,3,FALSE)</f>
        <v>1997</v>
      </c>
      <c r="F373" s="75">
        <f t="shared" si="66"/>
        <v>3066</v>
      </c>
      <c r="G373" s="77">
        <f>VLOOKUP(B373,'115+260'!$B$15:$AB$647,20,FALSE)</f>
        <v>2053</v>
      </c>
      <c r="H373" s="77">
        <f>VLOOKUP(B373,'115+260'!$B$15:$AB$647,4,FALSE)</f>
        <v>513</v>
      </c>
      <c r="I373" s="74">
        <f t="shared" si="67"/>
        <v>2553</v>
      </c>
      <c r="J373" s="74">
        <f>VLOOKUP(B373,'115+260'!$B$15:$AB$647,13,FALSE)</f>
        <v>-447</v>
      </c>
      <c r="K373" s="72">
        <f>'115+260'!Q374</f>
        <v>0</v>
      </c>
      <c r="L373" s="71">
        <f t="shared" si="72"/>
        <v>247</v>
      </c>
      <c r="M373" s="76">
        <f>VLOOKUP(B373,'115+260'!$B$14:$AB$647,21,FALSE)</f>
        <v>2049</v>
      </c>
      <c r="N373" s="75">
        <f>VLOOKUP(B373,'115+260'!$B$15:$AB$647,5,FALSE)</f>
        <v>537</v>
      </c>
      <c r="O373" s="74">
        <f t="shared" si="68"/>
        <v>2529</v>
      </c>
      <c r="P373" s="74">
        <f>VLOOKUP(B373,'115+260'!$B$15:$AB$647,14,FALSE)</f>
        <v>-471</v>
      </c>
      <c r="Q373" s="72">
        <f>'115+260'!R374</f>
        <v>0</v>
      </c>
      <c r="R373" s="71">
        <f t="shared" si="73"/>
        <v>251</v>
      </c>
      <c r="S373" s="76">
        <f>VLOOKUP(B373,'115+260'!$B$14:$AB$647,22,FALSE)</f>
        <v>2091</v>
      </c>
      <c r="T373" s="75">
        <f>VLOOKUP(B373,'115+260'!$B$15:$AB$647,6,FALSE)</f>
        <v>525</v>
      </c>
      <c r="U373" s="74">
        <f t="shared" si="69"/>
        <v>2541</v>
      </c>
      <c r="V373" s="73">
        <f>VLOOKUP(B373,'115+260'!$B$15:$AB$647,15,FALSE)</f>
        <v>-459</v>
      </c>
      <c r="W373" s="72">
        <f>'115+260'!S374</f>
        <v>0</v>
      </c>
      <c r="X373" s="71">
        <f t="shared" si="74"/>
        <v>209</v>
      </c>
      <c r="Y373" s="70">
        <f t="shared" si="75"/>
        <v>0</v>
      </c>
      <c r="Z373" s="69">
        <f t="shared" si="76"/>
        <v>0</v>
      </c>
      <c r="AA373" s="68">
        <f t="shared" si="77"/>
        <v>2.4729999999999999</v>
      </c>
      <c r="AB373" s="68">
        <f t="shared" si="78"/>
        <v>2.0179999999999998</v>
      </c>
    </row>
    <row r="374" spans="2:28">
      <c r="B374" s="110">
        <f>'115+260'!B375</f>
        <v>45612</v>
      </c>
      <c r="C374" s="80">
        <f t="shared" si="70"/>
        <v>1</v>
      </c>
      <c r="D374" s="79">
        <f t="shared" si="71"/>
        <v>1069</v>
      </c>
      <c r="E374" s="78">
        <f>VLOOKUP(B374,'115+260'!B375:AB375,3,FALSE)</f>
        <v>1999</v>
      </c>
      <c r="F374" s="75">
        <f t="shared" si="66"/>
        <v>3068</v>
      </c>
      <c r="G374" s="77">
        <f>VLOOKUP(B374,'115+260'!$B$15:$AB$647,20,FALSE)</f>
        <v>2053</v>
      </c>
      <c r="H374" s="77">
        <f>VLOOKUP(B374,'115+260'!$B$15:$AB$647,4,FALSE)</f>
        <v>515</v>
      </c>
      <c r="I374" s="74">
        <f t="shared" si="67"/>
        <v>2553</v>
      </c>
      <c r="J374" s="74">
        <f>VLOOKUP(B374,'115+260'!$B$15:$AB$647,13,FALSE)</f>
        <v>-447</v>
      </c>
      <c r="K374" s="72">
        <f>'115+260'!Q375</f>
        <v>0</v>
      </c>
      <c r="L374" s="71">
        <f t="shared" si="72"/>
        <v>247</v>
      </c>
      <c r="M374" s="76">
        <f>VLOOKUP(B374,'115+260'!$B$14:$AB$647,21,FALSE)</f>
        <v>2049</v>
      </c>
      <c r="N374" s="75">
        <f>VLOOKUP(B374,'115+260'!$B$15:$AB$647,5,FALSE)</f>
        <v>539</v>
      </c>
      <c r="O374" s="74">
        <f t="shared" si="68"/>
        <v>2529</v>
      </c>
      <c r="P374" s="74">
        <f>VLOOKUP(B374,'115+260'!$B$15:$AB$647,14,FALSE)</f>
        <v>-471</v>
      </c>
      <c r="Q374" s="72">
        <f>'115+260'!R375</f>
        <v>0</v>
      </c>
      <c r="R374" s="71">
        <f t="shared" si="73"/>
        <v>251</v>
      </c>
      <c r="S374" s="76">
        <f>VLOOKUP(B374,'115+260'!$B$14:$AB$647,22,FALSE)</f>
        <v>2091</v>
      </c>
      <c r="T374" s="75">
        <f>VLOOKUP(B374,'115+260'!$B$15:$AB$647,6,FALSE)</f>
        <v>527</v>
      </c>
      <c r="U374" s="74">
        <f t="shared" si="69"/>
        <v>2541</v>
      </c>
      <c r="V374" s="73">
        <f>VLOOKUP(B374,'115+260'!$B$15:$AB$647,15,FALSE)</f>
        <v>-459</v>
      </c>
      <c r="W374" s="72">
        <f>'115+260'!S375</f>
        <v>0</v>
      </c>
      <c r="X374" s="71">
        <f t="shared" si="74"/>
        <v>209</v>
      </c>
      <c r="Y374" s="70">
        <f t="shared" si="75"/>
        <v>0</v>
      </c>
      <c r="Z374" s="69">
        <f t="shared" si="76"/>
        <v>0</v>
      </c>
      <c r="AA374" s="68">
        <f t="shared" si="77"/>
        <v>2.4729999999999999</v>
      </c>
      <c r="AB374" s="68">
        <f t="shared" si="78"/>
        <v>2.0179999999999998</v>
      </c>
    </row>
    <row r="375" spans="2:28">
      <c r="B375" s="110">
        <f>'115+260'!B376</f>
        <v>45613</v>
      </c>
      <c r="C375" s="80">
        <f t="shared" si="70"/>
        <v>1</v>
      </c>
      <c r="D375" s="79">
        <f t="shared" si="71"/>
        <v>1069</v>
      </c>
      <c r="E375" s="78">
        <f>VLOOKUP(B375,'115+260'!B376:AB376,3,FALSE)</f>
        <v>2001</v>
      </c>
      <c r="F375" s="75">
        <f t="shared" si="66"/>
        <v>3070</v>
      </c>
      <c r="G375" s="77">
        <f>VLOOKUP(B375,'115+260'!$B$15:$AB$647,20,FALSE)</f>
        <v>2053</v>
      </c>
      <c r="H375" s="77">
        <f>VLOOKUP(B375,'115+260'!$B$15:$AB$647,4,FALSE)</f>
        <v>517</v>
      </c>
      <c r="I375" s="74">
        <f t="shared" si="67"/>
        <v>2553</v>
      </c>
      <c r="J375" s="74">
        <f>VLOOKUP(B375,'115+260'!$B$15:$AB$647,13,FALSE)</f>
        <v>-447</v>
      </c>
      <c r="K375" s="72">
        <f>'115+260'!Q376</f>
        <v>0</v>
      </c>
      <c r="L375" s="71">
        <f t="shared" si="72"/>
        <v>247</v>
      </c>
      <c r="M375" s="76">
        <f>VLOOKUP(B375,'115+260'!$B$14:$AB$647,21,FALSE)</f>
        <v>2049</v>
      </c>
      <c r="N375" s="75">
        <f>VLOOKUP(B375,'115+260'!$B$15:$AB$647,5,FALSE)</f>
        <v>541</v>
      </c>
      <c r="O375" s="74">
        <f t="shared" si="68"/>
        <v>2529</v>
      </c>
      <c r="P375" s="74">
        <f>VLOOKUP(B375,'115+260'!$B$15:$AB$647,14,FALSE)</f>
        <v>-471</v>
      </c>
      <c r="Q375" s="72">
        <f>'115+260'!R376</f>
        <v>0</v>
      </c>
      <c r="R375" s="71">
        <f t="shared" si="73"/>
        <v>251</v>
      </c>
      <c r="S375" s="76">
        <f>VLOOKUP(B375,'115+260'!$B$14:$AB$647,22,FALSE)</f>
        <v>2091</v>
      </c>
      <c r="T375" s="75">
        <f>VLOOKUP(B375,'115+260'!$B$15:$AB$647,6,FALSE)</f>
        <v>529</v>
      </c>
      <c r="U375" s="74">
        <f t="shared" si="69"/>
        <v>2541</v>
      </c>
      <c r="V375" s="73">
        <f>VLOOKUP(B375,'115+260'!$B$15:$AB$647,15,FALSE)</f>
        <v>-459</v>
      </c>
      <c r="W375" s="72">
        <f>'115+260'!S376</f>
        <v>0</v>
      </c>
      <c r="X375" s="71">
        <f t="shared" si="74"/>
        <v>209</v>
      </c>
      <c r="Y375" s="70">
        <f t="shared" si="75"/>
        <v>0</v>
      </c>
      <c r="Z375" s="69">
        <f t="shared" si="76"/>
        <v>0</v>
      </c>
      <c r="AA375" s="68">
        <f t="shared" si="77"/>
        <v>2.4729999999999999</v>
      </c>
      <c r="AB375" s="68">
        <f t="shared" si="78"/>
        <v>2.0179999999999998</v>
      </c>
    </row>
    <row r="376" spans="2:28">
      <c r="B376" s="110">
        <f>'115+260'!B377</f>
        <v>45614</v>
      </c>
      <c r="C376" s="80">
        <f t="shared" si="70"/>
        <v>1</v>
      </c>
      <c r="D376" s="79">
        <f t="shared" si="71"/>
        <v>1069</v>
      </c>
      <c r="E376" s="78">
        <f>VLOOKUP(B376,'115+260'!B377:AB377,3,FALSE)</f>
        <v>2003</v>
      </c>
      <c r="F376" s="75">
        <f t="shared" si="66"/>
        <v>3072</v>
      </c>
      <c r="G376" s="77">
        <f>VLOOKUP(B376,'115+260'!$B$15:$AB$647,20,FALSE)</f>
        <v>2053</v>
      </c>
      <c r="H376" s="77">
        <f>VLOOKUP(B376,'115+260'!$B$15:$AB$647,4,FALSE)</f>
        <v>519</v>
      </c>
      <c r="I376" s="74">
        <f t="shared" si="67"/>
        <v>2553</v>
      </c>
      <c r="J376" s="74">
        <f>VLOOKUP(B376,'115+260'!$B$15:$AB$647,13,FALSE)</f>
        <v>-447</v>
      </c>
      <c r="K376" s="72">
        <f>'115+260'!Q377</f>
        <v>0</v>
      </c>
      <c r="L376" s="71">
        <f t="shared" si="72"/>
        <v>247</v>
      </c>
      <c r="M376" s="76">
        <f>VLOOKUP(B376,'115+260'!$B$14:$AB$647,21,FALSE)</f>
        <v>2049</v>
      </c>
      <c r="N376" s="75">
        <f>VLOOKUP(B376,'115+260'!$B$15:$AB$647,5,FALSE)</f>
        <v>543</v>
      </c>
      <c r="O376" s="74">
        <f t="shared" si="68"/>
        <v>2529</v>
      </c>
      <c r="P376" s="74">
        <f>VLOOKUP(B376,'115+260'!$B$15:$AB$647,14,FALSE)</f>
        <v>-471</v>
      </c>
      <c r="Q376" s="72">
        <f>'115+260'!R377</f>
        <v>0</v>
      </c>
      <c r="R376" s="71">
        <f t="shared" si="73"/>
        <v>251</v>
      </c>
      <c r="S376" s="76">
        <f>VLOOKUP(B376,'115+260'!$B$14:$AB$647,22,FALSE)</f>
        <v>2091</v>
      </c>
      <c r="T376" s="75">
        <f>VLOOKUP(B376,'115+260'!$B$15:$AB$647,6,FALSE)</f>
        <v>531</v>
      </c>
      <c r="U376" s="74">
        <f t="shared" si="69"/>
        <v>2541</v>
      </c>
      <c r="V376" s="73">
        <f>VLOOKUP(B376,'115+260'!$B$15:$AB$647,15,FALSE)</f>
        <v>-459</v>
      </c>
      <c r="W376" s="72">
        <f>'115+260'!S377</f>
        <v>0</v>
      </c>
      <c r="X376" s="71">
        <f t="shared" si="74"/>
        <v>209</v>
      </c>
      <c r="Y376" s="70">
        <f t="shared" si="75"/>
        <v>0</v>
      </c>
      <c r="Z376" s="69">
        <f t="shared" si="76"/>
        <v>0</v>
      </c>
      <c r="AA376" s="68">
        <f t="shared" si="77"/>
        <v>2.4729999999999999</v>
      </c>
      <c r="AB376" s="68">
        <f t="shared" si="78"/>
        <v>2.0179999999999998</v>
      </c>
    </row>
    <row r="377" spans="2:28">
      <c r="B377" s="110">
        <f>'115+260'!B378</f>
        <v>45615</v>
      </c>
      <c r="C377" s="80">
        <f t="shared" si="70"/>
        <v>1</v>
      </c>
      <c r="D377" s="79">
        <f t="shared" si="71"/>
        <v>1069</v>
      </c>
      <c r="E377" s="78">
        <f>VLOOKUP(B377,'115+260'!B378:AB378,3,FALSE)</f>
        <v>2005</v>
      </c>
      <c r="F377" s="75">
        <f t="shared" si="66"/>
        <v>3074</v>
      </c>
      <c r="G377" s="77">
        <f>VLOOKUP(B377,'115+260'!$B$15:$AB$647,20,FALSE)</f>
        <v>2053</v>
      </c>
      <c r="H377" s="77">
        <f>VLOOKUP(B377,'115+260'!$B$15:$AB$647,4,FALSE)</f>
        <v>521</v>
      </c>
      <c r="I377" s="74">
        <f t="shared" si="67"/>
        <v>2553</v>
      </c>
      <c r="J377" s="74">
        <f>VLOOKUP(B377,'115+260'!$B$15:$AB$647,13,FALSE)</f>
        <v>-447</v>
      </c>
      <c r="K377" s="72">
        <f>'115+260'!Q378</f>
        <v>0</v>
      </c>
      <c r="L377" s="71">
        <f t="shared" si="72"/>
        <v>247</v>
      </c>
      <c r="M377" s="76">
        <f>VLOOKUP(B377,'115+260'!$B$14:$AB$647,21,FALSE)</f>
        <v>2049</v>
      </c>
      <c r="N377" s="75">
        <f>VLOOKUP(B377,'115+260'!$B$15:$AB$647,5,FALSE)</f>
        <v>545</v>
      </c>
      <c r="O377" s="74">
        <f t="shared" si="68"/>
        <v>2529</v>
      </c>
      <c r="P377" s="74">
        <f>VLOOKUP(B377,'115+260'!$B$15:$AB$647,14,FALSE)</f>
        <v>-471</v>
      </c>
      <c r="Q377" s="72">
        <f>'115+260'!R378</f>
        <v>0</v>
      </c>
      <c r="R377" s="71">
        <f t="shared" si="73"/>
        <v>251</v>
      </c>
      <c r="S377" s="76">
        <f>VLOOKUP(B377,'115+260'!$B$14:$AB$647,22,FALSE)</f>
        <v>2091</v>
      </c>
      <c r="T377" s="75">
        <f>VLOOKUP(B377,'115+260'!$B$15:$AB$647,6,FALSE)</f>
        <v>533</v>
      </c>
      <c r="U377" s="74">
        <f t="shared" si="69"/>
        <v>2541</v>
      </c>
      <c r="V377" s="73">
        <f>VLOOKUP(B377,'115+260'!$B$15:$AB$647,15,FALSE)</f>
        <v>-459</v>
      </c>
      <c r="W377" s="72">
        <f>'115+260'!S378</f>
        <v>0</v>
      </c>
      <c r="X377" s="71">
        <f t="shared" si="74"/>
        <v>209</v>
      </c>
      <c r="Y377" s="70">
        <f t="shared" si="75"/>
        <v>0</v>
      </c>
      <c r="Z377" s="69">
        <f t="shared" si="76"/>
        <v>0</v>
      </c>
      <c r="AA377" s="68">
        <f t="shared" si="77"/>
        <v>2.4729999999999999</v>
      </c>
      <c r="AB377" s="68">
        <f t="shared" si="78"/>
        <v>2.0179999999999998</v>
      </c>
    </row>
    <row r="378" spans="2:28">
      <c r="B378" s="110">
        <f>'115+260'!B379</f>
        <v>45616</v>
      </c>
      <c r="C378" s="80">
        <f t="shared" si="70"/>
        <v>1</v>
      </c>
      <c r="D378" s="79">
        <f t="shared" si="71"/>
        <v>1069</v>
      </c>
      <c r="E378" s="78">
        <f>VLOOKUP(B378,'115+260'!B379:AB379,3,FALSE)</f>
        <v>2007</v>
      </c>
      <c r="F378" s="75">
        <f t="shared" si="66"/>
        <v>3076</v>
      </c>
      <c r="G378" s="77">
        <f>VLOOKUP(B378,'115+260'!$B$15:$AB$647,20,FALSE)</f>
        <v>2053</v>
      </c>
      <c r="H378" s="77">
        <f>VLOOKUP(B378,'115+260'!$B$15:$AB$647,4,FALSE)</f>
        <v>523</v>
      </c>
      <c r="I378" s="74">
        <f t="shared" si="67"/>
        <v>2553</v>
      </c>
      <c r="J378" s="74">
        <f>VLOOKUP(B378,'115+260'!$B$15:$AB$647,13,FALSE)</f>
        <v>-447</v>
      </c>
      <c r="K378" s="72">
        <f>'115+260'!Q379</f>
        <v>0</v>
      </c>
      <c r="L378" s="71">
        <f t="shared" si="72"/>
        <v>247</v>
      </c>
      <c r="M378" s="76">
        <f>VLOOKUP(B378,'115+260'!$B$14:$AB$647,21,FALSE)</f>
        <v>2049</v>
      </c>
      <c r="N378" s="75">
        <f>VLOOKUP(B378,'115+260'!$B$15:$AB$647,5,FALSE)</f>
        <v>547</v>
      </c>
      <c r="O378" s="74">
        <f t="shared" si="68"/>
        <v>2529</v>
      </c>
      <c r="P378" s="74">
        <f>VLOOKUP(B378,'115+260'!$B$15:$AB$647,14,FALSE)</f>
        <v>-471</v>
      </c>
      <c r="Q378" s="72">
        <f>'115+260'!R379</f>
        <v>0</v>
      </c>
      <c r="R378" s="71">
        <f t="shared" si="73"/>
        <v>251</v>
      </c>
      <c r="S378" s="76">
        <f>VLOOKUP(B378,'115+260'!$B$14:$AB$647,22,FALSE)</f>
        <v>2091</v>
      </c>
      <c r="T378" s="75">
        <f>VLOOKUP(B378,'115+260'!$B$15:$AB$647,6,FALSE)</f>
        <v>535</v>
      </c>
      <c r="U378" s="74">
        <f t="shared" si="69"/>
        <v>2541</v>
      </c>
      <c r="V378" s="73">
        <f>VLOOKUP(B378,'115+260'!$B$15:$AB$647,15,FALSE)</f>
        <v>-459</v>
      </c>
      <c r="W378" s="72">
        <f>'115+260'!S379</f>
        <v>0</v>
      </c>
      <c r="X378" s="71">
        <f t="shared" si="74"/>
        <v>209</v>
      </c>
      <c r="Y378" s="70">
        <f t="shared" si="75"/>
        <v>0</v>
      </c>
      <c r="Z378" s="69">
        <f t="shared" si="76"/>
        <v>0</v>
      </c>
      <c r="AA378" s="68">
        <f t="shared" si="77"/>
        <v>2.4729999999999999</v>
      </c>
      <c r="AB378" s="68">
        <f t="shared" si="78"/>
        <v>2.0179999999999998</v>
      </c>
    </row>
    <row r="379" spans="2:28">
      <c r="B379" s="110">
        <f>'115+260'!B380</f>
        <v>45617</v>
      </c>
      <c r="C379" s="80">
        <f t="shared" si="70"/>
        <v>1</v>
      </c>
      <c r="D379" s="79">
        <f t="shared" si="71"/>
        <v>1069</v>
      </c>
      <c r="E379" s="78">
        <f>VLOOKUP(B379,'115+260'!B380:AB380,3,FALSE)</f>
        <v>2009</v>
      </c>
      <c r="F379" s="75">
        <f t="shared" si="66"/>
        <v>3078</v>
      </c>
      <c r="G379" s="77">
        <f>VLOOKUP(B379,'115+260'!$B$15:$AB$647,20,FALSE)</f>
        <v>2053</v>
      </c>
      <c r="H379" s="77">
        <f>VLOOKUP(B379,'115+260'!$B$15:$AB$647,4,FALSE)</f>
        <v>525</v>
      </c>
      <c r="I379" s="74">
        <f t="shared" si="67"/>
        <v>2553</v>
      </c>
      <c r="J379" s="74">
        <f>VLOOKUP(B379,'115+260'!$B$15:$AB$647,13,FALSE)</f>
        <v>-447</v>
      </c>
      <c r="K379" s="72">
        <f>'115+260'!Q380</f>
        <v>0</v>
      </c>
      <c r="L379" s="71">
        <f t="shared" si="72"/>
        <v>247</v>
      </c>
      <c r="M379" s="76">
        <f>VLOOKUP(B379,'115+260'!$B$14:$AB$647,21,FALSE)</f>
        <v>2049</v>
      </c>
      <c r="N379" s="75">
        <f>VLOOKUP(B379,'115+260'!$B$15:$AB$647,5,FALSE)</f>
        <v>549</v>
      </c>
      <c r="O379" s="74">
        <f t="shared" si="68"/>
        <v>2529</v>
      </c>
      <c r="P379" s="74">
        <f>VLOOKUP(B379,'115+260'!$B$15:$AB$647,14,FALSE)</f>
        <v>-471</v>
      </c>
      <c r="Q379" s="72">
        <f>'115+260'!R380</f>
        <v>0</v>
      </c>
      <c r="R379" s="71">
        <f t="shared" si="73"/>
        <v>251</v>
      </c>
      <c r="S379" s="76">
        <f>VLOOKUP(B379,'115+260'!$B$14:$AB$647,22,FALSE)</f>
        <v>2091</v>
      </c>
      <c r="T379" s="75">
        <f>VLOOKUP(B379,'115+260'!$B$15:$AB$647,6,FALSE)</f>
        <v>537</v>
      </c>
      <c r="U379" s="74">
        <f t="shared" si="69"/>
        <v>2541</v>
      </c>
      <c r="V379" s="73">
        <f>VLOOKUP(B379,'115+260'!$B$15:$AB$647,15,FALSE)</f>
        <v>-459</v>
      </c>
      <c r="W379" s="72">
        <f>'115+260'!S380</f>
        <v>0</v>
      </c>
      <c r="X379" s="71">
        <f t="shared" si="74"/>
        <v>209</v>
      </c>
      <c r="Y379" s="70">
        <f t="shared" si="75"/>
        <v>0</v>
      </c>
      <c r="Z379" s="69">
        <f t="shared" si="76"/>
        <v>0</v>
      </c>
      <c r="AA379" s="68">
        <f t="shared" si="77"/>
        <v>2.4729999999999999</v>
      </c>
      <c r="AB379" s="68">
        <f t="shared" si="78"/>
        <v>2.0179999999999998</v>
      </c>
    </row>
    <row r="380" spans="2:28">
      <c r="B380" s="110">
        <f>'115+260'!B381</f>
        <v>45618</v>
      </c>
      <c r="C380" s="80">
        <f t="shared" si="70"/>
        <v>1</v>
      </c>
      <c r="D380" s="79">
        <f t="shared" si="71"/>
        <v>1069</v>
      </c>
      <c r="E380" s="78">
        <f>VLOOKUP(B380,'115+260'!B381:AB381,3,FALSE)</f>
        <v>2011</v>
      </c>
      <c r="F380" s="75">
        <f t="shared" si="66"/>
        <v>3080</v>
      </c>
      <c r="G380" s="77">
        <f>VLOOKUP(B380,'115+260'!$B$15:$AB$647,20,FALSE)</f>
        <v>2053</v>
      </c>
      <c r="H380" s="77">
        <f>VLOOKUP(B380,'115+260'!$B$15:$AB$647,4,FALSE)</f>
        <v>527</v>
      </c>
      <c r="I380" s="74">
        <f t="shared" si="67"/>
        <v>2553</v>
      </c>
      <c r="J380" s="74">
        <f>VLOOKUP(B380,'115+260'!$B$15:$AB$647,13,FALSE)</f>
        <v>-447</v>
      </c>
      <c r="K380" s="72">
        <f>'115+260'!Q381</f>
        <v>0</v>
      </c>
      <c r="L380" s="71">
        <f t="shared" si="72"/>
        <v>247</v>
      </c>
      <c r="M380" s="76">
        <f>VLOOKUP(B380,'115+260'!$B$14:$AB$647,21,FALSE)</f>
        <v>2049</v>
      </c>
      <c r="N380" s="75">
        <f>VLOOKUP(B380,'115+260'!$B$15:$AB$647,5,FALSE)</f>
        <v>551</v>
      </c>
      <c r="O380" s="74">
        <f t="shared" si="68"/>
        <v>2529</v>
      </c>
      <c r="P380" s="74">
        <f>VLOOKUP(B380,'115+260'!$B$15:$AB$647,14,FALSE)</f>
        <v>-471</v>
      </c>
      <c r="Q380" s="72">
        <f>'115+260'!R381</f>
        <v>0</v>
      </c>
      <c r="R380" s="71">
        <f t="shared" si="73"/>
        <v>251</v>
      </c>
      <c r="S380" s="76">
        <f>VLOOKUP(B380,'115+260'!$B$14:$AB$647,22,FALSE)</f>
        <v>2091</v>
      </c>
      <c r="T380" s="75">
        <f>VLOOKUP(B380,'115+260'!$B$15:$AB$647,6,FALSE)</f>
        <v>539</v>
      </c>
      <c r="U380" s="74">
        <f t="shared" si="69"/>
        <v>2541</v>
      </c>
      <c r="V380" s="73">
        <f>VLOOKUP(B380,'115+260'!$B$15:$AB$647,15,FALSE)</f>
        <v>-459</v>
      </c>
      <c r="W380" s="72">
        <f>'115+260'!S381</f>
        <v>0</v>
      </c>
      <c r="X380" s="71">
        <f t="shared" si="74"/>
        <v>209</v>
      </c>
      <c r="Y380" s="70">
        <f t="shared" si="75"/>
        <v>0</v>
      </c>
      <c r="Z380" s="69">
        <f t="shared" si="76"/>
        <v>0</v>
      </c>
      <c r="AA380" s="68">
        <f t="shared" si="77"/>
        <v>2.4729999999999999</v>
      </c>
      <c r="AB380" s="68">
        <f t="shared" si="78"/>
        <v>2.0179999999999998</v>
      </c>
    </row>
    <row r="381" spans="2:28">
      <c r="B381" s="110">
        <f>'115+260'!B382</f>
        <v>45619</v>
      </c>
      <c r="C381" s="80">
        <f t="shared" si="70"/>
        <v>1</v>
      </c>
      <c r="D381" s="79">
        <f t="shared" si="71"/>
        <v>1069</v>
      </c>
      <c r="E381" s="78">
        <f>VLOOKUP(B381,'115+260'!B382:AB382,3,FALSE)</f>
        <v>2013</v>
      </c>
      <c r="F381" s="75">
        <f t="shared" si="66"/>
        <v>3082</v>
      </c>
      <c r="G381" s="77">
        <f>VLOOKUP(B381,'115+260'!$B$15:$AB$647,20,FALSE)</f>
        <v>2053</v>
      </c>
      <c r="H381" s="77">
        <f>VLOOKUP(B381,'115+260'!$B$15:$AB$647,4,FALSE)</f>
        <v>529</v>
      </c>
      <c r="I381" s="74">
        <f t="shared" si="67"/>
        <v>2553</v>
      </c>
      <c r="J381" s="74">
        <f>VLOOKUP(B381,'115+260'!$B$15:$AB$647,13,FALSE)</f>
        <v>-447</v>
      </c>
      <c r="K381" s="72">
        <f>'115+260'!Q382</f>
        <v>0</v>
      </c>
      <c r="L381" s="71">
        <f t="shared" si="72"/>
        <v>247</v>
      </c>
      <c r="M381" s="76">
        <f>VLOOKUP(B381,'115+260'!$B$14:$AB$647,21,FALSE)</f>
        <v>2049</v>
      </c>
      <c r="N381" s="75">
        <f>VLOOKUP(B381,'115+260'!$B$15:$AB$647,5,FALSE)</f>
        <v>553</v>
      </c>
      <c r="O381" s="74">
        <f t="shared" si="68"/>
        <v>2529</v>
      </c>
      <c r="P381" s="74">
        <f>VLOOKUP(B381,'115+260'!$B$15:$AB$647,14,FALSE)</f>
        <v>-471</v>
      </c>
      <c r="Q381" s="72">
        <f>'115+260'!R382</f>
        <v>0</v>
      </c>
      <c r="R381" s="71">
        <f t="shared" si="73"/>
        <v>251</v>
      </c>
      <c r="S381" s="76">
        <f>VLOOKUP(B381,'115+260'!$B$14:$AB$647,22,FALSE)</f>
        <v>2091</v>
      </c>
      <c r="T381" s="75">
        <f>VLOOKUP(B381,'115+260'!$B$15:$AB$647,6,FALSE)</f>
        <v>541</v>
      </c>
      <c r="U381" s="74">
        <f t="shared" si="69"/>
        <v>2541</v>
      </c>
      <c r="V381" s="73">
        <f>VLOOKUP(B381,'115+260'!$B$15:$AB$647,15,FALSE)</f>
        <v>-459</v>
      </c>
      <c r="W381" s="72">
        <f>'115+260'!S382</f>
        <v>0</v>
      </c>
      <c r="X381" s="71">
        <f t="shared" si="74"/>
        <v>209</v>
      </c>
      <c r="Y381" s="70">
        <f t="shared" si="75"/>
        <v>0</v>
      </c>
      <c r="Z381" s="69">
        <f t="shared" si="76"/>
        <v>0</v>
      </c>
      <c r="AA381" s="68">
        <f t="shared" si="77"/>
        <v>2.4729999999999999</v>
      </c>
      <c r="AB381" s="68">
        <f t="shared" si="78"/>
        <v>2.0179999999999998</v>
      </c>
    </row>
    <row r="382" spans="2:28">
      <c r="B382" s="110">
        <f>'115+260'!B383</f>
        <v>45620</v>
      </c>
      <c r="C382" s="80">
        <f t="shared" si="70"/>
        <v>1</v>
      </c>
      <c r="D382" s="79">
        <f t="shared" si="71"/>
        <v>1069</v>
      </c>
      <c r="E382" s="78">
        <f>VLOOKUP(B382,'115+260'!B383:AB383,3,FALSE)</f>
        <v>2015</v>
      </c>
      <c r="F382" s="75">
        <f t="shared" si="66"/>
        <v>3084</v>
      </c>
      <c r="G382" s="77">
        <f>VLOOKUP(B382,'115+260'!$B$15:$AB$647,20,FALSE)</f>
        <v>2053</v>
      </c>
      <c r="H382" s="77">
        <f>VLOOKUP(B382,'115+260'!$B$15:$AB$647,4,FALSE)</f>
        <v>531</v>
      </c>
      <c r="I382" s="74">
        <f t="shared" si="67"/>
        <v>2553</v>
      </c>
      <c r="J382" s="74">
        <f>VLOOKUP(B382,'115+260'!$B$15:$AB$647,13,FALSE)</f>
        <v>-447</v>
      </c>
      <c r="K382" s="72">
        <f>'115+260'!Q383</f>
        <v>0</v>
      </c>
      <c r="L382" s="71">
        <f t="shared" si="72"/>
        <v>247</v>
      </c>
      <c r="M382" s="76">
        <f>VLOOKUP(B382,'115+260'!$B$14:$AB$647,21,FALSE)</f>
        <v>2049</v>
      </c>
      <c r="N382" s="75">
        <f>VLOOKUP(B382,'115+260'!$B$15:$AB$647,5,FALSE)</f>
        <v>555</v>
      </c>
      <c r="O382" s="74">
        <f t="shared" si="68"/>
        <v>2529</v>
      </c>
      <c r="P382" s="74">
        <f>VLOOKUP(B382,'115+260'!$B$15:$AB$647,14,FALSE)</f>
        <v>-471</v>
      </c>
      <c r="Q382" s="72">
        <f>'115+260'!R383</f>
        <v>0</v>
      </c>
      <c r="R382" s="71">
        <f t="shared" si="73"/>
        <v>251</v>
      </c>
      <c r="S382" s="76">
        <f>VLOOKUP(B382,'115+260'!$B$14:$AB$647,22,FALSE)</f>
        <v>2091</v>
      </c>
      <c r="T382" s="75">
        <f>VLOOKUP(B382,'115+260'!$B$15:$AB$647,6,FALSE)</f>
        <v>543</v>
      </c>
      <c r="U382" s="74">
        <f t="shared" si="69"/>
        <v>2541</v>
      </c>
      <c r="V382" s="73">
        <f>VLOOKUP(B382,'115+260'!$B$15:$AB$647,15,FALSE)</f>
        <v>-459</v>
      </c>
      <c r="W382" s="72">
        <f>'115+260'!S383</f>
        <v>0</v>
      </c>
      <c r="X382" s="71">
        <f t="shared" si="74"/>
        <v>209</v>
      </c>
      <c r="Y382" s="70">
        <f t="shared" si="75"/>
        <v>0</v>
      </c>
      <c r="Z382" s="69">
        <f t="shared" si="76"/>
        <v>0</v>
      </c>
      <c r="AA382" s="68">
        <f t="shared" si="77"/>
        <v>2.4729999999999999</v>
      </c>
      <c r="AB382" s="68">
        <f t="shared" si="78"/>
        <v>2.0179999999999998</v>
      </c>
    </row>
    <row r="383" spans="2:28">
      <c r="B383" s="110">
        <f>'115+260'!B384</f>
        <v>45621</v>
      </c>
      <c r="C383" s="80">
        <f t="shared" si="70"/>
        <v>1</v>
      </c>
      <c r="D383" s="79">
        <f t="shared" si="71"/>
        <v>1069</v>
      </c>
      <c r="E383" s="78">
        <f>VLOOKUP(B383,'115+260'!B384:AB384,3,FALSE)</f>
        <v>2017</v>
      </c>
      <c r="F383" s="75">
        <f t="shared" si="66"/>
        <v>3086</v>
      </c>
      <c r="G383" s="77">
        <f>VLOOKUP(B383,'115+260'!$B$15:$AB$647,20,FALSE)</f>
        <v>2053</v>
      </c>
      <c r="H383" s="77">
        <f>VLOOKUP(B383,'115+260'!$B$15:$AB$647,4,FALSE)</f>
        <v>533</v>
      </c>
      <c r="I383" s="74">
        <f t="shared" si="67"/>
        <v>2553</v>
      </c>
      <c r="J383" s="74">
        <f>VLOOKUP(B383,'115+260'!$B$15:$AB$647,13,FALSE)</f>
        <v>-447</v>
      </c>
      <c r="K383" s="72">
        <f>'115+260'!Q384</f>
        <v>0</v>
      </c>
      <c r="L383" s="71">
        <f t="shared" si="72"/>
        <v>247</v>
      </c>
      <c r="M383" s="76">
        <f>VLOOKUP(B383,'115+260'!$B$14:$AB$647,21,FALSE)</f>
        <v>2049</v>
      </c>
      <c r="N383" s="75">
        <f>VLOOKUP(B383,'115+260'!$B$15:$AB$647,5,FALSE)</f>
        <v>557</v>
      </c>
      <c r="O383" s="74">
        <f t="shared" si="68"/>
        <v>2529</v>
      </c>
      <c r="P383" s="74">
        <f>VLOOKUP(B383,'115+260'!$B$15:$AB$647,14,FALSE)</f>
        <v>-471</v>
      </c>
      <c r="Q383" s="72">
        <f>'115+260'!R384</f>
        <v>0</v>
      </c>
      <c r="R383" s="71">
        <f t="shared" si="73"/>
        <v>251</v>
      </c>
      <c r="S383" s="76">
        <f>VLOOKUP(B383,'115+260'!$B$14:$AB$647,22,FALSE)</f>
        <v>2091</v>
      </c>
      <c r="T383" s="75">
        <f>VLOOKUP(B383,'115+260'!$B$15:$AB$647,6,FALSE)</f>
        <v>545</v>
      </c>
      <c r="U383" s="74">
        <f t="shared" si="69"/>
        <v>2541</v>
      </c>
      <c r="V383" s="73">
        <f>VLOOKUP(B383,'115+260'!$B$15:$AB$647,15,FALSE)</f>
        <v>-459</v>
      </c>
      <c r="W383" s="72">
        <f>'115+260'!S384</f>
        <v>0</v>
      </c>
      <c r="X383" s="71">
        <f t="shared" si="74"/>
        <v>209</v>
      </c>
      <c r="Y383" s="70">
        <f t="shared" si="75"/>
        <v>0</v>
      </c>
      <c r="Z383" s="69">
        <f t="shared" si="76"/>
        <v>0</v>
      </c>
      <c r="AA383" s="68">
        <f t="shared" si="77"/>
        <v>2.4729999999999999</v>
      </c>
      <c r="AB383" s="68">
        <f t="shared" si="78"/>
        <v>2.0179999999999998</v>
      </c>
    </row>
    <row r="384" spans="2:28">
      <c r="B384" s="110">
        <f>'115+260'!B385</f>
        <v>45622</v>
      </c>
      <c r="C384" s="80">
        <f t="shared" si="70"/>
        <v>1</v>
      </c>
      <c r="D384" s="79">
        <f t="shared" si="71"/>
        <v>1069</v>
      </c>
      <c r="E384" s="78">
        <f>VLOOKUP(B384,'115+260'!B385:AB385,3,FALSE)</f>
        <v>2019</v>
      </c>
      <c r="F384" s="75">
        <f t="shared" si="66"/>
        <v>3088</v>
      </c>
      <c r="G384" s="77">
        <f>VLOOKUP(B384,'115+260'!$B$15:$AB$647,20,FALSE)</f>
        <v>2053</v>
      </c>
      <c r="H384" s="77">
        <f>VLOOKUP(B384,'115+260'!$B$15:$AB$647,4,FALSE)</f>
        <v>535</v>
      </c>
      <c r="I384" s="74">
        <f t="shared" si="67"/>
        <v>2553</v>
      </c>
      <c r="J384" s="74">
        <f>VLOOKUP(B384,'115+260'!$B$15:$AB$647,13,FALSE)</f>
        <v>-447</v>
      </c>
      <c r="K384" s="72">
        <f>'115+260'!Q385</f>
        <v>0</v>
      </c>
      <c r="L384" s="71">
        <f t="shared" si="72"/>
        <v>247</v>
      </c>
      <c r="M384" s="76">
        <f>VLOOKUP(B384,'115+260'!$B$14:$AB$647,21,FALSE)</f>
        <v>2049</v>
      </c>
      <c r="N384" s="75">
        <f>VLOOKUP(B384,'115+260'!$B$15:$AB$647,5,FALSE)</f>
        <v>559</v>
      </c>
      <c r="O384" s="74">
        <f t="shared" si="68"/>
        <v>2529</v>
      </c>
      <c r="P384" s="74">
        <f>VLOOKUP(B384,'115+260'!$B$15:$AB$647,14,FALSE)</f>
        <v>-471</v>
      </c>
      <c r="Q384" s="72">
        <f>'115+260'!R385</f>
        <v>0</v>
      </c>
      <c r="R384" s="71">
        <f t="shared" si="73"/>
        <v>251</v>
      </c>
      <c r="S384" s="76">
        <f>VLOOKUP(B384,'115+260'!$B$14:$AB$647,22,FALSE)</f>
        <v>2091</v>
      </c>
      <c r="T384" s="75">
        <f>VLOOKUP(B384,'115+260'!$B$15:$AB$647,6,FALSE)</f>
        <v>547</v>
      </c>
      <c r="U384" s="74">
        <f t="shared" si="69"/>
        <v>2541</v>
      </c>
      <c r="V384" s="73">
        <f>VLOOKUP(B384,'115+260'!$B$15:$AB$647,15,FALSE)</f>
        <v>-459</v>
      </c>
      <c r="W384" s="72">
        <f>'115+260'!S385</f>
        <v>0</v>
      </c>
      <c r="X384" s="71">
        <f t="shared" si="74"/>
        <v>209</v>
      </c>
      <c r="Y384" s="70">
        <f t="shared" si="75"/>
        <v>0</v>
      </c>
      <c r="Z384" s="69">
        <f t="shared" si="76"/>
        <v>0</v>
      </c>
      <c r="AA384" s="68">
        <f t="shared" si="77"/>
        <v>2.4729999999999999</v>
      </c>
      <c r="AB384" s="68">
        <f t="shared" si="78"/>
        <v>2.0179999999999998</v>
      </c>
    </row>
    <row r="385" spans="2:28">
      <c r="B385" s="110">
        <f>'115+260'!B386</f>
        <v>45623</v>
      </c>
      <c r="C385" s="80">
        <f t="shared" si="70"/>
        <v>1</v>
      </c>
      <c r="D385" s="79">
        <f t="shared" si="71"/>
        <v>1069</v>
      </c>
      <c r="E385" s="78">
        <f>VLOOKUP(B385,'115+260'!B386:AB386,3,FALSE)</f>
        <v>2021</v>
      </c>
      <c r="F385" s="75">
        <f t="shared" si="66"/>
        <v>3090</v>
      </c>
      <c r="G385" s="77">
        <f>VLOOKUP(B385,'115+260'!$B$15:$AB$647,20,FALSE)</f>
        <v>2053</v>
      </c>
      <c r="H385" s="77">
        <f>VLOOKUP(B385,'115+260'!$B$15:$AB$647,4,FALSE)</f>
        <v>537</v>
      </c>
      <c r="I385" s="74">
        <f t="shared" si="67"/>
        <v>2553</v>
      </c>
      <c r="J385" s="74">
        <f>VLOOKUP(B385,'115+260'!$B$15:$AB$647,13,FALSE)</f>
        <v>-447</v>
      </c>
      <c r="K385" s="72">
        <f>'115+260'!Q386</f>
        <v>0</v>
      </c>
      <c r="L385" s="71">
        <f t="shared" si="72"/>
        <v>247</v>
      </c>
      <c r="M385" s="76">
        <f>VLOOKUP(B385,'115+260'!$B$14:$AB$647,21,FALSE)</f>
        <v>2049</v>
      </c>
      <c r="N385" s="75">
        <f>VLOOKUP(B385,'115+260'!$B$15:$AB$647,5,FALSE)</f>
        <v>561</v>
      </c>
      <c r="O385" s="74">
        <f t="shared" si="68"/>
        <v>2529</v>
      </c>
      <c r="P385" s="74">
        <f>VLOOKUP(B385,'115+260'!$B$15:$AB$647,14,FALSE)</f>
        <v>-471</v>
      </c>
      <c r="Q385" s="72">
        <f>'115+260'!R386</f>
        <v>0</v>
      </c>
      <c r="R385" s="71">
        <f t="shared" si="73"/>
        <v>251</v>
      </c>
      <c r="S385" s="76">
        <f>VLOOKUP(B385,'115+260'!$B$14:$AB$647,22,FALSE)</f>
        <v>2091</v>
      </c>
      <c r="T385" s="75">
        <f>VLOOKUP(B385,'115+260'!$B$15:$AB$647,6,FALSE)</f>
        <v>549</v>
      </c>
      <c r="U385" s="74">
        <f t="shared" si="69"/>
        <v>2541</v>
      </c>
      <c r="V385" s="73">
        <f>VLOOKUP(B385,'115+260'!$B$15:$AB$647,15,FALSE)</f>
        <v>-459</v>
      </c>
      <c r="W385" s="72">
        <f>'115+260'!S386</f>
        <v>0</v>
      </c>
      <c r="X385" s="71">
        <f t="shared" si="74"/>
        <v>209</v>
      </c>
      <c r="Y385" s="70">
        <f t="shared" si="75"/>
        <v>0</v>
      </c>
      <c r="Z385" s="69">
        <f t="shared" si="76"/>
        <v>0</v>
      </c>
      <c r="AA385" s="68">
        <f t="shared" si="77"/>
        <v>2.4729999999999999</v>
      </c>
      <c r="AB385" s="68">
        <f t="shared" si="78"/>
        <v>2.0179999999999998</v>
      </c>
    </row>
    <row r="386" spans="2:28">
      <c r="B386" s="110">
        <f>'115+260'!B387</f>
        <v>45624</v>
      </c>
      <c r="C386" s="80">
        <f t="shared" si="70"/>
        <v>1</v>
      </c>
      <c r="D386" s="79">
        <f t="shared" si="71"/>
        <v>1069</v>
      </c>
      <c r="E386" s="78">
        <f>VLOOKUP(B386,'115+260'!B387:AB387,3,FALSE)</f>
        <v>2023</v>
      </c>
      <c r="F386" s="75">
        <f t="shared" si="66"/>
        <v>3092</v>
      </c>
      <c r="G386" s="77">
        <f>VLOOKUP(B386,'115+260'!$B$15:$AB$647,20,FALSE)</f>
        <v>2053</v>
      </c>
      <c r="H386" s="77">
        <f>VLOOKUP(B386,'115+260'!$B$15:$AB$647,4,FALSE)</f>
        <v>539</v>
      </c>
      <c r="I386" s="74">
        <f t="shared" si="67"/>
        <v>2553</v>
      </c>
      <c r="J386" s="74">
        <f>VLOOKUP(B386,'115+260'!$B$15:$AB$647,13,FALSE)</f>
        <v>-447</v>
      </c>
      <c r="K386" s="72">
        <f>'115+260'!Q387</f>
        <v>0</v>
      </c>
      <c r="L386" s="71">
        <f t="shared" si="72"/>
        <v>247</v>
      </c>
      <c r="M386" s="76">
        <f>VLOOKUP(B386,'115+260'!$B$14:$AB$647,21,FALSE)</f>
        <v>2049</v>
      </c>
      <c r="N386" s="75">
        <f>VLOOKUP(B386,'115+260'!$B$15:$AB$647,5,FALSE)</f>
        <v>563</v>
      </c>
      <c r="O386" s="74">
        <f t="shared" si="68"/>
        <v>2529</v>
      </c>
      <c r="P386" s="74">
        <f>VLOOKUP(B386,'115+260'!$B$15:$AB$647,14,FALSE)</f>
        <v>-471</v>
      </c>
      <c r="Q386" s="72">
        <f>'115+260'!R387</f>
        <v>0</v>
      </c>
      <c r="R386" s="71">
        <f t="shared" si="73"/>
        <v>251</v>
      </c>
      <c r="S386" s="76">
        <f>VLOOKUP(B386,'115+260'!$B$14:$AB$647,22,FALSE)</f>
        <v>2091</v>
      </c>
      <c r="T386" s="75">
        <f>VLOOKUP(B386,'115+260'!$B$15:$AB$647,6,FALSE)</f>
        <v>551</v>
      </c>
      <c r="U386" s="74">
        <f t="shared" si="69"/>
        <v>2541</v>
      </c>
      <c r="V386" s="73">
        <f>VLOOKUP(B386,'115+260'!$B$15:$AB$647,15,FALSE)</f>
        <v>-459</v>
      </c>
      <c r="W386" s="72">
        <f>'115+260'!S387</f>
        <v>0</v>
      </c>
      <c r="X386" s="71">
        <f t="shared" si="74"/>
        <v>209</v>
      </c>
      <c r="Y386" s="70">
        <f t="shared" si="75"/>
        <v>0</v>
      </c>
      <c r="Z386" s="69">
        <f t="shared" si="76"/>
        <v>0</v>
      </c>
      <c r="AA386" s="68">
        <f t="shared" si="77"/>
        <v>2.4729999999999999</v>
      </c>
      <c r="AB386" s="68">
        <f t="shared" si="78"/>
        <v>2.0179999999999998</v>
      </c>
    </row>
    <row r="387" spans="2:28">
      <c r="B387" s="110">
        <f>'115+260'!B388</f>
        <v>45625</v>
      </c>
      <c r="C387" s="80">
        <f t="shared" si="70"/>
        <v>1</v>
      </c>
      <c r="D387" s="79">
        <f t="shared" si="71"/>
        <v>1069</v>
      </c>
      <c r="E387" s="78">
        <f>VLOOKUP(B387,'115+260'!B388:AB388,3,FALSE)</f>
        <v>2025</v>
      </c>
      <c r="F387" s="75">
        <f t="shared" si="66"/>
        <v>3094</v>
      </c>
      <c r="G387" s="77">
        <f>VLOOKUP(B387,'115+260'!$B$15:$AB$647,20,FALSE)</f>
        <v>2053</v>
      </c>
      <c r="H387" s="77">
        <f>VLOOKUP(B387,'115+260'!$B$15:$AB$647,4,FALSE)</f>
        <v>541</v>
      </c>
      <c r="I387" s="74">
        <f t="shared" si="67"/>
        <v>2553</v>
      </c>
      <c r="J387" s="74">
        <f>VLOOKUP(B387,'115+260'!$B$15:$AB$647,13,FALSE)</f>
        <v>-447</v>
      </c>
      <c r="K387" s="72">
        <f>'115+260'!Q388</f>
        <v>0</v>
      </c>
      <c r="L387" s="71">
        <f t="shared" si="72"/>
        <v>247</v>
      </c>
      <c r="M387" s="76">
        <f>VLOOKUP(B387,'115+260'!$B$14:$AB$647,21,FALSE)</f>
        <v>2049</v>
      </c>
      <c r="N387" s="75">
        <f>VLOOKUP(B387,'115+260'!$B$15:$AB$647,5,FALSE)</f>
        <v>565</v>
      </c>
      <c r="O387" s="74">
        <f t="shared" si="68"/>
        <v>2529</v>
      </c>
      <c r="P387" s="74">
        <f>VLOOKUP(B387,'115+260'!$B$15:$AB$647,14,FALSE)</f>
        <v>-471</v>
      </c>
      <c r="Q387" s="72">
        <f>'115+260'!R388</f>
        <v>0</v>
      </c>
      <c r="R387" s="71">
        <f t="shared" si="73"/>
        <v>251</v>
      </c>
      <c r="S387" s="76">
        <f>VLOOKUP(B387,'115+260'!$B$14:$AB$647,22,FALSE)</f>
        <v>2091</v>
      </c>
      <c r="T387" s="75">
        <f>VLOOKUP(B387,'115+260'!$B$15:$AB$647,6,FALSE)</f>
        <v>553</v>
      </c>
      <c r="U387" s="74">
        <f t="shared" si="69"/>
        <v>2541</v>
      </c>
      <c r="V387" s="73">
        <f>VLOOKUP(B387,'115+260'!$B$15:$AB$647,15,FALSE)</f>
        <v>-459</v>
      </c>
      <c r="W387" s="72">
        <f>'115+260'!S388</f>
        <v>0</v>
      </c>
      <c r="X387" s="71">
        <f t="shared" si="74"/>
        <v>209</v>
      </c>
      <c r="Y387" s="70">
        <f t="shared" si="75"/>
        <v>0</v>
      </c>
      <c r="Z387" s="69">
        <f t="shared" si="76"/>
        <v>0</v>
      </c>
      <c r="AA387" s="68">
        <f t="shared" si="77"/>
        <v>2.4729999999999999</v>
      </c>
      <c r="AB387" s="68">
        <f t="shared" si="78"/>
        <v>2.0179999999999998</v>
      </c>
    </row>
    <row r="388" spans="2:28">
      <c r="B388" s="110">
        <f>'115+260'!B389</f>
        <v>45626</v>
      </c>
      <c r="C388" s="80">
        <f t="shared" si="70"/>
        <v>1</v>
      </c>
      <c r="D388" s="79">
        <f t="shared" si="71"/>
        <v>1069</v>
      </c>
      <c r="E388" s="78">
        <f>VLOOKUP(B388,'115+260'!B389:AB389,3,FALSE)</f>
        <v>2027</v>
      </c>
      <c r="F388" s="75">
        <f t="shared" si="66"/>
        <v>3096</v>
      </c>
      <c r="G388" s="77">
        <f>VLOOKUP(B388,'115+260'!$B$15:$AB$647,20,FALSE)</f>
        <v>2053</v>
      </c>
      <c r="H388" s="77">
        <f>VLOOKUP(B388,'115+260'!$B$15:$AB$647,4,FALSE)</f>
        <v>543</v>
      </c>
      <c r="I388" s="74">
        <f t="shared" si="67"/>
        <v>2553</v>
      </c>
      <c r="J388" s="74">
        <f>VLOOKUP(B388,'115+260'!$B$15:$AB$647,13,FALSE)</f>
        <v>-447</v>
      </c>
      <c r="K388" s="72">
        <f>'115+260'!Q389</f>
        <v>0</v>
      </c>
      <c r="L388" s="71">
        <f t="shared" si="72"/>
        <v>247</v>
      </c>
      <c r="M388" s="76">
        <f>VLOOKUP(B388,'115+260'!$B$14:$AB$647,21,FALSE)</f>
        <v>2049</v>
      </c>
      <c r="N388" s="75">
        <f>VLOOKUP(B388,'115+260'!$B$15:$AB$647,5,FALSE)</f>
        <v>567</v>
      </c>
      <c r="O388" s="74">
        <f t="shared" si="68"/>
        <v>2529</v>
      </c>
      <c r="P388" s="74">
        <f>VLOOKUP(B388,'115+260'!$B$15:$AB$647,14,FALSE)</f>
        <v>-471</v>
      </c>
      <c r="Q388" s="72">
        <f>'115+260'!R389</f>
        <v>0</v>
      </c>
      <c r="R388" s="71">
        <f t="shared" si="73"/>
        <v>251</v>
      </c>
      <c r="S388" s="76">
        <f>VLOOKUP(B388,'115+260'!$B$14:$AB$647,22,FALSE)</f>
        <v>2091</v>
      </c>
      <c r="T388" s="75">
        <f>VLOOKUP(B388,'115+260'!$B$15:$AB$647,6,FALSE)</f>
        <v>555</v>
      </c>
      <c r="U388" s="74">
        <f t="shared" si="69"/>
        <v>2541</v>
      </c>
      <c r="V388" s="73">
        <f>VLOOKUP(B388,'115+260'!$B$15:$AB$647,15,FALSE)</f>
        <v>-459</v>
      </c>
      <c r="W388" s="72">
        <f>'115+260'!S389</f>
        <v>0</v>
      </c>
      <c r="X388" s="71">
        <f t="shared" si="74"/>
        <v>209</v>
      </c>
      <c r="Y388" s="70">
        <f t="shared" si="75"/>
        <v>0</v>
      </c>
      <c r="Z388" s="69">
        <f t="shared" si="76"/>
        <v>0</v>
      </c>
      <c r="AA388" s="68">
        <f t="shared" si="77"/>
        <v>2.4729999999999999</v>
      </c>
      <c r="AB388" s="68">
        <f t="shared" si="78"/>
        <v>2.0179999999999998</v>
      </c>
    </row>
    <row r="389" spans="2:28">
      <c r="B389" s="110">
        <f>'115+260'!B390</f>
        <v>45627</v>
      </c>
      <c r="C389" s="80">
        <f t="shared" si="70"/>
        <v>1</v>
      </c>
      <c r="D389" s="79">
        <f t="shared" si="71"/>
        <v>1069</v>
      </c>
      <c r="E389" s="78">
        <f>VLOOKUP(B389,'115+260'!B390:AB390,3,FALSE)</f>
        <v>2029</v>
      </c>
      <c r="F389" s="75">
        <f t="shared" si="66"/>
        <v>3098</v>
      </c>
      <c r="G389" s="77">
        <f>VLOOKUP(B389,'115+260'!$B$15:$AB$647,20,FALSE)</f>
        <v>2053</v>
      </c>
      <c r="H389" s="77">
        <f>VLOOKUP(B389,'115+260'!$B$15:$AB$647,4,FALSE)</f>
        <v>545</v>
      </c>
      <c r="I389" s="74">
        <f t="shared" si="67"/>
        <v>2553</v>
      </c>
      <c r="J389" s="74">
        <f>VLOOKUP(B389,'115+260'!$B$15:$AB$647,13,FALSE)</f>
        <v>-447</v>
      </c>
      <c r="K389" s="72">
        <f>'115+260'!Q390</f>
        <v>0</v>
      </c>
      <c r="L389" s="71">
        <f t="shared" si="72"/>
        <v>247</v>
      </c>
      <c r="M389" s="76">
        <f>VLOOKUP(B389,'115+260'!$B$14:$AB$647,21,FALSE)</f>
        <v>2049</v>
      </c>
      <c r="N389" s="75">
        <f>VLOOKUP(B389,'115+260'!$B$15:$AB$647,5,FALSE)</f>
        <v>569</v>
      </c>
      <c r="O389" s="74">
        <f t="shared" si="68"/>
        <v>2529</v>
      </c>
      <c r="P389" s="74">
        <f>VLOOKUP(B389,'115+260'!$B$15:$AB$647,14,FALSE)</f>
        <v>-471</v>
      </c>
      <c r="Q389" s="72">
        <f>'115+260'!R390</f>
        <v>0</v>
      </c>
      <c r="R389" s="71">
        <f t="shared" si="73"/>
        <v>251</v>
      </c>
      <c r="S389" s="76">
        <f>VLOOKUP(B389,'115+260'!$B$14:$AB$647,22,FALSE)</f>
        <v>2091</v>
      </c>
      <c r="T389" s="75">
        <f>VLOOKUP(B389,'115+260'!$B$15:$AB$647,6,FALSE)</f>
        <v>557</v>
      </c>
      <c r="U389" s="74">
        <f t="shared" si="69"/>
        <v>2541</v>
      </c>
      <c r="V389" s="73">
        <f>VLOOKUP(B389,'115+260'!$B$15:$AB$647,15,FALSE)</f>
        <v>-459</v>
      </c>
      <c r="W389" s="72">
        <f>'115+260'!S390</f>
        <v>0</v>
      </c>
      <c r="X389" s="71">
        <f t="shared" si="74"/>
        <v>209</v>
      </c>
      <c r="Y389" s="70">
        <f t="shared" si="75"/>
        <v>0</v>
      </c>
      <c r="Z389" s="69">
        <f t="shared" si="76"/>
        <v>0</v>
      </c>
      <c r="AA389" s="68">
        <f t="shared" si="77"/>
        <v>2.4729999999999999</v>
      </c>
      <c r="AB389" s="68">
        <f t="shared" si="78"/>
        <v>2.0179999999999998</v>
      </c>
    </row>
    <row r="390" spans="2:28">
      <c r="B390" s="110">
        <f>'115+260'!B391</f>
        <v>45628</v>
      </c>
      <c r="C390" s="80">
        <f t="shared" si="70"/>
        <v>1</v>
      </c>
      <c r="D390" s="79">
        <f t="shared" si="71"/>
        <v>1069</v>
      </c>
      <c r="E390" s="78">
        <f>VLOOKUP(B390,'115+260'!B391:AB391,3,FALSE)</f>
        <v>2031</v>
      </c>
      <c r="F390" s="75">
        <f t="shared" si="66"/>
        <v>3100</v>
      </c>
      <c r="G390" s="77">
        <f>VLOOKUP(B390,'115+260'!$B$15:$AB$647,20,FALSE)</f>
        <v>2053</v>
      </c>
      <c r="H390" s="77">
        <f>VLOOKUP(B390,'115+260'!$B$15:$AB$647,4,FALSE)</f>
        <v>547</v>
      </c>
      <c r="I390" s="74">
        <f t="shared" si="67"/>
        <v>2553</v>
      </c>
      <c r="J390" s="74">
        <f>VLOOKUP(B390,'115+260'!$B$15:$AB$647,13,FALSE)</f>
        <v>-447</v>
      </c>
      <c r="K390" s="72">
        <f>'115+260'!Q391</f>
        <v>0</v>
      </c>
      <c r="L390" s="71">
        <f t="shared" si="72"/>
        <v>247</v>
      </c>
      <c r="M390" s="76">
        <f>VLOOKUP(B390,'115+260'!$B$14:$AB$647,21,FALSE)</f>
        <v>2049</v>
      </c>
      <c r="N390" s="75">
        <f>VLOOKUP(B390,'115+260'!$B$15:$AB$647,5,FALSE)</f>
        <v>571</v>
      </c>
      <c r="O390" s="74">
        <f t="shared" si="68"/>
        <v>2529</v>
      </c>
      <c r="P390" s="74">
        <f>VLOOKUP(B390,'115+260'!$B$15:$AB$647,14,FALSE)</f>
        <v>-471</v>
      </c>
      <c r="Q390" s="72">
        <f>'115+260'!R391</f>
        <v>0</v>
      </c>
      <c r="R390" s="71">
        <f t="shared" si="73"/>
        <v>251</v>
      </c>
      <c r="S390" s="76">
        <f>VLOOKUP(B390,'115+260'!$B$14:$AB$647,22,FALSE)</f>
        <v>2091</v>
      </c>
      <c r="T390" s="75">
        <f>VLOOKUP(B390,'115+260'!$B$15:$AB$647,6,FALSE)</f>
        <v>559</v>
      </c>
      <c r="U390" s="74">
        <f t="shared" si="69"/>
        <v>2541</v>
      </c>
      <c r="V390" s="73">
        <f>VLOOKUP(B390,'115+260'!$B$15:$AB$647,15,FALSE)</f>
        <v>-459</v>
      </c>
      <c r="W390" s="72">
        <f>'115+260'!S391</f>
        <v>0</v>
      </c>
      <c r="X390" s="71">
        <f t="shared" si="74"/>
        <v>209</v>
      </c>
      <c r="Y390" s="70">
        <f t="shared" si="75"/>
        <v>0</v>
      </c>
      <c r="Z390" s="69">
        <f t="shared" si="76"/>
        <v>0</v>
      </c>
      <c r="AA390" s="68">
        <f t="shared" si="77"/>
        <v>2.4729999999999999</v>
      </c>
      <c r="AB390" s="68">
        <f t="shared" si="78"/>
        <v>2.0179999999999998</v>
      </c>
    </row>
    <row r="391" spans="2:28">
      <c r="B391" s="110">
        <f>'115+260'!B392</f>
        <v>45629</v>
      </c>
      <c r="C391" s="80">
        <f t="shared" si="70"/>
        <v>1</v>
      </c>
      <c r="D391" s="79">
        <f t="shared" si="71"/>
        <v>1069</v>
      </c>
      <c r="E391" s="78">
        <f>VLOOKUP(B391,'115+260'!B392:AB392,3,FALSE)</f>
        <v>2033</v>
      </c>
      <c r="F391" s="75">
        <f t="shared" si="66"/>
        <v>3102</v>
      </c>
      <c r="G391" s="77">
        <f>VLOOKUP(B391,'115+260'!$B$15:$AB$647,20,FALSE)</f>
        <v>2053</v>
      </c>
      <c r="H391" s="77">
        <f>VLOOKUP(B391,'115+260'!$B$15:$AB$647,4,FALSE)</f>
        <v>549</v>
      </c>
      <c r="I391" s="74">
        <f t="shared" si="67"/>
        <v>2553</v>
      </c>
      <c r="J391" s="74">
        <f>VLOOKUP(B391,'115+260'!$B$15:$AB$647,13,FALSE)</f>
        <v>-447</v>
      </c>
      <c r="K391" s="72">
        <f>'115+260'!Q392</f>
        <v>0</v>
      </c>
      <c r="L391" s="71">
        <f t="shared" si="72"/>
        <v>247</v>
      </c>
      <c r="M391" s="76">
        <f>VLOOKUP(B391,'115+260'!$B$14:$AB$647,21,FALSE)</f>
        <v>2049</v>
      </c>
      <c r="N391" s="75">
        <f>VLOOKUP(B391,'115+260'!$B$15:$AB$647,5,FALSE)</f>
        <v>573</v>
      </c>
      <c r="O391" s="74">
        <f t="shared" si="68"/>
        <v>2529</v>
      </c>
      <c r="P391" s="74">
        <f>VLOOKUP(B391,'115+260'!$B$15:$AB$647,14,FALSE)</f>
        <v>-471</v>
      </c>
      <c r="Q391" s="72">
        <f>'115+260'!R392</f>
        <v>0</v>
      </c>
      <c r="R391" s="71">
        <f t="shared" si="73"/>
        <v>251</v>
      </c>
      <c r="S391" s="76">
        <f>VLOOKUP(B391,'115+260'!$B$14:$AB$647,22,FALSE)</f>
        <v>2091</v>
      </c>
      <c r="T391" s="75">
        <f>VLOOKUP(B391,'115+260'!$B$15:$AB$647,6,FALSE)</f>
        <v>561</v>
      </c>
      <c r="U391" s="74">
        <f t="shared" si="69"/>
        <v>2541</v>
      </c>
      <c r="V391" s="73">
        <f>VLOOKUP(B391,'115+260'!$B$15:$AB$647,15,FALSE)</f>
        <v>-459</v>
      </c>
      <c r="W391" s="72">
        <f>'115+260'!S392</f>
        <v>0</v>
      </c>
      <c r="X391" s="71">
        <f t="shared" si="74"/>
        <v>209</v>
      </c>
      <c r="Y391" s="70">
        <f t="shared" si="75"/>
        <v>0</v>
      </c>
      <c r="Z391" s="69">
        <f t="shared" si="76"/>
        <v>0</v>
      </c>
      <c r="AA391" s="68">
        <f t="shared" si="77"/>
        <v>2.4729999999999999</v>
      </c>
      <c r="AB391" s="68">
        <f t="shared" si="78"/>
        <v>2.0179999999999998</v>
      </c>
    </row>
    <row r="392" spans="2:28">
      <c r="B392" s="110">
        <f>'115+260'!B393</f>
        <v>45630</v>
      </c>
      <c r="C392" s="80">
        <f t="shared" si="70"/>
        <v>1</v>
      </c>
      <c r="D392" s="79">
        <f t="shared" si="71"/>
        <v>1069</v>
      </c>
      <c r="E392" s="78">
        <f>VLOOKUP(B392,'115+260'!B393:AB393,3,FALSE)</f>
        <v>2035</v>
      </c>
      <c r="F392" s="75">
        <f t="shared" si="66"/>
        <v>3104</v>
      </c>
      <c r="G392" s="77">
        <f>VLOOKUP(B392,'115+260'!$B$15:$AB$647,20,FALSE)</f>
        <v>2053</v>
      </c>
      <c r="H392" s="77">
        <f>VLOOKUP(B392,'115+260'!$B$15:$AB$647,4,FALSE)</f>
        <v>551</v>
      </c>
      <c r="I392" s="74">
        <f t="shared" si="67"/>
        <v>2553</v>
      </c>
      <c r="J392" s="74">
        <f>VLOOKUP(B392,'115+260'!$B$15:$AB$647,13,FALSE)</f>
        <v>-447</v>
      </c>
      <c r="K392" s="72">
        <f>'115+260'!Q393</f>
        <v>0</v>
      </c>
      <c r="L392" s="71">
        <f t="shared" si="72"/>
        <v>247</v>
      </c>
      <c r="M392" s="76">
        <f>VLOOKUP(B392,'115+260'!$B$14:$AB$647,21,FALSE)</f>
        <v>2049</v>
      </c>
      <c r="N392" s="75">
        <f>VLOOKUP(B392,'115+260'!$B$15:$AB$647,5,FALSE)</f>
        <v>575</v>
      </c>
      <c r="O392" s="74">
        <f t="shared" si="68"/>
        <v>2529</v>
      </c>
      <c r="P392" s="74">
        <f>VLOOKUP(B392,'115+260'!$B$15:$AB$647,14,FALSE)</f>
        <v>-471</v>
      </c>
      <c r="Q392" s="72">
        <f>'115+260'!R393</f>
        <v>0</v>
      </c>
      <c r="R392" s="71">
        <f t="shared" si="73"/>
        <v>251</v>
      </c>
      <c r="S392" s="76">
        <f>VLOOKUP(B392,'115+260'!$B$14:$AB$647,22,FALSE)</f>
        <v>2091</v>
      </c>
      <c r="T392" s="75">
        <f>VLOOKUP(B392,'115+260'!$B$15:$AB$647,6,FALSE)</f>
        <v>563</v>
      </c>
      <c r="U392" s="74">
        <f t="shared" si="69"/>
        <v>2541</v>
      </c>
      <c r="V392" s="73">
        <f>VLOOKUP(B392,'115+260'!$B$15:$AB$647,15,FALSE)</f>
        <v>-459</v>
      </c>
      <c r="W392" s="72">
        <f>'115+260'!S393</f>
        <v>0</v>
      </c>
      <c r="X392" s="71">
        <f t="shared" si="74"/>
        <v>209</v>
      </c>
      <c r="Y392" s="70">
        <f t="shared" si="75"/>
        <v>0</v>
      </c>
      <c r="Z392" s="69">
        <f t="shared" si="76"/>
        <v>0</v>
      </c>
      <c r="AA392" s="68">
        <f t="shared" si="77"/>
        <v>2.4729999999999999</v>
      </c>
      <c r="AB392" s="68">
        <f t="shared" si="78"/>
        <v>2.0179999999999998</v>
      </c>
    </row>
    <row r="393" spans="2:28">
      <c r="B393" s="110">
        <f>'115+260'!B394</f>
        <v>45631</v>
      </c>
      <c r="C393" s="80">
        <f t="shared" si="70"/>
        <v>1</v>
      </c>
      <c r="D393" s="79">
        <f t="shared" si="71"/>
        <v>1069</v>
      </c>
      <c r="E393" s="78">
        <f>VLOOKUP(B393,'115+260'!B394:AB394,3,FALSE)</f>
        <v>2037</v>
      </c>
      <c r="F393" s="75">
        <f t="shared" si="66"/>
        <v>3106</v>
      </c>
      <c r="G393" s="77">
        <f>VLOOKUP(B393,'115+260'!$B$15:$AB$647,20,FALSE)</f>
        <v>2053</v>
      </c>
      <c r="H393" s="77">
        <f>VLOOKUP(B393,'115+260'!$B$15:$AB$647,4,FALSE)</f>
        <v>553</v>
      </c>
      <c r="I393" s="74">
        <f t="shared" si="67"/>
        <v>2553</v>
      </c>
      <c r="J393" s="74">
        <f>VLOOKUP(B393,'115+260'!$B$15:$AB$647,13,FALSE)</f>
        <v>-447</v>
      </c>
      <c r="K393" s="72">
        <f>'115+260'!Q394</f>
        <v>0</v>
      </c>
      <c r="L393" s="71">
        <f t="shared" si="72"/>
        <v>247</v>
      </c>
      <c r="M393" s="76">
        <f>VLOOKUP(B393,'115+260'!$B$14:$AB$647,21,FALSE)</f>
        <v>2049</v>
      </c>
      <c r="N393" s="75">
        <f>VLOOKUP(B393,'115+260'!$B$15:$AB$647,5,FALSE)</f>
        <v>577</v>
      </c>
      <c r="O393" s="74">
        <f t="shared" si="68"/>
        <v>2529</v>
      </c>
      <c r="P393" s="74">
        <f>VLOOKUP(B393,'115+260'!$B$15:$AB$647,14,FALSE)</f>
        <v>-471</v>
      </c>
      <c r="Q393" s="72">
        <f>'115+260'!R394</f>
        <v>0</v>
      </c>
      <c r="R393" s="71">
        <f t="shared" si="73"/>
        <v>251</v>
      </c>
      <c r="S393" s="76">
        <f>VLOOKUP(B393,'115+260'!$B$14:$AB$647,22,FALSE)</f>
        <v>2091</v>
      </c>
      <c r="T393" s="75">
        <f>VLOOKUP(B393,'115+260'!$B$15:$AB$647,6,FALSE)</f>
        <v>565</v>
      </c>
      <c r="U393" s="74">
        <f t="shared" si="69"/>
        <v>2541</v>
      </c>
      <c r="V393" s="73">
        <f>VLOOKUP(B393,'115+260'!$B$15:$AB$647,15,FALSE)</f>
        <v>-459</v>
      </c>
      <c r="W393" s="72">
        <f>'115+260'!S394</f>
        <v>0</v>
      </c>
      <c r="X393" s="71">
        <f t="shared" si="74"/>
        <v>209</v>
      </c>
      <c r="Y393" s="70">
        <f t="shared" si="75"/>
        <v>0</v>
      </c>
      <c r="Z393" s="69">
        <f t="shared" si="76"/>
        <v>0</v>
      </c>
      <c r="AA393" s="68">
        <f t="shared" si="77"/>
        <v>2.4729999999999999</v>
      </c>
      <c r="AB393" s="68">
        <f t="shared" si="78"/>
        <v>2.0179999999999998</v>
      </c>
    </row>
    <row r="394" spans="2:28">
      <c r="B394" s="110">
        <f>'115+260'!B395</f>
        <v>45632</v>
      </c>
      <c r="C394" s="80">
        <f t="shared" si="70"/>
        <v>1</v>
      </c>
      <c r="D394" s="79">
        <f t="shared" si="71"/>
        <v>1069</v>
      </c>
      <c r="E394" s="78">
        <f>VLOOKUP(B394,'115+260'!B395:AB395,3,FALSE)</f>
        <v>2039</v>
      </c>
      <c r="F394" s="75">
        <f t="shared" si="66"/>
        <v>3108</v>
      </c>
      <c r="G394" s="77">
        <f>VLOOKUP(B394,'115+260'!$B$15:$AB$647,20,FALSE)</f>
        <v>2053</v>
      </c>
      <c r="H394" s="77">
        <f>VLOOKUP(B394,'115+260'!$B$15:$AB$647,4,FALSE)</f>
        <v>555</v>
      </c>
      <c r="I394" s="74">
        <f t="shared" si="67"/>
        <v>2553</v>
      </c>
      <c r="J394" s="74">
        <f>VLOOKUP(B394,'115+260'!$B$15:$AB$647,13,FALSE)</f>
        <v>-447</v>
      </c>
      <c r="K394" s="72">
        <f>'115+260'!Q395</f>
        <v>0</v>
      </c>
      <c r="L394" s="71">
        <f t="shared" si="72"/>
        <v>247</v>
      </c>
      <c r="M394" s="76">
        <f>VLOOKUP(B394,'115+260'!$B$14:$AB$647,21,FALSE)</f>
        <v>2049</v>
      </c>
      <c r="N394" s="75">
        <f>VLOOKUP(B394,'115+260'!$B$15:$AB$647,5,FALSE)</f>
        <v>579</v>
      </c>
      <c r="O394" s="74">
        <f t="shared" si="68"/>
        <v>2529</v>
      </c>
      <c r="P394" s="74">
        <f>VLOOKUP(B394,'115+260'!$B$15:$AB$647,14,FALSE)</f>
        <v>-471</v>
      </c>
      <c r="Q394" s="72">
        <f>'115+260'!R395</f>
        <v>0</v>
      </c>
      <c r="R394" s="71">
        <f t="shared" si="73"/>
        <v>251</v>
      </c>
      <c r="S394" s="76">
        <f>VLOOKUP(B394,'115+260'!$B$14:$AB$647,22,FALSE)</f>
        <v>2091</v>
      </c>
      <c r="T394" s="75">
        <f>VLOOKUP(B394,'115+260'!$B$15:$AB$647,6,FALSE)</f>
        <v>567</v>
      </c>
      <c r="U394" s="74">
        <f t="shared" si="69"/>
        <v>2541</v>
      </c>
      <c r="V394" s="73">
        <f>VLOOKUP(B394,'115+260'!$B$15:$AB$647,15,FALSE)</f>
        <v>-459</v>
      </c>
      <c r="W394" s="72">
        <f>'115+260'!S395</f>
        <v>0</v>
      </c>
      <c r="X394" s="71">
        <f t="shared" si="74"/>
        <v>209</v>
      </c>
      <c r="Y394" s="70">
        <f t="shared" si="75"/>
        <v>0</v>
      </c>
      <c r="Z394" s="69">
        <f t="shared" si="76"/>
        <v>0</v>
      </c>
      <c r="AA394" s="68">
        <f t="shared" si="77"/>
        <v>2.4729999999999999</v>
      </c>
      <c r="AB394" s="68">
        <f t="shared" si="78"/>
        <v>2.0179999999999998</v>
      </c>
    </row>
    <row r="395" spans="2:28">
      <c r="B395" s="110">
        <f>'115+260'!B396</f>
        <v>45633</v>
      </c>
      <c r="C395" s="80">
        <f t="shared" si="70"/>
        <v>1</v>
      </c>
      <c r="D395" s="79">
        <f t="shared" si="71"/>
        <v>1069</v>
      </c>
      <c r="E395" s="78">
        <f>VLOOKUP(B395,'115+260'!B396:AB396,3,FALSE)</f>
        <v>2041</v>
      </c>
      <c r="F395" s="75">
        <f t="shared" si="66"/>
        <v>3110</v>
      </c>
      <c r="G395" s="77">
        <f>VLOOKUP(B395,'115+260'!$B$15:$AB$647,20,FALSE)</f>
        <v>2053</v>
      </c>
      <c r="H395" s="77">
        <f>VLOOKUP(B395,'115+260'!$B$15:$AB$647,4,FALSE)</f>
        <v>557</v>
      </c>
      <c r="I395" s="74">
        <f t="shared" si="67"/>
        <v>2553</v>
      </c>
      <c r="J395" s="74">
        <f>VLOOKUP(B395,'115+260'!$B$15:$AB$647,13,FALSE)</f>
        <v>-447</v>
      </c>
      <c r="K395" s="72">
        <f>'115+260'!Q396</f>
        <v>0</v>
      </c>
      <c r="L395" s="71">
        <f t="shared" si="72"/>
        <v>247</v>
      </c>
      <c r="M395" s="76">
        <f>VLOOKUP(B395,'115+260'!$B$14:$AB$647,21,FALSE)</f>
        <v>2049</v>
      </c>
      <c r="N395" s="75">
        <f>VLOOKUP(B395,'115+260'!$B$15:$AB$647,5,FALSE)</f>
        <v>581</v>
      </c>
      <c r="O395" s="74">
        <f t="shared" si="68"/>
        <v>2529</v>
      </c>
      <c r="P395" s="74">
        <f>VLOOKUP(B395,'115+260'!$B$15:$AB$647,14,FALSE)</f>
        <v>-471</v>
      </c>
      <c r="Q395" s="72">
        <f>'115+260'!R396</f>
        <v>0</v>
      </c>
      <c r="R395" s="71">
        <f t="shared" si="73"/>
        <v>251</v>
      </c>
      <c r="S395" s="76">
        <f>VLOOKUP(B395,'115+260'!$B$14:$AB$647,22,FALSE)</f>
        <v>2091</v>
      </c>
      <c r="T395" s="75">
        <f>VLOOKUP(B395,'115+260'!$B$15:$AB$647,6,FALSE)</f>
        <v>569</v>
      </c>
      <c r="U395" s="74">
        <f t="shared" si="69"/>
        <v>2541</v>
      </c>
      <c r="V395" s="73">
        <f>VLOOKUP(B395,'115+260'!$B$15:$AB$647,15,FALSE)</f>
        <v>-459</v>
      </c>
      <c r="W395" s="72">
        <f>'115+260'!S396</f>
        <v>0</v>
      </c>
      <c r="X395" s="71">
        <f t="shared" si="74"/>
        <v>209</v>
      </c>
      <c r="Y395" s="70">
        <f t="shared" si="75"/>
        <v>0</v>
      </c>
      <c r="Z395" s="69">
        <f t="shared" si="76"/>
        <v>0</v>
      </c>
      <c r="AA395" s="68">
        <f t="shared" si="77"/>
        <v>2.4729999999999999</v>
      </c>
      <c r="AB395" s="68">
        <f t="shared" si="78"/>
        <v>2.0179999999999998</v>
      </c>
    </row>
    <row r="396" spans="2:28">
      <c r="B396" s="110">
        <f>'115+260'!B397</f>
        <v>45634</v>
      </c>
      <c r="C396" s="80">
        <f t="shared" si="70"/>
        <v>1</v>
      </c>
      <c r="D396" s="79">
        <f t="shared" si="71"/>
        <v>1069</v>
      </c>
      <c r="E396" s="78">
        <f>VLOOKUP(B396,'115+260'!B397:AB397,3,FALSE)</f>
        <v>2043</v>
      </c>
      <c r="F396" s="75">
        <f t="shared" si="66"/>
        <v>3112</v>
      </c>
      <c r="G396" s="77">
        <f>VLOOKUP(B396,'115+260'!$B$15:$AB$647,20,FALSE)</f>
        <v>2053</v>
      </c>
      <c r="H396" s="77">
        <f>VLOOKUP(B396,'115+260'!$B$15:$AB$647,4,FALSE)</f>
        <v>559</v>
      </c>
      <c r="I396" s="74">
        <f t="shared" si="67"/>
        <v>2553</v>
      </c>
      <c r="J396" s="74">
        <f>VLOOKUP(B396,'115+260'!$B$15:$AB$647,13,FALSE)</f>
        <v>-447</v>
      </c>
      <c r="K396" s="72">
        <f>'115+260'!Q397</f>
        <v>0</v>
      </c>
      <c r="L396" s="71">
        <f t="shared" si="72"/>
        <v>247</v>
      </c>
      <c r="M396" s="76">
        <f>VLOOKUP(B396,'115+260'!$B$14:$AB$647,21,FALSE)</f>
        <v>2049</v>
      </c>
      <c r="N396" s="75">
        <f>VLOOKUP(B396,'115+260'!$B$15:$AB$647,5,FALSE)</f>
        <v>583</v>
      </c>
      <c r="O396" s="74">
        <f t="shared" si="68"/>
        <v>2529</v>
      </c>
      <c r="P396" s="74">
        <f>VLOOKUP(B396,'115+260'!$B$15:$AB$647,14,FALSE)</f>
        <v>-471</v>
      </c>
      <c r="Q396" s="72">
        <f>'115+260'!R397</f>
        <v>0</v>
      </c>
      <c r="R396" s="71">
        <f t="shared" si="73"/>
        <v>251</v>
      </c>
      <c r="S396" s="76">
        <f>VLOOKUP(B396,'115+260'!$B$14:$AB$647,22,FALSE)</f>
        <v>2091</v>
      </c>
      <c r="T396" s="75">
        <f>VLOOKUP(B396,'115+260'!$B$15:$AB$647,6,FALSE)</f>
        <v>571</v>
      </c>
      <c r="U396" s="74">
        <f t="shared" si="69"/>
        <v>2541</v>
      </c>
      <c r="V396" s="73">
        <f>VLOOKUP(B396,'115+260'!$B$15:$AB$647,15,FALSE)</f>
        <v>-459</v>
      </c>
      <c r="W396" s="72">
        <f>'115+260'!S397</f>
        <v>0</v>
      </c>
      <c r="X396" s="71">
        <f t="shared" si="74"/>
        <v>209</v>
      </c>
      <c r="Y396" s="70">
        <f t="shared" si="75"/>
        <v>0</v>
      </c>
      <c r="Z396" s="69">
        <f t="shared" si="76"/>
        <v>0</v>
      </c>
      <c r="AA396" s="68">
        <f t="shared" si="77"/>
        <v>2.4729999999999999</v>
      </c>
      <c r="AB396" s="68">
        <f t="shared" si="78"/>
        <v>2.0179999999999998</v>
      </c>
    </row>
    <row r="397" spans="2:28">
      <c r="B397" s="110">
        <f>'115+260'!B398</f>
        <v>45635</v>
      </c>
      <c r="C397" s="80">
        <f t="shared" si="70"/>
        <v>1</v>
      </c>
      <c r="D397" s="79">
        <f t="shared" si="71"/>
        <v>1069</v>
      </c>
      <c r="E397" s="78">
        <f>VLOOKUP(B397,'115+260'!B398:AB398,3,FALSE)</f>
        <v>2045</v>
      </c>
      <c r="F397" s="75">
        <f t="shared" ref="F397:F460" si="79">D397+E397</f>
        <v>3114</v>
      </c>
      <c r="G397" s="77">
        <f>VLOOKUP(B397,'115+260'!$B$15:$AB$647,20,FALSE)</f>
        <v>2053</v>
      </c>
      <c r="H397" s="77">
        <f>VLOOKUP(B397,'115+260'!$B$15:$AB$647,4,FALSE)</f>
        <v>561</v>
      </c>
      <c r="I397" s="74">
        <f t="shared" ref="I397:I460" si="80">F397-H397</f>
        <v>2553</v>
      </c>
      <c r="J397" s="74">
        <f>VLOOKUP(B397,'115+260'!$B$15:$AB$647,13,FALSE)</f>
        <v>-447</v>
      </c>
      <c r="K397" s="72">
        <f>'115+260'!Q398</f>
        <v>0</v>
      </c>
      <c r="L397" s="71">
        <f t="shared" si="72"/>
        <v>247</v>
      </c>
      <c r="M397" s="76">
        <f>VLOOKUP(B397,'115+260'!$B$14:$AB$647,21,FALSE)</f>
        <v>2049</v>
      </c>
      <c r="N397" s="75">
        <f>VLOOKUP(B397,'115+260'!$B$15:$AB$647,5,FALSE)</f>
        <v>585</v>
      </c>
      <c r="O397" s="74">
        <f t="shared" ref="O397:O460" si="81">F397-N397</f>
        <v>2529</v>
      </c>
      <c r="P397" s="74">
        <f>VLOOKUP(B397,'115+260'!$B$15:$AB$647,14,FALSE)</f>
        <v>-471</v>
      </c>
      <c r="Q397" s="72">
        <f>'115+260'!R398</f>
        <v>0</v>
      </c>
      <c r="R397" s="71">
        <f t="shared" si="73"/>
        <v>251</v>
      </c>
      <c r="S397" s="76">
        <f>VLOOKUP(B397,'115+260'!$B$14:$AB$647,22,FALSE)</f>
        <v>2091</v>
      </c>
      <c r="T397" s="75">
        <f>VLOOKUP(B397,'115+260'!$B$15:$AB$647,6,FALSE)</f>
        <v>573</v>
      </c>
      <c r="U397" s="74">
        <f t="shared" ref="U397:U460" si="82">F397-T397</f>
        <v>2541</v>
      </c>
      <c r="V397" s="73">
        <f>VLOOKUP(B397,'115+260'!$B$15:$AB$647,15,FALSE)</f>
        <v>-459</v>
      </c>
      <c r="W397" s="72">
        <f>'115+260'!S398</f>
        <v>0</v>
      </c>
      <c r="X397" s="71">
        <f t="shared" si="74"/>
        <v>209</v>
      </c>
      <c r="Y397" s="70">
        <f t="shared" si="75"/>
        <v>0</v>
      </c>
      <c r="Z397" s="69">
        <f t="shared" si="76"/>
        <v>0</v>
      </c>
      <c r="AA397" s="68">
        <f t="shared" si="77"/>
        <v>2.4729999999999999</v>
      </c>
      <c r="AB397" s="68">
        <f t="shared" si="78"/>
        <v>2.0179999999999998</v>
      </c>
    </row>
    <row r="398" spans="2:28">
      <c r="B398" s="110">
        <f>'115+260'!B399</f>
        <v>45636</v>
      </c>
      <c r="C398" s="80">
        <f t="shared" ref="C398:C461" si="83">B398-B397</f>
        <v>1</v>
      </c>
      <c r="D398" s="79">
        <f t="shared" ref="D398:D461" si="84">D397</f>
        <v>1069</v>
      </c>
      <c r="E398" s="78">
        <f>VLOOKUP(B398,'115+260'!B399:AB399,3,FALSE)</f>
        <v>2047</v>
      </c>
      <c r="F398" s="75">
        <f t="shared" si="79"/>
        <v>3116</v>
      </c>
      <c r="G398" s="77">
        <f>VLOOKUP(B398,'115+260'!$B$15:$AB$647,20,FALSE)</f>
        <v>2053</v>
      </c>
      <c r="H398" s="77">
        <f>VLOOKUP(B398,'115+260'!$B$15:$AB$647,4,FALSE)</f>
        <v>563</v>
      </c>
      <c r="I398" s="74">
        <f t="shared" si="80"/>
        <v>2553</v>
      </c>
      <c r="J398" s="74">
        <f>VLOOKUP(B398,'115+260'!$B$15:$AB$647,13,FALSE)</f>
        <v>-447</v>
      </c>
      <c r="K398" s="72">
        <f>'115+260'!Q399</f>
        <v>0</v>
      </c>
      <c r="L398" s="71">
        <f t="shared" ref="L398:L461" si="85">+K398+L397</f>
        <v>247</v>
      </c>
      <c r="M398" s="76">
        <f>VLOOKUP(B398,'115+260'!$B$14:$AB$647,21,FALSE)</f>
        <v>2049</v>
      </c>
      <c r="N398" s="75">
        <f>VLOOKUP(B398,'115+260'!$B$15:$AB$647,5,FALSE)</f>
        <v>587</v>
      </c>
      <c r="O398" s="74">
        <f t="shared" si="81"/>
        <v>2529</v>
      </c>
      <c r="P398" s="74">
        <f>VLOOKUP(B398,'115+260'!$B$15:$AB$647,14,FALSE)</f>
        <v>-471</v>
      </c>
      <c r="Q398" s="72">
        <f>'115+260'!R399</f>
        <v>0</v>
      </c>
      <c r="R398" s="71">
        <f t="shared" ref="R398:R461" si="86">+Q398+R397</f>
        <v>251</v>
      </c>
      <c r="S398" s="76">
        <f>VLOOKUP(B398,'115+260'!$B$14:$AB$647,22,FALSE)</f>
        <v>2091</v>
      </c>
      <c r="T398" s="75">
        <f>VLOOKUP(B398,'115+260'!$B$15:$AB$647,6,FALSE)</f>
        <v>575</v>
      </c>
      <c r="U398" s="74">
        <f t="shared" si="82"/>
        <v>2541</v>
      </c>
      <c r="V398" s="73">
        <f>VLOOKUP(B398,'115+260'!$B$15:$AB$647,15,FALSE)</f>
        <v>-459</v>
      </c>
      <c r="W398" s="72">
        <f>'115+260'!S399</f>
        <v>0</v>
      </c>
      <c r="X398" s="71">
        <f t="shared" ref="X398:X461" si="87">+W398+X397</f>
        <v>209</v>
      </c>
      <c r="Y398" s="70">
        <f t="shared" ref="Y398:Y461" si="88">S398-S397</f>
        <v>0</v>
      </c>
      <c r="Z398" s="69">
        <f t="shared" ref="Z398:Z461" si="89">IF(Y398&gt;0,Y398,0)/1000</f>
        <v>0</v>
      </c>
      <c r="AA398" s="68">
        <f t="shared" ref="AA398:AA461" si="90">AA397+Z398</f>
        <v>2.4729999999999999</v>
      </c>
      <c r="AB398" s="68">
        <f t="shared" ref="AB398:AB461" si="91">(M398-$M$13-R398)/1000</f>
        <v>2.0179999999999998</v>
      </c>
    </row>
    <row r="399" spans="2:28">
      <c r="B399" s="110">
        <f>'115+260'!B400</f>
        <v>45637</v>
      </c>
      <c r="C399" s="80">
        <f t="shared" si="83"/>
        <v>1</v>
      </c>
      <c r="D399" s="79">
        <f t="shared" si="84"/>
        <v>1069</v>
      </c>
      <c r="E399" s="78">
        <f>VLOOKUP(B399,'115+260'!B400:AB400,3,FALSE)</f>
        <v>2049</v>
      </c>
      <c r="F399" s="75">
        <f t="shared" si="79"/>
        <v>3118</v>
      </c>
      <c r="G399" s="77">
        <f>VLOOKUP(B399,'115+260'!$B$15:$AB$647,20,FALSE)</f>
        <v>2333</v>
      </c>
      <c r="H399" s="77">
        <f>VLOOKUP(B399,'115+260'!$B$15:$AB$647,4,FALSE)</f>
        <v>575</v>
      </c>
      <c r="I399" s="74">
        <f t="shared" si="80"/>
        <v>2543</v>
      </c>
      <c r="J399" s="74">
        <f>VLOOKUP(B399,'115+260'!$B$15:$AB$647,13,FALSE)</f>
        <v>-457</v>
      </c>
      <c r="K399" s="72">
        <f>'115+260'!Q400</f>
        <v>10</v>
      </c>
      <c r="L399" s="71">
        <f t="shared" si="85"/>
        <v>257</v>
      </c>
      <c r="M399" s="76">
        <f>VLOOKUP(B399,'115+260'!$B$14:$AB$647,21,FALSE)</f>
        <v>2329</v>
      </c>
      <c r="N399" s="75">
        <f>VLOOKUP(B399,'115+260'!$B$15:$AB$647,5,FALSE)</f>
        <v>599</v>
      </c>
      <c r="O399" s="74">
        <f t="shared" si="81"/>
        <v>2519</v>
      </c>
      <c r="P399" s="74">
        <f>VLOOKUP(B399,'115+260'!$B$15:$AB$647,14,FALSE)</f>
        <v>-481</v>
      </c>
      <c r="Q399" s="72">
        <f>'115+260'!R400</f>
        <v>10</v>
      </c>
      <c r="R399" s="71">
        <f t="shared" si="86"/>
        <v>261</v>
      </c>
      <c r="S399" s="76">
        <f>VLOOKUP(B399,'115+260'!$B$14:$AB$647,22,FALSE)</f>
        <v>2371</v>
      </c>
      <c r="T399" s="75">
        <f>VLOOKUP(B399,'115+260'!$B$15:$AB$647,6,FALSE)</f>
        <v>587</v>
      </c>
      <c r="U399" s="74">
        <f t="shared" si="82"/>
        <v>2531</v>
      </c>
      <c r="V399" s="73">
        <f>VLOOKUP(B399,'115+260'!$B$15:$AB$647,15,FALSE)</f>
        <v>-469</v>
      </c>
      <c r="W399" s="72">
        <f>'115+260'!S400</f>
        <v>10</v>
      </c>
      <c r="X399" s="71">
        <f t="shared" si="87"/>
        <v>219</v>
      </c>
      <c r="Y399" s="70">
        <f t="shared" si="88"/>
        <v>280</v>
      </c>
      <c r="Z399" s="69">
        <f t="shared" si="89"/>
        <v>0.28000000000000003</v>
      </c>
      <c r="AA399" s="68">
        <f t="shared" si="90"/>
        <v>2.7530000000000001</v>
      </c>
      <c r="AB399" s="68">
        <f t="shared" si="91"/>
        <v>2.2879999999999998</v>
      </c>
    </row>
    <row r="400" spans="2:28">
      <c r="B400" s="110">
        <f>'115+260'!B401</f>
        <v>45638</v>
      </c>
      <c r="C400" s="80">
        <f t="shared" si="83"/>
        <v>1</v>
      </c>
      <c r="D400" s="79">
        <f t="shared" si="84"/>
        <v>1069</v>
      </c>
      <c r="E400" s="78">
        <f>VLOOKUP(B400,'115+260'!B401:AB401,3,FALSE)</f>
        <v>2051</v>
      </c>
      <c r="F400" s="75">
        <f t="shared" si="79"/>
        <v>3120</v>
      </c>
      <c r="G400" s="77">
        <f>VLOOKUP(B400,'115+260'!$B$15:$AB$647,20,FALSE)</f>
        <v>2325</v>
      </c>
      <c r="H400" s="77">
        <f>VLOOKUP(B400,'115+260'!$B$15:$AB$647,4,FALSE)</f>
        <v>585</v>
      </c>
      <c r="I400" s="74">
        <f t="shared" si="80"/>
        <v>2535</v>
      </c>
      <c r="J400" s="74">
        <f>VLOOKUP(B400,'115+260'!$B$15:$AB$647,13,FALSE)</f>
        <v>-465</v>
      </c>
      <c r="K400" s="72">
        <f>'115+260'!Q401</f>
        <v>8</v>
      </c>
      <c r="L400" s="71">
        <f t="shared" si="85"/>
        <v>265</v>
      </c>
      <c r="M400" s="76">
        <f>VLOOKUP(B400,'115+260'!$B$14:$AB$647,21,FALSE)</f>
        <v>2319</v>
      </c>
      <c r="N400" s="75">
        <f>VLOOKUP(B400,'115+260'!$B$15:$AB$647,5,FALSE)</f>
        <v>611</v>
      </c>
      <c r="O400" s="74">
        <f t="shared" si="81"/>
        <v>2509</v>
      </c>
      <c r="P400" s="74">
        <f>VLOOKUP(B400,'115+260'!$B$15:$AB$647,14,FALSE)</f>
        <v>-491</v>
      </c>
      <c r="Q400" s="72">
        <f>'115+260'!R401</f>
        <v>10</v>
      </c>
      <c r="R400" s="71">
        <f t="shared" si="86"/>
        <v>271</v>
      </c>
      <c r="S400" s="76">
        <f>VLOOKUP(B400,'115+260'!$B$14:$AB$647,22,FALSE)</f>
        <v>2361</v>
      </c>
      <c r="T400" s="75">
        <f>VLOOKUP(B400,'115+260'!$B$15:$AB$647,6,FALSE)</f>
        <v>599</v>
      </c>
      <c r="U400" s="74">
        <f t="shared" si="82"/>
        <v>2521</v>
      </c>
      <c r="V400" s="73">
        <f>VLOOKUP(B400,'115+260'!$B$15:$AB$647,15,FALSE)</f>
        <v>-479</v>
      </c>
      <c r="W400" s="72">
        <f>'115+260'!S401</f>
        <v>10</v>
      </c>
      <c r="X400" s="71">
        <f t="shared" si="87"/>
        <v>229</v>
      </c>
      <c r="Y400" s="70">
        <f t="shared" si="88"/>
        <v>-10</v>
      </c>
      <c r="Z400" s="69">
        <f t="shared" si="89"/>
        <v>0</v>
      </c>
      <c r="AA400" s="68">
        <f t="shared" si="90"/>
        <v>2.7530000000000001</v>
      </c>
      <c r="AB400" s="68">
        <f t="shared" si="91"/>
        <v>2.2679999999999998</v>
      </c>
    </row>
    <row r="401" spans="2:28">
      <c r="B401" s="110">
        <f>'115+260'!B402</f>
        <v>45639</v>
      </c>
      <c r="C401" s="80">
        <f t="shared" si="83"/>
        <v>1</v>
      </c>
      <c r="D401" s="79">
        <f t="shared" si="84"/>
        <v>1069</v>
      </c>
      <c r="E401" s="78">
        <f>VLOOKUP(B401,'115+260'!B402:AB402,3,FALSE)</f>
        <v>2053</v>
      </c>
      <c r="F401" s="75">
        <f t="shared" si="79"/>
        <v>3122</v>
      </c>
      <c r="G401" s="77">
        <f>VLOOKUP(B401,'115+260'!$B$15:$AB$647,20,FALSE)</f>
        <v>2319</v>
      </c>
      <c r="H401" s="77">
        <f>VLOOKUP(B401,'115+260'!$B$15:$AB$647,4,FALSE)</f>
        <v>593</v>
      </c>
      <c r="I401" s="74">
        <f t="shared" si="80"/>
        <v>2529</v>
      </c>
      <c r="J401" s="74">
        <f>VLOOKUP(B401,'115+260'!$B$15:$AB$647,13,FALSE)</f>
        <v>-471</v>
      </c>
      <c r="K401" s="72">
        <f>'115+260'!Q402</f>
        <v>6</v>
      </c>
      <c r="L401" s="71">
        <f t="shared" si="85"/>
        <v>271</v>
      </c>
      <c r="M401" s="76">
        <f>VLOOKUP(B401,'115+260'!$B$14:$AB$647,21,FALSE)</f>
        <v>2313</v>
      </c>
      <c r="N401" s="75">
        <f>VLOOKUP(B401,'115+260'!$B$15:$AB$647,5,FALSE)</f>
        <v>619</v>
      </c>
      <c r="O401" s="74">
        <f t="shared" si="81"/>
        <v>2503</v>
      </c>
      <c r="P401" s="74">
        <f>VLOOKUP(B401,'115+260'!$B$15:$AB$647,14,FALSE)</f>
        <v>-497</v>
      </c>
      <c r="Q401" s="72">
        <f>'115+260'!R402</f>
        <v>6</v>
      </c>
      <c r="R401" s="71">
        <f t="shared" si="86"/>
        <v>277</v>
      </c>
      <c r="S401" s="76">
        <f>VLOOKUP(B401,'115+260'!$B$14:$AB$647,22,FALSE)</f>
        <v>2351</v>
      </c>
      <c r="T401" s="75">
        <f>VLOOKUP(B401,'115+260'!$B$15:$AB$647,6,FALSE)</f>
        <v>611</v>
      </c>
      <c r="U401" s="74">
        <f t="shared" si="82"/>
        <v>2511</v>
      </c>
      <c r="V401" s="73">
        <f>VLOOKUP(B401,'115+260'!$B$15:$AB$647,15,FALSE)</f>
        <v>-489</v>
      </c>
      <c r="W401" s="72">
        <f>'115+260'!S402</f>
        <v>10</v>
      </c>
      <c r="X401" s="71">
        <f t="shared" si="87"/>
        <v>239</v>
      </c>
      <c r="Y401" s="70">
        <f t="shared" si="88"/>
        <v>-10</v>
      </c>
      <c r="Z401" s="69">
        <f t="shared" si="89"/>
        <v>0</v>
      </c>
      <c r="AA401" s="68">
        <f t="shared" si="90"/>
        <v>2.7530000000000001</v>
      </c>
      <c r="AB401" s="68">
        <f t="shared" si="91"/>
        <v>2.2559999999999998</v>
      </c>
    </row>
    <row r="402" spans="2:28">
      <c r="B402" s="110">
        <f>'115+260'!B403</f>
        <v>45640</v>
      </c>
      <c r="C402" s="80">
        <f t="shared" si="83"/>
        <v>1</v>
      </c>
      <c r="D402" s="79">
        <f t="shared" si="84"/>
        <v>1069</v>
      </c>
      <c r="E402" s="78">
        <f>VLOOKUP(B402,'115+260'!B403:AB403,3,FALSE)</f>
        <v>2055</v>
      </c>
      <c r="F402" s="75">
        <f t="shared" si="79"/>
        <v>3124</v>
      </c>
      <c r="G402" s="77">
        <f>VLOOKUP(B402,'115+260'!$B$15:$AB$647,20,FALSE)</f>
        <v>2313</v>
      </c>
      <c r="H402" s="77">
        <f>VLOOKUP(B402,'115+260'!$B$15:$AB$647,4,FALSE)</f>
        <v>601</v>
      </c>
      <c r="I402" s="74">
        <f t="shared" si="80"/>
        <v>2523</v>
      </c>
      <c r="J402" s="74">
        <f>VLOOKUP(B402,'115+260'!$B$15:$AB$647,13,FALSE)</f>
        <v>-477</v>
      </c>
      <c r="K402" s="72">
        <f>'115+260'!Q403</f>
        <v>6</v>
      </c>
      <c r="L402" s="71">
        <f t="shared" si="85"/>
        <v>277</v>
      </c>
      <c r="M402" s="76">
        <f>VLOOKUP(B402,'115+260'!$B$14:$AB$647,21,FALSE)</f>
        <v>2305</v>
      </c>
      <c r="N402" s="75">
        <f>VLOOKUP(B402,'115+260'!$B$15:$AB$647,5,FALSE)</f>
        <v>629</v>
      </c>
      <c r="O402" s="74">
        <f t="shared" si="81"/>
        <v>2495</v>
      </c>
      <c r="P402" s="74">
        <f>VLOOKUP(B402,'115+260'!$B$15:$AB$647,14,FALSE)</f>
        <v>-505</v>
      </c>
      <c r="Q402" s="72">
        <f>'115+260'!R403</f>
        <v>8</v>
      </c>
      <c r="R402" s="71">
        <f t="shared" si="86"/>
        <v>285</v>
      </c>
      <c r="S402" s="76">
        <f>VLOOKUP(B402,'115+260'!$B$14:$AB$647,22,FALSE)</f>
        <v>2344</v>
      </c>
      <c r="T402" s="75">
        <f>VLOOKUP(B402,'115+260'!$B$15:$AB$647,6,FALSE)</f>
        <v>620</v>
      </c>
      <c r="U402" s="74">
        <f t="shared" si="82"/>
        <v>2504</v>
      </c>
      <c r="V402" s="73">
        <f>VLOOKUP(B402,'115+260'!$B$15:$AB$647,15,FALSE)</f>
        <v>-496</v>
      </c>
      <c r="W402" s="72">
        <f>'115+260'!S403</f>
        <v>7</v>
      </c>
      <c r="X402" s="71">
        <f t="shared" si="87"/>
        <v>246</v>
      </c>
      <c r="Y402" s="70">
        <f t="shared" si="88"/>
        <v>-7</v>
      </c>
      <c r="Z402" s="69">
        <f t="shared" si="89"/>
        <v>0</v>
      </c>
      <c r="AA402" s="68">
        <f t="shared" si="90"/>
        <v>2.7530000000000001</v>
      </c>
      <c r="AB402" s="68">
        <f t="shared" si="91"/>
        <v>2.2400000000000002</v>
      </c>
    </row>
    <row r="403" spans="2:28">
      <c r="B403" s="110">
        <f>'115+260'!B404</f>
        <v>45641</v>
      </c>
      <c r="C403" s="80">
        <f t="shared" si="83"/>
        <v>1</v>
      </c>
      <c r="D403" s="79">
        <f t="shared" si="84"/>
        <v>1069</v>
      </c>
      <c r="E403" s="78">
        <f>VLOOKUP(B403,'115+260'!B404:AB404,3,FALSE)</f>
        <v>2057</v>
      </c>
      <c r="F403" s="75">
        <f t="shared" si="79"/>
        <v>3126</v>
      </c>
      <c r="G403" s="77">
        <f>VLOOKUP(B403,'115+260'!$B$15:$AB$647,20,FALSE)</f>
        <v>2307</v>
      </c>
      <c r="H403" s="77">
        <f>VLOOKUP(B403,'115+260'!$B$15:$AB$647,4,FALSE)</f>
        <v>609</v>
      </c>
      <c r="I403" s="74">
        <f t="shared" si="80"/>
        <v>2517</v>
      </c>
      <c r="J403" s="74">
        <f>VLOOKUP(B403,'115+260'!$B$15:$AB$647,13,FALSE)</f>
        <v>-483</v>
      </c>
      <c r="K403" s="72">
        <f>'115+260'!Q404</f>
        <v>6</v>
      </c>
      <c r="L403" s="71">
        <f t="shared" si="85"/>
        <v>283</v>
      </c>
      <c r="M403" s="76">
        <f>VLOOKUP(B403,'115+260'!$B$14:$AB$647,21,FALSE)</f>
        <v>2297</v>
      </c>
      <c r="N403" s="75">
        <f>VLOOKUP(B403,'115+260'!$B$15:$AB$647,5,FALSE)</f>
        <v>639</v>
      </c>
      <c r="O403" s="74">
        <f t="shared" si="81"/>
        <v>2487</v>
      </c>
      <c r="P403" s="74">
        <f>VLOOKUP(B403,'115+260'!$B$15:$AB$647,14,FALSE)</f>
        <v>-513</v>
      </c>
      <c r="Q403" s="72">
        <f>'115+260'!R404</f>
        <v>8</v>
      </c>
      <c r="R403" s="71">
        <f t="shared" si="86"/>
        <v>293</v>
      </c>
      <c r="S403" s="76">
        <f>VLOOKUP(B403,'115+260'!$B$14:$AB$647,22,FALSE)</f>
        <v>2337</v>
      </c>
      <c r="T403" s="75">
        <f>VLOOKUP(B403,'115+260'!$B$15:$AB$647,6,FALSE)</f>
        <v>629</v>
      </c>
      <c r="U403" s="74">
        <f t="shared" si="82"/>
        <v>2497</v>
      </c>
      <c r="V403" s="73">
        <f>VLOOKUP(B403,'115+260'!$B$15:$AB$647,15,FALSE)</f>
        <v>-503</v>
      </c>
      <c r="W403" s="72">
        <f>'115+260'!S404</f>
        <v>7</v>
      </c>
      <c r="X403" s="71">
        <f t="shared" si="87"/>
        <v>253</v>
      </c>
      <c r="Y403" s="70">
        <f t="shared" si="88"/>
        <v>-7</v>
      </c>
      <c r="Z403" s="69">
        <f t="shared" si="89"/>
        <v>0</v>
      </c>
      <c r="AA403" s="68">
        <f t="shared" si="90"/>
        <v>2.7530000000000001</v>
      </c>
      <c r="AB403" s="68">
        <f t="shared" si="91"/>
        <v>2.2240000000000002</v>
      </c>
    </row>
    <row r="404" spans="2:28">
      <c r="B404" s="110">
        <f>'115+260'!B405</f>
        <v>45642</v>
      </c>
      <c r="C404" s="80">
        <f t="shared" si="83"/>
        <v>1</v>
      </c>
      <c r="D404" s="79">
        <f t="shared" si="84"/>
        <v>1069</v>
      </c>
      <c r="E404" s="78">
        <f>VLOOKUP(B404,'115+260'!B405:AB405,3,FALSE)</f>
        <v>2059</v>
      </c>
      <c r="F404" s="75">
        <f t="shared" si="79"/>
        <v>3128</v>
      </c>
      <c r="G404" s="77">
        <f>VLOOKUP(B404,'115+260'!$B$15:$AB$647,20,FALSE)</f>
        <v>2597</v>
      </c>
      <c r="H404" s="77">
        <f>VLOOKUP(B404,'115+260'!$B$15:$AB$647,4,FALSE)</f>
        <v>621</v>
      </c>
      <c r="I404" s="74">
        <f t="shared" si="80"/>
        <v>2507</v>
      </c>
      <c r="J404" s="74">
        <f>VLOOKUP(B404,'115+260'!$B$15:$AB$647,13,FALSE)</f>
        <v>-493</v>
      </c>
      <c r="K404" s="72">
        <f>'115+260'!Q405</f>
        <v>10</v>
      </c>
      <c r="L404" s="71">
        <f t="shared" si="85"/>
        <v>293</v>
      </c>
      <c r="M404" s="76">
        <f>VLOOKUP(B404,'115+260'!$B$14:$AB$647,21,FALSE)</f>
        <v>2587</v>
      </c>
      <c r="N404" s="75">
        <f>VLOOKUP(B404,'115+260'!$B$15:$AB$647,5,FALSE)</f>
        <v>651</v>
      </c>
      <c r="O404" s="74">
        <f t="shared" si="81"/>
        <v>2477</v>
      </c>
      <c r="P404" s="74">
        <f>VLOOKUP(B404,'115+260'!$B$15:$AB$647,14,FALSE)</f>
        <v>-523</v>
      </c>
      <c r="Q404" s="72">
        <f>'115+260'!R405</f>
        <v>10</v>
      </c>
      <c r="R404" s="71">
        <f t="shared" si="86"/>
        <v>303</v>
      </c>
      <c r="S404" s="76">
        <f>VLOOKUP(B404,'115+260'!$B$14:$AB$647,22,FALSE)</f>
        <v>2627</v>
      </c>
      <c r="T404" s="75">
        <f>VLOOKUP(B404,'115+260'!$B$15:$AB$647,6,FALSE)</f>
        <v>641</v>
      </c>
      <c r="U404" s="74">
        <f t="shared" si="82"/>
        <v>2487</v>
      </c>
      <c r="V404" s="73">
        <f>VLOOKUP(B404,'115+260'!$B$15:$AB$647,15,FALSE)</f>
        <v>-513</v>
      </c>
      <c r="W404" s="72">
        <f>'115+260'!S405</f>
        <v>10</v>
      </c>
      <c r="X404" s="71">
        <f t="shared" si="87"/>
        <v>263</v>
      </c>
      <c r="Y404" s="70">
        <f t="shared" si="88"/>
        <v>290</v>
      </c>
      <c r="Z404" s="69">
        <f t="shared" si="89"/>
        <v>0.28999999999999998</v>
      </c>
      <c r="AA404" s="68">
        <f t="shared" si="90"/>
        <v>3.0430000000000001</v>
      </c>
      <c r="AB404" s="68">
        <f t="shared" si="91"/>
        <v>2.504</v>
      </c>
    </row>
    <row r="405" spans="2:28">
      <c r="B405" s="110">
        <f>'115+260'!B406</f>
        <v>45643</v>
      </c>
      <c r="C405" s="80">
        <f t="shared" si="83"/>
        <v>1</v>
      </c>
      <c r="D405" s="79">
        <f t="shared" si="84"/>
        <v>1069</v>
      </c>
      <c r="E405" s="78">
        <f>VLOOKUP(B405,'115+260'!B406:AB406,3,FALSE)</f>
        <v>2061</v>
      </c>
      <c r="F405" s="75">
        <f t="shared" si="79"/>
        <v>3130</v>
      </c>
      <c r="G405" s="77">
        <f>VLOOKUP(B405,'115+260'!$B$15:$AB$647,20,FALSE)</f>
        <v>2587</v>
      </c>
      <c r="H405" s="77">
        <f>VLOOKUP(B405,'115+260'!$B$15:$AB$647,4,FALSE)</f>
        <v>633</v>
      </c>
      <c r="I405" s="74">
        <f t="shared" si="80"/>
        <v>2497</v>
      </c>
      <c r="J405" s="74">
        <f>VLOOKUP(B405,'115+260'!$B$15:$AB$647,13,FALSE)</f>
        <v>-503</v>
      </c>
      <c r="K405" s="72">
        <f>'115+260'!Q406</f>
        <v>10</v>
      </c>
      <c r="L405" s="71">
        <f t="shared" si="85"/>
        <v>303</v>
      </c>
      <c r="M405" s="76">
        <f>VLOOKUP(B405,'115+260'!$B$14:$AB$647,21,FALSE)</f>
        <v>2578</v>
      </c>
      <c r="N405" s="75">
        <f>VLOOKUP(B405,'115+260'!$B$15:$AB$647,5,FALSE)</f>
        <v>662</v>
      </c>
      <c r="O405" s="74">
        <f t="shared" si="81"/>
        <v>2468</v>
      </c>
      <c r="P405" s="74">
        <f>VLOOKUP(B405,'115+260'!$B$15:$AB$647,14,FALSE)</f>
        <v>-532</v>
      </c>
      <c r="Q405" s="72">
        <f>'115+260'!R406</f>
        <v>9</v>
      </c>
      <c r="R405" s="71">
        <f t="shared" si="86"/>
        <v>312</v>
      </c>
      <c r="S405" s="76">
        <f>VLOOKUP(B405,'115+260'!$B$14:$AB$647,22,FALSE)</f>
        <v>2617</v>
      </c>
      <c r="T405" s="75">
        <f>VLOOKUP(B405,'115+260'!$B$15:$AB$647,6,FALSE)</f>
        <v>653</v>
      </c>
      <c r="U405" s="74">
        <f t="shared" si="82"/>
        <v>2477</v>
      </c>
      <c r="V405" s="73">
        <f>VLOOKUP(B405,'115+260'!$B$15:$AB$647,15,FALSE)</f>
        <v>-523</v>
      </c>
      <c r="W405" s="72">
        <f>'115+260'!S406</f>
        <v>10</v>
      </c>
      <c r="X405" s="71">
        <f t="shared" si="87"/>
        <v>273</v>
      </c>
      <c r="Y405" s="70">
        <f t="shared" si="88"/>
        <v>-10</v>
      </c>
      <c r="Z405" s="69">
        <f t="shared" si="89"/>
        <v>0</v>
      </c>
      <c r="AA405" s="68">
        <f t="shared" si="90"/>
        <v>3.0430000000000001</v>
      </c>
      <c r="AB405" s="68">
        <f t="shared" si="91"/>
        <v>2.4860000000000002</v>
      </c>
    </row>
    <row r="406" spans="2:28">
      <c r="B406" s="110">
        <f>'115+260'!B407</f>
        <v>45644</v>
      </c>
      <c r="C406" s="80">
        <f t="shared" si="83"/>
        <v>1</v>
      </c>
      <c r="D406" s="79">
        <f t="shared" si="84"/>
        <v>1069</v>
      </c>
      <c r="E406" s="78">
        <f>VLOOKUP(B406,'115+260'!B407:AB407,3,FALSE)</f>
        <v>2063</v>
      </c>
      <c r="F406" s="75">
        <f t="shared" si="79"/>
        <v>3132</v>
      </c>
      <c r="G406" s="77">
        <f>VLOOKUP(B406,'115+260'!$B$15:$AB$647,20,FALSE)</f>
        <v>2583</v>
      </c>
      <c r="H406" s="77">
        <f>VLOOKUP(B406,'115+260'!$B$15:$AB$647,4,FALSE)</f>
        <v>639</v>
      </c>
      <c r="I406" s="74">
        <f t="shared" si="80"/>
        <v>2493</v>
      </c>
      <c r="J406" s="74">
        <f>VLOOKUP(B406,'115+260'!$B$15:$AB$647,13,FALSE)</f>
        <v>-507</v>
      </c>
      <c r="K406" s="72">
        <f>'115+260'!Q407</f>
        <v>4</v>
      </c>
      <c r="L406" s="71">
        <f t="shared" si="85"/>
        <v>307</v>
      </c>
      <c r="M406" s="76">
        <f>VLOOKUP(B406,'115+260'!$B$14:$AB$647,21,FALSE)</f>
        <v>2569</v>
      </c>
      <c r="N406" s="75">
        <f>VLOOKUP(B406,'115+260'!$B$15:$AB$647,5,FALSE)</f>
        <v>673</v>
      </c>
      <c r="O406" s="74">
        <f t="shared" si="81"/>
        <v>2459</v>
      </c>
      <c r="P406" s="74">
        <f>VLOOKUP(B406,'115+260'!$B$15:$AB$647,14,FALSE)</f>
        <v>-541</v>
      </c>
      <c r="Q406" s="72">
        <f>'115+260'!R407</f>
        <v>9</v>
      </c>
      <c r="R406" s="71">
        <f t="shared" si="86"/>
        <v>321</v>
      </c>
      <c r="S406" s="76">
        <f>VLOOKUP(B406,'115+260'!$B$14:$AB$647,22,FALSE)</f>
        <v>2610</v>
      </c>
      <c r="T406" s="75">
        <f>VLOOKUP(B406,'115+260'!$B$15:$AB$647,6,FALSE)</f>
        <v>662</v>
      </c>
      <c r="U406" s="74">
        <f t="shared" si="82"/>
        <v>2470</v>
      </c>
      <c r="V406" s="73">
        <f>VLOOKUP(B406,'115+260'!$B$15:$AB$647,15,FALSE)</f>
        <v>-530</v>
      </c>
      <c r="W406" s="72">
        <f>'115+260'!S407</f>
        <v>7</v>
      </c>
      <c r="X406" s="71">
        <f t="shared" si="87"/>
        <v>280</v>
      </c>
      <c r="Y406" s="70">
        <f t="shared" si="88"/>
        <v>-7</v>
      </c>
      <c r="Z406" s="69">
        <f t="shared" si="89"/>
        <v>0</v>
      </c>
      <c r="AA406" s="68">
        <f t="shared" si="90"/>
        <v>3.0430000000000001</v>
      </c>
      <c r="AB406" s="68">
        <f t="shared" si="91"/>
        <v>2.468</v>
      </c>
    </row>
    <row r="407" spans="2:28">
      <c r="B407" s="110">
        <f>'115+260'!B408</f>
        <v>45645</v>
      </c>
      <c r="C407" s="80">
        <f t="shared" si="83"/>
        <v>1</v>
      </c>
      <c r="D407" s="79">
        <f t="shared" si="84"/>
        <v>1069</v>
      </c>
      <c r="E407" s="78">
        <f>VLOOKUP(B407,'115+260'!B408:AB408,3,FALSE)</f>
        <v>2065</v>
      </c>
      <c r="F407" s="75">
        <f t="shared" si="79"/>
        <v>3134</v>
      </c>
      <c r="G407" s="77">
        <f>VLOOKUP(B407,'115+260'!$B$15:$AB$647,20,FALSE)</f>
        <v>2578</v>
      </c>
      <c r="H407" s="77">
        <f>VLOOKUP(B407,'115+260'!$B$15:$AB$647,4,FALSE)</f>
        <v>646</v>
      </c>
      <c r="I407" s="74">
        <f t="shared" si="80"/>
        <v>2488</v>
      </c>
      <c r="J407" s="74">
        <f>VLOOKUP(B407,'115+260'!$B$15:$AB$647,13,FALSE)</f>
        <v>-512</v>
      </c>
      <c r="K407" s="72">
        <f>'115+260'!Q408</f>
        <v>5</v>
      </c>
      <c r="L407" s="71">
        <f t="shared" si="85"/>
        <v>312</v>
      </c>
      <c r="M407" s="76">
        <f>VLOOKUP(B407,'115+260'!$B$14:$AB$647,21,FALSE)</f>
        <v>2560</v>
      </c>
      <c r="N407" s="75">
        <f>VLOOKUP(B407,'115+260'!$B$15:$AB$647,5,FALSE)</f>
        <v>684</v>
      </c>
      <c r="O407" s="74">
        <f t="shared" si="81"/>
        <v>2450</v>
      </c>
      <c r="P407" s="74">
        <f>VLOOKUP(B407,'115+260'!$B$15:$AB$647,14,FALSE)</f>
        <v>-550</v>
      </c>
      <c r="Q407" s="72">
        <f>'115+260'!R408</f>
        <v>9</v>
      </c>
      <c r="R407" s="71">
        <f t="shared" si="86"/>
        <v>330</v>
      </c>
      <c r="S407" s="76">
        <f>VLOOKUP(B407,'115+260'!$B$14:$AB$647,22,FALSE)</f>
        <v>2603</v>
      </c>
      <c r="T407" s="75">
        <f>VLOOKUP(B407,'115+260'!$B$15:$AB$647,6,FALSE)</f>
        <v>671</v>
      </c>
      <c r="U407" s="74">
        <f t="shared" si="82"/>
        <v>2463</v>
      </c>
      <c r="V407" s="73">
        <f>VLOOKUP(B407,'115+260'!$B$15:$AB$647,15,FALSE)</f>
        <v>-537</v>
      </c>
      <c r="W407" s="72">
        <f>'115+260'!S408</f>
        <v>7</v>
      </c>
      <c r="X407" s="71">
        <f t="shared" si="87"/>
        <v>287</v>
      </c>
      <c r="Y407" s="70">
        <f t="shared" si="88"/>
        <v>-7</v>
      </c>
      <c r="Z407" s="69">
        <f t="shared" si="89"/>
        <v>0</v>
      </c>
      <c r="AA407" s="68">
        <f t="shared" si="90"/>
        <v>3.0430000000000001</v>
      </c>
      <c r="AB407" s="68">
        <f t="shared" si="91"/>
        <v>2.4500000000000002</v>
      </c>
    </row>
    <row r="408" spans="2:28">
      <c r="B408" s="110">
        <f>'115+260'!B409</f>
        <v>45646</v>
      </c>
      <c r="C408" s="80">
        <f t="shared" si="83"/>
        <v>1</v>
      </c>
      <c r="D408" s="79">
        <f t="shared" si="84"/>
        <v>1069</v>
      </c>
      <c r="E408" s="78">
        <f>VLOOKUP(B408,'115+260'!B409:AB409,3,FALSE)</f>
        <v>2067</v>
      </c>
      <c r="F408" s="75">
        <f t="shared" si="79"/>
        <v>3136</v>
      </c>
      <c r="G408" s="77">
        <f>VLOOKUP(B408,'115+260'!$B$15:$AB$647,20,FALSE)</f>
        <v>2572</v>
      </c>
      <c r="H408" s="77">
        <f>VLOOKUP(B408,'115+260'!$B$15:$AB$647,4,FALSE)</f>
        <v>654</v>
      </c>
      <c r="I408" s="74">
        <f t="shared" si="80"/>
        <v>2482</v>
      </c>
      <c r="J408" s="74">
        <f>VLOOKUP(B408,'115+260'!$B$15:$AB$647,13,FALSE)</f>
        <v>-518</v>
      </c>
      <c r="K408" s="72">
        <f>'115+260'!Q409</f>
        <v>6</v>
      </c>
      <c r="L408" s="71">
        <f t="shared" si="85"/>
        <v>318</v>
      </c>
      <c r="M408" s="76">
        <f>VLOOKUP(B408,'115+260'!$B$14:$AB$647,21,FALSE)</f>
        <v>2552</v>
      </c>
      <c r="N408" s="75">
        <f>VLOOKUP(B408,'115+260'!$B$15:$AB$647,5,FALSE)</f>
        <v>694</v>
      </c>
      <c r="O408" s="74">
        <f t="shared" si="81"/>
        <v>2442</v>
      </c>
      <c r="P408" s="74">
        <f>VLOOKUP(B408,'115+260'!$B$15:$AB$647,14,FALSE)</f>
        <v>-558</v>
      </c>
      <c r="Q408" s="72">
        <f>'115+260'!R409</f>
        <v>8</v>
      </c>
      <c r="R408" s="71">
        <f t="shared" si="86"/>
        <v>338</v>
      </c>
      <c r="S408" s="76">
        <f>VLOOKUP(B408,'115+260'!$B$14:$AB$647,22,FALSE)</f>
        <v>2596</v>
      </c>
      <c r="T408" s="75">
        <f>VLOOKUP(B408,'115+260'!$B$15:$AB$647,6,FALSE)</f>
        <v>680</v>
      </c>
      <c r="U408" s="74">
        <f t="shared" si="82"/>
        <v>2456</v>
      </c>
      <c r="V408" s="73">
        <f>VLOOKUP(B408,'115+260'!$B$15:$AB$647,15,FALSE)</f>
        <v>-544</v>
      </c>
      <c r="W408" s="72">
        <f>'115+260'!S409</f>
        <v>7</v>
      </c>
      <c r="X408" s="71">
        <f t="shared" si="87"/>
        <v>294</v>
      </c>
      <c r="Y408" s="70">
        <f t="shared" si="88"/>
        <v>-7</v>
      </c>
      <c r="Z408" s="69">
        <f t="shared" si="89"/>
        <v>0</v>
      </c>
      <c r="AA408" s="68">
        <f t="shared" si="90"/>
        <v>3.0430000000000001</v>
      </c>
      <c r="AB408" s="68">
        <f t="shared" si="91"/>
        <v>2.4340000000000002</v>
      </c>
    </row>
    <row r="409" spans="2:28">
      <c r="B409" s="110">
        <f>'115+260'!B410</f>
        <v>45647</v>
      </c>
      <c r="C409" s="80">
        <f t="shared" si="83"/>
        <v>1</v>
      </c>
      <c r="D409" s="79">
        <f t="shared" si="84"/>
        <v>1069</v>
      </c>
      <c r="E409" s="78">
        <f>VLOOKUP(B409,'115+260'!B410:AB410,3,FALSE)</f>
        <v>2069</v>
      </c>
      <c r="F409" s="75">
        <f t="shared" si="79"/>
        <v>3138</v>
      </c>
      <c r="G409" s="77">
        <f>VLOOKUP(B409,'115+260'!$B$15:$AB$647,20,FALSE)</f>
        <v>2862</v>
      </c>
      <c r="H409" s="77">
        <f>VLOOKUP(B409,'115+260'!$B$15:$AB$647,4,FALSE)</f>
        <v>666</v>
      </c>
      <c r="I409" s="74">
        <f t="shared" si="80"/>
        <v>2472</v>
      </c>
      <c r="J409" s="74">
        <f>VLOOKUP(B409,'115+260'!$B$15:$AB$647,13,FALSE)</f>
        <v>-528</v>
      </c>
      <c r="K409" s="72">
        <f>'115+260'!Q410</f>
        <v>10</v>
      </c>
      <c r="L409" s="71">
        <f t="shared" si="85"/>
        <v>328</v>
      </c>
      <c r="M409" s="76">
        <f>VLOOKUP(B409,'115+260'!$B$14:$AB$647,21,FALSE)</f>
        <v>2842</v>
      </c>
      <c r="N409" s="75">
        <f>VLOOKUP(B409,'115+260'!$B$15:$AB$647,5,FALSE)</f>
        <v>706</v>
      </c>
      <c r="O409" s="74">
        <f t="shared" si="81"/>
        <v>2432</v>
      </c>
      <c r="P409" s="74">
        <f>VLOOKUP(B409,'115+260'!$B$15:$AB$647,14,FALSE)</f>
        <v>-568</v>
      </c>
      <c r="Q409" s="72">
        <f>'115+260'!R410</f>
        <v>10</v>
      </c>
      <c r="R409" s="71">
        <f t="shared" si="86"/>
        <v>348</v>
      </c>
      <c r="S409" s="76">
        <f>VLOOKUP(B409,'115+260'!$B$14:$AB$647,22,FALSE)</f>
        <v>2886</v>
      </c>
      <c r="T409" s="75">
        <f>VLOOKUP(B409,'115+260'!$B$15:$AB$647,6,FALSE)</f>
        <v>692</v>
      </c>
      <c r="U409" s="74">
        <f t="shared" si="82"/>
        <v>2446</v>
      </c>
      <c r="V409" s="73">
        <f>VLOOKUP(B409,'115+260'!$B$15:$AB$647,15,FALSE)</f>
        <v>-554</v>
      </c>
      <c r="W409" s="72">
        <f>'115+260'!S410</f>
        <v>10</v>
      </c>
      <c r="X409" s="71">
        <f t="shared" si="87"/>
        <v>304</v>
      </c>
      <c r="Y409" s="70">
        <f t="shared" si="88"/>
        <v>290</v>
      </c>
      <c r="Z409" s="69">
        <f t="shared" si="89"/>
        <v>0.28999999999999998</v>
      </c>
      <c r="AA409" s="68">
        <f t="shared" si="90"/>
        <v>3.3330000000000002</v>
      </c>
      <c r="AB409" s="68">
        <f t="shared" si="91"/>
        <v>2.714</v>
      </c>
    </row>
    <row r="410" spans="2:28">
      <c r="B410" s="110">
        <f>'115+260'!B411</f>
        <v>45648</v>
      </c>
      <c r="C410" s="80">
        <f t="shared" si="83"/>
        <v>1</v>
      </c>
      <c r="D410" s="79">
        <f t="shared" si="84"/>
        <v>1069</v>
      </c>
      <c r="E410" s="78">
        <f>VLOOKUP(B410,'115+260'!B411:AB411,3,FALSE)</f>
        <v>2071</v>
      </c>
      <c r="F410" s="75">
        <f t="shared" si="79"/>
        <v>3140</v>
      </c>
      <c r="G410" s="77">
        <f>VLOOKUP(B410,'115+260'!$B$15:$AB$647,20,FALSE)</f>
        <v>2852</v>
      </c>
      <c r="H410" s="77">
        <f>VLOOKUP(B410,'115+260'!$B$15:$AB$647,4,FALSE)</f>
        <v>678</v>
      </c>
      <c r="I410" s="74">
        <f t="shared" si="80"/>
        <v>2462</v>
      </c>
      <c r="J410" s="74">
        <f>VLOOKUP(B410,'115+260'!$B$15:$AB$647,13,FALSE)</f>
        <v>-538</v>
      </c>
      <c r="K410" s="72">
        <f>'115+260'!Q411</f>
        <v>10</v>
      </c>
      <c r="L410" s="71">
        <f t="shared" si="85"/>
        <v>338</v>
      </c>
      <c r="M410" s="76">
        <f>VLOOKUP(B410,'115+260'!$B$14:$AB$647,21,FALSE)</f>
        <v>2833</v>
      </c>
      <c r="N410" s="75">
        <f>VLOOKUP(B410,'115+260'!$B$15:$AB$647,5,FALSE)</f>
        <v>717</v>
      </c>
      <c r="O410" s="74">
        <f t="shared" si="81"/>
        <v>2423</v>
      </c>
      <c r="P410" s="74">
        <f>VLOOKUP(B410,'115+260'!$B$15:$AB$647,14,FALSE)</f>
        <v>-577</v>
      </c>
      <c r="Q410" s="72">
        <f>'115+260'!R411</f>
        <v>9</v>
      </c>
      <c r="R410" s="71">
        <f t="shared" si="86"/>
        <v>357</v>
      </c>
      <c r="S410" s="76">
        <f>VLOOKUP(B410,'115+260'!$B$14:$AB$647,22,FALSE)</f>
        <v>2876</v>
      </c>
      <c r="T410" s="75">
        <f>VLOOKUP(B410,'115+260'!$B$15:$AB$647,6,FALSE)</f>
        <v>704</v>
      </c>
      <c r="U410" s="74">
        <f t="shared" si="82"/>
        <v>2436</v>
      </c>
      <c r="V410" s="73">
        <f>VLOOKUP(B410,'115+260'!$B$15:$AB$647,15,FALSE)</f>
        <v>-564</v>
      </c>
      <c r="W410" s="72">
        <f>'115+260'!S411</f>
        <v>10</v>
      </c>
      <c r="X410" s="71">
        <f t="shared" si="87"/>
        <v>314</v>
      </c>
      <c r="Y410" s="70">
        <f t="shared" si="88"/>
        <v>-10</v>
      </c>
      <c r="Z410" s="69">
        <f t="shared" si="89"/>
        <v>0</v>
      </c>
      <c r="AA410" s="68">
        <f t="shared" si="90"/>
        <v>3.3330000000000002</v>
      </c>
      <c r="AB410" s="68">
        <f t="shared" si="91"/>
        <v>2.6960000000000002</v>
      </c>
    </row>
    <row r="411" spans="2:28">
      <c r="B411" s="110">
        <f>'115+260'!B412</f>
        <v>45649</v>
      </c>
      <c r="C411" s="80">
        <f t="shared" si="83"/>
        <v>1</v>
      </c>
      <c r="D411" s="79">
        <f t="shared" si="84"/>
        <v>1069</v>
      </c>
      <c r="E411" s="78">
        <f>VLOOKUP(B411,'115+260'!B412:AB412,3,FALSE)</f>
        <v>2073</v>
      </c>
      <c r="F411" s="75">
        <f t="shared" si="79"/>
        <v>3142</v>
      </c>
      <c r="G411" s="77">
        <f>VLOOKUP(B411,'115+260'!$B$15:$AB$647,20,FALSE)</f>
        <v>2848</v>
      </c>
      <c r="H411" s="77">
        <f>VLOOKUP(B411,'115+260'!$B$15:$AB$647,4,FALSE)</f>
        <v>684</v>
      </c>
      <c r="I411" s="74">
        <f t="shared" si="80"/>
        <v>2458</v>
      </c>
      <c r="J411" s="74">
        <f>VLOOKUP(B411,'115+260'!$B$15:$AB$647,13,FALSE)</f>
        <v>-542</v>
      </c>
      <c r="K411" s="72">
        <f>'115+260'!Q412</f>
        <v>4</v>
      </c>
      <c r="L411" s="71">
        <f t="shared" si="85"/>
        <v>342</v>
      </c>
      <c r="M411" s="76">
        <f>VLOOKUP(B411,'115+260'!$B$14:$AB$647,21,FALSE)</f>
        <v>2825</v>
      </c>
      <c r="N411" s="75">
        <f>VLOOKUP(B411,'115+260'!$B$15:$AB$647,5,FALSE)</f>
        <v>727</v>
      </c>
      <c r="O411" s="74">
        <f t="shared" si="81"/>
        <v>2415</v>
      </c>
      <c r="P411" s="74">
        <f>VLOOKUP(B411,'115+260'!$B$15:$AB$647,14,FALSE)</f>
        <v>-585</v>
      </c>
      <c r="Q411" s="72">
        <f>'115+260'!R412</f>
        <v>8</v>
      </c>
      <c r="R411" s="71">
        <f t="shared" si="86"/>
        <v>365</v>
      </c>
      <c r="S411" s="76">
        <f>VLOOKUP(B411,'115+260'!$B$14:$AB$647,22,FALSE)</f>
        <v>2869</v>
      </c>
      <c r="T411" s="75">
        <f>VLOOKUP(B411,'115+260'!$B$15:$AB$647,6,FALSE)</f>
        <v>713</v>
      </c>
      <c r="U411" s="74">
        <f t="shared" si="82"/>
        <v>2429</v>
      </c>
      <c r="V411" s="73">
        <f>VLOOKUP(B411,'115+260'!$B$15:$AB$647,15,FALSE)</f>
        <v>-571</v>
      </c>
      <c r="W411" s="72">
        <f>'115+260'!S412</f>
        <v>7</v>
      </c>
      <c r="X411" s="71">
        <f t="shared" si="87"/>
        <v>321</v>
      </c>
      <c r="Y411" s="70">
        <f t="shared" si="88"/>
        <v>-7</v>
      </c>
      <c r="Z411" s="69">
        <f t="shared" si="89"/>
        <v>0</v>
      </c>
      <c r="AA411" s="68">
        <f t="shared" si="90"/>
        <v>3.3330000000000002</v>
      </c>
      <c r="AB411" s="68">
        <f t="shared" si="91"/>
        <v>2.68</v>
      </c>
    </row>
    <row r="412" spans="2:28">
      <c r="B412" s="110">
        <f>'115+260'!B413</f>
        <v>45650</v>
      </c>
      <c r="C412" s="80">
        <f t="shared" si="83"/>
        <v>1</v>
      </c>
      <c r="D412" s="79">
        <f t="shared" si="84"/>
        <v>1069</v>
      </c>
      <c r="E412" s="78">
        <f>VLOOKUP(B412,'115+260'!B413:AB413,3,FALSE)</f>
        <v>2075</v>
      </c>
      <c r="F412" s="75">
        <f t="shared" si="79"/>
        <v>3144</v>
      </c>
      <c r="G412" s="77">
        <f>VLOOKUP(B412,'115+260'!$B$15:$AB$647,20,FALSE)</f>
        <v>2844</v>
      </c>
      <c r="H412" s="77">
        <f>VLOOKUP(B412,'115+260'!$B$15:$AB$647,4,FALSE)</f>
        <v>690</v>
      </c>
      <c r="I412" s="74">
        <f t="shared" si="80"/>
        <v>2454</v>
      </c>
      <c r="J412" s="74">
        <f>VLOOKUP(B412,'115+260'!$B$15:$AB$647,13,FALSE)</f>
        <v>-546</v>
      </c>
      <c r="K412" s="72">
        <f>'115+260'!Q413</f>
        <v>4</v>
      </c>
      <c r="L412" s="71">
        <f t="shared" si="85"/>
        <v>346</v>
      </c>
      <c r="M412" s="76">
        <f>VLOOKUP(B412,'115+260'!$B$14:$AB$647,21,FALSE)</f>
        <v>2816</v>
      </c>
      <c r="N412" s="75">
        <f>VLOOKUP(B412,'115+260'!$B$15:$AB$647,5,FALSE)</f>
        <v>738</v>
      </c>
      <c r="O412" s="74">
        <f t="shared" si="81"/>
        <v>2406</v>
      </c>
      <c r="P412" s="74">
        <f>VLOOKUP(B412,'115+260'!$B$15:$AB$647,14,FALSE)</f>
        <v>-594</v>
      </c>
      <c r="Q412" s="72">
        <f>'115+260'!R413</f>
        <v>9</v>
      </c>
      <c r="R412" s="71">
        <f t="shared" si="86"/>
        <v>374</v>
      </c>
      <c r="S412" s="76">
        <f>VLOOKUP(B412,'115+260'!$B$14:$AB$647,22,FALSE)</f>
        <v>2862</v>
      </c>
      <c r="T412" s="75">
        <f>VLOOKUP(B412,'115+260'!$B$15:$AB$647,6,FALSE)</f>
        <v>722</v>
      </c>
      <c r="U412" s="74">
        <f t="shared" si="82"/>
        <v>2422</v>
      </c>
      <c r="V412" s="73">
        <f>VLOOKUP(B412,'115+260'!$B$15:$AB$647,15,FALSE)</f>
        <v>-578</v>
      </c>
      <c r="W412" s="72">
        <f>'115+260'!S413</f>
        <v>7</v>
      </c>
      <c r="X412" s="71">
        <f t="shared" si="87"/>
        <v>328</v>
      </c>
      <c r="Y412" s="70">
        <f t="shared" si="88"/>
        <v>-7</v>
      </c>
      <c r="Z412" s="69">
        <f t="shared" si="89"/>
        <v>0</v>
      </c>
      <c r="AA412" s="68">
        <f t="shared" si="90"/>
        <v>3.3330000000000002</v>
      </c>
      <c r="AB412" s="68">
        <f t="shared" si="91"/>
        <v>2.6619999999999999</v>
      </c>
    </row>
    <row r="413" spans="2:28">
      <c r="B413" s="110">
        <f>'115+260'!B414</f>
        <v>45651</v>
      </c>
      <c r="C413" s="80">
        <f t="shared" si="83"/>
        <v>1</v>
      </c>
      <c r="D413" s="79">
        <f t="shared" si="84"/>
        <v>1069</v>
      </c>
      <c r="E413" s="78">
        <f>VLOOKUP(B413,'115+260'!B414:AB414,3,FALSE)</f>
        <v>2077</v>
      </c>
      <c r="F413" s="75">
        <f t="shared" si="79"/>
        <v>3146</v>
      </c>
      <c r="G413" s="77">
        <f>VLOOKUP(B413,'115+260'!$B$15:$AB$647,20,FALSE)</f>
        <v>2838</v>
      </c>
      <c r="H413" s="77">
        <f>VLOOKUP(B413,'115+260'!$B$15:$AB$647,4,FALSE)</f>
        <v>698</v>
      </c>
      <c r="I413" s="74">
        <f t="shared" si="80"/>
        <v>2448</v>
      </c>
      <c r="J413" s="74">
        <f>VLOOKUP(B413,'115+260'!$B$15:$AB$647,13,FALSE)</f>
        <v>-552</v>
      </c>
      <c r="K413" s="72">
        <f>'115+260'!Q414</f>
        <v>6</v>
      </c>
      <c r="L413" s="71">
        <f t="shared" si="85"/>
        <v>352</v>
      </c>
      <c r="M413" s="76">
        <f>VLOOKUP(B413,'115+260'!$B$14:$AB$647,21,FALSE)</f>
        <v>2808</v>
      </c>
      <c r="N413" s="75">
        <f>VLOOKUP(B413,'115+260'!$B$15:$AB$647,5,FALSE)</f>
        <v>748</v>
      </c>
      <c r="O413" s="74">
        <f t="shared" si="81"/>
        <v>2398</v>
      </c>
      <c r="P413" s="74">
        <f>VLOOKUP(B413,'115+260'!$B$15:$AB$647,14,FALSE)</f>
        <v>-602</v>
      </c>
      <c r="Q413" s="72">
        <f>'115+260'!R414</f>
        <v>8</v>
      </c>
      <c r="R413" s="71">
        <f t="shared" si="86"/>
        <v>382</v>
      </c>
      <c r="S413" s="76">
        <f>VLOOKUP(B413,'115+260'!$B$14:$AB$647,22,FALSE)</f>
        <v>2855</v>
      </c>
      <c r="T413" s="75">
        <f>VLOOKUP(B413,'115+260'!$B$15:$AB$647,6,FALSE)</f>
        <v>731</v>
      </c>
      <c r="U413" s="74">
        <f t="shared" si="82"/>
        <v>2415</v>
      </c>
      <c r="V413" s="73">
        <f>VLOOKUP(B413,'115+260'!$B$15:$AB$647,15,FALSE)</f>
        <v>-585</v>
      </c>
      <c r="W413" s="72">
        <f>'115+260'!S414</f>
        <v>7</v>
      </c>
      <c r="X413" s="71">
        <f t="shared" si="87"/>
        <v>335</v>
      </c>
      <c r="Y413" s="70">
        <f t="shared" si="88"/>
        <v>-7</v>
      </c>
      <c r="Z413" s="69">
        <f t="shared" si="89"/>
        <v>0</v>
      </c>
      <c r="AA413" s="68">
        <f t="shared" si="90"/>
        <v>3.3330000000000002</v>
      </c>
      <c r="AB413" s="68">
        <f t="shared" si="91"/>
        <v>2.6459999999999999</v>
      </c>
    </row>
    <row r="414" spans="2:28">
      <c r="B414" s="110">
        <f>'115+260'!B415</f>
        <v>45652</v>
      </c>
      <c r="C414" s="80">
        <f t="shared" si="83"/>
        <v>1</v>
      </c>
      <c r="D414" s="79">
        <f t="shared" si="84"/>
        <v>1069</v>
      </c>
      <c r="E414" s="78">
        <f>VLOOKUP(B414,'115+260'!B415:AB415,3,FALSE)</f>
        <v>2079</v>
      </c>
      <c r="F414" s="75">
        <f t="shared" si="79"/>
        <v>3148</v>
      </c>
      <c r="G414" s="77">
        <f>VLOOKUP(B414,'115+260'!$B$15:$AB$647,20,FALSE)</f>
        <v>3128</v>
      </c>
      <c r="H414" s="77">
        <f>VLOOKUP(B414,'115+260'!$B$15:$AB$647,4,FALSE)</f>
        <v>710</v>
      </c>
      <c r="I414" s="74">
        <f t="shared" si="80"/>
        <v>2438</v>
      </c>
      <c r="J414" s="74">
        <f>VLOOKUP(B414,'115+260'!$B$15:$AB$647,13,FALSE)</f>
        <v>-562</v>
      </c>
      <c r="K414" s="72">
        <f>'115+260'!Q415</f>
        <v>10</v>
      </c>
      <c r="L414" s="71">
        <f t="shared" si="85"/>
        <v>362</v>
      </c>
      <c r="M414" s="76">
        <f>VLOOKUP(B414,'115+260'!$B$14:$AB$647,21,FALSE)</f>
        <v>3098</v>
      </c>
      <c r="N414" s="75">
        <f>VLOOKUP(B414,'115+260'!$B$15:$AB$647,5,FALSE)</f>
        <v>760</v>
      </c>
      <c r="O414" s="74">
        <f t="shared" si="81"/>
        <v>2388</v>
      </c>
      <c r="P414" s="74">
        <f>VLOOKUP(B414,'115+260'!$B$15:$AB$647,14,FALSE)</f>
        <v>-612</v>
      </c>
      <c r="Q414" s="72">
        <f>'115+260'!R415</f>
        <v>10</v>
      </c>
      <c r="R414" s="71">
        <f t="shared" si="86"/>
        <v>392</v>
      </c>
      <c r="S414" s="76">
        <f>VLOOKUP(B414,'115+260'!$B$14:$AB$647,22,FALSE)</f>
        <v>3145</v>
      </c>
      <c r="T414" s="75">
        <f>VLOOKUP(B414,'115+260'!$B$15:$AB$647,6,FALSE)</f>
        <v>743</v>
      </c>
      <c r="U414" s="74">
        <f t="shared" si="82"/>
        <v>2405</v>
      </c>
      <c r="V414" s="73">
        <f>VLOOKUP(B414,'115+260'!$B$15:$AB$647,15,FALSE)</f>
        <v>-595</v>
      </c>
      <c r="W414" s="72">
        <f>'115+260'!S415</f>
        <v>10</v>
      </c>
      <c r="X414" s="71">
        <f t="shared" si="87"/>
        <v>345</v>
      </c>
      <c r="Y414" s="70">
        <f t="shared" si="88"/>
        <v>290</v>
      </c>
      <c r="Z414" s="69">
        <f t="shared" si="89"/>
        <v>0.28999999999999998</v>
      </c>
      <c r="AA414" s="68">
        <f t="shared" si="90"/>
        <v>3.6230000000000002</v>
      </c>
      <c r="AB414" s="68">
        <f t="shared" si="91"/>
        <v>2.9260000000000002</v>
      </c>
    </row>
    <row r="415" spans="2:28">
      <c r="B415" s="110">
        <f>'115+260'!B416</f>
        <v>45653</v>
      </c>
      <c r="C415" s="80">
        <f t="shared" si="83"/>
        <v>1</v>
      </c>
      <c r="D415" s="79">
        <f t="shared" si="84"/>
        <v>1069</v>
      </c>
      <c r="E415" s="78">
        <f>VLOOKUP(B415,'115+260'!B416:AB416,3,FALSE)</f>
        <v>2081</v>
      </c>
      <c r="F415" s="75">
        <f t="shared" si="79"/>
        <v>3150</v>
      </c>
      <c r="G415" s="77">
        <f>VLOOKUP(B415,'115+260'!$B$15:$AB$647,20,FALSE)</f>
        <v>3121</v>
      </c>
      <c r="H415" s="77">
        <f>VLOOKUP(B415,'115+260'!$B$15:$AB$647,4,FALSE)</f>
        <v>719</v>
      </c>
      <c r="I415" s="74">
        <f t="shared" si="80"/>
        <v>2431</v>
      </c>
      <c r="J415" s="74">
        <f>VLOOKUP(B415,'115+260'!$B$15:$AB$647,13,FALSE)</f>
        <v>-569</v>
      </c>
      <c r="K415" s="72">
        <f>'115+260'!Q416</f>
        <v>7</v>
      </c>
      <c r="L415" s="71">
        <f t="shared" si="85"/>
        <v>369</v>
      </c>
      <c r="M415" s="76">
        <f>VLOOKUP(B415,'115+260'!$B$14:$AB$647,21,FALSE)</f>
        <v>3090</v>
      </c>
      <c r="N415" s="75">
        <f>VLOOKUP(B415,'115+260'!$B$15:$AB$647,5,FALSE)</f>
        <v>770</v>
      </c>
      <c r="O415" s="74">
        <f t="shared" si="81"/>
        <v>2380</v>
      </c>
      <c r="P415" s="74">
        <f>VLOOKUP(B415,'115+260'!$B$15:$AB$647,14,FALSE)</f>
        <v>-620</v>
      </c>
      <c r="Q415" s="72">
        <f>'115+260'!R416</f>
        <v>8</v>
      </c>
      <c r="R415" s="71">
        <f t="shared" si="86"/>
        <v>400</v>
      </c>
      <c r="S415" s="76">
        <f>VLOOKUP(B415,'115+260'!$B$14:$AB$647,22,FALSE)</f>
        <v>3137</v>
      </c>
      <c r="T415" s="75">
        <f>VLOOKUP(B415,'115+260'!$B$15:$AB$647,6,FALSE)</f>
        <v>753</v>
      </c>
      <c r="U415" s="74">
        <f t="shared" si="82"/>
        <v>2397</v>
      </c>
      <c r="V415" s="73">
        <f>VLOOKUP(B415,'115+260'!$B$15:$AB$647,15,FALSE)</f>
        <v>-603</v>
      </c>
      <c r="W415" s="72">
        <f>'115+260'!S416</f>
        <v>8</v>
      </c>
      <c r="X415" s="71">
        <f t="shared" si="87"/>
        <v>353</v>
      </c>
      <c r="Y415" s="70">
        <f t="shared" si="88"/>
        <v>-8</v>
      </c>
      <c r="Z415" s="69">
        <f t="shared" si="89"/>
        <v>0</v>
      </c>
      <c r="AA415" s="68">
        <f t="shared" si="90"/>
        <v>3.6230000000000002</v>
      </c>
      <c r="AB415" s="68">
        <f t="shared" si="91"/>
        <v>2.91</v>
      </c>
    </row>
    <row r="416" spans="2:28">
      <c r="B416" s="110">
        <f>'115+260'!B417</f>
        <v>45654</v>
      </c>
      <c r="C416" s="80">
        <f t="shared" si="83"/>
        <v>1</v>
      </c>
      <c r="D416" s="79">
        <f t="shared" si="84"/>
        <v>1069</v>
      </c>
      <c r="E416" s="78">
        <f>VLOOKUP(B416,'115+260'!B417:AB417,3,FALSE)</f>
        <v>2083</v>
      </c>
      <c r="F416" s="75">
        <f t="shared" si="79"/>
        <v>3152</v>
      </c>
      <c r="G416" s="77">
        <f>VLOOKUP(B416,'115+260'!$B$15:$AB$647,20,FALSE)</f>
        <v>3113</v>
      </c>
      <c r="H416" s="77">
        <f>VLOOKUP(B416,'115+260'!$B$15:$AB$647,4,FALSE)</f>
        <v>729</v>
      </c>
      <c r="I416" s="74">
        <f t="shared" si="80"/>
        <v>2423</v>
      </c>
      <c r="J416" s="74">
        <f>VLOOKUP(B416,'115+260'!$B$15:$AB$647,13,FALSE)</f>
        <v>-577</v>
      </c>
      <c r="K416" s="72">
        <f>'115+260'!Q417</f>
        <v>8</v>
      </c>
      <c r="L416" s="71">
        <f t="shared" si="85"/>
        <v>377</v>
      </c>
      <c r="M416" s="76">
        <f>VLOOKUP(B416,'115+260'!$B$14:$AB$647,21,FALSE)</f>
        <v>3081</v>
      </c>
      <c r="N416" s="75">
        <f>VLOOKUP(B416,'115+260'!$B$15:$AB$647,5,FALSE)</f>
        <v>781</v>
      </c>
      <c r="O416" s="74">
        <f t="shared" si="81"/>
        <v>2371</v>
      </c>
      <c r="P416" s="74">
        <f>VLOOKUP(B416,'115+260'!$B$15:$AB$647,14,FALSE)</f>
        <v>-629</v>
      </c>
      <c r="Q416" s="72">
        <f>'115+260'!R417</f>
        <v>9</v>
      </c>
      <c r="R416" s="71">
        <f t="shared" si="86"/>
        <v>409</v>
      </c>
      <c r="S416" s="76">
        <f>VLOOKUP(B416,'115+260'!$B$14:$AB$647,22,FALSE)</f>
        <v>3129</v>
      </c>
      <c r="T416" s="75">
        <f>VLOOKUP(B416,'115+260'!$B$15:$AB$647,6,FALSE)</f>
        <v>763</v>
      </c>
      <c r="U416" s="74">
        <f t="shared" si="82"/>
        <v>2389</v>
      </c>
      <c r="V416" s="73">
        <f>VLOOKUP(B416,'115+260'!$B$15:$AB$647,15,FALSE)</f>
        <v>-611</v>
      </c>
      <c r="W416" s="72">
        <f>'115+260'!S417</f>
        <v>8</v>
      </c>
      <c r="X416" s="71">
        <f t="shared" si="87"/>
        <v>361</v>
      </c>
      <c r="Y416" s="70">
        <f t="shared" si="88"/>
        <v>-8</v>
      </c>
      <c r="Z416" s="69">
        <f t="shared" si="89"/>
        <v>0</v>
      </c>
      <c r="AA416" s="68">
        <f t="shared" si="90"/>
        <v>3.6230000000000002</v>
      </c>
      <c r="AB416" s="68">
        <f t="shared" si="91"/>
        <v>2.8919999999999999</v>
      </c>
    </row>
    <row r="417" spans="2:28">
      <c r="B417" s="110">
        <f>'115+260'!B418</f>
        <v>45655</v>
      </c>
      <c r="C417" s="80">
        <f t="shared" si="83"/>
        <v>1</v>
      </c>
      <c r="D417" s="79">
        <f t="shared" si="84"/>
        <v>1069</v>
      </c>
      <c r="E417" s="78">
        <f>VLOOKUP(B417,'115+260'!B418:AB418,3,FALSE)</f>
        <v>2085</v>
      </c>
      <c r="F417" s="75">
        <f t="shared" si="79"/>
        <v>3154</v>
      </c>
      <c r="G417" s="77">
        <f>VLOOKUP(B417,'115+260'!$B$15:$AB$647,20,FALSE)</f>
        <v>3104</v>
      </c>
      <c r="H417" s="77">
        <f>VLOOKUP(B417,'115+260'!$B$15:$AB$647,4,FALSE)</f>
        <v>740</v>
      </c>
      <c r="I417" s="74">
        <f t="shared" si="80"/>
        <v>2414</v>
      </c>
      <c r="J417" s="74">
        <f>VLOOKUP(B417,'115+260'!$B$15:$AB$647,13,FALSE)</f>
        <v>-586</v>
      </c>
      <c r="K417" s="72">
        <f>'115+260'!Q418</f>
        <v>9</v>
      </c>
      <c r="L417" s="71">
        <f t="shared" si="85"/>
        <v>386</v>
      </c>
      <c r="M417" s="76">
        <f>VLOOKUP(B417,'115+260'!$B$14:$AB$647,21,FALSE)</f>
        <v>3073</v>
      </c>
      <c r="N417" s="75">
        <f>VLOOKUP(B417,'115+260'!$B$15:$AB$647,5,FALSE)</f>
        <v>791</v>
      </c>
      <c r="O417" s="74">
        <f t="shared" si="81"/>
        <v>2363</v>
      </c>
      <c r="P417" s="74">
        <f>VLOOKUP(B417,'115+260'!$B$15:$AB$647,14,FALSE)</f>
        <v>-637</v>
      </c>
      <c r="Q417" s="72">
        <f>'115+260'!R418</f>
        <v>8</v>
      </c>
      <c r="R417" s="71">
        <f t="shared" si="86"/>
        <v>417</v>
      </c>
      <c r="S417" s="76">
        <f>VLOOKUP(B417,'115+260'!$B$14:$AB$647,22,FALSE)</f>
        <v>3120</v>
      </c>
      <c r="T417" s="75">
        <f>VLOOKUP(B417,'115+260'!$B$15:$AB$647,6,FALSE)</f>
        <v>774</v>
      </c>
      <c r="U417" s="74">
        <f t="shared" si="82"/>
        <v>2380</v>
      </c>
      <c r="V417" s="73">
        <f>VLOOKUP(B417,'115+260'!$B$15:$AB$647,15,FALSE)</f>
        <v>-620</v>
      </c>
      <c r="W417" s="72">
        <f>'115+260'!S418</f>
        <v>9</v>
      </c>
      <c r="X417" s="71">
        <f t="shared" si="87"/>
        <v>370</v>
      </c>
      <c r="Y417" s="70">
        <f t="shared" si="88"/>
        <v>-9</v>
      </c>
      <c r="Z417" s="69">
        <f t="shared" si="89"/>
        <v>0</v>
      </c>
      <c r="AA417" s="68">
        <f t="shared" si="90"/>
        <v>3.6230000000000002</v>
      </c>
      <c r="AB417" s="68">
        <f t="shared" si="91"/>
        <v>2.8759999999999999</v>
      </c>
    </row>
    <row r="418" spans="2:28">
      <c r="B418" s="110">
        <f>'115+260'!B419</f>
        <v>45656</v>
      </c>
      <c r="C418" s="80">
        <f t="shared" si="83"/>
        <v>1</v>
      </c>
      <c r="D418" s="79">
        <f t="shared" si="84"/>
        <v>1069</v>
      </c>
      <c r="E418" s="78">
        <f>VLOOKUP(B418,'115+260'!B419:AB419,3,FALSE)</f>
        <v>2087</v>
      </c>
      <c r="F418" s="75">
        <f t="shared" si="79"/>
        <v>3156</v>
      </c>
      <c r="G418" s="77">
        <f>VLOOKUP(B418,'115+260'!$B$15:$AB$647,20,FALSE)</f>
        <v>3096</v>
      </c>
      <c r="H418" s="77">
        <f>VLOOKUP(B418,'115+260'!$B$15:$AB$647,4,FALSE)</f>
        <v>750</v>
      </c>
      <c r="I418" s="74">
        <f t="shared" si="80"/>
        <v>2406</v>
      </c>
      <c r="J418" s="74">
        <f>VLOOKUP(B418,'115+260'!$B$15:$AB$647,13,FALSE)</f>
        <v>-594</v>
      </c>
      <c r="K418" s="72">
        <f>'115+260'!Q419</f>
        <v>8</v>
      </c>
      <c r="L418" s="71">
        <f t="shared" si="85"/>
        <v>394</v>
      </c>
      <c r="M418" s="76">
        <f>VLOOKUP(B418,'115+260'!$B$14:$AB$647,21,FALSE)</f>
        <v>3066</v>
      </c>
      <c r="N418" s="75">
        <f>VLOOKUP(B418,'115+260'!$B$15:$AB$647,5,FALSE)</f>
        <v>800</v>
      </c>
      <c r="O418" s="74">
        <f t="shared" si="81"/>
        <v>2356</v>
      </c>
      <c r="P418" s="74">
        <f>VLOOKUP(B418,'115+260'!$B$15:$AB$647,14,FALSE)</f>
        <v>-644</v>
      </c>
      <c r="Q418" s="72">
        <f>'115+260'!R419</f>
        <v>7</v>
      </c>
      <c r="R418" s="71">
        <f t="shared" si="86"/>
        <v>424</v>
      </c>
      <c r="S418" s="76">
        <f>VLOOKUP(B418,'115+260'!$B$14:$AB$647,22,FALSE)</f>
        <v>3112</v>
      </c>
      <c r="T418" s="75">
        <f>VLOOKUP(B418,'115+260'!$B$15:$AB$647,6,FALSE)</f>
        <v>784</v>
      </c>
      <c r="U418" s="74">
        <f t="shared" si="82"/>
        <v>2372</v>
      </c>
      <c r="V418" s="73">
        <f>VLOOKUP(B418,'115+260'!$B$15:$AB$647,15,FALSE)</f>
        <v>-628</v>
      </c>
      <c r="W418" s="72">
        <f>'115+260'!S419</f>
        <v>8</v>
      </c>
      <c r="X418" s="71">
        <f t="shared" si="87"/>
        <v>378</v>
      </c>
      <c r="Y418" s="70">
        <f t="shared" si="88"/>
        <v>-8</v>
      </c>
      <c r="Z418" s="69">
        <f t="shared" si="89"/>
        <v>0</v>
      </c>
      <c r="AA418" s="68">
        <f t="shared" si="90"/>
        <v>3.6230000000000002</v>
      </c>
      <c r="AB418" s="68">
        <f t="shared" si="91"/>
        <v>2.8620000000000001</v>
      </c>
    </row>
    <row r="419" spans="2:28">
      <c r="B419" s="110">
        <f>'115+260'!B420</f>
        <v>45657</v>
      </c>
      <c r="C419" s="80">
        <f t="shared" si="83"/>
        <v>1</v>
      </c>
      <c r="D419" s="79">
        <f t="shared" si="84"/>
        <v>1069</v>
      </c>
      <c r="E419" s="78">
        <f>VLOOKUP(B419,'115+260'!B420:AB420,3,FALSE)</f>
        <v>2089</v>
      </c>
      <c r="F419" s="75">
        <f t="shared" si="79"/>
        <v>3158</v>
      </c>
      <c r="G419" s="77">
        <f>VLOOKUP(B419,'115+260'!$B$15:$AB$647,20,FALSE)</f>
        <v>3386</v>
      </c>
      <c r="H419" s="77">
        <f>VLOOKUP(B419,'115+260'!$B$15:$AB$647,4,FALSE)</f>
        <v>762</v>
      </c>
      <c r="I419" s="74">
        <f t="shared" si="80"/>
        <v>2396</v>
      </c>
      <c r="J419" s="74">
        <f>VLOOKUP(B419,'115+260'!$B$15:$AB$647,13,FALSE)</f>
        <v>-604</v>
      </c>
      <c r="K419" s="72">
        <f>'115+260'!Q420</f>
        <v>10</v>
      </c>
      <c r="L419" s="71">
        <f t="shared" si="85"/>
        <v>404</v>
      </c>
      <c r="M419" s="76">
        <f>VLOOKUP(B419,'115+260'!$B$14:$AB$647,21,FALSE)</f>
        <v>3357</v>
      </c>
      <c r="N419" s="75">
        <f>VLOOKUP(B419,'115+260'!$B$15:$AB$647,5,FALSE)</f>
        <v>811</v>
      </c>
      <c r="O419" s="74">
        <f t="shared" si="81"/>
        <v>2347</v>
      </c>
      <c r="P419" s="74">
        <f>VLOOKUP(B419,'115+260'!$B$15:$AB$647,14,FALSE)</f>
        <v>-653</v>
      </c>
      <c r="Q419" s="72">
        <f>'115+260'!R420</f>
        <v>9</v>
      </c>
      <c r="R419" s="71">
        <f t="shared" si="86"/>
        <v>433</v>
      </c>
      <c r="S419" s="76">
        <f>VLOOKUP(B419,'115+260'!$B$14:$AB$647,22,FALSE)</f>
        <v>3402</v>
      </c>
      <c r="T419" s="75">
        <f>VLOOKUP(B419,'115+260'!$B$15:$AB$647,6,FALSE)</f>
        <v>796</v>
      </c>
      <c r="U419" s="74">
        <f t="shared" si="82"/>
        <v>2362</v>
      </c>
      <c r="V419" s="73">
        <f>VLOOKUP(B419,'115+260'!$B$15:$AB$647,15,FALSE)</f>
        <v>-638</v>
      </c>
      <c r="W419" s="72">
        <f>'115+260'!S420</f>
        <v>10</v>
      </c>
      <c r="X419" s="71">
        <f t="shared" si="87"/>
        <v>388</v>
      </c>
      <c r="Y419" s="70">
        <f t="shared" si="88"/>
        <v>290</v>
      </c>
      <c r="Z419" s="69">
        <f t="shared" si="89"/>
        <v>0.28999999999999998</v>
      </c>
      <c r="AA419" s="68">
        <f t="shared" si="90"/>
        <v>3.9130000000000003</v>
      </c>
      <c r="AB419" s="68">
        <f t="shared" si="91"/>
        <v>3.1440000000000001</v>
      </c>
    </row>
    <row r="420" spans="2:28">
      <c r="B420" s="110">
        <f>'115+260'!B421</f>
        <v>45658</v>
      </c>
      <c r="C420" s="80">
        <f t="shared" si="83"/>
        <v>1</v>
      </c>
      <c r="D420" s="79">
        <f t="shared" si="84"/>
        <v>1069</v>
      </c>
      <c r="E420" s="78">
        <f>VLOOKUP(B420,'115+260'!B421:AB421,3,FALSE)</f>
        <v>2091</v>
      </c>
      <c r="F420" s="75">
        <f t="shared" si="79"/>
        <v>3160</v>
      </c>
      <c r="G420" s="77">
        <f>VLOOKUP(B420,'115+260'!$B$15:$AB$647,20,FALSE)</f>
        <v>3377</v>
      </c>
      <c r="H420" s="77">
        <f>VLOOKUP(B420,'115+260'!$B$15:$AB$647,4,FALSE)</f>
        <v>773</v>
      </c>
      <c r="I420" s="74">
        <f t="shared" si="80"/>
        <v>2387</v>
      </c>
      <c r="J420" s="74">
        <f>VLOOKUP(B420,'115+260'!$B$15:$AB$647,13,FALSE)</f>
        <v>-613</v>
      </c>
      <c r="K420" s="72">
        <f>'115+260'!Q421</f>
        <v>9</v>
      </c>
      <c r="L420" s="71">
        <f t="shared" si="85"/>
        <v>413</v>
      </c>
      <c r="M420" s="76">
        <f>VLOOKUP(B420,'115+260'!$B$14:$AB$647,21,FALSE)</f>
        <v>3349</v>
      </c>
      <c r="N420" s="75">
        <f>VLOOKUP(B420,'115+260'!$B$15:$AB$647,5,FALSE)</f>
        <v>821</v>
      </c>
      <c r="O420" s="74">
        <f t="shared" si="81"/>
        <v>2339</v>
      </c>
      <c r="P420" s="74">
        <f>VLOOKUP(B420,'115+260'!$B$15:$AB$647,14,FALSE)</f>
        <v>-661</v>
      </c>
      <c r="Q420" s="72">
        <f>'115+260'!R421</f>
        <v>8</v>
      </c>
      <c r="R420" s="71">
        <f t="shared" si="86"/>
        <v>441</v>
      </c>
      <c r="S420" s="76">
        <f>VLOOKUP(B420,'115+260'!$B$14:$AB$647,22,FALSE)</f>
        <v>3393</v>
      </c>
      <c r="T420" s="75">
        <f>VLOOKUP(B420,'115+260'!$B$15:$AB$647,6,FALSE)</f>
        <v>807</v>
      </c>
      <c r="U420" s="74">
        <f t="shared" si="82"/>
        <v>2353</v>
      </c>
      <c r="V420" s="73">
        <f>VLOOKUP(B420,'115+260'!$B$15:$AB$647,15,FALSE)</f>
        <v>-647</v>
      </c>
      <c r="W420" s="72">
        <f>'115+260'!S421</f>
        <v>9</v>
      </c>
      <c r="X420" s="71">
        <f t="shared" si="87"/>
        <v>397</v>
      </c>
      <c r="Y420" s="70">
        <f t="shared" si="88"/>
        <v>-9</v>
      </c>
      <c r="Z420" s="69">
        <f t="shared" si="89"/>
        <v>0</v>
      </c>
      <c r="AA420" s="68">
        <f t="shared" si="90"/>
        <v>3.9130000000000003</v>
      </c>
      <c r="AB420" s="68">
        <f t="shared" si="91"/>
        <v>3.1280000000000001</v>
      </c>
    </row>
    <row r="421" spans="2:28">
      <c r="B421" s="110">
        <f>'115+260'!B422</f>
        <v>45659</v>
      </c>
      <c r="C421" s="80">
        <f t="shared" si="83"/>
        <v>1</v>
      </c>
      <c r="D421" s="79">
        <f t="shared" si="84"/>
        <v>1069</v>
      </c>
      <c r="E421" s="78">
        <f>VLOOKUP(B421,'115+260'!B422:AB422,3,FALSE)</f>
        <v>2093</v>
      </c>
      <c r="F421" s="75">
        <f t="shared" si="79"/>
        <v>3162</v>
      </c>
      <c r="G421" s="77">
        <f>VLOOKUP(B421,'115+260'!$B$15:$AB$647,20,FALSE)</f>
        <v>3369</v>
      </c>
      <c r="H421" s="77">
        <f>VLOOKUP(B421,'115+260'!$B$15:$AB$647,4,FALSE)</f>
        <v>783</v>
      </c>
      <c r="I421" s="74">
        <f t="shared" si="80"/>
        <v>2379</v>
      </c>
      <c r="J421" s="74">
        <f>VLOOKUP(B421,'115+260'!$B$15:$AB$647,13,FALSE)</f>
        <v>-621</v>
      </c>
      <c r="K421" s="72">
        <f>'115+260'!Q422</f>
        <v>8</v>
      </c>
      <c r="L421" s="71">
        <f t="shared" si="85"/>
        <v>421</v>
      </c>
      <c r="M421" s="76">
        <f>VLOOKUP(B421,'115+260'!$B$14:$AB$647,21,FALSE)</f>
        <v>3340</v>
      </c>
      <c r="N421" s="75">
        <f>VLOOKUP(B421,'115+260'!$B$15:$AB$647,5,FALSE)</f>
        <v>832</v>
      </c>
      <c r="O421" s="74">
        <f t="shared" si="81"/>
        <v>2330</v>
      </c>
      <c r="P421" s="74">
        <f>VLOOKUP(B421,'115+260'!$B$15:$AB$647,14,FALSE)</f>
        <v>-670</v>
      </c>
      <c r="Q421" s="72">
        <f>'115+260'!R422</f>
        <v>9</v>
      </c>
      <c r="R421" s="71">
        <f t="shared" si="86"/>
        <v>450</v>
      </c>
      <c r="S421" s="76">
        <f>VLOOKUP(B421,'115+260'!$B$14:$AB$647,22,FALSE)</f>
        <v>3385</v>
      </c>
      <c r="T421" s="75">
        <f>VLOOKUP(B421,'115+260'!$B$15:$AB$647,6,FALSE)</f>
        <v>817</v>
      </c>
      <c r="U421" s="74">
        <f t="shared" si="82"/>
        <v>2345</v>
      </c>
      <c r="V421" s="73">
        <f>VLOOKUP(B421,'115+260'!$B$15:$AB$647,15,FALSE)</f>
        <v>-655</v>
      </c>
      <c r="W421" s="72">
        <f>'115+260'!S422</f>
        <v>8</v>
      </c>
      <c r="X421" s="71">
        <f t="shared" si="87"/>
        <v>405</v>
      </c>
      <c r="Y421" s="70">
        <f t="shared" si="88"/>
        <v>-8</v>
      </c>
      <c r="Z421" s="69">
        <f t="shared" si="89"/>
        <v>0</v>
      </c>
      <c r="AA421" s="68">
        <f t="shared" si="90"/>
        <v>3.9130000000000003</v>
      </c>
      <c r="AB421" s="68">
        <f t="shared" si="91"/>
        <v>3.11</v>
      </c>
    </row>
    <row r="422" spans="2:28">
      <c r="B422" s="110">
        <f>'115+260'!B423</f>
        <v>45660</v>
      </c>
      <c r="C422" s="80">
        <f t="shared" si="83"/>
        <v>1</v>
      </c>
      <c r="D422" s="79">
        <f t="shared" si="84"/>
        <v>1069</v>
      </c>
      <c r="E422" s="78">
        <f>VLOOKUP(B422,'115+260'!B423:AB423,3,FALSE)</f>
        <v>2095</v>
      </c>
      <c r="F422" s="75">
        <f t="shared" si="79"/>
        <v>3164</v>
      </c>
      <c r="G422" s="77">
        <f>VLOOKUP(B422,'115+260'!$B$15:$AB$647,20,FALSE)</f>
        <v>3360</v>
      </c>
      <c r="H422" s="77">
        <f>VLOOKUP(B422,'115+260'!$B$15:$AB$647,4,FALSE)</f>
        <v>794</v>
      </c>
      <c r="I422" s="74">
        <f t="shared" si="80"/>
        <v>2370</v>
      </c>
      <c r="J422" s="74">
        <f>VLOOKUP(B422,'115+260'!$B$15:$AB$647,13,FALSE)</f>
        <v>-630</v>
      </c>
      <c r="K422" s="72">
        <f>'115+260'!Q423</f>
        <v>9</v>
      </c>
      <c r="L422" s="71">
        <f t="shared" si="85"/>
        <v>430</v>
      </c>
      <c r="M422" s="76">
        <f>VLOOKUP(B422,'115+260'!$B$14:$AB$647,21,FALSE)</f>
        <v>3332</v>
      </c>
      <c r="N422" s="75">
        <f>VLOOKUP(B422,'115+260'!$B$15:$AB$647,5,FALSE)</f>
        <v>842</v>
      </c>
      <c r="O422" s="74">
        <f t="shared" si="81"/>
        <v>2322</v>
      </c>
      <c r="P422" s="74">
        <f>VLOOKUP(B422,'115+260'!$B$15:$AB$647,14,FALSE)</f>
        <v>-678</v>
      </c>
      <c r="Q422" s="72">
        <f>'115+260'!R423</f>
        <v>8</v>
      </c>
      <c r="R422" s="71">
        <f t="shared" si="86"/>
        <v>458</v>
      </c>
      <c r="S422" s="76">
        <f>VLOOKUP(B422,'115+260'!$B$14:$AB$647,22,FALSE)</f>
        <v>3376</v>
      </c>
      <c r="T422" s="75">
        <f>VLOOKUP(B422,'115+260'!$B$15:$AB$647,6,FALSE)</f>
        <v>828</v>
      </c>
      <c r="U422" s="74">
        <f t="shared" si="82"/>
        <v>2336</v>
      </c>
      <c r="V422" s="73">
        <f>VLOOKUP(B422,'115+260'!$B$15:$AB$647,15,FALSE)</f>
        <v>-664</v>
      </c>
      <c r="W422" s="72">
        <f>'115+260'!S423</f>
        <v>9</v>
      </c>
      <c r="X422" s="71">
        <f t="shared" si="87"/>
        <v>414</v>
      </c>
      <c r="Y422" s="70">
        <f t="shared" si="88"/>
        <v>-9</v>
      </c>
      <c r="Z422" s="69">
        <f t="shared" si="89"/>
        <v>0</v>
      </c>
      <c r="AA422" s="68">
        <f t="shared" si="90"/>
        <v>3.9130000000000003</v>
      </c>
      <c r="AB422" s="68">
        <f t="shared" si="91"/>
        <v>3.0939999999999999</v>
      </c>
    </row>
    <row r="423" spans="2:28">
      <c r="B423" s="110">
        <f>'115+260'!B424</f>
        <v>45661</v>
      </c>
      <c r="C423" s="80">
        <f t="shared" si="83"/>
        <v>1</v>
      </c>
      <c r="D423" s="79">
        <f t="shared" si="84"/>
        <v>1069</v>
      </c>
      <c r="E423" s="78">
        <f>VLOOKUP(B423,'115+260'!B424:AB424,3,FALSE)</f>
        <v>2097</v>
      </c>
      <c r="F423" s="75">
        <f t="shared" si="79"/>
        <v>3166</v>
      </c>
      <c r="G423" s="77">
        <f>VLOOKUP(B423,'115+260'!$B$15:$AB$647,20,FALSE)</f>
        <v>3352</v>
      </c>
      <c r="H423" s="77">
        <f>VLOOKUP(B423,'115+260'!$B$15:$AB$647,4,FALSE)</f>
        <v>804</v>
      </c>
      <c r="I423" s="74">
        <f t="shared" si="80"/>
        <v>2362</v>
      </c>
      <c r="J423" s="74">
        <f>VLOOKUP(B423,'115+260'!$B$15:$AB$647,13,FALSE)</f>
        <v>-638</v>
      </c>
      <c r="K423" s="72">
        <f>'115+260'!Q424</f>
        <v>8</v>
      </c>
      <c r="L423" s="71">
        <f t="shared" si="85"/>
        <v>438</v>
      </c>
      <c r="M423" s="76">
        <f>VLOOKUP(B423,'115+260'!$B$14:$AB$647,21,FALSE)</f>
        <v>3325</v>
      </c>
      <c r="N423" s="75">
        <f>VLOOKUP(B423,'115+260'!$B$15:$AB$647,5,FALSE)</f>
        <v>851</v>
      </c>
      <c r="O423" s="74">
        <f t="shared" si="81"/>
        <v>2315</v>
      </c>
      <c r="P423" s="74">
        <f>VLOOKUP(B423,'115+260'!$B$15:$AB$647,14,FALSE)</f>
        <v>-685</v>
      </c>
      <c r="Q423" s="72">
        <f>'115+260'!R424</f>
        <v>7</v>
      </c>
      <c r="R423" s="71">
        <f t="shared" si="86"/>
        <v>465</v>
      </c>
      <c r="S423" s="76">
        <f>VLOOKUP(B423,'115+260'!$B$14:$AB$647,22,FALSE)</f>
        <v>3368</v>
      </c>
      <c r="T423" s="75">
        <f>VLOOKUP(B423,'115+260'!$B$15:$AB$647,6,FALSE)</f>
        <v>838</v>
      </c>
      <c r="U423" s="74">
        <f t="shared" si="82"/>
        <v>2328</v>
      </c>
      <c r="V423" s="73">
        <f>VLOOKUP(B423,'115+260'!$B$15:$AB$647,15,FALSE)</f>
        <v>-672</v>
      </c>
      <c r="W423" s="72">
        <f>'115+260'!S424</f>
        <v>8</v>
      </c>
      <c r="X423" s="71">
        <f t="shared" si="87"/>
        <v>422</v>
      </c>
      <c r="Y423" s="70">
        <f t="shared" si="88"/>
        <v>-8</v>
      </c>
      <c r="Z423" s="69">
        <f t="shared" si="89"/>
        <v>0</v>
      </c>
      <c r="AA423" s="68">
        <f t="shared" si="90"/>
        <v>3.9130000000000003</v>
      </c>
      <c r="AB423" s="68">
        <f t="shared" si="91"/>
        <v>3.08</v>
      </c>
    </row>
    <row r="424" spans="2:28">
      <c r="B424" s="110">
        <f>'115+260'!B425</f>
        <v>45662</v>
      </c>
      <c r="C424" s="80">
        <f t="shared" si="83"/>
        <v>1</v>
      </c>
      <c r="D424" s="79">
        <f t="shared" si="84"/>
        <v>1069</v>
      </c>
      <c r="E424" s="78">
        <f>VLOOKUP(B424,'115+260'!B425:AB425,3,FALSE)</f>
        <v>2099</v>
      </c>
      <c r="F424" s="75">
        <f t="shared" si="79"/>
        <v>3168</v>
      </c>
      <c r="G424" s="77">
        <f>VLOOKUP(B424,'115+260'!$B$15:$AB$647,20,FALSE)</f>
        <v>3345</v>
      </c>
      <c r="H424" s="77">
        <f>VLOOKUP(B424,'115+260'!$B$15:$AB$647,4,FALSE)</f>
        <v>813</v>
      </c>
      <c r="I424" s="74">
        <f t="shared" si="80"/>
        <v>2355</v>
      </c>
      <c r="J424" s="74">
        <f>VLOOKUP(B424,'115+260'!$B$15:$AB$647,13,FALSE)</f>
        <v>-645</v>
      </c>
      <c r="K424" s="72">
        <f>'115+260'!Q425</f>
        <v>7</v>
      </c>
      <c r="L424" s="71">
        <f t="shared" si="85"/>
        <v>445</v>
      </c>
      <c r="M424" s="76">
        <f>VLOOKUP(B424,'115+260'!$B$14:$AB$647,21,FALSE)</f>
        <v>3316</v>
      </c>
      <c r="N424" s="75">
        <f>VLOOKUP(B424,'115+260'!$B$15:$AB$647,5,FALSE)</f>
        <v>862</v>
      </c>
      <c r="O424" s="74">
        <f t="shared" si="81"/>
        <v>2306</v>
      </c>
      <c r="P424" s="74">
        <f>VLOOKUP(B424,'115+260'!$B$15:$AB$647,14,FALSE)</f>
        <v>-694</v>
      </c>
      <c r="Q424" s="72">
        <f>'115+260'!R425</f>
        <v>9</v>
      </c>
      <c r="R424" s="71">
        <f t="shared" si="86"/>
        <v>474</v>
      </c>
      <c r="S424" s="76">
        <f>VLOOKUP(B424,'115+260'!$B$14:$AB$647,22,FALSE)</f>
        <v>3359</v>
      </c>
      <c r="T424" s="75">
        <f>VLOOKUP(B424,'115+260'!$B$15:$AB$647,6,FALSE)</f>
        <v>849</v>
      </c>
      <c r="U424" s="74">
        <f t="shared" si="82"/>
        <v>2319</v>
      </c>
      <c r="V424" s="73">
        <f>VLOOKUP(B424,'115+260'!$B$15:$AB$647,15,FALSE)</f>
        <v>-681</v>
      </c>
      <c r="W424" s="72">
        <f>'115+260'!S425</f>
        <v>9</v>
      </c>
      <c r="X424" s="71">
        <f t="shared" si="87"/>
        <v>431</v>
      </c>
      <c r="Y424" s="70">
        <f t="shared" si="88"/>
        <v>-9</v>
      </c>
      <c r="Z424" s="69">
        <f t="shared" si="89"/>
        <v>0</v>
      </c>
      <c r="AA424" s="68">
        <f t="shared" si="90"/>
        <v>3.9130000000000003</v>
      </c>
      <c r="AB424" s="68">
        <f t="shared" si="91"/>
        <v>3.0619999999999998</v>
      </c>
    </row>
    <row r="425" spans="2:28">
      <c r="B425" s="110">
        <f>'115+260'!B426</f>
        <v>45663</v>
      </c>
      <c r="C425" s="80">
        <f t="shared" si="83"/>
        <v>1</v>
      </c>
      <c r="D425" s="79">
        <f t="shared" si="84"/>
        <v>1069</v>
      </c>
      <c r="E425" s="78">
        <f>VLOOKUP(B425,'115+260'!B426:AB426,3,FALSE)</f>
        <v>2101</v>
      </c>
      <c r="F425" s="75">
        <f t="shared" si="79"/>
        <v>3170</v>
      </c>
      <c r="G425" s="77">
        <f>VLOOKUP(B425,'115+260'!$B$15:$AB$647,20,FALSE)</f>
        <v>3336</v>
      </c>
      <c r="H425" s="77">
        <f>VLOOKUP(B425,'115+260'!$B$15:$AB$647,4,FALSE)</f>
        <v>824</v>
      </c>
      <c r="I425" s="74">
        <f t="shared" si="80"/>
        <v>2346</v>
      </c>
      <c r="J425" s="74">
        <f>VLOOKUP(B425,'115+260'!$B$15:$AB$647,13,FALSE)</f>
        <v>-654</v>
      </c>
      <c r="K425" s="72">
        <f>'115+260'!Q426</f>
        <v>9</v>
      </c>
      <c r="L425" s="71">
        <f t="shared" si="85"/>
        <v>454</v>
      </c>
      <c r="M425" s="76">
        <f>VLOOKUP(B425,'115+260'!$B$14:$AB$647,21,FALSE)</f>
        <v>3308</v>
      </c>
      <c r="N425" s="75">
        <f>VLOOKUP(B425,'115+260'!$B$15:$AB$647,5,FALSE)</f>
        <v>872</v>
      </c>
      <c r="O425" s="74">
        <f t="shared" si="81"/>
        <v>2298</v>
      </c>
      <c r="P425" s="74">
        <f>VLOOKUP(B425,'115+260'!$B$15:$AB$647,14,FALSE)</f>
        <v>-702</v>
      </c>
      <c r="Q425" s="72">
        <f>'115+260'!R426</f>
        <v>8</v>
      </c>
      <c r="R425" s="71">
        <f t="shared" si="86"/>
        <v>482</v>
      </c>
      <c r="S425" s="76">
        <f>VLOOKUP(B425,'115+260'!$B$14:$AB$647,22,FALSE)</f>
        <v>3351</v>
      </c>
      <c r="T425" s="75">
        <f>VLOOKUP(B425,'115+260'!$B$15:$AB$647,6,FALSE)</f>
        <v>859</v>
      </c>
      <c r="U425" s="74">
        <f t="shared" si="82"/>
        <v>2311</v>
      </c>
      <c r="V425" s="73">
        <f>VLOOKUP(B425,'115+260'!$B$15:$AB$647,15,FALSE)</f>
        <v>-689</v>
      </c>
      <c r="W425" s="72">
        <f>'115+260'!S426</f>
        <v>8</v>
      </c>
      <c r="X425" s="71">
        <f t="shared" si="87"/>
        <v>439</v>
      </c>
      <c r="Y425" s="70">
        <f t="shared" si="88"/>
        <v>-8</v>
      </c>
      <c r="Z425" s="69">
        <f t="shared" si="89"/>
        <v>0</v>
      </c>
      <c r="AA425" s="68">
        <f t="shared" si="90"/>
        <v>3.9130000000000003</v>
      </c>
      <c r="AB425" s="68">
        <f t="shared" si="91"/>
        <v>3.0459999999999998</v>
      </c>
    </row>
    <row r="426" spans="2:28">
      <c r="B426" s="110">
        <f>'115+260'!B427</f>
        <v>45664</v>
      </c>
      <c r="C426" s="80">
        <f t="shared" si="83"/>
        <v>1</v>
      </c>
      <c r="D426" s="79">
        <f t="shared" si="84"/>
        <v>1069</v>
      </c>
      <c r="E426" s="78">
        <f>VLOOKUP(B426,'115+260'!B427:AB427,3,FALSE)</f>
        <v>2103</v>
      </c>
      <c r="F426" s="75">
        <f t="shared" si="79"/>
        <v>3172</v>
      </c>
      <c r="G426" s="77">
        <f>VLOOKUP(B426,'115+260'!$B$15:$AB$647,20,FALSE)</f>
        <v>3328</v>
      </c>
      <c r="H426" s="77">
        <f>VLOOKUP(B426,'115+260'!$B$15:$AB$647,4,FALSE)</f>
        <v>834</v>
      </c>
      <c r="I426" s="74">
        <f t="shared" si="80"/>
        <v>2338</v>
      </c>
      <c r="J426" s="74">
        <f>VLOOKUP(B426,'115+260'!$B$15:$AB$647,13,FALSE)</f>
        <v>-662</v>
      </c>
      <c r="K426" s="72">
        <f>'115+260'!Q427</f>
        <v>8</v>
      </c>
      <c r="L426" s="71">
        <f t="shared" si="85"/>
        <v>462</v>
      </c>
      <c r="M426" s="76">
        <f>VLOOKUP(B426,'115+260'!$B$14:$AB$647,21,FALSE)</f>
        <v>3301</v>
      </c>
      <c r="N426" s="75">
        <f>VLOOKUP(B426,'115+260'!$B$15:$AB$647,5,FALSE)</f>
        <v>881</v>
      </c>
      <c r="O426" s="74">
        <f t="shared" si="81"/>
        <v>2291</v>
      </c>
      <c r="P426" s="74">
        <f>VLOOKUP(B426,'115+260'!$B$15:$AB$647,14,FALSE)</f>
        <v>-709</v>
      </c>
      <c r="Q426" s="72">
        <f>'115+260'!R427</f>
        <v>7</v>
      </c>
      <c r="R426" s="71">
        <f t="shared" si="86"/>
        <v>489</v>
      </c>
      <c r="S426" s="76">
        <f>VLOOKUP(B426,'115+260'!$B$14:$AB$647,22,FALSE)</f>
        <v>3344</v>
      </c>
      <c r="T426" s="75">
        <f>VLOOKUP(B426,'115+260'!$B$15:$AB$647,6,FALSE)</f>
        <v>868</v>
      </c>
      <c r="U426" s="74">
        <f t="shared" si="82"/>
        <v>2304</v>
      </c>
      <c r="V426" s="73">
        <f>VLOOKUP(B426,'115+260'!$B$15:$AB$647,15,FALSE)</f>
        <v>-696</v>
      </c>
      <c r="W426" s="72">
        <f>'115+260'!S427</f>
        <v>7</v>
      </c>
      <c r="X426" s="71">
        <f t="shared" si="87"/>
        <v>446</v>
      </c>
      <c r="Y426" s="70">
        <f t="shared" si="88"/>
        <v>-7</v>
      </c>
      <c r="Z426" s="69">
        <f t="shared" si="89"/>
        <v>0</v>
      </c>
      <c r="AA426" s="68">
        <f t="shared" si="90"/>
        <v>3.9130000000000003</v>
      </c>
      <c r="AB426" s="68">
        <f t="shared" si="91"/>
        <v>3.032</v>
      </c>
    </row>
    <row r="427" spans="2:28">
      <c r="B427" s="110">
        <f>'115+260'!B428</f>
        <v>45665</v>
      </c>
      <c r="C427" s="80">
        <f t="shared" si="83"/>
        <v>1</v>
      </c>
      <c r="D427" s="79">
        <f t="shared" si="84"/>
        <v>1069</v>
      </c>
      <c r="E427" s="78">
        <f>VLOOKUP(B427,'115+260'!B428:AB428,3,FALSE)</f>
        <v>2105</v>
      </c>
      <c r="F427" s="75">
        <f t="shared" si="79"/>
        <v>3174</v>
      </c>
      <c r="G427" s="77">
        <f>VLOOKUP(B427,'115+260'!$B$15:$AB$647,20,FALSE)</f>
        <v>3321</v>
      </c>
      <c r="H427" s="77">
        <f>VLOOKUP(B427,'115+260'!$B$15:$AB$647,4,FALSE)</f>
        <v>843</v>
      </c>
      <c r="I427" s="74">
        <f t="shared" si="80"/>
        <v>2331</v>
      </c>
      <c r="J427" s="74">
        <f>VLOOKUP(B427,'115+260'!$B$15:$AB$647,13,FALSE)</f>
        <v>-669</v>
      </c>
      <c r="K427" s="72">
        <f>'115+260'!Q428</f>
        <v>7</v>
      </c>
      <c r="L427" s="71">
        <f t="shared" si="85"/>
        <v>469</v>
      </c>
      <c r="M427" s="76">
        <f>VLOOKUP(B427,'115+260'!$B$14:$AB$647,21,FALSE)</f>
        <v>3292</v>
      </c>
      <c r="N427" s="75">
        <f>VLOOKUP(B427,'115+260'!$B$15:$AB$647,5,FALSE)</f>
        <v>892</v>
      </c>
      <c r="O427" s="74">
        <f t="shared" si="81"/>
        <v>2282</v>
      </c>
      <c r="P427" s="74">
        <f>VLOOKUP(B427,'115+260'!$B$15:$AB$647,14,FALSE)</f>
        <v>-718</v>
      </c>
      <c r="Q427" s="72">
        <f>'115+260'!R428</f>
        <v>9</v>
      </c>
      <c r="R427" s="71">
        <f t="shared" si="86"/>
        <v>498</v>
      </c>
      <c r="S427" s="76">
        <f>VLOOKUP(B427,'115+260'!$B$14:$AB$647,22,FALSE)</f>
        <v>3335</v>
      </c>
      <c r="T427" s="75">
        <f>VLOOKUP(B427,'115+260'!$B$15:$AB$647,6,FALSE)</f>
        <v>879</v>
      </c>
      <c r="U427" s="74">
        <f t="shared" si="82"/>
        <v>2295</v>
      </c>
      <c r="V427" s="73">
        <f>VLOOKUP(B427,'115+260'!$B$15:$AB$647,15,FALSE)</f>
        <v>-705</v>
      </c>
      <c r="W427" s="72">
        <f>'115+260'!S428</f>
        <v>9</v>
      </c>
      <c r="X427" s="71">
        <f t="shared" si="87"/>
        <v>455</v>
      </c>
      <c r="Y427" s="70">
        <f t="shared" si="88"/>
        <v>-9</v>
      </c>
      <c r="Z427" s="69">
        <f t="shared" si="89"/>
        <v>0</v>
      </c>
      <c r="AA427" s="68">
        <f t="shared" si="90"/>
        <v>3.9130000000000003</v>
      </c>
      <c r="AB427" s="68">
        <f t="shared" si="91"/>
        <v>3.0139999999999998</v>
      </c>
    </row>
    <row r="428" spans="2:28">
      <c r="B428" s="110">
        <f>'115+260'!B429</f>
        <v>45666</v>
      </c>
      <c r="C428" s="80">
        <f t="shared" si="83"/>
        <v>1</v>
      </c>
      <c r="D428" s="79">
        <f t="shared" si="84"/>
        <v>1069</v>
      </c>
      <c r="E428" s="78">
        <f>VLOOKUP(B428,'115+260'!B429:AB429,3,FALSE)</f>
        <v>2107</v>
      </c>
      <c r="F428" s="75">
        <f t="shared" si="79"/>
        <v>3176</v>
      </c>
      <c r="G428" s="77">
        <f>VLOOKUP(B428,'115+260'!$B$15:$AB$647,20,FALSE)</f>
        <v>3312</v>
      </c>
      <c r="H428" s="77">
        <f>VLOOKUP(B428,'115+260'!$B$15:$AB$647,4,FALSE)</f>
        <v>854</v>
      </c>
      <c r="I428" s="74">
        <f t="shared" si="80"/>
        <v>2322</v>
      </c>
      <c r="J428" s="74">
        <f>VLOOKUP(B428,'115+260'!$B$15:$AB$647,13,FALSE)</f>
        <v>-678</v>
      </c>
      <c r="K428" s="72">
        <f>'115+260'!Q429</f>
        <v>9</v>
      </c>
      <c r="L428" s="71">
        <f t="shared" si="85"/>
        <v>478</v>
      </c>
      <c r="M428" s="76">
        <f>VLOOKUP(B428,'115+260'!$B$14:$AB$647,21,FALSE)</f>
        <v>3284</v>
      </c>
      <c r="N428" s="75">
        <f>VLOOKUP(B428,'115+260'!$B$15:$AB$647,5,FALSE)</f>
        <v>902</v>
      </c>
      <c r="O428" s="74">
        <f t="shared" si="81"/>
        <v>2274</v>
      </c>
      <c r="P428" s="74">
        <f>VLOOKUP(B428,'115+260'!$B$15:$AB$647,14,FALSE)</f>
        <v>-726</v>
      </c>
      <c r="Q428" s="72">
        <f>'115+260'!R429</f>
        <v>8</v>
      </c>
      <c r="R428" s="71">
        <f t="shared" si="86"/>
        <v>506</v>
      </c>
      <c r="S428" s="76">
        <f>VLOOKUP(B428,'115+260'!$B$14:$AB$647,22,FALSE)</f>
        <v>3327</v>
      </c>
      <c r="T428" s="75">
        <f>VLOOKUP(B428,'115+260'!$B$15:$AB$647,6,FALSE)</f>
        <v>889</v>
      </c>
      <c r="U428" s="74">
        <f t="shared" si="82"/>
        <v>2287</v>
      </c>
      <c r="V428" s="73">
        <f>VLOOKUP(B428,'115+260'!$B$15:$AB$647,15,FALSE)</f>
        <v>-713</v>
      </c>
      <c r="W428" s="72">
        <f>'115+260'!S429</f>
        <v>8</v>
      </c>
      <c r="X428" s="71">
        <f t="shared" si="87"/>
        <v>463</v>
      </c>
      <c r="Y428" s="70">
        <f t="shared" si="88"/>
        <v>-8</v>
      </c>
      <c r="Z428" s="69">
        <f t="shared" si="89"/>
        <v>0</v>
      </c>
      <c r="AA428" s="68">
        <f t="shared" si="90"/>
        <v>3.9130000000000003</v>
      </c>
      <c r="AB428" s="68">
        <f t="shared" si="91"/>
        <v>2.9980000000000002</v>
      </c>
    </row>
    <row r="429" spans="2:28">
      <c r="B429" s="110">
        <f>'115+260'!B430</f>
        <v>45667</v>
      </c>
      <c r="C429" s="80">
        <f t="shared" si="83"/>
        <v>1</v>
      </c>
      <c r="D429" s="79">
        <f t="shared" si="84"/>
        <v>1069</v>
      </c>
      <c r="E429" s="78">
        <f>VLOOKUP(B429,'115+260'!B430:AB430,3,FALSE)</f>
        <v>2109</v>
      </c>
      <c r="F429" s="75">
        <f t="shared" si="79"/>
        <v>3178</v>
      </c>
      <c r="G429" s="77">
        <f>VLOOKUP(B429,'115+260'!$B$15:$AB$647,20,FALSE)</f>
        <v>3304</v>
      </c>
      <c r="H429" s="77">
        <f>VLOOKUP(B429,'115+260'!$B$15:$AB$647,4,FALSE)</f>
        <v>864</v>
      </c>
      <c r="I429" s="74">
        <f t="shared" si="80"/>
        <v>2314</v>
      </c>
      <c r="J429" s="74">
        <f>VLOOKUP(B429,'115+260'!$B$15:$AB$647,13,FALSE)</f>
        <v>-686</v>
      </c>
      <c r="K429" s="72">
        <f>'115+260'!Q430</f>
        <v>8</v>
      </c>
      <c r="L429" s="71">
        <f t="shared" si="85"/>
        <v>486</v>
      </c>
      <c r="M429" s="76">
        <f>VLOOKUP(B429,'115+260'!$B$14:$AB$647,21,FALSE)</f>
        <v>3275</v>
      </c>
      <c r="N429" s="75">
        <f>VLOOKUP(B429,'115+260'!$B$15:$AB$647,5,FALSE)</f>
        <v>913</v>
      </c>
      <c r="O429" s="74">
        <f t="shared" si="81"/>
        <v>2265</v>
      </c>
      <c r="P429" s="74">
        <f>VLOOKUP(B429,'115+260'!$B$15:$AB$647,14,FALSE)</f>
        <v>-735</v>
      </c>
      <c r="Q429" s="72">
        <f>'115+260'!R430</f>
        <v>9</v>
      </c>
      <c r="R429" s="71">
        <f t="shared" si="86"/>
        <v>515</v>
      </c>
      <c r="S429" s="76">
        <f>VLOOKUP(B429,'115+260'!$B$14:$AB$647,22,FALSE)</f>
        <v>3320</v>
      </c>
      <c r="T429" s="75">
        <f>VLOOKUP(B429,'115+260'!$B$15:$AB$647,6,FALSE)</f>
        <v>898</v>
      </c>
      <c r="U429" s="74">
        <f t="shared" si="82"/>
        <v>2280</v>
      </c>
      <c r="V429" s="73">
        <f>VLOOKUP(B429,'115+260'!$B$15:$AB$647,15,FALSE)</f>
        <v>-720</v>
      </c>
      <c r="W429" s="72">
        <f>'115+260'!S430</f>
        <v>7</v>
      </c>
      <c r="X429" s="71">
        <f t="shared" si="87"/>
        <v>470</v>
      </c>
      <c r="Y429" s="70">
        <f t="shared" si="88"/>
        <v>-7</v>
      </c>
      <c r="Z429" s="69">
        <f t="shared" si="89"/>
        <v>0</v>
      </c>
      <c r="AA429" s="68">
        <f t="shared" si="90"/>
        <v>3.9130000000000003</v>
      </c>
      <c r="AB429" s="68">
        <f t="shared" si="91"/>
        <v>2.98</v>
      </c>
    </row>
    <row r="430" spans="2:28">
      <c r="B430" s="110">
        <f>'115+260'!B431</f>
        <v>45668</v>
      </c>
      <c r="C430" s="80">
        <f t="shared" si="83"/>
        <v>1</v>
      </c>
      <c r="D430" s="79">
        <f t="shared" si="84"/>
        <v>1069</v>
      </c>
      <c r="E430" s="78">
        <f>VLOOKUP(B430,'115+260'!B431:AB431,3,FALSE)</f>
        <v>2111</v>
      </c>
      <c r="F430" s="75">
        <f t="shared" si="79"/>
        <v>3180</v>
      </c>
      <c r="G430" s="77">
        <f>VLOOKUP(B430,'115+260'!$B$15:$AB$647,20,FALSE)</f>
        <v>3295</v>
      </c>
      <c r="H430" s="77">
        <f>VLOOKUP(B430,'115+260'!$B$15:$AB$647,4,FALSE)</f>
        <v>875</v>
      </c>
      <c r="I430" s="74">
        <f t="shared" si="80"/>
        <v>2305</v>
      </c>
      <c r="J430" s="74">
        <f>VLOOKUP(B430,'115+260'!$B$15:$AB$647,13,FALSE)</f>
        <v>-695</v>
      </c>
      <c r="K430" s="72">
        <f>'115+260'!Q431</f>
        <v>9</v>
      </c>
      <c r="L430" s="71">
        <f t="shared" si="85"/>
        <v>495</v>
      </c>
      <c r="M430" s="76">
        <f>VLOOKUP(B430,'115+260'!$B$14:$AB$647,21,FALSE)</f>
        <v>3267</v>
      </c>
      <c r="N430" s="75">
        <f>VLOOKUP(B430,'115+260'!$B$15:$AB$647,5,FALSE)</f>
        <v>923</v>
      </c>
      <c r="O430" s="74">
        <f t="shared" si="81"/>
        <v>2257</v>
      </c>
      <c r="P430" s="74">
        <f>VLOOKUP(B430,'115+260'!$B$15:$AB$647,14,FALSE)</f>
        <v>-743</v>
      </c>
      <c r="Q430" s="72">
        <f>'115+260'!R431</f>
        <v>8</v>
      </c>
      <c r="R430" s="71">
        <f t="shared" si="86"/>
        <v>523</v>
      </c>
      <c r="S430" s="76">
        <f>VLOOKUP(B430,'115+260'!$B$14:$AB$647,22,FALSE)</f>
        <v>3311</v>
      </c>
      <c r="T430" s="75">
        <f>VLOOKUP(B430,'115+260'!$B$15:$AB$647,6,FALSE)</f>
        <v>909</v>
      </c>
      <c r="U430" s="74">
        <f t="shared" si="82"/>
        <v>2271</v>
      </c>
      <c r="V430" s="73">
        <f>VLOOKUP(B430,'115+260'!$B$15:$AB$647,15,FALSE)</f>
        <v>-729</v>
      </c>
      <c r="W430" s="72">
        <f>'115+260'!S431</f>
        <v>9</v>
      </c>
      <c r="X430" s="71">
        <f t="shared" si="87"/>
        <v>479</v>
      </c>
      <c r="Y430" s="70">
        <f t="shared" si="88"/>
        <v>-9</v>
      </c>
      <c r="Z430" s="69">
        <f t="shared" si="89"/>
        <v>0</v>
      </c>
      <c r="AA430" s="68">
        <f t="shared" si="90"/>
        <v>3.9130000000000003</v>
      </c>
      <c r="AB430" s="68">
        <f t="shared" si="91"/>
        <v>2.964</v>
      </c>
    </row>
    <row r="431" spans="2:28">
      <c r="B431" s="110">
        <f>'115+260'!B432</f>
        <v>45669</v>
      </c>
      <c r="C431" s="80">
        <f t="shared" si="83"/>
        <v>1</v>
      </c>
      <c r="D431" s="79">
        <f t="shared" si="84"/>
        <v>1069</v>
      </c>
      <c r="E431" s="78">
        <f>VLOOKUP(B431,'115+260'!B432:AB432,3,FALSE)</f>
        <v>2113</v>
      </c>
      <c r="F431" s="75">
        <f t="shared" si="79"/>
        <v>3182</v>
      </c>
      <c r="G431" s="77">
        <f>VLOOKUP(B431,'115+260'!$B$15:$AB$647,20,FALSE)</f>
        <v>3287</v>
      </c>
      <c r="H431" s="77">
        <f>VLOOKUP(B431,'115+260'!$B$15:$AB$647,4,FALSE)</f>
        <v>885</v>
      </c>
      <c r="I431" s="74">
        <f t="shared" si="80"/>
        <v>2297</v>
      </c>
      <c r="J431" s="74">
        <f>VLOOKUP(B431,'115+260'!$B$15:$AB$647,13,FALSE)</f>
        <v>-703</v>
      </c>
      <c r="K431" s="72">
        <f>'115+260'!Q432</f>
        <v>8</v>
      </c>
      <c r="L431" s="71">
        <f t="shared" si="85"/>
        <v>503</v>
      </c>
      <c r="M431" s="76">
        <f>VLOOKUP(B431,'115+260'!$B$14:$AB$647,21,FALSE)</f>
        <v>3259</v>
      </c>
      <c r="N431" s="75">
        <f>VLOOKUP(B431,'115+260'!$B$15:$AB$647,5,FALSE)</f>
        <v>933</v>
      </c>
      <c r="O431" s="74">
        <f t="shared" si="81"/>
        <v>2249</v>
      </c>
      <c r="P431" s="74">
        <f>VLOOKUP(B431,'115+260'!$B$15:$AB$647,14,FALSE)</f>
        <v>-751</v>
      </c>
      <c r="Q431" s="72">
        <f>'115+260'!R432</f>
        <v>8</v>
      </c>
      <c r="R431" s="71">
        <f t="shared" si="86"/>
        <v>531</v>
      </c>
      <c r="S431" s="76">
        <f>VLOOKUP(B431,'115+260'!$B$14:$AB$647,22,FALSE)</f>
        <v>3303</v>
      </c>
      <c r="T431" s="75">
        <f>VLOOKUP(B431,'115+260'!$B$15:$AB$647,6,FALSE)</f>
        <v>919</v>
      </c>
      <c r="U431" s="74">
        <f t="shared" si="82"/>
        <v>2263</v>
      </c>
      <c r="V431" s="73">
        <f>VLOOKUP(B431,'115+260'!$B$15:$AB$647,15,FALSE)</f>
        <v>-737</v>
      </c>
      <c r="W431" s="72">
        <f>'115+260'!S432</f>
        <v>8</v>
      </c>
      <c r="X431" s="71">
        <f t="shared" si="87"/>
        <v>487</v>
      </c>
      <c r="Y431" s="70">
        <f t="shared" si="88"/>
        <v>-8</v>
      </c>
      <c r="Z431" s="69">
        <f t="shared" si="89"/>
        <v>0</v>
      </c>
      <c r="AA431" s="68">
        <f t="shared" si="90"/>
        <v>3.9130000000000003</v>
      </c>
      <c r="AB431" s="68">
        <f t="shared" si="91"/>
        <v>2.948</v>
      </c>
    </row>
    <row r="432" spans="2:28">
      <c r="B432" s="110">
        <f>'115+260'!B433</f>
        <v>45670</v>
      </c>
      <c r="C432" s="80">
        <f t="shared" si="83"/>
        <v>1</v>
      </c>
      <c r="D432" s="79">
        <f t="shared" si="84"/>
        <v>1069</v>
      </c>
      <c r="E432" s="78">
        <f>VLOOKUP(B432,'115+260'!B433:AB433,3,FALSE)</f>
        <v>2115</v>
      </c>
      <c r="F432" s="75">
        <f t="shared" si="79"/>
        <v>3184</v>
      </c>
      <c r="G432" s="77">
        <f>VLOOKUP(B432,'115+260'!$B$15:$AB$647,20,FALSE)</f>
        <v>3280</v>
      </c>
      <c r="H432" s="77">
        <f>VLOOKUP(B432,'115+260'!$B$15:$AB$647,4,FALSE)</f>
        <v>894</v>
      </c>
      <c r="I432" s="74">
        <f t="shared" si="80"/>
        <v>2290</v>
      </c>
      <c r="J432" s="74">
        <f>VLOOKUP(B432,'115+260'!$B$15:$AB$647,13,FALSE)</f>
        <v>-710</v>
      </c>
      <c r="K432" s="72">
        <f>'115+260'!Q433</f>
        <v>7</v>
      </c>
      <c r="L432" s="71">
        <f t="shared" si="85"/>
        <v>510</v>
      </c>
      <c r="M432" s="76">
        <f>VLOOKUP(B432,'115+260'!$B$14:$AB$647,21,FALSE)</f>
        <v>3250</v>
      </c>
      <c r="N432" s="75">
        <f>VLOOKUP(B432,'115+260'!$B$15:$AB$647,5,FALSE)</f>
        <v>944</v>
      </c>
      <c r="O432" s="74">
        <f t="shared" si="81"/>
        <v>2240</v>
      </c>
      <c r="P432" s="74">
        <f>VLOOKUP(B432,'115+260'!$B$15:$AB$647,14,FALSE)</f>
        <v>-760</v>
      </c>
      <c r="Q432" s="72">
        <f>'115+260'!R433</f>
        <v>9</v>
      </c>
      <c r="R432" s="71">
        <f t="shared" si="86"/>
        <v>540</v>
      </c>
      <c r="S432" s="76">
        <f>VLOOKUP(B432,'115+260'!$B$14:$AB$647,22,FALSE)</f>
        <v>3294</v>
      </c>
      <c r="T432" s="75">
        <f>VLOOKUP(B432,'115+260'!$B$15:$AB$647,6,FALSE)</f>
        <v>930</v>
      </c>
      <c r="U432" s="74">
        <f t="shared" si="82"/>
        <v>2254</v>
      </c>
      <c r="V432" s="73">
        <f>VLOOKUP(B432,'115+260'!$B$15:$AB$647,15,FALSE)</f>
        <v>-746</v>
      </c>
      <c r="W432" s="72">
        <f>'115+260'!S433</f>
        <v>9</v>
      </c>
      <c r="X432" s="71">
        <f t="shared" si="87"/>
        <v>496</v>
      </c>
      <c r="Y432" s="70">
        <f t="shared" si="88"/>
        <v>-9</v>
      </c>
      <c r="Z432" s="69">
        <f t="shared" si="89"/>
        <v>0</v>
      </c>
      <c r="AA432" s="68">
        <f t="shared" si="90"/>
        <v>3.9130000000000003</v>
      </c>
      <c r="AB432" s="68">
        <f t="shared" si="91"/>
        <v>2.93</v>
      </c>
    </row>
    <row r="433" spans="2:28">
      <c r="B433" s="110">
        <f>'115+260'!B434</f>
        <v>45671</v>
      </c>
      <c r="C433" s="80">
        <f t="shared" si="83"/>
        <v>1</v>
      </c>
      <c r="D433" s="79">
        <f t="shared" si="84"/>
        <v>1069</v>
      </c>
      <c r="E433" s="78">
        <f>VLOOKUP(B433,'115+260'!B434:AB434,3,FALSE)</f>
        <v>2117</v>
      </c>
      <c r="F433" s="75">
        <f t="shared" si="79"/>
        <v>3186</v>
      </c>
      <c r="G433" s="77">
        <f>VLOOKUP(B433,'115+260'!$B$15:$AB$647,20,FALSE)</f>
        <v>3273</v>
      </c>
      <c r="H433" s="77">
        <f>VLOOKUP(B433,'115+260'!$B$15:$AB$647,4,FALSE)</f>
        <v>903</v>
      </c>
      <c r="I433" s="74">
        <f t="shared" si="80"/>
        <v>2283</v>
      </c>
      <c r="J433" s="74">
        <f>VLOOKUP(B433,'115+260'!$B$15:$AB$647,13,FALSE)</f>
        <v>-717</v>
      </c>
      <c r="K433" s="72">
        <f>'115+260'!Q434</f>
        <v>7</v>
      </c>
      <c r="L433" s="71">
        <f t="shared" si="85"/>
        <v>517</v>
      </c>
      <c r="M433" s="76">
        <f>VLOOKUP(B433,'115+260'!$B$14:$AB$647,21,FALSE)</f>
        <v>3242</v>
      </c>
      <c r="N433" s="75">
        <f>VLOOKUP(B433,'115+260'!$B$15:$AB$647,5,FALSE)</f>
        <v>954</v>
      </c>
      <c r="O433" s="74">
        <f t="shared" si="81"/>
        <v>2232</v>
      </c>
      <c r="P433" s="74">
        <f>VLOOKUP(B433,'115+260'!$B$15:$AB$647,14,FALSE)</f>
        <v>-768</v>
      </c>
      <c r="Q433" s="72">
        <f>'115+260'!R434</f>
        <v>8</v>
      </c>
      <c r="R433" s="71">
        <f t="shared" si="86"/>
        <v>548</v>
      </c>
      <c r="S433" s="76">
        <f>VLOOKUP(B433,'115+260'!$B$14:$AB$647,22,FALSE)</f>
        <v>3286</v>
      </c>
      <c r="T433" s="75">
        <f>VLOOKUP(B433,'115+260'!$B$15:$AB$647,6,FALSE)</f>
        <v>940</v>
      </c>
      <c r="U433" s="74">
        <f t="shared" si="82"/>
        <v>2246</v>
      </c>
      <c r="V433" s="73">
        <f>VLOOKUP(B433,'115+260'!$B$15:$AB$647,15,FALSE)</f>
        <v>-754</v>
      </c>
      <c r="W433" s="72">
        <f>'115+260'!S434</f>
        <v>8</v>
      </c>
      <c r="X433" s="71">
        <f t="shared" si="87"/>
        <v>504</v>
      </c>
      <c r="Y433" s="70">
        <f t="shared" si="88"/>
        <v>-8</v>
      </c>
      <c r="Z433" s="69">
        <f t="shared" si="89"/>
        <v>0</v>
      </c>
      <c r="AA433" s="68">
        <f t="shared" si="90"/>
        <v>3.9130000000000003</v>
      </c>
      <c r="AB433" s="68">
        <f t="shared" si="91"/>
        <v>2.9140000000000001</v>
      </c>
    </row>
    <row r="434" spans="2:28">
      <c r="B434" s="110">
        <f>'115+260'!B435</f>
        <v>45672</v>
      </c>
      <c r="C434" s="80">
        <f t="shared" si="83"/>
        <v>1</v>
      </c>
      <c r="D434" s="79">
        <f t="shared" si="84"/>
        <v>1069</v>
      </c>
      <c r="E434" s="78">
        <f>VLOOKUP(B434,'115+260'!B435:AB435,3,FALSE)</f>
        <v>2119</v>
      </c>
      <c r="F434" s="75">
        <f t="shared" si="79"/>
        <v>3188</v>
      </c>
      <c r="G434" s="77">
        <f>VLOOKUP(B434,'115+260'!$B$15:$AB$647,20,FALSE)</f>
        <v>3267</v>
      </c>
      <c r="H434" s="77">
        <f>VLOOKUP(B434,'115+260'!$B$15:$AB$647,4,FALSE)</f>
        <v>911</v>
      </c>
      <c r="I434" s="74">
        <f t="shared" si="80"/>
        <v>2277</v>
      </c>
      <c r="J434" s="74">
        <f>VLOOKUP(B434,'115+260'!$B$15:$AB$647,13,FALSE)</f>
        <v>-723</v>
      </c>
      <c r="K434" s="72">
        <f>'115+260'!Q435</f>
        <v>6</v>
      </c>
      <c r="L434" s="71">
        <f t="shared" si="85"/>
        <v>523</v>
      </c>
      <c r="M434" s="76">
        <f>VLOOKUP(B434,'115+260'!$B$14:$AB$647,21,FALSE)</f>
        <v>3235</v>
      </c>
      <c r="N434" s="75">
        <f>VLOOKUP(B434,'115+260'!$B$15:$AB$647,5,FALSE)</f>
        <v>963</v>
      </c>
      <c r="O434" s="74">
        <f t="shared" si="81"/>
        <v>2225</v>
      </c>
      <c r="P434" s="74">
        <f>VLOOKUP(B434,'115+260'!$B$15:$AB$647,14,FALSE)</f>
        <v>-775</v>
      </c>
      <c r="Q434" s="72">
        <f>'115+260'!R435</f>
        <v>7</v>
      </c>
      <c r="R434" s="71">
        <f t="shared" si="86"/>
        <v>555</v>
      </c>
      <c r="S434" s="76">
        <f>VLOOKUP(B434,'115+260'!$B$14:$AB$647,22,FALSE)</f>
        <v>3279</v>
      </c>
      <c r="T434" s="75">
        <f>VLOOKUP(B434,'115+260'!$B$15:$AB$647,6,FALSE)</f>
        <v>949</v>
      </c>
      <c r="U434" s="74">
        <f t="shared" si="82"/>
        <v>2239</v>
      </c>
      <c r="V434" s="73">
        <f>VLOOKUP(B434,'115+260'!$B$15:$AB$647,15,FALSE)</f>
        <v>-761</v>
      </c>
      <c r="W434" s="72">
        <f>'115+260'!S435</f>
        <v>7</v>
      </c>
      <c r="X434" s="71">
        <f t="shared" si="87"/>
        <v>511</v>
      </c>
      <c r="Y434" s="70">
        <f t="shared" si="88"/>
        <v>-7</v>
      </c>
      <c r="Z434" s="69">
        <f t="shared" si="89"/>
        <v>0</v>
      </c>
      <c r="AA434" s="68">
        <f t="shared" si="90"/>
        <v>3.9130000000000003</v>
      </c>
      <c r="AB434" s="68">
        <f t="shared" si="91"/>
        <v>2.9</v>
      </c>
    </row>
    <row r="435" spans="2:28">
      <c r="B435" s="110">
        <f>'115+260'!B436</f>
        <v>45673</v>
      </c>
      <c r="C435" s="80">
        <f t="shared" si="83"/>
        <v>1</v>
      </c>
      <c r="D435" s="79">
        <f t="shared" si="84"/>
        <v>1069</v>
      </c>
      <c r="E435" s="78">
        <f>VLOOKUP(B435,'115+260'!B436:AB436,3,FALSE)</f>
        <v>2121</v>
      </c>
      <c r="F435" s="75">
        <f t="shared" si="79"/>
        <v>3190</v>
      </c>
      <c r="G435" s="77">
        <f>VLOOKUP(B435,'115+260'!$B$15:$AB$647,20,FALSE)</f>
        <v>3263</v>
      </c>
      <c r="H435" s="77">
        <f>VLOOKUP(B435,'115+260'!$B$15:$AB$647,4,FALSE)</f>
        <v>917</v>
      </c>
      <c r="I435" s="74">
        <f t="shared" si="80"/>
        <v>2273</v>
      </c>
      <c r="J435" s="74">
        <f>VLOOKUP(B435,'115+260'!$B$15:$AB$647,13,FALSE)</f>
        <v>-727</v>
      </c>
      <c r="K435" s="72">
        <f>'115+260'!Q436</f>
        <v>4</v>
      </c>
      <c r="L435" s="71">
        <f t="shared" si="85"/>
        <v>527</v>
      </c>
      <c r="M435" s="76">
        <f>VLOOKUP(B435,'115+260'!$B$14:$AB$647,21,FALSE)</f>
        <v>3226</v>
      </c>
      <c r="N435" s="75">
        <f>VLOOKUP(B435,'115+260'!$B$15:$AB$647,5,FALSE)</f>
        <v>974</v>
      </c>
      <c r="O435" s="74">
        <f t="shared" si="81"/>
        <v>2216</v>
      </c>
      <c r="P435" s="74">
        <f>VLOOKUP(B435,'115+260'!$B$15:$AB$647,14,FALSE)</f>
        <v>-784</v>
      </c>
      <c r="Q435" s="72">
        <f>'115+260'!R436</f>
        <v>9</v>
      </c>
      <c r="R435" s="71">
        <f t="shared" si="86"/>
        <v>564</v>
      </c>
      <c r="S435" s="76">
        <f>VLOOKUP(B435,'115+260'!$B$14:$AB$647,22,FALSE)</f>
        <v>3272</v>
      </c>
      <c r="T435" s="75">
        <f>VLOOKUP(B435,'115+260'!$B$15:$AB$647,6,FALSE)</f>
        <v>958</v>
      </c>
      <c r="U435" s="74">
        <f t="shared" si="82"/>
        <v>2232</v>
      </c>
      <c r="V435" s="73">
        <f>VLOOKUP(B435,'115+260'!$B$15:$AB$647,15,FALSE)</f>
        <v>-768</v>
      </c>
      <c r="W435" s="72">
        <f>'115+260'!S436</f>
        <v>7</v>
      </c>
      <c r="X435" s="71">
        <f t="shared" si="87"/>
        <v>518</v>
      </c>
      <c r="Y435" s="70">
        <f t="shared" si="88"/>
        <v>-7</v>
      </c>
      <c r="Z435" s="69">
        <f t="shared" si="89"/>
        <v>0</v>
      </c>
      <c r="AA435" s="68">
        <f t="shared" si="90"/>
        <v>3.9130000000000003</v>
      </c>
      <c r="AB435" s="68">
        <f t="shared" si="91"/>
        <v>2.8820000000000001</v>
      </c>
    </row>
    <row r="436" spans="2:28">
      <c r="B436" s="110">
        <f>'115+260'!B437</f>
        <v>45674</v>
      </c>
      <c r="C436" s="80">
        <f t="shared" si="83"/>
        <v>1</v>
      </c>
      <c r="D436" s="79">
        <f t="shared" si="84"/>
        <v>1069</v>
      </c>
      <c r="E436" s="78">
        <f>VLOOKUP(B436,'115+260'!B437:AB437,3,FALSE)</f>
        <v>2123</v>
      </c>
      <c r="F436" s="75">
        <f t="shared" si="79"/>
        <v>3192</v>
      </c>
      <c r="G436" s="77">
        <f>VLOOKUP(B436,'115+260'!$B$15:$AB$647,20,FALSE)</f>
        <v>3256</v>
      </c>
      <c r="H436" s="77">
        <f>VLOOKUP(B436,'115+260'!$B$15:$AB$647,4,FALSE)</f>
        <v>926</v>
      </c>
      <c r="I436" s="74">
        <f t="shared" si="80"/>
        <v>2266</v>
      </c>
      <c r="J436" s="74">
        <f>VLOOKUP(B436,'115+260'!$B$15:$AB$647,13,FALSE)</f>
        <v>-734</v>
      </c>
      <c r="K436" s="72">
        <f>'115+260'!Q437</f>
        <v>7</v>
      </c>
      <c r="L436" s="71">
        <f t="shared" si="85"/>
        <v>534</v>
      </c>
      <c r="M436" s="76">
        <f>VLOOKUP(B436,'115+260'!$B$14:$AB$647,21,FALSE)</f>
        <v>3218</v>
      </c>
      <c r="N436" s="75">
        <f>VLOOKUP(B436,'115+260'!$B$15:$AB$647,5,FALSE)</f>
        <v>984</v>
      </c>
      <c r="O436" s="74">
        <f t="shared" si="81"/>
        <v>2208</v>
      </c>
      <c r="P436" s="74">
        <f>VLOOKUP(B436,'115+260'!$B$15:$AB$647,14,FALSE)</f>
        <v>-792</v>
      </c>
      <c r="Q436" s="72">
        <f>'115+260'!R437</f>
        <v>8</v>
      </c>
      <c r="R436" s="71">
        <f t="shared" si="86"/>
        <v>572</v>
      </c>
      <c r="S436" s="76">
        <f>VLOOKUP(B436,'115+260'!$B$14:$AB$647,22,FALSE)</f>
        <v>3269</v>
      </c>
      <c r="T436" s="75">
        <f>VLOOKUP(B436,'115+260'!$B$15:$AB$647,6,FALSE)</f>
        <v>963</v>
      </c>
      <c r="U436" s="74">
        <f t="shared" si="82"/>
        <v>2229</v>
      </c>
      <c r="V436" s="73">
        <f>VLOOKUP(B436,'115+260'!$B$15:$AB$647,15,FALSE)</f>
        <v>-771</v>
      </c>
      <c r="W436" s="72">
        <f>'115+260'!S437</f>
        <v>3</v>
      </c>
      <c r="X436" s="71">
        <f t="shared" si="87"/>
        <v>521</v>
      </c>
      <c r="Y436" s="70">
        <f t="shared" si="88"/>
        <v>-3</v>
      </c>
      <c r="Z436" s="69">
        <f t="shared" si="89"/>
        <v>0</v>
      </c>
      <c r="AA436" s="68">
        <f t="shared" si="90"/>
        <v>3.9130000000000003</v>
      </c>
      <c r="AB436" s="68">
        <f t="shared" si="91"/>
        <v>2.8660000000000001</v>
      </c>
    </row>
    <row r="437" spans="2:28">
      <c r="B437" s="110">
        <f>'115+260'!B438</f>
        <v>45675</v>
      </c>
      <c r="C437" s="80">
        <f t="shared" si="83"/>
        <v>1</v>
      </c>
      <c r="D437" s="79">
        <f t="shared" si="84"/>
        <v>1069</v>
      </c>
      <c r="E437" s="78">
        <f>VLOOKUP(B437,'115+260'!B438:AB438,3,FALSE)</f>
        <v>2125</v>
      </c>
      <c r="F437" s="75">
        <f t="shared" si="79"/>
        <v>3194</v>
      </c>
      <c r="G437" s="77">
        <f>VLOOKUP(B437,'115+260'!$B$15:$AB$647,20,FALSE)</f>
        <v>3251</v>
      </c>
      <c r="H437" s="77">
        <f>VLOOKUP(B437,'115+260'!$B$15:$AB$647,4,FALSE)</f>
        <v>933</v>
      </c>
      <c r="I437" s="74">
        <f t="shared" si="80"/>
        <v>2261</v>
      </c>
      <c r="J437" s="74">
        <f>VLOOKUP(B437,'115+260'!$B$15:$AB$647,13,FALSE)</f>
        <v>-739</v>
      </c>
      <c r="K437" s="72">
        <f>'115+260'!Q438</f>
        <v>5</v>
      </c>
      <c r="L437" s="71">
        <f t="shared" si="85"/>
        <v>539</v>
      </c>
      <c r="M437" s="76">
        <f>VLOOKUP(B437,'115+260'!$B$14:$AB$647,21,FALSE)</f>
        <v>3211</v>
      </c>
      <c r="N437" s="75">
        <f>VLOOKUP(B437,'115+260'!$B$15:$AB$647,5,FALSE)</f>
        <v>993</v>
      </c>
      <c r="O437" s="74">
        <f t="shared" si="81"/>
        <v>2201</v>
      </c>
      <c r="P437" s="74">
        <f>VLOOKUP(B437,'115+260'!$B$15:$AB$647,14,FALSE)</f>
        <v>-799</v>
      </c>
      <c r="Q437" s="72">
        <f>'115+260'!R438</f>
        <v>7</v>
      </c>
      <c r="R437" s="71">
        <f t="shared" si="86"/>
        <v>579</v>
      </c>
      <c r="S437" s="76">
        <f>VLOOKUP(B437,'115+260'!$B$14:$AB$647,22,FALSE)</f>
        <v>3265</v>
      </c>
      <c r="T437" s="75">
        <f>VLOOKUP(B437,'115+260'!$B$15:$AB$647,6,FALSE)</f>
        <v>969</v>
      </c>
      <c r="U437" s="74">
        <f t="shared" si="82"/>
        <v>2225</v>
      </c>
      <c r="V437" s="73">
        <f>VLOOKUP(B437,'115+260'!$B$15:$AB$647,15,FALSE)</f>
        <v>-775</v>
      </c>
      <c r="W437" s="72">
        <f>'115+260'!S438</f>
        <v>4</v>
      </c>
      <c r="X437" s="71">
        <f t="shared" si="87"/>
        <v>525</v>
      </c>
      <c r="Y437" s="70">
        <f t="shared" si="88"/>
        <v>-4</v>
      </c>
      <c r="Z437" s="69">
        <f t="shared" si="89"/>
        <v>0</v>
      </c>
      <c r="AA437" s="68">
        <f t="shared" si="90"/>
        <v>3.9130000000000003</v>
      </c>
      <c r="AB437" s="68">
        <f t="shared" si="91"/>
        <v>2.8519999999999999</v>
      </c>
    </row>
    <row r="438" spans="2:28">
      <c r="B438" s="110">
        <f>'115+260'!B439</f>
        <v>45676</v>
      </c>
      <c r="C438" s="80">
        <f t="shared" si="83"/>
        <v>1</v>
      </c>
      <c r="D438" s="79">
        <f t="shared" si="84"/>
        <v>1069</v>
      </c>
      <c r="E438" s="78">
        <f>VLOOKUP(B438,'115+260'!B439:AB439,3,FALSE)</f>
        <v>2127</v>
      </c>
      <c r="F438" s="75">
        <f t="shared" si="79"/>
        <v>3196</v>
      </c>
      <c r="G438" s="77">
        <f>VLOOKUP(B438,'115+260'!$B$15:$AB$647,20,FALSE)</f>
        <v>3246</v>
      </c>
      <c r="H438" s="77">
        <f>VLOOKUP(B438,'115+260'!$B$15:$AB$647,4,FALSE)</f>
        <v>940</v>
      </c>
      <c r="I438" s="74">
        <f t="shared" si="80"/>
        <v>2256</v>
      </c>
      <c r="J438" s="74">
        <f>VLOOKUP(B438,'115+260'!$B$15:$AB$647,13,FALSE)</f>
        <v>-744</v>
      </c>
      <c r="K438" s="72">
        <f>'115+260'!Q439</f>
        <v>5</v>
      </c>
      <c r="L438" s="71">
        <f t="shared" si="85"/>
        <v>544</v>
      </c>
      <c r="M438" s="76">
        <f>VLOOKUP(B438,'115+260'!$B$14:$AB$647,21,FALSE)</f>
        <v>3202</v>
      </c>
      <c r="N438" s="75">
        <f>VLOOKUP(B438,'115+260'!$B$15:$AB$647,5,FALSE)</f>
        <v>1004</v>
      </c>
      <c r="O438" s="74">
        <f t="shared" si="81"/>
        <v>2192</v>
      </c>
      <c r="P438" s="74">
        <f>VLOOKUP(B438,'115+260'!$B$15:$AB$647,14,FALSE)</f>
        <v>-808</v>
      </c>
      <c r="Q438" s="72">
        <f>'115+260'!R439</f>
        <v>9</v>
      </c>
      <c r="R438" s="71">
        <f t="shared" si="86"/>
        <v>588</v>
      </c>
      <c r="S438" s="76">
        <f>VLOOKUP(B438,'115+260'!$B$14:$AB$647,22,FALSE)</f>
        <v>3260</v>
      </c>
      <c r="T438" s="75">
        <f>VLOOKUP(B438,'115+260'!$B$15:$AB$647,6,FALSE)</f>
        <v>976</v>
      </c>
      <c r="U438" s="74">
        <f t="shared" si="82"/>
        <v>2220</v>
      </c>
      <c r="V438" s="73">
        <f>VLOOKUP(B438,'115+260'!$B$15:$AB$647,15,FALSE)</f>
        <v>-780</v>
      </c>
      <c r="W438" s="72">
        <f>'115+260'!S439</f>
        <v>5</v>
      </c>
      <c r="X438" s="71">
        <f t="shared" si="87"/>
        <v>530</v>
      </c>
      <c r="Y438" s="70">
        <f t="shared" si="88"/>
        <v>-5</v>
      </c>
      <c r="Z438" s="69">
        <f t="shared" si="89"/>
        <v>0</v>
      </c>
      <c r="AA438" s="68">
        <f t="shared" si="90"/>
        <v>3.9130000000000003</v>
      </c>
      <c r="AB438" s="68">
        <f t="shared" si="91"/>
        <v>2.8340000000000001</v>
      </c>
    </row>
    <row r="439" spans="2:28">
      <c r="B439" s="110">
        <f>'115+260'!B440</f>
        <v>45677</v>
      </c>
      <c r="C439" s="80">
        <f t="shared" si="83"/>
        <v>1</v>
      </c>
      <c r="D439" s="79">
        <f t="shared" si="84"/>
        <v>1069</v>
      </c>
      <c r="E439" s="78">
        <f>VLOOKUP(B439,'115+260'!B440:AB440,3,FALSE)</f>
        <v>2129</v>
      </c>
      <c r="F439" s="75">
        <f t="shared" si="79"/>
        <v>3198</v>
      </c>
      <c r="G439" s="77">
        <f>VLOOKUP(B439,'115+260'!$B$15:$AB$647,20,FALSE)</f>
        <v>3242</v>
      </c>
      <c r="H439" s="77">
        <f>VLOOKUP(B439,'115+260'!$B$15:$AB$647,4,FALSE)</f>
        <v>946</v>
      </c>
      <c r="I439" s="74">
        <f t="shared" si="80"/>
        <v>2252</v>
      </c>
      <c r="J439" s="74">
        <f>VLOOKUP(B439,'115+260'!$B$15:$AB$647,13,FALSE)</f>
        <v>-748</v>
      </c>
      <c r="K439" s="72">
        <f>'115+260'!Q440</f>
        <v>4</v>
      </c>
      <c r="L439" s="71">
        <f t="shared" si="85"/>
        <v>548</v>
      </c>
      <c r="M439" s="76">
        <f>VLOOKUP(B439,'115+260'!$B$14:$AB$647,21,FALSE)</f>
        <v>3194</v>
      </c>
      <c r="N439" s="75">
        <f>VLOOKUP(B439,'115+260'!$B$15:$AB$647,5,FALSE)</f>
        <v>1014</v>
      </c>
      <c r="O439" s="74">
        <f t="shared" si="81"/>
        <v>2184</v>
      </c>
      <c r="P439" s="74">
        <f>VLOOKUP(B439,'115+260'!$B$15:$AB$647,14,FALSE)</f>
        <v>-816</v>
      </c>
      <c r="Q439" s="72">
        <f>'115+260'!R440</f>
        <v>8</v>
      </c>
      <c r="R439" s="71">
        <f t="shared" si="86"/>
        <v>596</v>
      </c>
      <c r="S439" s="76">
        <f>VLOOKUP(B439,'115+260'!$B$14:$AB$647,22,FALSE)</f>
        <v>3255</v>
      </c>
      <c r="T439" s="75">
        <f>VLOOKUP(B439,'115+260'!$B$15:$AB$647,6,FALSE)</f>
        <v>983</v>
      </c>
      <c r="U439" s="74">
        <f t="shared" si="82"/>
        <v>2215</v>
      </c>
      <c r="V439" s="73">
        <f>VLOOKUP(B439,'115+260'!$B$15:$AB$647,15,FALSE)</f>
        <v>-785</v>
      </c>
      <c r="W439" s="72">
        <f>'115+260'!S440</f>
        <v>5</v>
      </c>
      <c r="X439" s="71">
        <f t="shared" si="87"/>
        <v>535</v>
      </c>
      <c r="Y439" s="70">
        <f t="shared" si="88"/>
        <v>-5</v>
      </c>
      <c r="Z439" s="69">
        <f t="shared" si="89"/>
        <v>0</v>
      </c>
      <c r="AA439" s="68">
        <f t="shared" si="90"/>
        <v>3.9130000000000003</v>
      </c>
      <c r="AB439" s="68">
        <f t="shared" si="91"/>
        <v>2.8180000000000001</v>
      </c>
    </row>
    <row r="440" spans="2:28">
      <c r="B440" s="110">
        <f>'115+260'!B441</f>
        <v>45678</v>
      </c>
      <c r="C440" s="80">
        <f t="shared" si="83"/>
        <v>1</v>
      </c>
      <c r="D440" s="79">
        <f t="shared" si="84"/>
        <v>1069</v>
      </c>
      <c r="E440" s="78">
        <f>VLOOKUP(B440,'115+260'!B441:AB441,3,FALSE)</f>
        <v>2131</v>
      </c>
      <c r="F440" s="75">
        <f t="shared" si="79"/>
        <v>3200</v>
      </c>
      <c r="G440" s="77">
        <f>VLOOKUP(B440,'115+260'!$B$15:$AB$647,20,FALSE)</f>
        <v>3239</v>
      </c>
      <c r="H440" s="77">
        <f>VLOOKUP(B440,'115+260'!$B$15:$AB$647,4,FALSE)</f>
        <v>951</v>
      </c>
      <c r="I440" s="74">
        <f t="shared" si="80"/>
        <v>2249</v>
      </c>
      <c r="J440" s="74">
        <f>VLOOKUP(B440,'115+260'!$B$15:$AB$647,13,FALSE)</f>
        <v>-751</v>
      </c>
      <c r="K440" s="72">
        <f>'115+260'!Q441</f>
        <v>3</v>
      </c>
      <c r="L440" s="71">
        <f t="shared" si="85"/>
        <v>551</v>
      </c>
      <c r="M440" s="76">
        <f>VLOOKUP(B440,'115+260'!$B$14:$AB$647,21,FALSE)</f>
        <v>3185</v>
      </c>
      <c r="N440" s="75">
        <f>VLOOKUP(B440,'115+260'!$B$15:$AB$647,5,FALSE)</f>
        <v>1025</v>
      </c>
      <c r="O440" s="74">
        <f t="shared" si="81"/>
        <v>2175</v>
      </c>
      <c r="P440" s="74">
        <f>VLOOKUP(B440,'115+260'!$B$15:$AB$647,14,FALSE)</f>
        <v>-825</v>
      </c>
      <c r="Q440" s="72">
        <f>'115+260'!R441</f>
        <v>9</v>
      </c>
      <c r="R440" s="71">
        <f t="shared" si="86"/>
        <v>605</v>
      </c>
      <c r="S440" s="76">
        <f>VLOOKUP(B440,'115+260'!$B$14:$AB$647,22,FALSE)</f>
        <v>3251</v>
      </c>
      <c r="T440" s="75">
        <f>VLOOKUP(B440,'115+260'!$B$15:$AB$647,6,FALSE)</f>
        <v>989</v>
      </c>
      <c r="U440" s="74">
        <f t="shared" si="82"/>
        <v>2211</v>
      </c>
      <c r="V440" s="73">
        <f>VLOOKUP(B440,'115+260'!$B$15:$AB$647,15,FALSE)</f>
        <v>-789</v>
      </c>
      <c r="W440" s="72">
        <f>'115+260'!S441</f>
        <v>4</v>
      </c>
      <c r="X440" s="71">
        <f t="shared" si="87"/>
        <v>539</v>
      </c>
      <c r="Y440" s="70">
        <f t="shared" si="88"/>
        <v>-4</v>
      </c>
      <c r="Z440" s="69">
        <f t="shared" si="89"/>
        <v>0</v>
      </c>
      <c r="AA440" s="68">
        <f t="shared" si="90"/>
        <v>3.9130000000000003</v>
      </c>
      <c r="AB440" s="68">
        <f t="shared" si="91"/>
        <v>2.8</v>
      </c>
    </row>
    <row r="441" spans="2:28">
      <c r="B441" s="110">
        <f>'115+260'!B442</f>
        <v>45679</v>
      </c>
      <c r="C441" s="80">
        <f t="shared" si="83"/>
        <v>1</v>
      </c>
      <c r="D441" s="79">
        <f t="shared" si="84"/>
        <v>1069</v>
      </c>
      <c r="E441" s="78">
        <f>VLOOKUP(B441,'115+260'!B442:AB442,3,FALSE)</f>
        <v>2133</v>
      </c>
      <c r="F441" s="75">
        <f t="shared" si="79"/>
        <v>3202</v>
      </c>
      <c r="G441" s="77">
        <f>VLOOKUP(B441,'115+260'!$B$15:$AB$647,20,FALSE)</f>
        <v>3235</v>
      </c>
      <c r="H441" s="77">
        <f>VLOOKUP(B441,'115+260'!$B$15:$AB$647,4,FALSE)</f>
        <v>957</v>
      </c>
      <c r="I441" s="74">
        <f t="shared" si="80"/>
        <v>2245</v>
      </c>
      <c r="J441" s="74">
        <f>VLOOKUP(B441,'115+260'!$B$15:$AB$647,13,FALSE)</f>
        <v>-755</v>
      </c>
      <c r="K441" s="72">
        <f>'115+260'!Q442</f>
        <v>4</v>
      </c>
      <c r="L441" s="71">
        <f t="shared" si="85"/>
        <v>555</v>
      </c>
      <c r="M441" s="76">
        <f>VLOOKUP(B441,'115+260'!$B$14:$AB$647,21,FALSE)</f>
        <v>3177</v>
      </c>
      <c r="N441" s="75">
        <f>VLOOKUP(B441,'115+260'!$B$15:$AB$647,5,FALSE)</f>
        <v>1035</v>
      </c>
      <c r="O441" s="74">
        <f t="shared" si="81"/>
        <v>2167</v>
      </c>
      <c r="P441" s="74">
        <f>VLOOKUP(B441,'115+260'!$B$15:$AB$647,14,FALSE)</f>
        <v>-833</v>
      </c>
      <c r="Q441" s="72">
        <f>'115+260'!R442</f>
        <v>8</v>
      </c>
      <c r="R441" s="71">
        <f t="shared" si="86"/>
        <v>613</v>
      </c>
      <c r="S441" s="76">
        <f>VLOOKUP(B441,'115+260'!$B$14:$AB$647,22,FALSE)</f>
        <v>3248</v>
      </c>
      <c r="T441" s="75">
        <f>VLOOKUP(B441,'115+260'!$B$15:$AB$647,6,FALSE)</f>
        <v>994</v>
      </c>
      <c r="U441" s="74">
        <f t="shared" si="82"/>
        <v>2208</v>
      </c>
      <c r="V441" s="73">
        <f>VLOOKUP(B441,'115+260'!$B$15:$AB$647,15,FALSE)</f>
        <v>-792</v>
      </c>
      <c r="W441" s="72">
        <f>'115+260'!S442</f>
        <v>3</v>
      </c>
      <c r="X441" s="71">
        <f t="shared" si="87"/>
        <v>542</v>
      </c>
      <c r="Y441" s="70">
        <f t="shared" si="88"/>
        <v>-3</v>
      </c>
      <c r="Z441" s="69">
        <f t="shared" si="89"/>
        <v>0</v>
      </c>
      <c r="AA441" s="68">
        <f t="shared" si="90"/>
        <v>3.9130000000000003</v>
      </c>
      <c r="AB441" s="68">
        <f t="shared" si="91"/>
        <v>2.7839999999999998</v>
      </c>
    </row>
    <row r="442" spans="2:28">
      <c r="B442" s="110">
        <f>'115+260'!B443</f>
        <v>45680</v>
      </c>
      <c r="C442" s="80">
        <f t="shared" si="83"/>
        <v>1</v>
      </c>
      <c r="D442" s="79">
        <f t="shared" si="84"/>
        <v>1069</v>
      </c>
      <c r="E442" s="78">
        <f>VLOOKUP(B442,'115+260'!B443:AB443,3,FALSE)</f>
        <v>2135</v>
      </c>
      <c r="F442" s="75">
        <f t="shared" si="79"/>
        <v>3204</v>
      </c>
      <c r="G442" s="77">
        <f>VLOOKUP(B442,'115+260'!$B$15:$AB$647,20,FALSE)</f>
        <v>3228</v>
      </c>
      <c r="H442" s="77">
        <f>VLOOKUP(B442,'115+260'!$B$15:$AB$647,4,FALSE)</f>
        <v>966</v>
      </c>
      <c r="I442" s="74">
        <f t="shared" si="80"/>
        <v>2238</v>
      </c>
      <c r="J442" s="74">
        <f>VLOOKUP(B442,'115+260'!$B$15:$AB$647,13,FALSE)</f>
        <v>-762</v>
      </c>
      <c r="K442" s="72">
        <f>'115+260'!Q443</f>
        <v>7</v>
      </c>
      <c r="L442" s="71">
        <f t="shared" si="85"/>
        <v>562</v>
      </c>
      <c r="M442" s="76">
        <f>VLOOKUP(B442,'115+260'!$B$14:$AB$647,21,FALSE)</f>
        <v>3170</v>
      </c>
      <c r="N442" s="75">
        <f>VLOOKUP(B442,'115+260'!$B$15:$AB$647,5,FALSE)</f>
        <v>1044</v>
      </c>
      <c r="O442" s="74">
        <f t="shared" si="81"/>
        <v>2160</v>
      </c>
      <c r="P442" s="74">
        <f>VLOOKUP(B442,'115+260'!$B$15:$AB$647,14,FALSE)</f>
        <v>-840</v>
      </c>
      <c r="Q442" s="72">
        <f>'115+260'!R443</f>
        <v>7</v>
      </c>
      <c r="R442" s="71">
        <f t="shared" si="86"/>
        <v>620</v>
      </c>
      <c r="S442" s="76">
        <f>VLOOKUP(B442,'115+260'!$B$14:$AB$647,22,FALSE)</f>
        <v>3246</v>
      </c>
      <c r="T442" s="75">
        <f>VLOOKUP(B442,'115+260'!$B$15:$AB$647,6,FALSE)</f>
        <v>998</v>
      </c>
      <c r="U442" s="74">
        <f t="shared" si="82"/>
        <v>2206</v>
      </c>
      <c r="V442" s="73">
        <f>VLOOKUP(B442,'115+260'!$B$15:$AB$647,15,FALSE)</f>
        <v>-794</v>
      </c>
      <c r="W442" s="72">
        <f>'115+260'!S443</f>
        <v>2</v>
      </c>
      <c r="X442" s="71">
        <f t="shared" si="87"/>
        <v>544</v>
      </c>
      <c r="Y442" s="70">
        <f t="shared" si="88"/>
        <v>-2</v>
      </c>
      <c r="Z442" s="69">
        <f t="shared" si="89"/>
        <v>0</v>
      </c>
      <c r="AA442" s="68">
        <f t="shared" si="90"/>
        <v>3.9130000000000003</v>
      </c>
      <c r="AB442" s="68">
        <f t="shared" si="91"/>
        <v>2.77</v>
      </c>
    </row>
    <row r="443" spans="2:28">
      <c r="B443" s="110">
        <f>'115+260'!B444</f>
        <v>45681</v>
      </c>
      <c r="C443" s="80">
        <f t="shared" si="83"/>
        <v>1</v>
      </c>
      <c r="D443" s="79">
        <f t="shared" si="84"/>
        <v>1069</v>
      </c>
      <c r="E443" s="78">
        <f>VLOOKUP(B443,'115+260'!B444:AB444,3,FALSE)</f>
        <v>2137</v>
      </c>
      <c r="F443" s="75">
        <f t="shared" si="79"/>
        <v>3206</v>
      </c>
      <c r="G443" s="77">
        <f>VLOOKUP(B443,'115+260'!$B$15:$AB$647,20,FALSE)</f>
        <v>3223</v>
      </c>
      <c r="H443" s="77">
        <f>VLOOKUP(B443,'115+260'!$B$15:$AB$647,4,FALSE)</f>
        <v>973</v>
      </c>
      <c r="I443" s="74">
        <f t="shared" si="80"/>
        <v>2233</v>
      </c>
      <c r="J443" s="74">
        <f>VLOOKUP(B443,'115+260'!$B$15:$AB$647,13,FALSE)</f>
        <v>-767</v>
      </c>
      <c r="K443" s="72">
        <f>'115+260'!Q444</f>
        <v>5</v>
      </c>
      <c r="L443" s="71">
        <f t="shared" si="85"/>
        <v>567</v>
      </c>
      <c r="M443" s="76">
        <f>VLOOKUP(B443,'115+260'!$B$14:$AB$647,21,FALSE)</f>
        <v>3162</v>
      </c>
      <c r="N443" s="75">
        <f>VLOOKUP(B443,'115+260'!$B$15:$AB$647,5,FALSE)</f>
        <v>1054</v>
      </c>
      <c r="O443" s="74">
        <f t="shared" si="81"/>
        <v>2152</v>
      </c>
      <c r="P443" s="74">
        <f>VLOOKUP(B443,'115+260'!$B$15:$AB$647,14,FALSE)</f>
        <v>-848</v>
      </c>
      <c r="Q443" s="72">
        <f>'115+260'!R444</f>
        <v>8</v>
      </c>
      <c r="R443" s="71">
        <f t="shared" si="86"/>
        <v>628</v>
      </c>
      <c r="S443" s="76">
        <f>VLOOKUP(B443,'115+260'!$B$14:$AB$647,22,FALSE)</f>
        <v>3242</v>
      </c>
      <c r="T443" s="75">
        <f>VLOOKUP(B443,'115+260'!$B$15:$AB$647,6,FALSE)</f>
        <v>1004</v>
      </c>
      <c r="U443" s="74">
        <f t="shared" si="82"/>
        <v>2202</v>
      </c>
      <c r="V443" s="73">
        <f>VLOOKUP(B443,'115+260'!$B$15:$AB$647,15,FALSE)</f>
        <v>-798</v>
      </c>
      <c r="W443" s="72">
        <f>'115+260'!S444</f>
        <v>4</v>
      </c>
      <c r="X443" s="71">
        <f t="shared" si="87"/>
        <v>548</v>
      </c>
      <c r="Y443" s="70">
        <f t="shared" si="88"/>
        <v>-4</v>
      </c>
      <c r="Z443" s="69">
        <f t="shared" si="89"/>
        <v>0</v>
      </c>
      <c r="AA443" s="68">
        <f t="shared" si="90"/>
        <v>3.9130000000000003</v>
      </c>
      <c r="AB443" s="68">
        <f t="shared" si="91"/>
        <v>2.754</v>
      </c>
    </row>
    <row r="444" spans="2:28">
      <c r="B444" s="110">
        <f>'115+260'!B445</f>
        <v>45682</v>
      </c>
      <c r="C444" s="80">
        <f t="shared" si="83"/>
        <v>1</v>
      </c>
      <c r="D444" s="79">
        <f t="shared" si="84"/>
        <v>1069</v>
      </c>
      <c r="E444" s="78">
        <f>VLOOKUP(B444,'115+260'!B445:AB445,3,FALSE)</f>
        <v>2139</v>
      </c>
      <c r="F444" s="75">
        <f t="shared" si="79"/>
        <v>3208</v>
      </c>
      <c r="G444" s="77">
        <f>VLOOKUP(B444,'115+260'!$B$15:$AB$647,20,FALSE)</f>
        <v>3218</v>
      </c>
      <c r="H444" s="77">
        <f>VLOOKUP(B444,'115+260'!$B$15:$AB$647,4,FALSE)</f>
        <v>980</v>
      </c>
      <c r="I444" s="74">
        <f t="shared" si="80"/>
        <v>2228</v>
      </c>
      <c r="J444" s="74">
        <f>VLOOKUP(B444,'115+260'!$B$15:$AB$647,13,FALSE)</f>
        <v>-772</v>
      </c>
      <c r="K444" s="72">
        <f>'115+260'!Q445</f>
        <v>5</v>
      </c>
      <c r="L444" s="71">
        <f t="shared" si="85"/>
        <v>572</v>
      </c>
      <c r="M444" s="76">
        <f>VLOOKUP(B444,'115+260'!$B$14:$AB$647,21,FALSE)</f>
        <v>3153</v>
      </c>
      <c r="N444" s="75">
        <f>VLOOKUP(B444,'115+260'!$B$15:$AB$647,5,FALSE)</f>
        <v>1065</v>
      </c>
      <c r="O444" s="74">
        <f t="shared" si="81"/>
        <v>2143</v>
      </c>
      <c r="P444" s="74">
        <f>VLOOKUP(B444,'115+260'!$B$15:$AB$647,14,FALSE)</f>
        <v>-857</v>
      </c>
      <c r="Q444" s="72">
        <f>'115+260'!R445</f>
        <v>9</v>
      </c>
      <c r="R444" s="71">
        <f t="shared" si="86"/>
        <v>637</v>
      </c>
      <c r="S444" s="76">
        <f>VLOOKUP(B444,'115+260'!$B$14:$AB$647,22,FALSE)</f>
        <v>3239</v>
      </c>
      <c r="T444" s="75">
        <f>VLOOKUP(B444,'115+260'!$B$15:$AB$647,6,FALSE)</f>
        <v>1009</v>
      </c>
      <c r="U444" s="74">
        <f t="shared" si="82"/>
        <v>2199</v>
      </c>
      <c r="V444" s="73">
        <f>VLOOKUP(B444,'115+260'!$B$15:$AB$647,15,FALSE)</f>
        <v>-801</v>
      </c>
      <c r="W444" s="72">
        <f>'115+260'!S445</f>
        <v>3</v>
      </c>
      <c r="X444" s="71">
        <f t="shared" si="87"/>
        <v>551</v>
      </c>
      <c r="Y444" s="70">
        <f t="shared" si="88"/>
        <v>-3</v>
      </c>
      <c r="Z444" s="69">
        <f t="shared" si="89"/>
        <v>0</v>
      </c>
      <c r="AA444" s="68">
        <f t="shared" si="90"/>
        <v>3.9130000000000003</v>
      </c>
      <c r="AB444" s="68">
        <f t="shared" si="91"/>
        <v>2.7360000000000002</v>
      </c>
    </row>
    <row r="445" spans="2:28">
      <c r="B445" s="110">
        <f>'115+260'!B446</f>
        <v>45683</v>
      </c>
      <c r="C445" s="80">
        <f t="shared" si="83"/>
        <v>1</v>
      </c>
      <c r="D445" s="79">
        <f t="shared" si="84"/>
        <v>1069</v>
      </c>
      <c r="E445" s="78">
        <f>VLOOKUP(B445,'115+260'!B446:AB446,3,FALSE)</f>
        <v>2141</v>
      </c>
      <c r="F445" s="75">
        <f t="shared" si="79"/>
        <v>3210</v>
      </c>
      <c r="G445" s="77">
        <f>VLOOKUP(B445,'115+260'!$B$15:$AB$647,20,FALSE)</f>
        <v>3214</v>
      </c>
      <c r="H445" s="77">
        <f>VLOOKUP(B445,'115+260'!$B$15:$AB$647,4,FALSE)</f>
        <v>986</v>
      </c>
      <c r="I445" s="74">
        <f t="shared" si="80"/>
        <v>2224</v>
      </c>
      <c r="J445" s="74">
        <f>VLOOKUP(B445,'115+260'!$B$15:$AB$647,13,FALSE)</f>
        <v>-776</v>
      </c>
      <c r="K445" s="72">
        <f>'115+260'!Q446</f>
        <v>4</v>
      </c>
      <c r="L445" s="71">
        <f t="shared" si="85"/>
        <v>576</v>
      </c>
      <c r="M445" s="76">
        <f>VLOOKUP(B445,'115+260'!$B$14:$AB$647,21,FALSE)</f>
        <v>3145</v>
      </c>
      <c r="N445" s="75">
        <f>VLOOKUP(B445,'115+260'!$B$15:$AB$647,5,FALSE)</f>
        <v>1075</v>
      </c>
      <c r="O445" s="74">
        <f t="shared" si="81"/>
        <v>2135</v>
      </c>
      <c r="P445" s="74">
        <f>VLOOKUP(B445,'115+260'!$B$15:$AB$647,14,FALSE)</f>
        <v>-865</v>
      </c>
      <c r="Q445" s="72">
        <f>'115+260'!R446</f>
        <v>8</v>
      </c>
      <c r="R445" s="71">
        <f t="shared" si="86"/>
        <v>645</v>
      </c>
      <c r="S445" s="76">
        <f>VLOOKUP(B445,'115+260'!$B$14:$AB$647,22,FALSE)</f>
        <v>3232</v>
      </c>
      <c r="T445" s="75">
        <f>VLOOKUP(B445,'115+260'!$B$15:$AB$647,6,FALSE)</f>
        <v>1018</v>
      </c>
      <c r="U445" s="74">
        <f t="shared" si="82"/>
        <v>2192</v>
      </c>
      <c r="V445" s="73">
        <f>VLOOKUP(B445,'115+260'!$B$15:$AB$647,15,FALSE)</f>
        <v>-808</v>
      </c>
      <c r="W445" s="72">
        <f>'115+260'!S446</f>
        <v>7</v>
      </c>
      <c r="X445" s="71">
        <f t="shared" si="87"/>
        <v>558</v>
      </c>
      <c r="Y445" s="70">
        <f t="shared" si="88"/>
        <v>-7</v>
      </c>
      <c r="Z445" s="69">
        <f t="shared" si="89"/>
        <v>0</v>
      </c>
      <c r="AA445" s="68">
        <f t="shared" si="90"/>
        <v>3.9130000000000003</v>
      </c>
      <c r="AB445" s="68">
        <f t="shared" si="91"/>
        <v>2.72</v>
      </c>
    </row>
    <row r="446" spans="2:28">
      <c r="B446" s="110">
        <f>'115+260'!B447</f>
        <v>45684</v>
      </c>
      <c r="C446" s="80">
        <f t="shared" si="83"/>
        <v>1</v>
      </c>
      <c r="D446" s="79">
        <f t="shared" si="84"/>
        <v>1069</v>
      </c>
      <c r="E446" s="78">
        <f>VLOOKUP(B446,'115+260'!B447:AB447,3,FALSE)</f>
        <v>2143</v>
      </c>
      <c r="F446" s="75">
        <f t="shared" si="79"/>
        <v>3212</v>
      </c>
      <c r="G446" s="77">
        <f>VLOOKUP(B446,'115+260'!$B$15:$AB$647,20,FALSE)</f>
        <v>3212</v>
      </c>
      <c r="H446" s="77">
        <f>VLOOKUP(B446,'115+260'!$B$15:$AB$647,4,FALSE)</f>
        <v>990</v>
      </c>
      <c r="I446" s="74">
        <f t="shared" si="80"/>
        <v>2222</v>
      </c>
      <c r="J446" s="74">
        <f>VLOOKUP(B446,'115+260'!$B$15:$AB$647,13,FALSE)</f>
        <v>-778</v>
      </c>
      <c r="K446" s="72">
        <f>'115+260'!Q447</f>
        <v>2</v>
      </c>
      <c r="L446" s="71">
        <f t="shared" si="85"/>
        <v>578</v>
      </c>
      <c r="M446" s="76">
        <f>VLOOKUP(B446,'115+260'!$B$14:$AB$647,21,FALSE)</f>
        <v>3138</v>
      </c>
      <c r="N446" s="75">
        <f>VLOOKUP(B446,'115+260'!$B$15:$AB$647,5,FALSE)</f>
        <v>1084</v>
      </c>
      <c r="O446" s="74">
        <f t="shared" si="81"/>
        <v>2128</v>
      </c>
      <c r="P446" s="74">
        <f>VLOOKUP(B446,'115+260'!$B$15:$AB$647,14,FALSE)</f>
        <v>-872</v>
      </c>
      <c r="Q446" s="72">
        <f>'115+260'!R447</f>
        <v>7</v>
      </c>
      <c r="R446" s="71">
        <f t="shared" si="86"/>
        <v>652</v>
      </c>
      <c r="S446" s="76">
        <f>VLOOKUP(B446,'115+260'!$B$14:$AB$647,22,FALSE)</f>
        <v>3227</v>
      </c>
      <c r="T446" s="75">
        <f>VLOOKUP(B446,'115+260'!$B$15:$AB$647,6,FALSE)</f>
        <v>1025</v>
      </c>
      <c r="U446" s="74">
        <f t="shared" si="82"/>
        <v>2187</v>
      </c>
      <c r="V446" s="73">
        <f>VLOOKUP(B446,'115+260'!$B$15:$AB$647,15,FALSE)</f>
        <v>-813</v>
      </c>
      <c r="W446" s="72">
        <f>'115+260'!S447</f>
        <v>5</v>
      </c>
      <c r="X446" s="71">
        <f t="shared" si="87"/>
        <v>563</v>
      </c>
      <c r="Y446" s="70">
        <f t="shared" si="88"/>
        <v>-5</v>
      </c>
      <c r="Z446" s="69">
        <f t="shared" si="89"/>
        <v>0</v>
      </c>
      <c r="AA446" s="68">
        <f t="shared" si="90"/>
        <v>3.9130000000000003</v>
      </c>
      <c r="AB446" s="68">
        <f t="shared" si="91"/>
        <v>2.706</v>
      </c>
    </row>
    <row r="447" spans="2:28">
      <c r="B447" s="110">
        <f>'115+260'!B448</f>
        <v>45685</v>
      </c>
      <c r="C447" s="80">
        <f t="shared" si="83"/>
        <v>1</v>
      </c>
      <c r="D447" s="79">
        <f t="shared" si="84"/>
        <v>1069</v>
      </c>
      <c r="E447" s="78">
        <f>VLOOKUP(B447,'115+260'!B448:AB448,3,FALSE)</f>
        <v>2145</v>
      </c>
      <c r="F447" s="75">
        <f t="shared" si="79"/>
        <v>3214</v>
      </c>
      <c r="G447" s="77">
        <f>VLOOKUP(B447,'115+260'!$B$15:$AB$647,20,FALSE)</f>
        <v>3209</v>
      </c>
      <c r="H447" s="77">
        <f>VLOOKUP(B447,'115+260'!$B$15:$AB$647,4,FALSE)</f>
        <v>995</v>
      </c>
      <c r="I447" s="74">
        <f t="shared" si="80"/>
        <v>2219</v>
      </c>
      <c r="J447" s="74">
        <f>VLOOKUP(B447,'115+260'!$B$15:$AB$647,13,FALSE)</f>
        <v>-781</v>
      </c>
      <c r="K447" s="72">
        <f>'115+260'!Q448</f>
        <v>3</v>
      </c>
      <c r="L447" s="71">
        <f t="shared" si="85"/>
        <v>581</v>
      </c>
      <c r="M447" s="76">
        <f>VLOOKUP(B447,'115+260'!$B$14:$AB$647,21,FALSE)</f>
        <v>3129</v>
      </c>
      <c r="N447" s="75">
        <f>VLOOKUP(B447,'115+260'!$B$15:$AB$647,5,FALSE)</f>
        <v>1095</v>
      </c>
      <c r="O447" s="74">
        <f t="shared" si="81"/>
        <v>2119</v>
      </c>
      <c r="P447" s="74">
        <f>VLOOKUP(B447,'115+260'!$B$15:$AB$647,14,FALSE)</f>
        <v>-881</v>
      </c>
      <c r="Q447" s="72">
        <f>'115+260'!R448</f>
        <v>9</v>
      </c>
      <c r="R447" s="71">
        <f t="shared" si="86"/>
        <v>661</v>
      </c>
      <c r="S447" s="76">
        <f>VLOOKUP(B447,'115+260'!$B$14:$AB$647,22,FALSE)</f>
        <v>3222</v>
      </c>
      <c r="T447" s="75">
        <f>VLOOKUP(B447,'115+260'!$B$15:$AB$647,6,FALSE)</f>
        <v>1032</v>
      </c>
      <c r="U447" s="74">
        <f t="shared" si="82"/>
        <v>2182</v>
      </c>
      <c r="V447" s="73">
        <f>VLOOKUP(B447,'115+260'!$B$15:$AB$647,15,FALSE)</f>
        <v>-818</v>
      </c>
      <c r="W447" s="72">
        <f>'115+260'!S448</f>
        <v>5</v>
      </c>
      <c r="X447" s="71">
        <f t="shared" si="87"/>
        <v>568</v>
      </c>
      <c r="Y447" s="70">
        <f t="shared" si="88"/>
        <v>-5</v>
      </c>
      <c r="Z447" s="69">
        <f t="shared" si="89"/>
        <v>0</v>
      </c>
      <c r="AA447" s="68">
        <f t="shared" si="90"/>
        <v>3.9130000000000003</v>
      </c>
      <c r="AB447" s="68">
        <f t="shared" si="91"/>
        <v>2.6880000000000002</v>
      </c>
    </row>
    <row r="448" spans="2:28">
      <c r="B448" s="110">
        <f>'115+260'!B449</f>
        <v>45686</v>
      </c>
      <c r="C448" s="80">
        <f t="shared" si="83"/>
        <v>1</v>
      </c>
      <c r="D448" s="79">
        <f t="shared" si="84"/>
        <v>1069</v>
      </c>
      <c r="E448" s="78">
        <f>VLOOKUP(B448,'115+260'!B449:AB449,3,FALSE)</f>
        <v>2147</v>
      </c>
      <c r="F448" s="75">
        <f t="shared" si="79"/>
        <v>3216</v>
      </c>
      <c r="G448" s="77">
        <f>VLOOKUP(B448,'115+260'!$B$15:$AB$647,20,FALSE)</f>
        <v>3207</v>
      </c>
      <c r="H448" s="77">
        <f>VLOOKUP(B448,'115+260'!$B$15:$AB$647,4,FALSE)</f>
        <v>999</v>
      </c>
      <c r="I448" s="74">
        <f t="shared" si="80"/>
        <v>2217</v>
      </c>
      <c r="J448" s="74">
        <f>VLOOKUP(B448,'115+260'!$B$15:$AB$647,13,FALSE)</f>
        <v>-783</v>
      </c>
      <c r="K448" s="72">
        <f>'115+260'!Q449</f>
        <v>2</v>
      </c>
      <c r="L448" s="71">
        <f t="shared" si="85"/>
        <v>583</v>
      </c>
      <c r="M448" s="76">
        <f>VLOOKUP(B448,'115+260'!$B$14:$AB$647,21,FALSE)</f>
        <v>3121</v>
      </c>
      <c r="N448" s="75">
        <f>VLOOKUP(B448,'115+260'!$B$15:$AB$647,5,FALSE)</f>
        <v>1105</v>
      </c>
      <c r="O448" s="74">
        <f t="shared" si="81"/>
        <v>2111</v>
      </c>
      <c r="P448" s="74">
        <f>VLOOKUP(B448,'115+260'!$B$15:$AB$647,14,FALSE)</f>
        <v>-889</v>
      </c>
      <c r="Q448" s="72">
        <f>'115+260'!R449</f>
        <v>8</v>
      </c>
      <c r="R448" s="71">
        <f t="shared" si="86"/>
        <v>669</v>
      </c>
      <c r="S448" s="76">
        <f>VLOOKUP(B448,'115+260'!$B$14:$AB$647,22,FALSE)</f>
        <v>3218</v>
      </c>
      <c r="T448" s="75">
        <f>VLOOKUP(B448,'115+260'!$B$15:$AB$647,6,FALSE)</f>
        <v>1038</v>
      </c>
      <c r="U448" s="74">
        <f t="shared" si="82"/>
        <v>2178</v>
      </c>
      <c r="V448" s="73">
        <f>VLOOKUP(B448,'115+260'!$B$15:$AB$647,15,FALSE)</f>
        <v>-822</v>
      </c>
      <c r="W448" s="72">
        <f>'115+260'!S449</f>
        <v>4</v>
      </c>
      <c r="X448" s="71">
        <f t="shared" si="87"/>
        <v>572</v>
      </c>
      <c r="Y448" s="70">
        <f t="shared" si="88"/>
        <v>-4</v>
      </c>
      <c r="Z448" s="69">
        <f t="shared" si="89"/>
        <v>0</v>
      </c>
      <c r="AA448" s="68">
        <f t="shared" si="90"/>
        <v>3.9130000000000003</v>
      </c>
      <c r="AB448" s="68">
        <f t="shared" si="91"/>
        <v>2.6720000000000002</v>
      </c>
    </row>
    <row r="449" spans="2:28">
      <c r="B449" s="110">
        <f>'115+260'!B450</f>
        <v>45687</v>
      </c>
      <c r="C449" s="80">
        <f t="shared" si="83"/>
        <v>1</v>
      </c>
      <c r="D449" s="79">
        <f t="shared" si="84"/>
        <v>1069</v>
      </c>
      <c r="E449" s="78">
        <f>VLOOKUP(B449,'115+260'!B450:AB450,3,FALSE)</f>
        <v>2149</v>
      </c>
      <c r="F449" s="75">
        <f t="shared" si="79"/>
        <v>3218</v>
      </c>
      <c r="G449" s="77">
        <f>VLOOKUP(B449,'115+260'!$B$15:$AB$647,20,FALSE)</f>
        <v>3206</v>
      </c>
      <c r="H449" s="77">
        <f>VLOOKUP(B449,'115+260'!$B$15:$AB$647,4,FALSE)</f>
        <v>1002</v>
      </c>
      <c r="I449" s="74">
        <f t="shared" si="80"/>
        <v>2216</v>
      </c>
      <c r="J449" s="74">
        <f>VLOOKUP(B449,'115+260'!$B$15:$AB$647,13,FALSE)</f>
        <v>-784</v>
      </c>
      <c r="K449" s="72">
        <f>'115+260'!Q450</f>
        <v>1</v>
      </c>
      <c r="L449" s="71">
        <f t="shared" si="85"/>
        <v>584</v>
      </c>
      <c r="M449" s="76">
        <f>VLOOKUP(B449,'115+260'!$B$14:$AB$647,21,FALSE)</f>
        <v>3114</v>
      </c>
      <c r="N449" s="75">
        <f>VLOOKUP(B449,'115+260'!$B$15:$AB$647,5,FALSE)</f>
        <v>1114</v>
      </c>
      <c r="O449" s="74">
        <f t="shared" si="81"/>
        <v>2104</v>
      </c>
      <c r="P449" s="74">
        <f>VLOOKUP(B449,'115+260'!$B$15:$AB$647,14,FALSE)</f>
        <v>-896</v>
      </c>
      <c r="Q449" s="72">
        <f>'115+260'!R450</f>
        <v>7</v>
      </c>
      <c r="R449" s="71">
        <f t="shared" si="86"/>
        <v>676</v>
      </c>
      <c r="S449" s="76">
        <f>VLOOKUP(B449,'115+260'!$B$14:$AB$647,22,FALSE)</f>
        <v>3215</v>
      </c>
      <c r="T449" s="75">
        <f>VLOOKUP(B449,'115+260'!$B$15:$AB$647,6,FALSE)</f>
        <v>1043</v>
      </c>
      <c r="U449" s="74">
        <f t="shared" si="82"/>
        <v>2175</v>
      </c>
      <c r="V449" s="73">
        <f>VLOOKUP(B449,'115+260'!$B$15:$AB$647,15,FALSE)</f>
        <v>-825</v>
      </c>
      <c r="W449" s="72">
        <f>'115+260'!S450</f>
        <v>3</v>
      </c>
      <c r="X449" s="71">
        <f t="shared" si="87"/>
        <v>575</v>
      </c>
      <c r="Y449" s="70">
        <f t="shared" si="88"/>
        <v>-3</v>
      </c>
      <c r="Z449" s="69">
        <f t="shared" si="89"/>
        <v>0</v>
      </c>
      <c r="AA449" s="68">
        <f t="shared" si="90"/>
        <v>3.9130000000000003</v>
      </c>
      <c r="AB449" s="68">
        <f t="shared" si="91"/>
        <v>2.6579999999999999</v>
      </c>
    </row>
    <row r="450" spans="2:28">
      <c r="B450" s="110">
        <f>'115+260'!B451</f>
        <v>45688</v>
      </c>
      <c r="C450" s="80">
        <f t="shared" si="83"/>
        <v>1</v>
      </c>
      <c r="D450" s="79">
        <f t="shared" si="84"/>
        <v>1069</v>
      </c>
      <c r="E450" s="78">
        <f>VLOOKUP(B450,'115+260'!B451:AB451,3,FALSE)</f>
        <v>2151</v>
      </c>
      <c r="F450" s="75">
        <f t="shared" si="79"/>
        <v>3220</v>
      </c>
      <c r="G450" s="77">
        <f>VLOOKUP(B450,'115+260'!$B$15:$AB$647,20,FALSE)</f>
        <v>3204</v>
      </c>
      <c r="H450" s="77">
        <f>VLOOKUP(B450,'115+260'!$B$15:$AB$647,4,FALSE)</f>
        <v>1006</v>
      </c>
      <c r="I450" s="74">
        <f t="shared" si="80"/>
        <v>2214</v>
      </c>
      <c r="J450" s="74">
        <f>VLOOKUP(B450,'115+260'!$B$15:$AB$647,13,FALSE)</f>
        <v>-786</v>
      </c>
      <c r="K450" s="72">
        <f>'115+260'!Q451</f>
        <v>2</v>
      </c>
      <c r="L450" s="71">
        <f t="shared" si="85"/>
        <v>586</v>
      </c>
      <c r="M450" s="76">
        <f>VLOOKUP(B450,'115+260'!$B$14:$AB$647,21,FALSE)</f>
        <v>3105</v>
      </c>
      <c r="N450" s="75">
        <f>VLOOKUP(B450,'115+260'!$B$15:$AB$647,5,FALSE)</f>
        <v>1125</v>
      </c>
      <c r="O450" s="74">
        <f t="shared" si="81"/>
        <v>2095</v>
      </c>
      <c r="P450" s="74">
        <f>VLOOKUP(B450,'115+260'!$B$15:$AB$647,14,FALSE)</f>
        <v>-905</v>
      </c>
      <c r="Q450" s="72">
        <f>'115+260'!R451</f>
        <v>9</v>
      </c>
      <c r="R450" s="71">
        <f t="shared" si="86"/>
        <v>685</v>
      </c>
      <c r="S450" s="76">
        <f>VLOOKUP(B450,'115+260'!$B$14:$AB$647,22,FALSE)</f>
        <v>3211</v>
      </c>
      <c r="T450" s="75">
        <f>VLOOKUP(B450,'115+260'!$B$15:$AB$647,6,FALSE)</f>
        <v>1049</v>
      </c>
      <c r="U450" s="74">
        <f t="shared" si="82"/>
        <v>2171</v>
      </c>
      <c r="V450" s="73">
        <f>VLOOKUP(B450,'115+260'!$B$15:$AB$647,15,FALSE)</f>
        <v>-829</v>
      </c>
      <c r="W450" s="72">
        <f>'115+260'!S451</f>
        <v>4</v>
      </c>
      <c r="X450" s="71">
        <f t="shared" si="87"/>
        <v>579</v>
      </c>
      <c r="Y450" s="70">
        <f t="shared" si="88"/>
        <v>-4</v>
      </c>
      <c r="Z450" s="69">
        <f t="shared" si="89"/>
        <v>0</v>
      </c>
      <c r="AA450" s="68">
        <f t="shared" si="90"/>
        <v>3.9130000000000003</v>
      </c>
      <c r="AB450" s="68">
        <f t="shared" si="91"/>
        <v>2.64</v>
      </c>
    </row>
    <row r="451" spans="2:28">
      <c r="B451" s="110">
        <f>'115+260'!B452</f>
        <v>45689</v>
      </c>
      <c r="C451" s="80">
        <f t="shared" si="83"/>
        <v>1</v>
      </c>
      <c r="D451" s="79">
        <f t="shared" si="84"/>
        <v>1069</v>
      </c>
      <c r="E451" s="78">
        <f>VLOOKUP(B451,'115+260'!B452:AB452,3,FALSE)</f>
        <v>2153</v>
      </c>
      <c r="F451" s="75">
        <f t="shared" si="79"/>
        <v>3222</v>
      </c>
      <c r="G451" s="77">
        <f>VLOOKUP(B451,'115+260'!$B$15:$AB$647,20,FALSE)</f>
        <v>3202</v>
      </c>
      <c r="H451" s="77">
        <f>VLOOKUP(B451,'115+260'!$B$15:$AB$647,4,FALSE)</f>
        <v>1010</v>
      </c>
      <c r="I451" s="74">
        <f t="shared" si="80"/>
        <v>2212</v>
      </c>
      <c r="J451" s="74">
        <f>VLOOKUP(B451,'115+260'!$B$15:$AB$647,13,FALSE)</f>
        <v>-788</v>
      </c>
      <c r="K451" s="72">
        <f>'115+260'!Q452</f>
        <v>2</v>
      </c>
      <c r="L451" s="71">
        <f t="shared" si="85"/>
        <v>588</v>
      </c>
      <c r="M451" s="76">
        <f>VLOOKUP(B451,'115+260'!$B$14:$AB$647,21,FALSE)</f>
        <v>3097</v>
      </c>
      <c r="N451" s="75">
        <f>VLOOKUP(B451,'115+260'!$B$15:$AB$647,5,FALSE)</f>
        <v>1135</v>
      </c>
      <c r="O451" s="74">
        <f t="shared" si="81"/>
        <v>2087</v>
      </c>
      <c r="P451" s="74">
        <f>VLOOKUP(B451,'115+260'!$B$15:$AB$647,14,FALSE)</f>
        <v>-913</v>
      </c>
      <c r="Q451" s="72">
        <f>'115+260'!R452</f>
        <v>8</v>
      </c>
      <c r="R451" s="71">
        <f t="shared" si="86"/>
        <v>693</v>
      </c>
      <c r="S451" s="76">
        <f>VLOOKUP(B451,'115+260'!$B$14:$AB$647,22,FALSE)</f>
        <v>3204</v>
      </c>
      <c r="T451" s="75">
        <f>VLOOKUP(B451,'115+260'!$B$15:$AB$647,6,FALSE)</f>
        <v>1058</v>
      </c>
      <c r="U451" s="74">
        <f t="shared" si="82"/>
        <v>2164</v>
      </c>
      <c r="V451" s="73">
        <f>VLOOKUP(B451,'115+260'!$B$15:$AB$647,15,FALSE)</f>
        <v>-836</v>
      </c>
      <c r="W451" s="72">
        <f>'115+260'!S452</f>
        <v>7</v>
      </c>
      <c r="X451" s="71">
        <f t="shared" si="87"/>
        <v>586</v>
      </c>
      <c r="Y451" s="70">
        <f t="shared" si="88"/>
        <v>-7</v>
      </c>
      <c r="Z451" s="69">
        <f t="shared" si="89"/>
        <v>0</v>
      </c>
      <c r="AA451" s="68">
        <f t="shared" si="90"/>
        <v>3.9130000000000003</v>
      </c>
      <c r="AB451" s="68">
        <f t="shared" si="91"/>
        <v>2.6240000000000001</v>
      </c>
    </row>
    <row r="452" spans="2:28">
      <c r="B452" s="110">
        <f>'115+260'!B453</f>
        <v>45690</v>
      </c>
      <c r="C452" s="80">
        <f t="shared" si="83"/>
        <v>1</v>
      </c>
      <c r="D452" s="79">
        <f t="shared" si="84"/>
        <v>1069</v>
      </c>
      <c r="E452" s="78">
        <f>VLOOKUP(B452,'115+260'!B453:AB453,3,FALSE)</f>
        <v>2155</v>
      </c>
      <c r="F452" s="75">
        <f t="shared" si="79"/>
        <v>3224</v>
      </c>
      <c r="G452" s="77">
        <f>VLOOKUP(B452,'115+260'!$B$15:$AB$647,20,FALSE)</f>
        <v>3200</v>
      </c>
      <c r="H452" s="77">
        <f>VLOOKUP(B452,'115+260'!$B$15:$AB$647,4,FALSE)</f>
        <v>1014</v>
      </c>
      <c r="I452" s="74">
        <f t="shared" si="80"/>
        <v>2210</v>
      </c>
      <c r="J452" s="74">
        <f>VLOOKUP(B452,'115+260'!$B$15:$AB$647,13,FALSE)</f>
        <v>-790</v>
      </c>
      <c r="K452" s="72">
        <f>'115+260'!Q453</f>
        <v>2</v>
      </c>
      <c r="L452" s="71">
        <f t="shared" si="85"/>
        <v>590</v>
      </c>
      <c r="M452" s="76">
        <f>VLOOKUP(B452,'115+260'!$B$14:$AB$647,21,FALSE)</f>
        <v>3088</v>
      </c>
      <c r="N452" s="75">
        <f>VLOOKUP(B452,'115+260'!$B$15:$AB$647,5,FALSE)</f>
        <v>1146</v>
      </c>
      <c r="O452" s="74">
        <f t="shared" si="81"/>
        <v>2078</v>
      </c>
      <c r="P452" s="74">
        <f>VLOOKUP(B452,'115+260'!$B$15:$AB$647,14,FALSE)</f>
        <v>-922</v>
      </c>
      <c r="Q452" s="72">
        <f>'115+260'!R453</f>
        <v>9</v>
      </c>
      <c r="R452" s="71">
        <f t="shared" si="86"/>
        <v>702</v>
      </c>
      <c r="S452" s="76">
        <f>VLOOKUP(B452,'115+260'!$B$14:$AB$647,22,FALSE)</f>
        <v>3199</v>
      </c>
      <c r="T452" s="75">
        <f>VLOOKUP(B452,'115+260'!$B$15:$AB$647,6,FALSE)</f>
        <v>1065</v>
      </c>
      <c r="U452" s="74">
        <f t="shared" si="82"/>
        <v>2159</v>
      </c>
      <c r="V452" s="73">
        <f>VLOOKUP(B452,'115+260'!$B$15:$AB$647,15,FALSE)</f>
        <v>-841</v>
      </c>
      <c r="W452" s="72">
        <f>'115+260'!S453</f>
        <v>5</v>
      </c>
      <c r="X452" s="71">
        <f t="shared" si="87"/>
        <v>591</v>
      </c>
      <c r="Y452" s="70">
        <f t="shared" si="88"/>
        <v>-5</v>
      </c>
      <c r="Z452" s="69">
        <f t="shared" si="89"/>
        <v>0</v>
      </c>
      <c r="AA452" s="68">
        <f t="shared" si="90"/>
        <v>3.9130000000000003</v>
      </c>
      <c r="AB452" s="68">
        <f t="shared" si="91"/>
        <v>2.6059999999999999</v>
      </c>
    </row>
    <row r="453" spans="2:28">
      <c r="B453" s="110">
        <f>'115+260'!B454</f>
        <v>45691</v>
      </c>
      <c r="C453" s="80">
        <f t="shared" si="83"/>
        <v>1</v>
      </c>
      <c r="D453" s="79">
        <f t="shared" si="84"/>
        <v>1069</v>
      </c>
      <c r="E453" s="78">
        <f>VLOOKUP(B453,'115+260'!B454:AB454,3,FALSE)</f>
        <v>2157</v>
      </c>
      <c r="F453" s="75">
        <f t="shared" si="79"/>
        <v>3226</v>
      </c>
      <c r="G453" s="77">
        <f>VLOOKUP(B453,'115+260'!$B$15:$AB$647,20,FALSE)</f>
        <v>3198</v>
      </c>
      <c r="H453" s="77">
        <f>VLOOKUP(B453,'115+260'!$B$15:$AB$647,4,FALSE)</f>
        <v>1018</v>
      </c>
      <c r="I453" s="74">
        <f t="shared" si="80"/>
        <v>2208</v>
      </c>
      <c r="J453" s="74">
        <f>VLOOKUP(B453,'115+260'!$B$15:$AB$647,13,FALSE)</f>
        <v>-792</v>
      </c>
      <c r="K453" s="72">
        <f>'115+260'!Q454</f>
        <v>2</v>
      </c>
      <c r="L453" s="71">
        <f t="shared" si="85"/>
        <v>592</v>
      </c>
      <c r="M453" s="76">
        <f>VLOOKUP(B453,'115+260'!$B$14:$AB$647,21,FALSE)</f>
        <v>3080</v>
      </c>
      <c r="N453" s="75">
        <f>VLOOKUP(B453,'115+260'!$B$15:$AB$647,5,FALSE)</f>
        <v>1156</v>
      </c>
      <c r="O453" s="74">
        <f t="shared" si="81"/>
        <v>2070</v>
      </c>
      <c r="P453" s="74">
        <f>VLOOKUP(B453,'115+260'!$B$15:$AB$647,14,FALSE)</f>
        <v>-930</v>
      </c>
      <c r="Q453" s="72">
        <f>'115+260'!R454</f>
        <v>8</v>
      </c>
      <c r="R453" s="71">
        <f t="shared" si="86"/>
        <v>710</v>
      </c>
      <c r="S453" s="76">
        <f>VLOOKUP(B453,'115+260'!$B$14:$AB$647,22,FALSE)</f>
        <v>3194</v>
      </c>
      <c r="T453" s="75">
        <f>VLOOKUP(B453,'115+260'!$B$15:$AB$647,6,FALSE)</f>
        <v>1072</v>
      </c>
      <c r="U453" s="74">
        <f t="shared" si="82"/>
        <v>2154</v>
      </c>
      <c r="V453" s="73">
        <f>VLOOKUP(B453,'115+260'!$B$15:$AB$647,15,FALSE)</f>
        <v>-846</v>
      </c>
      <c r="W453" s="72">
        <f>'115+260'!S454</f>
        <v>5</v>
      </c>
      <c r="X453" s="71">
        <f t="shared" si="87"/>
        <v>596</v>
      </c>
      <c r="Y453" s="70">
        <f t="shared" si="88"/>
        <v>-5</v>
      </c>
      <c r="Z453" s="69">
        <f t="shared" si="89"/>
        <v>0</v>
      </c>
      <c r="AA453" s="68">
        <f t="shared" si="90"/>
        <v>3.9130000000000003</v>
      </c>
      <c r="AB453" s="68">
        <f t="shared" si="91"/>
        <v>2.59</v>
      </c>
    </row>
    <row r="454" spans="2:28">
      <c r="B454" s="110">
        <f>'115+260'!B455</f>
        <v>45692</v>
      </c>
      <c r="C454" s="80">
        <f t="shared" si="83"/>
        <v>1</v>
      </c>
      <c r="D454" s="79">
        <f t="shared" si="84"/>
        <v>1069</v>
      </c>
      <c r="E454" s="78">
        <f>VLOOKUP(B454,'115+260'!B455:AB455,3,FALSE)</f>
        <v>2159</v>
      </c>
      <c r="F454" s="75">
        <f t="shared" si="79"/>
        <v>3228</v>
      </c>
      <c r="G454" s="77">
        <f>VLOOKUP(B454,'115+260'!$B$15:$AB$647,20,FALSE)</f>
        <v>3195</v>
      </c>
      <c r="H454" s="77">
        <f>VLOOKUP(B454,'115+260'!$B$15:$AB$647,4,FALSE)</f>
        <v>1023</v>
      </c>
      <c r="I454" s="74">
        <f t="shared" si="80"/>
        <v>2205</v>
      </c>
      <c r="J454" s="74">
        <f>VLOOKUP(B454,'115+260'!$B$15:$AB$647,13,FALSE)</f>
        <v>-795</v>
      </c>
      <c r="K454" s="72">
        <f>'115+260'!Q455</f>
        <v>3</v>
      </c>
      <c r="L454" s="71">
        <f t="shared" si="85"/>
        <v>595</v>
      </c>
      <c r="M454" s="76">
        <f>VLOOKUP(B454,'115+260'!$B$14:$AB$647,21,FALSE)</f>
        <v>3073</v>
      </c>
      <c r="N454" s="75">
        <f>VLOOKUP(B454,'115+260'!$B$15:$AB$647,5,FALSE)</f>
        <v>1165</v>
      </c>
      <c r="O454" s="74">
        <f t="shared" si="81"/>
        <v>2063</v>
      </c>
      <c r="P454" s="74">
        <f>VLOOKUP(B454,'115+260'!$B$15:$AB$647,14,FALSE)</f>
        <v>-937</v>
      </c>
      <c r="Q454" s="72">
        <f>'115+260'!R455</f>
        <v>7</v>
      </c>
      <c r="R454" s="71">
        <f t="shared" si="86"/>
        <v>717</v>
      </c>
      <c r="S454" s="76">
        <f>VLOOKUP(B454,'115+260'!$B$14:$AB$647,22,FALSE)</f>
        <v>3190</v>
      </c>
      <c r="T454" s="75">
        <f>VLOOKUP(B454,'115+260'!$B$15:$AB$647,6,FALSE)</f>
        <v>1078</v>
      </c>
      <c r="U454" s="74">
        <f t="shared" si="82"/>
        <v>2150</v>
      </c>
      <c r="V454" s="73">
        <f>VLOOKUP(B454,'115+260'!$B$15:$AB$647,15,FALSE)</f>
        <v>-850</v>
      </c>
      <c r="W454" s="72">
        <f>'115+260'!S455</f>
        <v>4</v>
      </c>
      <c r="X454" s="71">
        <f t="shared" si="87"/>
        <v>600</v>
      </c>
      <c r="Y454" s="70">
        <f t="shared" si="88"/>
        <v>-4</v>
      </c>
      <c r="Z454" s="69">
        <f t="shared" si="89"/>
        <v>0</v>
      </c>
      <c r="AA454" s="68">
        <f t="shared" si="90"/>
        <v>3.9130000000000003</v>
      </c>
      <c r="AB454" s="68">
        <f t="shared" si="91"/>
        <v>2.5760000000000001</v>
      </c>
    </row>
    <row r="455" spans="2:28">
      <c r="B455" s="110">
        <f>'115+260'!B456</f>
        <v>45693</v>
      </c>
      <c r="C455" s="80">
        <f t="shared" si="83"/>
        <v>1</v>
      </c>
      <c r="D455" s="79">
        <f t="shared" si="84"/>
        <v>1069</v>
      </c>
      <c r="E455" s="78">
        <f>VLOOKUP(B455,'115+260'!B456:AB456,3,FALSE)</f>
        <v>2161</v>
      </c>
      <c r="F455" s="75">
        <f t="shared" si="79"/>
        <v>3230</v>
      </c>
      <c r="G455" s="77">
        <f>VLOOKUP(B455,'115+260'!$B$15:$AB$647,20,FALSE)</f>
        <v>3193</v>
      </c>
      <c r="H455" s="77">
        <f>VLOOKUP(B455,'115+260'!$B$15:$AB$647,4,FALSE)</f>
        <v>1027</v>
      </c>
      <c r="I455" s="74">
        <f t="shared" si="80"/>
        <v>2203</v>
      </c>
      <c r="J455" s="74">
        <f>VLOOKUP(B455,'115+260'!$B$15:$AB$647,13,FALSE)</f>
        <v>-797</v>
      </c>
      <c r="K455" s="72">
        <f>'115+260'!Q456</f>
        <v>2</v>
      </c>
      <c r="L455" s="71">
        <f t="shared" si="85"/>
        <v>597</v>
      </c>
      <c r="M455" s="76">
        <f>VLOOKUP(B455,'115+260'!$B$14:$AB$647,21,FALSE)</f>
        <v>3066</v>
      </c>
      <c r="N455" s="75">
        <f>VLOOKUP(B455,'115+260'!$B$15:$AB$647,5,FALSE)</f>
        <v>1174</v>
      </c>
      <c r="O455" s="74">
        <f t="shared" si="81"/>
        <v>2056</v>
      </c>
      <c r="P455" s="74">
        <f>VLOOKUP(B455,'115+260'!$B$15:$AB$647,14,FALSE)</f>
        <v>-944</v>
      </c>
      <c r="Q455" s="72">
        <f>'115+260'!R456</f>
        <v>7</v>
      </c>
      <c r="R455" s="71">
        <f t="shared" si="86"/>
        <v>724</v>
      </c>
      <c r="S455" s="76">
        <f>VLOOKUP(B455,'115+260'!$B$14:$AB$647,22,FALSE)</f>
        <v>3187</v>
      </c>
      <c r="T455" s="75">
        <f>VLOOKUP(B455,'115+260'!$B$15:$AB$647,6,FALSE)</f>
        <v>1083</v>
      </c>
      <c r="U455" s="74">
        <f t="shared" si="82"/>
        <v>2147</v>
      </c>
      <c r="V455" s="73">
        <f>VLOOKUP(B455,'115+260'!$B$15:$AB$647,15,FALSE)</f>
        <v>-853</v>
      </c>
      <c r="W455" s="72">
        <f>'115+260'!S456</f>
        <v>3</v>
      </c>
      <c r="X455" s="71">
        <f t="shared" si="87"/>
        <v>603</v>
      </c>
      <c r="Y455" s="70">
        <f t="shared" si="88"/>
        <v>-3</v>
      </c>
      <c r="Z455" s="69">
        <f t="shared" si="89"/>
        <v>0</v>
      </c>
      <c r="AA455" s="68">
        <f t="shared" si="90"/>
        <v>3.9130000000000003</v>
      </c>
      <c r="AB455" s="68">
        <f t="shared" si="91"/>
        <v>2.5619999999999998</v>
      </c>
    </row>
    <row r="456" spans="2:28">
      <c r="B456" s="110">
        <f>'115+260'!B457</f>
        <v>45694</v>
      </c>
      <c r="C456" s="80">
        <f t="shared" si="83"/>
        <v>1</v>
      </c>
      <c r="D456" s="79">
        <f t="shared" si="84"/>
        <v>1069</v>
      </c>
      <c r="E456" s="78">
        <f>VLOOKUP(B456,'115+260'!B457:AB457,3,FALSE)</f>
        <v>2163</v>
      </c>
      <c r="F456" s="75">
        <f t="shared" si="79"/>
        <v>3232</v>
      </c>
      <c r="G456" s="77">
        <f>VLOOKUP(B456,'115+260'!$B$15:$AB$647,20,FALSE)</f>
        <v>3190</v>
      </c>
      <c r="H456" s="77">
        <f>VLOOKUP(B456,'115+260'!$B$15:$AB$647,4,FALSE)</f>
        <v>1032</v>
      </c>
      <c r="I456" s="74">
        <f t="shared" si="80"/>
        <v>2200</v>
      </c>
      <c r="J456" s="74">
        <f>VLOOKUP(B456,'115+260'!$B$15:$AB$647,13,FALSE)</f>
        <v>-800</v>
      </c>
      <c r="K456" s="72">
        <f>'115+260'!Q457</f>
        <v>3</v>
      </c>
      <c r="L456" s="71">
        <f t="shared" si="85"/>
        <v>600</v>
      </c>
      <c r="M456" s="76">
        <f>VLOOKUP(B456,'115+260'!$B$14:$AB$647,21,FALSE)</f>
        <v>3059</v>
      </c>
      <c r="N456" s="75">
        <f>VLOOKUP(B456,'115+260'!$B$15:$AB$647,5,FALSE)</f>
        <v>1183</v>
      </c>
      <c r="O456" s="74">
        <f t="shared" si="81"/>
        <v>2049</v>
      </c>
      <c r="P456" s="74">
        <f>VLOOKUP(B456,'115+260'!$B$15:$AB$647,14,FALSE)</f>
        <v>-951</v>
      </c>
      <c r="Q456" s="72">
        <f>'115+260'!R457</f>
        <v>7</v>
      </c>
      <c r="R456" s="71">
        <f t="shared" si="86"/>
        <v>731</v>
      </c>
      <c r="S456" s="76">
        <f>VLOOKUP(B456,'115+260'!$B$14:$AB$647,22,FALSE)</f>
        <v>3185</v>
      </c>
      <c r="T456" s="75">
        <f>VLOOKUP(B456,'115+260'!$B$15:$AB$647,6,FALSE)</f>
        <v>1087</v>
      </c>
      <c r="U456" s="74">
        <f t="shared" si="82"/>
        <v>2145</v>
      </c>
      <c r="V456" s="73">
        <f>VLOOKUP(B456,'115+260'!$B$15:$AB$647,15,FALSE)</f>
        <v>-855</v>
      </c>
      <c r="W456" s="72">
        <f>'115+260'!S457</f>
        <v>2</v>
      </c>
      <c r="X456" s="71">
        <f t="shared" si="87"/>
        <v>605</v>
      </c>
      <c r="Y456" s="70">
        <f t="shared" si="88"/>
        <v>-2</v>
      </c>
      <c r="Z456" s="69">
        <f t="shared" si="89"/>
        <v>0</v>
      </c>
      <c r="AA456" s="68">
        <f t="shared" si="90"/>
        <v>3.9130000000000003</v>
      </c>
      <c r="AB456" s="68">
        <f t="shared" si="91"/>
        <v>2.548</v>
      </c>
    </row>
    <row r="457" spans="2:28">
      <c r="B457" s="110">
        <f>'115+260'!B458</f>
        <v>45695</v>
      </c>
      <c r="C457" s="80">
        <f t="shared" si="83"/>
        <v>1</v>
      </c>
      <c r="D457" s="79">
        <f t="shared" si="84"/>
        <v>1069</v>
      </c>
      <c r="E457" s="78">
        <f>VLOOKUP(B457,'115+260'!B458:AB458,3,FALSE)</f>
        <v>2165</v>
      </c>
      <c r="F457" s="75">
        <f t="shared" si="79"/>
        <v>3234</v>
      </c>
      <c r="G457" s="77">
        <f>VLOOKUP(B457,'115+260'!$B$15:$AB$647,20,FALSE)</f>
        <v>3188</v>
      </c>
      <c r="H457" s="77">
        <f>VLOOKUP(B457,'115+260'!$B$15:$AB$647,4,FALSE)</f>
        <v>1036</v>
      </c>
      <c r="I457" s="74">
        <f t="shared" si="80"/>
        <v>2198</v>
      </c>
      <c r="J457" s="74">
        <f>VLOOKUP(B457,'115+260'!$B$15:$AB$647,13,FALSE)</f>
        <v>-802</v>
      </c>
      <c r="K457" s="72">
        <f>'115+260'!Q458</f>
        <v>2</v>
      </c>
      <c r="L457" s="71">
        <f t="shared" si="85"/>
        <v>602</v>
      </c>
      <c r="M457" s="76">
        <f>VLOOKUP(B457,'115+260'!$B$14:$AB$647,21,FALSE)</f>
        <v>3054</v>
      </c>
      <c r="N457" s="75">
        <f>VLOOKUP(B457,'115+260'!$B$15:$AB$647,5,FALSE)</f>
        <v>1190</v>
      </c>
      <c r="O457" s="74">
        <f t="shared" si="81"/>
        <v>2044</v>
      </c>
      <c r="P457" s="74">
        <f>VLOOKUP(B457,'115+260'!$B$15:$AB$647,14,FALSE)</f>
        <v>-956</v>
      </c>
      <c r="Q457" s="72">
        <f>'115+260'!R458</f>
        <v>5</v>
      </c>
      <c r="R457" s="71">
        <f t="shared" si="86"/>
        <v>736</v>
      </c>
      <c r="S457" s="76">
        <f>VLOOKUP(B457,'115+260'!$B$14:$AB$647,22,FALSE)</f>
        <v>3181</v>
      </c>
      <c r="T457" s="75">
        <f>VLOOKUP(B457,'115+260'!$B$15:$AB$647,6,FALSE)</f>
        <v>1093</v>
      </c>
      <c r="U457" s="74">
        <f t="shared" si="82"/>
        <v>2141</v>
      </c>
      <c r="V457" s="73">
        <f>VLOOKUP(B457,'115+260'!$B$15:$AB$647,15,FALSE)</f>
        <v>-859</v>
      </c>
      <c r="W457" s="72">
        <f>'115+260'!S458</f>
        <v>4</v>
      </c>
      <c r="X457" s="71">
        <f t="shared" si="87"/>
        <v>609</v>
      </c>
      <c r="Y457" s="70">
        <f t="shared" si="88"/>
        <v>-4</v>
      </c>
      <c r="Z457" s="69">
        <f t="shared" si="89"/>
        <v>0</v>
      </c>
      <c r="AA457" s="68">
        <f t="shared" si="90"/>
        <v>3.9130000000000003</v>
      </c>
      <c r="AB457" s="68">
        <f t="shared" si="91"/>
        <v>2.5379999999999998</v>
      </c>
    </row>
    <row r="458" spans="2:28">
      <c r="B458" s="110">
        <f>'115+260'!B459</f>
        <v>45696</v>
      </c>
      <c r="C458" s="80">
        <f t="shared" si="83"/>
        <v>1</v>
      </c>
      <c r="D458" s="79">
        <f t="shared" si="84"/>
        <v>1069</v>
      </c>
      <c r="E458" s="78">
        <f>VLOOKUP(B458,'115+260'!B459:AB459,3,FALSE)</f>
        <v>2167</v>
      </c>
      <c r="F458" s="75">
        <f t="shared" si="79"/>
        <v>3236</v>
      </c>
      <c r="G458" s="77">
        <f>VLOOKUP(B458,'115+260'!$B$15:$AB$647,20,FALSE)</f>
        <v>3187</v>
      </c>
      <c r="H458" s="77">
        <f>VLOOKUP(B458,'115+260'!$B$15:$AB$647,4,FALSE)</f>
        <v>1039</v>
      </c>
      <c r="I458" s="74">
        <f t="shared" si="80"/>
        <v>2197</v>
      </c>
      <c r="J458" s="74">
        <f>VLOOKUP(B458,'115+260'!$B$15:$AB$647,13,FALSE)</f>
        <v>-803</v>
      </c>
      <c r="K458" s="72">
        <f>'115+260'!Q459</f>
        <v>1</v>
      </c>
      <c r="L458" s="71">
        <f t="shared" si="85"/>
        <v>603</v>
      </c>
      <c r="M458" s="76">
        <f>VLOOKUP(B458,'115+260'!$B$14:$AB$647,21,FALSE)</f>
        <v>3049</v>
      </c>
      <c r="N458" s="75">
        <f>VLOOKUP(B458,'115+260'!$B$15:$AB$647,5,FALSE)</f>
        <v>1197</v>
      </c>
      <c r="O458" s="74">
        <f t="shared" si="81"/>
        <v>2039</v>
      </c>
      <c r="P458" s="74">
        <f>VLOOKUP(B458,'115+260'!$B$15:$AB$647,14,FALSE)</f>
        <v>-961</v>
      </c>
      <c r="Q458" s="72">
        <f>'115+260'!R459</f>
        <v>5</v>
      </c>
      <c r="R458" s="71">
        <f t="shared" si="86"/>
        <v>741</v>
      </c>
      <c r="S458" s="76">
        <f>VLOOKUP(B458,'115+260'!$B$14:$AB$647,22,FALSE)</f>
        <v>3178</v>
      </c>
      <c r="T458" s="75">
        <f>VLOOKUP(B458,'115+260'!$B$15:$AB$647,6,FALSE)</f>
        <v>1098</v>
      </c>
      <c r="U458" s="74">
        <f t="shared" si="82"/>
        <v>2138</v>
      </c>
      <c r="V458" s="73">
        <f>VLOOKUP(B458,'115+260'!$B$15:$AB$647,15,FALSE)</f>
        <v>-862</v>
      </c>
      <c r="W458" s="72">
        <f>'115+260'!S459</f>
        <v>3</v>
      </c>
      <c r="X458" s="71">
        <f t="shared" si="87"/>
        <v>612</v>
      </c>
      <c r="Y458" s="70">
        <f t="shared" si="88"/>
        <v>-3</v>
      </c>
      <c r="Z458" s="69">
        <f t="shared" si="89"/>
        <v>0</v>
      </c>
      <c r="AA458" s="68">
        <f t="shared" si="90"/>
        <v>3.9130000000000003</v>
      </c>
      <c r="AB458" s="68">
        <f t="shared" si="91"/>
        <v>2.528</v>
      </c>
    </row>
    <row r="459" spans="2:28">
      <c r="B459" s="110">
        <f>'115+260'!B460</f>
        <v>45697</v>
      </c>
      <c r="C459" s="80">
        <f t="shared" si="83"/>
        <v>1</v>
      </c>
      <c r="D459" s="79">
        <f t="shared" si="84"/>
        <v>1069</v>
      </c>
      <c r="E459" s="78">
        <f>VLOOKUP(B459,'115+260'!B460:AB460,3,FALSE)</f>
        <v>2169</v>
      </c>
      <c r="F459" s="75">
        <f t="shared" si="79"/>
        <v>3238</v>
      </c>
      <c r="G459" s="77">
        <f>VLOOKUP(B459,'115+260'!$B$15:$AB$647,20,FALSE)</f>
        <v>3184</v>
      </c>
      <c r="H459" s="77">
        <f>VLOOKUP(B459,'115+260'!$B$15:$AB$647,4,FALSE)</f>
        <v>1044</v>
      </c>
      <c r="I459" s="74">
        <f t="shared" si="80"/>
        <v>2194</v>
      </c>
      <c r="J459" s="74">
        <f>VLOOKUP(B459,'115+260'!$B$15:$AB$647,13,FALSE)</f>
        <v>-806</v>
      </c>
      <c r="K459" s="72">
        <f>'115+260'!Q460</f>
        <v>3</v>
      </c>
      <c r="L459" s="71">
        <f t="shared" si="85"/>
        <v>606</v>
      </c>
      <c r="M459" s="76">
        <f>VLOOKUP(B459,'115+260'!$B$14:$AB$647,21,FALSE)</f>
        <v>3045</v>
      </c>
      <c r="N459" s="75">
        <f>VLOOKUP(B459,'115+260'!$B$15:$AB$647,5,FALSE)</f>
        <v>1203</v>
      </c>
      <c r="O459" s="74">
        <f t="shared" si="81"/>
        <v>2035</v>
      </c>
      <c r="P459" s="74">
        <f>VLOOKUP(B459,'115+260'!$B$15:$AB$647,14,FALSE)</f>
        <v>-965</v>
      </c>
      <c r="Q459" s="72">
        <f>'115+260'!R460</f>
        <v>4</v>
      </c>
      <c r="R459" s="71">
        <f t="shared" si="86"/>
        <v>745</v>
      </c>
      <c r="S459" s="76">
        <f>VLOOKUP(B459,'115+260'!$B$14:$AB$647,22,FALSE)</f>
        <v>3171</v>
      </c>
      <c r="T459" s="75">
        <f>VLOOKUP(B459,'115+260'!$B$15:$AB$647,6,FALSE)</f>
        <v>1107</v>
      </c>
      <c r="U459" s="74">
        <f t="shared" si="82"/>
        <v>2131</v>
      </c>
      <c r="V459" s="73">
        <f>VLOOKUP(B459,'115+260'!$B$15:$AB$647,15,FALSE)</f>
        <v>-869</v>
      </c>
      <c r="W459" s="72">
        <f>'115+260'!S460</f>
        <v>7</v>
      </c>
      <c r="X459" s="71">
        <f t="shared" si="87"/>
        <v>619</v>
      </c>
      <c r="Y459" s="70">
        <f t="shared" si="88"/>
        <v>-7</v>
      </c>
      <c r="Z459" s="69">
        <f t="shared" si="89"/>
        <v>0</v>
      </c>
      <c r="AA459" s="68">
        <f t="shared" si="90"/>
        <v>3.9130000000000003</v>
      </c>
      <c r="AB459" s="68">
        <f t="shared" si="91"/>
        <v>2.52</v>
      </c>
    </row>
    <row r="460" spans="2:28">
      <c r="B460" s="110">
        <f>'115+260'!B461</f>
        <v>45698</v>
      </c>
      <c r="C460" s="80">
        <f t="shared" si="83"/>
        <v>1</v>
      </c>
      <c r="D460" s="79">
        <f t="shared" si="84"/>
        <v>1069</v>
      </c>
      <c r="E460" s="78">
        <f>VLOOKUP(B460,'115+260'!B461:AB461,3,FALSE)</f>
        <v>2171</v>
      </c>
      <c r="F460" s="75">
        <f t="shared" si="79"/>
        <v>3240</v>
      </c>
      <c r="G460" s="77">
        <f>VLOOKUP(B460,'115+260'!$B$15:$AB$647,20,FALSE)</f>
        <v>3182</v>
      </c>
      <c r="H460" s="77">
        <f>VLOOKUP(B460,'115+260'!$B$15:$AB$647,4,FALSE)</f>
        <v>1048</v>
      </c>
      <c r="I460" s="74">
        <f t="shared" si="80"/>
        <v>2192</v>
      </c>
      <c r="J460" s="74">
        <f>VLOOKUP(B460,'115+260'!$B$15:$AB$647,13,FALSE)</f>
        <v>-808</v>
      </c>
      <c r="K460" s="72">
        <f>'115+260'!Q461</f>
        <v>2</v>
      </c>
      <c r="L460" s="71">
        <f t="shared" si="85"/>
        <v>608</v>
      </c>
      <c r="M460" s="76">
        <f>VLOOKUP(B460,'115+260'!$B$14:$AB$647,21,FALSE)</f>
        <v>3042</v>
      </c>
      <c r="N460" s="75">
        <f>VLOOKUP(B460,'115+260'!$B$15:$AB$647,5,FALSE)</f>
        <v>1208</v>
      </c>
      <c r="O460" s="74">
        <f t="shared" si="81"/>
        <v>2032</v>
      </c>
      <c r="P460" s="74">
        <f>VLOOKUP(B460,'115+260'!$B$15:$AB$647,14,FALSE)</f>
        <v>-968</v>
      </c>
      <c r="Q460" s="72">
        <f>'115+260'!R461</f>
        <v>3</v>
      </c>
      <c r="R460" s="71">
        <f t="shared" si="86"/>
        <v>748</v>
      </c>
      <c r="S460" s="76">
        <f>VLOOKUP(B460,'115+260'!$B$14:$AB$647,22,FALSE)</f>
        <v>3166</v>
      </c>
      <c r="T460" s="75">
        <f>VLOOKUP(B460,'115+260'!$B$15:$AB$647,6,FALSE)</f>
        <v>1114</v>
      </c>
      <c r="U460" s="74">
        <f t="shared" si="82"/>
        <v>2126</v>
      </c>
      <c r="V460" s="73">
        <f>VLOOKUP(B460,'115+260'!$B$15:$AB$647,15,FALSE)</f>
        <v>-874</v>
      </c>
      <c r="W460" s="72">
        <f>'115+260'!S461</f>
        <v>5</v>
      </c>
      <c r="X460" s="71">
        <f t="shared" si="87"/>
        <v>624</v>
      </c>
      <c r="Y460" s="70">
        <f t="shared" si="88"/>
        <v>-5</v>
      </c>
      <c r="Z460" s="69">
        <f t="shared" si="89"/>
        <v>0</v>
      </c>
      <c r="AA460" s="68">
        <f t="shared" si="90"/>
        <v>3.9130000000000003</v>
      </c>
      <c r="AB460" s="68">
        <f t="shared" si="91"/>
        <v>2.5139999999999998</v>
      </c>
    </row>
    <row r="461" spans="2:28">
      <c r="B461" s="110">
        <f>'115+260'!B462</f>
        <v>45699</v>
      </c>
      <c r="C461" s="80">
        <f t="shared" si="83"/>
        <v>1</v>
      </c>
      <c r="D461" s="79">
        <f t="shared" si="84"/>
        <v>1069</v>
      </c>
      <c r="E461" s="78">
        <f>VLOOKUP(B461,'115+260'!B462:AB462,3,FALSE)</f>
        <v>2173</v>
      </c>
      <c r="F461" s="75">
        <f t="shared" ref="F461:F509" si="92">D461+E461</f>
        <v>3242</v>
      </c>
      <c r="G461" s="77">
        <f>VLOOKUP(B461,'115+260'!$B$15:$AB$647,20,FALSE)</f>
        <v>3179</v>
      </c>
      <c r="H461" s="77">
        <f>VLOOKUP(B461,'115+260'!$B$15:$AB$647,4,FALSE)</f>
        <v>1053</v>
      </c>
      <c r="I461" s="74">
        <f t="shared" ref="I461:I509" si="93">F461-H461</f>
        <v>2189</v>
      </c>
      <c r="J461" s="74">
        <f>VLOOKUP(B461,'115+260'!$B$15:$AB$647,13,FALSE)</f>
        <v>-811</v>
      </c>
      <c r="K461" s="72">
        <f>'115+260'!Q462</f>
        <v>3</v>
      </c>
      <c r="L461" s="71">
        <f t="shared" si="85"/>
        <v>611</v>
      </c>
      <c r="M461" s="76">
        <f>VLOOKUP(B461,'115+260'!$B$14:$AB$647,21,FALSE)</f>
        <v>3040</v>
      </c>
      <c r="N461" s="75">
        <f>VLOOKUP(B461,'115+260'!$B$15:$AB$647,5,FALSE)</f>
        <v>1212</v>
      </c>
      <c r="O461" s="74">
        <f t="shared" ref="O461:O509" si="94">F461-N461</f>
        <v>2030</v>
      </c>
      <c r="P461" s="74">
        <f>VLOOKUP(B461,'115+260'!$B$15:$AB$647,14,FALSE)</f>
        <v>-970</v>
      </c>
      <c r="Q461" s="72">
        <f>'115+260'!R462</f>
        <v>2</v>
      </c>
      <c r="R461" s="71">
        <f t="shared" si="86"/>
        <v>750</v>
      </c>
      <c r="S461" s="76">
        <f>VLOOKUP(B461,'115+260'!$B$14:$AB$647,22,FALSE)</f>
        <v>3161</v>
      </c>
      <c r="T461" s="75">
        <f>VLOOKUP(B461,'115+260'!$B$15:$AB$647,6,FALSE)</f>
        <v>1121</v>
      </c>
      <c r="U461" s="74">
        <f t="shared" ref="U461:U509" si="95">F461-T461</f>
        <v>2121</v>
      </c>
      <c r="V461" s="73">
        <f>VLOOKUP(B461,'115+260'!$B$15:$AB$647,15,FALSE)</f>
        <v>-879</v>
      </c>
      <c r="W461" s="72">
        <f>'115+260'!S462</f>
        <v>5</v>
      </c>
      <c r="X461" s="71">
        <f t="shared" si="87"/>
        <v>629</v>
      </c>
      <c r="Y461" s="70">
        <f t="shared" si="88"/>
        <v>-5</v>
      </c>
      <c r="Z461" s="69">
        <f t="shared" si="89"/>
        <v>0</v>
      </c>
      <c r="AA461" s="68">
        <f t="shared" si="90"/>
        <v>3.9130000000000003</v>
      </c>
      <c r="AB461" s="68">
        <f t="shared" si="91"/>
        <v>2.5099999999999998</v>
      </c>
    </row>
    <row r="462" spans="2:28">
      <c r="B462" s="110">
        <f>'115+260'!B463</f>
        <v>45700</v>
      </c>
      <c r="C462" s="80">
        <f t="shared" ref="C462:C526" si="96">B462-B461</f>
        <v>1</v>
      </c>
      <c r="D462" s="79">
        <f t="shared" ref="D462:D509" si="97">D461</f>
        <v>1069</v>
      </c>
      <c r="E462" s="78">
        <f>VLOOKUP(B462,'115+260'!B463:AB463,3,FALSE)</f>
        <v>2175</v>
      </c>
      <c r="F462" s="75">
        <f t="shared" si="92"/>
        <v>3244</v>
      </c>
      <c r="G462" s="77">
        <f>VLOOKUP(B462,'115+260'!$B$15:$AB$647,20,FALSE)</f>
        <v>3177</v>
      </c>
      <c r="H462" s="77">
        <f>VLOOKUP(B462,'115+260'!$B$15:$AB$647,4,FALSE)</f>
        <v>1057</v>
      </c>
      <c r="I462" s="74">
        <f t="shared" si="93"/>
        <v>2187</v>
      </c>
      <c r="J462" s="74">
        <f>VLOOKUP(B462,'115+260'!$B$15:$AB$647,13,FALSE)</f>
        <v>-813</v>
      </c>
      <c r="K462" s="72">
        <f>'115+260'!Q463</f>
        <v>2</v>
      </c>
      <c r="L462" s="71">
        <f t="shared" ref="L462:L509" si="98">+K462+L461</f>
        <v>613</v>
      </c>
      <c r="M462" s="76">
        <f>VLOOKUP(B462,'115+260'!$B$14:$AB$647,21,FALSE)</f>
        <v>3036</v>
      </c>
      <c r="N462" s="75">
        <f>VLOOKUP(B462,'115+260'!$B$15:$AB$647,5,FALSE)</f>
        <v>1218</v>
      </c>
      <c r="O462" s="74">
        <f t="shared" si="94"/>
        <v>2026</v>
      </c>
      <c r="P462" s="74">
        <f>VLOOKUP(B462,'115+260'!$B$15:$AB$647,14,FALSE)</f>
        <v>-974</v>
      </c>
      <c r="Q462" s="72">
        <f>'115+260'!R463</f>
        <v>4</v>
      </c>
      <c r="R462" s="71">
        <f t="shared" ref="R462:R509" si="99">+Q462+R461</f>
        <v>754</v>
      </c>
      <c r="S462" s="76">
        <f>VLOOKUP(B462,'115+260'!$B$14:$AB$647,22,FALSE)</f>
        <v>3156</v>
      </c>
      <c r="T462" s="75">
        <f>VLOOKUP(B462,'115+260'!$B$15:$AB$647,6,FALSE)</f>
        <v>1128</v>
      </c>
      <c r="U462" s="74">
        <f t="shared" si="95"/>
        <v>2116</v>
      </c>
      <c r="V462" s="73">
        <f>VLOOKUP(B462,'115+260'!$B$15:$AB$647,15,FALSE)</f>
        <v>-884</v>
      </c>
      <c r="W462" s="72">
        <f>'115+260'!S463</f>
        <v>5</v>
      </c>
      <c r="X462" s="71">
        <f t="shared" ref="X462:X509" si="100">+W462+X461</f>
        <v>634</v>
      </c>
      <c r="Y462" s="70">
        <f t="shared" ref="Y462:Y509" si="101">S462-S461</f>
        <v>-5</v>
      </c>
      <c r="Z462" s="69">
        <f t="shared" ref="Z462:Z526" si="102">IF(Y462&gt;0,Y462,0)/1000</f>
        <v>0</v>
      </c>
      <c r="AA462" s="68">
        <f t="shared" ref="AA462:AA509" si="103">AA461+Z462</f>
        <v>3.9130000000000003</v>
      </c>
      <c r="AB462" s="68">
        <f t="shared" ref="AB462:AB509" si="104">(M462-$M$13-R462)/1000</f>
        <v>2.5019999999999998</v>
      </c>
    </row>
    <row r="463" spans="2:28">
      <c r="B463" s="110">
        <f>'115+260'!B464</f>
        <v>45701</v>
      </c>
      <c r="C463" s="80">
        <f t="shared" si="96"/>
        <v>1</v>
      </c>
      <c r="D463" s="79">
        <f t="shared" si="97"/>
        <v>1069</v>
      </c>
      <c r="E463" s="78">
        <f>VLOOKUP(B463,'115+260'!B464:AB464,3,FALSE)</f>
        <v>2177</v>
      </c>
      <c r="F463" s="75">
        <f t="shared" si="92"/>
        <v>3246</v>
      </c>
      <c r="G463" s="77">
        <f>VLOOKUP(B463,'115+260'!$B$15:$AB$647,20,FALSE)</f>
        <v>3176</v>
      </c>
      <c r="H463" s="77">
        <f>VLOOKUP(B463,'115+260'!$B$15:$AB$647,4,FALSE)</f>
        <v>1060</v>
      </c>
      <c r="I463" s="74">
        <f t="shared" si="93"/>
        <v>2186</v>
      </c>
      <c r="J463" s="74">
        <f>VLOOKUP(B463,'115+260'!$B$15:$AB$647,13,FALSE)</f>
        <v>-814</v>
      </c>
      <c r="K463" s="72">
        <f>'115+260'!Q464</f>
        <v>1</v>
      </c>
      <c r="L463" s="71">
        <f t="shared" si="98"/>
        <v>614</v>
      </c>
      <c r="M463" s="76">
        <f>VLOOKUP(B463,'115+260'!$B$14:$AB$647,21,FALSE)</f>
        <v>3033</v>
      </c>
      <c r="N463" s="75">
        <f>VLOOKUP(B463,'115+260'!$B$15:$AB$647,5,FALSE)</f>
        <v>1223</v>
      </c>
      <c r="O463" s="74">
        <f t="shared" si="94"/>
        <v>2023</v>
      </c>
      <c r="P463" s="74">
        <f>VLOOKUP(B463,'115+260'!$B$15:$AB$647,14,FALSE)</f>
        <v>-977</v>
      </c>
      <c r="Q463" s="72">
        <f>'115+260'!R464</f>
        <v>3</v>
      </c>
      <c r="R463" s="71">
        <f t="shared" si="99"/>
        <v>757</v>
      </c>
      <c r="S463" s="76">
        <f>VLOOKUP(B463,'115+260'!$B$14:$AB$647,22,FALSE)</f>
        <v>3151</v>
      </c>
      <c r="T463" s="75">
        <f>VLOOKUP(B463,'115+260'!$B$15:$AB$647,6,FALSE)</f>
        <v>1135</v>
      </c>
      <c r="U463" s="74">
        <f t="shared" si="95"/>
        <v>2111</v>
      </c>
      <c r="V463" s="73">
        <f>VLOOKUP(B463,'115+260'!$B$15:$AB$647,15,FALSE)</f>
        <v>-889</v>
      </c>
      <c r="W463" s="72">
        <f>'115+260'!S464</f>
        <v>5</v>
      </c>
      <c r="X463" s="71">
        <f t="shared" si="100"/>
        <v>639</v>
      </c>
      <c r="Y463" s="70">
        <f t="shared" si="101"/>
        <v>-5</v>
      </c>
      <c r="Z463" s="69">
        <f t="shared" si="102"/>
        <v>0</v>
      </c>
      <c r="AA463" s="68">
        <f t="shared" si="103"/>
        <v>3.9130000000000003</v>
      </c>
      <c r="AB463" s="68">
        <f t="shared" si="104"/>
        <v>2.496</v>
      </c>
    </row>
    <row r="464" spans="2:28">
      <c r="B464" s="110">
        <f>'115+260'!B465</f>
        <v>45702</v>
      </c>
      <c r="C464" s="80">
        <f t="shared" si="96"/>
        <v>1</v>
      </c>
      <c r="D464" s="79">
        <f t="shared" si="97"/>
        <v>1069</v>
      </c>
      <c r="E464" s="78">
        <f>VLOOKUP(B464,'115+260'!B465:AB465,3,FALSE)</f>
        <v>2179</v>
      </c>
      <c r="F464" s="75">
        <f t="shared" si="92"/>
        <v>3248</v>
      </c>
      <c r="G464" s="77">
        <f>VLOOKUP(B464,'115+260'!$B$15:$AB$647,20,FALSE)</f>
        <v>3174</v>
      </c>
      <c r="H464" s="77">
        <f>VLOOKUP(B464,'115+260'!$B$15:$AB$647,4,FALSE)</f>
        <v>1064</v>
      </c>
      <c r="I464" s="74">
        <f t="shared" si="93"/>
        <v>2184</v>
      </c>
      <c r="J464" s="74">
        <f>VLOOKUP(B464,'115+260'!$B$15:$AB$647,13,FALSE)</f>
        <v>-816</v>
      </c>
      <c r="K464" s="72">
        <f>'115+260'!Q465</f>
        <v>2</v>
      </c>
      <c r="L464" s="71">
        <f t="shared" si="98"/>
        <v>616</v>
      </c>
      <c r="M464" s="76">
        <f>VLOOKUP(B464,'115+260'!$B$14:$AB$647,21,FALSE)</f>
        <v>3026</v>
      </c>
      <c r="N464" s="75">
        <f>VLOOKUP(B464,'115+260'!$B$15:$AB$647,5,FALSE)</f>
        <v>1232</v>
      </c>
      <c r="O464" s="74">
        <f t="shared" si="94"/>
        <v>2016</v>
      </c>
      <c r="P464" s="74">
        <f>VLOOKUP(B464,'115+260'!$B$15:$AB$647,14,FALSE)</f>
        <v>-984</v>
      </c>
      <c r="Q464" s="72">
        <f>'115+260'!R465</f>
        <v>7</v>
      </c>
      <c r="R464" s="71">
        <f t="shared" si="99"/>
        <v>764</v>
      </c>
      <c r="S464" s="76">
        <f>VLOOKUP(B464,'115+260'!$B$14:$AB$647,22,FALSE)</f>
        <v>3147</v>
      </c>
      <c r="T464" s="75">
        <f>VLOOKUP(B464,'115+260'!$B$15:$AB$647,6,FALSE)</f>
        <v>1141</v>
      </c>
      <c r="U464" s="74">
        <f t="shared" si="95"/>
        <v>2107</v>
      </c>
      <c r="V464" s="73">
        <f>VLOOKUP(B464,'115+260'!$B$15:$AB$647,15,FALSE)</f>
        <v>-893</v>
      </c>
      <c r="W464" s="72">
        <f>'115+260'!S465</f>
        <v>4</v>
      </c>
      <c r="X464" s="71">
        <f t="shared" si="100"/>
        <v>643</v>
      </c>
      <c r="Y464" s="70">
        <f t="shared" si="101"/>
        <v>-4</v>
      </c>
      <c r="Z464" s="69">
        <f t="shared" si="102"/>
        <v>0</v>
      </c>
      <c r="AA464" s="68">
        <f t="shared" si="103"/>
        <v>3.9130000000000003</v>
      </c>
      <c r="AB464" s="68">
        <f t="shared" si="104"/>
        <v>2.4820000000000002</v>
      </c>
    </row>
    <row r="465" spans="2:28">
      <c r="B465" s="110">
        <f>'115+260'!B466</f>
        <v>45703</v>
      </c>
      <c r="C465" s="80">
        <f t="shared" si="96"/>
        <v>1</v>
      </c>
      <c r="D465" s="79">
        <f t="shared" si="97"/>
        <v>1069</v>
      </c>
      <c r="E465" s="78">
        <f>VLOOKUP(B465,'115+260'!B466:AB466,3,FALSE)</f>
        <v>2181</v>
      </c>
      <c r="F465" s="75">
        <f t="shared" si="92"/>
        <v>3250</v>
      </c>
      <c r="G465" s="77">
        <f>VLOOKUP(B465,'115+260'!$B$15:$AB$647,20,FALSE)</f>
        <v>3172</v>
      </c>
      <c r="H465" s="77">
        <f>VLOOKUP(B465,'115+260'!$B$15:$AB$647,4,FALSE)</f>
        <v>1068</v>
      </c>
      <c r="I465" s="74">
        <f t="shared" si="93"/>
        <v>2182</v>
      </c>
      <c r="J465" s="74">
        <f>VLOOKUP(B465,'115+260'!$B$15:$AB$647,13,FALSE)</f>
        <v>-818</v>
      </c>
      <c r="K465" s="72">
        <f>'115+260'!Q466</f>
        <v>2</v>
      </c>
      <c r="L465" s="71">
        <f t="shared" si="98"/>
        <v>618</v>
      </c>
      <c r="M465" s="76">
        <f>VLOOKUP(B465,'115+260'!$B$14:$AB$647,21,FALSE)</f>
        <v>3021</v>
      </c>
      <c r="N465" s="75">
        <f>VLOOKUP(B465,'115+260'!$B$15:$AB$647,5,FALSE)</f>
        <v>1239</v>
      </c>
      <c r="O465" s="74">
        <f t="shared" si="94"/>
        <v>2011</v>
      </c>
      <c r="P465" s="74">
        <f>VLOOKUP(B465,'115+260'!$B$15:$AB$647,14,FALSE)</f>
        <v>-989</v>
      </c>
      <c r="Q465" s="72">
        <f>'115+260'!R466</f>
        <v>5</v>
      </c>
      <c r="R465" s="71">
        <f t="shared" si="99"/>
        <v>769</v>
      </c>
      <c r="S465" s="76">
        <f>VLOOKUP(B465,'115+260'!$B$14:$AB$647,22,FALSE)</f>
        <v>3144</v>
      </c>
      <c r="T465" s="75">
        <f>VLOOKUP(B465,'115+260'!$B$15:$AB$647,6,FALSE)</f>
        <v>1146</v>
      </c>
      <c r="U465" s="74">
        <f t="shared" si="95"/>
        <v>2104</v>
      </c>
      <c r="V465" s="73">
        <f>VLOOKUP(B465,'115+260'!$B$15:$AB$647,15,FALSE)</f>
        <v>-896</v>
      </c>
      <c r="W465" s="72">
        <f>'115+260'!S466</f>
        <v>3</v>
      </c>
      <c r="X465" s="71">
        <f t="shared" si="100"/>
        <v>646</v>
      </c>
      <c r="Y465" s="70">
        <f t="shared" si="101"/>
        <v>-3</v>
      </c>
      <c r="Z465" s="69">
        <f t="shared" si="102"/>
        <v>0</v>
      </c>
      <c r="AA465" s="68">
        <f t="shared" si="103"/>
        <v>3.9130000000000003</v>
      </c>
      <c r="AB465" s="68">
        <f t="shared" si="104"/>
        <v>2.472</v>
      </c>
    </row>
    <row r="466" spans="2:28">
      <c r="B466" s="110">
        <f>'115+260'!B467</f>
        <v>45704</v>
      </c>
      <c r="C466" s="80">
        <f t="shared" si="96"/>
        <v>1</v>
      </c>
      <c r="D466" s="79">
        <f t="shared" si="97"/>
        <v>1069</v>
      </c>
      <c r="E466" s="78">
        <f>VLOOKUP(B466,'115+260'!B467:AB467,3,FALSE)</f>
        <v>2183</v>
      </c>
      <c r="F466" s="75">
        <f t="shared" si="92"/>
        <v>3252</v>
      </c>
      <c r="G466" s="77">
        <f>VLOOKUP(B466,'115+260'!$B$15:$AB$647,20,FALSE)</f>
        <v>3170</v>
      </c>
      <c r="H466" s="77">
        <f>VLOOKUP(B466,'115+260'!$B$15:$AB$647,4,FALSE)</f>
        <v>1072</v>
      </c>
      <c r="I466" s="74">
        <f t="shared" si="93"/>
        <v>2180</v>
      </c>
      <c r="J466" s="74">
        <f>VLOOKUP(B466,'115+260'!$B$15:$AB$647,13,FALSE)</f>
        <v>-820</v>
      </c>
      <c r="K466" s="72">
        <f>'115+260'!Q467</f>
        <v>2</v>
      </c>
      <c r="L466" s="71">
        <f t="shared" si="98"/>
        <v>620</v>
      </c>
      <c r="M466" s="76">
        <f>VLOOKUP(B466,'115+260'!$B$14:$AB$647,21,FALSE)</f>
        <v>3016</v>
      </c>
      <c r="N466" s="75">
        <f>VLOOKUP(B466,'115+260'!$B$15:$AB$647,5,FALSE)</f>
        <v>1246</v>
      </c>
      <c r="O466" s="74">
        <f t="shared" si="94"/>
        <v>2006</v>
      </c>
      <c r="P466" s="74">
        <f>VLOOKUP(B466,'115+260'!$B$15:$AB$647,14,FALSE)</f>
        <v>-994</v>
      </c>
      <c r="Q466" s="72">
        <f>'115+260'!R467</f>
        <v>5</v>
      </c>
      <c r="R466" s="71">
        <f t="shared" si="99"/>
        <v>774</v>
      </c>
      <c r="S466" s="76">
        <f>VLOOKUP(B466,'115+260'!$B$14:$AB$647,22,FALSE)</f>
        <v>3142</v>
      </c>
      <c r="T466" s="75">
        <f>VLOOKUP(B466,'115+260'!$B$15:$AB$647,6,FALSE)</f>
        <v>1150</v>
      </c>
      <c r="U466" s="74">
        <f t="shared" si="95"/>
        <v>2102</v>
      </c>
      <c r="V466" s="73">
        <f>VLOOKUP(B466,'115+260'!$B$15:$AB$647,15,FALSE)</f>
        <v>-898</v>
      </c>
      <c r="W466" s="72">
        <f>'115+260'!S467</f>
        <v>2</v>
      </c>
      <c r="X466" s="71">
        <f t="shared" si="100"/>
        <v>648</v>
      </c>
      <c r="Y466" s="70">
        <f t="shared" si="101"/>
        <v>-2</v>
      </c>
      <c r="Z466" s="69">
        <f t="shared" si="102"/>
        <v>0</v>
      </c>
      <c r="AA466" s="68">
        <f t="shared" si="103"/>
        <v>3.9130000000000003</v>
      </c>
      <c r="AB466" s="68">
        <f t="shared" si="104"/>
        <v>2.4620000000000002</v>
      </c>
    </row>
    <row r="467" spans="2:28">
      <c r="B467" s="110">
        <f>'115+260'!B468</f>
        <v>45705</v>
      </c>
      <c r="C467" s="80">
        <f t="shared" si="96"/>
        <v>1</v>
      </c>
      <c r="D467" s="79">
        <f t="shared" si="97"/>
        <v>1069</v>
      </c>
      <c r="E467" s="78">
        <f>VLOOKUP(B467,'115+260'!B468:AB468,3,FALSE)</f>
        <v>2185</v>
      </c>
      <c r="F467" s="75">
        <f t="shared" si="92"/>
        <v>3254</v>
      </c>
      <c r="G467" s="77">
        <f>VLOOKUP(B467,'115+260'!$B$15:$AB$647,20,FALSE)</f>
        <v>3168</v>
      </c>
      <c r="H467" s="77">
        <f>VLOOKUP(B467,'115+260'!$B$15:$AB$647,4,FALSE)</f>
        <v>1076</v>
      </c>
      <c r="I467" s="74">
        <f t="shared" si="93"/>
        <v>2178</v>
      </c>
      <c r="J467" s="74">
        <f>VLOOKUP(B467,'115+260'!$B$15:$AB$647,13,FALSE)</f>
        <v>-822</v>
      </c>
      <c r="K467" s="72">
        <f>'115+260'!Q468</f>
        <v>2</v>
      </c>
      <c r="L467" s="71">
        <f t="shared" si="98"/>
        <v>622</v>
      </c>
      <c r="M467" s="76">
        <f>VLOOKUP(B467,'115+260'!$B$14:$AB$647,21,FALSE)</f>
        <v>3012</v>
      </c>
      <c r="N467" s="75">
        <f>VLOOKUP(B467,'115+260'!$B$15:$AB$647,5,FALSE)</f>
        <v>1252</v>
      </c>
      <c r="O467" s="74">
        <f t="shared" si="94"/>
        <v>2002</v>
      </c>
      <c r="P467" s="74">
        <f>VLOOKUP(B467,'115+260'!$B$15:$AB$647,14,FALSE)</f>
        <v>-998</v>
      </c>
      <c r="Q467" s="72">
        <f>'115+260'!R468</f>
        <v>4</v>
      </c>
      <c r="R467" s="71">
        <f t="shared" si="99"/>
        <v>778</v>
      </c>
      <c r="S467" s="76">
        <f>VLOOKUP(B467,'115+260'!$B$14:$AB$647,22,FALSE)</f>
        <v>3138</v>
      </c>
      <c r="T467" s="75">
        <f>VLOOKUP(B467,'115+260'!$B$15:$AB$647,6,FALSE)</f>
        <v>1156</v>
      </c>
      <c r="U467" s="74">
        <f t="shared" si="95"/>
        <v>2098</v>
      </c>
      <c r="V467" s="73">
        <f>VLOOKUP(B467,'115+260'!$B$15:$AB$647,15,FALSE)</f>
        <v>-902</v>
      </c>
      <c r="W467" s="72">
        <f>'115+260'!S468</f>
        <v>4</v>
      </c>
      <c r="X467" s="71">
        <f t="shared" si="100"/>
        <v>652</v>
      </c>
      <c r="Y467" s="70">
        <f t="shared" si="101"/>
        <v>-4</v>
      </c>
      <c r="Z467" s="69">
        <f t="shared" si="102"/>
        <v>0</v>
      </c>
      <c r="AA467" s="68">
        <f t="shared" si="103"/>
        <v>3.9130000000000003</v>
      </c>
      <c r="AB467" s="68">
        <f t="shared" si="104"/>
        <v>2.4540000000000002</v>
      </c>
    </row>
    <row r="468" spans="2:28">
      <c r="B468" s="110">
        <f>'115+260'!B469</f>
        <v>45706</v>
      </c>
      <c r="C468" s="80">
        <f t="shared" si="96"/>
        <v>1</v>
      </c>
      <c r="D468" s="79">
        <f t="shared" si="97"/>
        <v>1069</v>
      </c>
      <c r="E468" s="78">
        <f>VLOOKUP(B468,'115+260'!B469:AB469,3,FALSE)</f>
        <v>2187</v>
      </c>
      <c r="F468" s="75">
        <f t="shared" si="92"/>
        <v>3256</v>
      </c>
      <c r="G468" s="77">
        <f>VLOOKUP(B468,'115+260'!$B$15:$AB$647,20,FALSE)</f>
        <v>3166</v>
      </c>
      <c r="H468" s="77">
        <f>VLOOKUP(B468,'115+260'!$B$15:$AB$647,4,FALSE)</f>
        <v>1080</v>
      </c>
      <c r="I468" s="74">
        <f t="shared" si="93"/>
        <v>2176</v>
      </c>
      <c r="J468" s="74">
        <f>VLOOKUP(B468,'115+260'!$B$15:$AB$647,13,FALSE)</f>
        <v>-824</v>
      </c>
      <c r="K468" s="72">
        <f>'115+260'!Q469</f>
        <v>2</v>
      </c>
      <c r="L468" s="71">
        <f t="shared" si="98"/>
        <v>624</v>
      </c>
      <c r="M468" s="76">
        <f>VLOOKUP(B468,'115+260'!$B$14:$AB$647,21,FALSE)</f>
        <v>3009</v>
      </c>
      <c r="N468" s="75">
        <f>VLOOKUP(B468,'115+260'!$B$15:$AB$647,5,FALSE)</f>
        <v>1257</v>
      </c>
      <c r="O468" s="74">
        <f t="shared" si="94"/>
        <v>1999</v>
      </c>
      <c r="P468" s="74">
        <f>VLOOKUP(B468,'115+260'!$B$15:$AB$647,14,FALSE)</f>
        <v>-1001</v>
      </c>
      <c r="Q468" s="72">
        <f>'115+260'!R469</f>
        <v>3</v>
      </c>
      <c r="R468" s="71">
        <f t="shared" si="99"/>
        <v>781</v>
      </c>
      <c r="S468" s="76">
        <f>VLOOKUP(B468,'115+260'!$B$14:$AB$647,22,FALSE)</f>
        <v>3135</v>
      </c>
      <c r="T468" s="75">
        <f>VLOOKUP(B468,'115+260'!$B$15:$AB$647,6,FALSE)</f>
        <v>1161</v>
      </c>
      <c r="U468" s="74">
        <f t="shared" si="95"/>
        <v>2095</v>
      </c>
      <c r="V468" s="73">
        <f>VLOOKUP(B468,'115+260'!$B$15:$AB$647,15,FALSE)</f>
        <v>-905</v>
      </c>
      <c r="W468" s="72">
        <f>'115+260'!S469</f>
        <v>3</v>
      </c>
      <c r="X468" s="71">
        <f t="shared" si="100"/>
        <v>655</v>
      </c>
      <c r="Y468" s="70">
        <f t="shared" si="101"/>
        <v>-3</v>
      </c>
      <c r="Z468" s="69">
        <f t="shared" si="102"/>
        <v>0</v>
      </c>
      <c r="AA468" s="68">
        <f t="shared" si="103"/>
        <v>3.9130000000000003</v>
      </c>
      <c r="AB468" s="68">
        <f t="shared" si="104"/>
        <v>2.448</v>
      </c>
    </row>
    <row r="469" spans="2:28">
      <c r="B469" s="110">
        <f>'115+260'!B470</f>
        <v>45707</v>
      </c>
      <c r="C469" s="80">
        <f t="shared" si="96"/>
        <v>1</v>
      </c>
      <c r="D469" s="79">
        <f t="shared" si="97"/>
        <v>1069</v>
      </c>
      <c r="E469" s="78">
        <f>VLOOKUP(B469,'115+260'!B470:AB470,3,FALSE)</f>
        <v>2189</v>
      </c>
      <c r="F469" s="75">
        <f t="shared" si="92"/>
        <v>3258</v>
      </c>
      <c r="G469" s="77">
        <f>VLOOKUP(B469,'115+260'!$B$15:$AB$647,20,FALSE)</f>
        <v>3164</v>
      </c>
      <c r="H469" s="77">
        <f>VLOOKUP(B469,'115+260'!$B$15:$AB$647,4,FALSE)</f>
        <v>1084</v>
      </c>
      <c r="I469" s="74">
        <f t="shared" si="93"/>
        <v>2174</v>
      </c>
      <c r="J469" s="74">
        <f>VLOOKUP(B469,'115+260'!$B$15:$AB$647,13,FALSE)</f>
        <v>-826</v>
      </c>
      <c r="K469" s="72">
        <f>'115+260'!Q470</f>
        <v>2</v>
      </c>
      <c r="L469" s="71">
        <f t="shared" si="98"/>
        <v>626</v>
      </c>
      <c r="M469" s="76">
        <f>VLOOKUP(B469,'115+260'!$B$14:$AB$647,21,FALSE)</f>
        <v>3007</v>
      </c>
      <c r="N469" s="75">
        <f>VLOOKUP(B469,'115+260'!$B$15:$AB$647,5,FALSE)</f>
        <v>1261</v>
      </c>
      <c r="O469" s="74">
        <f t="shared" si="94"/>
        <v>1997</v>
      </c>
      <c r="P469" s="74">
        <f>VLOOKUP(B469,'115+260'!$B$15:$AB$647,14,FALSE)</f>
        <v>-1003</v>
      </c>
      <c r="Q469" s="72">
        <f>'115+260'!R470</f>
        <v>2</v>
      </c>
      <c r="R469" s="71">
        <f t="shared" si="99"/>
        <v>783</v>
      </c>
      <c r="S469" s="76">
        <f>VLOOKUP(B469,'115+260'!$B$14:$AB$647,22,FALSE)</f>
        <v>3128</v>
      </c>
      <c r="T469" s="75">
        <f>VLOOKUP(B469,'115+260'!$B$15:$AB$647,6,FALSE)</f>
        <v>1170</v>
      </c>
      <c r="U469" s="74">
        <f t="shared" si="95"/>
        <v>2088</v>
      </c>
      <c r="V469" s="73">
        <f>VLOOKUP(B469,'115+260'!$B$15:$AB$647,15,FALSE)</f>
        <v>-912</v>
      </c>
      <c r="W469" s="72">
        <f>'115+260'!S470</f>
        <v>7</v>
      </c>
      <c r="X469" s="71">
        <f t="shared" si="100"/>
        <v>662</v>
      </c>
      <c r="Y469" s="70">
        <f t="shared" si="101"/>
        <v>-7</v>
      </c>
      <c r="Z469" s="69">
        <f t="shared" si="102"/>
        <v>0</v>
      </c>
      <c r="AA469" s="68">
        <f t="shared" si="103"/>
        <v>3.9130000000000003</v>
      </c>
      <c r="AB469" s="68">
        <f t="shared" si="104"/>
        <v>2.444</v>
      </c>
    </row>
    <row r="470" spans="2:28">
      <c r="B470" s="110">
        <f>'115+260'!B471</f>
        <v>45708</v>
      </c>
      <c r="C470" s="80">
        <f t="shared" si="96"/>
        <v>1</v>
      </c>
      <c r="D470" s="79">
        <f t="shared" si="97"/>
        <v>1069</v>
      </c>
      <c r="E470" s="78">
        <f>VLOOKUP(B470,'115+260'!B471:AB471,3,FALSE)</f>
        <v>2191</v>
      </c>
      <c r="F470" s="75">
        <f t="shared" si="92"/>
        <v>3260</v>
      </c>
      <c r="G470" s="77">
        <f>VLOOKUP(B470,'115+260'!$B$15:$AB$647,20,FALSE)</f>
        <v>3161</v>
      </c>
      <c r="H470" s="77">
        <f>VLOOKUP(B470,'115+260'!$B$15:$AB$647,4,FALSE)</f>
        <v>1089</v>
      </c>
      <c r="I470" s="74">
        <f t="shared" si="93"/>
        <v>2171</v>
      </c>
      <c r="J470" s="74">
        <f>VLOOKUP(B470,'115+260'!$B$15:$AB$647,13,FALSE)</f>
        <v>-829</v>
      </c>
      <c r="K470" s="72">
        <f>'115+260'!Q471</f>
        <v>3</v>
      </c>
      <c r="L470" s="71">
        <f t="shared" si="98"/>
        <v>629</v>
      </c>
      <c r="M470" s="76">
        <f>VLOOKUP(B470,'115+260'!$B$14:$AB$647,21,FALSE)</f>
        <v>3006</v>
      </c>
      <c r="N470" s="75">
        <f>VLOOKUP(B470,'115+260'!$B$15:$AB$647,5,FALSE)</f>
        <v>1264</v>
      </c>
      <c r="O470" s="74">
        <f t="shared" si="94"/>
        <v>1996</v>
      </c>
      <c r="P470" s="74">
        <f>VLOOKUP(B470,'115+260'!$B$15:$AB$647,14,FALSE)</f>
        <v>-1004</v>
      </c>
      <c r="Q470" s="72">
        <f>'115+260'!R471</f>
        <v>1</v>
      </c>
      <c r="R470" s="71">
        <f t="shared" si="99"/>
        <v>784</v>
      </c>
      <c r="S470" s="76">
        <f>VLOOKUP(B470,'115+260'!$B$14:$AB$647,22,FALSE)</f>
        <v>3123</v>
      </c>
      <c r="T470" s="75">
        <f>VLOOKUP(B470,'115+260'!$B$15:$AB$647,6,FALSE)</f>
        <v>1177</v>
      </c>
      <c r="U470" s="74">
        <f t="shared" si="95"/>
        <v>2083</v>
      </c>
      <c r="V470" s="73">
        <f>VLOOKUP(B470,'115+260'!$B$15:$AB$647,15,FALSE)</f>
        <v>-917</v>
      </c>
      <c r="W470" s="72">
        <f>'115+260'!S471</f>
        <v>5</v>
      </c>
      <c r="X470" s="71">
        <f t="shared" si="100"/>
        <v>667</v>
      </c>
      <c r="Y470" s="70">
        <f t="shared" si="101"/>
        <v>-5</v>
      </c>
      <c r="Z470" s="69">
        <f t="shared" si="102"/>
        <v>0</v>
      </c>
      <c r="AA470" s="68">
        <f t="shared" si="103"/>
        <v>3.9130000000000003</v>
      </c>
      <c r="AB470" s="68">
        <f t="shared" si="104"/>
        <v>2.4420000000000002</v>
      </c>
    </row>
    <row r="471" spans="2:28">
      <c r="B471" s="110">
        <f>'115+260'!B472</f>
        <v>45709</v>
      </c>
      <c r="C471" s="80">
        <f t="shared" si="96"/>
        <v>1</v>
      </c>
      <c r="D471" s="79">
        <f t="shared" si="97"/>
        <v>1069</v>
      </c>
      <c r="E471" s="78">
        <f>VLOOKUP(B471,'115+260'!B472:AB472,3,FALSE)</f>
        <v>2193</v>
      </c>
      <c r="F471" s="75">
        <f t="shared" si="92"/>
        <v>3262</v>
      </c>
      <c r="G471" s="77">
        <f>VLOOKUP(B471,'115+260'!$B$15:$AB$647,20,FALSE)</f>
        <v>3159</v>
      </c>
      <c r="H471" s="77">
        <f>VLOOKUP(B471,'115+260'!$B$15:$AB$647,4,FALSE)</f>
        <v>1093</v>
      </c>
      <c r="I471" s="74">
        <f t="shared" si="93"/>
        <v>2169</v>
      </c>
      <c r="J471" s="74">
        <f>VLOOKUP(B471,'115+260'!$B$15:$AB$647,13,FALSE)</f>
        <v>-831</v>
      </c>
      <c r="K471" s="72">
        <f>'115+260'!Q472</f>
        <v>2</v>
      </c>
      <c r="L471" s="71">
        <f t="shared" si="98"/>
        <v>631</v>
      </c>
      <c r="M471" s="76">
        <f>VLOOKUP(B471,'115+260'!$B$14:$AB$647,21,FALSE)</f>
        <v>3004</v>
      </c>
      <c r="N471" s="75">
        <f>VLOOKUP(B471,'115+260'!$B$15:$AB$647,5,FALSE)</f>
        <v>1268</v>
      </c>
      <c r="O471" s="74">
        <f t="shared" si="94"/>
        <v>1994</v>
      </c>
      <c r="P471" s="74">
        <f>VLOOKUP(B471,'115+260'!$B$15:$AB$647,14,FALSE)</f>
        <v>-1006</v>
      </c>
      <c r="Q471" s="72">
        <f>'115+260'!R472</f>
        <v>2</v>
      </c>
      <c r="R471" s="71">
        <f t="shared" si="99"/>
        <v>786</v>
      </c>
      <c r="S471" s="76">
        <f>VLOOKUP(B471,'115+260'!$B$14:$AB$647,22,FALSE)</f>
        <v>3118</v>
      </c>
      <c r="T471" s="75">
        <f>VLOOKUP(B471,'115+260'!$B$15:$AB$647,6,FALSE)</f>
        <v>1184</v>
      </c>
      <c r="U471" s="74">
        <f t="shared" si="95"/>
        <v>2078</v>
      </c>
      <c r="V471" s="73">
        <f>VLOOKUP(B471,'115+260'!$B$15:$AB$647,15,FALSE)</f>
        <v>-922</v>
      </c>
      <c r="W471" s="72">
        <f>'115+260'!S472</f>
        <v>5</v>
      </c>
      <c r="X471" s="71">
        <f t="shared" si="100"/>
        <v>672</v>
      </c>
      <c r="Y471" s="70">
        <f t="shared" si="101"/>
        <v>-5</v>
      </c>
      <c r="Z471" s="69">
        <f t="shared" si="102"/>
        <v>0</v>
      </c>
      <c r="AA471" s="68">
        <f t="shared" si="103"/>
        <v>3.9130000000000003</v>
      </c>
      <c r="AB471" s="68">
        <f t="shared" si="104"/>
        <v>2.4380000000000002</v>
      </c>
    </row>
    <row r="472" spans="2:28">
      <c r="B472" s="110">
        <f>'115+260'!B473</f>
        <v>45710</v>
      </c>
      <c r="C472" s="80">
        <f t="shared" si="96"/>
        <v>1</v>
      </c>
      <c r="D472" s="79">
        <f t="shared" si="97"/>
        <v>1069</v>
      </c>
      <c r="E472" s="78">
        <f>VLOOKUP(B472,'115+260'!B473:AB473,3,FALSE)</f>
        <v>2195</v>
      </c>
      <c r="F472" s="75">
        <f t="shared" si="92"/>
        <v>3264</v>
      </c>
      <c r="G472" s="77">
        <f>VLOOKUP(B472,'115+260'!$B$15:$AB$647,20,FALSE)</f>
        <v>3156</v>
      </c>
      <c r="H472" s="77">
        <f>VLOOKUP(B472,'115+260'!$B$15:$AB$647,4,FALSE)</f>
        <v>1098</v>
      </c>
      <c r="I472" s="74">
        <f t="shared" si="93"/>
        <v>2166</v>
      </c>
      <c r="J472" s="74">
        <f>VLOOKUP(B472,'115+260'!$B$15:$AB$647,13,FALSE)</f>
        <v>-834</v>
      </c>
      <c r="K472" s="72">
        <f>'115+260'!Q473</f>
        <v>3</v>
      </c>
      <c r="L472" s="71">
        <f t="shared" si="98"/>
        <v>634</v>
      </c>
      <c r="M472" s="76">
        <f>VLOOKUP(B472,'115+260'!$B$14:$AB$647,21,FALSE)</f>
        <v>3002</v>
      </c>
      <c r="N472" s="75">
        <f>VLOOKUP(B472,'115+260'!$B$15:$AB$647,5,FALSE)</f>
        <v>1272</v>
      </c>
      <c r="O472" s="74">
        <f t="shared" si="94"/>
        <v>1992</v>
      </c>
      <c r="P472" s="74">
        <f>VLOOKUP(B472,'115+260'!$B$15:$AB$647,14,FALSE)</f>
        <v>-1008</v>
      </c>
      <c r="Q472" s="72">
        <f>'115+260'!R473</f>
        <v>2</v>
      </c>
      <c r="R472" s="71">
        <f t="shared" si="99"/>
        <v>788</v>
      </c>
      <c r="S472" s="76">
        <f>VLOOKUP(B472,'115+260'!$B$14:$AB$647,22,FALSE)</f>
        <v>3114</v>
      </c>
      <c r="T472" s="75">
        <f>VLOOKUP(B472,'115+260'!$B$15:$AB$647,6,FALSE)</f>
        <v>1190</v>
      </c>
      <c r="U472" s="74">
        <f t="shared" si="95"/>
        <v>2074</v>
      </c>
      <c r="V472" s="73">
        <f>VLOOKUP(B472,'115+260'!$B$15:$AB$647,15,FALSE)</f>
        <v>-926</v>
      </c>
      <c r="W472" s="72">
        <f>'115+260'!S473</f>
        <v>4</v>
      </c>
      <c r="X472" s="71">
        <f t="shared" si="100"/>
        <v>676</v>
      </c>
      <c r="Y472" s="70">
        <f t="shared" si="101"/>
        <v>-4</v>
      </c>
      <c r="Z472" s="69">
        <f t="shared" si="102"/>
        <v>0</v>
      </c>
      <c r="AA472" s="68">
        <f t="shared" si="103"/>
        <v>3.9130000000000003</v>
      </c>
      <c r="AB472" s="68">
        <f t="shared" si="104"/>
        <v>2.4340000000000002</v>
      </c>
    </row>
    <row r="473" spans="2:28">
      <c r="B473" s="110">
        <f>'115+260'!B474</f>
        <v>45711</v>
      </c>
      <c r="C473" s="80">
        <f t="shared" si="96"/>
        <v>1</v>
      </c>
      <c r="D473" s="79">
        <f t="shared" si="97"/>
        <v>1069</v>
      </c>
      <c r="E473" s="78">
        <f>VLOOKUP(B473,'115+260'!B474:AB474,3,FALSE)</f>
        <v>2197</v>
      </c>
      <c r="F473" s="75">
        <f t="shared" si="92"/>
        <v>3266</v>
      </c>
      <c r="G473" s="77">
        <f>VLOOKUP(B473,'115+260'!$B$15:$AB$647,20,FALSE)</f>
        <v>3154</v>
      </c>
      <c r="H473" s="77">
        <f>VLOOKUP(B473,'115+260'!$B$15:$AB$647,4,FALSE)</f>
        <v>1102</v>
      </c>
      <c r="I473" s="74">
        <f t="shared" si="93"/>
        <v>2164</v>
      </c>
      <c r="J473" s="74">
        <f>VLOOKUP(B473,'115+260'!$B$15:$AB$647,13,FALSE)</f>
        <v>-836</v>
      </c>
      <c r="K473" s="72">
        <f>'115+260'!Q474</f>
        <v>2</v>
      </c>
      <c r="L473" s="71">
        <f t="shared" si="98"/>
        <v>636</v>
      </c>
      <c r="M473" s="76">
        <f>VLOOKUP(B473,'115+260'!$B$14:$AB$647,21,FALSE)</f>
        <v>3000</v>
      </c>
      <c r="N473" s="75">
        <f>VLOOKUP(B473,'115+260'!$B$15:$AB$647,5,FALSE)</f>
        <v>1276</v>
      </c>
      <c r="O473" s="74">
        <f t="shared" si="94"/>
        <v>1990</v>
      </c>
      <c r="P473" s="74">
        <f>VLOOKUP(B473,'115+260'!$B$15:$AB$647,14,FALSE)</f>
        <v>-1010</v>
      </c>
      <c r="Q473" s="72">
        <f>'115+260'!R474</f>
        <v>2</v>
      </c>
      <c r="R473" s="71">
        <f t="shared" si="99"/>
        <v>790</v>
      </c>
      <c r="S473" s="76">
        <f>VLOOKUP(B473,'115+260'!$B$14:$AB$647,22,FALSE)</f>
        <v>3111</v>
      </c>
      <c r="T473" s="75">
        <f>VLOOKUP(B473,'115+260'!$B$15:$AB$647,6,FALSE)</f>
        <v>1195</v>
      </c>
      <c r="U473" s="74">
        <f t="shared" si="95"/>
        <v>2071</v>
      </c>
      <c r="V473" s="73">
        <f>VLOOKUP(B473,'115+260'!$B$15:$AB$647,15,FALSE)</f>
        <v>-929</v>
      </c>
      <c r="W473" s="72">
        <f>'115+260'!S474</f>
        <v>3</v>
      </c>
      <c r="X473" s="71">
        <f t="shared" si="100"/>
        <v>679</v>
      </c>
      <c r="Y473" s="70">
        <f t="shared" si="101"/>
        <v>-3</v>
      </c>
      <c r="Z473" s="69">
        <f t="shared" si="102"/>
        <v>0</v>
      </c>
      <c r="AA473" s="68">
        <f t="shared" si="103"/>
        <v>3.9130000000000003</v>
      </c>
      <c r="AB473" s="68">
        <f t="shared" si="104"/>
        <v>2.4300000000000002</v>
      </c>
    </row>
    <row r="474" spans="2:28">
      <c r="B474" s="110">
        <f>'115+260'!B475</f>
        <v>45712</v>
      </c>
      <c r="C474" s="80">
        <f t="shared" si="96"/>
        <v>1</v>
      </c>
      <c r="D474" s="79">
        <f t="shared" si="97"/>
        <v>1069</v>
      </c>
      <c r="E474" s="78">
        <f>VLOOKUP(B474,'115+260'!B475:AB475,3,FALSE)</f>
        <v>2199</v>
      </c>
      <c r="F474" s="75">
        <f t="shared" si="92"/>
        <v>3268</v>
      </c>
      <c r="G474" s="77">
        <f>VLOOKUP(B474,'115+260'!$B$15:$AB$647,20,FALSE)</f>
        <v>3153</v>
      </c>
      <c r="H474" s="77">
        <f>VLOOKUP(B474,'115+260'!$B$15:$AB$647,4,FALSE)</f>
        <v>1105</v>
      </c>
      <c r="I474" s="74">
        <f t="shared" si="93"/>
        <v>2163</v>
      </c>
      <c r="J474" s="74">
        <f>VLOOKUP(B474,'115+260'!$B$15:$AB$647,13,FALSE)</f>
        <v>-837</v>
      </c>
      <c r="K474" s="72">
        <f>'115+260'!Q475</f>
        <v>1</v>
      </c>
      <c r="L474" s="71">
        <f t="shared" si="98"/>
        <v>637</v>
      </c>
      <c r="M474" s="76">
        <f>VLOOKUP(B474,'115+260'!$B$14:$AB$647,21,FALSE)</f>
        <v>2998</v>
      </c>
      <c r="N474" s="75">
        <f>VLOOKUP(B474,'115+260'!$B$15:$AB$647,5,FALSE)</f>
        <v>1280</v>
      </c>
      <c r="O474" s="74">
        <f t="shared" si="94"/>
        <v>1988</v>
      </c>
      <c r="P474" s="74">
        <f>VLOOKUP(B474,'115+260'!$B$15:$AB$647,14,FALSE)</f>
        <v>-1012</v>
      </c>
      <c r="Q474" s="72">
        <f>'115+260'!R475</f>
        <v>2</v>
      </c>
      <c r="R474" s="71">
        <f t="shared" si="99"/>
        <v>792</v>
      </c>
      <c r="S474" s="76">
        <f>VLOOKUP(B474,'115+260'!$B$14:$AB$647,22,FALSE)</f>
        <v>3107</v>
      </c>
      <c r="T474" s="75">
        <f>VLOOKUP(B474,'115+260'!$B$15:$AB$647,6,FALSE)</f>
        <v>1201</v>
      </c>
      <c r="U474" s="74">
        <f t="shared" si="95"/>
        <v>2067</v>
      </c>
      <c r="V474" s="73">
        <f>VLOOKUP(B474,'115+260'!$B$15:$AB$647,15,FALSE)</f>
        <v>-933</v>
      </c>
      <c r="W474" s="72">
        <f>'115+260'!S475</f>
        <v>4</v>
      </c>
      <c r="X474" s="71">
        <f t="shared" si="100"/>
        <v>683</v>
      </c>
      <c r="Y474" s="70">
        <f t="shared" si="101"/>
        <v>-4</v>
      </c>
      <c r="Z474" s="69">
        <f t="shared" si="102"/>
        <v>0</v>
      </c>
      <c r="AA474" s="68">
        <f t="shared" si="103"/>
        <v>3.9130000000000003</v>
      </c>
      <c r="AB474" s="68">
        <f t="shared" si="104"/>
        <v>2.4260000000000002</v>
      </c>
    </row>
    <row r="475" spans="2:28">
      <c r="B475" s="110">
        <f>'115+260'!B476</f>
        <v>45713</v>
      </c>
      <c r="C475" s="80">
        <f t="shared" si="96"/>
        <v>1</v>
      </c>
      <c r="D475" s="79">
        <f t="shared" si="97"/>
        <v>1069</v>
      </c>
      <c r="E475" s="78">
        <f>VLOOKUP(B475,'115+260'!B476:AB476,3,FALSE)</f>
        <v>2201</v>
      </c>
      <c r="F475" s="75">
        <f t="shared" si="92"/>
        <v>3270</v>
      </c>
      <c r="G475" s="77">
        <f>VLOOKUP(B475,'115+260'!$B$15:$AB$647,20,FALSE)</f>
        <v>3151</v>
      </c>
      <c r="H475" s="77">
        <f>VLOOKUP(B475,'115+260'!$B$15:$AB$647,4,FALSE)</f>
        <v>1109</v>
      </c>
      <c r="I475" s="74">
        <f t="shared" si="93"/>
        <v>2161</v>
      </c>
      <c r="J475" s="74">
        <f>VLOOKUP(B475,'115+260'!$B$15:$AB$647,13,FALSE)</f>
        <v>-839</v>
      </c>
      <c r="K475" s="72">
        <f>'115+260'!Q476</f>
        <v>2</v>
      </c>
      <c r="L475" s="71">
        <f t="shared" si="98"/>
        <v>639</v>
      </c>
      <c r="M475" s="76">
        <f>VLOOKUP(B475,'115+260'!$B$14:$AB$647,21,FALSE)</f>
        <v>2995</v>
      </c>
      <c r="N475" s="75">
        <f>VLOOKUP(B475,'115+260'!$B$15:$AB$647,5,FALSE)</f>
        <v>1285</v>
      </c>
      <c r="O475" s="74">
        <f t="shared" si="94"/>
        <v>1985</v>
      </c>
      <c r="P475" s="74">
        <f>VLOOKUP(B475,'115+260'!$B$15:$AB$647,14,FALSE)</f>
        <v>-1015</v>
      </c>
      <c r="Q475" s="72">
        <f>'115+260'!R476</f>
        <v>3</v>
      </c>
      <c r="R475" s="71">
        <f t="shared" si="99"/>
        <v>795</v>
      </c>
      <c r="S475" s="76">
        <f>VLOOKUP(B475,'115+260'!$B$14:$AB$647,22,FALSE)</f>
        <v>3100</v>
      </c>
      <c r="T475" s="75">
        <f>VLOOKUP(B475,'115+260'!$B$15:$AB$647,6,FALSE)</f>
        <v>1210</v>
      </c>
      <c r="U475" s="74">
        <f t="shared" si="95"/>
        <v>2060</v>
      </c>
      <c r="V475" s="73">
        <f>VLOOKUP(B475,'115+260'!$B$15:$AB$647,15,FALSE)</f>
        <v>-940</v>
      </c>
      <c r="W475" s="72">
        <f>'115+260'!S476</f>
        <v>7</v>
      </c>
      <c r="X475" s="71">
        <f t="shared" si="100"/>
        <v>690</v>
      </c>
      <c r="Y475" s="70">
        <f t="shared" si="101"/>
        <v>-7</v>
      </c>
      <c r="Z475" s="69">
        <f t="shared" si="102"/>
        <v>0</v>
      </c>
      <c r="AA475" s="68">
        <f t="shared" si="103"/>
        <v>3.9130000000000003</v>
      </c>
      <c r="AB475" s="68">
        <f t="shared" si="104"/>
        <v>2.42</v>
      </c>
    </row>
    <row r="476" spans="2:28">
      <c r="B476" s="110">
        <f>'115+260'!B477</f>
        <v>45714</v>
      </c>
      <c r="C476" s="80">
        <f t="shared" si="96"/>
        <v>1</v>
      </c>
      <c r="D476" s="79">
        <f t="shared" si="97"/>
        <v>1069</v>
      </c>
      <c r="E476" s="78">
        <f>VLOOKUP(B476,'115+260'!B477:AB477,3,FALSE)</f>
        <v>2203</v>
      </c>
      <c r="F476" s="75">
        <f t="shared" si="92"/>
        <v>3272</v>
      </c>
      <c r="G476" s="77">
        <f>VLOOKUP(B476,'115+260'!$B$15:$AB$647,20,FALSE)</f>
        <v>3149</v>
      </c>
      <c r="H476" s="77">
        <f>VLOOKUP(B476,'115+260'!$B$15:$AB$647,4,FALSE)</f>
        <v>1113</v>
      </c>
      <c r="I476" s="74">
        <f t="shared" si="93"/>
        <v>2159</v>
      </c>
      <c r="J476" s="74">
        <f>VLOOKUP(B476,'115+260'!$B$15:$AB$647,13,FALSE)</f>
        <v>-841</v>
      </c>
      <c r="K476" s="72">
        <f>'115+260'!Q477</f>
        <v>2</v>
      </c>
      <c r="L476" s="71">
        <f t="shared" si="98"/>
        <v>641</v>
      </c>
      <c r="M476" s="76">
        <f>VLOOKUP(B476,'115+260'!$B$14:$AB$647,21,FALSE)</f>
        <v>2993</v>
      </c>
      <c r="N476" s="75">
        <f>VLOOKUP(B476,'115+260'!$B$15:$AB$647,5,FALSE)</f>
        <v>1289</v>
      </c>
      <c r="O476" s="74">
        <f t="shared" si="94"/>
        <v>1983</v>
      </c>
      <c r="P476" s="74">
        <f>VLOOKUP(B476,'115+260'!$B$15:$AB$647,14,FALSE)</f>
        <v>-1017</v>
      </c>
      <c r="Q476" s="72">
        <f>'115+260'!R477</f>
        <v>2</v>
      </c>
      <c r="R476" s="71">
        <f t="shared" si="99"/>
        <v>797</v>
      </c>
      <c r="S476" s="76">
        <f>VLOOKUP(B476,'115+260'!$B$14:$AB$647,22,FALSE)</f>
        <v>3095</v>
      </c>
      <c r="T476" s="75">
        <f>VLOOKUP(B476,'115+260'!$B$15:$AB$647,6,FALSE)</f>
        <v>1217</v>
      </c>
      <c r="U476" s="74">
        <f t="shared" si="95"/>
        <v>2055</v>
      </c>
      <c r="V476" s="73">
        <f>VLOOKUP(B476,'115+260'!$B$15:$AB$647,15,FALSE)</f>
        <v>-945</v>
      </c>
      <c r="W476" s="72">
        <f>'115+260'!S477</f>
        <v>5</v>
      </c>
      <c r="X476" s="71">
        <f t="shared" si="100"/>
        <v>695</v>
      </c>
      <c r="Y476" s="70">
        <f t="shared" si="101"/>
        <v>-5</v>
      </c>
      <c r="Z476" s="69">
        <f t="shared" si="102"/>
        <v>0</v>
      </c>
      <c r="AA476" s="68">
        <f t="shared" si="103"/>
        <v>3.9130000000000003</v>
      </c>
      <c r="AB476" s="68">
        <f t="shared" si="104"/>
        <v>2.4159999999999999</v>
      </c>
    </row>
    <row r="477" spans="2:28">
      <c r="B477" s="110">
        <f>'115+260'!B478</f>
        <v>45715</v>
      </c>
      <c r="C477" s="80">
        <f t="shared" si="96"/>
        <v>1</v>
      </c>
      <c r="D477" s="79">
        <f t="shared" si="97"/>
        <v>1069</v>
      </c>
      <c r="E477" s="78">
        <f>VLOOKUP(B477,'115+260'!B478:AB478,3,FALSE)</f>
        <v>2205</v>
      </c>
      <c r="F477" s="75">
        <f t="shared" si="92"/>
        <v>3274</v>
      </c>
      <c r="G477" s="77">
        <f>VLOOKUP(B477,'115+260'!$B$15:$AB$647,20,FALSE)</f>
        <v>3147</v>
      </c>
      <c r="H477" s="77">
        <f>VLOOKUP(B477,'115+260'!$B$15:$AB$647,4,FALSE)</f>
        <v>1117</v>
      </c>
      <c r="I477" s="74">
        <f t="shared" si="93"/>
        <v>2157</v>
      </c>
      <c r="J477" s="74">
        <f>VLOOKUP(B477,'115+260'!$B$15:$AB$647,13,FALSE)</f>
        <v>-843</v>
      </c>
      <c r="K477" s="72">
        <f>'115+260'!Q478</f>
        <v>2</v>
      </c>
      <c r="L477" s="71">
        <f t="shared" si="98"/>
        <v>643</v>
      </c>
      <c r="M477" s="76">
        <f>VLOOKUP(B477,'115+260'!$B$14:$AB$647,21,FALSE)</f>
        <v>2990</v>
      </c>
      <c r="N477" s="75">
        <f>VLOOKUP(B477,'115+260'!$B$15:$AB$647,5,FALSE)</f>
        <v>1294</v>
      </c>
      <c r="O477" s="74">
        <f t="shared" si="94"/>
        <v>1980</v>
      </c>
      <c r="P477" s="74">
        <f>VLOOKUP(B477,'115+260'!$B$15:$AB$647,14,FALSE)</f>
        <v>-1020</v>
      </c>
      <c r="Q477" s="72">
        <f>'115+260'!R478</f>
        <v>3</v>
      </c>
      <c r="R477" s="71">
        <f t="shared" si="99"/>
        <v>800</v>
      </c>
      <c r="S477" s="76">
        <f>VLOOKUP(B477,'115+260'!$B$14:$AB$647,22,FALSE)</f>
        <v>3090</v>
      </c>
      <c r="T477" s="75">
        <f>VLOOKUP(B477,'115+260'!$B$15:$AB$647,6,FALSE)</f>
        <v>1224</v>
      </c>
      <c r="U477" s="74">
        <f t="shared" si="95"/>
        <v>2050</v>
      </c>
      <c r="V477" s="73">
        <f>VLOOKUP(B477,'115+260'!$B$15:$AB$647,15,FALSE)</f>
        <v>-950</v>
      </c>
      <c r="W477" s="72">
        <f>'115+260'!S478</f>
        <v>5</v>
      </c>
      <c r="X477" s="71">
        <f t="shared" si="100"/>
        <v>700</v>
      </c>
      <c r="Y477" s="70">
        <f t="shared" si="101"/>
        <v>-5</v>
      </c>
      <c r="Z477" s="69">
        <f t="shared" si="102"/>
        <v>0</v>
      </c>
      <c r="AA477" s="68">
        <f t="shared" si="103"/>
        <v>3.9130000000000003</v>
      </c>
      <c r="AB477" s="68">
        <f t="shared" si="104"/>
        <v>2.41</v>
      </c>
    </row>
    <row r="478" spans="2:28">
      <c r="B478" s="110">
        <f>'115+260'!B479</f>
        <v>45716</v>
      </c>
      <c r="C478" s="80">
        <f t="shared" si="96"/>
        <v>1</v>
      </c>
      <c r="D478" s="79">
        <f t="shared" si="97"/>
        <v>1069</v>
      </c>
      <c r="E478" s="78">
        <f>VLOOKUP(B478,'115+260'!B479:AB479,3,FALSE)</f>
        <v>2207</v>
      </c>
      <c r="F478" s="75">
        <f t="shared" si="92"/>
        <v>3276</v>
      </c>
      <c r="G478" s="77">
        <f>VLOOKUP(B478,'115+260'!$B$15:$AB$647,20,FALSE)</f>
        <v>3145</v>
      </c>
      <c r="H478" s="77">
        <f>VLOOKUP(B478,'115+260'!$B$15:$AB$647,4,FALSE)</f>
        <v>1121</v>
      </c>
      <c r="I478" s="74">
        <f t="shared" si="93"/>
        <v>2155</v>
      </c>
      <c r="J478" s="74">
        <f>VLOOKUP(B478,'115+260'!$B$15:$AB$647,13,FALSE)</f>
        <v>-845</v>
      </c>
      <c r="K478" s="72">
        <f>'115+260'!Q479</f>
        <v>2</v>
      </c>
      <c r="L478" s="71">
        <f t="shared" si="98"/>
        <v>645</v>
      </c>
      <c r="M478" s="76">
        <f>VLOOKUP(B478,'115+260'!$B$14:$AB$647,21,FALSE)</f>
        <v>2988</v>
      </c>
      <c r="N478" s="75">
        <f>VLOOKUP(B478,'115+260'!$B$15:$AB$647,5,FALSE)</f>
        <v>1298</v>
      </c>
      <c r="O478" s="74">
        <f t="shared" si="94"/>
        <v>1978</v>
      </c>
      <c r="P478" s="74">
        <f>VLOOKUP(B478,'115+260'!$B$15:$AB$647,14,FALSE)</f>
        <v>-1022</v>
      </c>
      <c r="Q478" s="72">
        <f>'115+260'!R479</f>
        <v>2</v>
      </c>
      <c r="R478" s="71">
        <f t="shared" si="99"/>
        <v>802</v>
      </c>
      <c r="S478" s="76">
        <f>VLOOKUP(B478,'115+260'!$B$14:$AB$647,22,FALSE)</f>
        <v>3086</v>
      </c>
      <c r="T478" s="75">
        <f>VLOOKUP(B478,'115+260'!$B$15:$AB$647,6,FALSE)</f>
        <v>1230</v>
      </c>
      <c r="U478" s="74">
        <f t="shared" si="95"/>
        <v>2046</v>
      </c>
      <c r="V478" s="73">
        <f>VLOOKUP(B478,'115+260'!$B$15:$AB$647,15,FALSE)</f>
        <v>-954</v>
      </c>
      <c r="W478" s="72">
        <f>'115+260'!S479</f>
        <v>4</v>
      </c>
      <c r="X478" s="71">
        <f t="shared" si="100"/>
        <v>704</v>
      </c>
      <c r="Y478" s="70">
        <f t="shared" si="101"/>
        <v>-4</v>
      </c>
      <c r="Z478" s="69">
        <f t="shared" si="102"/>
        <v>0</v>
      </c>
      <c r="AA478" s="68">
        <f t="shared" si="103"/>
        <v>3.9130000000000003</v>
      </c>
      <c r="AB478" s="68">
        <f t="shared" si="104"/>
        <v>2.4060000000000001</v>
      </c>
    </row>
    <row r="479" spans="2:28">
      <c r="B479" s="110">
        <f>'115+260'!B480</f>
        <v>45717</v>
      </c>
      <c r="C479" s="80">
        <f t="shared" si="96"/>
        <v>1</v>
      </c>
      <c r="D479" s="79">
        <f t="shared" si="97"/>
        <v>1069</v>
      </c>
      <c r="E479" s="78">
        <f>VLOOKUP(B479,'115+260'!B480:AB480,3,FALSE)</f>
        <v>2209</v>
      </c>
      <c r="F479" s="75">
        <f t="shared" si="92"/>
        <v>3278</v>
      </c>
      <c r="G479" s="77">
        <f>VLOOKUP(B479,'115+260'!$B$15:$AB$647,20,FALSE)</f>
        <v>3142</v>
      </c>
      <c r="H479" s="77">
        <f>VLOOKUP(B479,'115+260'!$B$15:$AB$647,4,FALSE)</f>
        <v>1126</v>
      </c>
      <c r="I479" s="74">
        <f t="shared" si="93"/>
        <v>2152</v>
      </c>
      <c r="J479" s="74">
        <f>VLOOKUP(B479,'115+260'!$B$15:$AB$647,13,FALSE)</f>
        <v>-848</v>
      </c>
      <c r="K479" s="72">
        <f>'115+260'!Q480</f>
        <v>3</v>
      </c>
      <c r="L479" s="71">
        <f t="shared" si="98"/>
        <v>648</v>
      </c>
      <c r="M479" s="76">
        <f>VLOOKUP(B479,'115+260'!$B$14:$AB$647,21,FALSE)</f>
        <v>2987</v>
      </c>
      <c r="N479" s="75">
        <f>VLOOKUP(B479,'115+260'!$B$15:$AB$647,5,FALSE)</f>
        <v>1301</v>
      </c>
      <c r="O479" s="74">
        <f t="shared" si="94"/>
        <v>1977</v>
      </c>
      <c r="P479" s="74">
        <f>VLOOKUP(B479,'115+260'!$B$15:$AB$647,14,FALSE)</f>
        <v>-1023</v>
      </c>
      <c r="Q479" s="72">
        <f>'115+260'!R480</f>
        <v>1</v>
      </c>
      <c r="R479" s="71">
        <f t="shared" si="99"/>
        <v>803</v>
      </c>
      <c r="S479" s="76">
        <f>VLOOKUP(B479,'115+260'!$B$14:$AB$647,22,FALSE)</f>
        <v>3083</v>
      </c>
      <c r="T479" s="75">
        <f>VLOOKUP(B479,'115+260'!$B$15:$AB$647,6,FALSE)</f>
        <v>1235</v>
      </c>
      <c r="U479" s="74">
        <f t="shared" si="95"/>
        <v>2043</v>
      </c>
      <c r="V479" s="73">
        <f>VLOOKUP(B479,'115+260'!$B$15:$AB$647,15,FALSE)</f>
        <v>-957</v>
      </c>
      <c r="W479" s="72">
        <f>'115+260'!S480</f>
        <v>3</v>
      </c>
      <c r="X479" s="71">
        <f t="shared" si="100"/>
        <v>707</v>
      </c>
      <c r="Y479" s="70">
        <f t="shared" si="101"/>
        <v>-3</v>
      </c>
      <c r="Z479" s="69">
        <f t="shared" si="102"/>
        <v>0</v>
      </c>
      <c r="AA479" s="68">
        <f t="shared" si="103"/>
        <v>3.9130000000000003</v>
      </c>
      <c r="AB479" s="68">
        <f t="shared" si="104"/>
        <v>2.4039999999999999</v>
      </c>
    </row>
    <row r="480" spans="2:28">
      <c r="B480" s="110">
        <f>'115+260'!B481</f>
        <v>45718</v>
      </c>
      <c r="C480" s="80">
        <f t="shared" si="96"/>
        <v>1</v>
      </c>
      <c r="D480" s="79">
        <f t="shared" si="97"/>
        <v>1069</v>
      </c>
      <c r="E480" s="78">
        <f>VLOOKUP(B480,'115+260'!B481:AB481,3,FALSE)</f>
        <v>2211</v>
      </c>
      <c r="F480" s="75">
        <f t="shared" si="92"/>
        <v>3280</v>
      </c>
      <c r="G480" s="77">
        <f>VLOOKUP(B480,'115+260'!$B$15:$AB$647,20,FALSE)</f>
        <v>3140</v>
      </c>
      <c r="H480" s="77">
        <f>VLOOKUP(B480,'115+260'!$B$15:$AB$647,4,FALSE)</f>
        <v>1130</v>
      </c>
      <c r="I480" s="74">
        <f t="shared" si="93"/>
        <v>2150</v>
      </c>
      <c r="J480" s="74">
        <f>VLOOKUP(B480,'115+260'!$B$15:$AB$647,13,FALSE)</f>
        <v>-850</v>
      </c>
      <c r="K480" s="72">
        <f>'115+260'!Q481</f>
        <v>2</v>
      </c>
      <c r="L480" s="71">
        <f t="shared" si="98"/>
        <v>650</v>
      </c>
      <c r="M480" s="76">
        <f>VLOOKUP(B480,'115+260'!$B$14:$AB$647,21,FALSE)</f>
        <v>2985</v>
      </c>
      <c r="N480" s="75">
        <f>VLOOKUP(B480,'115+260'!$B$15:$AB$647,5,FALSE)</f>
        <v>1305</v>
      </c>
      <c r="O480" s="74">
        <f t="shared" si="94"/>
        <v>1975</v>
      </c>
      <c r="P480" s="74">
        <f>VLOOKUP(B480,'115+260'!$B$15:$AB$647,14,FALSE)</f>
        <v>-1025</v>
      </c>
      <c r="Q480" s="72">
        <f>'115+260'!R481</f>
        <v>2</v>
      </c>
      <c r="R480" s="71">
        <f t="shared" si="99"/>
        <v>805</v>
      </c>
      <c r="S480" s="76">
        <f>VLOOKUP(B480,'115+260'!$B$14:$AB$647,22,FALSE)</f>
        <v>3081</v>
      </c>
      <c r="T480" s="75">
        <f>VLOOKUP(B480,'115+260'!$B$15:$AB$647,6,FALSE)</f>
        <v>1239</v>
      </c>
      <c r="U480" s="74">
        <f t="shared" si="95"/>
        <v>2041</v>
      </c>
      <c r="V480" s="73">
        <f>VLOOKUP(B480,'115+260'!$B$15:$AB$647,15,FALSE)</f>
        <v>-959</v>
      </c>
      <c r="W480" s="72">
        <f>'115+260'!S481</f>
        <v>2</v>
      </c>
      <c r="X480" s="71">
        <f t="shared" si="100"/>
        <v>709</v>
      </c>
      <c r="Y480" s="70">
        <f t="shared" si="101"/>
        <v>-2</v>
      </c>
      <c r="Z480" s="69">
        <f t="shared" si="102"/>
        <v>0</v>
      </c>
      <c r="AA480" s="68">
        <f t="shared" si="103"/>
        <v>3.9130000000000003</v>
      </c>
      <c r="AB480" s="68">
        <f t="shared" si="104"/>
        <v>2.4</v>
      </c>
    </row>
    <row r="481" spans="2:28">
      <c r="B481" s="110">
        <f>'115+260'!B482</f>
        <v>45719</v>
      </c>
      <c r="C481" s="80">
        <f t="shared" si="96"/>
        <v>1</v>
      </c>
      <c r="D481" s="79">
        <f t="shared" si="97"/>
        <v>1069</v>
      </c>
      <c r="E481" s="78">
        <f>VLOOKUP(B481,'115+260'!B482:AB482,3,FALSE)</f>
        <v>2213</v>
      </c>
      <c r="F481" s="75">
        <f t="shared" si="92"/>
        <v>3282</v>
      </c>
      <c r="G481" s="77">
        <f>VLOOKUP(B481,'115+260'!$B$15:$AB$647,20,FALSE)</f>
        <v>3137</v>
      </c>
      <c r="H481" s="77">
        <f>VLOOKUP(B481,'115+260'!$B$15:$AB$647,4,FALSE)</f>
        <v>1135</v>
      </c>
      <c r="I481" s="74">
        <f t="shared" si="93"/>
        <v>2147</v>
      </c>
      <c r="J481" s="74">
        <f>VLOOKUP(B481,'115+260'!$B$15:$AB$647,13,FALSE)</f>
        <v>-853</v>
      </c>
      <c r="K481" s="72">
        <f>'115+260'!Q482</f>
        <v>3</v>
      </c>
      <c r="L481" s="71">
        <f t="shared" si="98"/>
        <v>653</v>
      </c>
      <c r="M481" s="76">
        <f>VLOOKUP(B481,'115+260'!$B$14:$AB$647,21,FALSE)</f>
        <v>2983</v>
      </c>
      <c r="N481" s="75">
        <f>VLOOKUP(B481,'115+260'!$B$15:$AB$647,5,FALSE)</f>
        <v>1309</v>
      </c>
      <c r="O481" s="74">
        <f t="shared" si="94"/>
        <v>1973</v>
      </c>
      <c r="P481" s="74">
        <f>VLOOKUP(B481,'115+260'!$B$15:$AB$647,14,FALSE)</f>
        <v>-1027</v>
      </c>
      <c r="Q481" s="72">
        <f>'115+260'!R482</f>
        <v>2</v>
      </c>
      <c r="R481" s="71">
        <f t="shared" si="99"/>
        <v>807</v>
      </c>
      <c r="S481" s="76">
        <f>VLOOKUP(B481,'115+260'!$B$14:$AB$647,22,FALSE)</f>
        <v>3077</v>
      </c>
      <c r="T481" s="75">
        <f>VLOOKUP(B481,'115+260'!$B$15:$AB$647,6,FALSE)</f>
        <v>1245</v>
      </c>
      <c r="U481" s="74">
        <f t="shared" si="95"/>
        <v>2037</v>
      </c>
      <c r="V481" s="73">
        <f>VLOOKUP(B481,'115+260'!$B$15:$AB$647,15,FALSE)</f>
        <v>-963</v>
      </c>
      <c r="W481" s="72">
        <f>'115+260'!S482</f>
        <v>4</v>
      </c>
      <c r="X481" s="71">
        <f t="shared" si="100"/>
        <v>713</v>
      </c>
      <c r="Y481" s="70">
        <f t="shared" si="101"/>
        <v>-4</v>
      </c>
      <c r="Z481" s="69">
        <f t="shared" si="102"/>
        <v>0</v>
      </c>
      <c r="AA481" s="68">
        <f t="shared" si="103"/>
        <v>3.9130000000000003</v>
      </c>
      <c r="AB481" s="68">
        <f t="shared" si="104"/>
        <v>2.3959999999999999</v>
      </c>
    </row>
    <row r="482" spans="2:28">
      <c r="B482" s="110">
        <f>'115+260'!B483</f>
        <v>45720</v>
      </c>
      <c r="C482" s="80">
        <f t="shared" si="96"/>
        <v>1</v>
      </c>
      <c r="D482" s="79">
        <f t="shared" si="97"/>
        <v>1069</v>
      </c>
      <c r="E482" s="78">
        <f>VLOOKUP(B482,'115+260'!B483:AB483,3,FALSE)</f>
        <v>2215</v>
      </c>
      <c r="F482" s="75">
        <f t="shared" si="92"/>
        <v>3284</v>
      </c>
      <c r="G482" s="77">
        <f>VLOOKUP(B482,'115+260'!$B$15:$AB$647,20,FALSE)</f>
        <v>3135</v>
      </c>
      <c r="H482" s="77">
        <f>VLOOKUP(B482,'115+260'!$B$15:$AB$647,4,FALSE)</f>
        <v>1139</v>
      </c>
      <c r="I482" s="74">
        <f t="shared" si="93"/>
        <v>2145</v>
      </c>
      <c r="J482" s="74">
        <f>VLOOKUP(B482,'115+260'!$B$15:$AB$647,13,FALSE)</f>
        <v>-855</v>
      </c>
      <c r="K482" s="72">
        <f>'115+260'!Q483</f>
        <v>2</v>
      </c>
      <c r="L482" s="71">
        <f t="shared" si="98"/>
        <v>655</v>
      </c>
      <c r="M482" s="76">
        <f>VLOOKUP(B482,'115+260'!$B$14:$AB$647,21,FALSE)</f>
        <v>2981</v>
      </c>
      <c r="N482" s="75">
        <f>VLOOKUP(B482,'115+260'!$B$15:$AB$647,5,FALSE)</f>
        <v>1313</v>
      </c>
      <c r="O482" s="74">
        <f t="shared" si="94"/>
        <v>1971</v>
      </c>
      <c r="P482" s="74">
        <f>VLOOKUP(B482,'115+260'!$B$15:$AB$647,14,FALSE)</f>
        <v>-1029</v>
      </c>
      <c r="Q482" s="72">
        <f>'115+260'!R483</f>
        <v>2</v>
      </c>
      <c r="R482" s="71">
        <f t="shared" si="99"/>
        <v>809</v>
      </c>
      <c r="S482" s="76">
        <f>VLOOKUP(B482,'115+260'!$B$14:$AB$647,22,FALSE)</f>
        <v>3074</v>
      </c>
      <c r="T482" s="75">
        <f>VLOOKUP(B482,'115+260'!$B$15:$AB$647,6,FALSE)</f>
        <v>1250</v>
      </c>
      <c r="U482" s="74">
        <f t="shared" si="95"/>
        <v>2034</v>
      </c>
      <c r="V482" s="73">
        <f>VLOOKUP(B482,'115+260'!$B$15:$AB$647,15,FALSE)</f>
        <v>-966</v>
      </c>
      <c r="W482" s="72">
        <f>'115+260'!S483</f>
        <v>3</v>
      </c>
      <c r="X482" s="71">
        <f t="shared" si="100"/>
        <v>716</v>
      </c>
      <c r="Y482" s="70">
        <f t="shared" si="101"/>
        <v>-3</v>
      </c>
      <c r="Z482" s="69">
        <f t="shared" si="102"/>
        <v>0</v>
      </c>
      <c r="AA482" s="68">
        <f t="shared" si="103"/>
        <v>3.9130000000000003</v>
      </c>
      <c r="AB482" s="68">
        <f t="shared" si="104"/>
        <v>2.3919999999999999</v>
      </c>
    </row>
    <row r="483" spans="2:28">
      <c r="B483" s="110">
        <f>'115+260'!B484</f>
        <v>45721</v>
      </c>
      <c r="C483" s="80">
        <f t="shared" si="96"/>
        <v>1</v>
      </c>
      <c r="D483" s="79">
        <f t="shared" si="97"/>
        <v>1069</v>
      </c>
      <c r="E483" s="78">
        <f>VLOOKUP(B483,'115+260'!B484:AB484,3,FALSE)</f>
        <v>2217</v>
      </c>
      <c r="F483" s="75">
        <f t="shared" si="92"/>
        <v>3286</v>
      </c>
      <c r="G483" s="77">
        <f>VLOOKUP(B483,'115+260'!$B$15:$AB$647,20,FALSE)</f>
        <v>3134</v>
      </c>
      <c r="H483" s="77">
        <f>VLOOKUP(B483,'115+260'!$B$15:$AB$647,4,FALSE)</f>
        <v>1142</v>
      </c>
      <c r="I483" s="74">
        <f t="shared" si="93"/>
        <v>2144</v>
      </c>
      <c r="J483" s="74">
        <f>VLOOKUP(B483,'115+260'!$B$15:$AB$647,13,FALSE)</f>
        <v>-856</v>
      </c>
      <c r="K483" s="72">
        <f>'115+260'!Q484</f>
        <v>1</v>
      </c>
      <c r="L483" s="71">
        <f t="shared" si="98"/>
        <v>656</v>
      </c>
      <c r="M483" s="76">
        <f>VLOOKUP(B483,'115+260'!$B$14:$AB$647,21,FALSE)</f>
        <v>2976</v>
      </c>
      <c r="N483" s="75">
        <f>VLOOKUP(B483,'115+260'!$B$15:$AB$647,5,FALSE)</f>
        <v>1320</v>
      </c>
      <c r="O483" s="74">
        <f t="shared" si="94"/>
        <v>1966</v>
      </c>
      <c r="P483" s="74">
        <f>VLOOKUP(B483,'115+260'!$B$15:$AB$647,14,FALSE)</f>
        <v>-1034</v>
      </c>
      <c r="Q483" s="72">
        <f>'115+260'!R484</f>
        <v>5</v>
      </c>
      <c r="R483" s="71">
        <f t="shared" si="99"/>
        <v>814</v>
      </c>
      <c r="S483" s="76">
        <f>VLOOKUP(B483,'115+260'!$B$14:$AB$647,22,FALSE)</f>
        <v>3067</v>
      </c>
      <c r="T483" s="75">
        <f>VLOOKUP(B483,'115+260'!$B$15:$AB$647,6,FALSE)</f>
        <v>1259</v>
      </c>
      <c r="U483" s="74">
        <f t="shared" si="95"/>
        <v>2027</v>
      </c>
      <c r="V483" s="73">
        <f>VLOOKUP(B483,'115+260'!$B$15:$AB$647,15,FALSE)</f>
        <v>-973</v>
      </c>
      <c r="W483" s="72">
        <f>'115+260'!S484</f>
        <v>7</v>
      </c>
      <c r="X483" s="71">
        <f t="shared" si="100"/>
        <v>723</v>
      </c>
      <c r="Y483" s="70">
        <f t="shared" si="101"/>
        <v>-7</v>
      </c>
      <c r="Z483" s="69">
        <f t="shared" si="102"/>
        <v>0</v>
      </c>
      <c r="AA483" s="68">
        <f t="shared" si="103"/>
        <v>3.9130000000000003</v>
      </c>
      <c r="AB483" s="68">
        <f t="shared" si="104"/>
        <v>2.3820000000000001</v>
      </c>
    </row>
    <row r="484" spans="2:28">
      <c r="B484" s="110">
        <f>'115+260'!B485</f>
        <v>45722</v>
      </c>
      <c r="C484" s="80">
        <f t="shared" si="96"/>
        <v>1</v>
      </c>
      <c r="D484" s="79">
        <f t="shared" si="97"/>
        <v>1069</v>
      </c>
      <c r="E484" s="78">
        <f>VLOOKUP(B484,'115+260'!B485:AB485,3,FALSE)</f>
        <v>2219</v>
      </c>
      <c r="F484" s="75">
        <f t="shared" si="92"/>
        <v>3288</v>
      </c>
      <c r="G484" s="77">
        <f>VLOOKUP(B484,'115+260'!$B$15:$AB$647,20,FALSE)</f>
        <v>3132</v>
      </c>
      <c r="H484" s="77">
        <f>VLOOKUP(B484,'115+260'!$B$15:$AB$647,4,FALSE)</f>
        <v>1146</v>
      </c>
      <c r="I484" s="74">
        <f t="shared" si="93"/>
        <v>2142</v>
      </c>
      <c r="J484" s="74">
        <f>VLOOKUP(B484,'115+260'!$B$15:$AB$647,13,FALSE)</f>
        <v>-858</v>
      </c>
      <c r="K484" s="72">
        <f>'115+260'!Q485</f>
        <v>2</v>
      </c>
      <c r="L484" s="71">
        <f t="shared" si="98"/>
        <v>658</v>
      </c>
      <c r="M484" s="76">
        <f>VLOOKUP(B484,'115+260'!$B$14:$AB$647,21,FALSE)</f>
        <v>2971</v>
      </c>
      <c r="N484" s="75">
        <f>VLOOKUP(B484,'115+260'!$B$15:$AB$647,5,FALSE)</f>
        <v>1327</v>
      </c>
      <c r="O484" s="74">
        <f t="shared" si="94"/>
        <v>1961</v>
      </c>
      <c r="P484" s="74">
        <f>VLOOKUP(B484,'115+260'!$B$15:$AB$647,14,FALSE)</f>
        <v>-1039</v>
      </c>
      <c r="Q484" s="72">
        <f>'115+260'!R485</f>
        <v>5</v>
      </c>
      <c r="R484" s="71">
        <f t="shared" si="99"/>
        <v>819</v>
      </c>
      <c r="S484" s="76">
        <f>VLOOKUP(B484,'115+260'!$B$14:$AB$647,22,FALSE)</f>
        <v>3062</v>
      </c>
      <c r="T484" s="75">
        <f>VLOOKUP(B484,'115+260'!$B$15:$AB$647,6,FALSE)</f>
        <v>1266</v>
      </c>
      <c r="U484" s="74">
        <f t="shared" si="95"/>
        <v>2022</v>
      </c>
      <c r="V484" s="73">
        <f>VLOOKUP(B484,'115+260'!$B$15:$AB$647,15,FALSE)</f>
        <v>-978</v>
      </c>
      <c r="W484" s="72">
        <f>'115+260'!S485</f>
        <v>5</v>
      </c>
      <c r="X484" s="71">
        <f t="shared" si="100"/>
        <v>728</v>
      </c>
      <c r="Y484" s="70">
        <f t="shared" si="101"/>
        <v>-5</v>
      </c>
      <c r="Z484" s="69">
        <f t="shared" si="102"/>
        <v>0</v>
      </c>
      <c r="AA484" s="68">
        <f t="shared" si="103"/>
        <v>3.9130000000000003</v>
      </c>
      <c r="AB484" s="68">
        <f t="shared" si="104"/>
        <v>2.3719999999999999</v>
      </c>
    </row>
    <row r="485" spans="2:28">
      <c r="B485" s="110">
        <f>'115+260'!B486</f>
        <v>45723</v>
      </c>
      <c r="C485" s="80">
        <f t="shared" si="96"/>
        <v>1</v>
      </c>
      <c r="D485" s="79">
        <f t="shared" si="97"/>
        <v>1069</v>
      </c>
      <c r="E485" s="78">
        <f>VLOOKUP(B485,'115+260'!B486:AB486,3,FALSE)</f>
        <v>2221</v>
      </c>
      <c r="F485" s="75">
        <f t="shared" si="92"/>
        <v>3290</v>
      </c>
      <c r="G485" s="77">
        <f>VLOOKUP(B485,'115+260'!$B$15:$AB$647,20,FALSE)</f>
        <v>3130</v>
      </c>
      <c r="H485" s="77">
        <f>VLOOKUP(B485,'115+260'!$B$15:$AB$647,4,FALSE)</f>
        <v>1150</v>
      </c>
      <c r="I485" s="74">
        <f t="shared" si="93"/>
        <v>2140</v>
      </c>
      <c r="J485" s="74">
        <f>VLOOKUP(B485,'115+260'!$B$15:$AB$647,13,FALSE)</f>
        <v>-860</v>
      </c>
      <c r="K485" s="72">
        <f>'115+260'!Q486</f>
        <v>2</v>
      </c>
      <c r="L485" s="71">
        <f t="shared" si="98"/>
        <v>660</v>
      </c>
      <c r="M485" s="76">
        <f>VLOOKUP(B485,'115+260'!$B$14:$AB$647,21,FALSE)</f>
        <v>2967</v>
      </c>
      <c r="N485" s="75">
        <f>VLOOKUP(B485,'115+260'!$B$15:$AB$647,5,FALSE)</f>
        <v>1333</v>
      </c>
      <c r="O485" s="74">
        <f t="shared" si="94"/>
        <v>1957</v>
      </c>
      <c r="P485" s="74">
        <f>VLOOKUP(B485,'115+260'!$B$15:$AB$647,14,FALSE)</f>
        <v>-1043</v>
      </c>
      <c r="Q485" s="72">
        <f>'115+260'!R486</f>
        <v>4</v>
      </c>
      <c r="R485" s="71">
        <f t="shared" si="99"/>
        <v>823</v>
      </c>
      <c r="S485" s="76">
        <f>VLOOKUP(B485,'115+260'!$B$14:$AB$647,22,FALSE)</f>
        <v>3057</v>
      </c>
      <c r="T485" s="75">
        <f>VLOOKUP(B485,'115+260'!$B$15:$AB$647,6,FALSE)</f>
        <v>1273</v>
      </c>
      <c r="U485" s="74">
        <f t="shared" si="95"/>
        <v>2017</v>
      </c>
      <c r="V485" s="73">
        <f>VLOOKUP(B485,'115+260'!$B$15:$AB$647,15,FALSE)</f>
        <v>-983</v>
      </c>
      <c r="W485" s="72">
        <f>'115+260'!S486</f>
        <v>5</v>
      </c>
      <c r="X485" s="71">
        <f t="shared" si="100"/>
        <v>733</v>
      </c>
      <c r="Y485" s="70">
        <f t="shared" si="101"/>
        <v>-5</v>
      </c>
      <c r="Z485" s="69">
        <f t="shared" si="102"/>
        <v>0</v>
      </c>
      <c r="AA485" s="68">
        <f t="shared" si="103"/>
        <v>3.9130000000000003</v>
      </c>
      <c r="AB485" s="68">
        <f t="shared" si="104"/>
        <v>2.3639999999999999</v>
      </c>
    </row>
    <row r="486" spans="2:28">
      <c r="B486" s="110">
        <f>'115+260'!B487</f>
        <v>45724</v>
      </c>
      <c r="C486" s="80">
        <f t="shared" si="96"/>
        <v>1</v>
      </c>
      <c r="D486" s="79">
        <f t="shared" si="97"/>
        <v>1069</v>
      </c>
      <c r="E486" s="78">
        <f>VLOOKUP(B486,'115+260'!B487:AB487,3,FALSE)</f>
        <v>2223</v>
      </c>
      <c r="F486" s="75">
        <f t="shared" si="92"/>
        <v>3292</v>
      </c>
      <c r="G486" s="77">
        <f>VLOOKUP(B486,'115+260'!$B$15:$AB$647,20,FALSE)</f>
        <v>3128</v>
      </c>
      <c r="H486" s="77">
        <f>VLOOKUP(B486,'115+260'!$B$15:$AB$647,4,FALSE)</f>
        <v>1154</v>
      </c>
      <c r="I486" s="74">
        <f t="shared" si="93"/>
        <v>2138</v>
      </c>
      <c r="J486" s="74">
        <f>VLOOKUP(B486,'115+260'!$B$15:$AB$647,13,FALSE)</f>
        <v>-862</v>
      </c>
      <c r="K486" s="72">
        <f>'115+260'!Q487</f>
        <v>2</v>
      </c>
      <c r="L486" s="71">
        <f t="shared" si="98"/>
        <v>662</v>
      </c>
      <c r="M486" s="76">
        <f>VLOOKUP(B486,'115+260'!$B$14:$AB$647,21,FALSE)</f>
        <v>2964</v>
      </c>
      <c r="N486" s="75">
        <f>VLOOKUP(B486,'115+260'!$B$15:$AB$647,5,FALSE)</f>
        <v>1338</v>
      </c>
      <c r="O486" s="74">
        <f t="shared" si="94"/>
        <v>1954</v>
      </c>
      <c r="P486" s="74">
        <f>VLOOKUP(B486,'115+260'!$B$15:$AB$647,14,FALSE)</f>
        <v>-1046</v>
      </c>
      <c r="Q486" s="72">
        <f>'115+260'!R487</f>
        <v>3</v>
      </c>
      <c r="R486" s="71">
        <f t="shared" si="99"/>
        <v>826</v>
      </c>
      <c r="S486" s="76">
        <f>VLOOKUP(B486,'115+260'!$B$14:$AB$647,22,FALSE)</f>
        <v>3053</v>
      </c>
      <c r="T486" s="75">
        <f>VLOOKUP(B486,'115+260'!$B$15:$AB$647,6,FALSE)</f>
        <v>1279</v>
      </c>
      <c r="U486" s="74">
        <f t="shared" si="95"/>
        <v>2013</v>
      </c>
      <c r="V486" s="73">
        <f>VLOOKUP(B486,'115+260'!$B$15:$AB$647,15,FALSE)</f>
        <v>-987</v>
      </c>
      <c r="W486" s="72">
        <f>'115+260'!S487</f>
        <v>4</v>
      </c>
      <c r="X486" s="71">
        <f t="shared" si="100"/>
        <v>737</v>
      </c>
      <c r="Y486" s="70">
        <f t="shared" si="101"/>
        <v>-4</v>
      </c>
      <c r="Z486" s="69">
        <f t="shared" si="102"/>
        <v>0</v>
      </c>
      <c r="AA486" s="68">
        <f t="shared" si="103"/>
        <v>3.9130000000000003</v>
      </c>
      <c r="AB486" s="68">
        <f t="shared" si="104"/>
        <v>2.3580000000000001</v>
      </c>
    </row>
    <row r="487" spans="2:28">
      <c r="B487" s="110">
        <f>'115+260'!B488</f>
        <v>45725</v>
      </c>
      <c r="C487" s="80">
        <f t="shared" si="96"/>
        <v>1</v>
      </c>
      <c r="D487" s="79">
        <f t="shared" si="97"/>
        <v>1069</v>
      </c>
      <c r="E487" s="78">
        <f>VLOOKUP(B487,'115+260'!B488:AB488,3,FALSE)</f>
        <v>2225</v>
      </c>
      <c r="F487" s="75">
        <f t="shared" si="92"/>
        <v>3294</v>
      </c>
      <c r="G487" s="77">
        <f>VLOOKUP(B487,'115+260'!$B$15:$AB$647,20,FALSE)</f>
        <v>3125</v>
      </c>
      <c r="H487" s="77">
        <f>VLOOKUP(B487,'115+260'!$B$15:$AB$647,4,FALSE)</f>
        <v>1159</v>
      </c>
      <c r="I487" s="74">
        <f t="shared" si="93"/>
        <v>2135</v>
      </c>
      <c r="J487" s="74">
        <f>VLOOKUP(B487,'115+260'!$B$15:$AB$647,13,FALSE)</f>
        <v>-865</v>
      </c>
      <c r="K487" s="72">
        <f>'115+260'!Q488</f>
        <v>3</v>
      </c>
      <c r="L487" s="71">
        <f t="shared" si="98"/>
        <v>665</v>
      </c>
      <c r="M487" s="76">
        <f>VLOOKUP(B487,'115+260'!$B$14:$AB$647,21,FALSE)</f>
        <v>2962</v>
      </c>
      <c r="N487" s="75">
        <f>VLOOKUP(B487,'115+260'!$B$15:$AB$647,5,FALSE)</f>
        <v>1342</v>
      </c>
      <c r="O487" s="74">
        <f t="shared" si="94"/>
        <v>1952</v>
      </c>
      <c r="P487" s="74">
        <f>VLOOKUP(B487,'115+260'!$B$15:$AB$647,14,FALSE)</f>
        <v>-1048</v>
      </c>
      <c r="Q487" s="72">
        <f>'115+260'!R488</f>
        <v>2</v>
      </c>
      <c r="R487" s="71">
        <f t="shared" si="99"/>
        <v>828</v>
      </c>
      <c r="S487" s="76">
        <f>VLOOKUP(B487,'115+260'!$B$14:$AB$647,22,FALSE)</f>
        <v>3050</v>
      </c>
      <c r="T487" s="75">
        <f>VLOOKUP(B487,'115+260'!$B$15:$AB$647,6,FALSE)</f>
        <v>1284</v>
      </c>
      <c r="U487" s="74">
        <f t="shared" si="95"/>
        <v>2010</v>
      </c>
      <c r="V487" s="73">
        <f>VLOOKUP(B487,'115+260'!$B$15:$AB$647,15,FALSE)</f>
        <v>-990</v>
      </c>
      <c r="W487" s="72">
        <f>'115+260'!S488</f>
        <v>3</v>
      </c>
      <c r="X487" s="71">
        <f t="shared" si="100"/>
        <v>740</v>
      </c>
      <c r="Y487" s="70">
        <f t="shared" si="101"/>
        <v>-3</v>
      </c>
      <c r="Z487" s="69">
        <f t="shared" si="102"/>
        <v>0</v>
      </c>
      <c r="AA487" s="68">
        <f t="shared" si="103"/>
        <v>3.9130000000000003</v>
      </c>
      <c r="AB487" s="68">
        <f t="shared" si="104"/>
        <v>2.3540000000000001</v>
      </c>
    </row>
    <row r="488" spans="2:28">
      <c r="B488" s="110">
        <f>'115+260'!B489</f>
        <v>45726</v>
      </c>
      <c r="C488" s="80">
        <f t="shared" si="96"/>
        <v>1</v>
      </c>
      <c r="D488" s="79">
        <f t="shared" si="97"/>
        <v>1069</v>
      </c>
      <c r="E488" s="78">
        <f>VLOOKUP(B488,'115+260'!B489:AB489,3,FALSE)</f>
        <v>2227</v>
      </c>
      <c r="F488" s="75">
        <f t="shared" si="92"/>
        <v>3296</v>
      </c>
      <c r="G488" s="77">
        <f>VLOOKUP(B488,'115+260'!$B$15:$AB$647,20,FALSE)</f>
        <v>3123</v>
      </c>
      <c r="H488" s="77">
        <f>VLOOKUP(B488,'115+260'!$B$15:$AB$647,4,FALSE)</f>
        <v>1163</v>
      </c>
      <c r="I488" s="74">
        <f t="shared" si="93"/>
        <v>2133</v>
      </c>
      <c r="J488" s="74">
        <f>VLOOKUP(B488,'115+260'!$B$15:$AB$647,13,FALSE)</f>
        <v>-867</v>
      </c>
      <c r="K488" s="72">
        <f>'115+260'!Q489</f>
        <v>2</v>
      </c>
      <c r="L488" s="71">
        <f t="shared" si="98"/>
        <v>667</v>
      </c>
      <c r="M488" s="76">
        <f>VLOOKUP(B488,'115+260'!$B$14:$AB$647,21,FALSE)</f>
        <v>2958</v>
      </c>
      <c r="N488" s="75">
        <f>VLOOKUP(B488,'115+260'!$B$15:$AB$647,5,FALSE)</f>
        <v>1348</v>
      </c>
      <c r="O488" s="74">
        <f t="shared" si="94"/>
        <v>1948</v>
      </c>
      <c r="P488" s="74">
        <f>VLOOKUP(B488,'115+260'!$B$15:$AB$647,14,FALSE)</f>
        <v>-1052</v>
      </c>
      <c r="Q488" s="72">
        <f>'115+260'!R489</f>
        <v>4</v>
      </c>
      <c r="R488" s="71">
        <f t="shared" si="99"/>
        <v>832</v>
      </c>
      <c r="S488" s="76">
        <f>VLOOKUP(B488,'115+260'!$B$14:$AB$647,22,FALSE)</f>
        <v>3046</v>
      </c>
      <c r="T488" s="75">
        <f>VLOOKUP(B488,'115+260'!$B$15:$AB$647,6,FALSE)</f>
        <v>1290</v>
      </c>
      <c r="U488" s="74">
        <f t="shared" si="95"/>
        <v>2006</v>
      </c>
      <c r="V488" s="73">
        <f>VLOOKUP(B488,'115+260'!$B$15:$AB$647,15,FALSE)</f>
        <v>-994</v>
      </c>
      <c r="W488" s="72">
        <f>'115+260'!S489</f>
        <v>4</v>
      </c>
      <c r="X488" s="71">
        <f t="shared" si="100"/>
        <v>744</v>
      </c>
      <c r="Y488" s="70">
        <f t="shared" si="101"/>
        <v>-4</v>
      </c>
      <c r="Z488" s="69">
        <f t="shared" si="102"/>
        <v>0</v>
      </c>
      <c r="AA488" s="68">
        <f t="shared" si="103"/>
        <v>3.9130000000000003</v>
      </c>
      <c r="AB488" s="68">
        <f t="shared" si="104"/>
        <v>2.3460000000000001</v>
      </c>
    </row>
    <row r="489" spans="2:28">
      <c r="B489" s="110">
        <f>'115+260'!B490</f>
        <v>45727</v>
      </c>
      <c r="C489" s="80">
        <f t="shared" si="96"/>
        <v>1</v>
      </c>
      <c r="D489" s="79">
        <f t="shared" si="97"/>
        <v>1069</v>
      </c>
      <c r="E489" s="78">
        <f>VLOOKUP(B489,'115+260'!B490:AB490,3,FALSE)</f>
        <v>2229</v>
      </c>
      <c r="F489" s="75">
        <f t="shared" si="92"/>
        <v>3298</v>
      </c>
      <c r="G489" s="77">
        <f>VLOOKUP(B489,'115+260'!$B$15:$AB$647,20,FALSE)</f>
        <v>3120</v>
      </c>
      <c r="H489" s="77">
        <f>VLOOKUP(B489,'115+260'!$B$15:$AB$647,4,FALSE)</f>
        <v>1168</v>
      </c>
      <c r="I489" s="74">
        <f t="shared" si="93"/>
        <v>2130</v>
      </c>
      <c r="J489" s="74">
        <f>VLOOKUP(B489,'115+260'!$B$15:$AB$647,13,FALSE)</f>
        <v>-870</v>
      </c>
      <c r="K489" s="72">
        <f>'115+260'!Q490</f>
        <v>3</v>
      </c>
      <c r="L489" s="71">
        <f t="shared" si="98"/>
        <v>670</v>
      </c>
      <c r="M489" s="76">
        <f>VLOOKUP(B489,'115+260'!$B$14:$AB$647,21,FALSE)</f>
        <v>2955</v>
      </c>
      <c r="N489" s="75">
        <f>VLOOKUP(B489,'115+260'!$B$15:$AB$647,5,FALSE)</f>
        <v>1353</v>
      </c>
      <c r="O489" s="74">
        <f t="shared" si="94"/>
        <v>1945</v>
      </c>
      <c r="P489" s="74">
        <f>VLOOKUP(B489,'115+260'!$B$15:$AB$647,14,FALSE)</f>
        <v>-1055</v>
      </c>
      <c r="Q489" s="72">
        <f>'115+260'!R490</f>
        <v>3</v>
      </c>
      <c r="R489" s="71">
        <f t="shared" si="99"/>
        <v>835</v>
      </c>
      <c r="S489" s="76">
        <f>VLOOKUP(B489,'115+260'!$B$14:$AB$647,22,FALSE)</f>
        <v>3039</v>
      </c>
      <c r="T489" s="75">
        <f>VLOOKUP(B489,'115+260'!$B$15:$AB$647,6,FALSE)</f>
        <v>1299</v>
      </c>
      <c r="U489" s="74">
        <f t="shared" si="95"/>
        <v>1999</v>
      </c>
      <c r="V489" s="73">
        <f>VLOOKUP(B489,'115+260'!$B$15:$AB$647,15,FALSE)</f>
        <v>-1001</v>
      </c>
      <c r="W489" s="72">
        <f>'115+260'!S490</f>
        <v>7</v>
      </c>
      <c r="X489" s="71">
        <f t="shared" si="100"/>
        <v>751</v>
      </c>
      <c r="Y489" s="70">
        <f t="shared" si="101"/>
        <v>-7</v>
      </c>
      <c r="Z489" s="69">
        <f t="shared" si="102"/>
        <v>0</v>
      </c>
      <c r="AA489" s="68">
        <f t="shared" si="103"/>
        <v>3.9130000000000003</v>
      </c>
      <c r="AB489" s="68">
        <f t="shared" si="104"/>
        <v>2.34</v>
      </c>
    </row>
    <row r="490" spans="2:28">
      <c r="B490" s="110">
        <f>'115+260'!B491</f>
        <v>45728</v>
      </c>
      <c r="C490" s="80">
        <f t="shared" si="96"/>
        <v>1</v>
      </c>
      <c r="D490" s="79">
        <f t="shared" si="97"/>
        <v>1069</v>
      </c>
      <c r="E490" s="78">
        <f>VLOOKUP(B490,'115+260'!B491:AB491,3,FALSE)</f>
        <v>2231</v>
      </c>
      <c r="F490" s="75">
        <f t="shared" si="92"/>
        <v>3300</v>
      </c>
      <c r="G490" s="77">
        <f>VLOOKUP(B490,'115+260'!$B$15:$AB$647,20,FALSE)</f>
        <v>3118</v>
      </c>
      <c r="H490" s="77">
        <f>VLOOKUP(B490,'115+260'!$B$15:$AB$647,4,FALSE)</f>
        <v>1172</v>
      </c>
      <c r="I490" s="74">
        <f t="shared" si="93"/>
        <v>2128</v>
      </c>
      <c r="J490" s="74">
        <f>VLOOKUP(B490,'115+260'!$B$15:$AB$647,13,FALSE)</f>
        <v>-872</v>
      </c>
      <c r="K490" s="72">
        <f>'115+260'!Q491</f>
        <v>2</v>
      </c>
      <c r="L490" s="71">
        <f t="shared" si="98"/>
        <v>672</v>
      </c>
      <c r="M490" s="76">
        <f>VLOOKUP(B490,'115+260'!$B$14:$AB$647,21,FALSE)</f>
        <v>2948</v>
      </c>
      <c r="N490" s="75">
        <f>VLOOKUP(B490,'115+260'!$B$15:$AB$647,5,FALSE)</f>
        <v>1362</v>
      </c>
      <c r="O490" s="74">
        <f t="shared" si="94"/>
        <v>1938</v>
      </c>
      <c r="P490" s="74">
        <f>VLOOKUP(B490,'115+260'!$B$15:$AB$647,14,FALSE)</f>
        <v>-1062</v>
      </c>
      <c r="Q490" s="72">
        <f>'115+260'!R491</f>
        <v>7</v>
      </c>
      <c r="R490" s="71">
        <f t="shared" si="99"/>
        <v>842</v>
      </c>
      <c r="S490" s="76">
        <f>VLOOKUP(B490,'115+260'!$B$14:$AB$647,22,FALSE)</f>
        <v>3034</v>
      </c>
      <c r="T490" s="75">
        <f>VLOOKUP(B490,'115+260'!$B$15:$AB$647,6,FALSE)</f>
        <v>1306</v>
      </c>
      <c r="U490" s="74">
        <f t="shared" si="95"/>
        <v>1994</v>
      </c>
      <c r="V490" s="73">
        <f>VLOOKUP(B490,'115+260'!$B$15:$AB$647,15,FALSE)</f>
        <v>-1006</v>
      </c>
      <c r="W490" s="72">
        <f>'115+260'!S491</f>
        <v>5</v>
      </c>
      <c r="X490" s="71">
        <f t="shared" si="100"/>
        <v>756</v>
      </c>
      <c r="Y490" s="70">
        <f t="shared" si="101"/>
        <v>-5</v>
      </c>
      <c r="Z490" s="69">
        <f t="shared" si="102"/>
        <v>0</v>
      </c>
      <c r="AA490" s="68">
        <f t="shared" si="103"/>
        <v>3.9130000000000003</v>
      </c>
      <c r="AB490" s="68">
        <f t="shared" si="104"/>
        <v>2.3260000000000001</v>
      </c>
    </row>
    <row r="491" spans="2:28">
      <c r="B491" s="110">
        <f>'115+260'!B492</f>
        <v>45729</v>
      </c>
      <c r="C491" s="80">
        <f t="shared" si="96"/>
        <v>1</v>
      </c>
      <c r="D491" s="79">
        <f t="shared" si="97"/>
        <v>1069</v>
      </c>
      <c r="E491" s="78">
        <f>VLOOKUP(B491,'115+260'!B492:AB492,3,FALSE)</f>
        <v>2233</v>
      </c>
      <c r="F491" s="75">
        <f t="shared" si="92"/>
        <v>3302</v>
      </c>
      <c r="G491" s="77">
        <f>VLOOKUP(B491,'115+260'!$B$15:$AB$647,20,FALSE)</f>
        <v>3116</v>
      </c>
      <c r="H491" s="77">
        <f>VLOOKUP(B491,'115+260'!$B$15:$AB$647,4,FALSE)</f>
        <v>1176</v>
      </c>
      <c r="I491" s="74">
        <f t="shared" si="93"/>
        <v>2126</v>
      </c>
      <c r="J491" s="74">
        <f>VLOOKUP(B491,'115+260'!$B$15:$AB$647,13,FALSE)</f>
        <v>-874</v>
      </c>
      <c r="K491" s="72">
        <f>'115+260'!Q492</f>
        <v>2</v>
      </c>
      <c r="L491" s="71">
        <f t="shared" si="98"/>
        <v>674</v>
      </c>
      <c r="M491" s="76">
        <f>VLOOKUP(B491,'115+260'!$B$14:$AB$647,21,FALSE)</f>
        <v>2943</v>
      </c>
      <c r="N491" s="75">
        <f>VLOOKUP(B491,'115+260'!$B$15:$AB$647,5,FALSE)</f>
        <v>1369</v>
      </c>
      <c r="O491" s="74">
        <f t="shared" si="94"/>
        <v>1933</v>
      </c>
      <c r="P491" s="74">
        <f>VLOOKUP(B491,'115+260'!$B$15:$AB$647,14,FALSE)</f>
        <v>-1067</v>
      </c>
      <c r="Q491" s="72">
        <f>'115+260'!R492</f>
        <v>5</v>
      </c>
      <c r="R491" s="71">
        <f t="shared" si="99"/>
        <v>847</v>
      </c>
      <c r="S491" s="76">
        <f>VLOOKUP(B491,'115+260'!$B$14:$AB$647,22,FALSE)</f>
        <v>3029</v>
      </c>
      <c r="T491" s="75">
        <f>VLOOKUP(B491,'115+260'!$B$15:$AB$647,6,FALSE)</f>
        <v>1313</v>
      </c>
      <c r="U491" s="74">
        <f t="shared" si="95"/>
        <v>1989</v>
      </c>
      <c r="V491" s="73">
        <f>VLOOKUP(B491,'115+260'!$B$15:$AB$647,15,FALSE)</f>
        <v>-1011</v>
      </c>
      <c r="W491" s="72">
        <f>'115+260'!S492</f>
        <v>5</v>
      </c>
      <c r="X491" s="71">
        <f t="shared" si="100"/>
        <v>761</v>
      </c>
      <c r="Y491" s="70">
        <f t="shared" si="101"/>
        <v>-5</v>
      </c>
      <c r="Z491" s="69">
        <f t="shared" si="102"/>
        <v>0</v>
      </c>
      <c r="AA491" s="68">
        <f t="shared" si="103"/>
        <v>3.9130000000000003</v>
      </c>
      <c r="AB491" s="68">
        <f t="shared" si="104"/>
        <v>2.3159999999999998</v>
      </c>
    </row>
    <row r="492" spans="2:28">
      <c r="B492" s="110">
        <f>'115+260'!B493</f>
        <v>45730</v>
      </c>
      <c r="C492" s="80">
        <f t="shared" si="96"/>
        <v>1</v>
      </c>
      <c r="D492" s="79">
        <f t="shared" si="97"/>
        <v>1069</v>
      </c>
      <c r="E492" s="78">
        <f>VLOOKUP(B492,'115+260'!B493:AB493,3,FALSE)</f>
        <v>2235</v>
      </c>
      <c r="F492" s="75">
        <f t="shared" si="92"/>
        <v>3304</v>
      </c>
      <c r="G492" s="77">
        <f>VLOOKUP(B492,'115+260'!$B$15:$AB$647,20,FALSE)</f>
        <v>3114</v>
      </c>
      <c r="H492" s="77">
        <f>VLOOKUP(B492,'115+260'!$B$15:$AB$647,4,FALSE)</f>
        <v>1180</v>
      </c>
      <c r="I492" s="74">
        <f t="shared" si="93"/>
        <v>2124</v>
      </c>
      <c r="J492" s="74">
        <f>VLOOKUP(B492,'115+260'!$B$15:$AB$647,13,FALSE)</f>
        <v>-876</v>
      </c>
      <c r="K492" s="72">
        <f>'115+260'!Q493</f>
        <v>2</v>
      </c>
      <c r="L492" s="71">
        <f t="shared" si="98"/>
        <v>676</v>
      </c>
      <c r="M492" s="76">
        <f>VLOOKUP(B492,'115+260'!$B$14:$AB$647,21,FALSE)</f>
        <v>2935</v>
      </c>
      <c r="N492" s="75">
        <f>VLOOKUP(B492,'115+260'!$B$15:$AB$647,5,FALSE)</f>
        <v>1379</v>
      </c>
      <c r="O492" s="74">
        <f t="shared" si="94"/>
        <v>1925</v>
      </c>
      <c r="P492" s="74">
        <f>VLOOKUP(B492,'115+260'!$B$15:$AB$647,14,FALSE)</f>
        <v>-1075</v>
      </c>
      <c r="Q492" s="72">
        <f>'115+260'!R493</f>
        <v>8</v>
      </c>
      <c r="R492" s="71">
        <f t="shared" si="99"/>
        <v>855</v>
      </c>
      <c r="S492" s="76">
        <f>VLOOKUP(B492,'115+260'!$B$14:$AB$647,22,FALSE)</f>
        <v>3026</v>
      </c>
      <c r="T492" s="75">
        <f>VLOOKUP(B492,'115+260'!$B$15:$AB$647,6,FALSE)</f>
        <v>1318</v>
      </c>
      <c r="U492" s="74">
        <f t="shared" si="95"/>
        <v>1986</v>
      </c>
      <c r="V492" s="73">
        <f>VLOOKUP(B492,'115+260'!$B$15:$AB$647,15,FALSE)</f>
        <v>-1014</v>
      </c>
      <c r="W492" s="72">
        <f>'115+260'!S493</f>
        <v>3</v>
      </c>
      <c r="X492" s="71">
        <f t="shared" si="100"/>
        <v>764</v>
      </c>
      <c r="Y492" s="70">
        <f t="shared" si="101"/>
        <v>-3</v>
      </c>
      <c r="Z492" s="69">
        <f t="shared" si="102"/>
        <v>0</v>
      </c>
      <c r="AA492" s="68">
        <f t="shared" si="103"/>
        <v>3.9130000000000003</v>
      </c>
      <c r="AB492" s="68">
        <f t="shared" si="104"/>
        <v>2.2999999999999998</v>
      </c>
    </row>
    <row r="493" spans="2:28">
      <c r="B493" s="110">
        <f>'115+260'!B494</f>
        <v>45731</v>
      </c>
      <c r="C493" s="80">
        <f t="shared" si="96"/>
        <v>1</v>
      </c>
      <c r="D493" s="79">
        <f t="shared" si="97"/>
        <v>1069</v>
      </c>
      <c r="E493" s="78">
        <f>VLOOKUP(B493,'115+260'!B494:AB494,3,FALSE)</f>
        <v>2237</v>
      </c>
      <c r="F493" s="75">
        <f t="shared" si="92"/>
        <v>3306</v>
      </c>
      <c r="G493" s="77">
        <f>VLOOKUP(B493,'115+260'!$B$15:$AB$647,20,FALSE)</f>
        <v>3112</v>
      </c>
      <c r="H493" s="77">
        <f>VLOOKUP(B493,'115+260'!$B$15:$AB$647,4,FALSE)</f>
        <v>1184</v>
      </c>
      <c r="I493" s="74">
        <f t="shared" si="93"/>
        <v>2122</v>
      </c>
      <c r="J493" s="74">
        <f>VLOOKUP(B493,'115+260'!$B$15:$AB$647,13,FALSE)</f>
        <v>-878</v>
      </c>
      <c r="K493" s="72">
        <f>'115+260'!Q494</f>
        <v>2</v>
      </c>
      <c r="L493" s="71">
        <f t="shared" si="98"/>
        <v>678</v>
      </c>
      <c r="M493" s="76">
        <f>VLOOKUP(B493,'115+260'!$B$14:$AB$647,21,FALSE)</f>
        <v>2926</v>
      </c>
      <c r="N493" s="75">
        <f>VLOOKUP(B493,'115+260'!$B$15:$AB$647,5,FALSE)</f>
        <v>1390</v>
      </c>
      <c r="O493" s="74">
        <f t="shared" si="94"/>
        <v>1916</v>
      </c>
      <c r="P493" s="74">
        <f>VLOOKUP(B493,'115+260'!$B$15:$AB$647,14,FALSE)</f>
        <v>-1084</v>
      </c>
      <c r="Q493" s="72">
        <f>'115+260'!R494</f>
        <v>9</v>
      </c>
      <c r="R493" s="71">
        <f t="shared" si="99"/>
        <v>864</v>
      </c>
      <c r="S493" s="76">
        <f>VLOOKUP(B493,'115+260'!$B$14:$AB$647,22,FALSE)</f>
        <v>3024</v>
      </c>
      <c r="T493" s="75">
        <f>VLOOKUP(B493,'115+260'!$B$15:$AB$647,6,FALSE)</f>
        <v>1322</v>
      </c>
      <c r="U493" s="74">
        <f t="shared" si="95"/>
        <v>1984</v>
      </c>
      <c r="V493" s="73">
        <f>VLOOKUP(B493,'115+260'!$B$15:$AB$647,15,FALSE)</f>
        <v>-1016</v>
      </c>
      <c r="W493" s="72">
        <f>'115+260'!S494</f>
        <v>2</v>
      </c>
      <c r="X493" s="71">
        <f t="shared" si="100"/>
        <v>766</v>
      </c>
      <c r="Y493" s="70">
        <f t="shared" si="101"/>
        <v>-2</v>
      </c>
      <c r="Z493" s="69">
        <f t="shared" si="102"/>
        <v>0</v>
      </c>
      <c r="AA493" s="68">
        <f t="shared" si="103"/>
        <v>3.9130000000000003</v>
      </c>
      <c r="AB493" s="68">
        <f t="shared" si="104"/>
        <v>2.282</v>
      </c>
    </row>
    <row r="494" spans="2:28">
      <c r="B494" s="110">
        <f>'115+260'!B495</f>
        <v>45732</v>
      </c>
      <c r="C494" s="80">
        <f t="shared" si="96"/>
        <v>1</v>
      </c>
      <c r="D494" s="79">
        <f t="shared" si="97"/>
        <v>1069</v>
      </c>
      <c r="E494" s="78">
        <f>VLOOKUP(B494,'115+260'!B495:AB495,3,FALSE)</f>
        <v>2239</v>
      </c>
      <c r="F494" s="75">
        <f t="shared" si="92"/>
        <v>3308</v>
      </c>
      <c r="G494" s="77">
        <f>VLOOKUP(B494,'115+260'!$B$15:$AB$647,20,FALSE)</f>
        <v>3109</v>
      </c>
      <c r="H494" s="77">
        <f>VLOOKUP(B494,'115+260'!$B$15:$AB$647,4,FALSE)</f>
        <v>1189</v>
      </c>
      <c r="I494" s="74">
        <f t="shared" si="93"/>
        <v>2119</v>
      </c>
      <c r="J494" s="74">
        <f>VLOOKUP(B494,'115+260'!$B$15:$AB$647,13,FALSE)</f>
        <v>-881</v>
      </c>
      <c r="K494" s="72">
        <f>'115+260'!Q495</f>
        <v>3</v>
      </c>
      <c r="L494" s="71">
        <f t="shared" si="98"/>
        <v>681</v>
      </c>
      <c r="M494" s="76">
        <f>VLOOKUP(B494,'115+260'!$B$14:$AB$647,21,FALSE)</f>
        <v>2920</v>
      </c>
      <c r="N494" s="75">
        <f>VLOOKUP(B494,'115+260'!$B$15:$AB$647,5,FALSE)</f>
        <v>1398</v>
      </c>
      <c r="O494" s="74">
        <f t="shared" si="94"/>
        <v>1910</v>
      </c>
      <c r="P494" s="74">
        <f>VLOOKUP(B494,'115+260'!$B$15:$AB$647,14,FALSE)</f>
        <v>-1090</v>
      </c>
      <c r="Q494" s="72">
        <f>'115+260'!R495</f>
        <v>6</v>
      </c>
      <c r="R494" s="71">
        <f t="shared" si="99"/>
        <v>870</v>
      </c>
      <c r="S494" s="76">
        <f>VLOOKUP(B494,'115+260'!$B$14:$AB$647,22,FALSE)</f>
        <v>3020</v>
      </c>
      <c r="T494" s="75">
        <f>VLOOKUP(B494,'115+260'!$B$15:$AB$647,6,FALSE)</f>
        <v>1328</v>
      </c>
      <c r="U494" s="74">
        <f t="shared" si="95"/>
        <v>1980</v>
      </c>
      <c r="V494" s="73">
        <f>VLOOKUP(B494,'115+260'!$B$15:$AB$647,15,FALSE)</f>
        <v>-1020</v>
      </c>
      <c r="W494" s="72">
        <f>'115+260'!S495</f>
        <v>4</v>
      </c>
      <c r="X494" s="71">
        <f t="shared" si="100"/>
        <v>770</v>
      </c>
      <c r="Y494" s="70">
        <f t="shared" si="101"/>
        <v>-4</v>
      </c>
      <c r="Z494" s="69">
        <f t="shared" si="102"/>
        <v>0</v>
      </c>
      <c r="AA494" s="68">
        <f t="shared" si="103"/>
        <v>3.9130000000000003</v>
      </c>
      <c r="AB494" s="68">
        <f t="shared" si="104"/>
        <v>2.27</v>
      </c>
    </row>
    <row r="495" spans="2:28">
      <c r="B495" s="110">
        <f>'115+260'!B496</f>
        <v>45733</v>
      </c>
      <c r="C495" s="80">
        <f t="shared" si="96"/>
        <v>1</v>
      </c>
      <c r="D495" s="79">
        <f t="shared" si="97"/>
        <v>1069</v>
      </c>
      <c r="E495" s="78">
        <f>VLOOKUP(B495,'115+260'!B496:AB496,3,FALSE)</f>
        <v>2241</v>
      </c>
      <c r="F495" s="75">
        <f t="shared" si="92"/>
        <v>3310</v>
      </c>
      <c r="G495" s="77">
        <f>VLOOKUP(B495,'115+260'!$B$15:$AB$647,20,FALSE)</f>
        <v>3107</v>
      </c>
      <c r="H495" s="77">
        <f>VLOOKUP(B495,'115+260'!$B$15:$AB$647,4,FALSE)</f>
        <v>1193</v>
      </c>
      <c r="I495" s="74">
        <f t="shared" si="93"/>
        <v>2117</v>
      </c>
      <c r="J495" s="74">
        <f>VLOOKUP(B495,'115+260'!$B$15:$AB$647,13,FALSE)</f>
        <v>-883</v>
      </c>
      <c r="K495" s="72">
        <f>'115+260'!Q496</f>
        <v>2</v>
      </c>
      <c r="L495" s="71">
        <f t="shared" si="98"/>
        <v>683</v>
      </c>
      <c r="M495" s="76">
        <f>VLOOKUP(B495,'115+260'!$B$14:$AB$647,21,FALSE)</f>
        <v>2916</v>
      </c>
      <c r="N495" s="75">
        <f>VLOOKUP(B495,'115+260'!$B$15:$AB$647,5,FALSE)</f>
        <v>1404</v>
      </c>
      <c r="O495" s="74">
        <f t="shared" si="94"/>
        <v>1906</v>
      </c>
      <c r="P495" s="74">
        <f>VLOOKUP(B495,'115+260'!$B$15:$AB$647,14,FALSE)</f>
        <v>-1094</v>
      </c>
      <c r="Q495" s="72">
        <f>'115+260'!R496</f>
        <v>4</v>
      </c>
      <c r="R495" s="71">
        <f t="shared" si="99"/>
        <v>874</v>
      </c>
      <c r="S495" s="76">
        <f>VLOOKUP(B495,'115+260'!$B$14:$AB$647,22,FALSE)</f>
        <v>3015</v>
      </c>
      <c r="T495" s="75">
        <f>VLOOKUP(B495,'115+260'!$B$15:$AB$647,6,FALSE)</f>
        <v>1335</v>
      </c>
      <c r="U495" s="74">
        <f t="shared" si="95"/>
        <v>1975</v>
      </c>
      <c r="V495" s="73">
        <f>VLOOKUP(B495,'115+260'!$B$15:$AB$647,15,FALSE)</f>
        <v>-1025</v>
      </c>
      <c r="W495" s="72">
        <f>'115+260'!S496</f>
        <v>5</v>
      </c>
      <c r="X495" s="71">
        <f t="shared" si="100"/>
        <v>775</v>
      </c>
      <c r="Y495" s="70">
        <f t="shared" si="101"/>
        <v>-5</v>
      </c>
      <c r="Z495" s="69">
        <f t="shared" si="102"/>
        <v>0</v>
      </c>
      <c r="AA495" s="68">
        <f t="shared" si="103"/>
        <v>3.9130000000000003</v>
      </c>
      <c r="AB495" s="68">
        <f t="shared" si="104"/>
        <v>2.262</v>
      </c>
    </row>
    <row r="496" spans="2:28">
      <c r="B496" s="110">
        <f>'115+260'!B497</f>
        <v>45734</v>
      </c>
      <c r="C496" s="80">
        <f t="shared" si="96"/>
        <v>1</v>
      </c>
      <c r="D496" s="79">
        <f t="shared" si="97"/>
        <v>1069</v>
      </c>
      <c r="E496" s="78">
        <f>VLOOKUP(B496,'115+260'!B497:AB497,3,FALSE)</f>
        <v>2243</v>
      </c>
      <c r="F496" s="75">
        <f t="shared" si="92"/>
        <v>3312</v>
      </c>
      <c r="G496" s="77">
        <f>VLOOKUP(B496,'115+260'!$B$15:$AB$647,20,FALSE)</f>
        <v>3104</v>
      </c>
      <c r="H496" s="77">
        <f>VLOOKUP(B496,'115+260'!$B$15:$AB$647,4,FALSE)</f>
        <v>1198</v>
      </c>
      <c r="I496" s="74">
        <f t="shared" si="93"/>
        <v>2114</v>
      </c>
      <c r="J496" s="74">
        <f>VLOOKUP(B496,'115+260'!$B$15:$AB$647,13,FALSE)</f>
        <v>-886</v>
      </c>
      <c r="K496" s="72">
        <f>'115+260'!Q497</f>
        <v>3</v>
      </c>
      <c r="L496" s="71">
        <f t="shared" si="98"/>
        <v>686</v>
      </c>
      <c r="M496" s="76">
        <f>VLOOKUP(B496,'115+260'!$B$14:$AB$647,21,FALSE)</f>
        <v>2913</v>
      </c>
      <c r="N496" s="75">
        <f>VLOOKUP(B496,'115+260'!$B$15:$AB$647,5,FALSE)</f>
        <v>1409</v>
      </c>
      <c r="O496" s="74">
        <f t="shared" si="94"/>
        <v>1903</v>
      </c>
      <c r="P496" s="74">
        <f>VLOOKUP(B496,'115+260'!$B$15:$AB$647,14,FALSE)</f>
        <v>-1097</v>
      </c>
      <c r="Q496" s="72">
        <f>'115+260'!R497</f>
        <v>3</v>
      </c>
      <c r="R496" s="71">
        <f t="shared" si="99"/>
        <v>877</v>
      </c>
      <c r="S496" s="76">
        <f>VLOOKUP(B496,'115+260'!$B$14:$AB$647,22,FALSE)</f>
        <v>3009</v>
      </c>
      <c r="T496" s="75">
        <f>VLOOKUP(B496,'115+260'!$B$15:$AB$647,6,FALSE)</f>
        <v>1343</v>
      </c>
      <c r="U496" s="74">
        <f t="shared" si="95"/>
        <v>1969</v>
      </c>
      <c r="V496" s="73">
        <f>VLOOKUP(B496,'115+260'!$B$15:$AB$647,15,FALSE)</f>
        <v>-1031</v>
      </c>
      <c r="W496" s="72">
        <f>'115+260'!S497</f>
        <v>6</v>
      </c>
      <c r="X496" s="71">
        <f t="shared" si="100"/>
        <v>781</v>
      </c>
      <c r="Y496" s="70">
        <f t="shared" si="101"/>
        <v>-6</v>
      </c>
      <c r="Z496" s="69">
        <f t="shared" si="102"/>
        <v>0</v>
      </c>
      <c r="AA496" s="68">
        <f t="shared" si="103"/>
        <v>3.9130000000000003</v>
      </c>
      <c r="AB496" s="68">
        <f t="shared" si="104"/>
        <v>2.2559999999999998</v>
      </c>
    </row>
    <row r="497" spans="2:28">
      <c r="B497" s="110">
        <f>'115+260'!B498</f>
        <v>45735</v>
      </c>
      <c r="C497" s="80">
        <f t="shared" si="96"/>
        <v>1</v>
      </c>
      <c r="D497" s="79">
        <f t="shared" si="97"/>
        <v>1069</v>
      </c>
      <c r="E497" s="78">
        <f>VLOOKUP(B497,'115+260'!B498:AB498,3,FALSE)</f>
        <v>2245</v>
      </c>
      <c r="F497" s="75">
        <f t="shared" si="92"/>
        <v>3314</v>
      </c>
      <c r="G497" s="77">
        <f>VLOOKUP(B497,'115+260'!$B$15:$AB$647,20,FALSE)</f>
        <v>3102</v>
      </c>
      <c r="H497" s="77">
        <f>VLOOKUP(B497,'115+260'!$B$15:$AB$647,4,FALSE)</f>
        <v>1202</v>
      </c>
      <c r="I497" s="74">
        <f t="shared" si="93"/>
        <v>2112</v>
      </c>
      <c r="J497" s="74">
        <f>VLOOKUP(B497,'115+260'!$B$15:$AB$647,13,FALSE)</f>
        <v>-888</v>
      </c>
      <c r="K497" s="72">
        <f>'115+260'!Q498</f>
        <v>2</v>
      </c>
      <c r="L497" s="71">
        <f t="shared" si="98"/>
        <v>688</v>
      </c>
      <c r="M497" s="76">
        <f>VLOOKUP(B497,'115+260'!$B$14:$AB$647,21,FALSE)</f>
        <v>2908</v>
      </c>
      <c r="N497" s="75">
        <f>VLOOKUP(B497,'115+260'!$B$15:$AB$647,5,FALSE)</f>
        <v>1416</v>
      </c>
      <c r="O497" s="74">
        <f t="shared" si="94"/>
        <v>1898</v>
      </c>
      <c r="P497" s="74">
        <f>VLOOKUP(B497,'115+260'!$B$15:$AB$647,14,FALSE)</f>
        <v>-1102</v>
      </c>
      <c r="Q497" s="72">
        <f>'115+260'!R498</f>
        <v>5</v>
      </c>
      <c r="R497" s="71">
        <f t="shared" si="99"/>
        <v>882</v>
      </c>
      <c r="S497" s="76">
        <f>VLOOKUP(B497,'115+260'!$B$14:$AB$647,22,FALSE)</f>
        <v>3004</v>
      </c>
      <c r="T497" s="75">
        <f>VLOOKUP(B497,'115+260'!$B$15:$AB$647,6,FALSE)</f>
        <v>1350</v>
      </c>
      <c r="U497" s="74">
        <f t="shared" si="95"/>
        <v>1964</v>
      </c>
      <c r="V497" s="73">
        <f>VLOOKUP(B497,'115+260'!$B$15:$AB$647,15,FALSE)</f>
        <v>-1036</v>
      </c>
      <c r="W497" s="72">
        <f>'115+260'!S498</f>
        <v>5</v>
      </c>
      <c r="X497" s="71">
        <f t="shared" si="100"/>
        <v>786</v>
      </c>
      <c r="Y497" s="70">
        <f t="shared" si="101"/>
        <v>-5</v>
      </c>
      <c r="Z497" s="69">
        <f t="shared" si="102"/>
        <v>0</v>
      </c>
      <c r="AA497" s="68">
        <f t="shared" si="103"/>
        <v>3.9130000000000003</v>
      </c>
      <c r="AB497" s="68">
        <f t="shared" si="104"/>
        <v>2.246</v>
      </c>
    </row>
    <row r="498" spans="2:28">
      <c r="B498" s="110">
        <f>'115+260'!B499</f>
        <v>45736</v>
      </c>
      <c r="C498" s="80">
        <f t="shared" si="96"/>
        <v>1</v>
      </c>
      <c r="D498" s="79">
        <f t="shared" si="97"/>
        <v>1069</v>
      </c>
      <c r="E498" s="78">
        <f>VLOOKUP(B498,'115+260'!B499:AB499,3,FALSE)</f>
        <v>2247</v>
      </c>
      <c r="F498" s="75">
        <f t="shared" si="92"/>
        <v>3316</v>
      </c>
      <c r="G498" s="77">
        <f>VLOOKUP(B498,'115+260'!$B$15:$AB$647,20,FALSE)</f>
        <v>3101</v>
      </c>
      <c r="H498" s="77">
        <f>VLOOKUP(B498,'115+260'!$B$15:$AB$647,4,FALSE)</f>
        <v>1205</v>
      </c>
      <c r="I498" s="74">
        <f t="shared" si="93"/>
        <v>2111</v>
      </c>
      <c r="J498" s="74">
        <f>VLOOKUP(B498,'115+260'!$B$15:$AB$647,13,FALSE)</f>
        <v>-889</v>
      </c>
      <c r="K498" s="72">
        <f>'115+260'!Q499</f>
        <v>1</v>
      </c>
      <c r="L498" s="71">
        <f t="shared" si="98"/>
        <v>689</v>
      </c>
      <c r="M498" s="76">
        <f>VLOOKUP(B498,'115+260'!$B$14:$AB$647,21,FALSE)</f>
        <v>2903</v>
      </c>
      <c r="N498" s="75">
        <f>VLOOKUP(B498,'115+260'!$B$15:$AB$647,5,FALSE)</f>
        <v>1423</v>
      </c>
      <c r="O498" s="74">
        <f t="shared" si="94"/>
        <v>1893</v>
      </c>
      <c r="P498" s="74">
        <f>VLOOKUP(B498,'115+260'!$B$15:$AB$647,14,FALSE)</f>
        <v>-1107</v>
      </c>
      <c r="Q498" s="72">
        <f>'115+260'!R499</f>
        <v>5</v>
      </c>
      <c r="R498" s="71">
        <f t="shared" si="99"/>
        <v>887</v>
      </c>
      <c r="S498" s="76">
        <f>VLOOKUP(B498,'115+260'!$B$14:$AB$647,22,FALSE)</f>
        <v>3000</v>
      </c>
      <c r="T498" s="75">
        <f>VLOOKUP(B498,'115+260'!$B$15:$AB$647,6,FALSE)</f>
        <v>1356</v>
      </c>
      <c r="U498" s="74">
        <f t="shared" si="95"/>
        <v>1960</v>
      </c>
      <c r="V498" s="73">
        <f>VLOOKUP(B498,'115+260'!$B$15:$AB$647,15,FALSE)</f>
        <v>-1040</v>
      </c>
      <c r="W498" s="72">
        <f>'115+260'!S499</f>
        <v>4</v>
      </c>
      <c r="X498" s="71">
        <f t="shared" si="100"/>
        <v>790</v>
      </c>
      <c r="Y498" s="70">
        <f t="shared" si="101"/>
        <v>-4</v>
      </c>
      <c r="Z498" s="69">
        <f t="shared" si="102"/>
        <v>0</v>
      </c>
      <c r="AA498" s="68">
        <f t="shared" si="103"/>
        <v>3.9130000000000003</v>
      </c>
      <c r="AB498" s="68">
        <f t="shared" si="104"/>
        <v>2.2360000000000002</v>
      </c>
    </row>
    <row r="499" spans="2:28">
      <c r="B499" s="110">
        <f>'115+260'!B500</f>
        <v>45737</v>
      </c>
      <c r="C499" s="80">
        <f t="shared" si="96"/>
        <v>1</v>
      </c>
      <c r="D499" s="79">
        <f t="shared" si="97"/>
        <v>1069</v>
      </c>
      <c r="E499" s="78">
        <f>VLOOKUP(B499,'115+260'!B500:AB500,3,FALSE)</f>
        <v>2249</v>
      </c>
      <c r="F499" s="75">
        <f t="shared" si="92"/>
        <v>3318</v>
      </c>
      <c r="G499" s="77">
        <f>VLOOKUP(B499,'115+260'!$B$15:$AB$647,20,FALSE)</f>
        <v>3101</v>
      </c>
      <c r="H499" s="77">
        <f>VLOOKUP(B499,'115+260'!$B$15:$AB$647,4,FALSE)</f>
        <v>1207</v>
      </c>
      <c r="I499" s="74">
        <f t="shared" si="93"/>
        <v>2111</v>
      </c>
      <c r="J499" s="74">
        <f>VLOOKUP(B499,'115+260'!$B$15:$AB$647,13,FALSE)</f>
        <v>-889</v>
      </c>
      <c r="K499" s="72">
        <f>'115+260'!Q500</f>
        <v>0</v>
      </c>
      <c r="L499" s="71">
        <f t="shared" si="98"/>
        <v>689</v>
      </c>
      <c r="M499" s="76">
        <f>VLOOKUP(B499,'115+260'!$B$14:$AB$647,21,FALSE)</f>
        <v>2893</v>
      </c>
      <c r="N499" s="75">
        <f>VLOOKUP(B499,'115+260'!$B$15:$AB$647,5,FALSE)</f>
        <v>1435</v>
      </c>
      <c r="O499" s="74">
        <f t="shared" si="94"/>
        <v>1883</v>
      </c>
      <c r="P499" s="74">
        <f>VLOOKUP(B499,'115+260'!$B$15:$AB$647,14,FALSE)</f>
        <v>-1117</v>
      </c>
      <c r="Q499" s="72">
        <f>'115+260'!R500</f>
        <v>10</v>
      </c>
      <c r="R499" s="71">
        <f t="shared" si="99"/>
        <v>897</v>
      </c>
      <c r="S499" s="76">
        <f>VLOOKUP(B499,'115+260'!$B$14:$AB$647,22,FALSE)</f>
        <v>2997</v>
      </c>
      <c r="T499" s="75">
        <f>VLOOKUP(B499,'115+260'!$B$15:$AB$647,6,FALSE)</f>
        <v>1361</v>
      </c>
      <c r="U499" s="74">
        <f t="shared" si="95"/>
        <v>1957</v>
      </c>
      <c r="V499" s="73">
        <f>VLOOKUP(B499,'115+260'!$B$15:$AB$647,15,FALSE)</f>
        <v>-1043</v>
      </c>
      <c r="W499" s="72">
        <f>'115+260'!S500</f>
        <v>3</v>
      </c>
      <c r="X499" s="71">
        <f t="shared" si="100"/>
        <v>793</v>
      </c>
      <c r="Y499" s="70">
        <f t="shared" si="101"/>
        <v>-3</v>
      </c>
      <c r="Z499" s="69">
        <f t="shared" si="102"/>
        <v>0</v>
      </c>
      <c r="AA499" s="68">
        <f t="shared" si="103"/>
        <v>3.9130000000000003</v>
      </c>
      <c r="AB499" s="68">
        <f t="shared" si="104"/>
        <v>2.2160000000000002</v>
      </c>
    </row>
    <row r="500" spans="2:28">
      <c r="B500" s="110">
        <f>'115+260'!B501</f>
        <v>45738</v>
      </c>
      <c r="C500" s="80">
        <f t="shared" si="96"/>
        <v>1</v>
      </c>
      <c r="D500" s="79">
        <f t="shared" si="97"/>
        <v>1069</v>
      </c>
      <c r="E500" s="78">
        <f>VLOOKUP(B500,'115+260'!B501:AB501,3,FALSE)</f>
        <v>2251</v>
      </c>
      <c r="F500" s="75">
        <f t="shared" si="92"/>
        <v>3320</v>
      </c>
      <c r="G500" s="77">
        <f>VLOOKUP(B500,'115+260'!$B$15:$AB$647,20,FALSE)</f>
        <v>3401</v>
      </c>
      <c r="H500" s="77">
        <f>VLOOKUP(B500,'115+260'!$B$15:$AB$647,4,FALSE)</f>
        <v>1209</v>
      </c>
      <c r="I500" s="74">
        <f t="shared" si="93"/>
        <v>2111</v>
      </c>
      <c r="J500" s="74">
        <f>VLOOKUP(B500,'115+260'!$B$15:$AB$647,13,FALSE)</f>
        <v>-889</v>
      </c>
      <c r="K500" s="72">
        <f>'115+260'!Q501</f>
        <v>0</v>
      </c>
      <c r="L500" s="71">
        <f t="shared" si="98"/>
        <v>689</v>
      </c>
      <c r="M500" s="76">
        <f>VLOOKUP(B500,'115+260'!$B$14:$AB$647,21,FALSE)</f>
        <v>3186</v>
      </c>
      <c r="N500" s="75">
        <f>VLOOKUP(B500,'115+260'!$B$15:$AB$647,5,FALSE)</f>
        <v>1444</v>
      </c>
      <c r="O500" s="74">
        <f t="shared" si="94"/>
        <v>1876</v>
      </c>
      <c r="P500" s="74">
        <f>VLOOKUP(B500,'115+260'!$B$15:$AB$647,14,FALSE)</f>
        <v>-1124</v>
      </c>
      <c r="Q500" s="72">
        <f>'115+260'!R501</f>
        <v>7</v>
      </c>
      <c r="R500" s="71">
        <f t="shared" si="99"/>
        <v>904</v>
      </c>
      <c r="S500" s="76">
        <f>VLOOKUP(B500,'115+260'!$B$14:$AB$647,22,FALSE)</f>
        <v>3293</v>
      </c>
      <c r="T500" s="75">
        <f>VLOOKUP(B500,'115+260'!$B$15:$AB$647,6,FALSE)</f>
        <v>1367</v>
      </c>
      <c r="U500" s="74">
        <f t="shared" si="95"/>
        <v>1953</v>
      </c>
      <c r="V500" s="73">
        <f>VLOOKUP(B500,'115+260'!$B$15:$AB$647,15,FALSE)</f>
        <v>-1047</v>
      </c>
      <c r="W500" s="72">
        <f>'115+260'!S501</f>
        <v>4</v>
      </c>
      <c r="X500" s="71">
        <f t="shared" si="100"/>
        <v>797</v>
      </c>
      <c r="Y500" s="70">
        <f t="shared" si="101"/>
        <v>296</v>
      </c>
      <c r="Z500" s="69">
        <f t="shared" si="102"/>
        <v>0.29599999999999999</v>
      </c>
      <c r="AA500" s="68">
        <f t="shared" si="103"/>
        <v>4.2090000000000005</v>
      </c>
      <c r="AB500" s="68">
        <f t="shared" si="104"/>
        <v>2.5019999999999998</v>
      </c>
    </row>
    <row r="501" spans="2:28">
      <c r="B501" s="110">
        <f>'115+260'!B502</f>
        <v>45739</v>
      </c>
      <c r="C501" s="80">
        <f t="shared" si="96"/>
        <v>1</v>
      </c>
      <c r="D501" s="79">
        <f t="shared" si="97"/>
        <v>1069</v>
      </c>
      <c r="E501" s="78">
        <f>VLOOKUP(B501,'115+260'!B502:AB502,3,FALSE)</f>
        <v>2253</v>
      </c>
      <c r="F501" s="75">
        <f t="shared" si="92"/>
        <v>3322</v>
      </c>
      <c r="G501" s="77">
        <f>VLOOKUP(B501,'115+260'!$B$15:$AB$647,20,FALSE)</f>
        <v>3399</v>
      </c>
      <c r="H501" s="77">
        <f>VLOOKUP(B501,'115+260'!$B$15:$AB$647,4,FALSE)</f>
        <v>1213</v>
      </c>
      <c r="I501" s="74">
        <f t="shared" si="93"/>
        <v>2109</v>
      </c>
      <c r="J501" s="74">
        <f>VLOOKUP(B501,'115+260'!$B$15:$AB$647,13,FALSE)</f>
        <v>-891</v>
      </c>
      <c r="K501" s="72">
        <f>'115+260'!Q502</f>
        <v>2</v>
      </c>
      <c r="L501" s="71">
        <f t="shared" si="98"/>
        <v>691</v>
      </c>
      <c r="M501" s="76">
        <f>VLOOKUP(B501,'115+260'!$B$14:$AB$647,21,FALSE)</f>
        <v>3180</v>
      </c>
      <c r="N501" s="75">
        <f>VLOOKUP(B501,'115+260'!$B$15:$AB$647,5,FALSE)</f>
        <v>1452</v>
      </c>
      <c r="O501" s="74">
        <f t="shared" si="94"/>
        <v>1870</v>
      </c>
      <c r="P501" s="74">
        <f>VLOOKUP(B501,'115+260'!$B$15:$AB$647,14,FALSE)</f>
        <v>-1130</v>
      </c>
      <c r="Q501" s="72">
        <f>'115+260'!R502</f>
        <v>6</v>
      </c>
      <c r="R501" s="71">
        <f t="shared" si="99"/>
        <v>910</v>
      </c>
      <c r="S501" s="76">
        <f>VLOOKUP(B501,'115+260'!$B$14:$AB$647,22,FALSE)</f>
        <v>3290</v>
      </c>
      <c r="T501" s="75">
        <f>VLOOKUP(B501,'115+260'!$B$15:$AB$647,6,FALSE)</f>
        <v>1372</v>
      </c>
      <c r="U501" s="74">
        <f t="shared" si="95"/>
        <v>1950</v>
      </c>
      <c r="V501" s="73">
        <f>VLOOKUP(B501,'115+260'!$B$15:$AB$647,15,FALSE)</f>
        <v>-1050</v>
      </c>
      <c r="W501" s="72">
        <f>'115+260'!S502</f>
        <v>3</v>
      </c>
      <c r="X501" s="71">
        <f t="shared" si="100"/>
        <v>800</v>
      </c>
      <c r="Y501" s="70">
        <f t="shared" si="101"/>
        <v>-3</v>
      </c>
      <c r="Z501" s="69">
        <f t="shared" si="102"/>
        <v>0</v>
      </c>
      <c r="AA501" s="68">
        <f t="shared" si="103"/>
        <v>4.2090000000000005</v>
      </c>
      <c r="AB501" s="68">
        <f t="shared" si="104"/>
        <v>2.4900000000000002</v>
      </c>
    </row>
    <row r="502" spans="2:28">
      <c r="B502" s="110">
        <f>'115+260'!B503</f>
        <v>45740</v>
      </c>
      <c r="C502" s="80">
        <f t="shared" si="96"/>
        <v>1</v>
      </c>
      <c r="D502" s="79">
        <f t="shared" si="97"/>
        <v>1069</v>
      </c>
      <c r="E502" s="78">
        <f>VLOOKUP(B502,'115+260'!B503:AB503,3,FALSE)</f>
        <v>2255</v>
      </c>
      <c r="F502" s="75">
        <f t="shared" si="92"/>
        <v>3324</v>
      </c>
      <c r="G502" s="77">
        <f>VLOOKUP(B502,'115+260'!$B$15:$AB$647,20,FALSE)</f>
        <v>3399</v>
      </c>
      <c r="H502" s="77">
        <f>VLOOKUP(B502,'115+260'!$B$15:$AB$647,4,FALSE)</f>
        <v>1215</v>
      </c>
      <c r="I502" s="74">
        <f t="shared" si="93"/>
        <v>2109</v>
      </c>
      <c r="J502" s="74">
        <f>VLOOKUP(B502,'115+260'!$B$15:$AB$647,13,FALSE)</f>
        <v>-891</v>
      </c>
      <c r="K502" s="72">
        <f>'115+260'!Q503</f>
        <v>0</v>
      </c>
      <c r="L502" s="71">
        <f t="shared" si="98"/>
        <v>691</v>
      </c>
      <c r="M502" s="76">
        <f>VLOOKUP(B502,'115+260'!$B$14:$AB$647,21,FALSE)</f>
        <v>3170</v>
      </c>
      <c r="N502" s="75">
        <f>VLOOKUP(B502,'115+260'!$B$15:$AB$647,5,FALSE)</f>
        <v>1464</v>
      </c>
      <c r="O502" s="74">
        <f t="shared" si="94"/>
        <v>1860</v>
      </c>
      <c r="P502" s="74">
        <f>VLOOKUP(B502,'115+260'!$B$15:$AB$647,14,FALSE)</f>
        <v>-1140</v>
      </c>
      <c r="Q502" s="72">
        <f>'115+260'!R503</f>
        <v>10</v>
      </c>
      <c r="R502" s="71">
        <f t="shared" si="99"/>
        <v>920</v>
      </c>
      <c r="S502" s="76">
        <f>VLOOKUP(B502,'115+260'!$B$14:$AB$647,22,FALSE)</f>
        <v>3288</v>
      </c>
      <c r="T502" s="75">
        <f>VLOOKUP(B502,'115+260'!$B$15:$AB$647,6,FALSE)</f>
        <v>1376</v>
      </c>
      <c r="U502" s="74">
        <f t="shared" si="95"/>
        <v>1948</v>
      </c>
      <c r="V502" s="73">
        <f>VLOOKUP(B502,'115+260'!$B$15:$AB$647,15,FALSE)</f>
        <v>-1052</v>
      </c>
      <c r="W502" s="72">
        <f>'115+260'!S503</f>
        <v>2</v>
      </c>
      <c r="X502" s="71">
        <f t="shared" si="100"/>
        <v>802</v>
      </c>
      <c r="Y502" s="70">
        <f t="shared" si="101"/>
        <v>-2</v>
      </c>
      <c r="Z502" s="69">
        <f t="shared" si="102"/>
        <v>0</v>
      </c>
      <c r="AA502" s="68">
        <f t="shared" si="103"/>
        <v>4.2090000000000005</v>
      </c>
      <c r="AB502" s="68">
        <f t="shared" si="104"/>
        <v>2.4700000000000002</v>
      </c>
    </row>
    <row r="503" spans="2:28">
      <c r="B503" s="110">
        <f>'115+260'!B504</f>
        <v>45741</v>
      </c>
      <c r="C503" s="80">
        <f t="shared" si="96"/>
        <v>1</v>
      </c>
      <c r="D503" s="79">
        <f t="shared" si="97"/>
        <v>1069</v>
      </c>
      <c r="E503" s="78">
        <f>VLOOKUP(B503,'115+260'!B504:AB504,3,FALSE)</f>
        <v>2257</v>
      </c>
      <c r="F503" s="75">
        <f t="shared" si="92"/>
        <v>3326</v>
      </c>
      <c r="G503" s="77">
        <f>VLOOKUP(B503,'115+260'!$B$15:$AB$647,20,FALSE)</f>
        <v>3698</v>
      </c>
      <c r="H503" s="77">
        <f>VLOOKUP(B503,'115+260'!$B$15:$AB$647,4,FALSE)</f>
        <v>1218</v>
      </c>
      <c r="I503" s="74">
        <f t="shared" si="93"/>
        <v>2108</v>
      </c>
      <c r="J503" s="74">
        <f>VLOOKUP(B503,'115+260'!$B$15:$AB$647,13,FALSE)</f>
        <v>-892</v>
      </c>
      <c r="K503" s="72">
        <f>'115+260'!Q504</f>
        <v>1</v>
      </c>
      <c r="L503" s="71">
        <f t="shared" si="98"/>
        <v>692</v>
      </c>
      <c r="M503" s="76">
        <f>VLOOKUP(B503,'115+260'!$B$14:$AB$647,21,FALSE)</f>
        <v>3463</v>
      </c>
      <c r="N503" s="75">
        <f>VLOOKUP(B503,'115+260'!$B$15:$AB$647,5,FALSE)</f>
        <v>1473</v>
      </c>
      <c r="O503" s="74">
        <f t="shared" si="94"/>
        <v>1853</v>
      </c>
      <c r="P503" s="74">
        <f>VLOOKUP(B503,'115+260'!$B$15:$AB$647,14,FALSE)</f>
        <v>-1147</v>
      </c>
      <c r="Q503" s="72">
        <f>'115+260'!R504</f>
        <v>7</v>
      </c>
      <c r="R503" s="71">
        <f t="shared" si="99"/>
        <v>927</v>
      </c>
      <c r="S503" s="76">
        <f>VLOOKUP(B503,'115+260'!$B$14:$AB$647,22,FALSE)</f>
        <v>3585</v>
      </c>
      <c r="T503" s="75">
        <f>VLOOKUP(B503,'115+260'!$B$15:$AB$647,6,FALSE)</f>
        <v>1381</v>
      </c>
      <c r="U503" s="74">
        <f t="shared" si="95"/>
        <v>1945</v>
      </c>
      <c r="V503" s="73">
        <f>VLOOKUP(B503,'115+260'!$B$15:$AB$647,15,FALSE)</f>
        <v>-1055</v>
      </c>
      <c r="W503" s="72">
        <f>'115+260'!S504</f>
        <v>3</v>
      </c>
      <c r="X503" s="71">
        <f t="shared" si="100"/>
        <v>805</v>
      </c>
      <c r="Y503" s="70">
        <f t="shared" si="101"/>
        <v>297</v>
      </c>
      <c r="Z503" s="69">
        <f t="shared" si="102"/>
        <v>0.29699999999999999</v>
      </c>
      <c r="AA503" s="68">
        <f t="shared" si="103"/>
        <v>4.5060000000000002</v>
      </c>
      <c r="AB503" s="68">
        <f t="shared" si="104"/>
        <v>2.7559999999999998</v>
      </c>
    </row>
    <row r="504" spans="2:28">
      <c r="B504" s="110">
        <f>'115+260'!B505</f>
        <v>45742</v>
      </c>
      <c r="C504" s="80">
        <f t="shared" si="96"/>
        <v>1</v>
      </c>
      <c r="D504" s="79">
        <f t="shared" si="97"/>
        <v>1069</v>
      </c>
      <c r="E504" s="78">
        <f>VLOOKUP(B504,'115+260'!B505:AB505,3,FALSE)</f>
        <v>2259</v>
      </c>
      <c r="F504" s="75">
        <f t="shared" si="92"/>
        <v>3328</v>
      </c>
      <c r="G504" s="77">
        <f>VLOOKUP(B504,'115+260'!$B$15:$AB$647,20,FALSE)</f>
        <v>3698</v>
      </c>
      <c r="H504" s="77">
        <f>VLOOKUP(B504,'115+260'!$B$15:$AB$647,4,FALSE)</f>
        <v>1220</v>
      </c>
      <c r="I504" s="74">
        <f t="shared" si="93"/>
        <v>2108</v>
      </c>
      <c r="J504" s="74">
        <f>VLOOKUP(B504,'115+260'!$B$15:$AB$647,13,FALSE)</f>
        <v>-892</v>
      </c>
      <c r="K504" s="72">
        <f>'115+260'!Q505</f>
        <v>0</v>
      </c>
      <c r="L504" s="71">
        <f t="shared" si="98"/>
        <v>692</v>
      </c>
      <c r="M504" s="76">
        <f>VLOOKUP(B504,'115+260'!$B$14:$AB$647,21,FALSE)</f>
        <v>3453</v>
      </c>
      <c r="N504" s="75">
        <f>VLOOKUP(B504,'115+260'!$B$15:$AB$647,5,FALSE)</f>
        <v>1485</v>
      </c>
      <c r="O504" s="74">
        <f t="shared" si="94"/>
        <v>1843</v>
      </c>
      <c r="P504" s="74">
        <f>VLOOKUP(B504,'115+260'!$B$15:$AB$647,14,FALSE)</f>
        <v>-1157</v>
      </c>
      <c r="Q504" s="72">
        <f>'115+260'!R505</f>
        <v>10</v>
      </c>
      <c r="R504" s="71">
        <f t="shared" si="99"/>
        <v>937</v>
      </c>
      <c r="S504" s="76">
        <f>VLOOKUP(B504,'115+260'!$B$14:$AB$647,22,FALSE)</f>
        <v>3582</v>
      </c>
      <c r="T504" s="75">
        <f>VLOOKUP(B504,'115+260'!$B$15:$AB$647,6,FALSE)</f>
        <v>1386</v>
      </c>
      <c r="U504" s="74">
        <f t="shared" si="95"/>
        <v>1942</v>
      </c>
      <c r="V504" s="73">
        <f>VLOOKUP(B504,'115+260'!$B$15:$AB$647,15,FALSE)</f>
        <v>-1058</v>
      </c>
      <c r="W504" s="72">
        <f>'115+260'!S505</f>
        <v>3</v>
      </c>
      <c r="X504" s="71">
        <f t="shared" si="100"/>
        <v>808</v>
      </c>
      <c r="Y504" s="70">
        <f t="shared" si="101"/>
        <v>-3</v>
      </c>
      <c r="Z504" s="69">
        <f t="shared" si="102"/>
        <v>0</v>
      </c>
      <c r="AA504" s="68">
        <f t="shared" si="103"/>
        <v>4.5060000000000002</v>
      </c>
      <c r="AB504" s="68">
        <f t="shared" si="104"/>
        <v>2.7360000000000002</v>
      </c>
    </row>
    <row r="505" spans="2:28">
      <c r="B505" s="110">
        <f>'115+260'!B506</f>
        <v>45743</v>
      </c>
      <c r="C505" s="80">
        <f t="shared" si="96"/>
        <v>1</v>
      </c>
      <c r="D505" s="79">
        <f t="shared" si="97"/>
        <v>1069</v>
      </c>
      <c r="E505" s="78">
        <f>VLOOKUP(B505,'115+260'!B506:AB506,3,FALSE)</f>
        <v>2261</v>
      </c>
      <c r="F505" s="75">
        <f t="shared" si="92"/>
        <v>3330</v>
      </c>
      <c r="G505" s="77">
        <f>VLOOKUP(B505,'115+260'!$B$15:$AB$647,20,FALSE)</f>
        <v>3698</v>
      </c>
      <c r="H505" s="77">
        <f>VLOOKUP(B505,'115+260'!$B$15:$AB$647,4,FALSE)</f>
        <v>1222</v>
      </c>
      <c r="I505" s="74">
        <f t="shared" si="93"/>
        <v>2108</v>
      </c>
      <c r="J505" s="74">
        <f>VLOOKUP(B505,'115+260'!$B$15:$AB$647,13,FALSE)</f>
        <v>-892</v>
      </c>
      <c r="K505" s="72">
        <f>'115+260'!Q506</f>
        <v>0</v>
      </c>
      <c r="L505" s="71">
        <f t="shared" si="98"/>
        <v>692</v>
      </c>
      <c r="M505" s="76">
        <f>VLOOKUP(B505,'115+260'!$B$14:$AB$647,21,FALSE)</f>
        <v>3443</v>
      </c>
      <c r="N505" s="75">
        <f>VLOOKUP(B505,'115+260'!$B$15:$AB$647,5,FALSE)</f>
        <v>1497</v>
      </c>
      <c r="O505" s="74">
        <f t="shared" si="94"/>
        <v>1833</v>
      </c>
      <c r="P505" s="74">
        <f>VLOOKUP(B505,'115+260'!$B$15:$AB$647,14,FALSE)</f>
        <v>-1167</v>
      </c>
      <c r="Q505" s="72">
        <f>'115+260'!R506</f>
        <v>10</v>
      </c>
      <c r="R505" s="71">
        <f t="shared" si="99"/>
        <v>947</v>
      </c>
      <c r="S505" s="76">
        <f>VLOOKUP(B505,'115+260'!$B$14:$AB$647,22,FALSE)</f>
        <v>3579</v>
      </c>
      <c r="T505" s="75">
        <f>VLOOKUP(B505,'115+260'!$B$15:$AB$647,6,FALSE)</f>
        <v>1391</v>
      </c>
      <c r="U505" s="74">
        <f t="shared" si="95"/>
        <v>1939</v>
      </c>
      <c r="V505" s="73">
        <f>VLOOKUP(B505,'115+260'!$B$15:$AB$647,15,FALSE)</f>
        <v>-1061</v>
      </c>
      <c r="W505" s="72">
        <f>'115+260'!S506</f>
        <v>3</v>
      </c>
      <c r="X505" s="71">
        <f t="shared" si="100"/>
        <v>811</v>
      </c>
      <c r="Y505" s="70">
        <f t="shared" si="101"/>
        <v>-3</v>
      </c>
      <c r="Z505" s="69">
        <f t="shared" si="102"/>
        <v>0</v>
      </c>
      <c r="AA505" s="68">
        <f t="shared" si="103"/>
        <v>4.5060000000000002</v>
      </c>
      <c r="AB505" s="68">
        <f t="shared" si="104"/>
        <v>2.7160000000000002</v>
      </c>
    </row>
    <row r="506" spans="2:28">
      <c r="B506" s="110">
        <f>'115+260'!B507</f>
        <v>45744</v>
      </c>
      <c r="C506" s="80">
        <f t="shared" si="96"/>
        <v>1</v>
      </c>
      <c r="D506" s="79">
        <f t="shared" si="97"/>
        <v>1069</v>
      </c>
      <c r="E506" s="78">
        <f>VLOOKUP(B506,'115+260'!B507:AB507,3,FALSE)</f>
        <v>2263</v>
      </c>
      <c r="F506" s="75">
        <f t="shared" si="92"/>
        <v>3332</v>
      </c>
      <c r="G506" s="77">
        <f>VLOOKUP(B506,'115+260'!$B$15:$AB$647,20,FALSE)</f>
        <v>3992</v>
      </c>
      <c r="H506" s="77">
        <f>VLOOKUP(B506,'115+260'!$B$15:$AB$647,4,FALSE)</f>
        <v>1230</v>
      </c>
      <c r="I506" s="74">
        <f t="shared" si="93"/>
        <v>2102</v>
      </c>
      <c r="J506" s="74">
        <f>VLOOKUP(B506,'115+260'!$B$15:$AB$647,13,FALSE)</f>
        <v>-898</v>
      </c>
      <c r="K506" s="72">
        <f>'115+260'!Q507</f>
        <v>6</v>
      </c>
      <c r="L506" s="71">
        <f t="shared" si="98"/>
        <v>698</v>
      </c>
      <c r="M506" s="76">
        <f>VLOOKUP(B506,'115+260'!$B$14:$AB$647,21,FALSE)</f>
        <v>3733</v>
      </c>
      <c r="N506" s="75">
        <f>VLOOKUP(B506,'115+260'!$B$15:$AB$647,5,FALSE)</f>
        <v>1509</v>
      </c>
      <c r="O506" s="74">
        <f t="shared" si="94"/>
        <v>1823</v>
      </c>
      <c r="P506" s="74">
        <f>VLOOKUP(B506,'115+260'!$B$15:$AB$647,14,FALSE)</f>
        <v>-1177</v>
      </c>
      <c r="Q506" s="72">
        <f>'115+260'!R507</f>
        <v>10</v>
      </c>
      <c r="R506" s="71">
        <f t="shared" si="99"/>
        <v>957</v>
      </c>
      <c r="S506" s="76">
        <f>VLOOKUP(B506,'115+260'!$B$14:$AB$647,22,FALSE)</f>
        <v>3875</v>
      </c>
      <c r="T506" s="75">
        <f>VLOOKUP(B506,'115+260'!$B$15:$AB$647,6,FALSE)</f>
        <v>1397</v>
      </c>
      <c r="U506" s="74">
        <f t="shared" si="95"/>
        <v>1935</v>
      </c>
      <c r="V506" s="73">
        <f>VLOOKUP(B506,'115+260'!$B$15:$AB$647,15,FALSE)</f>
        <v>-1065</v>
      </c>
      <c r="W506" s="72">
        <f>'115+260'!S507</f>
        <v>4</v>
      </c>
      <c r="X506" s="71">
        <f t="shared" si="100"/>
        <v>815</v>
      </c>
      <c r="Y506" s="70">
        <f t="shared" si="101"/>
        <v>296</v>
      </c>
      <c r="Z506" s="69">
        <f t="shared" si="102"/>
        <v>0.29599999999999999</v>
      </c>
      <c r="AA506" s="68">
        <f t="shared" si="103"/>
        <v>4.8020000000000005</v>
      </c>
      <c r="AB506" s="68">
        <f t="shared" si="104"/>
        <v>2.996</v>
      </c>
    </row>
    <row r="507" spans="2:28">
      <c r="B507" s="110">
        <f>'115+260'!B508</f>
        <v>45745</v>
      </c>
      <c r="C507" s="80">
        <f t="shared" si="96"/>
        <v>1</v>
      </c>
      <c r="D507" s="79">
        <f t="shared" si="97"/>
        <v>1069</v>
      </c>
      <c r="E507" s="78">
        <f>VLOOKUP(B507,'115+260'!B508:AB508,3,FALSE)</f>
        <v>2265</v>
      </c>
      <c r="F507" s="75">
        <f t="shared" si="92"/>
        <v>3334</v>
      </c>
      <c r="G507" s="77">
        <f>VLOOKUP(B507,'115+260'!$B$15:$AB$647,20,FALSE)</f>
        <v>3983</v>
      </c>
      <c r="H507" s="77">
        <f>VLOOKUP(B507,'115+260'!$B$15:$AB$647,4,FALSE)</f>
        <v>1241</v>
      </c>
      <c r="I507" s="74">
        <f t="shared" si="93"/>
        <v>2093</v>
      </c>
      <c r="J507" s="74">
        <f>VLOOKUP(B507,'115+260'!$B$15:$AB$647,13,FALSE)</f>
        <v>-907</v>
      </c>
      <c r="K507" s="72">
        <f>'115+260'!Q508</f>
        <v>9</v>
      </c>
      <c r="L507" s="71">
        <f t="shared" si="98"/>
        <v>707</v>
      </c>
      <c r="M507" s="76">
        <f>VLOOKUP(B507,'115+260'!$B$14:$AB$647,21,FALSE)</f>
        <v>3726</v>
      </c>
      <c r="N507" s="75">
        <f>VLOOKUP(B507,'115+260'!$B$15:$AB$647,5,FALSE)</f>
        <v>1518</v>
      </c>
      <c r="O507" s="74">
        <f t="shared" si="94"/>
        <v>1816</v>
      </c>
      <c r="P507" s="74">
        <f>VLOOKUP(B507,'115+260'!$B$15:$AB$647,14,FALSE)</f>
        <v>-1184</v>
      </c>
      <c r="Q507" s="72">
        <f>'115+260'!R508</f>
        <v>7</v>
      </c>
      <c r="R507" s="71">
        <f t="shared" si="99"/>
        <v>964</v>
      </c>
      <c r="S507" s="76">
        <f>VLOOKUP(B507,'115+260'!$B$14:$AB$647,22,FALSE)</f>
        <v>3873</v>
      </c>
      <c r="T507" s="75">
        <f>VLOOKUP(B507,'115+260'!$B$15:$AB$647,6,FALSE)</f>
        <v>1401</v>
      </c>
      <c r="U507" s="74">
        <f t="shared" si="95"/>
        <v>1933</v>
      </c>
      <c r="V507" s="73">
        <f>VLOOKUP(B507,'115+260'!$B$15:$AB$647,15,FALSE)</f>
        <v>-1067</v>
      </c>
      <c r="W507" s="72">
        <f>'115+260'!S508</f>
        <v>2</v>
      </c>
      <c r="X507" s="71">
        <f t="shared" si="100"/>
        <v>817</v>
      </c>
      <c r="Y507" s="70">
        <f t="shared" si="101"/>
        <v>-2</v>
      </c>
      <c r="Z507" s="69">
        <f t="shared" si="102"/>
        <v>0</v>
      </c>
      <c r="AA507" s="68">
        <f t="shared" si="103"/>
        <v>4.8020000000000005</v>
      </c>
      <c r="AB507" s="68">
        <f t="shared" si="104"/>
        <v>2.9820000000000002</v>
      </c>
    </row>
    <row r="508" spans="2:28">
      <c r="B508" s="110">
        <f>'115+260'!B509</f>
        <v>45746</v>
      </c>
      <c r="C508" s="80">
        <f t="shared" si="96"/>
        <v>1</v>
      </c>
      <c r="D508" s="79">
        <f t="shared" si="97"/>
        <v>1069</v>
      </c>
      <c r="E508" s="78">
        <f>VLOOKUP(B508,'115+260'!B509:AB509,3,FALSE)</f>
        <v>2267</v>
      </c>
      <c r="F508" s="75">
        <f t="shared" si="92"/>
        <v>3336</v>
      </c>
      <c r="G508" s="77">
        <f>VLOOKUP(B508,'115+260'!$B$15:$AB$647,20,FALSE)</f>
        <v>3977</v>
      </c>
      <c r="H508" s="77">
        <f>VLOOKUP(B508,'115+260'!$B$15:$AB$647,4,FALSE)</f>
        <v>1249</v>
      </c>
      <c r="I508" s="74">
        <f t="shared" si="93"/>
        <v>2087</v>
      </c>
      <c r="J508" s="74">
        <f>VLOOKUP(B508,'115+260'!$B$15:$AB$647,13,FALSE)</f>
        <v>-913</v>
      </c>
      <c r="K508" s="72">
        <f>'115+260'!Q509</f>
        <v>6</v>
      </c>
      <c r="L508" s="71">
        <f t="shared" si="98"/>
        <v>713</v>
      </c>
      <c r="M508" s="76">
        <f>VLOOKUP(B508,'115+260'!$B$14:$AB$647,21,FALSE)</f>
        <v>3718</v>
      </c>
      <c r="N508" s="75">
        <f>VLOOKUP(B508,'115+260'!$B$15:$AB$647,5,FALSE)</f>
        <v>1528</v>
      </c>
      <c r="O508" s="74">
        <f t="shared" si="94"/>
        <v>1808</v>
      </c>
      <c r="P508" s="74">
        <f>VLOOKUP(B508,'115+260'!$B$15:$AB$647,14,FALSE)</f>
        <v>-1192</v>
      </c>
      <c r="Q508" s="72">
        <f>'115+260'!R509</f>
        <v>8</v>
      </c>
      <c r="R508" s="71">
        <f t="shared" si="99"/>
        <v>972</v>
      </c>
      <c r="S508" s="76">
        <f>VLOOKUP(B508,'115+260'!$B$14:$AB$647,22,FALSE)</f>
        <v>3870</v>
      </c>
      <c r="T508" s="75">
        <f>VLOOKUP(B508,'115+260'!$B$15:$AB$647,6,FALSE)</f>
        <v>1406</v>
      </c>
      <c r="U508" s="74">
        <f t="shared" si="95"/>
        <v>1930</v>
      </c>
      <c r="V508" s="73">
        <f>VLOOKUP(B508,'115+260'!$B$15:$AB$647,15,FALSE)</f>
        <v>-1070</v>
      </c>
      <c r="W508" s="72">
        <f>'115+260'!S509</f>
        <v>3</v>
      </c>
      <c r="X508" s="71">
        <f t="shared" si="100"/>
        <v>820</v>
      </c>
      <c r="Y508" s="70">
        <f t="shared" si="101"/>
        <v>-3</v>
      </c>
      <c r="Z508" s="69">
        <f t="shared" si="102"/>
        <v>0</v>
      </c>
      <c r="AA508" s="68">
        <f t="shared" si="103"/>
        <v>4.8020000000000005</v>
      </c>
      <c r="AB508" s="68">
        <f t="shared" si="104"/>
        <v>2.9660000000000002</v>
      </c>
    </row>
    <row r="509" spans="2:28">
      <c r="B509" s="110">
        <f>'115+260'!B510</f>
        <v>45747</v>
      </c>
      <c r="C509" s="80">
        <f t="shared" si="96"/>
        <v>1</v>
      </c>
      <c r="D509" s="79">
        <f t="shared" si="97"/>
        <v>1069</v>
      </c>
      <c r="E509" s="78">
        <f>VLOOKUP(B509,'115+260'!B510:AB510,3,FALSE)</f>
        <v>2269</v>
      </c>
      <c r="F509" s="75">
        <f t="shared" si="92"/>
        <v>3338</v>
      </c>
      <c r="G509" s="77">
        <f>VLOOKUP(B509,'115+260'!$B$15:$AB$647,20,FALSE)</f>
        <v>4272</v>
      </c>
      <c r="H509" s="77">
        <f>VLOOKUP(B509,'115+260'!$B$15:$AB$647,4,FALSE)</f>
        <v>1256</v>
      </c>
      <c r="I509" s="74">
        <f t="shared" si="93"/>
        <v>2082</v>
      </c>
      <c r="J509" s="74">
        <f>VLOOKUP(B509,'115+260'!$B$15:$AB$647,13,FALSE)</f>
        <v>-918</v>
      </c>
      <c r="K509" s="72">
        <f>'115+260'!Q510</f>
        <v>5</v>
      </c>
      <c r="L509" s="71">
        <f t="shared" si="98"/>
        <v>718</v>
      </c>
      <c r="M509" s="76">
        <f>VLOOKUP(B509,'115+260'!$B$14:$AB$647,21,FALSE)</f>
        <v>4012</v>
      </c>
      <c r="N509" s="75">
        <f>VLOOKUP(B509,'115+260'!$B$15:$AB$647,5,FALSE)</f>
        <v>1536</v>
      </c>
      <c r="O509" s="74">
        <f t="shared" si="94"/>
        <v>1802</v>
      </c>
      <c r="P509" s="74">
        <f>VLOOKUP(B509,'115+260'!$B$15:$AB$647,14,FALSE)</f>
        <v>-1198</v>
      </c>
      <c r="Q509" s="72">
        <f>'115+260'!R510</f>
        <v>6</v>
      </c>
      <c r="R509" s="71">
        <f t="shared" si="99"/>
        <v>978</v>
      </c>
      <c r="S509" s="76">
        <f>VLOOKUP(B509,'115+260'!$B$14:$AB$647,22,FALSE)</f>
        <v>4168</v>
      </c>
      <c r="T509" s="75">
        <f>VLOOKUP(B509,'115+260'!$B$15:$AB$647,6,FALSE)</f>
        <v>1410</v>
      </c>
      <c r="U509" s="74">
        <f t="shared" si="95"/>
        <v>1928</v>
      </c>
      <c r="V509" s="73">
        <f>VLOOKUP(B509,'115+260'!$B$15:$AB$647,15,FALSE)</f>
        <v>-1072</v>
      </c>
      <c r="W509" s="72">
        <f>'115+260'!S510</f>
        <v>2</v>
      </c>
      <c r="X509" s="71">
        <f t="shared" si="100"/>
        <v>822</v>
      </c>
      <c r="Y509" s="70">
        <f t="shared" si="101"/>
        <v>298</v>
      </c>
      <c r="Z509" s="69">
        <f t="shared" si="102"/>
        <v>0.29799999999999999</v>
      </c>
      <c r="AA509" s="68">
        <f t="shared" si="103"/>
        <v>5.1000000000000005</v>
      </c>
      <c r="AB509" s="68">
        <f t="shared" si="104"/>
        <v>3.254</v>
      </c>
    </row>
    <row r="510" spans="2:28">
      <c r="B510" s="110">
        <f>'115+260'!B511</f>
        <v>45748</v>
      </c>
      <c r="C510" s="80">
        <f t="shared" si="96"/>
        <v>1</v>
      </c>
      <c r="D510" s="79">
        <f t="shared" ref="D510:D526" si="105">D509</f>
        <v>1069</v>
      </c>
      <c r="E510" s="78">
        <f>VLOOKUP(B510,'115+260'!B511:AB511,3,FALSE)</f>
        <v>2271</v>
      </c>
      <c r="F510" s="75">
        <f t="shared" ref="F510:F526" si="106">D510+E510</f>
        <v>3340</v>
      </c>
      <c r="G510" s="77">
        <f>VLOOKUP(B510,'115+260'!$B$15:$AB$647,20,FALSE)</f>
        <v>4262</v>
      </c>
      <c r="H510" s="77">
        <f>VLOOKUP(B510,'115+260'!$B$15:$AB$647,4,FALSE)</f>
        <v>1268</v>
      </c>
      <c r="I510" s="74">
        <f t="shared" ref="I510:I526" si="107">F510-H510</f>
        <v>2072</v>
      </c>
      <c r="J510" s="74">
        <f>VLOOKUP(B510,'115+260'!$B$15:$AB$647,13,FALSE)</f>
        <v>-928</v>
      </c>
      <c r="K510" s="72">
        <f>'115+260'!Q511</f>
        <v>10</v>
      </c>
      <c r="L510" s="71">
        <f t="shared" ref="L510:L526" si="108">+K510+L509</f>
        <v>728</v>
      </c>
      <c r="M510" s="76">
        <f>VLOOKUP(B510,'115+260'!$B$14:$AB$647,21,FALSE)</f>
        <v>4002</v>
      </c>
      <c r="N510" s="75">
        <f>VLOOKUP(B510,'115+260'!$B$15:$AB$647,5,FALSE)</f>
        <v>1548</v>
      </c>
      <c r="O510" s="74">
        <f t="shared" ref="O510:O526" si="109">F510-N510</f>
        <v>1792</v>
      </c>
      <c r="P510" s="74">
        <f>VLOOKUP(B510,'115+260'!$B$15:$AB$647,14,FALSE)</f>
        <v>-1208</v>
      </c>
      <c r="Q510" s="72">
        <f>'115+260'!R511</f>
        <v>10</v>
      </c>
      <c r="R510" s="71">
        <f t="shared" ref="R510:R526" si="110">+Q510+R509</f>
        <v>988</v>
      </c>
      <c r="S510" s="76">
        <f>VLOOKUP(B510,'115+260'!$B$14:$AB$647,22,FALSE)</f>
        <v>4161</v>
      </c>
      <c r="T510" s="75">
        <f>VLOOKUP(B510,'115+260'!$B$15:$AB$647,6,FALSE)</f>
        <v>1419</v>
      </c>
      <c r="U510" s="74">
        <f t="shared" ref="U510:U526" si="111">F510-T510</f>
        <v>1921</v>
      </c>
      <c r="V510" s="73">
        <f>VLOOKUP(B510,'115+260'!$B$15:$AB$647,15,FALSE)</f>
        <v>-1079</v>
      </c>
      <c r="W510" s="72">
        <f>'115+260'!S511</f>
        <v>7</v>
      </c>
      <c r="X510" s="71">
        <f t="shared" ref="X510:X526" si="112">+W510+X509</f>
        <v>829</v>
      </c>
      <c r="Y510" s="70">
        <f t="shared" ref="Y510:Y526" si="113">S510-S509</f>
        <v>-7</v>
      </c>
      <c r="Z510" s="69">
        <f t="shared" si="102"/>
        <v>0</v>
      </c>
      <c r="AA510" s="68">
        <f t="shared" ref="AA510:AA526" si="114">AA509+Z510</f>
        <v>5.1000000000000005</v>
      </c>
      <c r="AB510" s="68">
        <f t="shared" ref="AB510:AB526" si="115">(M510-$M$13-R510)/1000</f>
        <v>3.234</v>
      </c>
    </row>
    <row r="511" spans="2:28">
      <c r="B511" s="110">
        <f>'115+260'!B512</f>
        <v>45749</v>
      </c>
      <c r="C511" s="80">
        <f t="shared" si="96"/>
        <v>1</v>
      </c>
      <c r="D511" s="79">
        <f t="shared" si="105"/>
        <v>1069</v>
      </c>
      <c r="E511" s="78">
        <f>VLOOKUP(B511,'115+260'!B512:AB512,3,FALSE)</f>
        <v>2273</v>
      </c>
      <c r="F511" s="75">
        <f t="shared" si="106"/>
        <v>3342</v>
      </c>
      <c r="G511" s="77">
        <f>VLOOKUP(B511,'115+260'!$B$15:$AB$647,20,FALSE)</f>
        <v>4252</v>
      </c>
      <c r="H511" s="77">
        <f>VLOOKUP(B511,'115+260'!$B$15:$AB$647,4,FALSE)</f>
        <v>1280</v>
      </c>
      <c r="I511" s="74">
        <f t="shared" si="107"/>
        <v>2062</v>
      </c>
      <c r="J511" s="74">
        <f>VLOOKUP(B511,'115+260'!$B$15:$AB$647,13,FALSE)</f>
        <v>-938</v>
      </c>
      <c r="K511" s="72">
        <f>'115+260'!Q512</f>
        <v>10</v>
      </c>
      <c r="L511" s="71">
        <f t="shared" si="108"/>
        <v>738</v>
      </c>
      <c r="M511" s="76">
        <f>VLOOKUP(B511,'115+260'!$B$14:$AB$647,21,FALSE)</f>
        <v>3992</v>
      </c>
      <c r="N511" s="75">
        <f>VLOOKUP(B511,'115+260'!$B$15:$AB$647,5,FALSE)</f>
        <v>1560</v>
      </c>
      <c r="O511" s="74">
        <f t="shared" si="109"/>
        <v>1782</v>
      </c>
      <c r="P511" s="74">
        <f>VLOOKUP(B511,'115+260'!$B$15:$AB$647,14,FALSE)</f>
        <v>-1218</v>
      </c>
      <c r="Q511" s="72">
        <f>'115+260'!R512</f>
        <v>10</v>
      </c>
      <c r="R511" s="71">
        <f t="shared" si="110"/>
        <v>998</v>
      </c>
      <c r="S511" s="76">
        <f>VLOOKUP(B511,'115+260'!$B$14:$AB$647,22,FALSE)</f>
        <v>4156</v>
      </c>
      <c r="T511" s="75">
        <f>VLOOKUP(B511,'115+260'!$B$15:$AB$647,6,FALSE)</f>
        <v>1426</v>
      </c>
      <c r="U511" s="74">
        <f t="shared" si="111"/>
        <v>1916</v>
      </c>
      <c r="V511" s="73">
        <f>VLOOKUP(B511,'115+260'!$B$15:$AB$647,15,FALSE)</f>
        <v>-1084</v>
      </c>
      <c r="W511" s="72">
        <f>'115+260'!S512</f>
        <v>5</v>
      </c>
      <c r="X511" s="71">
        <f t="shared" si="112"/>
        <v>834</v>
      </c>
      <c r="Y511" s="70">
        <f t="shared" si="113"/>
        <v>-5</v>
      </c>
      <c r="Z511" s="69">
        <f t="shared" si="102"/>
        <v>0</v>
      </c>
      <c r="AA511" s="68">
        <f t="shared" si="114"/>
        <v>5.1000000000000005</v>
      </c>
      <c r="AB511" s="68">
        <f t="shared" si="115"/>
        <v>3.214</v>
      </c>
    </row>
    <row r="512" spans="2:28">
      <c r="B512" s="110">
        <f>'115+260'!B513</f>
        <v>45750</v>
      </c>
      <c r="C512" s="80">
        <f t="shared" si="96"/>
        <v>1</v>
      </c>
      <c r="D512" s="79">
        <f t="shared" si="105"/>
        <v>1069</v>
      </c>
      <c r="E512" s="78">
        <f>VLOOKUP(B512,'115+260'!B513:AB513,3,FALSE)</f>
        <v>2275</v>
      </c>
      <c r="F512" s="75">
        <f t="shared" si="106"/>
        <v>3344</v>
      </c>
      <c r="G512" s="77">
        <f>VLOOKUP(B512,'115+260'!$B$15:$AB$647,20,FALSE)</f>
        <v>4542</v>
      </c>
      <c r="H512" s="77">
        <f>VLOOKUP(B512,'115+260'!$B$15:$AB$647,4,FALSE)</f>
        <v>1292</v>
      </c>
      <c r="I512" s="74">
        <f t="shared" si="107"/>
        <v>2052</v>
      </c>
      <c r="J512" s="74">
        <f>VLOOKUP(B512,'115+260'!$B$15:$AB$647,13,FALSE)</f>
        <v>-948</v>
      </c>
      <c r="K512" s="72">
        <f>'115+260'!Q513</f>
        <v>10</v>
      </c>
      <c r="L512" s="71">
        <f t="shared" si="108"/>
        <v>748</v>
      </c>
      <c r="M512" s="76">
        <f>VLOOKUP(B512,'115+260'!$B$14:$AB$647,21,FALSE)</f>
        <v>4282</v>
      </c>
      <c r="N512" s="75">
        <f>VLOOKUP(B512,'115+260'!$B$15:$AB$647,5,FALSE)</f>
        <v>1572</v>
      </c>
      <c r="O512" s="74">
        <f t="shared" si="109"/>
        <v>1772</v>
      </c>
      <c r="P512" s="74">
        <f>VLOOKUP(B512,'115+260'!$B$15:$AB$647,14,FALSE)</f>
        <v>-1228</v>
      </c>
      <c r="Q512" s="72">
        <f>'115+260'!R513</f>
        <v>10</v>
      </c>
      <c r="R512" s="71">
        <f t="shared" si="110"/>
        <v>1008</v>
      </c>
      <c r="S512" s="76">
        <f>VLOOKUP(B512,'115+260'!$B$14:$AB$647,22,FALSE)</f>
        <v>4450</v>
      </c>
      <c r="T512" s="75">
        <f>VLOOKUP(B512,'115+260'!$B$15:$AB$647,6,FALSE)</f>
        <v>1434</v>
      </c>
      <c r="U512" s="74">
        <f t="shared" si="111"/>
        <v>1910</v>
      </c>
      <c r="V512" s="73">
        <f>VLOOKUP(B512,'115+260'!$B$15:$AB$647,15,FALSE)</f>
        <v>-1090</v>
      </c>
      <c r="W512" s="72">
        <f>'115+260'!S513</f>
        <v>6</v>
      </c>
      <c r="X512" s="71">
        <f t="shared" si="112"/>
        <v>840</v>
      </c>
      <c r="Y512" s="70">
        <f t="shared" si="113"/>
        <v>294</v>
      </c>
      <c r="Z512" s="69">
        <f t="shared" si="102"/>
        <v>0.29399999999999998</v>
      </c>
      <c r="AA512" s="68">
        <f t="shared" si="114"/>
        <v>5.3940000000000001</v>
      </c>
      <c r="AB512" s="68">
        <f t="shared" si="115"/>
        <v>3.4940000000000002</v>
      </c>
    </row>
    <row r="513" spans="2:28">
      <c r="B513" s="110">
        <f>'115+260'!B514</f>
        <v>45751</v>
      </c>
      <c r="C513" s="80">
        <f t="shared" si="96"/>
        <v>1</v>
      </c>
      <c r="D513" s="79">
        <f t="shared" si="105"/>
        <v>1069</v>
      </c>
      <c r="E513" s="78">
        <f>VLOOKUP(B513,'115+260'!B514:AB514,3,FALSE)</f>
        <v>2277</v>
      </c>
      <c r="F513" s="75">
        <f t="shared" si="106"/>
        <v>3346</v>
      </c>
      <c r="G513" s="77">
        <f>VLOOKUP(B513,'115+260'!$B$15:$AB$647,20,FALSE)</f>
        <v>4532</v>
      </c>
      <c r="H513" s="77">
        <f>VLOOKUP(B513,'115+260'!$B$15:$AB$647,4,FALSE)</f>
        <v>1304</v>
      </c>
      <c r="I513" s="74">
        <f t="shared" si="107"/>
        <v>2042</v>
      </c>
      <c r="J513" s="74">
        <f>VLOOKUP(B513,'115+260'!$B$15:$AB$647,13,FALSE)</f>
        <v>-958</v>
      </c>
      <c r="K513" s="72">
        <f>'115+260'!Q514</f>
        <v>10</v>
      </c>
      <c r="L513" s="71">
        <f t="shared" si="108"/>
        <v>758</v>
      </c>
      <c r="M513" s="76">
        <f>VLOOKUP(B513,'115+260'!$B$14:$AB$647,21,FALSE)</f>
        <v>4272</v>
      </c>
      <c r="N513" s="75">
        <f>VLOOKUP(B513,'115+260'!$B$15:$AB$647,5,FALSE)</f>
        <v>1584</v>
      </c>
      <c r="O513" s="74">
        <f t="shared" si="109"/>
        <v>1762</v>
      </c>
      <c r="P513" s="74">
        <f>VLOOKUP(B513,'115+260'!$B$15:$AB$647,14,FALSE)</f>
        <v>-1238</v>
      </c>
      <c r="Q513" s="72">
        <f>'115+260'!R514</f>
        <v>10</v>
      </c>
      <c r="R513" s="71">
        <f t="shared" si="110"/>
        <v>1018</v>
      </c>
      <c r="S513" s="76">
        <f>VLOOKUP(B513,'115+260'!$B$14:$AB$647,22,FALSE)</f>
        <v>4445</v>
      </c>
      <c r="T513" s="75">
        <f>VLOOKUP(B513,'115+260'!$B$15:$AB$647,6,FALSE)</f>
        <v>1441</v>
      </c>
      <c r="U513" s="74">
        <f t="shared" si="111"/>
        <v>1905</v>
      </c>
      <c r="V513" s="73">
        <f>VLOOKUP(B513,'115+260'!$B$15:$AB$647,15,FALSE)</f>
        <v>-1095</v>
      </c>
      <c r="W513" s="72">
        <f>'115+260'!S514</f>
        <v>5</v>
      </c>
      <c r="X513" s="71">
        <f t="shared" si="112"/>
        <v>845</v>
      </c>
      <c r="Y513" s="70">
        <f t="shared" si="113"/>
        <v>-5</v>
      </c>
      <c r="Z513" s="69">
        <f t="shared" si="102"/>
        <v>0</v>
      </c>
      <c r="AA513" s="68">
        <f t="shared" si="114"/>
        <v>5.3940000000000001</v>
      </c>
      <c r="AB513" s="68">
        <f t="shared" si="115"/>
        <v>3.4740000000000002</v>
      </c>
    </row>
    <row r="514" spans="2:28">
      <c r="B514" s="110">
        <f>'115+260'!B515</f>
        <v>45752</v>
      </c>
      <c r="C514" s="80">
        <f t="shared" si="96"/>
        <v>1</v>
      </c>
      <c r="D514" s="79">
        <f t="shared" si="105"/>
        <v>1069</v>
      </c>
      <c r="E514" s="78">
        <f>VLOOKUP(B514,'115+260'!B515:AB515,3,FALSE)</f>
        <v>2279</v>
      </c>
      <c r="F514" s="75">
        <f t="shared" si="106"/>
        <v>3348</v>
      </c>
      <c r="G514" s="77">
        <f>VLOOKUP(B514,'115+260'!$B$15:$AB$647,20,FALSE)</f>
        <v>4522</v>
      </c>
      <c r="H514" s="77">
        <f>VLOOKUP(B514,'115+260'!$B$15:$AB$647,4,FALSE)</f>
        <v>1316</v>
      </c>
      <c r="I514" s="74">
        <f t="shared" si="107"/>
        <v>2032</v>
      </c>
      <c r="J514" s="74">
        <f>VLOOKUP(B514,'115+260'!$B$15:$AB$647,13,FALSE)</f>
        <v>-968</v>
      </c>
      <c r="K514" s="72">
        <f>'115+260'!Q515</f>
        <v>10</v>
      </c>
      <c r="L514" s="71">
        <f t="shared" si="108"/>
        <v>768</v>
      </c>
      <c r="M514" s="76">
        <f>VLOOKUP(B514,'115+260'!$B$14:$AB$647,21,FALSE)</f>
        <v>4262</v>
      </c>
      <c r="N514" s="75">
        <f>VLOOKUP(B514,'115+260'!$B$15:$AB$647,5,FALSE)</f>
        <v>1596</v>
      </c>
      <c r="O514" s="74">
        <f t="shared" si="109"/>
        <v>1752</v>
      </c>
      <c r="P514" s="74">
        <f>VLOOKUP(B514,'115+260'!$B$15:$AB$647,14,FALSE)</f>
        <v>-1248</v>
      </c>
      <c r="Q514" s="72">
        <f>'115+260'!R515</f>
        <v>10</v>
      </c>
      <c r="R514" s="71">
        <f t="shared" si="110"/>
        <v>1028</v>
      </c>
      <c r="S514" s="76">
        <f>VLOOKUP(B514,'115+260'!$B$14:$AB$647,22,FALSE)</f>
        <v>4438</v>
      </c>
      <c r="T514" s="75">
        <f>VLOOKUP(B514,'115+260'!$B$15:$AB$647,6,FALSE)</f>
        <v>1450</v>
      </c>
      <c r="U514" s="74">
        <f t="shared" si="111"/>
        <v>1898</v>
      </c>
      <c r="V514" s="73">
        <f>VLOOKUP(B514,'115+260'!$B$15:$AB$647,15,FALSE)</f>
        <v>-1102</v>
      </c>
      <c r="W514" s="72">
        <f>'115+260'!S515</f>
        <v>7</v>
      </c>
      <c r="X514" s="71">
        <f t="shared" si="112"/>
        <v>852</v>
      </c>
      <c r="Y514" s="70">
        <f t="shared" si="113"/>
        <v>-7</v>
      </c>
      <c r="Z514" s="69">
        <f t="shared" si="102"/>
        <v>0</v>
      </c>
      <c r="AA514" s="68">
        <f t="shared" si="114"/>
        <v>5.3940000000000001</v>
      </c>
      <c r="AB514" s="68">
        <f t="shared" si="115"/>
        <v>3.4540000000000002</v>
      </c>
    </row>
    <row r="515" spans="2:28">
      <c r="B515" s="110">
        <f>'115+260'!B516</f>
        <v>45753</v>
      </c>
      <c r="C515" s="80">
        <f t="shared" si="96"/>
        <v>1</v>
      </c>
      <c r="D515" s="79">
        <f t="shared" si="105"/>
        <v>1069</v>
      </c>
      <c r="E515" s="78">
        <f>VLOOKUP(B515,'115+260'!B516:AB516,3,FALSE)</f>
        <v>2281</v>
      </c>
      <c r="F515" s="75">
        <f t="shared" si="106"/>
        <v>3350</v>
      </c>
      <c r="G515" s="77">
        <f>VLOOKUP(B515,'115+260'!$B$15:$AB$647,20,FALSE)</f>
        <v>4812</v>
      </c>
      <c r="H515" s="77">
        <f>VLOOKUP(B515,'115+260'!$B$15:$AB$647,4,FALSE)</f>
        <v>1328</v>
      </c>
      <c r="I515" s="74">
        <f t="shared" si="107"/>
        <v>2022</v>
      </c>
      <c r="J515" s="74">
        <f>VLOOKUP(B515,'115+260'!$B$15:$AB$647,13,FALSE)</f>
        <v>-978</v>
      </c>
      <c r="K515" s="72">
        <f>'115+260'!Q516</f>
        <v>10</v>
      </c>
      <c r="L515" s="71">
        <f t="shared" si="108"/>
        <v>778</v>
      </c>
      <c r="M515" s="76">
        <f>VLOOKUP(B515,'115+260'!$B$14:$AB$647,21,FALSE)</f>
        <v>4552</v>
      </c>
      <c r="N515" s="75">
        <f>VLOOKUP(B515,'115+260'!$B$15:$AB$647,5,FALSE)</f>
        <v>1608</v>
      </c>
      <c r="O515" s="74">
        <f t="shared" si="109"/>
        <v>1742</v>
      </c>
      <c r="P515" s="74">
        <f>VLOOKUP(B515,'115+260'!$B$15:$AB$647,14,FALSE)</f>
        <v>-1258</v>
      </c>
      <c r="Q515" s="72">
        <f>'115+260'!R516</f>
        <v>10</v>
      </c>
      <c r="R515" s="71">
        <f t="shared" si="110"/>
        <v>1038</v>
      </c>
      <c r="S515" s="76">
        <f>VLOOKUP(B515,'115+260'!$B$14:$AB$647,22,FALSE)</f>
        <v>4732</v>
      </c>
      <c r="T515" s="75">
        <f>VLOOKUP(B515,'115+260'!$B$15:$AB$647,6,FALSE)</f>
        <v>1458</v>
      </c>
      <c r="U515" s="74">
        <f t="shared" si="111"/>
        <v>1892</v>
      </c>
      <c r="V515" s="73">
        <f>VLOOKUP(B515,'115+260'!$B$15:$AB$647,15,FALSE)</f>
        <v>-1108</v>
      </c>
      <c r="W515" s="72">
        <f>'115+260'!S516</f>
        <v>6</v>
      </c>
      <c r="X515" s="71">
        <f t="shared" si="112"/>
        <v>858</v>
      </c>
      <c r="Y515" s="70">
        <f t="shared" si="113"/>
        <v>294</v>
      </c>
      <c r="Z515" s="69">
        <f t="shared" si="102"/>
        <v>0.29399999999999998</v>
      </c>
      <c r="AA515" s="68">
        <f t="shared" si="114"/>
        <v>5.6879999999999997</v>
      </c>
      <c r="AB515" s="68">
        <f t="shared" si="115"/>
        <v>3.734</v>
      </c>
    </row>
    <row r="516" spans="2:28">
      <c r="B516" s="110">
        <f>'115+260'!B517</f>
        <v>45754</v>
      </c>
      <c r="C516" s="80">
        <f t="shared" si="96"/>
        <v>1</v>
      </c>
      <c r="D516" s="79">
        <f t="shared" si="105"/>
        <v>1069</v>
      </c>
      <c r="E516" s="78">
        <f>VLOOKUP(B516,'115+260'!B517:AB517,3,FALSE)</f>
        <v>2283</v>
      </c>
      <c r="F516" s="75">
        <f t="shared" si="106"/>
        <v>3352</v>
      </c>
      <c r="G516" s="77">
        <f>VLOOKUP(B516,'115+260'!$B$15:$AB$647,20,FALSE)</f>
        <v>4802</v>
      </c>
      <c r="H516" s="77">
        <f>VLOOKUP(B516,'115+260'!$B$15:$AB$647,4,FALSE)</f>
        <v>1340</v>
      </c>
      <c r="I516" s="74">
        <f t="shared" si="107"/>
        <v>2012</v>
      </c>
      <c r="J516" s="74">
        <f>VLOOKUP(B516,'115+260'!$B$15:$AB$647,13,FALSE)</f>
        <v>-988</v>
      </c>
      <c r="K516" s="72">
        <f>'115+260'!Q517</f>
        <v>10</v>
      </c>
      <c r="L516" s="71">
        <f t="shared" si="108"/>
        <v>788</v>
      </c>
      <c r="M516" s="76">
        <f>VLOOKUP(B516,'115+260'!$B$14:$AB$647,21,FALSE)</f>
        <v>4542</v>
      </c>
      <c r="N516" s="75">
        <f>VLOOKUP(B516,'115+260'!$B$15:$AB$647,5,FALSE)</f>
        <v>1620</v>
      </c>
      <c r="O516" s="74">
        <f t="shared" si="109"/>
        <v>1732</v>
      </c>
      <c r="P516" s="74">
        <f>VLOOKUP(B516,'115+260'!$B$15:$AB$647,14,FALSE)</f>
        <v>-1268</v>
      </c>
      <c r="Q516" s="72">
        <f>'115+260'!R517</f>
        <v>10</v>
      </c>
      <c r="R516" s="71">
        <f t="shared" si="110"/>
        <v>1048</v>
      </c>
      <c r="S516" s="76">
        <f>VLOOKUP(B516,'115+260'!$B$14:$AB$647,22,FALSE)</f>
        <v>4725</v>
      </c>
      <c r="T516" s="75">
        <f>VLOOKUP(B516,'115+260'!$B$15:$AB$647,6,FALSE)</f>
        <v>1467</v>
      </c>
      <c r="U516" s="74">
        <f t="shared" si="111"/>
        <v>1885</v>
      </c>
      <c r="V516" s="73">
        <f>VLOOKUP(B516,'115+260'!$B$15:$AB$647,15,FALSE)</f>
        <v>-1115</v>
      </c>
      <c r="W516" s="72">
        <f>'115+260'!S517</f>
        <v>7</v>
      </c>
      <c r="X516" s="71">
        <f t="shared" si="112"/>
        <v>865</v>
      </c>
      <c r="Y516" s="70">
        <f t="shared" si="113"/>
        <v>-7</v>
      </c>
      <c r="Z516" s="69">
        <f t="shared" si="102"/>
        <v>0</v>
      </c>
      <c r="AA516" s="68">
        <f t="shared" si="114"/>
        <v>5.6879999999999997</v>
      </c>
      <c r="AB516" s="68">
        <f t="shared" si="115"/>
        <v>3.714</v>
      </c>
    </row>
    <row r="517" spans="2:28">
      <c r="B517" s="110">
        <f>'115+260'!B518</f>
        <v>45755</v>
      </c>
      <c r="C517" s="80">
        <f t="shared" si="96"/>
        <v>1</v>
      </c>
      <c r="D517" s="79">
        <f t="shared" si="105"/>
        <v>1069</v>
      </c>
      <c r="E517" s="78">
        <f>VLOOKUP(B517,'115+260'!B518:AB518,3,FALSE)</f>
        <v>2285</v>
      </c>
      <c r="F517" s="75">
        <f t="shared" si="106"/>
        <v>3354</v>
      </c>
      <c r="G517" s="77">
        <f>VLOOKUP(B517,'115+260'!$B$15:$AB$647,20,FALSE)</f>
        <v>4792</v>
      </c>
      <c r="H517" s="77">
        <f>VLOOKUP(B517,'115+260'!$B$15:$AB$647,4,FALSE)</f>
        <v>1352</v>
      </c>
      <c r="I517" s="74">
        <f t="shared" si="107"/>
        <v>2002</v>
      </c>
      <c r="J517" s="74">
        <f>VLOOKUP(B517,'115+260'!$B$15:$AB$647,13,FALSE)</f>
        <v>-998</v>
      </c>
      <c r="K517" s="72">
        <f>'115+260'!Q518</f>
        <v>10</v>
      </c>
      <c r="L517" s="71">
        <f t="shared" si="108"/>
        <v>798</v>
      </c>
      <c r="M517" s="76">
        <f>VLOOKUP(B517,'115+260'!$B$14:$AB$647,21,FALSE)</f>
        <v>4532</v>
      </c>
      <c r="N517" s="75">
        <f>VLOOKUP(B517,'115+260'!$B$15:$AB$647,5,FALSE)</f>
        <v>1632</v>
      </c>
      <c r="O517" s="74">
        <f t="shared" si="109"/>
        <v>1722</v>
      </c>
      <c r="P517" s="74">
        <f>VLOOKUP(B517,'115+260'!$B$15:$AB$647,14,FALSE)</f>
        <v>-1278</v>
      </c>
      <c r="Q517" s="72">
        <f>'115+260'!R518</f>
        <v>10</v>
      </c>
      <c r="R517" s="71">
        <f t="shared" si="110"/>
        <v>1058</v>
      </c>
      <c r="S517" s="76">
        <f>VLOOKUP(B517,'115+260'!$B$14:$AB$647,22,FALSE)</f>
        <v>4717</v>
      </c>
      <c r="T517" s="75">
        <f>VLOOKUP(B517,'115+260'!$B$15:$AB$647,6,FALSE)</f>
        <v>1477</v>
      </c>
      <c r="U517" s="74">
        <f t="shared" si="111"/>
        <v>1877</v>
      </c>
      <c r="V517" s="73">
        <f>VLOOKUP(B517,'115+260'!$B$15:$AB$647,15,FALSE)</f>
        <v>-1123</v>
      </c>
      <c r="W517" s="72">
        <f>'115+260'!S518</f>
        <v>8</v>
      </c>
      <c r="X517" s="71">
        <f t="shared" si="112"/>
        <v>873</v>
      </c>
      <c r="Y517" s="70">
        <f t="shared" si="113"/>
        <v>-8</v>
      </c>
      <c r="Z517" s="69">
        <f t="shared" si="102"/>
        <v>0</v>
      </c>
      <c r="AA517" s="68">
        <f t="shared" si="114"/>
        <v>5.6879999999999997</v>
      </c>
      <c r="AB517" s="68">
        <f t="shared" si="115"/>
        <v>3.694</v>
      </c>
    </row>
    <row r="518" spans="2:28">
      <c r="B518" s="110">
        <f>'115+260'!B519</f>
        <v>45756</v>
      </c>
      <c r="C518" s="80">
        <f t="shared" si="96"/>
        <v>1</v>
      </c>
      <c r="D518" s="79">
        <f t="shared" si="105"/>
        <v>1069</v>
      </c>
      <c r="E518" s="78">
        <f>VLOOKUP(B518,'115+260'!B519:AB519,3,FALSE)</f>
        <v>2287</v>
      </c>
      <c r="F518" s="75">
        <f t="shared" si="106"/>
        <v>3356</v>
      </c>
      <c r="G518" s="77">
        <f>VLOOKUP(B518,'115+260'!$B$15:$AB$647,20,FALSE)</f>
        <v>4782</v>
      </c>
      <c r="H518" s="77">
        <f>VLOOKUP(B518,'115+260'!$B$15:$AB$647,4,FALSE)</f>
        <v>1364</v>
      </c>
      <c r="I518" s="74">
        <f t="shared" si="107"/>
        <v>1992</v>
      </c>
      <c r="J518" s="74">
        <f>VLOOKUP(B518,'115+260'!$B$15:$AB$647,13,FALSE)</f>
        <v>-1008</v>
      </c>
      <c r="K518" s="72">
        <f>'115+260'!Q519</f>
        <v>10</v>
      </c>
      <c r="L518" s="71">
        <f t="shared" si="108"/>
        <v>808</v>
      </c>
      <c r="M518" s="76">
        <f>VLOOKUP(B518,'115+260'!$B$14:$AB$647,21,FALSE)</f>
        <v>4522</v>
      </c>
      <c r="N518" s="75">
        <f>VLOOKUP(B518,'115+260'!$B$15:$AB$647,5,FALSE)</f>
        <v>1644</v>
      </c>
      <c r="O518" s="74">
        <f t="shared" si="109"/>
        <v>1712</v>
      </c>
      <c r="P518" s="74">
        <f>VLOOKUP(B518,'115+260'!$B$15:$AB$647,14,FALSE)</f>
        <v>-1288</v>
      </c>
      <c r="Q518" s="72">
        <f>'115+260'!R519</f>
        <v>10</v>
      </c>
      <c r="R518" s="71">
        <f t="shared" si="110"/>
        <v>1068</v>
      </c>
      <c r="S518" s="76">
        <f>VLOOKUP(B518,'115+260'!$B$14:$AB$647,22,FALSE)</f>
        <v>4710</v>
      </c>
      <c r="T518" s="75">
        <f>VLOOKUP(B518,'115+260'!$B$15:$AB$647,6,FALSE)</f>
        <v>1486</v>
      </c>
      <c r="U518" s="74">
        <f t="shared" si="111"/>
        <v>1870</v>
      </c>
      <c r="V518" s="73">
        <f>VLOOKUP(B518,'115+260'!$B$15:$AB$647,15,FALSE)</f>
        <v>-1130</v>
      </c>
      <c r="W518" s="72">
        <f>'115+260'!S519</f>
        <v>7</v>
      </c>
      <c r="X518" s="71">
        <f t="shared" si="112"/>
        <v>880</v>
      </c>
      <c r="Y518" s="70">
        <f t="shared" si="113"/>
        <v>-7</v>
      </c>
      <c r="Z518" s="69">
        <f t="shared" si="102"/>
        <v>0</v>
      </c>
      <c r="AA518" s="68">
        <f t="shared" si="114"/>
        <v>5.6879999999999997</v>
      </c>
      <c r="AB518" s="68">
        <f t="shared" si="115"/>
        <v>3.6739999999999999</v>
      </c>
    </row>
    <row r="519" spans="2:28">
      <c r="B519" s="110">
        <f>'115+260'!B520</f>
        <v>45757</v>
      </c>
      <c r="C519" s="80">
        <f t="shared" si="96"/>
        <v>1</v>
      </c>
      <c r="D519" s="79">
        <f t="shared" si="105"/>
        <v>1069</v>
      </c>
      <c r="E519" s="78">
        <f>VLOOKUP(B519,'115+260'!B520:AB520,3,FALSE)</f>
        <v>2289</v>
      </c>
      <c r="F519" s="75">
        <f t="shared" si="106"/>
        <v>3358</v>
      </c>
      <c r="G519" s="77">
        <f>VLOOKUP(B519,'115+260'!$B$15:$AB$647,20,FALSE)</f>
        <v>5072</v>
      </c>
      <c r="H519" s="77">
        <f>VLOOKUP(B519,'115+260'!$B$15:$AB$647,4,FALSE)</f>
        <v>1376</v>
      </c>
      <c r="I519" s="74">
        <f t="shared" si="107"/>
        <v>1982</v>
      </c>
      <c r="J519" s="74">
        <f>VLOOKUP(B519,'115+260'!$B$15:$AB$647,13,FALSE)</f>
        <v>-1018</v>
      </c>
      <c r="K519" s="72">
        <f>'115+260'!Q520</f>
        <v>10</v>
      </c>
      <c r="L519" s="71">
        <f t="shared" si="108"/>
        <v>818</v>
      </c>
      <c r="M519" s="76">
        <f>VLOOKUP(B519,'115+260'!$B$14:$AB$647,21,FALSE)</f>
        <v>4812</v>
      </c>
      <c r="N519" s="75">
        <f>VLOOKUP(B519,'115+260'!$B$15:$AB$647,5,FALSE)</f>
        <v>1656</v>
      </c>
      <c r="O519" s="74">
        <f t="shared" si="109"/>
        <v>1702</v>
      </c>
      <c r="P519" s="74">
        <f>VLOOKUP(B519,'115+260'!$B$15:$AB$647,14,FALSE)</f>
        <v>-1298</v>
      </c>
      <c r="Q519" s="72">
        <f>'115+260'!R520</f>
        <v>10</v>
      </c>
      <c r="R519" s="71">
        <f t="shared" si="110"/>
        <v>1078</v>
      </c>
      <c r="S519" s="76">
        <f>VLOOKUP(B519,'115+260'!$B$14:$AB$647,22,FALSE)</f>
        <v>5002</v>
      </c>
      <c r="T519" s="75">
        <f>VLOOKUP(B519,'115+260'!$B$15:$AB$647,6,FALSE)</f>
        <v>1496</v>
      </c>
      <c r="U519" s="74">
        <f t="shared" si="111"/>
        <v>1862</v>
      </c>
      <c r="V519" s="73">
        <f>VLOOKUP(B519,'115+260'!$B$15:$AB$647,15,FALSE)</f>
        <v>-1138</v>
      </c>
      <c r="W519" s="72">
        <f>'115+260'!S520</f>
        <v>8</v>
      </c>
      <c r="X519" s="71">
        <f t="shared" si="112"/>
        <v>888</v>
      </c>
      <c r="Y519" s="70">
        <f t="shared" si="113"/>
        <v>292</v>
      </c>
      <c r="Z519" s="69">
        <f t="shared" si="102"/>
        <v>0.29199999999999998</v>
      </c>
      <c r="AA519" s="68">
        <f t="shared" si="114"/>
        <v>5.9799999999999995</v>
      </c>
      <c r="AB519" s="68">
        <f t="shared" si="115"/>
        <v>3.9540000000000002</v>
      </c>
    </row>
    <row r="520" spans="2:28">
      <c r="B520" s="110">
        <f>'115+260'!B521</f>
        <v>45760</v>
      </c>
      <c r="C520" s="80">
        <f t="shared" si="96"/>
        <v>3</v>
      </c>
      <c r="D520" s="79">
        <f t="shared" si="105"/>
        <v>1069</v>
      </c>
      <c r="E520" s="78">
        <f>VLOOKUP(B520,'115+260'!B521:AB521,3,FALSE)</f>
        <v>2291</v>
      </c>
      <c r="F520" s="75">
        <f t="shared" si="106"/>
        <v>3360</v>
      </c>
      <c r="G520" s="77">
        <f>VLOOKUP(B520,'115+260'!$B$15:$AB$647,20,FALSE)</f>
        <v>5045</v>
      </c>
      <c r="H520" s="77">
        <f>VLOOKUP(B520,'115+260'!$B$15:$AB$647,4,FALSE)</f>
        <v>1405</v>
      </c>
      <c r="I520" s="74">
        <f t="shared" si="107"/>
        <v>1955</v>
      </c>
      <c r="J520" s="74">
        <f>VLOOKUP(B520,'115+260'!$B$15:$AB$647,13,FALSE)</f>
        <v>-1045</v>
      </c>
      <c r="K520" s="72">
        <f>'115+260'!Q521</f>
        <v>27</v>
      </c>
      <c r="L520" s="71">
        <f t="shared" si="108"/>
        <v>845</v>
      </c>
      <c r="M520" s="76">
        <f>VLOOKUP(B520,'115+260'!$B$14:$AB$647,21,FALSE)</f>
        <v>4782</v>
      </c>
      <c r="N520" s="75">
        <f>VLOOKUP(B520,'115+260'!$B$15:$AB$647,5,FALSE)</f>
        <v>1688</v>
      </c>
      <c r="O520" s="74">
        <f t="shared" si="109"/>
        <v>1672</v>
      </c>
      <c r="P520" s="74">
        <f>VLOOKUP(B520,'115+260'!$B$15:$AB$647,14,FALSE)</f>
        <v>-1328</v>
      </c>
      <c r="Q520" s="72">
        <f>'115+260'!R521</f>
        <v>30</v>
      </c>
      <c r="R520" s="71">
        <f t="shared" si="110"/>
        <v>1108</v>
      </c>
      <c r="S520" s="76">
        <f>VLOOKUP(B520,'115+260'!$B$14:$AB$647,22,FALSE)</f>
        <v>4978</v>
      </c>
      <c r="T520" s="75">
        <f>VLOOKUP(B520,'115+260'!$B$15:$AB$647,6,FALSE)</f>
        <v>1522</v>
      </c>
      <c r="U520" s="74">
        <f t="shared" si="111"/>
        <v>1838</v>
      </c>
      <c r="V520" s="73">
        <f>VLOOKUP(B520,'115+260'!$B$15:$AB$647,15,FALSE)</f>
        <v>-1162</v>
      </c>
      <c r="W520" s="72">
        <f>'115+260'!S521</f>
        <v>24</v>
      </c>
      <c r="X520" s="71">
        <f t="shared" si="112"/>
        <v>912</v>
      </c>
      <c r="Y520" s="70">
        <f t="shared" si="113"/>
        <v>-24</v>
      </c>
      <c r="Z520" s="69">
        <f t="shared" si="102"/>
        <v>0</v>
      </c>
      <c r="AA520" s="68">
        <f t="shared" si="114"/>
        <v>5.9799999999999995</v>
      </c>
      <c r="AB520" s="68">
        <f t="shared" si="115"/>
        <v>3.8940000000000001</v>
      </c>
    </row>
    <row r="521" spans="2:28">
      <c r="B521" s="110">
        <f>'115+260'!B522</f>
        <v>45764</v>
      </c>
      <c r="C521" s="80">
        <f t="shared" si="96"/>
        <v>4</v>
      </c>
      <c r="D521" s="79">
        <f t="shared" si="105"/>
        <v>1069</v>
      </c>
      <c r="E521" s="78">
        <f>VLOOKUP(B521,'115+260'!B522:AB522,3,FALSE)</f>
        <v>2293</v>
      </c>
      <c r="F521" s="75">
        <f t="shared" si="106"/>
        <v>3362</v>
      </c>
      <c r="G521" s="77">
        <f>VLOOKUP(B521,'115+260'!$B$15:$AB$647,20,FALSE)</f>
        <v>5015</v>
      </c>
      <c r="H521" s="77">
        <f>VLOOKUP(B521,'115+260'!$B$15:$AB$647,4,FALSE)</f>
        <v>1437</v>
      </c>
      <c r="I521" s="74">
        <f t="shared" si="107"/>
        <v>1925</v>
      </c>
      <c r="J521" s="74">
        <f>VLOOKUP(B521,'115+260'!$B$15:$AB$647,13,FALSE)</f>
        <v>-1075</v>
      </c>
      <c r="K521" s="72">
        <f>'115+260'!Q522</f>
        <v>30</v>
      </c>
      <c r="L521" s="71">
        <f t="shared" si="108"/>
        <v>875</v>
      </c>
      <c r="M521" s="76">
        <f>VLOOKUP(B521,'115+260'!$B$14:$AB$647,21,FALSE)</f>
        <v>4746</v>
      </c>
      <c r="N521" s="75">
        <f>VLOOKUP(B521,'115+260'!$B$15:$AB$647,5,FALSE)</f>
        <v>1726</v>
      </c>
      <c r="O521" s="74">
        <f t="shared" si="109"/>
        <v>1636</v>
      </c>
      <c r="P521" s="74">
        <f>VLOOKUP(B521,'115+260'!$B$15:$AB$647,14,FALSE)</f>
        <v>-1364</v>
      </c>
      <c r="Q521" s="72">
        <f>'115+260'!R522</f>
        <v>36</v>
      </c>
      <c r="R521" s="71">
        <f t="shared" si="110"/>
        <v>1144</v>
      </c>
      <c r="S521" s="76">
        <f>VLOOKUP(B521,'115+260'!$B$14:$AB$647,22,FALSE)</f>
        <v>4945</v>
      </c>
      <c r="T521" s="75">
        <f>VLOOKUP(B521,'115+260'!$B$15:$AB$647,6,FALSE)</f>
        <v>1557</v>
      </c>
      <c r="U521" s="74">
        <f t="shared" si="111"/>
        <v>1805</v>
      </c>
      <c r="V521" s="73">
        <f>VLOOKUP(B521,'115+260'!$B$15:$AB$647,15,FALSE)</f>
        <v>-1195</v>
      </c>
      <c r="W521" s="72">
        <f>'115+260'!S522</f>
        <v>33</v>
      </c>
      <c r="X521" s="71">
        <f t="shared" si="112"/>
        <v>945</v>
      </c>
      <c r="Y521" s="70">
        <f t="shared" si="113"/>
        <v>-33</v>
      </c>
      <c r="Z521" s="69">
        <f t="shared" si="102"/>
        <v>0</v>
      </c>
      <c r="AA521" s="68">
        <f t="shared" si="114"/>
        <v>5.9799999999999995</v>
      </c>
      <c r="AB521" s="68">
        <f t="shared" si="115"/>
        <v>3.8220000000000001</v>
      </c>
    </row>
    <row r="522" spans="2:28">
      <c r="B522" s="110">
        <f>'115+260'!B523</f>
        <v>45767</v>
      </c>
      <c r="C522" s="80">
        <f t="shared" si="96"/>
        <v>3</v>
      </c>
      <c r="D522" s="79">
        <f t="shared" si="105"/>
        <v>1069</v>
      </c>
      <c r="E522" s="78">
        <f>VLOOKUP(B522,'115+260'!B523:AB523,3,FALSE)</f>
        <v>2295</v>
      </c>
      <c r="F522" s="75">
        <f t="shared" si="106"/>
        <v>3364</v>
      </c>
      <c r="G522" s="77">
        <f>VLOOKUP(B522,'115+260'!$B$15:$AB$647,20,FALSE)</f>
        <v>4991</v>
      </c>
      <c r="H522" s="77">
        <f>VLOOKUP(B522,'115+260'!$B$15:$AB$647,4,FALSE)</f>
        <v>1463</v>
      </c>
      <c r="I522" s="74">
        <f t="shared" si="107"/>
        <v>1901</v>
      </c>
      <c r="J522" s="74">
        <f>VLOOKUP(B522,'115+260'!$B$15:$AB$647,13,FALSE)</f>
        <v>-1099</v>
      </c>
      <c r="K522" s="72">
        <f>'115+260'!Q523</f>
        <v>24</v>
      </c>
      <c r="L522" s="71">
        <f t="shared" si="108"/>
        <v>899</v>
      </c>
      <c r="M522" s="76">
        <f>VLOOKUP(B522,'115+260'!$B$14:$AB$647,21,FALSE)</f>
        <v>4720</v>
      </c>
      <c r="N522" s="75">
        <f>VLOOKUP(B522,'115+260'!$B$15:$AB$647,5,FALSE)</f>
        <v>1754</v>
      </c>
      <c r="O522" s="74">
        <f t="shared" si="109"/>
        <v>1610</v>
      </c>
      <c r="P522" s="74">
        <f>VLOOKUP(B522,'115+260'!$B$15:$AB$647,14,FALSE)</f>
        <v>-1390</v>
      </c>
      <c r="Q522" s="72">
        <f>'115+260'!R523</f>
        <v>26</v>
      </c>
      <c r="R522" s="71">
        <f t="shared" si="110"/>
        <v>1170</v>
      </c>
      <c r="S522" s="76">
        <f>VLOOKUP(B522,'115+260'!$B$14:$AB$647,22,FALSE)</f>
        <v>4925</v>
      </c>
      <c r="T522" s="75">
        <f>VLOOKUP(B522,'115+260'!$B$15:$AB$647,6,FALSE)</f>
        <v>1579</v>
      </c>
      <c r="U522" s="74">
        <f t="shared" si="111"/>
        <v>1785</v>
      </c>
      <c r="V522" s="73">
        <f>VLOOKUP(B522,'115+260'!$B$15:$AB$647,15,FALSE)</f>
        <v>-1215</v>
      </c>
      <c r="W522" s="72">
        <f>'115+260'!S523</f>
        <v>20</v>
      </c>
      <c r="X522" s="71">
        <f t="shared" si="112"/>
        <v>965</v>
      </c>
      <c r="Y522" s="70">
        <f t="shared" si="113"/>
        <v>-20</v>
      </c>
      <c r="Z522" s="69">
        <f t="shared" si="102"/>
        <v>0</v>
      </c>
      <c r="AA522" s="68">
        <f t="shared" si="114"/>
        <v>5.9799999999999995</v>
      </c>
      <c r="AB522" s="68">
        <f t="shared" si="115"/>
        <v>3.77</v>
      </c>
    </row>
    <row r="523" spans="2:28">
      <c r="B523" s="110">
        <f>'115+260'!B524</f>
        <v>45771</v>
      </c>
      <c r="C523" s="80">
        <f t="shared" si="96"/>
        <v>4</v>
      </c>
      <c r="D523" s="79">
        <f t="shared" si="105"/>
        <v>1069</v>
      </c>
      <c r="E523" s="78">
        <f>VLOOKUP(B523,'115+260'!B524:AB524,3,FALSE)</f>
        <v>2297</v>
      </c>
      <c r="F523" s="75">
        <f t="shared" si="106"/>
        <v>3366</v>
      </c>
      <c r="G523" s="77">
        <f>VLOOKUP(B523,'115+260'!$B$15:$AB$647,20,FALSE)</f>
        <v>4965</v>
      </c>
      <c r="H523" s="77">
        <f>VLOOKUP(B523,'115+260'!$B$15:$AB$647,4,FALSE)</f>
        <v>1491</v>
      </c>
      <c r="I523" s="74">
        <f t="shared" si="107"/>
        <v>1875</v>
      </c>
      <c r="J523" s="74">
        <f>VLOOKUP(B523,'115+260'!$B$15:$AB$647,13,FALSE)</f>
        <v>-1125</v>
      </c>
      <c r="K523" s="72">
        <f>'115+260'!Q524</f>
        <v>26</v>
      </c>
      <c r="L523" s="71">
        <f t="shared" si="108"/>
        <v>925</v>
      </c>
      <c r="M523" s="76">
        <f>VLOOKUP(B523,'115+260'!$B$14:$AB$647,21,FALSE)</f>
        <v>4690</v>
      </c>
      <c r="N523" s="75">
        <f>VLOOKUP(B523,'115+260'!$B$15:$AB$647,5,FALSE)</f>
        <v>1786</v>
      </c>
      <c r="O523" s="74">
        <f t="shared" si="109"/>
        <v>1580</v>
      </c>
      <c r="P523" s="74">
        <f>VLOOKUP(B523,'115+260'!$B$15:$AB$647,14,FALSE)</f>
        <v>-1420</v>
      </c>
      <c r="Q523" s="72">
        <f>'115+260'!R524</f>
        <v>30</v>
      </c>
      <c r="R523" s="71">
        <f t="shared" si="110"/>
        <v>1200</v>
      </c>
      <c r="S523" s="76">
        <f>VLOOKUP(B523,'115+260'!$B$14:$AB$647,22,FALSE)</f>
        <v>4895</v>
      </c>
      <c r="T523" s="75">
        <f>VLOOKUP(B523,'115+260'!$B$15:$AB$647,6,FALSE)</f>
        <v>1611</v>
      </c>
      <c r="U523" s="74">
        <f t="shared" si="111"/>
        <v>1755</v>
      </c>
      <c r="V523" s="73">
        <f>VLOOKUP(B523,'115+260'!$B$15:$AB$647,15,FALSE)</f>
        <v>-1245</v>
      </c>
      <c r="W523" s="72">
        <f>'115+260'!S524</f>
        <v>30</v>
      </c>
      <c r="X523" s="71">
        <f t="shared" si="112"/>
        <v>995</v>
      </c>
      <c r="Y523" s="70">
        <f t="shared" si="113"/>
        <v>-30</v>
      </c>
      <c r="Z523" s="69">
        <f t="shared" si="102"/>
        <v>0</v>
      </c>
      <c r="AA523" s="68">
        <f t="shared" si="114"/>
        <v>5.9799999999999995</v>
      </c>
      <c r="AB523" s="68">
        <f t="shared" si="115"/>
        <v>3.71</v>
      </c>
    </row>
    <row r="524" spans="2:28">
      <c r="B524" s="110">
        <f>'115+260'!B525</f>
        <v>45774</v>
      </c>
      <c r="C524" s="80">
        <f t="shared" si="96"/>
        <v>3</v>
      </c>
      <c r="D524" s="79">
        <f t="shared" si="105"/>
        <v>1069</v>
      </c>
      <c r="E524" s="78">
        <f>VLOOKUP(B524,'115+260'!B525:AB525,3,FALSE)</f>
        <v>2299</v>
      </c>
      <c r="F524" s="75">
        <f t="shared" si="106"/>
        <v>3368</v>
      </c>
      <c r="G524" s="77">
        <f>VLOOKUP(B524,'115+260'!$B$15:$AB$647,20,FALSE)</f>
        <v>4943</v>
      </c>
      <c r="H524" s="77">
        <f>VLOOKUP(B524,'115+260'!$B$15:$AB$647,4,FALSE)</f>
        <v>1515</v>
      </c>
      <c r="I524" s="74">
        <f t="shared" si="107"/>
        <v>1853</v>
      </c>
      <c r="J524" s="74">
        <f>VLOOKUP(B524,'115+260'!$B$15:$AB$647,13,FALSE)</f>
        <v>-1147</v>
      </c>
      <c r="K524" s="72">
        <f>'115+260'!Q525</f>
        <v>22</v>
      </c>
      <c r="L524" s="71">
        <f t="shared" si="108"/>
        <v>947</v>
      </c>
      <c r="M524" s="76">
        <f>VLOOKUP(B524,'115+260'!$B$14:$AB$647,21,FALSE)</f>
        <v>4670</v>
      </c>
      <c r="N524" s="75">
        <f>VLOOKUP(B524,'115+260'!$B$15:$AB$647,5,FALSE)</f>
        <v>1808</v>
      </c>
      <c r="O524" s="74">
        <f t="shared" si="109"/>
        <v>1560</v>
      </c>
      <c r="P524" s="74">
        <f>VLOOKUP(B524,'115+260'!$B$15:$AB$647,14,FALSE)</f>
        <v>-1440</v>
      </c>
      <c r="Q524" s="72">
        <f>'115+260'!R525</f>
        <v>20</v>
      </c>
      <c r="R524" s="71">
        <f t="shared" si="110"/>
        <v>1220</v>
      </c>
      <c r="S524" s="76">
        <f>VLOOKUP(B524,'115+260'!$B$14:$AB$647,22,FALSE)</f>
        <v>4877</v>
      </c>
      <c r="T524" s="75">
        <f>VLOOKUP(B524,'115+260'!$B$15:$AB$647,6,FALSE)</f>
        <v>1631</v>
      </c>
      <c r="U524" s="74">
        <f t="shared" si="111"/>
        <v>1737</v>
      </c>
      <c r="V524" s="73">
        <f>VLOOKUP(B524,'115+260'!$B$15:$AB$647,15,FALSE)</f>
        <v>-1263</v>
      </c>
      <c r="W524" s="72">
        <f>'115+260'!S525</f>
        <v>18</v>
      </c>
      <c r="X524" s="71">
        <f t="shared" si="112"/>
        <v>1013</v>
      </c>
      <c r="Y524" s="70">
        <f t="shared" si="113"/>
        <v>-18</v>
      </c>
      <c r="Z524" s="69">
        <f t="shared" si="102"/>
        <v>0</v>
      </c>
      <c r="AA524" s="68">
        <f t="shared" si="114"/>
        <v>5.9799999999999995</v>
      </c>
      <c r="AB524" s="68">
        <f t="shared" si="115"/>
        <v>3.67</v>
      </c>
    </row>
    <row r="525" spans="2:28">
      <c r="B525" s="110">
        <f>'115+260'!B526</f>
        <v>45778</v>
      </c>
      <c r="C525" s="80">
        <f t="shared" si="96"/>
        <v>4</v>
      </c>
      <c r="D525" s="79">
        <f t="shared" si="105"/>
        <v>1069</v>
      </c>
      <c r="E525" s="78">
        <f>VLOOKUP(B525,'115+260'!B526:AB526,3,FALSE)</f>
        <v>2301</v>
      </c>
      <c r="F525" s="75">
        <f t="shared" si="106"/>
        <v>3370</v>
      </c>
      <c r="G525" s="77">
        <f>VLOOKUP(B525,'115+260'!$B$15:$AB$647,20,FALSE)</f>
        <v>4917</v>
      </c>
      <c r="H525" s="77">
        <f>VLOOKUP(B525,'115+260'!$B$15:$AB$647,4,FALSE)</f>
        <v>1543</v>
      </c>
      <c r="I525" s="74">
        <f t="shared" si="107"/>
        <v>1827</v>
      </c>
      <c r="J525" s="74">
        <f>VLOOKUP(B525,'115+260'!$B$15:$AB$647,13,FALSE)</f>
        <v>-1173</v>
      </c>
      <c r="K525" s="72">
        <f>'115+260'!Q526</f>
        <v>26</v>
      </c>
      <c r="L525" s="71">
        <f t="shared" si="108"/>
        <v>973</v>
      </c>
      <c r="M525" s="76">
        <f>VLOOKUP(B525,'115+260'!$B$14:$AB$647,21,FALSE)</f>
        <v>4642</v>
      </c>
      <c r="N525" s="75">
        <f>VLOOKUP(B525,'115+260'!$B$15:$AB$647,5,FALSE)</f>
        <v>1838</v>
      </c>
      <c r="O525" s="74">
        <f t="shared" si="109"/>
        <v>1532</v>
      </c>
      <c r="P525" s="74">
        <f>VLOOKUP(B525,'115+260'!$B$15:$AB$647,14,FALSE)</f>
        <v>-1468</v>
      </c>
      <c r="Q525" s="72">
        <f>'115+260'!R526</f>
        <v>28</v>
      </c>
      <c r="R525" s="71">
        <f t="shared" si="110"/>
        <v>1248</v>
      </c>
      <c r="S525" s="76">
        <f>VLOOKUP(B525,'115+260'!$B$14:$AB$647,22,FALSE)</f>
        <v>4851</v>
      </c>
      <c r="T525" s="75">
        <f>VLOOKUP(B525,'115+260'!$B$15:$AB$647,6,FALSE)</f>
        <v>1659</v>
      </c>
      <c r="U525" s="74">
        <f t="shared" si="111"/>
        <v>1711</v>
      </c>
      <c r="V525" s="73">
        <f>VLOOKUP(B525,'115+260'!$B$15:$AB$647,15,FALSE)</f>
        <v>-1289</v>
      </c>
      <c r="W525" s="72">
        <f>'115+260'!S526</f>
        <v>26</v>
      </c>
      <c r="X525" s="71">
        <f t="shared" si="112"/>
        <v>1039</v>
      </c>
      <c r="Y525" s="70">
        <f t="shared" si="113"/>
        <v>-26</v>
      </c>
      <c r="Z525" s="69">
        <f t="shared" si="102"/>
        <v>0</v>
      </c>
      <c r="AA525" s="68">
        <f t="shared" si="114"/>
        <v>5.9799999999999995</v>
      </c>
      <c r="AB525" s="68">
        <f t="shared" si="115"/>
        <v>3.6139999999999999</v>
      </c>
    </row>
    <row r="526" spans="2:28">
      <c r="B526" s="110">
        <f>'115+260'!B527</f>
        <v>45781</v>
      </c>
      <c r="C526" s="80">
        <f t="shared" si="96"/>
        <v>3</v>
      </c>
      <c r="D526" s="79">
        <f t="shared" si="105"/>
        <v>1069</v>
      </c>
      <c r="E526" s="78">
        <f>VLOOKUP(B526,'115+260'!B527:AB527,3,FALSE)</f>
        <v>2303</v>
      </c>
      <c r="F526" s="75">
        <f t="shared" si="106"/>
        <v>3372</v>
      </c>
      <c r="G526" s="77">
        <f>VLOOKUP(B526,'115+260'!$B$15:$AB$647,20,FALSE)</f>
        <v>4899</v>
      </c>
      <c r="H526" s="77">
        <f>VLOOKUP(B526,'115+260'!$B$15:$AB$647,4,FALSE)</f>
        <v>1563</v>
      </c>
      <c r="I526" s="74">
        <f t="shared" si="107"/>
        <v>1809</v>
      </c>
      <c r="J526" s="74">
        <f>VLOOKUP(B526,'115+260'!$B$15:$AB$647,13,FALSE)</f>
        <v>-1191</v>
      </c>
      <c r="K526" s="72">
        <f>'115+260'!Q527</f>
        <v>18</v>
      </c>
      <c r="L526" s="71">
        <f t="shared" si="108"/>
        <v>991</v>
      </c>
      <c r="M526" s="76">
        <f>VLOOKUP(B526,'115+260'!$B$14:$AB$647,21,FALSE)</f>
        <v>4626</v>
      </c>
      <c r="N526" s="75">
        <f>VLOOKUP(B526,'115+260'!$B$15:$AB$647,5,FALSE)</f>
        <v>1856</v>
      </c>
      <c r="O526" s="74">
        <f t="shared" si="109"/>
        <v>1516</v>
      </c>
      <c r="P526" s="74">
        <f>VLOOKUP(B526,'115+260'!$B$15:$AB$647,14,FALSE)</f>
        <v>-1484</v>
      </c>
      <c r="Q526" s="72">
        <f>'115+260'!R527</f>
        <v>16</v>
      </c>
      <c r="R526" s="71">
        <f t="shared" si="110"/>
        <v>1264</v>
      </c>
      <c r="S526" s="76">
        <f>VLOOKUP(B526,'115+260'!$B$14:$AB$647,22,FALSE)</f>
        <v>4832</v>
      </c>
      <c r="T526" s="75">
        <f>VLOOKUP(B526,'115+260'!$B$15:$AB$647,6,FALSE)</f>
        <v>1680</v>
      </c>
      <c r="U526" s="74">
        <f t="shared" si="111"/>
        <v>1692</v>
      </c>
      <c r="V526" s="73">
        <f>VLOOKUP(B526,'115+260'!$B$15:$AB$647,15,FALSE)</f>
        <v>-1308</v>
      </c>
      <c r="W526" s="72">
        <f>'115+260'!S527</f>
        <v>19</v>
      </c>
      <c r="X526" s="71">
        <f t="shared" si="112"/>
        <v>1058</v>
      </c>
      <c r="Y526" s="70">
        <f t="shared" si="113"/>
        <v>-19</v>
      </c>
      <c r="Z526" s="69">
        <f t="shared" si="102"/>
        <v>0</v>
      </c>
      <c r="AA526" s="68">
        <f t="shared" si="114"/>
        <v>5.9799999999999995</v>
      </c>
      <c r="AB526" s="68">
        <f t="shared" si="115"/>
        <v>3.5819999999999999</v>
      </c>
    </row>
    <row r="527" spans="2:28">
      <c r="B527" s="110">
        <f>'115+260'!B528</f>
        <v>45785</v>
      </c>
      <c r="C527" s="80">
        <f t="shared" ref="C527:C538" si="116">B527-B526</f>
        <v>4</v>
      </c>
      <c r="D527" s="79">
        <f t="shared" ref="D527:D544" si="117">D526</f>
        <v>1069</v>
      </c>
      <c r="E527" s="78">
        <f>VLOOKUP(B527,'115+260'!B528:AB528,3,FALSE)</f>
        <v>2305</v>
      </c>
      <c r="F527" s="75">
        <f t="shared" ref="F527:F538" si="118">D527+E527</f>
        <v>3374</v>
      </c>
      <c r="G527" s="77">
        <f>VLOOKUP(B527,'115+260'!$B$15:$AB$647,20,FALSE)</f>
        <v>4879</v>
      </c>
      <c r="H527" s="77">
        <f>VLOOKUP(B527,'115+260'!$B$15:$AB$647,4,FALSE)</f>
        <v>1585</v>
      </c>
      <c r="I527" s="74">
        <f t="shared" ref="I527:I538" si="119">F527-H527</f>
        <v>1789</v>
      </c>
      <c r="J527" s="74">
        <f>VLOOKUP(B527,'115+260'!$B$15:$AB$647,13,FALSE)</f>
        <v>-1211</v>
      </c>
      <c r="K527" s="72">
        <f>'115+260'!Q528</f>
        <v>20</v>
      </c>
      <c r="L527" s="71">
        <f t="shared" ref="L527:L538" si="120">+K527+L526</f>
        <v>1011</v>
      </c>
      <c r="M527" s="76">
        <f>VLOOKUP(B527,'115+260'!$B$14:$AB$647,21,FALSE)</f>
        <v>4601</v>
      </c>
      <c r="N527" s="75">
        <f>VLOOKUP(B527,'115+260'!$B$15:$AB$647,5,FALSE)</f>
        <v>1883</v>
      </c>
      <c r="O527" s="74">
        <f t="shared" ref="O527:O538" si="121">F527-N527</f>
        <v>1491</v>
      </c>
      <c r="P527" s="74">
        <f>VLOOKUP(B527,'115+260'!$B$15:$AB$647,14,FALSE)</f>
        <v>-1509</v>
      </c>
      <c r="Q527" s="72">
        <f>'115+260'!R528</f>
        <v>25</v>
      </c>
      <c r="R527" s="71">
        <f t="shared" ref="R527:R538" si="122">+Q527+R526</f>
        <v>1289</v>
      </c>
      <c r="S527" s="76">
        <f>VLOOKUP(B527,'115+260'!$B$14:$AB$647,22,FALSE)</f>
        <v>4807</v>
      </c>
      <c r="T527" s="75">
        <f>VLOOKUP(B527,'115+260'!$B$15:$AB$647,6,FALSE)</f>
        <v>1707</v>
      </c>
      <c r="U527" s="74">
        <f t="shared" ref="U527:U538" si="123">F527-T527</f>
        <v>1667</v>
      </c>
      <c r="V527" s="73">
        <f>VLOOKUP(B527,'115+260'!$B$15:$AB$647,15,FALSE)</f>
        <v>-1333</v>
      </c>
      <c r="W527" s="72">
        <f>'115+260'!S528</f>
        <v>25</v>
      </c>
      <c r="X527" s="71">
        <f t="shared" ref="X527:X538" si="124">+W527+X526</f>
        <v>1083</v>
      </c>
      <c r="Y527" s="70">
        <f t="shared" ref="Y527:Y538" si="125">S527-S526</f>
        <v>-25</v>
      </c>
      <c r="Z527" s="69">
        <f t="shared" ref="Z527:Z538" si="126">IF(Y527&gt;0,Y527,0)/1000</f>
        <v>0</v>
      </c>
      <c r="AA527" s="68">
        <f t="shared" ref="AA527:AA538" si="127">AA526+Z527</f>
        <v>5.9799999999999995</v>
      </c>
      <c r="AB527" s="68">
        <f t="shared" ref="AB527:AB538" si="128">(M527-$M$13-R527)/1000</f>
        <v>3.532</v>
      </c>
    </row>
    <row r="528" spans="2:28">
      <c r="B528" s="110">
        <f>'115+260'!B529</f>
        <v>45792</v>
      </c>
      <c r="C528" s="80">
        <f t="shared" si="116"/>
        <v>7</v>
      </c>
      <c r="D528" s="79">
        <f t="shared" si="117"/>
        <v>1069</v>
      </c>
      <c r="E528" s="78">
        <f>VLOOKUP(B528,'115+260'!B529:AB529,3,FALSE)</f>
        <v>2307</v>
      </c>
      <c r="F528" s="75">
        <f t="shared" si="118"/>
        <v>3376</v>
      </c>
      <c r="G528" s="77">
        <f>VLOOKUP(B528,'115+260'!$B$15:$AB$647,20,FALSE)</f>
        <v>4854</v>
      </c>
      <c r="H528" s="77">
        <f>VLOOKUP(B528,'115+260'!$B$15:$AB$647,4,FALSE)</f>
        <v>1612</v>
      </c>
      <c r="I528" s="74">
        <f t="shared" si="119"/>
        <v>1764</v>
      </c>
      <c r="J528" s="74">
        <f>VLOOKUP(B528,'115+260'!$B$15:$AB$647,13,FALSE)</f>
        <v>-1236</v>
      </c>
      <c r="K528" s="72">
        <f>'115+260'!Q529</f>
        <v>25</v>
      </c>
      <c r="L528" s="71">
        <f t="shared" si="120"/>
        <v>1036</v>
      </c>
      <c r="M528" s="76">
        <f>VLOOKUP(B528,'115+260'!$B$14:$AB$647,21,FALSE)</f>
        <v>4566</v>
      </c>
      <c r="N528" s="75">
        <f>VLOOKUP(B528,'115+260'!$B$15:$AB$647,5,FALSE)</f>
        <v>1920</v>
      </c>
      <c r="O528" s="74">
        <f t="shared" si="121"/>
        <v>1456</v>
      </c>
      <c r="P528" s="74">
        <f>VLOOKUP(B528,'115+260'!$B$15:$AB$647,14,FALSE)</f>
        <v>-1544</v>
      </c>
      <c r="Q528" s="72">
        <f>'115+260'!R529</f>
        <v>35</v>
      </c>
      <c r="R528" s="71">
        <f t="shared" si="122"/>
        <v>1324</v>
      </c>
      <c r="S528" s="76">
        <f>VLOOKUP(B528,'115+260'!$B$14:$AB$647,22,FALSE)</f>
        <v>4783</v>
      </c>
      <c r="T528" s="75">
        <f>VLOOKUP(B528,'115+260'!$B$15:$AB$647,6,FALSE)</f>
        <v>1733</v>
      </c>
      <c r="U528" s="74">
        <f t="shared" si="123"/>
        <v>1643</v>
      </c>
      <c r="V528" s="73">
        <f>VLOOKUP(B528,'115+260'!$B$15:$AB$647,15,FALSE)</f>
        <v>-1357</v>
      </c>
      <c r="W528" s="72">
        <f>'115+260'!S529</f>
        <v>24</v>
      </c>
      <c r="X528" s="71">
        <f t="shared" si="124"/>
        <v>1107</v>
      </c>
      <c r="Y528" s="70">
        <f t="shared" si="125"/>
        <v>-24</v>
      </c>
      <c r="Z528" s="69">
        <f t="shared" si="126"/>
        <v>0</v>
      </c>
      <c r="AA528" s="68">
        <f t="shared" si="127"/>
        <v>5.9799999999999995</v>
      </c>
      <c r="AB528" s="68">
        <f t="shared" si="128"/>
        <v>3.4620000000000002</v>
      </c>
    </row>
    <row r="529" spans="2:28">
      <c r="B529" s="110">
        <f>'115+260'!B530</f>
        <v>45799</v>
      </c>
      <c r="C529" s="80">
        <f t="shared" si="116"/>
        <v>7</v>
      </c>
      <c r="D529" s="79">
        <f t="shared" si="117"/>
        <v>1069</v>
      </c>
      <c r="E529" s="78">
        <f>VLOOKUP(B529,'115+260'!B530:AB530,3,FALSE)</f>
        <v>2309</v>
      </c>
      <c r="F529" s="75">
        <f t="shared" si="118"/>
        <v>3378</v>
      </c>
      <c r="G529" s="77">
        <f>VLOOKUP(B529,'115+260'!$B$15:$AB$647,20,FALSE)</f>
        <v>4832</v>
      </c>
      <c r="H529" s="77">
        <f>VLOOKUP(B529,'115+260'!$B$15:$AB$647,4,FALSE)</f>
        <v>1636</v>
      </c>
      <c r="I529" s="74">
        <f t="shared" si="119"/>
        <v>1742</v>
      </c>
      <c r="J529" s="74">
        <f>VLOOKUP(B529,'115+260'!$B$15:$AB$647,13,FALSE)</f>
        <v>-1258</v>
      </c>
      <c r="K529" s="72">
        <f>'115+260'!Q530</f>
        <v>22</v>
      </c>
      <c r="L529" s="71">
        <f t="shared" si="120"/>
        <v>1058</v>
      </c>
      <c r="M529" s="76">
        <f>VLOOKUP(B529,'115+260'!$B$14:$AB$647,21,FALSE)</f>
        <v>4538</v>
      </c>
      <c r="N529" s="75">
        <f>VLOOKUP(B529,'115+260'!$B$15:$AB$647,5,FALSE)</f>
        <v>1950</v>
      </c>
      <c r="O529" s="74">
        <f t="shared" si="121"/>
        <v>1428</v>
      </c>
      <c r="P529" s="74">
        <f>VLOOKUP(B529,'115+260'!$B$15:$AB$647,14,FALSE)</f>
        <v>-1572</v>
      </c>
      <c r="Q529" s="72">
        <f>'115+260'!R530</f>
        <v>28</v>
      </c>
      <c r="R529" s="71">
        <f t="shared" si="122"/>
        <v>1352</v>
      </c>
      <c r="S529" s="76">
        <f>VLOOKUP(B529,'115+260'!$B$14:$AB$647,22,FALSE)</f>
        <v>4763</v>
      </c>
      <c r="T529" s="75">
        <f>VLOOKUP(B529,'115+260'!$B$15:$AB$647,6,FALSE)</f>
        <v>1755</v>
      </c>
      <c r="U529" s="74">
        <f t="shared" si="123"/>
        <v>1623</v>
      </c>
      <c r="V529" s="73">
        <f>VLOOKUP(B529,'115+260'!$B$15:$AB$647,15,FALSE)</f>
        <v>-1377</v>
      </c>
      <c r="W529" s="72">
        <f>'115+260'!S530</f>
        <v>20</v>
      </c>
      <c r="X529" s="71">
        <f t="shared" si="124"/>
        <v>1127</v>
      </c>
      <c r="Y529" s="70">
        <f t="shared" si="125"/>
        <v>-20</v>
      </c>
      <c r="Z529" s="69">
        <f t="shared" si="126"/>
        <v>0</v>
      </c>
      <c r="AA529" s="68">
        <f t="shared" si="127"/>
        <v>5.9799999999999995</v>
      </c>
      <c r="AB529" s="68">
        <f t="shared" si="128"/>
        <v>3.4060000000000001</v>
      </c>
    </row>
    <row r="530" spans="2:28">
      <c r="B530" s="110">
        <f>'115+260'!B531</f>
        <v>45806</v>
      </c>
      <c r="C530" s="80">
        <f t="shared" si="116"/>
        <v>7</v>
      </c>
      <c r="D530" s="79">
        <f t="shared" si="117"/>
        <v>1069</v>
      </c>
      <c r="E530" s="78">
        <f>VLOOKUP(B530,'115+260'!B531:AB531,3,FALSE)</f>
        <v>2311</v>
      </c>
      <c r="F530" s="75">
        <f t="shared" si="118"/>
        <v>3380</v>
      </c>
      <c r="G530" s="77">
        <f>VLOOKUP(B530,'115+260'!$B$15:$AB$647,20,FALSE)</f>
        <v>4812</v>
      </c>
      <c r="H530" s="77">
        <f>VLOOKUP(B530,'115+260'!$B$15:$AB$647,4,FALSE)</f>
        <v>1658</v>
      </c>
      <c r="I530" s="74">
        <f t="shared" si="119"/>
        <v>1722</v>
      </c>
      <c r="J530" s="74">
        <f>VLOOKUP(B530,'115+260'!$B$15:$AB$647,13,FALSE)</f>
        <v>-1278</v>
      </c>
      <c r="K530" s="72">
        <f>'115+260'!Q531</f>
        <v>20</v>
      </c>
      <c r="L530" s="71">
        <f t="shared" si="120"/>
        <v>1078</v>
      </c>
      <c r="M530" s="76">
        <f>VLOOKUP(B530,'115+260'!$B$14:$AB$647,21,FALSE)</f>
        <v>4514</v>
      </c>
      <c r="N530" s="75">
        <f>VLOOKUP(B530,'115+260'!$B$15:$AB$647,5,FALSE)</f>
        <v>1976</v>
      </c>
      <c r="O530" s="74">
        <f t="shared" si="121"/>
        <v>1404</v>
      </c>
      <c r="P530" s="74">
        <f>VLOOKUP(B530,'115+260'!$B$15:$AB$647,14,FALSE)</f>
        <v>-1596</v>
      </c>
      <c r="Q530" s="72">
        <f>'115+260'!R531</f>
        <v>24</v>
      </c>
      <c r="R530" s="71">
        <f t="shared" si="122"/>
        <v>1376</v>
      </c>
      <c r="S530" s="76">
        <f>VLOOKUP(B530,'115+260'!$B$14:$AB$647,22,FALSE)</f>
        <v>4746</v>
      </c>
      <c r="T530" s="75">
        <f>VLOOKUP(B530,'115+260'!$B$15:$AB$647,6,FALSE)</f>
        <v>1774</v>
      </c>
      <c r="U530" s="74">
        <f t="shared" si="123"/>
        <v>1606</v>
      </c>
      <c r="V530" s="73">
        <f>VLOOKUP(B530,'115+260'!$B$15:$AB$647,15,FALSE)</f>
        <v>-1394</v>
      </c>
      <c r="W530" s="72">
        <f>'115+260'!S531</f>
        <v>17</v>
      </c>
      <c r="X530" s="71">
        <f t="shared" si="124"/>
        <v>1144</v>
      </c>
      <c r="Y530" s="70">
        <f t="shared" si="125"/>
        <v>-17</v>
      </c>
      <c r="Z530" s="69">
        <f t="shared" si="126"/>
        <v>0</v>
      </c>
      <c r="AA530" s="68">
        <f t="shared" si="127"/>
        <v>5.9799999999999995</v>
      </c>
      <c r="AB530" s="68">
        <f t="shared" si="128"/>
        <v>3.3580000000000001</v>
      </c>
    </row>
    <row r="531" spans="2:28">
      <c r="B531" s="110">
        <f>'115+260'!B532</f>
        <v>45813</v>
      </c>
      <c r="C531" s="80">
        <f t="shared" si="116"/>
        <v>7</v>
      </c>
      <c r="D531" s="79">
        <f t="shared" si="117"/>
        <v>1069</v>
      </c>
      <c r="E531" s="78">
        <f>VLOOKUP(B531,'115+260'!B532:AB532,3,FALSE)</f>
        <v>2313</v>
      </c>
      <c r="F531" s="75">
        <f t="shared" si="118"/>
        <v>3382</v>
      </c>
      <c r="G531" s="77">
        <f>VLOOKUP(B531,'115+260'!$B$15:$AB$647,20,FALSE)</f>
        <v>4794</v>
      </c>
      <c r="H531" s="77">
        <f>VLOOKUP(B531,'115+260'!$B$15:$AB$647,4,FALSE)</f>
        <v>1678</v>
      </c>
      <c r="I531" s="74">
        <f t="shared" si="119"/>
        <v>1704</v>
      </c>
      <c r="J531" s="74">
        <f>VLOOKUP(B531,'115+260'!$B$15:$AB$647,13,FALSE)</f>
        <v>-1296</v>
      </c>
      <c r="K531" s="72">
        <f>'115+260'!Q532</f>
        <v>18</v>
      </c>
      <c r="L531" s="71">
        <f t="shared" si="120"/>
        <v>1096</v>
      </c>
      <c r="M531" s="76">
        <f>VLOOKUP(B531,'115+260'!$B$14:$AB$647,21,FALSE)</f>
        <v>4492</v>
      </c>
      <c r="N531" s="75">
        <f>VLOOKUP(B531,'115+260'!$B$15:$AB$647,5,FALSE)</f>
        <v>2000</v>
      </c>
      <c r="O531" s="74">
        <f t="shared" si="121"/>
        <v>1382</v>
      </c>
      <c r="P531" s="74">
        <f>VLOOKUP(B531,'115+260'!$B$15:$AB$647,14,FALSE)</f>
        <v>-1618</v>
      </c>
      <c r="Q531" s="72">
        <f>'115+260'!R532</f>
        <v>22</v>
      </c>
      <c r="R531" s="71">
        <f t="shared" si="122"/>
        <v>1398</v>
      </c>
      <c r="S531" s="76">
        <f>VLOOKUP(B531,'115+260'!$B$14:$AB$647,22,FALSE)</f>
        <v>4729</v>
      </c>
      <c r="T531" s="75">
        <f>VLOOKUP(B531,'115+260'!$B$15:$AB$647,6,FALSE)</f>
        <v>1793</v>
      </c>
      <c r="U531" s="74">
        <f t="shared" si="123"/>
        <v>1589</v>
      </c>
      <c r="V531" s="73">
        <f>VLOOKUP(B531,'115+260'!$B$15:$AB$647,15,FALSE)</f>
        <v>-1411</v>
      </c>
      <c r="W531" s="72">
        <f>'115+260'!S532</f>
        <v>17</v>
      </c>
      <c r="X531" s="71">
        <f t="shared" si="124"/>
        <v>1161</v>
      </c>
      <c r="Y531" s="70">
        <f t="shared" si="125"/>
        <v>-17</v>
      </c>
      <c r="Z531" s="69">
        <f t="shared" si="126"/>
        <v>0</v>
      </c>
      <c r="AA531" s="68">
        <f t="shared" si="127"/>
        <v>5.9799999999999995</v>
      </c>
      <c r="AB531" s="68">
        <f t="shared" si="128"/>
        <v>3.3140000000000001</v>
      </c>
    </row>
    <row r="532" spans="2:28">
      <c r="B532" s="110">
        <f>'115+260'!B533</f>
        <v>45820</v>
      </c>
      <c r="C532" s="80">
        <f t="shared" si="116"/>
        <v>7</v>
      </c>
      <c r="D532" s="79">
        <f t="shared" si="117"/>
        <v>1069</v>
      </c>
      <c r="E532" s="78">
        <f>VLOOKUP(B532,'115+260'!B533:AB533,3,FALSE)</f>
        <v>2315</v>
      </c>
      <c r="F532" s="75">
        <f t="shared" si="118"/>
        <v>3384</v>
      </c>
      <c r="G532" s="77">
        <f>VLOOKUP(B532,'115+260'!$B$15:$AB$647,20,FALSE)</f>
        <v>4778</v>
      </c>
      <c r="H532" s="77">
        <f>VLOOKUP(B532,'115+260'!$B$15:$AB$647,4,FALSE)</f>
        <v>1696</v>
      </c>
      <c r="I532" s="74">
        <f t="shared" si="119"/>
        <v>1688</v>
      </c>
      <c r="J532" s="74">
        <f>VLOOKUP(B532,'115+260'!$B$15:$AB$647,13,FALSE)</f>
        <v>-1312</v>
      </c>
      <c r="K532" s="72">
        <f>'115+260'!Q533</f>
        <v>16</v>
      </c>
      <c r="L532" s="71">
        <f t="shared" si="120"/>
        <v>1112</v>
      </c>
      <c r="M532" s="76">
        <f>VLOOKUP(B532,'115+260'!$B$14:$AB$647,21,FALSE)</f>
        <v>4470</v>
      </c>
      <c r="N532" s="75">
        <f>VLOOKUP(B532,'115+260'!$B$15:$AB$647,5,FALSE)</f>
        <v>2024</v>
      </c>
      <c r="O532" s="74">
        <f t="shared" si="121"/>
        <v>1360</v>
      </c>
      <c r="P532" s="74">
        <f>VLOOKUP(B532,'115+260'!$B$15:$AB$647,14,FALSE)</f>
        <v>-1640</v>
      </c>
      <c r="Q532" s="72">
        <f>'115+260'!R533</f>
        <v>22</v>
      </c>
      <c r="R532" s="71">
        <f t="shared" si="122"/>
        <v>1420</v>
      </c>
      <c r="S532" s="76">
        <f>VLOOKUP(B532,'115+260'!$B$14:$AB$647,22,FALSE)</f>
        <v>4713</v>
      </c>
      <c r="T532" s="75">
        <f>VLOOKUP(B532,'115+260'!$B$15:$AB$647,6,FALSE)</f>
        <v>1811</v>
      </c>
      <c r="U532" s="74">
        <f t="shared" si="123"/>
        <v>1573</v>
      </c>
      <c r="V532" s="73">
        <f>VLOOKUP(B532,'115+260'!$B$15:$AB$647,15,FALSE)</f>
        <v>-1427</v>
      </c>
      <c r="W532" s="72">
        <f>'115+260'!S533</f>
        <v>16</v>
      </c>
      <c r="X532" s="71">
        <f t="shared" si="124"/>
        <v>1177</v>
      </c>
      <c r="Y532" s="70">
        <f t="shared" si="125"/>
        <v>-16</v>
      </c>
      <c r="Z532" s="69">
        <f t="shared" si="126"/>
        <v>0</v>
      </c>
      <c r="AA532" s="68">
        <f t="shared" si="127"/>
        <v>5.9799999999999995</v>
      </c>
      <c r="AB532" s="68">
        <f t="shared" si="128"/>
        <v>3.27</v>
      </c>
    </row>
    <row r="533" spans="2:28">
      <c r="B533" s="110">
        <f>'115+260'!B534</f>
        <v>45827</v>
      </c>
      <c r="C533" s="80">
        <f t="shared" si="116"/>
        <v>7</v>
      </c>
      <c r="D533" s="79">
        <f t="shared" si="117"/>
        <v>1069</v>
      </c>
      <c r="E533" s="78">
        <f>VLOOKUP(B533,'115+260'!B534:AB534,3,FALSE)</f>
        <v>2317</v>
      </c>
      <c r="F533" s="75">
        <f t="shared" si="118"/>
        <v>3386</v>
      </c>
      <c r="G533" s="77">
        <f>VLOOKUP(B533,'115+260'!$B$15:$AB$647,20,FALSE)</f>
        <v>4762</v>
      </c>
      <c r="H533" s="77">
        <f>VLOOKUP(B533,'115+260'!$B$15:$AB$647,4,FALSE)</f>
        <v>1714</v>
      </c>
      <c r="I533" s="74">
        <f t="shared" si="119"/>
        <v>1672</v>
      </c>
      <c r="J533" s="74">
        <f>VLOOKUP(B533,'115+260'!$B$15:$AB$647,13,FALSE)</f>
        <v>-1328</v>
      </c>
      <c r="K533" s="72">
        <f>'115+260'!Q534</f>
        <v>16</v>
      </c>
      <c r="L533" s="71">
        <f t="shared" si="120"/>
        <v>1128</v>
      </c>
      <c r="M533" s="76">
        <f>VLOOKUP(B533,'115+260'!$B$14:$AB$647,21,FALSE)</f>
        <v>4449</v>
      </c>
      <c r="N533" s="75">
        <f>VLOOKUP(B533,'115+260'!$B$15:$AB$647,5,FALSE)</f>
        <v>2047</v>
      </c>
      <c r="O533" s="74">
        <f t="shared" si="121"/>
        <v>1339</v>
      </c>
      <c r="P533" s="74">
        <f>VLOOKUP(B533,'115+260'!$B$15:$AB$647,14,FALSE)</f>
        <v>-1661</v>
      </c>
      <c r="Q533" s="72">
        <f>'115+260'!R534</f>
        <v>21</v>
      </c>
      <c r="R533" s="71">
        <f t="shared" si="122"/>
        <v>1441</v>
      </c>
      <c r="S533" s="76">
        <f>VLOOKUP(B533,'115+260'!$B$14:$AB$647,22,FALSE)</f>
        <v>4698</v>
      </c>
      <c r="T533" s="75">
        <f>VLOOKUP(B533,'115+260'!$B$15:$AB$647,6,FALSE)</f>
        <v>1828</v>
      </c>
      <c r="U533" s="74">
        <f t="shared" si="123"/>
        <v>1558</v>
      </c>
      <c r="V533" s="73">
        <f>VLOOKUP(B533,'115+260'!$B$15:$AB$647,15,FALSE)</f>
        <v>-1442</v>
      </c>
      <c r="W533" s="72">
        <f>'115+260'!S534</f>
        <v>15</v>
      </c>
      <c r="X533" s="71">
        <f t="shared" si="124"/>
        <v>1192</v>
      </c>
      <c r="Y533" s="70">
        <f t="shared" si="125"/>
        <v>-15</v>
      </c>
      <c r="Z533" s="69">
        <f t="shared" si="126"/>
        <v>0</v>
      </c>
      <c r="AA533" s="68">
        <f t="shared" si="127"/>
        <v>5.9799999999999995</v>
      </c>
      <c r="AB533" s="68">
        <f t="shared" si="128"/>
        <v>3.2280000000000002</v>
      </c>
    </row>
    <row r="534" spans="2:28">
      <c r="B534" s="110">
        <f>'115+260'!B535</f>
        <v>45834</v>
      </c>
      <c r="C534" s="80">
        <f t="shared" si="116"/>
        <v>7</v>
      </c>
      <c r="D534" s="79">
        <f t="shared" si="117"/>
        <v>1069</v>
      </c>
      <c r="E534" s="78">
        <f>VLOOKUP(B534,'115+260'!B535:AB535,3,FALSE)</f>
        <v>2319</v>
      </c>
      <c r="F534" s="75">
        <f t="shared" si="118"/>
        <v>3388</v>
      </c>
      <c r="G534" s="77">
        <f>VLOOKUP(B534,'115+260'!$B$15:$AB$647,20,FALSE)</f>
        <v>4748</v>
      </c>
      <c r="H534" s="77">
        <f>VLOOKUP(B534,'115+260'!$B$15:$AB$647,4,FALSE)</f>
        <v>1730</v>
      </c>
      <c r="I534" s="74">
        <f t="shared" si="119"/>
        <v>1658</v>
      </c>
      <c r="J534" s="74">
        <f>VLOOKUP(B534,'115+260'!$B$15:$AB$647,13,FALSE)</f>
        <v>-1342</v>
      </c>
      <c r="K534" s="72">
        <f>'115+260'!Q535</f>
        <v>14</v>
      </c>
      <c r="L534" s="71">
        <f t="shared" si="120"/>
        <v>1142</v>
      </c>
      <c r="M534" s="76">
        <f>VLOOKUP(B534,'115+260'!$B$14:$AB$647,21,FALSE)</f>
        <v>4429</v>
      </c>
      <c r="N534" s="75">
        <f>VLOOKUP(B534,'115+260'!$B$15:$AB$647,5,FALSE)</f>
        <v>2069</v>
      </c>
      <c r="O534" s="74">
        <f t="shared" si="121"/>
        <v>1319</v>
      </c>
      <c r="P534" s="74">
        <f>VLOOKUP(B534,'115+260'!$B$15:$AB$647,14,FALSE)</f>
        <v>-1681</v>
      </c>
      <c r="Q534" s="72">
        <f>'115+260'!R535</f>
        <v>20</v>
      </c>
      <c r="R534" s="71">
        <f t="shared" si="122"/>
        <v>1461</v>
      </c>
      <c r="S534" s="76">
        <f>VLOOKUP(B534,'115+260'!$B$14:$AB$647,22,FALSE)</f>
        <v>4684</v>
      </c>
      <c r="T534" s="75">
        <f>VLOOKUP(B534,'115+260'!$B$15:$AB$647,6,FALSE)</f>
        <v>1844</v>
      </c>
      <c r="U534" s="74">
        <f t="shared" si="123"/>
        <v>1544</v>
      </c>
      <c r="V534" s="73">
        <f>VLOOKUP(B534,'115+260'!$B$15:$AB$647,15,FALSE)</f>
        <v>-1456</v>
      </c>
      <c r="W534" s="72">
        <f>'115+260'!S535</f>
        <v>14</v>
      </c>
      <c r="X534" s="71">
        <f t="shared" si="124"/>
        <v>1206</v>
      </c>
      <c r="Y534" s="70">
        <f t="shared" si="125"/>
        <v>-14</v>
      </c>
      <c r="Z534" s="69">
        <f t="shared" si="126"/>
        <v>0</v>
      </c>
      <c r="AA534" s="68">
        <f t="shared" si="127"/>
        <v>5.9799999999999995</v>
      </c>
      <c r="AB534" s="68">
        <f t="shared" si="128"/>
        <v>3.1880000000000002</v>
      </c>
    </row>
    <row r="535" spans="2:28">
      <c r="B535" s="110">
        <f>'115+260'!B536</f>
        <v>45841</v>
      </c>
      <c r="C535" s="80">
        <f t="shared" si="116"/>
        <v>7</v>
      </c>
      <c r="D535" s="79">
        <f t="shared" si="117"/>
        <v>1069</v>
      </c>
      <c r="E535" s="78">
        <f>VLOOKUP(B535,'115+260'!B536:AB536,3,FALSE)</f>
        <v>2321</v>
      </c>
      <c r="F535" s="75">
        <f t="shared" si="118"/>
        <v>3390</v>
      </c>
      <c r="G535" s="77">
        <f>VLOOKUP(B535,'115+260'!$B$15:$AB$647,20,FALSE)</f>
        <v>4734</v>
      </c>
      <c r="H535" s="77">
        <f>VLOOKUP(B535,'115+260'!$B$15:$AB$647,4,FALSE)</f>
        <v>1746</v>
      </c>
      <c r="I535" s="74">
        <f t="shared" si="119"/>
        <v>1644</v>
      </c>
      <c r="J535" s="74">
        <f>VLOOKUP(B535,'115+260'!$B$15:$AB$647,13,FALSE)</f>
        <v>-1356</v>
      </c>
      <c r="K535" s="72">
        <f>'115+260'!Q536</f>
        <v>14</v>
      </c>
      <c r="L535" s="71">
        <f t="shared" si="120"/>
        <v>1156</v>
      </c>
      <c r="M535" s="76">
        <f>VLOOKUP(B535,'115+260'!$B$14:$AB$647,21,FALSE)</f>
        <v>4415</v>
      </c>
      <c r="N535" s="75">
        <f>VLOOKUP(B535,'115+260'!$B$15:$AB$647,5,FALSE)</f>
        <v>2085</v>
      </c>
      <c r="O535" s="74">
        <f t="shared" si="121"/>
        <v>1305</v>
      </c>
      <c r="P535" s="74">
        <f>VLOOKUP(B535,'115+260'!$B$15:$AB$647,14,FALSE)</f>
        <v>-1695</v>
      </c>
      <c r="Q535" s="72">
        <f>'115+260'!R536</f>
        <v>14</v>
      </c>
      <c r="R535" s="71">
        <f t="shared" si="122"/>
        <v>1475</v>
      </c>
      <c r="S535" s="76">
        <f>VLOOKUP(B535,'115+260'!$B$14:$AB$647,22,FALSE)</f>
        <v>4671</v>
      </c>
      <c r="T535" s="75">
        <f>VLOOKUP(B535,'115+260'!$B$15:$AB$647,6,FALSE)</f>
        <v>1859</v>
      </c>
      <c r="U535" s="74">
        <f t="shared" si="123"/>
        <v>1531</v>
      </c>
      <c r="V535" s="73">
        <f>VLOOKUP(B535,'115+260'!$B$15:$AB$647,15,FALSE)</f>
        <v>-1469</v>
      </c>
      <c r="W535" s="72">
        <f>'115+260'!S536</f>
        <v>13</v>
      </c>
      <c r="X535" s="71">
        <f t="shared" si="124"/>
        <v>1219</v>
      </c>
      <c r="Y535" s="70">
        <f t="shared" si="125"/>
        <v>-13</v>
      </c>
      <c r="Z535" s="69">
        <f t="shared" si="126"/>
        <v>0</v>
      </c>
      <c r="AA535" s="68">
        <f t="shared" si="127"/>
        <v>5.9799999999999995</v>
      </c>
      <c r="AB535" s="68">
        <f t="shared" si="128"/>
        <v>3.16</v>
      </c>
    </row>
    <row r="536" spans="2:28">
      <c r="B536" s="110">
        <f>'115+260'!B537</f>
        <v>45848</v>
      </c>
      <c r="C536" s="80">
        <f t="shared" si="116"/>
        <v>7</v>
      </c>
      <c r="D536" s="79">
        <f t="shared" si="117"/>
        <v>1069</v>
      </c>
      <c r="E536" s="78">
        <f>VLOOKUP(B536,'115+260'!B537:AB537,3,FALSE)</f>
        <v>2323</v>
      </c>
      <c r="F536" s="75">
        <f t="shared" si="118"/>
        <v>3392</v>
      </c>
      <c r="G536" s="77">
        <f>VLOOKUP(B536,'115+260'!$B$15:$AB$647,20,FALSE)</f>
        <v>4722</v>
      </c>
      <c r="H536" s="77">
        <f>VLOOKUP(B536,'115+260'!$B$15:$AB$647,4,FALSE)</f>
        <v>1760</v>
      </c>
      <c r="I536" s="74">
        <f t="shared" si="119"/>
        <v>1632</v>
      </c>
      <c r="J536" s="74">
        <f>VLOOKUP(B536,'115+260'!$B$15:$AB$647,13,FALSE)</f>
        <v>-1368</v>
      </c>
      <c r="K536" s="72">
        <f>'115+260'!Q537</f>
        <v>12</v>
      </c>
      <c r="L536" s="71">
        <f t="shared" si="120"/>
        <v>1168</v>
      </c>
      <c r="M536" s="76">
        <f>VLOOKUP(B536,'115+260'!$B$14:$AB$647,21,FALSE)</f>
        <v>4405</v>
      </c>
      <c r="N536" s="75">
        <f>VLOOKUP(B536,'115+260'!$B$15:$AB$647,5,FALSE)</f>
        <v>2097</v>
      </c>
      <c r="O536" s="74">
        <f t="shared" si="121"/>
        <v>1295</v>
      </c>
      <c r="P536" s="74">
        <f>VLOOKUP(B536,'115+260'!$B$15:$AB$647,14,FALSE)</f>
        <v>-1705</v>
      </c>
      <c r="Q536" s="72">
        <f>'115+260'!R537</f>
        <v>10</v>
      </c>
      <c r="R536" s="71">
        <f t="shared" si="122"/>
        <v>1485</v>
      </c>
      <c r="S536" s="76">
        <f>VLOOKUP(B536,'115+260'!$B$14:$AB$647,22,FALSE)</f>
        <v>4659</v>
      </c>
      <c r="T536" s="75">
        <f>VLOOKUP(B536,'115+260'!$B$15:$AB$647,6,FALSE)</f>
        <v>1873</v>
      </c>
      <c r="U536" s="74">
        <f t="shared" si="123"/>
        <v>1519</v>
      </c>
      <c r="V536" s="73">
        <f>VLOOKUP(B536,'115+260'!$B$15:$AB$647,15,FALSE)</f>
        <v>-1481</v>
      </c>
      <c r="W536" s="72">
        <f>'115+260'!S537</f>
        <v>12</v>
      </c>
      <c r="X536" s="71">
        <f t="shared" si="124"/>
        <v>1231</v>
      </c>
      <c r="Y536" s="70">
        <f t="shared" si="125"/>
        <v>-12</v>
      </c>
      <c r="Z536" s="69">
        <f t="shared" si="126"/>
        <v>0</v>
      </c>
      <c r="AA536" s="68">
        <f t="shared" si="127"/>
        <v>5.9799999999999995</v>
      </c>
      <c r="AB536" s="68">
        <f t="shared" si="128"/>
        <v>3.14</v>
      </c>
    </row>
    <row r="537" spans="2:28">
      <c r="B537" s="110">
        <f>'115+260'!B538</f>
        <v>45855</v>
      </c>
      <c r="C537" s="80">
        <f t="shared" si="116"/>
        <v>7</v>
      </c>
      <c r="D537" s="79">
        <f t="shared" si="117"/>
        <v>1069</v>
      </c>
      <c r="E537" s="78">
        <f>VLOOKUP(B537,'115+260'!B538:AB538,3,FALSE)</f>
        <v>2325</v>
      </c>
      <c r="F537" s="75">
        <f t="shared" si="118"/>
        <v>3394</v>
      </c>
      <c r="G537" s="77">
        <f>VLOOKUP(B537,'115+260'!$B$15:$AB$647,20,FALSE)</f>
        <v>4710</v>
      </c>
      <c r="H537" s="77">
        <f>VLOOKUP(B537,'115+260'!$B$15:$AB$647,4,FALSE)</f>
        <v>1774</v>
      </c>
      <c r="I537" s="74">
        <f t="shared" si="119"/>
        <v>1620</v>
      </c>
      <c r="J537" s="74">
        <f>VLOOKUP(B537,'115+260'!$B$15:$AB$647,13,FALSE)</f>
        <v>-1380</v>
      </c>
      <c r="K537" s="72">
        <f>'115+260'!Q538</f>
        <v>12</v>
      </c>
      <c r="L537" s="71">
        <f t="shared" si="120"/>
        <v>1180</v>
      </c>
      <c r="M537" s="76">
        <f>VLOOKUP(B537,'115+260'!$B$14:$AB$647,21,FALSE)</f>
        <v>4395</v>
      </c>
      <c r="N537" s="75">
        <f>VLOOKUP(B537,'115+260'!$B$15:$AB$647,5,FALSE)</f>
        <v>2109</v>
      </c>
      <c r="O537" s="74">
        <f t="shared" si="121"/>
        <v>1285</v>
      </c>
      <c r="P537" s="74">
        <f>VLOOKUP(B537,'115+260'!$B$15:$AB$647,14,FALSE)</f>
        <v>-1715</v>
      </c>
      <c r="Q537" s="72">
        <f>'115+260'!R538</f>
        <v>10</v>
      </c>
      <c r="R537" s="71">
        <f t="shared" si="122"/>
        <v>1495</v>
      </c>
      <c r="S537" s="76">
        <f>VLOOKUP(B537,'115+260'!$B$14:$AB$647,22,FALSE)</f>
        <v>4647</v>
      </c>
      <c r="T537" s="75">
        <f>VLOOKUP(B537,'115+260'!$B$15:$AB$647,6,FALSE)</f>
        <v>1887</v>
      </c>
      <c r="U537" s="74">
        <f t="shared" si="123"/>
        <v>1507</v>
      </c>
      <c r="V537" s="73">
        <f>VLOOKUP(B537,'115+260'!$B$15:$AB$647,15,FALSE)</f>
        <v>-1493</v>
      </c>
      <c r="W537" s="72">
        <f>'115+260'!S538</f>
        <v>12</v>
      </c>
      <c r="X537" s="71">
        <f t="shared" si="124"/>
        <v>1243</v>
      </c>
      <c r="Y537" s="70">
        <f t="shared" si="125"/>
        <v>-12</v>
      </c>
      <c r="Z537" s="69">
        <f t="shared" si="126"/>
        <v>0</v>
      </c>
      <c r="AA537" s="68">
        <f t="shared" si="127"/>
        <v>5.9799999999999995</v>
      </c>
      <c r="AB537" s="68">
        <f t="shared" si="128"/>
        <v>3.12</v>
      </c>
    </row>
    <row r="538" spans="2:28">
      <c r="B538" s="110">
        <f>'115+260'!B539</f>
        <v>45862</v>
      </c>
      <c r="C538" s="80">
        <f t="shared" si="116"/>
        <v>7</v>
      </c>
      <c r="D538" s="79">
        <f t="shared" si="117"/>
        <v>1069</v>
      </c>
      <c r="E538" s="78">
        <f>VLOOKUP(B538,'115+260'!B539:AB539,3,FALSE)</f>
        <v>2327</v>
      </c>
      <c r="F538" s="75">
        <f t="shared" si="118"/>
        <v>3396</v>
      </c>
      <c r="G538" s="77">
        <f>VLOOKUP(B538,'115+260'!$B$15:$AB$647,20,FALSE)</f>
        <v>4696</v>
      </c>
      <c r="H538" s="77">
        <f>VLOOKUP(B538,'115+260'!$B$15:$AB$647,4,FALSE)</f>
        <v>1790</v>
      </c>
      <c r="I538" s="74">
        <f t="shared" si="119"/>
        <v>1606</v>
      </c>
      <c r="J538" s="74">
        <f>VLOOKUP(B538,'115+260'!$B$15:$AB$647,13,FALSE)</f>
        <v>-1394</v>
      </c>
      <c r="K538" s="72">
        <f>'115+260'!Q539</f>
        <v>14</v>
      </c>
      <c r="L538" s="71">
        <f t="shared" si="120"/>
        <v>1194</v>
      </c>
      <c r="M538" s="76">
        <f>VLOOKUP(B538,'115+260'!$B$14:$AB$647,21,FALSE)</f>
        <v>4386</v>
      </c>
      <c r="N538" s="75">
        <f>VLOOKUP(B538,'115+260'!$B$15:$AB$647,5,FALSE)</f>
        <v>2120</v>
      </c>
      <c r="O538" s="74">
        <f t="shared" si="121"/>
        <v>1276</v>
      </c>
      <c r="P538" s="74">
        <f>VLOOKUP(B538,'115+260'!$B$15:$AB$647,14,FALSE)</f>
        <v>-1724</v>
      </c>
      <c r="Q538" s="72">
        <f>'115+260'!R539</f>
        <v>9</v>
      </c>
      <c r="R538" s="71">
        <f t="shared" si="122"/>
        <v>1504</v>
      </c>
      <c r="S538" s="76">
        <f>VLOOKUP(B538,'115+260'!$B$14:$AB$647,22,FALSE)</f>
        <v>4635</v>
      </c>
      <c r="T538" s="75">
        <f>VLOOKUP(B538,'115+260'!$B$15:$AB$647,6,FALSE)</f>
        <v>1901</v>
      </c>
      <c r="U538" s="74">
        <f t="shared" si="123"/>
        <v>1495</v>
      </c>
      <c r="V538" s="73">
        <f>VLOOKUP(B538,'115+260'!$B$15:$AB$647,15,FALSE)</f>
        <v>-1505</v>
      </c>
      <c r="W538" s="72">
        <f>'115+260'!S539</f>
        <v>12</v>
      </c>
      <c r="X538" s="71">
        <f t="shared" si="124"/>
        <v>1255</v>
      </c>
      <c r="Y538" s="70">
        <f t="shared" si="125"/>
        <v>-12</v>
      </c>
      <c r="Z538" s="69">
        <f t="shared" si="126"/>
        <v>0</v>
      </c>
      <c r="AA538" s="68">
        <f t="shared" si="127"/>
        <v>5.9799999999999995</v>
      </c>
      <c r="AB538" s="68">
        <f t="shared" si="128"/>
        <v>3.1019999999999999</v>
      </c>
    </row>
    <row r="539" spans="2:28">
      <c r="B539" s="110">
        <f>'115+260'!B540</f>
        <v>45869</v>
      </c>
      <c r="C539" s="80">
        <f t="shared" ref="C539:C544" si="129">B539-B538</f>
        <v>7</v>
      </c>
      <c r="D539" s="79">
        <f t="shared" si="117"/>
        <v>1069</v>
      </c>
      <c r="E539" s="78">
        <f>VLOOKUP(B539,'115+260'!B540:AB540,3,FALSE)</f>
        <v>2329</v>
      </c>
      <c r="F539" s="75">
        <f t="shared" ref="F539:F544" si="130">D539+E539</f>
        <v>3398</v>
      </c>
      <c r="G539" s="77">
        <f>VLOOKUP(B539,'115+260'!$B$15:$AB$647,20,FALSE)</f>
        <v>4683</v>
      </c>
      <c r="H539" s="77">
        <f>VLOOKUP(B539,'115+260'!$B$15:$AB$647,4,FALSE)</f>
        <v>1805</v>
      </c>
      <c r="I539" s="74">
        <f t="shared" ref="I539:I544" si="131">F539-H539</f>
        <v>1593</v>
      </c>
      <c r="J539" s="74">
        <f>VLOOKUP(B539,'115+260'!$B$15:$AB$647,13,FALSE)</f>
        <v>-1407</v>
      </c>
      <c r="K539" s="72">
        <f>'115+260'!Q540</f>
        <v>13</v>
      </c>
      <c r="L539" s="71">
        <f t="shared" ref="L539:L544" si="132">+K539+L538</f>
        <v>1207</v>
      </c>
      <c r="M539" s="76">
        <f>VLOOKUP(B539,'115+260'!$B$14:$AB$647,21,FALSE)</f>
        <v>4378</v>
      </c>
      <c r="N539" s="75">
        <f>VLOOKUP(B539,'115+260'!$B$15:$AB$647,5,FALSE)</f>
        <v>2130</v>
      </c>
      <c r="O539" s="74">
        <f t="shared" ref="O539:O544" si="133">F539-N539</f>
        <v>1268</v>
      </c>
      <c r="P539" s="74">
        <f>VLOOKUP(B539,'115+260'!$B$15:$AB$647,14,FALSE)</f>
        <v>-1732</v>
      </c>
      <c r="Q539" s="72">
        <f>'115+260'!R540</f>
        <v>8</v>
      </c>
      <c r="R539" s="71">
        <f t="shared" ref="R539:R544" si="134">+Q539+R538</f>
        <v>1512</v>
      </c>
      <c r="S539" s="76">
        <f>VLOOKUP(B539,'115+260'!$B$14:$AB$647,22,FALSE)</f>
        <v>4625</v>
      </c>
      <c r="T539" s="75">
        <f>VLOOKUP(B539,'115+260'!$B$15:$AB$647,6,FALSE)</f>
        <v>1913</v>
      </c>
      <c r="U539" s="74">
        <f t="shared" ref="U539:U544" si="135">F539-T539</f>
        <v>1485</v>
      </c>
      <c r="V539" s="73">
        <f>VLOOKUP(B539,'115+260'!$B$15:$AB$647,15,FALSE)</f>
        <v>-1515</v>
      </c>
      <c r="W539" s="72">
        <f>'115+260'!S540</f>
        <v>10</v>
      </c>
      <c r="X539" s="71">
        <f t="shared" ref="X539:X544" si="136">+W539+X538</f>
        <v>1265</v>
      </c>
      <c r="Y539" s="70">
        <f t="shared" ref="Y539:Y544" si="137">S539-S538</f>
        <v>-10</v>
      </c>
      <c r="Z539" s="69">
        <f t="shared" ref="Z539:Z544" si="138">IF(Y539&gt;0,Y539,0)/1000</f>
        <v>0</v>
      </c>
      <c r="AA539" s="68">
        <f t="shared" ref="AA539:AA544" si="139">AA538+Z539</f>
        <v>5.9799999999999995</v>
      </c>
      <c r="AB539" s="68">
        <f t="shared" ref="AB539:AB544" si="140">(M539-$M$13-R539)/1000</f>
        <v>3.0859999999999999</v>
      </c>
    </row>
    <row r="540" spans="2:28">
      <c r="B540" s="110">
        <f>'115+260'!B541</f>
        <v>0</v>
      </c>
      <c r="C540" s="80">
        <f t="shared" si="129"/>
        <v>-45869</v>
      </c>
      <c r="D540" s="79">
        <f t="shared" si="117"/>
        <v>1069</v>
      </c>
      <c r="E540" s="78" t="e">
        <f>VLOOKUP(B540,'115+260'!B541:AB541,3,FALSE)</f>
        <v>#N/A</v>
      </c>
      <c r="F540" s="75" t="e">
        <f t="shared" si="130"/>
        <v>#N/A</v>
      </c>
      <c r="G540" s="77" t="e">
        <f>VLOOKUP(B540,'115+260'!$B$15:$AB$647,20,FALSE)</f>
        <v>#N/A</v>
      </c>
      <c r="H540" s="77" t="e">
        <f>VLOOKUP(B540,'115+260'!$B$15:$AB$647,4,FALSE)</f>
        <v>#N/A</v>
      </c>
      <c r="I540" s="74" t="e">
        <f t="shared" si="131"/>
        <v>#N/A</v>
      </c>
      <c r="J540" s="74" t="e">
        <f>VLOOKUP(B540,'115+260'!$B$15:$AB$647,13,FALSE)</f>
        <v>#N/A</v>
      </c>
      <c r="K540" s="72">
        <f>'115+260'!Q541</f>
        <v>0</v>
      </c>
      <c r="L540" s="71">
        <f t="shared" si="132"/>
        <v>1207</v>
      </c>
      <c r="M540" s="76" t="e">
        <f>VLOOKUP(B540,'115+260'!$B$14:$AB$647,21,FALSE)</f>
        <v>#N/A</v>
      </c>
      <c r="N540" s="75" t="e">
        <f>VLOOKUP(B540,'115+260'!$B$15:$AB$647,5,FALSE)</f>
        <v>#N/A</v>
      </c>
      <c r="O540" s="74" t="e">
        <f t="shared" si="133"/>
        <v>#N/A</v>
      </c>
      <c r="P540" s="74" t="e">
        <f>VLOOKUP(B540,'115+260'!$B$15:$AB$647,14,FALSE)</f>
        <v>#N/A</v>
      </c>
      <c r="Q540" s="72">
        <f>'115+260'!R541</f>
        <v>0</v>
      </c>
      <c r="R540" s="71">
        <f t="shared" si="134"/>
        <v>1512</v>
      </c>
      <c r="S540" s="76" t="e">
        <f>VLOOKUP(B540,'115+260'!$B$14:$AB$647,22,FALSE)</f>
        <v>#N/A</v>
      </c>
      <c r="T540" s="75" t="e">
        <f>VLOOKUP(B540,'115+260'!$B$15:$AB$647,6,FALSE)</f>
        <v>#N/A</v>
      </c>
      <c r="U540" s="74" t="e">
        <f t="shared" si="135"/>
        <v>#N/A</v>
      </c>
      <c r="V540" s="73" t="e">
        <f>VLOOKUP(B540,'115+260'!$B$15:$AB$647,15,FALSE)</f>
        <v>#N/A</v>
      </c>
      <c r="W540" s="72">
        <f>'115+260'!S541</f>
        <v>0</v>
      </c>
      <c r="X540" s="71">
        <f t="shared" si="136"/>
        <v>1265</v>
      </c>
      <c r="Y540" s="70" t="e">
        <f t="shared" si="137"/>
        <v>#N/A</v>
      </c>
      <c r="Z540" s="69" t="e">
        <f t="shared" si="138"/>
        <v>#N/A</v>
      </c>
      <c r="AA540" s="68" t="e">
        <f t="shared" si="139"/>
        <v>#N/A</v>
      </c>
      <c r="AB540" s="68" t="e">
        <f t="shared" si="140"/>
        <v>#N/A</v>
      </c>
    </row>
    <row r="541" spans="2:28">
      <c r="B541" s="110">
        <f>'115+260'!B542</f>
        <v>0</v>
      </c>
      <c r="C541" s="80">
        <f t="shared" si="129"/>
        <v>0</v>
      </c>
      <c r="D541" s="79">
        <f t="shared" si="117"/>
        <v>1069</v>
      </c>
      <c r="E541" s="78" t="e">
        <f>VLOOKUP(B541,'115+260'!B542:AB542,3,FALSE)</f>
        <v>#N/A</v>
      </c>
      <c r="F541" s="75" t="e">
        <f t="shared" si="130"/>
        <v>#N/A</v>
      </c>
      <c r="G541" s="77" t="e">
        <f>VLOOKUP(B541,'115+260'!$B$15:$AB$647,20,FALSE)</f>
        <v>#N/A</v>
      </c>
      <c r="H541" s="77" t="e">
        <f>VLOOKUP(B541,'115+260'!$B$15:$AB$647,4,FALSE)</f>
        <v>#N/A</v>
      </c>
      <c r="I541" s="74" t="e">
        <f t="shared" si="131"/>
        <v>#N/A</v>
      </c>
      <c r="J541" s="74" t="e">
        <f>VLOOKUP(B541,'115+260'!$B$15:$AB$647,13,FALSE)</f>
        <v>#N/A</v>
      </c>
      <c r="K541" s="72">
        <f>'115+260'!Q542</f>
        <v>0</v>
      </c>
      <c r="L541" s="71">
        <f t="shared" si="132"/>
        <v>1207</v>
      </c>
      <c r="M541" s="76" t="e">
        <f>VLOOKUP(B541,'115+260'!$B$14:$AB$647,21,FALSE)</f>
        <v>#N/A</v>
      </c>
      <c r="N541" s="75" t="e">
        <f>VLOOKUP(B541,'115+260'!$B$15:$AB$647,5,FALSE)</f>
        <v>#N/A</v>
      </c>
      <c r="O541" s="74" t="e">
        <f t="shared" si="133"/>
        <v>#N/A</v>
      </c>
      <c r="P541" s="74" t="e">
        <f>VLOOKUP(B541,'115+260'!$B$15:$AB$647,14,FALSE)</f>
        <v>#N/A</v>
      </c>
      <c r="Q541" s="72">
        <f>'115+260'!R542</f>
        <v>-2</v>
      </c>
      <c r="R541" s="71">
        <f t="shared" si="134"/>
        <v>1510</v>
      </c>
      <c r="S541" s="76" t="e">
        <f>VLOOKUP(B541,'115+260'!$B$14:$AB$647,22,FALSE)</f>
        <v>#N/A</v>
      </c>
      <c r="T541" s="75" t="e">
        <f>VLOOKUP(B541,'115+260'!$B$15:$AB$647,6,FALSE)</f>
        <v>#N/A</v>
      </c>
      <c r="U541" s="74" t="e">
        <f t="shared" si="135"/>
        <v>#N/A</v>
      </c>
      <c r="V541" s="73" t="e">
        <f>VLOOKUP(B541,'115+260'!$B$15:$AB$647,15,FALSE)</f>
        <v>#N/A</v>
      </c>
      <c r="W541" s="72">
        <f>'115+260'!S542</f>
        <v>0</v>
      </c>
      <c r="X541" s="71">
        <f t="shared" si="136"/>
        <v>1265</v>
      </c>
      <c r="Y541" s="70" t="e">
        <f t="shared" si="137"/>
        <v>#N/A</v>
      </c>
      <c r="Z541" s="69" t="e">
        <f t="shared" si="138"/>
        <v>#N/A</v>
      </c>
      <c r="AA541" s="68" t="e">
        <f t="shared" si="139"/>
        <v>#N/A</v>
      </c>
      <c r="AB541" s="68" t="e">
        <f t="shared" si="140"/>
        <v>#N/A</v>
      </c>
    </row>
    <row r="542" spans="2:28">
      <c r="B542" s="110">
        <f>'115+260'!B543</f>
        <v>0</v>
      </c>
      <c r="C542" s="80">
        <f t="shared" si="129"/>
        <v>0</v>
      </c>
      <c r="D542" s="79">
        <f t="shared" si="117"/>
        <v>1069</v>
      </c>
      <c r="E542" s="78" t="e">
        <f>VLOOKUP(B542,'115+260'!B543:AB543,3,FALSE)</f>
        <v>#N/A</v>
      </c>
      <c r="F542" s="75" t="e">
        <f t="shared" si="130"/>
        <v>#N/A</v>
      </c>
      <c r="G542" s="77" t="e">
        <f>VLOOKUP(B542,'115+260'!$B$15:$AB$647,20,FALSE)</f>
        <v>#N/A</v>
      </c>
      <c r="H542" s="77" t="e">
        <f>VLOOKUP(B542,'115+260'!$B$15:$AB$647,4,FALSE)</f>
        <v>#N/A</v>
      </c>
      <c r="I542" s="74" t="e">
        <f t="shared" si="131"/>
        <v>#N/A</v>
      </c>
      <c r="J542" s="74" t="e">
        <f>VLOOKUP(B542,'115+260'!$B$15:$AB$647,13,FALSE)</f>
        <v>#N/A</v>
      </c>
      <c r="K542" s="72">
        <f>'115+260'!Q543</f>
        <v>0</v>
      </c>
      <c r="L542" s="71">
        <f t="shared" si="132"/>
        <v>1207</v>
      </c>
      <c r="M542" s="76" t="e">
        <f>VLOOKUP(B542,'115+260'!$B$14:$AB$647,21,FALSE)</f>
        <v>#N/A</v>
      </c>
      <c r="N542" s="75" t="e">
        <f>VLOOKUP(B542,'115+260'!$B$15:$AB$647,5,FALSE)</f>
        <v>#N/A</v>
      </c>
      <c r="O542" s="74" t="e">
        <f t="shared" si="133"/>
        <v>#N/A</v>
      </c>
      <c r="P542" s="74" t="e">
        <f>VLOOKUP(B542,'115+260'!$B$15:$AB$647,14,FALSE)</f>
        <v>#N/A</v>
      </c>
      <c r="Q542" s="72">
        <f>'115+260'!R543</f>
        <v>0</v>
      </c>
      <c r="R542" s="71">
        <f t="shared" si="134"/>
        <v>1510</v>
      </c>
      <c r="S542" s="76" t="e">
        <f>VLOOKUP(B542,'115+260'!$B$14:$AB$647,22,FALSE)</f>
        <v>#N/A</v>
      </c>
      <c r="T542" s="75" t="e">
        <f>VLOOKUP(B542,'115+260'!$B$15:$AB$647,6,FALSE)</f>
        <v>#N/A</v>
      </c>
      <c r="U542" s="74" t="e">
        <f t="shared" si="135"/>
        <v>#N/A</v>
      </c>
      <c r="V542" s="73" t="e">
        <f>VLOOKUP(B542,'115+260'!$B$15:$AB$647,15,FALSE)</f>
        <v>#N/A</v>
      </c>
      <c r="W542" s="72">
        <f>'115+260'!S543</f>
        <v>0</v>
      </c>
      <c r="X542" s="71">
        <f t="shared" si="136"/>
        <v>1265</v>
      </c>
      <c r="Y542" s="70" t="e">
        <f t="shared" si="137"/>
        <v>#N/A</v>
      </c>
      <c r="Z542" s="69" t="e">
        <f t="shared" si="138"/>
        <v>#N/A</v>
      </c>
      <c r="AA542" s="68" t="e">
        <f t="shared" si="139"/>
        <v>#N/A</v>
      </c>
      <c r="AB542" s="68" t="e">
        <f t="shared" si="140"/>
        <v>#N/A</v>
      </c>
    </row>
    <row r="543" spans="2:28">
      <c r="B543" s="110">
        <f>'115+260'!B544</f>
        <v>0</v>
      </c>
      <c r="C543" s="80">
        <f t="shared" si="129"/>
        <v>0</v>
      </c>
      <c r="D543" s="79">
        <f t="shared" si="117"/>
        <v>1069</v>
      </c>
      <c r="E543" s="78" t="e">
        <f>VLOOKUP(B543,'115+260'!B544:AB544,3,FALSE)</f>
        <v>#N/A</v>
      </c>
      <c r="F543" s="75" t="e">
        <f t="shared" si="130"/>
        <v>#N/A</v>
      </c>
      <c r="G543" s="77" t="e">
        <f>VLOOKUP(B543,'115+260'!$B$15:$AB$647,20,FALSE)</f>
        <v>#N/A</v>
      </c>
      <c r="H543" s="77" t="e">
        <f>VLOOKUP(B543,'115+260'!$B$15:$AB$647,4,FALSE)</f>
        <v>#N/A</v>
      </c>
      <c r="I543" s="74" t="e">
        <f t="shared" si="131"/>
        <v>#N/A</v>
      </c>
      <c r="J543" s="74" t="e">
        <f>VLOOKUP(B543,'115+260'!$B$15:$AB$647,13,FALSE)</f>
        <v>#N/A</v>
      </c>
      <c r="K543" s="72">
        <f>'115+260'!Q544</f>
        <v>0</v>
      </c>
      <c r="L543" s="71">
        <f t="shared" si="132"/>
        <v>1207</v>
      </c>
      <c r="M543" s="76" t="e">
        <f>VLOOKUP(B543,'115+260'!$B$14:$AB$647,21,FALSE)</f>
        <v>#N/A</v>
      </c>
      <c r="N543" s="75" t="e">
        <f>VLOOKUP(B543,'115+260'!$B$15:$AB$647,5,FALSE)</f>
        <v>#N/A</v>
      </c>
      <c r="O543" s="74" t="e">
        <f t="shared" si="133"/>
        <v>#N/A</v>
      </c>
      <c r="P543" s="74" t="e">
        <f>VLOOKUP(B543,'115+260'!$B$15:$AB$647,14,FALSE)</f>
        <v>#N/A</v>
      </c>
      <c r="Q543" s="72">
        <f>'115+260'!R544</f>
        <v>0</v>
      </c>
      <c r="R543" s="71">
        <f t="shared" si="134"/>
        <v>1510</v>
      </c>
      <c r="S543" s="76" t="e">
        <f>VLOOKUP(B543,'115+260'!$B$14:$AB$647,22,FALSE)</f>
        <v>#N/A</v>
      </c>
      <c r="T543" s="75" t="e">
        <f>VLOOKUP(B543,'115+260'!$B$15:$AB$647,6,FALSE)</f>
        <v>#N/A</v>
      </c>
      <c r="U543" s="74" t="e">
        <f t="shared" si="135"/>
        <v>#N/A</v>
      </c>
      <c r="V543" s="73" t="e">
        <f>VLOOKUP(B543,'115+260'!$B$15:$AB$647,15,FALSE)</f>
        <v>#N/A</v>
      </c>
      <c r="W543" s="72">
        <f>'115+260'!S544</f>
        <v>0</v>
      </c>
      <c r="X543" s="71">
        <f t="shared" si="136"/>
        <v>1265</v>
      </c>
      <c r="Y543" s="70" t="e">
        <f t="shared" si="137"/>
        <v>#N/A</v>
      </c>
      <c r="Z543" s="69" t="e">
        <f t="shared" si="138"/>
        <v>#N/A</v>
      </c>
      <c r="AA543" s="68" t="e">
        <f t="shared" si="139"/>
        <v>#N/A</v>
      </c>
      <c r="AB543" s="68" t="e">
        <f t="shared" si="140"/>
        <v>#N/A</v>
      </c>
    </row>
    <row r="544" spans="2:28">
      <c r="B544" s="110">
        <f>'115+260'!B545</f>
        <v>0</v>
      </c>
      <c r="C544" s="80">
        <f t="shared" si="129"/>
        <v>0</v>
      </c>
      <c r="D544" s="79">
        <f t="shared" si="117"/>
        <v>1069</v>
      </c>
      <c r="E544" s="78" t="e">
        <f>VLOOKUP(B544,'115+260'!B545:AB545,3,FALSE)</f>
        <v>#N/A</v>
      </c>
      <c r="F544" s="75" t="e">
        <f t="shared" si="130"/>
        <v>#N/A</v>
      </c>
      <c r="G544" s="77" t="e">
        <f>VLOOKUP(B544,'115+260'!$B$15:$AB$647,20,FALSE)</f>
        <v>#N/A</v>
      </c>
      <c r="H544" s="77" t="e">
        <f>VLOOKUP(B544,'115+260'!$B$15:$AB$647,4,FALSE)</f>
        <v>#N/A</v>
      </c>
      <c r="I544" s="74" t="e">
        <f t="shared" si="131"/>
        <v>#N/A</v>
      </c>
      <c r="J544" s="74" t="e">
        <f>VLOOKUP(B544,'115+260'!$B$15:$AB$647,13,FALSE)</f>
        <v>#N/A</v>
      </c>
      <c r="K544" s="72">
        <f>'115+260'!Q545</f>
        <v>0</v>
      </c>
      <c r="L544" s="71">
        <f t="shared" si="132"/>
        <v>1207</v>
      </c>
      <c r="M544" s="76" t="e">
        <f>VLOOKUP(B544,'115+260'!$B$14:$AB$647,21,FALSE)</f>
        <v>#N/A</v>
      </c>
      <c r="N544" s="75" t="e">
        <f>VLOOKUP(B544,'115+260'!$B$15:$AB$647,5,FALSE)</f>
        <v>#N/A</v>
      </c>
      <c r="O544" s="74" t="e">
        <f t="shared" si="133"/>
        <v>#N/A</v>
      </c>
      <c r="P544" s="74" t="e">
        <f>VLOOKUP(B544,'115+260'!$B$15:$AB$647,14,FALSE)</f>
        <v>#N/A</v>
      </c>
      <c r="Q544" s="72">
        <f>'115+260'!R545</f>
        <v>0</v>
      </c>
      <c r="R544" s="71">
        <f t="shared" si="134"/>
        <v>1510</v>
      </c>
      <c r="S544" s="76" t="e">
        <f>VLOOKUP(B544,'115+260'!$B$14:$AB$647,22,FALSE)</f>
        <v>#N/A</v>
      </c>
      <c r="T544" s="75" t="e">
        <f>VLOOKUP(B544,'115+260'!$B$15:$AB$647,6,FALSE)</f>
        <v>#N/A</v>
      </c>
      <c r="U544" s="74" t="e">
        <f t="shared" si="135"/>
        <v>#N/A</v>
      </c>
      <c r="V544" s="73" t="e">
        <f>VLOOKUP(B544,'115+260'!$B$15:$AB$647,15,FALSE)</f>
        <v>#N/A</v>
      </c>
      <c r="W544" s="72">
        <f>'115+260'!S545</f>
        <v>0</v>
      </c>
      <c r="X544" s="71">
        <f t="shared" si="136"/>
        <v>1265</v>
      </c>
      <c r="Y544" s="70" t="e">
        <f t="shared" si="137"/>
        <v>#N/A</v>
      </c>
      <c r="Z544" s="69" t="e">
        <f t="shared" si="138"/>
        <v>#N/A</v>
      </c>
      <c r="AA544" s="68" t="e">
        <f t="shared" si="139"/>
        <v>#N/A</v>
      </c>
      <c r="AB544" s="68" t="e">
        <f t="shared" si="140"/>
        <v>#N/A</v>
      </c>
    </row>
    <row r="545" spans="2:28">
      <c r="B545" s="81"/>
      <c r="C545" s="80"/>
      <c r="D545" s="79"/>
      <c r="E545" s="78"/>
      <c r="F545" s="75"/>
      <c r="G545" s="77"/>
      <c r="H545" s="77"/>
      <c r="I545" s="74"/>
      <c r="J545" s="74"/>
      <c r="K545" s="72"/>
      <c r="L545" s="71"/>
      <c r="M545" s="76"/>
      <c r="N545" s="75"/>
      <c r="O545" s="74"/>
      <c r="P545" s="74"/>
      <c r="Q545" s="72"/>
      <c r="R545" s="71"/>
      <c r="S545" s="76"/>
      <c r="T545" s="75"/>
      <c r="U545" s="74"/>
      <c r="V545" s="73"/>
      <c r="W545" s="72"/>
      <c r="X545" s="71"/>
      <c r="Y545" s="70"/>
      <c r="Z545" s="69"/>
      <c r="AA545" s="68"/>
      <c r="AB545" s="68"/>
    </row>
    <row r="546" spans="2:28">
      <c r="B546" s="81"/>
      <c r="C546" s="80"/>
      <c r="D546" s="79"/>
      <c r="E546" s="78"/>
      <c r="F546" s="75"/>
      <c r="G546" s="77"/>
      <c r="H546" s="77"/>
      <c r="I546" s="74"/>
      <c r="J546" s="74"/>
      <c r="K546" s="72"/>
      <c r="L546" s="71"/>
      <c r="M546" s="76"/>
      <c r="N546" s="75"/>
      <c r="O546" s="74"/>
      <c r="P546" s="74"/>
      <c r="Q546" s="72"/>
      <c r="R546" s="71"/>
      <c r="S546" s="76"/>
      <c r="T546" s="75"/>
      <c r="U546" s="74"/>
      <c r="V546" s="73"/>
      <c r="W546" s="72"/>
      <c r="X546" s="71"/>
      <c r="Y546" s="70"/>
      <c r="Z546" s="69"/>
      <c r="AA546" s="68"/>
      <c r="AB546" s="68"/>
    </row>
    <row r="547" spans="2:28">
      <c r="B547" s="81"/>
      <c r="C547" s="80"/>
      <c r="D547" s="79"/>
      <c r="E547" s="78"/>
      <c r="F547" s="75"/>
      <c r="G547" s="77"/>
      <c r="H547" s="77"/>
      <c r="I547" s="74"/>
      <c r="J547" s="74"/>
      <c r="K547" s="72"/>
      <c r="L547" s="71"/>
      <c r="M547" s="76"/>
      <c r="N547" s="75"/>
      <c r="O547" s="74"/>
      <c r="P547" s="74"/>
      <c r="Q547" s="72"/>
      <c r="R547" s="71"/>
      <c r="S547" s="76"/>
      <c r="T547" s="75"/>
      <c r="U547" s="74"/>
      <c r="V547" s="73"/>
      <c r="W547" s="72"/>
      <c r="X547" s="71"/>
      <c r="Y547" s="70"/>
      <c r="Z547" s="69"/>
      <c r="AA547" s="68"/>
      <c r="AB547" s="68"/>
    </row>
    <row r="548" spans="2:28">
      <c r="B548" s="81"/>
      <c r="C548" s="80"/>
      <c r="D548" s="79"/>
      <c r="E548" s="78"/>
      <c r="F548" s="75"/>
      <c r="G548" s="77"/>
      <c r="H548" s="77"/>
      <c r="I548" s="74"/>
      <c r="J548" s="74"/>
      <c r="K548" s="72"/>
      <c r="L548" s="71"/>
      <c r="M548" s="76"/>
      <c r="N548" s="75"/>
      <c r="O548" s="74"/>
      <c r="P548" s="74"/>
      <c r="Q548" s="72"/>
      <c r="R548" s="71"/>
      <c r="S548" s="76"/>
      <c r="T548" s="75"/>
      <c r="U548" s="74"/>
      <c r="V548" s="73"/>
      <c r="W548" s="72"/>
      <c r="X548" s="71"/>
      <c r="Y548" s="70"/>
      <c r="Z548" s="69"/>
      <c r="AA548" s="68"/>
      <c r="AB548" s="68"/>
    </row>
    <row r="549" spans="2:28">
      <c r="B549" s="81"/>
      <c r="C549" s="80"/>
      <c r="D549" s="79"/>
      <c r="E549" s="78"/>
      <c r="F549" s="75"/>
      <c r="G549" s="77"/>
      <c r="H549" s="77"/>
      <c r="I549" s="74"/>
      <c r="J549" s="74"/>
      <c r="K549" s="72"/>
      <c r="L549" s="71"/>
      <c r="M549" s="76"/>
      <c r="N549" s="75"/>
      <c r="O549" s="74"/>
      <c r="P549" s="74"/>
      <c r="Q549" s="72"/>
      <c r="R549" s="71"/>
      <c r="S549" s="76"/>
      <c r="T549" s="75"/>
      <c r="U549" s="74"/>
      <c r="V549" s="73"/>
      <c r="W549" s="72"/>
      <c r="X549" s="71"/>
      <c r="Y549" s="70"/>
      <c r="Z549" s="69"/>
      <c r="AA549" s="68"/>
      <c r="AB549" s="68"/>
    </row>
    <row r="550" spans="2:28">
      <c r="B550" s="81"/>
      <c r="C550" s="80"/>
      <c r="D550" s="79"/>
      <c r="E550" s="78"/>
      <c r="F550" s="75"/>
      <c r="G550" s="77"/>
      <c r="H550" s="77"/>
      <c r="I550" s="74"/>
      <c r="J550" s="74"/>
      <c r="K550" s="72"/>
      <c r="L550" s="71"/>
      <c r="M550" s="76"/>
      <c r="N550" s="75"/>
      <c r="O550" s="74"/>
      <c r="P550" s="74"/>
      <c r="Q550" s="72"/>
      <c r="R550" s="71"/>
      <c r="S550" s="76"/>
      <c r="T550" s="75"/>
      <c r="U550" s="74"/>
      <c r="V550" s="73"/>
      <c r="W550" s="72"/>
      <c r="X550" s="71"/>
      <c r="Y550" s="70"/>
      <c r="Z550" s="69"/>
      <c r="AA550" s="68"/>
      <c r="AB550" s="68"/>
    </row>
    <row r="551" spans="2:28">
      <c r="B551" s="81"/>
      <c r="C551" s="80"/>
      <c r="D551" s="79"/>
      <c r="E551" s="78"/>
      <c r="F551" s="75"/>
      <c r="G551" s="77"/>
      <c r="H551" s="77"/>
      <c r="I551" s="74"/>
      <c r="J551" s="74"/>
      <c r="K551" s="72"/>
      <c r="L551" s="71"/>
      <c r="M551" s="76"/>
      <c r="N551" s="75"/>
      <c r="O551" s="74"/>
      <c r="P551" s="74"/>
      <c r="Q551" s="72"/>
      <c r="R551" s="71"/>
      <c r="S551" s="76"/>
      <c r="T551" s="75"/>
      <c r="U551" s="74"/>
      <c r="V551" s="73"/>
      <c r="W551" s="72"/>
      <c r="X551" s="71"/>
      <c r="Y551" s="70"/>
      <c r="Z551" s="69"/>
      <c r="AA551" s="68"/>
      <c r="AB551" s="68"/>
    </row>
    <row r="552" spans="2:28">
      <c r="B552" s="81"/>
      <c r="C552" s="80"/>
      <c r="D552" s="79"/>
      <c r="E552" s="78"/>
      <c r="F552" s="75"/>
      <c r="G552" s="77"/>
      <c r="H552" s="77"/>
      <c r="I552" s="74"/>
      <c r="J552" s="74"/>
      <c r="K552" s="72"/>
      <c r="L552" s="71"/>
      <c r="M552" s="76"/>
      <c r="N552" s="75"/>
      <c r="O552" s="74"/>
      <c r="P552" s="74"/>
      <c r="Q552" s="72"/>
      <c r="R552" s="71"/>
      <c r="S552" s="76"/>
      <c r="T552" s="75"/>
      <c r="U552" s="74"/>
      <c r="V552" s="73"/>
      <c r="W552" s="72"/>
      <c r="X552" s="71"/>
      <c r="Y552" s="70"/>
      <c r="Z552" s="69"/>
      <c r="AA552" s="68"/>
      <c r="AB552" s="68"/>
    </row>
    <row r="553" spans="2:28">
      <c r="B553" s="81"/>
      <c r="C553" s="80"/>
      <c r="D553" s="79"/>
      <c r="E553" s="78"/>
      <c r="F553" s="75"/>
      <c r="G553" s="77"/>
      <c r="H553" s="77"/>
      <c r="I553" s="74"/>
      <c r="J553" s="74"/>
      <c r="K553" s="72"/>
      <c r="L553" s="71"/>
      <c r="M553" s="76"/>
      <c r="N553" s="75"/>
      <c r="O553" s="74"/>
      <c r="P553" s="74"/>
      <c r="Q553" s="72"/>
      <c r="R553" s="71"/>
      <c r="S553" s="76"/>
      <c r="T553" s="75"/>
      <c r="U553" s="74"/>
      <c r="V553" s="73"/>
      <c r="W553" s="72"/>
      <c r="X553" s="71"/>
      <c r="Y553" s="70"/>
      <c r="Z553" s="69"/>
      <c r="AA553" s="68"/>
      <c r="AB553" s="68"/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  <mergeCell ref="B5:I5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DC9F-74B5-4E09-A030-C8106337AFDA}">
  <sheetPr codeName="Sheet30">
    <tabColor rgb="FFFFFF00"/>
  </sheetPr>
  <dimension ref="A1:AA939"/>
  <sheetViews>
    <sheetView tabSelected="1" topLeftCell="A514" zoomScaleNormal="100" zoomScaleSheetLayoutView="85" workbookViewId="0">
      <selection activeCell="R525" sqref="R525"/>
    </sheetView>
  </sheetViews>
  <sheetFormatPr defaultColWidth="9.140625" defaultRowHeight="14.25"/>
  <cols>
    <col min="1" max="1" width="11.5703125" style="142" customWidth="1"/>
    <col min="2" max="2" width="6.85546875" style="140" customWidth="1"/>
    <col min="3" max="11" width="9" style="141" customWidth="1"/>
    <col min="12" max="12" width="9.28515625" style="140" customWidth="1"/>
    <col min="13" max="13" width="8.7109375" style="140" customWidth="1"/>
    <col min="14" max="14" width="8.7109375" style="139" customWidth="1"/>
    <col min="15" max="15" width="16.85546875" style="139" customWidth="1"/>
    <col min="16" max="18" width="9.140625" style="137"/>
    <col min="19" max="19" width="12.140625" style="137" customWidth="1"/>
    <col min="20" max="20" width="9.140625" style="137"/>
    <col min="21" max="21" width="0" style="137" hidden="1" customWidth="1"/>
    <col min="22" max="22" width="10.28515625" style="138" customWidth="1"/>
    <col min="23" max="16384" width="9.140625" style="137"/>
  </cols>
  <sheetData>
    <row r="1" spans="1:27" ht="17.25" customHeight="1">
      <c r="A1" s="246" t="s">
        <v>43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7"/>
    </row>
    <row r="2" spans="1:27" ht="17.25" customHeight="1">
      <c r="A2" s="246" t="s">
        <v>42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5"/>
    </row>
    <row r="3" spans="1:27" ht="29.25" customHeight="1">
      <c r="A3" s="24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9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3"/>
    </row>
    <row r="4" spans="1:27" ht="14.25" customHeight="1">
      <c r="A4" s="211" t="s">
        <v>41</v>
      </c>
      <c r="B4" s="212"/>
      <c r="C4" s="212"/>
      <c r="D4" s="212"/>
      <c r="E4" s="213"/>
      <c r="F4" s="224" t="s">
        <v>40</v>
      </c>
      <c r="G4" s="224"/>
      <c r="H4" s="224"/>
      <c r="I4" s="224"/>
      <c r="J4" s="225"/>
      <c r="K4" s="223" t="s">
        <v>39</v>
      </c>
      <c r="L4" s="224"/>
      <c r="M4" s="224"/>
      <c r="N4" s="224"/>
      <c r="O4" s="225"/>
      <c r="Q4" s="148"/>
    </row>
    <row r="5" spans="1:27" ht="57" customHeight="1">
      <c r="A5" s="191" t="s">
        <v>38</v>
      </c>
      <c r="B5" s="192"/>
      <c r="C5" s="192"/>
      <c r="D5" s="192"/>
      <c r="E5" s="193"/>
      <c r="F5" s="22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28"/>
      <c r="H5" s="228"/>
      <c r="I5" s="228"/>
      <c r="J5" s="229"/>
      <c r="K5" s="227" t="s">
        <v>37</v>
      </c>
      <c r="L5" s="228"/>
      <c r="M5" s="228"/>
      <c r="N5" s="228"/>
      <c r="O5" s="229"/>
      <c r="Q5" s="148"/>
    </row>
    <row r="6" spans="1:27" ht="24.75" customHeight="1">
      <c r="A6" s="194" t="s">
        <v>36</v>
      </c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6"/>
      <c r="P6" s="153"/>
    </row>
    <row r="7" spans="1:27" ht="15.75">
      <c r="A7" s="54" t="s">
        <v>35</v>
      </c>
      <c r="B7" s="52">
        <f>'[4]BC.95+020'!C7</f>
        <v>0</v>
      </c>
      <c r="C7" s="52"/>
      <c r="D7" s="52"/>
      <c r="E7" s="52"/>
      <c r="F7" s="52"/>
      <c r="G7" s="52"/>
      <c r="H7" s="52"/>
      <c r="I7" s="52"/>
      <c r="J7" s="53"/>
      <c r="K7" s="53" t="s">
        <v>34</v>
      </c>
      <c r="L7" s="53"/>
      <c r="M7" s="53">
        <f>'[4]BC.95+020'!N7</f>
        <v>0</v>
      </c>
      <c r="N7" s="53"/>
      <c r="O7" s="162"/>
      <c r="P7" s="151"/>
      <c r="S7" s="152"/>
    </row>
    <row r="8" spans="1:27" ht="15.75">
      <c r="A8" s="48" t="s">
        <v>33</v>
      </c>
      <c r="B8" s="46" t="str">
        <f>'[4]BC.95+020'!C8</f>
        <v>năng</v>
      </c>
      <c r="C8" s="46"/>
      <c r="D8" s="46"/>
      <c r="E8" s="46"/>
      <c r="F8" s="46"/>
      <c r="G8" s="46"/>
      <c r="H8" s="46"/>
      <c r="I8" s="46"/>
      <c r="J8" s="47"/>
      <c r="K8" s="47" t="s">
        <v>31</v>
      </c>
      <c r="L8" s="47"/>
      <c r="M8" s="49">
        <f>'115+260'!M9</f>
        <v>1069</v>
      </c>
      <c r="N8" s="47"/>
      <c r="O8" s="161"/>
      <c r="P8" s="151"/>
      <c r="S8" s="152"/>
    </row>
    <row r="9" spans="1:27" ht="15.75">
      <c r="A9" s="131" t="s">
        <v>30</v>
      </c>
      <c r="B9" s="129" t="str">
        <f>'115+260'!C10</f>
        <v>Km115+260</v>
      </c>
      <c r="C9" s="129"/>
      <c r="D9" s="129"/>
      <c r="E9" s="129"/>
      <c r="F9" s="129"/>
      <c r="G9" s="129"/>
      <c r="H9" s="129"/>
      <c r="I9" s="129"/>
      <c r="J9" s="130"/>
      <c r="K9" s="130" t="s">
        <v>28</v>
      </c>
      <c r="L9" s="130"/>
      <c r="M9" s="250">
        <f>'115+260'!M10</f>
        <v>45251</v>
      </c>
      <c r="N9" s="251"/>
      <c r="O9" s="160"/>
      <c r="P9" s="151"/>
      <c r="Q9" s="150"/>
      <c r="R9" s="149"/>
      <c r="S9" s="148"/>
      <c r="T9" s="148"/>
    </row>
    <row r="10" spans="1:27" ht="14.25" customHeight="1">
      <c r="A10" s="159"/>
      <c r="B10" s="157"/>
      <c r="C10" s="157"/>
      <c r="D10" s="157"/>
      <c r="E10" s="157"/>
      <c r="F10" s="157"/>
      <c r="G10" s="157"/>
      <c r="H10" s="157"/>
      <c r="I10" s="157"/>
      <c r="J10" s="158"/>
      <c r="K10" s="158"/>
      <c r="L10" s="158"/>
      <c r="M10" s="158"/>
      <c r="N10" s="158"/>
      <c r="O10" s="157"/>
      <c r="P10" s="156"/>
      <c r="Q10" s="156"/>
      <c r="R10" s="156"/>
      <c r="S10" s="156"/>
      <c r="T10" s="156"/>
      <c r="U10" s="155"/>
      <c r="V10" s="155"/>
      <c r="W10" s="155"/>
      <c r="X10" s="155"/>
      <c r="Y10" s="155"/>
      <c r="Z10" s="57"/>
      <c r="AA10" s="57"/>
    </row>
    <row r="11" spans="1:27" ht="26.45" customHeight="1">
      <c r="A11" s="258" t="str">
        <f>"BÀN QUAN TRẮC: "&amp;B9</f>
        <v>BÀN QUAN TRẮC: Km115+260</v>
      </c>
      <c r="B11" s="258"/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Q11" s="148"/>
    </row>
    <row r="12" spans="1:27" ht="28.9" customHeight="1">
      <c r="A12" s="253" t="s">
        <v>73</v>
      </c>
      <c r="B12" s="245" t="s">
        <v>72</v>
      </c>
      <c r="C12" s="254" t="s">
        <v>71</v>
      </c>
      <c r="D12" s="255" t="s">
        <v>55</v>
      </c>
      <c r="E12" s="257" t="s">
        <v>70</v>
      </c>
      <c r="F12" s="244" t="s">
        <v>11</v>
      </c>
      <c r="G12" s="244"/>
      <c r="H12" s="244" t="s">
        <v>69</v>
      </c>
      <c r="I12" s="244"/>
      <c r="J12" s="244" t="s">
        <v>9</v>
      </c>
      <c r="K12" s="244"/>
      <c r="L12" s="245" t="s">
        <v>68</v>
      </c>
      <c r="M12" s="245" t="s">
        <v>67</v>
      </c>
      <c r="N12" s="245" t="s">
        <v>66</v>
      </c>
      <c r="O12" s="252" t="s">
        <v>65</v>
      </c>
      <c r="Q12" s="148"/>
    </row>
    <row r="13" spans="1:27" ht="72.599999999999994" customHeight="1">
      <c r="A13" s="253"/>
      <c r="B13" s="245"/>
      <c r="C13" s="254"/>
      <c r="D13" s="256"/>
      <c r="E13" s="257"/>
      <c r="F13" s="154" t="s">
        <v>64</v>
      </c>
      <c r="G13" s="154" t="s">
        <v>63</v>
      </c>
      <c r="H13" s="154" t="s">
        <v>64</v>
      </c>
      <c r="I13" s="154" t="s">
        <v>63</v>
      </c>
      <c r="J13" s="154" t="s">
        <v>64</v>
      </c>
      <c r="K13" s="154" t="s">
        <v>63</v>
      </c>
      <c r="L13" s="245"/>
      <c r="M13" s="245"/>
      <c r="N13" s="245"/>
      <c r="O13" s="252"/>
      <c r="P13" s="153"/>
    </row>
    <row r="14" spans="1:27">
      <c r="A14" s="81">
        <f>'BC.115+260'!B13</f>
        <v>45251</v>
      </c>
      <c r="B14" s="143">
        <v>0</v>
      </c>
      <c r="C14" s="145">
        <f>'BC.115+260'!M13/1000</f>
        <v>-0.22</v>
      </c>
      <c r="D14" s="145">
        <f>'BC.115+260'!AA13</f>
        <v>0</v>
      </c>
      <c r="E14" s="146">
        <f>'BC.115+260'!AB13</f>
        <v>0</v>
      </c>
      <c r="F14" s="145">
        <f>VLOOKUP($A14,'BC.115+260'!$B$13:$X$489,8,0)/1000</f>
        <v>1.8</v>
      </c>
      <c r="G14" s="145">
        <f>VLOOKUP($A14,'BC.115+260'!$B$13:$X$489,9,0)/1000</f>
        <v>-0.2</v>
      </c>
      <c r="H14" s="145">
        <f>VLOOKUP($A14,'BC.115+260'!$B$13:$X$489,14,0)/1000</f>
        <v>1.78</v>
      </c>
      <c r="I14" s="145">
        <f>VLOOKUP($A14,'BC.115+260'!$B$13:$X$489,15,0)/1000</f>
        <v>-0.22</v>
      </c>
      <c r="J14" s="145">
        <f>VLOOKUP($A14,'BC.115+260'!$B$13:$X$489,20,0)/1000</f>
        <v>1.75</v>
      </c>
      <c r="K14" s="145">
        <f>VLOOKUP($A14,'BC.115+260'!$B$13:$X$489,21,0)/1000</f>
        <v>-0.25</v>
      </c>
      <c r="L14" s="143">
        <f t="shared" ref="L14:L77" si="0">(G14-$G$14)*1000</f>
        <v>0</v>
      </c>
      <c r="M14" s="143">
        <f t="shared" ref="M14:M77" si="1">(I14-$I$14)*1000</f>
        <v>0</v>
      </c>
      <c r="N14" s="143">
        <v>0</v>
      </c>
      <c r="O14" s="143"/>
      <c r="P14" s="151"/>
      <c r="S14" s="152"/>
    </row>
    <row r="15" spans="1:27">
      <c r="A15" s="81">
        <f>'BC.115+260'!B14</f>
        <v>45252</v>
      </c>
      <c r="B15" s="143">
        <v>1</v>
      </c>
      <c r="C15" s="145">
        <f>'BC.115+260'!M14/1000</f>
        <v>-0.22</v>
      </c>
      <c r="D15" s="145">
        <f>'BC.115+260'!AA14</f>
        <v>0</v>
      </c>
      <c r="E15" s="146">
        <f>'BC.115+260'!AB14</f>
        <v>0</v>
      </c>
      <c r="F15" s="145">
        <f>VLOOKUP($A15,'BC.115+260'!$B$13:$X$489,8,0)/1000</f>
        <v>1.8</v>
      </c>
      <c r="G15" s="145">
        <f>VLOOKUP($A15,'BC.115+260'!$B$13:$X$489,9,0)/1000</f>
        <v>-0.2</v>
      </c>
      <c r="H15" s="145">
        <f>VLOOKUP($A15,'BC.115+260'!$B$13:$X$489,14,0)/1000</f>
        <v>1.78</v>
      </c>
      <c r="I15" s="145">
        <f>VLOOKUP($A15,'BC.115+260'!$B$13:$X$489,15,0)/1000</f>
        <v>-0.22</v>
      </c>
      <c r="J15" s="145">
        <f>VLOOKUP($A15,'BC.115+260'!$B$13:$X$489,20,0)/1000</f>
        <v>1.75</v>
      </c>
      <c r="K15" s="145">
        <f>VLOOKUP($A15,'BC.115+260'!$B$13:$X$489,21,0)/1000</f>
        <v>-0.25</v>
      </c>
      <c r="L15" s="143">
        <f t="shared" si="0"/>
        <v>0</v>
      </c>
      <c r="M15" s="144">
        <f t="shared" si="1"/>
        <v>0</v>
      </c>
      <c r="N15" s="143">
        <f t="shared" ref="N15:N78" si="2">(K15-$K$14)*1000</f>
        <v>0</v>
      </c>
      <c r="O15" s="143"/>
      <c r="P15" s="151"/>
      <c r="S15" s="152"/>
    </row>
    <row r="16" spans="1:27">
      <c r="A16" s="81">
        <f>'BC.115+260'!B15</f>
        <v>45253</v>
      </c>
      <c r="B16" s="143">
        <v>2</v>
      </c>
      <c r="C16" s="145">
        <f>'BC.115+260'!M15/1000</f>
        <v>-0.22</v>
      </c>
      <c r="D16" s="145">
        <f>'BC.115+260'!AA15</f>
        <v>0</v>
      </c>
      <c r="E16" s="146">
        <f>'BC.115+260'!AB15</f>
        <v>0</v>
      </c>
      <c r="F16" s="145">
        <f>VLOOKUP($A16,'BC.115+260'!$B$13:$X$489,8,0)/1000</f>
        <v>1.8</v>
      </c>
      <c r="G16" s="145">
        <f>VLOOKUP($A16,'BC.115+260'!$B$13:$X$489,9,0)/1000</f>
        <v>-0.2</v>
      </c>
      <c r="H16" s="145">
        <f>VLOOKUP($A16,'BC.115+260'!$B$13:$X$489,14,0)/1000</f>
        <v>1.78</v>
      </c>
      <c r="I16" s="145">
        <f>VLOOKUP($A16,'BC.115+260'!$B$13:$X$489,15,0)/1000</f>
        <v>-0.22</v>
      </c>
      <c r="J16" s="145">
        <f>VLOOKUP($A16,'BC.115+260'!$B$13:$X$489,20,0)/1000</f>
        <v>1.75</v>
      </c>
      <c r="K16" s="145">
        <f>VLOOKUP($A16,'BC.115+260'!$B$13:$X$489,21,0)/1000</f>
        <v>-0.25</v>
      </c>
      <c r="L16" s="143">
        <f t="shared" si="0"/>
        <v>0</v>
      </c>
      <c r="M16" s="144">
        <f t="shared" si="1"/>
        <v>0</v>
      </c>
      <c r="N16" s="143">
        <f t="shared" si="2"/>
        <v>0</v>
      </c>
      <c r="O16" s="143"/>
      <c r="P16" s="151"/>
      <c r="Q16" s="150"/>
      <c r="R16" s="149"/>
      <c r="S16" s="148"/>
      <c r="T16" s="148"/>
    </row>
    <row r="17" spans="1:20">
      <c r="A17" s="81">
        <f>'BC.115+260'!B16</f>
        <v>45254</v>
      </c>
      <c r="B17" s="143">
        <v>3</v>
      </c>
      <c r="C17" s="145">
        <f>'BC.115+260'!M16/1000</f>
        <v>-0.22</v>
      </c>
      <c r="D17" s="145">
        <f>'BC.115+260'!AA16</f>
        <v>0</v>
      </c>
      <c r="E17" s="146">
        <f>'BC.115+260'!AB16</f>
        <v>0</v>
      </c>
      <c r="F17" s="145">
        <f>VLOOKUP($A17,'BC.115+260'!$B$13:$X$489,8,0)/1000</f>
        <v>1.8</v>
      </c>
      <c r="G17" s="145">
        <f>VLOOKUP($A17,'BC.115+260'!$B$13:$X$489,9,0)/1000</f>
        <v>-0.2</v>
      </c>
      <c r="H17" s="145">
        <f>VLOOKUP($A17,'BC.115+260'!$B$13:$X$489,14,0)/1000</f>
        <v>1.78</v>
      </c>
      <c r="I17" s="145">
        <f>VLOOKUP($A17,'BC.115+260'!$B$13:$X$489,15,0)/1000</f>
        <v>-0.22</v>
      </c>
      <c r="J17" s="145">
        <f>VLOOKUP($A17,'BC.115+260'!$B$13:$X$489,20,0)/1000</f>
        <v>1.75</v>
      </c>
      <c r="K17" s="145">
        <f>VLOOKUP($A17,'BC.115+260'!$B$13:$X$489,21,0)/1000</f>
        <v>-0.25</v>
      </c>
      <c r="L17" s="143">
        <f t="shared" si="0"/>
        <v>0</v>
      </c>
      <c r="M17" s="144">
        <f t="shared" si="1"/>
        <v>0</v>
      </c>
      <c r="N17" s="143">
        <f t="shared" si="2"/>
        <v>0</v>
      </c>
      <c r="O17" s="143"/>
      <c r="P17" s="151"/>
      <c r="Q17" s="150"/>
      <c r="R17" s="149"/>
      <c r="S17" s="148"/>
      <c r="T17" s="148"/>
    </row>
    <row r="18" spans="1:20">
      <c r="A18" s="81">
        <f>'BC.115+260'!B17</f>
        <v>45255</v>
      </c>
      <c r="B18" s="143">
        <v>4</v>
      </c>
      <c r="C18" s="145">
        <f>'BC.115+260'!M17/1000</f>
        <v>-0.22</v>
      </c>
      <c r="D18" s="145">
        <f>'BC.115+260'!AA17</f>
        <v>0</v>
      </c>
      <c r="E18" s="146">
        <f>'BC.115+260'!AB17</f>
        <v>0</v>
      </c>
      <c r="F18" s="145">
        <f>VLOOKUP($A18,'BC.115+260'!$B$13:$X$489,8,0)/1000</f>
        <v>1.8</v>
      </c>
      <c r="G18" s="145">
        <f>VLOOKUP($A18,'BC.115+260'!$B$13:$X$489,9,0)/1000</f>
        <v>-0.2</v>
      </c>
      <c r="H18" s="145">
        <f>VLOOKUP($A18,'BC.115+260'!$B$13:$X$489,14,0)/1000</f>
        <v>1.78</v>
      </c>
      <c r="I18" s="145">
        <f>VLOOKUP($A18,'BC.115+260'!$B$13:$X$489,15,0)/1000</f>
        <v>-0.22</v>
      </c>
      <c r="J18" s="145">
        <f>VLOOKUP($A18,'BC.115+260'!$B$13:$X$489,20,0)/1000</f>
        <v>1.75</v>
      </c>
      <c r="K18" s="145">
        <f>VLOOKUP($A18,'BC.115+260'!$B$13:$X$489,21,0)/1000</f>
        <v>-0.25</v>
      </c>
      <c r="L18" s="143">
        <f t="shared" si="0"/>
        <v>0</v>
      </c>
      <c r="M18" s="144">
        <f t="shared" si="1"/>
        <v>0</v>
      </c>
      <c r="N18" s="143">
        <f t="shared" si="2"/>
        <v>0</v>
      </c>
      <c r="O18" s="143"/>
      <c r="P18" s="151"/>
      <c r="Q18" s="150"/>
      <c r="R18" s="149"/>
      <c r="S18" s="148"/>
      <c r="T18" s="148"/>
    </row>
    <row r="19" spans="1:20">
      <c r="A19" s="81">
        <f>'BC.115+260'!B18</f>
        <v>45256</v>
      </c>
      <c r="B19" s="143">
        <v>5</v>
      </c>
      <c r="C19" s="145">
        <f>'BC.115+260'!M18/1000</f>
        <v>-0.22</v>
      </c>
      <c r="D19" s="145">
        <f>'BC.115+260'!AA18</f>
        <v>0</v>
      </c>
      <c r="E19" s="146">
        <f>'BC.115+260'!AB18</f>
        <v>0</v>
      </c>
      <c r="F19" s="145">
        <f>VLOOKUP($A19,'BC.115+260'!$B$13:$X$489,8,0)/1000</f>
        <v>1.8</v>
      </c>
      <c r="G19" s="145">
        <f>VLOOKUP($A19,'BC.115+260'!$B$13:$X$489,9,0)/1000</f>
        <v>-0.2</v>
      </c>
      <c r="H19" s="145">
        <f>VLOOKUP($A19,'BC.115+260'!$B$13:$X$489,14,0)/1000</f>
        <v>1.78</v>
      </c>
      <c r="I19" s="145">
        <f>VLOOKUP($A19,'BC.115+260'!$B$13:$X$489,15,0)/1000</f>
        <v>-0.22</v>
      </c>
      <c r="J19" s="145">
        <f>VLOOKUP($A19,'BC.115+260'!$B$13:$X$489,20,0)/1000</f>
        <v>1.75</v>
      </c>
      <c r="K19" s="145">
        <f>VLOOKUP($A19,'BC.115+260'!$B$13:$X$489,21,0)/1000</f>
        <v>-0.25</v>
      </c>
      <c r="L19" s="143">
        <f t="shared" si="0"/>
        <v>0</v>
      </c>
      <c r="M19" s="144">
        <f t="shared" si="1"/>
        <v>0</v>
      </c>
      <c r="N19" s="143">
        <f t="shared" si="2"/>
        <v>0</v>
      </c>
      <c r="O19" s="143"/>
      <c r="P19" s="151"/>
      <c r="Q19" s="150"/>
      <c r="R19" s="149"/>
      <c r="S19" s="148"/>
      <c r="T19" s="148"/>
    </row>
    <row r="20" spans="1:20">
      <c r="A20" s="81">
        <f>'BC.115+260'!B19</f>
        <v>45257</v>
      </c>
      <c r="B20" s="143">
        <v>6</v>
      </c>
      <c r="C20" s="145">
        <f>'BC.115+260'!M19/1000</f>
        <v>-0.22</v>
      </c>
      <c r="D20" s="145">
        <f>'BC.115+260'!AA19</f>
        <v>0</v>
      </c>
      <c r="E20" s="146">
        <f>'BC.115+260'!AB19</f>
        <v>0</v>
      </c>
      <c r="F20" s="145">
        <f>VLOOKUP($A20,'BC.115+260'!$B$13:$X$489,8,0)/1000</f>
        <v>1.8</v>
      </c>
      <c r="G20" s="145">
        <f>VLOOKUP($A20,'BC.115+260'!$B$13:$X$489,9,0)/1000</f>
        <v>-0.2</v>
      </c>
      <c r="H20" s="145">
        <f>VLOOKUP($A20,'BC.115+260'!$B$13:$X$489,14,0)/1000</f>
        <v>1.78</v>
      </c>
      <c r="I20" s="145">
        <f>VLOOKUP($A20,'BC.115+260'!$B$13:$X$489,15,0)/1000</f>
        <v>-0.22</v>
      </c>
      <c r="J20" s="145">
        <f>VLOOKUP($A20,'BC.115+260'!$B$13:$X$489,20,0)/1000</f>
        <v>1.75</v>
      </c>
      <c r="K20" s="145">
        <f>VLOOKUP($A20,'BC.115+260'!$B$13:$X$489,21,0)/1000</f>
        <v>-0.25</v>
      </c>
      <c r="L20" s="143">
        <f t="shared" si="0"/>
        <v>0</v>
      </c>
      <c r="M20" s="144">
        <f t="shared" si="1"/>
        <v>0</v>
      </c>
      <c r="N20" s="143">
        <f t="shared" si="2"/>
        <v>0</v>
      </c>
      <c r="O20" s="143"/>
      <c r="P20" s="151"/>
      <c r="Q20" s="150"/>
      <c r="R20" s="149"/>
      <c r="S20" s="148"/>
      <c r="T20" s="148"/>
    </row>
    <row r="21" spans="1:20">
      <c r="A21" s="81">
        <f>'BC.115+260'!B20</f>
        <v>45258</v>
      </c>
      <c r="B21" s="143">
        <v>7</v>
      </c>
      <c r="C21" s="145">
        <f>'BC.115+260'!M20/1000</f>
        <v>-0.22</v>
      </c>
      <c r="D21" s="145">
        <f>'BC.115+260'!AA20</f>
        <v>0</v>
      </c>
      <c r="E21" s="146">
        <f>'BC.115+260'!AB20</f>
        <v>0</v>
      </c>
      <c r="F21" s="145">
        <f>VLOOKUP($A21,'BC.115+260'!$B$13:$X$489,8,0)/1000</f>
        <v>1.8</v>
      </c>
      <c r="G21" s="145">
        <f>VLOOKUP($A21,'BC.115+260'!$B$13:$X$489,9,0)/1000</f>
        <v>-0.2</v>
      </c>
      <c r="H21" s="145">
        <f>VLOOKUP($A21,'BC.115+260'!$B$13:$X$489,14,0)/1000</f>
        <v>1.78</v>
      </c>
      <c r="I21" s="145">
        <f>VLOOKUP($A21,'BC.115+260'!$B$13:$X$489,15,0)/1000</f>
        <v>-0.22</v>
      </c>
      <c r="J21" s="145">
        <f>VLOOKUP($A21,'BC.115+260'!$B$13:$X$489,20,0)/1000</f>
        <v>1.75</v>
      </c>
      <c r="K21" s="145">
        <f>VLOOKUP($A21,'BC.115+260'!$B$13:$X$489,21,0)/1000</f>
        <v>-0.25</v>
      </c>
      <c r="L21" s="143">
        <f t="shared" si="0"/>
        <v>0</v>
      </c>
      <c r="M21" s="144">
        <f t="shared" si="1"/>
        <v>0</v>
      </c>
      <c r="N21" s="143">
        <f t="shared" si="2"/>
        <v>0</v>
      </c>
      <c r="O21" s="143"/>
      <c r="P21" s="151"/>
      <c r="Q21" s="150"/>
      <c r="R21" s="149"/>
      <c r="S21" s="148"/>
      <c r="T21" s="148"/>
    </row>
    <row r="22" spans="1:20">
      <c r="A22" s="81">
        <f>'BC.115+260'!B21</f>
        <v>45259</v>
      </c>
      <c r="B22" s="143">
        <v>8</v>
      </c>
      <c r="C22" s="145">
        <f>'BC.115+260'!M21/1000</f>
        <v>-0.22</v>
      </c>
      <c r="D22" s="145">
        <f>'BC.115+260'!AA21</f>
        <v>0</v>
      </c>
      <c r="E22" s="146">
        <f>'BC.115+260'!AB21</f>
        <v>0</v>
      </c>
      <c r="F22" s="145">
        <f>VLOOKUP($A22,'BC.115+260'!$B$13:$X$489,8,0)/1000</f>
        <v>1.8</v>
      </c>
      <c r="G22" s="145">
        <f>VLOOKUP($A22,'BC.115+260'!$B$13:$X$489,9,0)/1000</f>
        <v>-0.2</v>
      </c>
      <c r="H22" s="145">
        <f>VLOOKUP($A22,'BC.115+260'!$B$13:$X$489,14,0)/1000</f>
        <v>1.78</v>
      </c>
      <c r="I22" s="145">
        <f>VLOOKUP($A22,'BC.115+260'!$B$13:$X$489,15,0)/1000</f>
        <v>-0.22</v>
      </c>
      <c r="J22" s="145">
        <f>VLOOKUP($A22,'BC.115+260'!$B$13:$X$489,20,0)/1000</f>
        <v>1.75</v>
      </c>
      <c r="K22" s="145">
        <f>VLOOKUP($A22,'BC.115+260'!$B$13:$X$489,21,0)/1000</f>
        <v>-0.25</v>
      </c>
      <c r="L22" s="143">
        <f t="shared" si="0"/>
        <v>0</v>
      </c>
      <c r="M22" s="144">
        <f t="shared" si="1"/>
        <v>0</v>
      </c>
      <c r="N22" s="143">
        <f t="shared" si="2"/>
        <v>0</v>
      </c>
      <c r="O22" s="143"/>
      <c r="P22" s="151"/>
      <c r="Q22" s="150"/>
      <c r="R22" s="149"/>
      <c r="S22" s="148"/>
      <c r="T22" s="148"/>
    </row>
    <row r="23" spans="1:20">
      <c r="A23" s="81">
        <f>'BC.115+260'!B22</f>
        <v>45260</v>
      </c>
      <c r="B23" s="143">
        <v>9</v>
      </c>
      <c r="C23" s="145">
        <f>'BC.115+260'!M22/1000</f>
        <v>-0.22</v>
      </c>
      <c r="D23" s="145">
        <f>'BC.115+260'!AA22</f>
        <v>0</v>
      </c>
      <c r="E23" s="146">
        <f>'BC.115+260'!AB22</f>
        <v>0</v>
      </c>
      <c r="F23" s="145">
        <f>VLOOKUP($A23,'BC.115+260'!$B$13:$X$489,8,0)/1000</f>
        <v>1.8</v>
      </c>
      <c r="G23" s="145">
        <f>VLOOKUP($A23,'BC.115+260'!$B$13:$X$489,9,0)/1000</f>
        <v>-0.2</v>
      </c>
      <c r="H23" s="145">
        <f>VLOOKUP($A23,'BC.115+260'!$B$13:$X$489,14,0)/1000</f>
        <v>1.78</v>
      </c>
      <c r="I23" s="145">
        <f>VLOOKUP($A23,'BC.115+260'!$B$13:$X$489,15,0)/1000</f>
        <v>-0.22</v>
      </c>
      <c r="J23" s="145">
        <f>VLOOKUP($A23,'BC.115+260'!$B$13:$X$489,20,0)/1000</f>
        <v>1.75</v>
      </c>
      <c r="K23" s="145">
        <f>VLOOKUP($A23,'BC.115+260'!$B$13:$X$489,21,0)/1000</f>
        <v>-0.25</v>
      </c>
      <c r="L23" s="143">
        <f t="shared" si="0"/>
        <v>0</v>
      </c>
      <c r="M23" s="144">
        <f t="shared" si="1"/>
        <v>0</v>
      </c>
      <c r="N23" s="143">
        <f t="shared" si="2"/>
        <v>0</v>
      </c>
      <c r="O23" s="143"/>
      <c r="P23" s="151"/>
      <c r="Q23" s="150"/>
      <c r="R23" s="149"/>
      <c r="S23" s="148"/>
      <c r="T23" s="148"/>
    </row>
    <row r="24" spans="1:20">
      <c r="A24" s="81">
        <f>'BC.115+260'!B23</f>
        <v>45261</v>
      </c>
      <c r="B24" s="143">
        <v>10</v>
      </c>
      <c r="C24" s="145">
        <f>'BC.115+260'!M23/1000</f>
        <v>-0.22</v>
      </c>
      <c r="D24" s="145">
        <f>'BC.115+260'!AA23</f>
        <v>0</v>
      </c>
      <c r="E24" s="146">
        <f>'BC.115+260'!AB23</f>
        <v>0</v>
      </c>
      <c r="F24" s="145">
        <f>VLOOKUP($A24,'BC.115+260'!$B$13:$X$489,8,0)/1000</f>
        <v>1.8</v>
      </c>
      <c r="G24" s="145">
        <f>VLOOKUP($A24,'BC.115+260'!$B$13:$X$489,9,0)/1000</f>
        <v>-0.2</v>
      </c>
      <c r="H24" s="145">
        <f>VLOOKUP($A24,'BC.115+260'!$B$13:$X$489,14,0)/1000</f>
        <v>1.78</v>
      </c>
      <c r="I24" s="145">
        <f>VLOOKUP($A24,'BC.115+260'!$B$13:$X$489,15,0)/1000</f>
        <v>-0.22</v>
      </c>
      <c r="J24" s="145">
        <f>VLOOKUP($A24,'BC.115+260'!$B$13:$X$489,20,0)/1000</f>
        <v>1.75</v>
      </c>
      <c r="K24" s="145">
        <f>VLOOKUP($A24,'BC.115+260'!$B$13:$X$489,21,0)/1000</f>
        <v>-0.25</v>
      </c>
      <c r="L24" s="143">
        <f t="shared" si="0"/>
        <v>0</v>
      </c>
      <c r="M24" s="144">
        <f t="shared" si="1"/>
        <v>0</v>
      </c>
      <c r="N24" s="143">
        <f t="shared" si="2"/>
        <v>0</v>
      </c>
      <c r="O24" s="143"/>
      <c r="P24" s="151"/>
      <c r="Q24" s="150"/>
      <c r="R24" s="149"/>
      <c r="S24" s="148"/>
      <c r="T24" s="148"/>
    </row>
    <row r="25" spans="1:20">
      <c r="A25" s="81">
        <f>'BC.115+260'!B24</f>
        <v>45262</v>
      </c>
      <c r="B25" s="143">
        <v>11</v>
      </c>
      <c r="C25" s="145">
        <f>'BC.115+260'!M24/1000</f>
        <v>-0.22</v>
      </c>
      <c r="D25" s="145">
        <f>'BC.115+260'!AA24</f>
        <v>0</v>
      </c>
      <c r="E25" s="146">
        <f>'BC.115+260'!AB24</f>
        <v>0</v>
      </c>
      <c r="F25" s="145">
        <f>VLOOKUP($A25,'BC.115+260'!$B$13:$X$489,8,0)/1000</f>
        <v>1.8</v>
      </c>
      <c r="G25" s="145">
        <f>VLOOKUP($A25,'BC.115+260'!$B$13:$X$489,9,0)/1000</f>
        <v>-0.2</v>
      </c>
      <c r="H25" s="145">
        <f>VLOOKUP($A25,'BC.115+260'!$B$13:$X$489,14,0)/1000</f>
        <v>1.78</v>
      </c>
      <c r="I25" s="145">
        <f>VLOOKUP($A25,'BC.115+260'!$B$13:$X$489,15,0)/1000</f>
        <v>-0.22</v>
      </c>
      <c r="J25" s="145">
        <f>VLOOKUP($A25,'BC.115+260'!$B$13:$X$489,20,0)/1000</f>
        <v>1.75</v>
      </c>
      <c r="K25" s="145">
        <f>VLOOKUP($A25,'BC.115+260'!$B$13:$X$489,21,0)/1000</f>
        <v>-0.25</v>
      </c>
      <c r="L25" s="143">
        <f t="shared" si="0"/>
        <v>0</v>
      </c>
      <c r="M25" s="144">
        <f t="shared" si="1"/>
        <v>0</v>
      </c>
      <c r="N25" s="143">
        <f t="shared" si="2"/>
        <v>0</v>
      </c>
      <c r="O25" s="143"/>
      <c r="P25" s="151"/>
      <c r="Q25" s="150"/>
      <c r="R25" s="149"/>
      <c r="S25" s="148"/>
      <c r="T25" s="148"/>
    </row>
    <row r="26" spans="1:20">
      <c r="A26" s="81">
        <f>'BC.115+260'!B25</f>
        <v>45263</v>
      </c>
      <c r="B26" s="143">
        <v>12</v>
      </c>
      <c r="C26" s="145">
        <f>'BC.115+260'!M25/1000</f>
        <v>-0.22</v>
      </c>
      <c r="D26" s="145">
        <f>'BC.115+260'!AA25</f>
        <v>0</v>
      </c>
      <c r="E26" s="146">
        <f>'BC.115+260'!AB25</f>
        <v>0</v>
      </c>
      <c r="F26" s="145">
        <f>VLOOKUP($A26,'BC.115+260'!$B$13:$X$489,8,0)/1000</f>
        <v>1.8</v>
      </c>
      <c r="G26" s="145">
        <f>VLOOKUP($A26,'BC.115+260'!$B$13:$X$489,9,0)/1000</f>
        <v>-0.2</v>
      </c>
      <c r="H26" s="145">
        <f>VLOOKUP($A26,'BC.115+260'!$B$13:$X$489,14,0)/1000</f>
        <v>1.78</v>
      </c>
      <c r="I26" s="145">
        <f>VLOOKUP($A26,'BC.115+260'!$B$13:$X$489,15,0)/1000</f>
        <v>-0.22</v>
      </c>
      <c r="J26" s="145">
        <f>VLOOKUP($A26,'BC.115+260'!$B$13:$X$489,20,0)/1000</f>
        <v>1.75</v>
      </c>
      <c r="K26" s="145">
        <f>VLOOKUP($A26,'BC.115+260'!$B$13:$X$489,21,0)/1000</f>
        <v>-0.25</v>
      </c>
      <c r="L26" s="143">
        <f t="shared" si="0"/>
        <v>0</v>
      </c>
      <c r="M26" s="144">
        <f t="shared" si="1"/>
        <v>0</v>
      </c>
      <c r="N26" s="143">
        <f t="shared" si="2"/>
        <v>0</v>
      </c>
      <c r="O26" s="143"/>
      <c r="P26" s="151"/>
      <c r="Q26" s="150"/>
      <c r="R26" s="149"/>
      <c r="S26" s="148"/>
      <c r="T26" s="148"/>
    </row>
    <row r="27" spans="1:20">
      <c r="A27" s="81">
        <f>'BC.115+260'!B26</f>
        <v>45264</v>
      </c>
      <c r="B27" s="143">
        <v>13</v>
      </c>
      <c r="C27" s="145">
        <f>'BC.115+260'!M26/1000</f>
        <v>-0.22</v>
      </c>
      <c r="D27" s="145">
        <f>'BC.115+260'!AA26</f>
        <v>0</v>
      </c>
      <c r="E27" s="146">
        <f>'BC.115+260'!AB26</f>
        <v>0</v>
      </c>
      <c r="F27" s="145">
        <f>VLOOKUP($A27,'BC.115+260'!$B$13:$X$489,8,0)/1000</f>
        <v>1.8</v>
      </c>
      <c r="G27" s="145">
        <f>VLOOKUP($A27,'BC.115+260'!$B$13:$X$489,9,0)/1000</f>
        <v>-0.2</v>
      </c>
      <c r="H27" s="145">
        <f>VLOOKUP($A27,'BC.115+260'!$B$13:$X$489,14,0)/1000</f>
        <v>1.78</v>
      </c>
      <c r="I27" s="145">
        <f>VLOOKUP($A27,'BC.115+260'!$B$13:$X$489,15,0)/1000</f>
        <v>-0.22</v>
      </c>
      <c r="J27" s="145">
        <f>VLOOKUP($A27,'BC.115+260'!$B$13:$X$489,20,0)/1000</f>
        <v>1.75</v>
      </c>
      <c r="K27" s="145">
        <f>VLOOKUP($A27,'BC.115+260'!$B$13:$X$489,21,0)/1000</f>
        <v>-0.25</v>
      </c>
      <c r="L27" s="143">
        <f t="shared" si="0"/>
        <v>0</v>
      </c>
      <c r="M27" s="144">
        <f t="shared" si="1"/>
        <v>0</v>
      </c>
      <c r="N27" s="143">
        <f t="shared" si="2"/>
        <v>0</v>
      </c>
      <c r="O27" s="143"/>
      <c r="P27" s="151"/>
      <c r="Q27" s="150"/>
      <c r="R27" s="149"/>
      <c r="S27" s="148"/>
      <c r="T27" s="148"/>
    </row>
    <row r="28" spans="1:20">
      <c r="A28" s="81">
        <f>'BC.115+260'!B27</f>
        <v>45265</v>
      </c>
      <c r="B28" s="143">
        <v>14</v>
      </c>
      <c r="C28" s="145">
        <f>'BC.115+260'!M27/1000</f>
        <v>-0.22</v>
      </c>
      <c r="D28" s="145">
        <f>'BC.115+260'!AA27</f>
        <v>0</v>
      </c>
      <c r="E28" s="146">
        <f>'BC.115+260'!AB27</f>
        <v>0</v>
      </c>
      <c r="F28" s="145">
        <f>VLOOKUP($A28,'BC.115+260'!$B$13:$X$489,8,0)/1000</f>
        <v>1.8</v>
      </c>
      <c r="G28" s="145">
        <f>VLOOKUP($A28,'BC.115+260'!$B$13:$X$489,9,0)/1000</f>
        <v>-0.2</v>
      </c>
      <c r="H28" s="145">
        <f>VLOOKUP($A28,'BC.115+260'!$B$13:$X$489,14,0)/1000</f>
        <v>1.78</v>
      </c>
      <c r="I28" s="145">
        <f>VLOOKUP($A28,'BC.115+260'!$B$13:$X$489,15,0)/1000</f>
        <v>-0.22</v>
      </c>
      <c r="J28" s="145">
        <f>VLOOKUP($A28,'BC.115+260'!$B$13:$X$489,20,0)/1000</f>
        <v>1.75</v>
      </c>
      <c r="K28" s="145">
        <f>VLOOKUP($A28,'BC.115+260'!$B$13:$X$489,21,0)/1000</f>
        <v>-0.25</v>
      </c>
      <c r="L28" s="143">
        <f t="shared" si="0"/>
        <v>0</v>
      </c>
      <c r="M28" s="144">
        <f t="shared" si="1"/>
        <v>0</v>
      </c>
      <c r="N28" s="143">
        <f t="shared" si="2"/>
        <v>0</v>
      </c>
      <c r="O28" s="143"/>
      <c r="P28" s="151"/>
      <c r="Q28" s="150"/>
      <c r="R28" s="149"/>
      <c r="S28" s="148"/>
      <c r="T28" s="148"/>
    </row>
    <row r="29" spans="1:20">
      <c r="A29" s="81">
        <f>'BC.115+260'!B28</f>
        <v>45266</v>
      </c>
      <c r="B29" s="143">
        <v>15</v>
      </c>
      <c r="C29" s="145">
        <f>'BC.115+260'!M28/1000</f>
        <v>-0.22</v>
      </c>
      <c r="D29" s="145">
        <f>'BC.115+260'!AA28</f>
        <v>0</v>
      </c>
      <c r="E29" s="146">
        <f>'BC.115+260'!AB28</f>
        <v>0</v>
      </c>
      <c r="F29" s="145">
        <f>VLOOKUP($A29,'BC.115+260'!$B$13:$X$489,8,0)/1000</f>
        <v>1.8</v>
      </c>
      <c r="G29" s="145">
        <f>VLOOKUP($A29,'BC.115+260'!$B$13:$X$489,9,0)/1000</f>
        <v>-0.2</v>
      </c>
      <c r="H29" s="145">
        <f>VLOOKUP($A29,'BC.115+260'!$B$13:$X$489,14,0)/1000</f>
        <v>1.78</v>
      </c>
      <c r="I29" s="145">
        <f>VLOOKUP($A29,'BC.115+260'!$B$13:$X$489,15,0)/1000</f>
        <v>-0.22</v>
      </c>
      <c r="J29" s="145">
        <f>VLOOKUP($A29,'BC.115+260'!$B$13:$X$489,20,0)/1000</f>
        <v>1.75</v>
      </c>
      <c r="K29" s="145">
        <f>VLOOKUP($A29,'BC.115+260'!$B$13:$X$489,21,0)/1000</f>
        <v>-0.25</v>
      </c>
      <c r="L29" s="143">
        <f t="shared" si="0"/>
        <v>0</v>
      </c>
      <c r="M29" s="144">
        <f t="shared" si="1"/>
        <v>0</v>
      </c>
      <c r="N29" s="143">
        <f t="shared" si="2"/>
        <v>0</v>
      </c>
      <c r="O29" s="143"/>
      <c r="P29" s="151"/>
      <c r="Q29" s="150"/>
      <c r="R29" s="149"/>
      <c r="S29" s="148"/>
      <c r="T29" s="148"/>
    </row>
    <row r="30" spans="1:20">
      <c r="A30" s="81">
        <f>'BC.115+260'!B29</f>
        <v>45267</v>
      </c>
      <c r="B30" s="143">
        <v>16</v>
      </c>
      <c r="C30" s="145">
        <f>'BC.115+260'!M29/1000</f>
        <v>-0.22</v>
      </c>
      <c r="D30" s="145">
        <f>'BC.115+260'!AA29</f>
        <v>0</v>
      </c>
      <c r="E30" s="146">
        <f>'BC.115+260'!AB29</f>
        <v>0</v>
      </c>
      <c r="F30" s="145">
        <f>VLOOKUP($A30,'BC.115+260'!$B$13:$X$489,8,0)/1000</f>
        <v>1.8</v>
      </c>
      <c r="G30" s="145">
        <f>VLOOKUP($A30,'BC.115+260'!$B$13:$X$489,9,0)/1000</f>
        <v>-0.2</v>
      </c>
      <c r="H30" s="145">
        <f>VLOOKUP($A30,'BC.115+260'!$B$13:$X$489,14,0)/1000</f>
        <v>1.78</v>
      </c>
      <c r="I30" s="145">
        <f>VLOOKUP($A30,'BC.115+260'!$B$13:$X$489,15,0)/1000</f>
        <v>-0.22</v>
      </c>
      <c r="J30" s="145">
        <f>VLOOKUP($A30,'BC.115+260'!$B$13:$X$489,20,0)/1000</f>
        <v>1.75</v>
      </c>
      <c r="K30" s="145">
        <f>VLOOKUP($A30,'BC.115+260'!$B$13:$X$489,21,0)/1000</f>
        <v>-0.25</v>
      </c>
      <c r="L30" s="143">
        <f t="shared" si="0"/>
        <v>0</v>
      </c>
      <c r="M30" s="144">
        <f t="shared" si="1"/>
        <v>0</v>
      </c>
      <c r="N30" s="143">
        <f t="shared" si="2"/>
        <v>0</v>
      </c>
      <c r="O30" s="143"/>
      <c r="P30" s="151"/>
      <c r="Q30" s="150"/>
      <c r="R30" s="149"/>
      <c r="S30" s="148"/>
      <c r="T30" s="148"/>
    </row>
    <row r="31" spans="1:20">
      <c r="A31" s="81">
        <f>'BC.115+260'!B30</f>
        <v>45268</v>
      </c>
      <c r="B31" s="143">
        <v>17</v>
      </c>
      <c r="C31" s="145">
        <f>'BC.115+260'!M30/1000</f>
        <v>7.1999999999999995E-2</v>
      </c>
      <c r="D31" s="145">
        <f>'BC.115+260'!AA30</f>
        <v>0.29099999999999998</v>
      </c>
      <c r="E31" s="146">
        <f>'BC.115+260'!AB30</f>
        <v>0.28399999999999997</v>
      </c>
      <c r="F31" s="145">
        <f>VLOOKUP($A31,'BC.115+260'!$B$13:$X$489,8,0)/1000</f>
        <v>1.7909999999999999</v>
      </c>
      <c r="G31" s="145">
        <f>VLOOKUP($A31,'BC.115+260'!$B$13:$X$489,9,0)/1000</f>
        <v>-0.20899999999999999</v>
      </c>
      <c r="H31" s="145">
        <f>VLOOKUP($A31,'BC.115+260'!$B$13:$X$489,14,0)/1000</f>
        <v>1.772</v>
      </c>
      <c r="I31" s="145">
        <f>VLOOKUP($A31,'BC.115+260'!$B$13:$X$489,15,0)/1000</f>
        <v>-0.22800000000000001</v>
      </c>
      <c r="J31" s="145">
        <f>VLOOKUP($A31,'BC.115+260'!$B$13:$X$489,20,0)/1000</f>
        <v>1.7410000000000001</v>
      </c>
      <c r="K31" s="145">
        <f>VLOOKUP($A31,'BC.115+260'!$B$13:$X$489,21,0)/1000</f>
        <v>-0.25900000000000001</v>
      </c>
      <c r="L31" s="143">
        <f t="shared" si="0"/>
        <v>-8.9999999999999805</v>
      </c>
      <c r="M31" s="144">
        <f t="shared" si="1"/>
        <v>-8.0000000000000071</v>
      </c>
      <c r="N31" s="143">
        <f t="shared" si="2"/>
        <v>-9.0000000000000071</v>
      </c>
      <c r="O31" s="143"/>
      <c r="P31" s="151"/>
      <c r="Q31" s="150"/>
      <c r="R31" s="149"/>
      <c r="S31" s="148"/>
      <c r="T31" s="148"/>
    </row>
    <row r="32" spans="1:20">
      <c r="A32" s="81">
        <f>'BC.115+260'!B31</f>
        <v>45269</v>
      </c>
      <c r="B32" s="143">
        <v>18</v>
      </c>
      <c r="C32" s="145">
        <f>'BC.115+260'!M31/1000</f>
        <v>6.9000000000000006E-2</v>
      </c>
      <c r="D32" s="145">
        <f>'BC.115+260'!AA31</f>
        <v>0.29099999999999998</v>
      </c>
      <c r="E32" s="146">
        <f>'BC.115+260'!AB31</f>
        <v>0.27800000000000002</v>
      </c>
      <c r="F32" s="145">
        <f>VLOOKUP($A32,'BC.115+260'!$B$13:$X$489,8,0)/1000</f>
        <v>1.788</v>
      </c>
      <c r="G32" s="145">
        <f>VLOOKUP($A32,'BC.115+260'!$B$13:$X$489,9,0)/1000</f>
        <v>-0.21199999999999999</v>
      </c>
      <c r="H32" s="145">
        <f>VLOOKUP($A32,'BC.115+260'!$B$13:$X$489,14,0)/1000</f>
        <v>1.7689999999999999</v>
      </c>
      <c r="I32" s="145">
        <f>VLOOKUP($A32,'BC.115+260'!$B$13:$X$489,15,0)/1000</f>
        <v>-0.23100000000000001</v>
      </c>
      <c r="J32" s="145">
        <f>VLOOKUP($A32,'BC.115+260'!$B$13:$X$489,20,0)/1000</f>
        <v>1.738</v>
      </c>
      <c r="K32" s="145">
        <f>VLOOKUP($A32,'BC.115+260'!$B$13:$X$489,21,0)/1000</f>
        <v>-0.26200000000000001</v>
      </c>
      <c r="L32" s="143">
        <f t="shared" si="0"/>
        <v>-11.999999999999982</v>
      </c>
      <c r="M32" s="144">
        <f t="shared" si="1"/>
        <v>-11.000000000000011</v>
      </c>
      <c r="N32" s="143">
        <f t="shared" si="2"/>
        <v>-12.000000000000011</v>
      </c>
      <c r="O32" s="143"/>
      <c r="P32" s="151"/>
      <c r="Q32" s="150"/>
      <c r="R32" s="149"/>
      <c r="S32" s="148"/>
      <c r="T32" s="148"/>
    </row>
    <row r="33" spans="1:20">
      <c r="A33" s="81">
        <f>'BC.115+260'!B32</f>
        <v>45270</v>
      </c>
      <c r="B33" s="143">
        <v>19</v>
      </c>
      <c r="C33" s="145">
        <f>'BC.115+260'!M32/1000</f>
        <v>6.4000000000000001E-2</v>
      </c>
      <c r="D33" s="145">
        <f>'BC.115+260'!AA32</f>
        <v>0.29099999999999998</v>
      </c>
      <c r="E33" s="146">
        <f>'BC.115+260'!AB32</f>
        <v>0.26800000000000002</v>
      </c>
      <c r="F33" s="145">
        <f>VLOOKUP($A33,'BC.115+260'!$B$13:$X$489,8,0)/1000</f>
        <v>1.784</v>
      </c>
      <c r="G33" s="145">
        <f>VLOOKUP($A33,'BC.115+260'!$B$13:$X$489,9,0)/1000</f>
        <v>-0.216</v>
      </c>
      <c r="H33" s="145">
        <f>VLOOKUP($A33,'BC.115+260'!$B$13:$X$489,14,0)/1000</f>
        <v>1.764</v>
      </c>
      <c r="I33" s="145">
        <f>VLOOKUP($A33,'BC.115+260'!$B$13:$X$489,15,0)/1000</f>
        <v>-0.23599999999999999</v>
      </c>
      <c r="J33" s="145">
        <f>VLOOKUP($A33,'BC.115+260'!$B$13:$X$489,20,0)/1000</f>
        <v>1.734</v>
      </c>
      <c r="K33" s="145">
        <f>VLOOKUP($A33,'BC.115+260'!$B$13:$X$489,21,0)/1000</f>
        <v>-0.26600000000000001</v>
      </c>
      <c r="L33" s="143">
        <f t="shared" si="0"/>
        <v>-15.999999999999986</v>
      </c>
      <c r="M33" s="144">
        <f t="shared" si="1"/>
        <v>-15.999999999999986</v>
      </c>
      <c r="N33" s="143">
        <f t="shared" si="2"/>
        <v>-16.000000000000014</v>
      </c>
      <c r="O33" s="143"/>
      <c r="P33" s="151"/>
      <c r="Q33" s="150"/>
      <c r="R33" s="149"/>
      <c r="S33" s="148"/>
      <c r="T33" s="148"/>
    </row>
    <row r="34" spans="1:20">
      <c r="A34" s="81">
        <f>'BC.115+260'!B33</f>
        <v>45271</v>
      </c>
      <c r="B34" s="143">
        <v>20</v>
      </c>
      <c r="C34" s="145">
        <f>'BC.115+260'!M33/1000</f>
        <v>6.0999999999999999E-2</v>
      </c>
      <c r="D34" s="145">
        <f>'BC.115+260'!AA33</f>
        <v>0.29099999999999998</v>
      </c>
      <c r="E34" s="146">
        <f>'BC.115+260'!AB33</f>
        <v>0.26200000000000001</v>
      </c>
      <c r="F34" s="145">
        <f>VLOOKUP($A34,'BC.115+260'!$B$13:$X$489,8,0)/1000</f>
        <v>1.778</v>
      </c>
      <c r="G34" s="145">
        <f>VLOOKUP($A34,'BC.115+260'!$B$13:$X$489,9,0)/1000</f>
        <v>-0.222</v>
      </c>
      <c r="H34" s="145">
        <f>VLOOKUP($A34,'BC.115+260'!$B$13:$X$489,14,0)/1000</f>
        <v>1.7609999999999999</v>
      </c>
      <c r="I34" s="145">
        <f>VLOOKUP($A34,'BC.115+260'!$B$13:$X$489,15,0)/1000</f>
        <v>-0.23899999999999999</v>
      </c>
      <c r="J34" s="145">
        <f>VLOOKUP($A34,'BC.115+260'!$B$13:$X$489,20,0)/1000</f>
        <v>1.7310000000000001</v>
      </c>
      <c r="K34" s="145">
        <f>VLOOKUP($A34,'BC.115+260'!$B$13:$X$489,21,0)/1000</f>
        <v>-0.26900000000000002</v>
      </c>
      <c r="L34" s="143">
        <f t="shared" si="0"/>
        <v>-21.999999999999993</v>
      </c>
      <c r="M34" s="144">
        <f t="shared" si="1"/>
        <v>-18.999999999999989</v>
      </c>
      <c r="N34" s="143">
        <f t="shared" si="2"/>
        <v>-19.000000000000018</v>
      </c>
      <c r="O34" s="143"/>
      <c r="P34" s="151"/>
      <c r="Q34" s="150"/>
      <c r="R34" s="149"/>
      <c r="S34" s="148"/>
      <c r="T34" s="148"/>
    </row>
    <row r="35" spans="1:20">
      <c r="A35" s="81">
        <f>'BC.115+260'!B34</f>
        <v>45272</v>
      </c>
      <c r="B35" s="143">
        <v>21</v>
      </c>
      <c r="C35" s="145">
        <f>'BC.115+260'!M34/1000</f>
        <v>0.373</v>
      </c>
      <c r="D35" s="145">
        <f>'BC.115+260'!AA34</f>
        <v>0.63200000000000001</v>
      </c>
      <c r="E35" s="146">
        <f>'BC.115+260'!AB34</f>
        <v>0.56599999999999995</v>
      </c>
      <c r="F35" s="145">
        <f>VLOOKUP($A35,'BC.115+260'!$B$13:$X$489,8,0)/1000</f>
        <v>1.7689999999999999</v>
      </c>
      <c r="G35" s="145">
        <f>VLOOKUP($A35,'BC.115+260'!$B$13:$X$489,9,0)/1000</f>
        <v>-0.23100000000000001</v>
      </c>
      <c r="H35" s="145">
        <f>VLOOKUP($A35,'BC.115+260'!$B$13:$X$489,14,0)/1000</f>
        <v>1.7529999999999999</v>
      </c>
      <c r="I35" s="145">
        <f>VLOOKUP($A35,'BC.115+260'!$B$13:$X$489,15,0)/1000</f>
        <v>-0.247</v>
      </c>
      <c r="J35" s="145">
        <f>VLOOKUP($A35,'BC.115+260'!$B$13:$X$489,20,0)/1000</f>
        <v>1.722</v>
      </c>
      <c r="K35" s="145">
        <f>VLOOKUP($A35,'BC.115+260'!$B$13:$X$489,21,0)/1000</f>
        <v>-0.27800000000000002</v>
      </c>
      <c r="L35" s="143">
        <f t="shared" si="0"/>
        <v>-31</v>
      </c>
      <c r="M35" s="144">
        <f t="shared" si="1"/>
        <v>-26.999999999999996</v>
      </c>
      <c r="N35" s="143">
        <f t="shared" si="2"/>
        <v>-28.000000000000025</v>
      </c>
      <c r="O35" s="143"/>
      <c r="P35" s="151"/>
      <c r="Q35" s="150"/>
      <c r="R35" s="149"/>
      <c r="S35" s="148"/>
      <c r="T35" s="148"/>
    </row>
    <row r="36" spans="1:20" ht="13.5" customHeight="1">
      <c r="A36" s="81">
        <f>'BC.115+260'!B35</f>
        <v>45273</v>
      </c>
      <c r="B36" s="143">
        <v>22</v>
      </c>
      <c r="C36" s="145">
        <f>'BC.115+260'!M35/1000</f>
        <v>0.371</v>
      </c>
      <c r="D36" s="145">
        <f>'BC.115+260'!AA35</f>
        <v>0.63200000000000001</v>
      </c>
      <c r="E36" s="146">
        <f>'BC.115+260'!AB35</f>
        <v>0.56200000000000006</v>
      </c>
      <c r="F36" s="145">
        <f>VLOOKUP($A36,'BC.115+260'!$B$13:$X$489,8,0)/1000</f>
        <v>1.7609999999999999</v>
      </c>
      <c r="G36" s="145">
        <f>VLOOKUP($A36,'BC.115+260'!$B$13:$X$489,9,0)/1000</f>
        <v>-0.23899999999999999</v>
      </c>
      <c r="H36" s="145">
        <f>VLOOKUP($A36,'BC.115+260'!$B$13:$X$489,14,0)/1000</f>
        <v>1.7509999999999999</v>
      </c>
      <c r="I36" s="145">
        <f>VLOOKUP($A36,'BC.115+260'!$B$13:$X$489,15,0)/1000</f>
        <v>-0.249</v>
      </c>
      <c r="J36" s="145">
        <f>VLOOKUP($A36,'BC.115+260'!$B$13:$X$489,20,0)/1000</f>
        <v>1.72</v>
      </c>
      <c r="K36" s="145">
        <f>VLOOKUP($A36,'BC.115+260'!$B$13:$X$489,21,0)/1000</f>
        <v>-0.28000000000000003</v>
      </c>
      <c r="L36" s="143">
        <f t="shared" si="0"/>
        <v>-38.999999999999979</v>
      </c>
      <c r="M36" s="144">
        <f t="shared" si="1"/>
        <v>-28.999999999999996</v>
      </c>
      <c r="N36" s="143">
        <f t="shared" si="2"/>
        <v>-30.000000000000028</v>
      </c>
      <c r="O36" s="143"/>
      <c r="P36" s="151"/>
      <c r="Q36" s="150"/>
      <c r="R36" s="149"/>
      <c r="S36" s="148"/>
      <c r="T36" s="148"/>
    </row>
    <row r="37" spans="1:20">
      <c r="A37" s="81">
        <f>'BC.115+260'!B36</f>
        <v>45274</v>
      </c>
      <c r="B37" s="143">
        <v>23</v>
      </c>
      <c r="C37" s="145">
        <f>'BC.115+260'!M36/1000</f>
        <v>0.36899999999999999</v>
      </c>
      <c r="D37" s="145">
        <f>'BC.115+260'!AA36</f>
        <v>0.63200000000000001</v>
      </c>
      <c r="E37" s="146">
        <f>'BC.115+260'!AB36</f>
        <v>0.55800000000000005</v>
      </c>
      <c r="F37" s="145">
        <f>VLOOKUP($A37,'BC.115+260'!$B$13:$X$489,8,0)/1000</f>
        <v>1.756</v>
      </c>
      <c r="G37" s="145">
        <f>VLOOKUP($A37,'BC.115+260'!$B$13:$X$489,9,0)/1000</f>
        <v>-0.24399999999999999</v>
      </c>
      <c r="H37" s="145">
        <f>VLOOKUP($A37,'BC.115+260'!$B$13:$X$489,14,0)/1000</f>
        <v>1.7490000000000001</v>
      </c>
      <c r="I37" s="145">
        <f>VLOOKUP($A37,'BC.115+260'!$B$13:$X$489,15,0)/1000</f>
        <v>-0.251</v>
      </c>
      <c r="J37" s="145">
        <f>VLOOKUP($A37,'BC.115+260'!$B$13:$X$489,20,0)/1000</f>
        <v>1.716</v>
      </c>
      <c r="K37" s="145">
        <f>VLOOKUP($A37,'BC.115+260'!$B$13:$X$489,21,0)/1000</f>
        <v>-0.28399999999999997</v>
      </c>
      <c r="L37" s="143">
        <f t="shared" si="0"/>
        <v>-43.999999999999986</v>
      </c>
      <c r="M37" s="144">
        <f t="shared" si="1"/>
        <v>-31</v>
      </c>
      <c r="N37" s="143">
        <f t="shared" si="2"/>
        <v>-33.999999999999972</v>
      </c>
      <c r="O37" s="143"/>
      <c r="P37" s="151"/>
      <c r="Q37" s="150"/>
      <c r="R37" s="149"/>
      <c r="S37" s="148"/>
      <c r="T37" s="148"/>
    </row>
    <row r="38" spans="1:20">
      <c r="A38" s="81">
        <f>'BC.115+260'!B37</f>
        <v>45275</v>
      </c>
      <c r="B38" s="143">
        <v>24</v>
      </c>
      <c r="C38" s="145">
        <f>'BC.115+260'!M37/1000</f>
        <v>0.36599999999999999</v>
      </c>
      <c r="D38" s="145">
        <f>'BC.115+260'!AA37</f>
        <v>0.63200000000000001</v>
      </c>
      <c r="E38" s="146">
        <f>'BC.115+260'!AB37</f>
        <v>0.55200000000000005</v>
      </c>
      <c r="F38" s="145">
        <f>VLOOKUP($A38,'BC.115+260'!$B$13:$X$489,8,0)/1000</f>
        <v>1.752</v>
      </c>
      <c r="G38" s="145">
        <f>VLOOKUP($A38,'BC.115+260'!$B$13:$X$489,9,0)/1000</f>
        <v>-0.248</v>
      </c>
      <c r="H38" s="145">
        <f>VLOOKUP($A38,'BC.115+260'!$B$13:$X$489,14,0)/1000</f>
        <v>1.746</v>
      </c>
      <c r="I38" s="145">
        <f>VLOOKUP($A38,'BC.115+260'!$B$13:$X$489,15,0)/1000</f>
        <v>-0.254</v>
      </c>
      <c r="J38" s="145">
        <f>VLOOKUP($A38,'BC.115+260'!$B$13:$X$489,20,0)/1000</f>
        <v>1.7130000000000001</v>
      </c>
      <c r="K38" s="145">
        <f>VLOOKUP($A38,'BC.115+260'!$B$13:$X$489,21,0)/1000</f>
        <v>-0.28699999999999998</v>
      </c>
      <c r="L38" s="143">
        <f t="shared" si="0"/>
        <v>-47.999999999999986</v>
      </c>
      <c r="M38" s="144">
        <f t="shared" si="1"/>
        <v>-34</v>
      </c>
      <c r="N38" s="143">
        <f t="shared" si="2"/>
        <v>-36.999999999999979</v>
      </c>
      <c r="O38" s="143"/>
      <c r="P38" s="151"/>
      <c r="Q38" s="150"/>
      <c r="R38" s="149"/>
      <c r="S38" s="148"/>
      <c r="T38" s="148"/>
    </row>
    <row r="39" spans="1:20">
      <c r="A39" s="81">
        <f>'BC.115+260'!B38</f>
        <v>45276</v>
      </c>
      <c r="B39" s="143">
        <v>25</v>
      </c>
      <c r="C39" s="145">
        <f>'BC.115+260'!M38/1000</f>
        <v>0.55800000000000005</v>
      </c>
      <c r="D39" s="145">
        <f>'BC.115+260'!AA38</f>
        <v>0.82299999999999995</v>
      </c>
      <c r="E39" s="146">
        <f>'BC.115+260'!AB38</f>
        <v>0.73599999999999999</v>
      </c>
      <c r="F39" s="145">
        <f>VLOOKUP($A39,'BC.115+260'!$B$13:$X$489,8,0)/1000</f>
        <v>1.7430000000000001</v>
      </c>
      <c r="G39" s="145">
        <f>VLOOKUP($A39,'BC.115+260'!$B$13:$X$489,9,0)/1000</f>
        <v>-0.25700000000000001</v>
      </c>
      <c r="H39" s="145">
        <f>VLOOKUP($A39,'BC.115+260'!$B$13:$X$489,14,0)/1000</f>
        <v>1.738</v>
      </c>
      <c r="I39" s="145">
        <f>VLOOKUP($A39,'BC.115+260'!$B$13:$X$489,15,0)/1000</f>
        <v>-0.26200000000000001</v>
      </c>
      <c r="J39" s="145">
        <f>VLOOKUP($A39,'BC.115+260'!$B$13:$X$489,20,0)/1000</f>
        <v>1.704</v>
      </c>
      <c r="K39" s="145">
        <f>VLOOKUP($A39,'BC.115+260'!$B$13:$X$489,21,0)/1000</f>
        <v>-0.29599999999999999</v>
      </c>
      <c r="L39" s="143">
        <f t="shared" si="0"/>
        <v>-56.999999999999993</v>
      </c>
      <c r="M39" s="144">
        <f t="shared" si="1"/>
        <v>-42.000000000000007</v>
      </c>
      <c r="N39" s="143">
        <f t="shared" si="2"/>
        <v>-45.999999999999986</v>
      </c>
      <c r="O39" s="143"/>
      <c r="P39" s="151"/>
      <c r="Q39" s="150"/>
      <c r="R39" s="149"/>
      <c r="S39" s="148"/>
      <c r="T39" s="148"/>
    </row>
    <row r="40" spans="1:20">
      <c r="A40" s="81">
        <f>'BC.115+260'!B39</f>
        <v>45277</v>
      </c>
      <c r="B40" s="143">
        <v>26</v>
      </c>
      <c r="C40" s="145">
        <f>'BC.115+260'!M39/1000</f>
        <v>0.55300000000000005</v>
      </c>
      <c r="D40" s="145">
        <f>'BC.115+260'!AA39</f>
        <v>0.82299999999999995</v>
      </c>
      <c r="E40" s="146">
        <f>'BC.115+260'!AB39</f>
        <v>0.72599999999999998</v>
      </c>
      <c r="F40" s="145">
        <f>VLOOKUP($A40,'BC.115+260'!$B$13:$X$489,8,0)/1000</f>
        <v>1.7410000000000001</v>
      </c>
      <c r="G40" s="145">
        <f>VLOOKUP($A40,'BC.115+260'!$B$13:$X$489,9,0)/1000</f>
        <v>-0.25900000000000001</v>
      </c>
      <c r="H40" s="145">
        <f>VLOOKUP($A40,'BC.115+260'!$B$13:$X$489,14,0)/1000</f>
        <v>1.7330000000000001</v>
      </c>
      <c r="I40" s="145">
        <f>VLOOKUP($A40,'BC.115+260'!$B$13:$X$489,15,0)/1000</f>
        <v>-0.26700000000000002</v>
      </c>
      <c r="J40" s="145">
        <f>VLOOKUP($A40,'BC.115+260'!$B$13:$X$489,20,0)/1000</f>
        <v>1.702</v>
      </c>
      <c r="K40" s="145">
        <f>VLOOKUP($A40,'BC.115+260'!$B$13:$X$489,21,0)/1000</f>
        <v>-0.29799999999999999</v>
      </c>
      <c r="L40" s="143">
        <f t="shared" si="0"/>
        <v>-59</v>
      </c>
      <c r="M40" s="144">
        <f t="shared" si="1"/>
        <v>-47.000000000000014</v>
      </c>
      <c r="N40" s="143">
        <f t="shared" si="2"/>
        <v>-47.999999999999986</v>
      </c>
      <c r="O40" s="143"/>
      <c r="P40" s="151"/>
      <c r="Q40" s="150"/>
      <c r="R40" s="149"/>
      <c r="S40" s="148"/>
      <c r="T40" s="148"/>
    </row>
    <row r="41" spans="1:20">
      <c r="A41" s="81">
        <f>'BC.115+260'!B40</f>
        <v>45278</v>
      </c>
      <c r="B41" s="143">
        <v>27</v>
      </c>
      <c r="C41" s="145">
        <f>'BC.115+260'!M40/1000</f>
        <v>0.54800000000000004</v>
      </c>
      <c r="D41" s="145">
        <f>'BC.115+260'!AA40</f>
        <v>0.82299999999999995</v>
      </c>
      <c r="E41" s="146">
        <f>'BC.115+260'!AB40</f>
        <v>0.71599999999999997</v>
      </c>
      <c r="F41" s="145">
        <f>VLOOKUP($A41,'BC.115+260'!$B$13:$X$489,8,0)/1000</f>
        <v>1.7370000000000001</v>
      </c>
      <c r="G41" s="145">
        <f>VLOOKUP($A41,'BC.115+260'!$B$13:$X$489,9,0)/1000</f>
        <v>-0.26300000000000001</v>
      </c>
      <c r="H41" s="145">
        <f>VLOOKUP($A41,'BC.115+260'!$B$13:$X$489,14,0)/1000</f>
        <v>1.728</v>
      </c>
      <c r="I41" s="145">
        <f>VLOOKUP($A41,'BC.115+260'!$B$13:$X$489,15,0)/1000</f>
        <v>-0.27200000000000002</v>
      </c>
      <c r="J41" s="145">
        <f>VLOOKUP($A41,'BC.115+260'!$B$13:$X$489,20,0)/1000</f>
        <v>1.7</v>
      </c>
      <c r="K41" s="145">
        <f>VLOOKUP($A41,'BC.115+260'!$B$13:$X$489,21,0)/1000</f>
        <v>-0.3</v>
      </c>
      <c r="L41" s="143">
        <f t="shared" si="0"/>
        <v>-63</v>
      </c>
      <c r="M41" s="144">
        <f t="shared" si="1"/>
        <v>-52.000000000000021</v>
      </c>
      <c r="N41" s="143">
        <f t="shared" si="2"/>
        <v>-49.999999999999986</v>
      </c>
      <c r="O41" s="143"/>
      <c r="P41" s="151"/>
      <c r="Q41" s="150"/>
      <c r="R41" s="149"/>
      <c r="S41" s="148"/>
      <c r="T41" s="148"/>
    </row>
    <row r="42" spans="1:20">
      <c r="A42" s="81">
        <f>'BC.115+260'!B41</f>
        <v>45279</v>
      </c>
      <c r="B42" s="143">
        <v>28</v>
      </c>
      <c r="C42" s="145">
        <f>'BC.115+260'!M41/1000</f>
        <v>0.54300000000000004</v>
      </c>
      <c r="D42" s="145">
        <f>'BC.115+260'!AA41</f>
        <v>0.82299999999999995</v>
      </c>
      <c r="E42" s="146">
        <f>'BC.115+260'!AB41</f>
        <v>0.70599999999999996</v>
      </c>
      <c r="F42" s="145">
        <f>VLOOKUP($A42,'BC.115+260'!$B$13:$X$489,8,0)/1000</f>
        <v>1.7330000000000001</v>
      </c>
      <c r="G42" s="145">
        <f>VLOOKUP($A42,'BC.115+260'!$B$13:$X$489,9,0)/1000</f>
        <v>-0.26700000000000002</v>
      </c>
      <c r="H42" s="145">
        <f>VLOOKUP($A42,'BC.115+260'!$B$13:$X$489,14,0)/1000</f>
        <v>1.7230000000000001</v>
      </c>
      <c r="I42" s="145">
        <f>VLOOKUP($A42,'BC.115+260'!$B$13:$X$489,15,0)/1000</f>
        <v>-0.27700000000000002</v>
      </c>
      <c r="J42" s="145">
        <f>VLOOKUP($A42,'BC.115+260'!$B$13:$X$489,20,0)/1000</f>
        <v>1.6950000000000001</v>
      </c>
      <c r="K42" s="145">
        <f>VLOOKUP($A42,'BC.115+260'!$B$13:$X$489,21,0)/1000</f>
        <v>-0.30499999999999999</v>
      </c>
      <c r="L42" s="143">
        <f t="shared" si="0"/>
        <v>-67</v>
      </c>
      <c r="M42" s="144">
        <f t="shared" si="1"/>
        <v>-57.000000000000021</v>
      </c>
      <c r="N42" s="143">
        <f t="shared" si="2"/>
        <v>-54.999999999999993</v>
      </c>
      <c r="O42" s="143"/>
      <c r="P42" s="151"/>
      <c r="Q42" s="150"/>
      <c r="R42" s="149"/>
      <c r="S42" s="148"/>
      <c r="T42" s="148"/>
    </row>
    <row r="43" spans="1:20">
      <c r="A43" s="81">
        <f>'BC.115+260'!B42</f>
        <v>45280</v>
      </c>
      <c r="B43" s="143">
        <v>29</v>
      </c>
      <c r="C43" s="145">
        <f>'BC.115+260'!M42/1000</f>
        <v>0.73499999999999999</v>
      </c>
      <c r="D43" s="145">
        <f>'BC.115+260'!AA42</f>
        <v>1.0149999999999999</v>
      </c>
      <c r="E43" s="146">
        <f>'BC.115+260'!AB42</f>
        <v>0.89</v>
      </c>
      <c r="F43" s="145">
        <f>VLOOKUP($A43,'BC.115+260'!$B$13:$X$489,8,0)/1000</f>
        <v>1.7250000000000001</v>
      </c>
      <c r="G43" s="145">
        <f>VLOOKUP($A43,'BC.115+260'!$B$13:$X$489,9,0)/1000</f>
        <v>-0.27500000000000002</v>
      </c>
      <c r="H43" s="145">
        <f>VLOOKUP($A43,'BC.115+260'!$B$13:$X$489,14,0)/1000</f>
        <v>1.7150000000000001</v>
      </c>
      <c r="I43" s="145">
        <f>VLOOKUP($A43,'BC.115+260'!$B$13:$X$489,15,0)/1000</f>
        <v>-0.28499999999999998</v>
      </c>
      <c r="J43" s="145">
        <f>VLOOKUP($A43,'BC.115+260'!$B$13:$X$489,20,0)/1000</f>
        <v>1.6870000000000001</v>
      </c>
      <c r="K43" s="145">
        <f>VLOOKUP($A43,'BC.115+260'!$B$13:$X$489,21,0)/1000</f>
        <v>-0.313</v>
      </c>
      <c r="L43" s="143">
        <f t="shared" si="0"/>
        <v>-75.000000000000014</v>
      </c>
      <c r="M43" s="144">
        <f t="shared" si="1"/>
        <v>-64.999999999999972</v>
      </c>
      <c r="N43" s="143">
        <f t="shared" si="2"/>
        <v>-63</v>
      </c>
      <c r="O43" s="143"/>
      <c r="P43" s="151"/>
      <c r="Q43" s="150"/>
      <c r="R43" s="149"/>
      <c r="S43" s="148"/>
      <c r="T43" s="148"/>
    </row>
    <row r="44" spans="1:20">
      <c r="A44" s="81">
        <f>'BC.115+260'!B43</f>
        <v>45281</v>
      </c>
      <c r="B44" s="143">
        <v>30</v>
      </c>
      <c r="C44" s="145">
        <f>'BC.115+260'!M43/1000</f>
        <v>0.73299999999999998</v>
      </c>
      <c r="D44" s="145">
        <f>'BC.115+260'!AA43</f>
        <v>1.0149999999999999</v>
      </c>
      <c r="E44" s="146">
        <f>'BC.115+260'!AB43</f>
        <v>0.88600000000000001</v>
      </c>
      <c r="F44" s="145">
        <f>VLOOKUP($A44,'BC.115+260'!$B$13:$X$489,8,0)/1000</f>
        <v>1.72</v>
      </c>
      <c r="G44" s="145">
        <f>VLOOKUP($A44,'BC.115+260'!$B$13:$X$489,9,0)/1000</f>
        <v>-0.28000000000000003</v>
      </c>
      <c r="H44" s="145">
        <f>VLOOKUP($A44,'BC.115+260'!$B$13:$X$489,14,0)/1000</f>
        <v>1.7130000000000001</v>
      </c>
      <c r="I44" s="145">
        <f>VLOOKUP($A44,'BC.115+260'!$B$13:$X$489,15,0)/1000</f>
        <v>-0.28699999999999998</v>
      </c>
      <c r="J44" s="145">
        <f>VLOOKUP($A44,'BC.115+260'!$B$13:$X$489,20,0)/1000</f>
        <v>1.6850000000000001</v>
      </c>
      <c r="K44" s="145">
        <f>VLOOKUP($A44,'BC.115+260'!$B$13:$X$489,21,0)/1000</f>
        <v>-0.315</v>
      </c>
      <c r="L44" s="143">
        <f t="shared" si="0"/>
        <v>-80.000000000000014</v>
      </c>
      <c r="M44" s="144">
        <f t="shared" si="1"/>
        <v>-66.999999999999972</v>
      </c>
      <c r="N44" s="143">
        <f t="shared" si="2"/>
        <v>-65</v>
      </c>
      <c r="O44" s="143"/>
      <c r="P44" s="151"/>
      <c r="Q44" s="150"/>
      <c r="R44" s="149"/>
      <c r="S44" s="148"/>
      <c r="T44" s="148"/>
    </row>
    <row r="45" spans="1:20">
      <c r="A45" s="81">
        <f>'BC.115+260'!B44</f>
        <v>45282</v>
      </c>
      <c r="B45" s="143">
        <v>31</v>
      </c>
      <c r="C45" s="145">
        <f>'BC.115+260'!M44/1000</f>
        <v>0.72899999999999998</v>
      </c>
      <c r="D45" s="145">
        <f>'BC.115+260'!AA44</f>
        <v>1.0149999999999999</v>
      </c>
      <c r="E45" s="146">
        <f>'BC.115+260'!AB44</f>
        <v>0.878</v>
      </c>
      <c r="F45" s="145">
        <f>VLOOKUP($A45,'BC.115+260'!$B$13:$X$489,8,0)/1000</f>
        <v>1.716</v>
      </c>
      <c r="G45" s="145">
        <f>VLOOKUP($A45,'BC.115+260'!$B$13:$X$489,9,0)/1000</f>
        <v>-0.28399999999999997</v>
      </c>
      <c r="H45" s="145">
        <f>VLOOKUP($A45,'BC.115+260'!$B$13:$X$489,14,0)/1000</f>
        <v>1.7090000000000001</v>
      </c>
      <c r="I45" s="145">
        <f>VLOOKUP($A45,'BC.115+260'!$B$13:$X$489,15,0)/1000</f>
        <v>-0.29099999999999998</v>
      </c>
      <c r="J45" s="145">
        <f>VLOOKUP($A45,'BC.115+260'!$B$13:$X$489,20,0)/1000</f>
        <v>1.6830000000000001</v>
      </c>
      <c r="K45" s="145">
        <f>VLOOKUP($A45,'BC.115+260'!$B$13:$X$489,21,0)/1000</f>
        <v>-0.317</v>
      </c>
      <c r="L45" s="143">
        <f t="shared" si="0"/>
        <v>-83.999999999999957</v>
      </c>
      <c r="M45" s="144">
        <f t="shared" si="1"/>
        <v>-70.999999999999986</v>
      </c>
      <c r="N45" s="143">
        <f t="shared" si="2"/>
        <v>-67</v>
      </c>
      <c r="O45" s="143"/>
      <c r="P45" s="151"/>
      <c r="Q45" s="150"/>
      <c r="R45" s="149"/>
      <c r="S45" s="148"/>
      <c r="T45" s="148"/>
    </row>
    <row r="46" spans="1:20">
      <c r="A46" s="81">
        <f>'BC.115+260'!B45</f>
        <v>45283</v>
      </c>
      <c r="B46" s="143">
        <v>32</v>
      </c>
      <c r="C46" s="145">
        <f>'BC.115+260'!M45/1000</f>
        <v>0.72199999999999998</v>
      </c>
      <c r="D46" s="145">
        <f>'BC.115+260'!AA45</f>
        <v>1.0149999999999999</v>
      </c>
      <c r="E46" s="146">
        <f>'BC.115+260'!AB45</f>
        <v>0.86399999999999999</v>
      </c>
      <c r="F46" s="145">
        <f>VLOOKUP($A46,'BC.115+260'!$B$13:$X$489,8,0)/1000</f>
        <v>1.7130000000000001</v>
      </c>
      <c r="G46" s="145">
        <f>VLOOKUP($A46,'BC.115+260'!$B$13:$X$489,9,0)/1000</f>
        <v>-0.28699999999999998</v>
      </c>
      <c r="H46" s="145">
        <f>VLOOKUP($A46,'BC.115+260'!$B$13:$X$489,14,0)/1000</f>
        <v>1.702</v>
      </c>
      <c r="I46" s="145">
        <f>VLOOKUP($A46,'BC.115+260'!$B$13:$X$489,15,0)/1000</f>
        <v>-0.29799999999999999</v>
      </c>
      <c r="J46" s="145">
        <f>VLOOKUP($A46,'BC.115+260'!$B$13:$X$489,20,0)/1000</f>
        <v>1.681</v>
      </c>
      <c r="K46" s="145">
        <f>VLOOKUP($A46,'BC.115+260'!$B$13:$X$489,21,0)/1000</f>
        <v>-0.31900000000000001</v>
      </c>
      <c r="L46" s="143">
        <f t="shared" si="0"/>
        <v>-86.999999999999972</v>
      </c>
      <c r="M46" s="144">
        <f t="shared" si="1"/>
        <v>-77.999999999999986</v>
      </c>
      <c r="N46" s="143">
        <f t="shared" si="2"/>
        <v>-69</v>
      </c>
      <c r="O46" s="143"/>
      <c r="P46" s="151"/>
      <c r="Q46" s="150"/>
      <c r="R46" s="149"/>
      <c r="S46" s="148"/>
      <c r="T46" s="148"/>
    </row>
    <row r="47" spans="1:20">
      <c r="A47" s="81">
        <f>'BC.115+260'!B46</f>
        <v>45284</v>
      </c>
      <c r="B47" s="143">
        <v>33</v>
      </c>
      <c r="C47" s="145">
        <f>'BC.115+260'!M46/1000</f>
        <v>1.014</v>
      </c>
      <c r="D47" s="145">
        <f>'BC.115+260'!AA46</f>
        <v>1.3059999999999998</v>
      </c>
      <c r="E47" s="146">
        <f>'BC.115+260'!AB46</f>
        <v>1.1479999999999999</v>
      </c>
      <c r="F47" s="145">
        <f>VLOOKUP($A47,'BC.115+260'!$B$13:$X$489,8,0)/1000</f>
        <v>1.704</v>
      </c>
      <c r="G47" s="145">
        <f>VLOOKUP($A47,'BC.115+260'!$B$13:$X$489,9,0)/1000</f>
        <v>-0.29599999999999999</v>
      </c>
      <c r="H47" s="145">
        <f>VLOOKUP($A47,'BC.115+260'!$B$13:$X$489,14,0)/1000</f>
        <v>1.694</v>
      </c>
      <c r="I47" s="145">
        <f>VLOOKUP($A47,'BC.115+260'!$B$13:$X$489,15,0)/1000</f>
        <v>-0.30599999999999999</v>
      </c>
      <c r="J47" s="145">
        <f>VLOOKUP($A47,'BC.115+260'!$B$13:$X$489,20,0)/1000</f>
        <v>1.6719999999999999</v>
      </c>
      <c r="K47" s="145">
        <f>VLOOKUP($A47,'BC.115+260'!$B$13:$X$489,21,0)/1000</f>
        <v>-0.32800000000000001</v>
      </c>
      <c r="L47" s="143">
        <f t="shared" si="0"/>
        <v>-95.999999999999972</v>
      </c>
      <c r="M47" s="144">
        <f t="shared" si="1"/>
        <v>-86</v>
      </c>
      <c r="N47" s="143">
        <f t="shared" si="2"/>
        <v>-78.000000000000014</v>
      </c>
      <c r="O47" s="143"/>
      <c r="P47" s="151"/>
      <c r="Q47" s="150"/>
      <c r="R47" s="149"/>
      <c r="S47" s="148"/>
      <c r="T47" s="148"/>
    </row>
    <row r="48" spans="1:20">
      <c r="A48" s="81">
        <f>'BC.115+260'!B47</f>
        <v>45285</v>
      </c>
      <c r="B48" s="143">
        <v>34</v>
      </c>
      <c r="C48" s="145">
        <f>'BC.115+260'!M47/1000</f>
        <v>1.01</v>
      </c>
      <c r="D48" s="145">
        <f>'BC.115+260'!AA47</f>
        <v>1.3059999999999998</v>
      </c>
      <c r="E48" s="146">
        <f>'BC.115+260'!AB47</f>
        <v>1.1399999999999999</v>
      </c>
      <c r="F48" s="145">
        <f>VLOOKUP($A48,'BC.115+260'!$B$13:$X$489,8,0)/1000</f>
        <v>1.7010000000000001</v>
      </c>
      <c r="G48" s="145">
        <f>VLOOKUP($A48,'BC.115+260'!$B$13:$X$489,9,0)/1000</f>
        <v>-0.29899999999999999</v>
      </c>
      <c r="H48" s="145">
        <f>VLOOKUP($A48,'BC.115+260'!$B$13:$X$489,14,0)/1000</f>
        <v>1.69</v>
      </c>
      <c r="I48" s="145">
        <f>VLOOKUP($A48,'BC.115+260'!$B$13:$X$489,15,0)/1000</f>
        <v>-0.31</v>
      </c>
      <c r="J48" s="145">
        <f>VLOOKUP($A48,'BC.115+260'!$B$13:$X$489,20,0)/1000</f>
        <v>1.669</v>
      </c>
      <c r="K48" s="145">
        <f>VLOOKUP($A48,'BC.115+260'!$B$13:$X$489,21,0)/1000</f>
        <v>-0.33100000000000002</v>
      </c>
      <c r="L48" s="143">
        <f t="shared" si="0"/>
        <v>-98.999999999999972</v>
      </c>
      <c r="M48" s="144">
        <f t="shared" si="1"/>
        <v>-90</v>
      </c>
      <c r="N48" s="143">
        <f t="shared" si="2"/>
        <v>-81.000000000000014</v>
      </c>
      <c r="O48" s="143"/>
      <c r="P48" s="151"/>
      <c r="Q48" s="150"/>
      <c r="R48" s="149"/>
      <c r="S48" s="148"/>
      <c r="T48" s="148"/>
    </row>
    <row r="49" spans="1:20">
      <c r="A49" s="81">
        <f>'BC.115+260'!B48</f>
        <v>45286</v>
      </c>
      <c r="B49" s="143">
        <v>35</v>
      </c>
      <c r="C49" s="145">
        <f>'BC.115+260'!M48/1000</f>
        <v>1.008</v>
      </c>
      <c r="D49" s="145">
        <f>'BC.115+260'!AA48</f>
        <v>1.3059999999999998</v>
      </c>
      <c r="E49" s="146">
        <f>'BC.115+260'!AB48</f>
        <v>1.1359999999999999</v>
      </c>
      <c r="F49" s="145">
        <f>VLOOKUP($A49,'BC.115+260'!$B$13:$X$489,8,0)/1000</f>
        <v>1.696</v>
      </c>
      <c r="G49" s="145">
        <f>VLOOKUP($A49,'BC.115+260'!$B$13:$X$489,9,0)/1000</f>
        <v>-0.30399999999999999</v>
      </c>
      <c r="H49" s="145">
        <f>VLOOKUP($A49,'BC.115+260'!$B$13:$X$489,14,0)/1000</f>
        <v>1.6879999999999999</v>
      </c>
      <c r="I49" s="145">
        <f>VLOOKUP($A49,'BC.115+260'!$B$13:$X$489,15,0)/1000</f>
        <v>-0.312</v>
      </c>
      <c r="J49" s="145">
        <f>VLOOKUP($A49,'BC.115+260'!$B$13:$X$489,20,0)/1000</f>
        <v>1.665</v>
      </c>
      <c r="K49" s="145">
        <f>VLOOKUP($A49,'BC.115+260'!$B$13:$X$489,21,0)/1000</f>
        <v>-0.33500000000000002</v>
      </c>
      <c r="L49" s="143">
        <f t="shared" si="0"/>
        <v>-103.99999999999999</v>
      </c>
      <c r="M49" s="144">
        <f t="shared" si="1"/>
        <v>-92</v>
      </c>
      <c r="N49" s="143">
        <f t="shared" si="2"/>
        <v>-85.000000000000014</v>
      </c>
      <c r="O49" s="143"/>
      <c r="P49" s="151"/>
      <c r="Q49" s="150"/>
      <c r="R49" s="149"/>
      <c r="S49" s="148"/>
      <c r="T49" s="148"/>
    </row>
    <row r="50" spans="1:20">
      <c r="A50" s="81">
        <f>'BC.115+260'!B49</f>
        <v>45287</v>
      </c>
      <c r="B50" s="143">
        <v>36</v>
      </c>
      <c r="C50" s="145">
        <f>'BC.115+260'!M49/1000</f>
        <v>1.006</v>
      </c>
      <c r="D50" s="145">
        <f>'BC.115+260'!AA49</f>
        <v>1.3059999999999998</v>
      </c>
      <c r="E50" s="146">
        <f>'BC.115+260'!AB49</f>
        <v>1.1319999999999999</v>
      </c>
      <c r="F50" s="145">
        <f>VLOOKUP($A50,'BC.115+260'!$B$13:$X$489,8,0)/1000</f>
        <v>1.6910000000000001</v>
      </c>
      <c r="G50" s="145">
        <f>VLOOKUP($A50,'BC.115+260'!$B$13:$X$489,9,0)/1000</f>
        <v>-0.309</v>
      </c>
      <c r="H50" s="145">
        <f>VLOOKUP($A50,'BC.115+260'!$B$13:$X$489,14,0)/1000</f>
        <v>1.6859999999999999</v>
      </c>
      <c r="I50" s="145">
        <f>VLOOKUP($A50,'BC.115+260'!$B$13:$X$489,15,0)/1000</f>
        <v>-0.314</v>
      </c>
      <c r="J50" s="145">
        <f>VLOOKUP($A50,'BC.115+260'!$B$13:$X$489,20,0)/1000</f>
        <v>1.661</v>
      </c>
      <c r="K50" s="145">
        <f>VLOOKUP($A50,'BC.115+260'!$B$13:$X$489,21,0)/1000</f>
        <v>-0.33900000000000002</v>
      </c>
      <c r="L50" s="143">
        <f t="shared" si="0"/>
        <v>-108.99999999999999</v>
      </c>
      <c r="M50" s="144">
        <f t="shared" si="1"/>
        <v>-94</v>
      </c>
      <c r="N50" s="143">
        <f t="shared" si="2"/>
        <v>-89.000000000000028</v>
      </c>
      <c r="O50" s="143"/>
      <c r="P50" s="151"/>
      <c r="Q50" s="150"/>
      <c r="R50" s="149"/>
      <c r="S50" s="148"/>
      <c r="T50" s="148"/>
    </row>
    <row r="51" spans="1:20">
      <c r="A51" s="81">
        <f>'BC.115+260'!B50</f>
        <v>45288</v>
      </c>
      <c r="B51" s="143">
        <v>37</v>
      </c>
      <c r="C51" s="145">
        <f>'BC.115+260'!M50/1000</f>
        <v>1.002</v>
      </c>
      <c r="D51" s="145">
        <f>'BC.115+260'!AA50</f>
        <v>1.3059999999999998</v>
      </c>
      <c r="E51" s="146">
        <f>'BC.115+260'!AB50</f>
        <v>1.1240000000000001</v>
      </c>
      <c r="F51" s="145">
        <f>VLOOKUP($A51,'BC.115+260'!$B$13:$X$489,8,0)/1000</f>
        <v>1.6870000000000001</v>
      </c>
      <c r="G51" s="145">
        <f>VLOOKUP($A51,'BC.115+260'!$B$13:$X$489,9,0)/1000</f>
        <v>-0.313</v>
      </c>
      <c r="H51" s="145">
        <f>VLOOKUP($A51,'BC.115+260'!$B$13:$X$489,14,0)/1000</f>
        <v>1.6819999999999999</v>
      </c>
      <c r="I51" s="145">
        <f>VLOOKUP($A51,'BC.115+260'!$B$13:$X$489,15,0)/1000</f>
        <v>-0.318</v>
      </c>
      <c r="J51" s="145">
        <f>VLOOKUP($A51,'BC.115+260'!$B$13:$X$489,20,0)/1000</f>
        <v>1.6579999999999999</v>
      </c>
      <c r="K51" s="145">
        <f>VLOOKUP($A51,'BC.115+260'!$B$13:$X$489,21,0)/1000</f>
        <v>-0.34200000000000003</v>
      </c>
      <c r="L51" s="143">
        <f t="shared" si="0"/>
        <v>-112.99999999999999</v>
      </c>
      <c r="M51" s="144">
        <f t="shared" si="1"/>
        <v>-98</v>
      </c>
      <c r="N51" s="143">
        <f t="shared" si="2"/>
        <v>-92.000000000000028</v>
      </c>
      <c r="O51" s="143"/>
      <c r="P51" s="151"/>
      <c r="Q51" s="150"/>
      <c r="R51" s="149"/>
      <c r="S51" s="148"/>
      <c r="T51" s="148"/>
    </row>
    <row r="52" spans="1:20">
      <c r="A52" s="81">
        <f>'BC.115+260'!B51</f>
        <v>45289</v>
      </c>
      <c r="B52" s="143">
        <v>38</v>
      </c>
      <c r="C52" s="145">
        <f>'BC.115+260'!M51/1000</f>
        <v>0.995</v>
      </c>
      <c r="D52" s="145">
        <f>'BC.115+260'!AA51</f>
        <v>1.3059999999999998</v>
      </c>
      <c r="E52" s="146">
        <f>'BC.115+260'!AB51</f>
        <v>1.1100000000000001</v>
      </c>
      <c r="F52" s="145">
        <f>VLOOKUP($A52,'BC.115+260'!$B$13:$X$489,8,0)/1000</f>
        <v>1.6839999999999999</v>
      </c>
      <c r="G52" s="145">
        <f>VLOOKUP($A52,'BC.115+260'!$B$13:$X$489,9,0)/1000</f>
        <v>-0.316</v>
      </c>
      <c r="H52" s="145">
        <f>VLOOKUP($A52,'BC.115+260'!$B$13:$X$489,14,0)/1000</f>
        <v>1.675</v>
      </c>
      <c r="I52" s="145">
        <f>VLOOKUP($A52,'BC.115+260'!$B$13:$X$489,15,0)/1000</f>
        <v>-0.32500000000000001</v>
      </c>
      <c r="J52" s="145">
        <f>VLOOKUP($A52,'BC.115+260'!$B$13:$X$489,20,0)/1000</f>
        <v>1.655</v>
      </c>
      <c r="K52" s="145">
        <f>VLOOKUP($A52,'BC.115+260'!$B$13:$X$489,21,0)/1000</f>
        <v>-0.34499999999999997</v>
      </c>
      <c r="L52" s="143">
        <f t="shared" si="0"/>
        <v>-115.99999999999999</v>
      </c>
      <c r="M52" s="144">
        <f t="shared" si="1"/>
        <v>-105.00000000000001</v>
      </c>
      <c r="N52" s="143">
        <f t="shared" si="2"/>
        <v>-94.999999999999972</v>
      </c>
      <c r="O52" s="143"/>
      <c r="P52" s="151"/>
      <c r="Q52" s="150"/>
      <c r="R52" s="149"/>
      <c r="S52" s="148"/>
      <c r="T52" s="148"/>
    </row>
    <row r="53" spans="1:20">
      <c r="A53" s="81">
        <f>'BC.115+260'!B52</f>
        <v>45290</v>
      </c>
      <c r="B53" s="143">
        <v>39</v>
      </c>
      <c r="C53" s="145">
        <f>'BC.115+260'!M52/1000</f>
        <v>0.99</v>
      </c>
      <c r="D53" s="145">
        <f>'BC.115+260'!AA52</f>
        <v>1.3059999999999998</v>
      </c>
      <c r="E53" s="146">
        <f>'BC.115+260'!AB52</f>
        <v>1.1000000000000001</v>
      </c>
      <c r="F53" s="145">
        <f>VLOOKUP($A53,'BC.115+260'!$B$13:$X$489,8,0)/1000</f>
        <v>1.679</v>
      </c>
      <c r="G53" s="145">
        <f>VLOOKUP($A53,'BC.115+260'!$B$13:$X$489,9,0)/1000</f>
        <v>-0.32100000000000001</v>
      </c>
      <c r="H53" s="145">
        <f>VLOOKUP($A53,'BC.115+260'!$B$13:$X$489,14,0)/1000</f>
        <v>1.67</v>
      </c>
      <c r="I53" s="145">
        <f>VLOOKUP($A53,'BC.115+260'!$B$13:$X$489,15,0)/1000</f>
        <v>-0.33</v>
      </c>
      <c r="J53" s="145">
        <f>VLOOKUP($A53,'BC.115+260'!$B$13:$X$489,20,0)/1000</f>
        <v>1.653</v>
      </c>
      <c r="K53" s="145">
        <f>VLOOKUP($A53,'BC.115+260'!$B$13:$X$489,21,0)/1000</f>
        <v>-0.34699999999999998</v>
      </c>
      <c r="L53" s="143">
        <f t="shared" si="0"/>
        <v>-121</v>
      </c>
      <c r="M53" s="144">
        <f t="shared" si="1"/>
        <v>-110.00000000000001</v>
      </c>
      <c r="N53" s="143">
        <f t="shared" si="2"/>
        <v>-96.999999999999972</v>
      </c>
      <c r="O53" s="143"/>
      <c r="P53" s="151"/>
      <c r="Q53" s="150"/>
      <c r="R53" s="149"/>
      <c r="S53" s="148"/>
      <c r="T53" s="148"/>
    </row>
    <row r="54" spans="1:20">
      <c r="A54" s="81">
        <f>'BC.115+260'!B53</f>
        <v>45291</v>
      </c>
      <c r="B54" s="143">
        <v>40</v>
      </c>
      <c r="C54" s="145">
        <f>'BC.115+260'!M53/1000</f>
        <v>0.98799999999999999</v>
      </c>
      <c r="D54" s="145">
        <f>'BC.115+260'!AA53</f>
        <v>1.3059999999999998</v>
      </c>
      <c r="E54" s="146">
        <f>'BC.115+260'!AB53</f>
        <v>1.0960000000000001</v>
      </c>
      <c r="F54" s="145">
        <f>VLOOKUP($A54,'BC.115+260'!$B$13:$X$489,8,0)/1000</f>
        <v>1.677</v>
      </c>
      <c r="G54" s="145">
        <f>VLOOKUP($A54,'BC.115+260'!$B$13:$X$489,9,0)/1000</f>
        <v>-0.32300000000000001</v>
      </c>
      <c r="H54" s="145">
        <f>VLOOKUP($A54,'BC.115+260'!$B$13:$X$489,14,0)/1000</f>
        <v>1.6679999999999999</v>
      </c>
      <c r="I54" s="145">
        <f>VLOOKUP($A54,'BC.115+260'!$B$13:$X$489,15,0)/1000</f>
        <v>-0.33200000000000002</v>
      </c>
      <c r="J54" s="145">
        <f>VLOOKUP($A54,'BC.115+260'!$B$13:$X$489,20,0)/1000</f>
        <v>1.649</v>
      </c>
      <c r="K54" s="145">
        <f>VLOOKUP($A54,'BC.115+260'!$B$13:$X$489,21,0)/1000</f>
        <v>-0.35099999999999998</v>
      </c>
      <c r="L54" s="143">
        <f t="shared" si="0"/>
        <v>-123</v>
      </c>
      <c r="M54" s="144">
        <f t="shared" si="1"/>
        <v>-112.00000000000001</v>
      </c>
      <c r="N54" s="143">
        <f t="shared" si="2"/>
        <v>-100.99999999999997</v>
      </c>
      <c r="O54" s="143"/>
      <c r="P54" s="151"/>
      <c r="Q54" s="150"/>
      <c r="R54" s="149"/>
      <c r="S54" s="148"/>
      <c r="T54" s="148"/>
    </row>
    <row r="55" spans="1:20">
      <c r="A55" s="81">
        <f>'BC.115+260'!B54</f>
        <v>45292</v>
      </c>
      <c r="B55" s="143">
        <v>41</v>
      </c>
      <c r="C55" s="145">
        <f>'BC.115+260'!M54/1000</f>
        <v>0.98</v>
      </c>
      <c r="D55" s="145">
        <f>'BC.115+260'!AA54</f>
        <v>1.3059999999999998</v>
      </c>
      <c r="E55" s="146">
        <f>'BC.115+260'!AB54</f>
        <v>1.08</v>
      </c>
      <c r="F55" s="145">
        <f>VLOOKUP($A55,'BC.115+260'!$B$13:$X$489,8,0)/1000</f>
        <v>1.669</v>
      </c>
      <c r="G55" s="145">
        <f>VLOOKUP($A55,'BC.115+260'!$B$13:$X$489,9,0)/1000</f>
        <v>-0.33100000000000002</v>
      </c>
      <c r="H55" s="145">
        <f>VLOOKUP($A55,'BC.115+260'!$B$13:$X$489,14,0)/1000</f>
        <v>1.66</v>
      </c>
      <c r="I55" s="145">
        <f>VLOOKUP($A55,'BC.115+260'!$B$13:$X$489,15,0)/1000</f>
        <v>-0.34</v>
      </c>
      <c r="J55" s="145">
        <f>VLOOKUP($A55,'BC.115+260'!$B$13:$X$489,20,0)/1000</f>
        <v>1.641</v>
      </c>
      <c r="K55" s="145">
        <f>VLOOKUP($A55,'BC.115+260'!$B$13:$X$489,21,0)/1000</f>
        <v>-0.35899999999999999</v>
      </c>
      <c r="L55" s="143">
        <f t="shared" si="0"/>
        <v>-131</v>
      </c>
      <c r="M55" s="144">
        <f t="shared" si="1"/>
        <v>-120.00000000000003</v>
      </c>
      <c r="N55" s="143">
        <f t="shared" si="2"/>
        <v>-108.99999999999999</v>
      </c>
      <c r="O55" s="143"/>
      <c r="P55" s="151"/>
      <c r="Q55" s="150"/>
      <c r="R55" s="149"/>
      <c r="S55" s="148"/>
      <c r="T55" s="148"/>
    </row>
    <row r="56" spans="1:20">
      <c r="A56" s="81">
        <f>'BC.115+260'!B55</f>
        <v>45293</v>
      </c>
      <c r="B56" s="143">
        <v>42</v>
      </c>
      <c r="C56" s="145">
        <f>'BC.115+260'!M55/1000</f>
        <v>0.97799999999999998</v>
      </c>
      <c r="D56" s="145">
        <f>'BC.115+260'!AA55</f>
        <v>1.3059999999999998</v>
      </c>
      <c r="E56" s="146">
        <f>'BC.115+260'!AB55</f>
        <v>1.0760000000000001</v>
      </c>
      <c r="F56" s="145">
        <f>VLOOKUP($A56,'BC.115+260'!$B$13:$X$489,8,0)/1000</f>
        <v>1.667</v>
      </c>
      <c r="G56" s="145">
        <f>VLOOKUP($A56,'BC.115+260'!$B$13:$X$489,9,0)/1000</f>
        <v>-0.33300000000000002</v>
      </c>
      <c r="H56" s="145">
        <f>VLOOKUP($A56,'BC.115+260'!$B$13:$X$489,14,0)/1000</f>
        <v>1.6579999999999999</v>
      </c>
      <c r="I56" s="145">
        <f>VLOOKUP($A56,'BC.115+260'!$B$13:$X$489,15,0)/1000</f>
        <v>-0.34200000000000003</v>
      </c>
      <c r="J56" s="145">
        <f>VLOOKUP($A56,'BC.115+260'!$B$13:$X$489,20,0)/1000</f>
        <v>1.639</v>
      </c>
      <c r="K56" s="145">
        <f>VLOOKUP($A56,'BC.115+260'!$B$13:$X$489,21,0)/1000</f>
        <v>-0.36099999999999999</v>
      </c>
      <c r="L56" s="143">
        <f t="shared" si="0"/>
        <v>-133</v>
      </c>
      <c r="M56" s="144">
        <f t="shared" si="1"/>
        <v>-122.00000000000003</v>
      </c>
      <c r="N56" s="143">
        <f t="shared" si="2"/>
        <v>-110.99999999999999</v>
      </c>
      <c r="O56" s="143"/>
      <c r="P56" s="151"/>
      <c r="Q56" s="150"/>
      <c r="R56" s="149"/>
      <c r="S56" s="148"/>
      <c r="T56" s="148"/>
    </row>
    <row r="57" spans="1:20">
      <c r="A57" s="81">
        <f>'BC.115+260'!B56</f>
        <v>45294</v>
      </c>
      <c r="B57" s="143">
        <v>43</v>
      </c>
      <c r="C57" s="145">
        <f>'BC.115+260'!M56/1000</f>
        <v>0.97399999999999998</v>
      </c>
      <c r="D57" s="145">
        <f>'BC.115+260'!AA56</f>
        <v>1.3059999999999998</v>
      </c>
      <c r="E57" s="146">
        <f>'BC.115+260'!AB56</f>
        <v>1.0680000000000001</v>
      </c>
      <c r="F57" s="145">
        <f>VLOOKUP($A57,'BC.115+260'!$B$13:$X$489,8,0)/1000</f>
        <v>1.6659999999999999</v>
      </c>
      <c r="G57" s="145">
        <f>VLOOKUP($A57,'BC.115+260'!$B$13:$X$489,9,0)/1000</f>
        <v>-0.33400000000000002</v>
      </c>
      <c r="H57" s="145">
        <f>VLOOKUP($A57,'BC.115+260'!$B$13:$X$489,14,0)/1000</f>
        <v>1.6539999999999999</v>
      </c>
      <c r="I57" s="145">
        <f>VLOOKUP($A57,'BC.115+260'!$B$13:$X$489,15,0)/1000</f>
        <v>-0.34599999999999997</v>
      </c>
      <c r="J57" s="145">
        <f>VLOOKUP($A57,'BC.115+260'!$B$13:$X$489,20,0)/1000</f>
        <v>1.635</v>
      </c>
      <c r="K57" s="145">
        <f>VLOOKUP($A57,'BC.115+260'!$B$13:$X$489,21,0)/1000</f>
        <v>-0.36499999999999999</v>
      </c>
      <c r="L57" s="143">
        <f t="shared" si="0"/>
        <v>-134</v>
      </c>
      <c r="M57" s="144">
        <f t="shared" si="1"/>
        <v>-125.99999999999997</v>
      </c>
      <c r="N57" s="143">
        <f t="shared" si="2"/>
        <v>-114.99999999999999</v>
      </c>
      <c r="O57" s="143"/>
      <c r="P57" s="151"/>
      <c r="Q57" s="150"/>
      <c r="R57" s="149"/>
      <c r="S57" s="148"/>
      <c r="T57" s="148"/>
    </row>
    <row r="58" spans="1:20">
      <c r="A58" s="81">
        <f>'BC.115+260'!B57</f>
        <v>45295</v>
      </c>
      <c r="B58" s="143">
        <v>44</v>
      </c>
      <c r="C58" s="145">
        <f>'BC.115+260'!M57/1000</f>
        <v>0.97199999999999998</v>
      </c>
      <c r="D58" s="145">
        <f>'BC.115+260'!AA57</f>
        <v>1.3059999999999998</v>
      </c>
      <c r="E58" s="146">
        <f>'BC.115+260'!AB57</f>
        <v>1.0640000000000001</v>
      </c>
      <c r="F58" s="145">
        <f>VLOOKUP($A58,'BC.115+260'!$B$13:$X$489,8,0)/1000</f>
        <v>1.6639999999999999</v>
      </c>
      <c r="G58" s="145">
        <f>VLOOKUP($A58,'BC.115+260'!$B$13:$X$489,9,0)/1000</f>
        <v>-0.33600000000000002</v>
      </c>
      <c r="H58" s="145">
        <f>VLOOKUP($A58,'BC.115+260'!$B$13:$X$489,14,0)/1000</f>
        <v>1.6519999999999999</v>
      </c>
      <c r="I58" s="145">
        <f>VLOOKUP($A58,'BC.115+260'!$B$13:$X$489,15,0)/1000</f>
        <v>-0.34799999999999998</v>
      </c>
      <c r="J58" s="145">
        <f>VLOOKUP($A58,'BC.115+260'!$B$13:$X$489,20,0)/1000</f>
        <v>1.633</v>
      </c>
      <c r="K58" s="145">
        <f>VLOOKUP($A58,'BC.115+260'!$B$13:$X$489,21,0)/1000</f>
        <v>-0.36699999999999999</v>
      </c>
      <c r="L58" s="143">
        <f t="shared" si="0"/>
        <v>-136</v>
      </c>
      <c r="M58" s="144">
        <f t="shared" si="1"/>
        <v>-127.99999999999997</v>
      </c>
      <c r="N58" s="143">
        <f t="shared" si="2"/>
        <v>-117</v>
      </c>
      <c r="O58" s="143"/>
      <c r="P58" s="151"/>
      <c r="Q58" s="150"/>
      <c r="R58" s="149"/>
      <c r="S58" s="148"/>
      <c r="T58" s="148"/>
    </row>
    <row r="59" spans="1:20">
      <c r="A59" s="81">
        <f>'BC.115+260'!B58</f>
        <v>45296</v>
      </c>
      <c r="B59" s="143">
        <v>45</v>
      </c>
      <c r="C59" s="145">
        <f>'BC.115+260'!M58/1000</f>
        <v>0.97099999999999997</v>
      </c>
      <c r="D59" s="145">
        <f>'BC.115+260'!AA58</f>
        <v>1.3059999999999998</v>
      </c>
      <c r="E59" s="146">
        <f>'BC.115+260'!AB58</f>
        <v>1.0620000000000001</v>
      </c>
      <c r="F59" s="145">
        <f>VLOOKUP($A59,'BC.115+260'!$B$13:$X$489,8,0)/1000</f>
        <v>1.6619999999999999</v>
      </c>
      <c r="G59" s="145">
        <f>VLOOKUP($A59,'BC.115+260'!$B$13:$X$489,9,0)/1000</f>
        <v>-0.33800000000000002</v>
      </c>
      <c r="H59" s="145">
        <f>VLOOKUP($A59,'BC.115+260'!$B$13:$X$489,14,0)/1000</f>
        <v>1.651</v>
      </c>
      <c r="I59" s="145">
        <f>VLOOKUP($A59,'BC.115+260'!$B$13:$X$489,15,0)/1000</f>
        <v>-0.34899999999999998</v>
      </c>
      <c r="J59" s="145">
        <f>VLOOKUP($A59,'BC.115+260'!$B$13:$X$489,20,0)/1000</f>
        <v>1.629</v>
      </c>
      <c r="K59" s="145">
        <f>VLOOKUP($A59,'BC.115+260'!$B$13:$X$489,21,0)/1000</f>
        <v>-0.371</v>
      </c>
      <c r="L59" s="143">
        <f t="shared" si="0"/>
        <v>-138</v>
      </c>
      <c r="M59" s="144">
        <f t="shared" si="1"/>
        <v>-128.99999999999997</v>
      </c>
      <c r="N59" s="143">
        <f t="shared" si="2"/>
        <v>-121</v>
      </c>
      <c r="O59" s="143"/>
      <c r="P59" s="151"/>
      <c r="Q59" s="150"/>
      <c r="R59" s="149"/>
      <c r="S59" s="148"/>
      <c r="T59" s="148"/>
    </row>
    <row r="60" spans="1:20">
      <c r="A60" s="81">
        <f>'BC.115+260'!B59</f>
        <v>45297</v>
      </c>
      <c r="B60" s="143">
        <v>46</v>
      </c>
      <c r="C60" s="145">
        <f>'BC.115+260'!M59/1000</f>
        <v>0.97</v>
      </c>
      <c r="D60" s="145">
        <f>'BC.115+260'!AA59</f>
        <v>1.3059999999999998</v>
      </c>
      <c r="E60" s="146">
        <f>'BC.115+260'!AB59</f>
        <v>1.06</v>
      </c>
      <c r="F60" s="145">
        <f>VLOOKUP($A60,'BC.115+260'!$B$13:$X$489,8,0)/1000</f>
        <v>1.661</v>
      </c>
      <c r="G60" s="145">
        <f>VLOOKUP($A60,'BC.115+260'!$B$13:$X$489,9,0)/1000</f>
        <v>-0.33900000000000002</v>
      </c>
      <c r="H60" s="145">
        <f>VLOOKUP($A60,'BC.115+260'!$B$13:$X$489,14,0)/1000</f>
        <v>1.65</v>
      </c>
      <c r="I60" s="145">
        <f>VLOOKUP($A60,'BC.115+260'!$B$13:$X$489,15,0)/1000</f>
        <v>-0.35</v>
      </c>
      <c r="J60" s="145">
        <f>VLOOKUP($A60,'BC.115+260'!$B$13:$X$489,20,0)/1000</f>
        <v>1.6279999999999999</v>
      </c>
      <c r="K60" s="145">
        <f>VLOOKUP($A60,'BC.115+260'!$B$13:$X$489,21,0)/1000</f>
        <v>-0.372</v>
      </c>
      <c r="L60" s="143">
        <f t="shared" si="0"/>
        <v>-139</v>
      </c>
      <c r="M60" s="144">
        <f t="shared" si="1"/>
        <v>-129.99999999999997</v>
      </c>
      <c r="N60" s="143">
        <f t="shared" si="2"/>
        <v>-122</v>
      </c>
      <c r="O60" s="143"/>
      <c r="P60" s="151"/>
      <c r="Q60" s="150"/>
      <c r="R60" s="149"/>
      <c r="S60" s="148"/>
      <c r="T60" s="148"/>
    </row>
    <row r="61" spans="1:20">
      <c r="A61" s="81">
        <f>'BC.115+260'!B60</f>
        <v>45298</v>
      </c>
      <c r="B61" s="143">
        <v>47</v>
      </c>
      <c r="C61" s="145">
        <f>'BC.115+260'!M60/1000</f>
        <v>0.97</v>
      </c>
      <c r="D61" s="145">
        <f>'BC.115+260'!AA60</f>
        <v>1.3059999999999998</v>
      </c>
      <c r="E61" s="146">
        <f>'BC.115+260'!AB60</f>
        <v>1.06</v>
      </c>
      <c r="F61" s="145">
        <f>VLOOKUP($A61,'BC.115+260'!$B$13:$X$489,8,0)/1000</f>
        <v>1.66</v>
      </c>
      <c r="G61" s="145">
        <f>VLOOKUP($A61,'BC.115+260'!$B$13:$X$489,9,0)/1000</f>
        <v>-0.34</v>
      </c>
      <c r="H61" s="145">
        <f>VLOOKUP($A61,'BC.115+260'!$B$13:$X$489,14,0)/1000</f>
        <v>1.65</v>
      </c>
      <c r="I61" s="145">
        <f>VLOOKUP($A61,'BC.115+260'!$B$13:$X$489,15,0)/1000</f>
        <v>-0.35</v>
      </c>
      <c r="J61" s="145">
        <f>VLOOKUP($A61,'BC.115+260'!$B$13:$X$489,20,0)/1000</f>
        <v>1.6259999999999999</v>
      </c>
      <c r="K61" s="145">
        <f>VLOOKUP($A61,'BC.115+260'!$B$13:$X$489,21,0)/1000</f>
        <v>-0.374</v>
      </c>
      <c r="L61" s="143">
        <f t="shared" si="0"/>
        <v>-140</v>
      </c>
      <c r="M61" s="144">
        <f t="shared" si="1"/>
        <v>-129.99999999999997</v>
      </c>
      <c r="N61" s="143">
        <f t="shared" si="2"/>
        <v>-124</v>
      </c>
      <c r="O61" s="143"/>
      <c r="P61" s="151"/>
      <c r="Q61" s="150"/>
      <c r="R61" s="149"/>
      <c r="S61" s="148"/>
      <c r="T61" s="148"/>
    </row>
    <row r="62" spans="1:20">
      <c r="A62" s="81">
        <f>'BC.115+260'!B61</f>
        <v>45299</v>
      </c>
      <c r="B62" s="143">
        <v>48</v>
      </c>
      <c r="C62" s="145">
        <f>'BC.115+260'!M61/1000</f>
        <v>0.97</v>
      </c>
      <c r="D62" s="145">
        <f>'BC.115+260'!AA61</f>
        <v>1.3059999999999998</v>
      </c>
      <c r="E62" s="146">
        <f>'BC.115+260'!AB61</f>
        <v>1.06</v>
      </c>
      <c r="F62" s="145">
        <f>VLOOKUP($A62,'BC.115+260'!$B$13:$X$489,8,0)/1000</f>
        <v>1.66</v>
      </c>
      <c r="G62" s="145">
        <f>VLOOKUP($A62,'BC.115+260'!$B$13:$X$489,9,0)/1000</f>
        <v>-0.34</v>
      </c>
      <c r="H62" s="145">
        <f>VLOOKUP($A62,'BC.115+260'!$B$13:$X$489,14,0)/1000</f>
        <v>1.65</v>
      </c>
      <c r="I62" s="145">
        <f>VLOOKUP($A62,'BC.115+260'!$B$13:$X$489,15,0)/1000</f>
        <v>-0.35</v>
      </c>
      <c r="J62" s="145">
        <f>VLOOKUP($A62,'BC.115+260'!$B$13:$X$489,20,0)/1000</f>
        <v>1.6259999999999999</v>
      </c>
      <c r="K62" s="145">
        <f>VLOOKUP($A62,'BC.115+260'!$B$13:$X$489,21,0)/1000</f>
        <v>-0.374</v>
      </c>
      <c r="L62" s="143">
        <f t="shared" si="0"/>
        <v>-140</v>
      </c>
      <c r="M62" s="144">
        <f t="shared" si="1"/>
        <v>-129.99999999999997</v>
      </c>
      <c r="N62" s="143">
        <f t="shared" si="2"/>
        <v>-124</v>
      </c>
      <c r="O62" s="143"/>
      <c r="P62" s="151"/>
      <c r="Q62" s="150"/>
      <c r="R62" s="149"/>
      <c r="S62" s="148"/>
      <c r="T62" s="148"/>
    </row>
    <row r="63" spans="1:20">
      <c r="A63" s="81">
        <f>'BC.115+260'!B62</f>
        <v>45300</v>
      </c>
      <c r="B63" s="143">
        <v>49</v>
      </c>
      <c r="C63" s="145">
        <f>'BC.115+260'!M62/1000</f>
        <v>0.96899999999999997</v>
      </c>
      <c r="D63" s="145">
        <f>'BC.115+260'!AA62</f>
        <v>1.3059999999999998</v>
      </c>
      <c r="E63" s="146">
        <f>'BC.115+260'!AB62</f>
        <v>1.0580000000000001</v>
      </c>
      <c r="F63" s="145">
        <f>VLOOKUP($A63,'BC.115+260'!$B$13:$X$489,8,0)/1000</f>
        <v>1.659</v>
      </c>
      <c r="G63" s="145">
        <f>VLOOKUP($A63,'BC.115+260'!$B$13:$X$489,9,0)/1000</f>
        <v>-0.34100000000000003</v>
      </c>
      <c r="H63" s="145">
        <f>VLOOKUP($A63,'BC.115+260'!$B$13:$X$489,14,0)/1000</f>
        <v>1.649</v>
      </c>
      <c r="I63" s="145">
        <f>VLOOKUP($A63,'BC.115+260'!$B$13:$X$489,15,0)/1000</f>
        <v>-0.35099999999999998</v>
      </c>
      <c r="J63" s="145">
        <f>VLOOKUP($A63,'BC.115+260'!$B$13:$X$489,20,0)/1000</f>
        <v>1.625</v>
      </c>
      <c r="K63" s="145">
        <f>VLOOKUP($A63,'BC.115+260'!$B$13:$X$489,21,0)/1000</f>
        <v>-0.375</v>
      </c>
      <c r="L63" s="143">
        <f t="shared" si="0"/>
        <v>-141</v>
      </c>
      <c r="M63" s="144">
        <f t="shared" si="1"/>
        <v>-130.99999999999997</v>
      </c>
      <c r="N63" s="143">
        <f t="shared" si="2"/>
        <v>-125</v>
      </c>
      <c r="O63" s="143"/>
      <c r="P63" s="151"/>
      <c r="Q63" s="150"/>
      <c r="R63" s="149"/>
      <c r="S63" s="148"/>
      <c r="T63" s="148"/>
    </row>
    <row r="64" spans="1:20">
      <c r="A64" s="81">
        <f>'BC.115+260'!B63</f>
        <v>45301</v>
      </c>
      <c r="B64" s="143">
        <v>50</v>
      </c>
      <c r="C64" s="145">
        <f>'BC.115+260'!M63/1000</f>
        <v>0.96899999999999997</v>
      </c>
      <c r="D64" s="145">
        <f>'BC.115+260'!AA63</f>
        <v>1.3059999999999998</v>
      </c>
      <c r="E64" s="146">
        <f>'BC.115+260'!AB63</f>
        <v>1.0580000000000001</v>
      </c>
      <c r="F64" s="145">
        <f>VLOOKUP($A64,'BC.115+260'!$B$13:$X$489,8,0)/1000</f>
        <v>1.659</v>
      </c>
      <c r="G64" s="145">
        <f>VLOOKUP($A64,'BC.115+260'!$B$13:$X$489,9,0)/1000</f>
        <v>-0.34100000000000003</v>
      </c>
      <c r="H64" s="145">
        <f>VLOOKUP($A64,'BC.115+260'!$B$13:$X$489,14,0)/1000</f>
        <v>1.649</v>
      </c>
      <c r="I64" s="145">
        <f>VLOOKUP($A64,'BC.115+260'!$B$13:$X$489,15,0)/1000</f>
        <v>-0.35099999999999998</v>
      </c>
      <c r="J64" s="145">
        <f>VLOOKUP($A64,'BC.115+260'!$B$13:$X$489,20,0)/1000</f>
        <v>1.625</v>
      </c>
      <c r="K64" s="145">
        <f>VLOOKUP($A64,'BC.115+260'!$B$13:$X$489,21,0)/1000</f>
        <v>-0.375</v>
      </c>
      <c r="L64" s="143">
        <f t="shared" si="0"/>
        <v>-141</v>
      </c>
      <c r="M64" s="144">
        <f t="shared" si="1"/>
        <v>-130.99999999999997</v>
      </c>
      <c r="N64" s="143">
        <f t="shared" si="2"/>
        <v>-125</v>
      </c>
      <c r="O64" s="143"/>
      <c r="P64" s="151"/>
      <c r="Q64" s="150"/>
      <c r="R64" s="149"/>
      <c r="S64" s="148"/>
      <c r="T64" s="148"/>
    </row>
    <row r="65" spans="1:20">
      <c r="A65" s="81">
        <f>'BC.115+260'!B64</f>
        <v>45302</v>
      </c>
      <c r="B65" s="143">
        <v>51</v>
      </c>
      <c r="C65" s="145">
        <f>'BC.115+260'!M64/1000</f>
        <v>0.96899999999999997</v>
      </c>
      <c r="D65" s="145">
        <f>'BC.115+260'!AA64</f>
        <v>1.3059999999999998</v>
      </c>
      <c r="E65" s="146">
        <f>'BC.115+260'!AB64</f>
        <v>1.0580000000000001</v>
      </c>
      <c r="F65" s="145">
        <f>VLOOKUP($A65,'BC.115+260'!$B$13:$X$489,8,0)/1000</f>
        <v>1.659</v>
      </c>
      <c r="G65" s="145">
        <f>VLOOKUP($A65,'BC.115+260'!$B$13:$X$489,9,0)/1000</f>
        <v>-0.34100000000000003</v>
      </c>
      <c r="H65" s="145">
        <f>VLOOKUP($A65,'BC.115+260'!$B$13:$X$489,14,0)/1000</f>
        <v>1.649</v>
      </c>
      <c r="I65" s="145">
        <f>VLOOKUP($A65,'BC.115+260'!$B$13:$X$489,15,0)/1000</f>
        <v>-0.35099999999999998</v>
      </c>
      <c r="J65" s="145">
        <f>VLOOKUP($A65,'BC.115+260'!$B$13:$X$489,20,0)/1000</f>
        <v>1.625</v>
      </c>
      <c r="K65" s="145">
        <f>VLOOKUP($A65,'BC.115+260'!$B$13:$X$489,21,0)/1000</f>
        <v>-0.375</v>
      </c>
      <c r="L65" s="143">
        <f t="shared" si="0"/>
        <v>-141</v>
      </c>
      <c r="M65" s="144">
        <f t="shared" si="1"/>
        <v>-130.99999999999997</v>
      </c>
      <c r="N65" s="143">
        <f t="shared" si="2"/>
        <v>-125</v>
      </c>
      <c r="O65" s="143"/>
      <c r="P65" s="151"/>
      <c r="Q65" s="150"/>
      <c r="R65" s="149"/>
      <c r="S65" s="148"/>
      <c r="T65" s="148"/>
    </row>
    <row r="66" spans="1:20">
      <c r="A66" s="81">
        <f>'BC.115+260'!B65</f>
        <v>45303</v>
      </c>
      <c r="B66" s="143">
        <v>52</v>
      </c>
      <c r="C66" s="145">
        <f>'BC.115+260'!M65/1000</f>
        <v>0.96899999999999997</v>
      </c>
      <c r="D66" s="145">
        <f>'BC.115+260'!AA65</f>
        <v>1.3059999999999998</v>
      </c>
      <c r="E66" s="146">
        <f>'BC.115+260'!AB65</f>
        <v>1.0580000000000001</v>
      </c>
      <c r="F66" s="145">
        <f>VLOOKUP($A66,'BC.115+260'!$B$13:$X$489,8,0)/1000</f>
        <v>1.659</v>
      </c>
      <c r="G66" s="145">
        <f>VLOOKUP($A66,'BC.115+260'!$B$13:$X$489,9,0)/1000</f>
        <v>-0.34100000000000003</v>
      </c>
      <c r="H66" s="145">
        <f>VLOOKUP($A66,'BC.115+260'!$B$13:$X$489,14,0)/1000</f>
        <v>1.649</v>
      </c>
      <c r="I66" s="145">
        <f>VLOOKUP($A66,'BC.115+260'!$B$13:$X$489,15,0)/1000</f>
        <v>-0.35099999999999998</v>
      </c>
      <c r="J66" s="145">
        <f>VLOOKUP($A66,'BC.115+260'!$B$13:$X$489,20,0)/1000</f>
        <v>1.625</v>
      </c>
      <c r="K66" s="145">
        <f>VLOOKUP($A66,'BC.115+260'!$B$13:$X$489,21,0)/1000</f>
        <v>-0.375</v>
      </c>
      <c r="L66" s="143">
        <f t="shared" si="0"/>
        <v>-141</v>
      </c>
      <c r="M66" s="144">
        <f t="shared" si="1"/>
        <v>-130.99999999999997</v>
      </c>
      <c r="N66" s="143">
        <f t="shared" si="2"/>
        <v>-125</v>
      </c>
      <c r="O66" s="143"/>
      <c r="P66" s="151"/>
      <c r="Q66" s="150"/>
      <c r="R66" s="149"/>
      <c r="S66" s="148"/>
      <c r="T66" s="148"/>
    </row>
    <row r="67" spans="1:20">
      <c r="A67" s="81">
        <f>'BC.115+260'!B66</f>
        <v>45304</v>
      </c>
      <c r="B67" s="143">
        <v>53</v>
      </c>
      <c r="C67" s="145">
        <f>'BC.115+260'!M66/1000</f>
        <v>0.96899999999999997</v>
      </c>
      <c r="D67" s="145">
        <f>'BC.115+260'!AA66</f>
        <v>1.3059999999999998</v>
      </c>
      <c r="E67" s="146">
        <f>'BC.115+260'!AB66</f>
        <v>1.0580000000000001</v>
      </c>
      <c r="F67" s="145">
        <f>VLOOKUP($A67,'BC.115+260'!$B$13:$X$489,8,0)/1000</f>
        <v>1.659</v>
      </c>
      <c r="G67" s="145">
        <f>VLOOKUP($A67,'BC.115+260'!$B$13:$X$489,9,0)/1000</f>
        <v>-0.34100000000000003</v>
      </c>
      <c r="H67" s="145">
        <f>VLOOKUP($A67,'BC.115+260'!$B$13:$X$489,14,0)/1000</f>
        <v>1.649</v>
      </c>
      <c r="I67" s="145">
        <f>VLOOKUP($A67,'BC.115+260'!$B$13:$X$489,15,0)/1000</f>
        <v>-0.35099999999999998</v>
      </c>
      <c r="J67" s="145">
        <f>VLOOKUP($A67,'BC.115+260'!$B$13:$X$489,20,0)/1000</f>
        <v>1.625</v>
      </c>
      <c r="K67" s="145">
        <f>VLOOKUP($A67,'BC.115+260'!$B$13:$X$489,21,0)/1000</f>
        <v>-0.375</v>
      </c>
      <c r="L67" s="143">
        <f t="shared" si="0"/>
        <v>-141</v>
      </c>
      <c r="M67" s="144">
        <f t="shared" si="1"/>
        <v>-130.99999999999997</v>
      </c>
      <c r="N67" s="143">
        <f t="shared" si="2"/>
        <v>-125</v>
      </c>
      <c r="O67" s="143"/>
      <c r="P67" s="151"/>
      <c r="Q67" s="150"/>
      <c r="R67" s="149"/>
      <c r="S67" s="148"/>
      <c r="T67" s="148"/>
    </row>
    <row r="68" spans="1:20">
      <c r="A68" s="81">
        <f>'BC.115+260'!B67</f>
        <v>45305</v>
      </c>
      <c r="B68" s="143">
        <v>54</v>
      </c>
      <c r="C68" s="145">
        <f>'BC.115+260'!M67/1000</f>
        <v>0.96899999999999997</v>
      </c>
      <c r="D68" s="145">
        <f>'BC.115+260'!AA67</f>
        <v>1.3059999999999998</v>
      </c>
      <c r="E68" s="146">
        <f>'BC.115+260'!AB67</f>
        <v>1.0580000000000001</v>
      </c>
      <c r="F68" s="145">
        <f>VLOOKUP($A68,'BC.115+260'!$B$13:$X$489,8,0)/1000</f>
        <v>1.659</v>
      </c>
      <c r="G68" s="145">
        <f>VLOOKUP($A68,'BC.115+260'!$B$13:$X$489,9,0)/1000</f>
        <v>-0.34100000000000003</v>
      </c>
      <c r="H68" s="145">
        <f>VLOOKUP($A68,'BC.115+260'!$B$13:$X$489,14,0)/1000</f>
        <v>1.649</v>
      </c>
      <c r="I68" s="145">
        <f>VLOOKUP($A68,'BC.115+260'!$B$13:$X$489,15,0)/1000</f>
        <v>-0.35099999999999998</v>
      </c>
      <c r="J68" s="145">
        <f>VLOOKUP($A68,'BC.115+260'!$B$13:$X$489,20,0)/1000</f>
        <v>1.625</v>
      </c>
      <c r="K68" s="145">
        <f>VLOOKUP($A68,'BC.115+260'!$B$13:$X$489,21,0)/1000</f>
        <v>-0.375</v>
      </c>
      <c r="L68" s="143">
        <f t="shared" si="0"/>
        <v>-141</v>
      </c>
      <c r="M68" s="144">
        <f t="shared" si="1"/>
        <v>-130.99999999999997</v>
      </c>
      <c r="N68" s="143">
        <f t="shared" si="2"/>
        <v>-125</v>
      </c>
      <c r="O68" s="143"/>
      <c r="P68" s="151"/>
      <c r="Q68" s="150"/>
      <c r="R68" s="149"/>
      <c r="S68" s="148"/>
      <c r="T68" s="148"/>
    </row>
    <row r="69" spans="1:20">
      <c r="A69" s="81">
        <f>'BC.115+260'!B68</f>
        <v>45306</v>
      </c>
      <c r="B69" s="143">
        <v>55</v>
      </c>
      <c r="C69" s="145">
        <f>'BC.115+260'!M68/1000</f>
        <v>0.96899999999999997</v>
      </c>
      <c r="D69" s="145">
        <f>'BC.115+260'!AA68</f>
        <v>1.3059999999999998</v>
      </c>
      <c r="E69" s="146">
        <f>'BC.115+260'!AB68</f>
        <v>1.0580000000000001</v>
      </c>
      <c r="F69" s="145">
        <f>VLOOKUP($A69,'BC.115+260'!$B$13:$X$489,8,0)/1000</f>
        <v>1.659</v>
      </c>
      <c r="G69" s="145">
        <f>VLOOKUP($A69,'BC.115+260'!$B$13:$X$489,9,0)/1000</f>
        <v>-0.34100000000000003</v>
      </c>
      <c r="H69" s="145">
        <f>VLOOKUP($A69,'BC.115+260'!$B$13:$X$489,14,0)/1000</f>
        <v>1.649</v>
      </c>
      <c r="I69" s="145">
        <f>VLOOKUP($A69,'BC.115+260'!$B$13:$X$489,15,0)/1000</f>
        <v>-0.35099999999999998</v>
      </c>
      <c r="J69" s="145">
        <f>VLOOKUP($A69,'BC.115+260'!$B$13:$X$489,20,0)/1000</f>
        <v>1.625</v>
      </c>
      <c r="K69" s="145">
        <f>VLOOKUP($A69,'BC.115+260'!$B$13:$X$489,21,0)/1000</f>
        <v>-0.375</v>
      </c>
      <c r="L69" s="143">
        <f t="shared" si="0"/>
        <v>-141</v>
      </c>
      <c r="M69" s="144">
        <f t="shared" si="1"/>
        <v>-130.99999999999997</v>
      </c>
      <c r="N69" s="143">
        <f t="shared" si="2"/>
        <v>-125</v>
      </c>
      <c r="O69" s="143"/>
      <c r="P69" s="151"/>
      <c r="Q69" s="150"/>
      <c r="R69" s="149"/>
      <c r="S69" s="148"/>
      <c r="T69" s="148"/>
    </row>
    <row r="70" spans="1:20">
      <c r="A70" s="81">
        <f>'BC.115+260'!B69</f>
        <v>45307</v>
      </c>
      <c r="B70" s="143">
        <v>56</v>
      </c>
      <c r="C70" s="145">
        <f>'BC.115+260'!M69/1000</f>
        <v>0.96899999999999997</v>
      </c>
      <c r="D70" s="145">
        <f>'BC.115+260'!AA69</f>
        <v>1.3059999999999998</v>
      </c>
      <c r="E70" s="146">
        <f>'BC.115+260'!AB69</f>
        <v>1.0580000000000001</v>
      </c>
      <c r="F70" s="145">
        <f>VLOOKUP($A70,'BC.115+260'!$B$13:$X$489,8,0)/1000</f>
        <v>1.659</v>
      </c>
      <c r="G70" s="145">
        <f>VLOOKUP($A70,'BC.115+260'!$B$13:$X$489,9,0)/1000</f>
        <v>-0.34100000000000003</v>
      </c>
      <c r="H70" s="145">
        <f>VLOOKUP($A70,'BC.115+260'!$B$13:$X$489,14,0)/1000</f>
        <v>1.649</v>
      </c>
      <c r="I70" s="145">
        <f>VLOOKUP($A70,'BC.115+260'!$B$13:$X$489,15,0)/1000</f>
        <v>-0.35099999999999998</v>
      </c>
      <c r="J70" s="145">
        <f>VLOOKUP($A70,'BC.115+260'!$B$13:$X$489,20,0)/1000</f>
        <v>1.625</v>
      </c>
      <c r="K70" s="145">
        <f>VLOOKUP($A70,'BC.115+260'!$B$13:$X$489,21,0)/1000</f>
        <v>-0.375</v>
      </c>
      <c r="L70" s="143">
        <f t="shared" si="0"/>
        <v>-141</v>
      </c>
      <c r="M70" s="144">
        <f t="shared" si="1"/>
        <v>-130.99999999999997</v>
      </c>
      <c r="N70" s="143">
        <f t="shared" si="2"/>
        <v>-125</v>
      </c>
      <c r="O70" s="143"/>
      <c r="P70" s="151"/>
      <c r="Q70" s="150"/>
      <c r="R70" s="149"/>
      <c r="S70" s="148"/>
      <c r="T70" s="148"/>
    </row>
    <row r="71" spans="1:20">
      <c r="A71" s="81">
        <f>'BC.115+260'!B70</f>
        <v>45308</v>
      </c>
      <c r="B71" s="143">
        <v>57</v>
      </c>
      <c r="C71" s="145">
        <f>'BC.115+260'!M70/1000</f>
        <v>0.96899999999999997</v>
      </c>
      <c r="D71" s="145">
        <f>'BC.115+260'!AA70</f>
        <v>1.3059999999999998</v>
      </c>
      <c r="E71" s="146">
        <f>'BC.115+260'!AB70</f>
        <v>1.0580000000000001</v>
      </c>
      <c r="F71" s="145">
        <f>VLOOKUP($A71,'BC.115+260'!$B$13:$X$489,8,0)/1000</f>
        <v>1.659</v>
      </c>
      <c r="G71" s="145">
        <f>VLOOKUP($A71,'BC.115+260'!$B$13:$X$489,9,0)/1000</f>
        <v>-0.34100000000000003</v>
      </c>
      <c r="H71" s="145">
        <f>VLOOKUP($A71,'BC.115+260'!$B$13:$X$489,14,0)/1000</f>
        <v>1.649</v>
      </c>
      <c r="I71" s="145">
        <f>VLOOKUP($A71,'BC.115+260'!$B$13:$X$489,15,0)/1000</f>
        <v>-0.35099999999999998</v>
      </c>
      <c r="J71" s="145">
        <f>VLOOKUP($A71,'BC.115+260'!$B$13:$X$489,20,0)/1000</f>
        <v>1.625</v>
      </c>
      <c r="K71" s="145">
        <f>VLOOKUP($A71,'BC.115+260'!$B$13:$X$489,21,0)/1000</f>
        <v>-0.375</v>
      </c>
      <c r="L71" s="143">
        <f t="shared" si="0"/>
        <v>-141</v>
      </c>
      <c r="M71" s="144">
        <f t="shared" si="1"/>
        <v>-130.99999999999997</v>
      </c>
      <c r="N71" s="143">
        <f t="shared" si="2"/>
        <v>-125</v>
      </c>
      <c r="O71" s="143"/>
      <c r="P71" s="151"/>
      <c r="Q71" s="150"/>
      <c r="R71" s="149"/>
      <c r="S71" s="148"/>
      <c r="T71" s="148"/>
    </row>
    <row r="72" spans="1:20">
      <c r="A72" s="81">
        <f>'BC.115+260'!B71</f>
        <v>45309</v>
      </c>
      <c r="B72" s="143">
        <v>58</v>
      </c>
      <c r="C72" s="145">
        <f>'BC.115+260'!M71/1000</f>
        <v>0.96899999999999997</v>
      </c>
      <c r="D72" s="145">
        <f>'BC.115+260'!AA71</f>
        <v>1.3059999999999998</v>
      </c>
      <c r="E72" s="146">
        <f>'BC.115+260'!AB71</f>
        <v>1.0580000000000001</v>
      </c>
      <c r="F72" s="145">
        <f>VLOOKUP($A72,'BC.115+260'!$B$13:$X$489,8,0)/1000</f>
        <v>1.659</v>
      </c>
      <c r="G72" s="145">
        <f>VLOOKUP($A72,'BC.115+260'!$B$13:$X$489,9,0)/1000</f>
        <v>-0.34100000000000003</v>
      </c>
      <c r="H72" s="145">
        <f>VLOOKUP($A72,'BC.115+260'!$B$13:$X$489,14,0)/1000</f>
        <v>1.649</v>
      </c>
      <c r="I72" s="145">
        <f>VLOOKUP($A72,'BC.115+260'!$B$13:$X$489,15,0)/1000</f>
        <v>-0.35099999999999998</v>
      </c>
      <c r="J72" s="145">
        <f>VLOOKUP($A72,'BC.115+260'!$B$13:$X$489,20,0)/1000</f>
        <v>1.625</v>
      </c>
      <c r="K72" s="145">
        <f>VLOOKUP($A72,'BC.115+260'!$B$13:$X$489,21,0)/1000</f>
        <v>-0.375</v>
      </c>
      <c r="L72" s="143">
        <f t="shared" si="0"/>
        <v>-141</v>
      </c>
      <c r="M72" s="144">
        <f t="shared" si="1"/>
        <v>-130.99999999999997</v>
      </c>
      <c r="N72" s="143">
        <f t="shared" si="2"/>
        <v>-125</v>
      </c>
      <c r="O72" s="143"/>
      <c r="P72" s="151"/>
      <c r="Q72" s="150"/>
      <c r="R72" s="149"/>
      <c r="S72" s="148"/>
      <c r="T72" s="148"/>
    </row>
    <row r="73" spans="1:20">
      <c r="A73" s="81">
        <f>'BC.115+260'!B72</f>
        <v>45310</v>
      </c>
      <c r="B73" s="143">
        <v>59</v>
      </c>
      <c r="C73" s="145">
        <f>'BC.115+260'!M72/1000</f>
        <v>0.96899999999999997</v>
      </c>
      <c r="D73" s="145">
        <f>'BC.115+260'!AA72</f>
        <v>1.3059999999999998</v>
      </c>
      <c r="E73" s="146">
        <f>'BC.115+260'!AB72</f>
        <v>1.0580000000000001</v>
      </c>
      <c r="F73" s="145">
        <f>VLOOKUP($A73,'BC.115+260'!$B$13:$X$489,8,0)/1000</f>
        <v>1.659</v>
      </c>
      <c r="G73" s="145">
        <f>VLOOKUP($A73,'BC.115+260'!$B$13:$X$489,9,0)/1000</f>
        <v>-0.34100000000000003</v>
      </c>
      <c r="H73" s="145">
        <f>VLOOKUP($A73,'BC.115+260'!$B$13:$X$489,14,0)/1000</f>
        <v>1.649</v>
      </c>
      <c r="I73" s="145">
        <f>VLOOKUP($A73,'BC.115+260'!$B$13:$X$489,15,0)/1000</f>
        <v>-0.35099999999999998</v>
      </c>
      <c r="J73" s="145">
        <f>VLOOKUP($A73,'BC.115+260'!$B$13:$X$489,20,0)/1000</f>
        <v>1.625</v>
      </c>
      <c r="K73" s="145">
        <f>VLOOKUP($A73,'BC.115+260'!$B$13:$X$489,21,0)/1000</f>
        <v>-0.375</v>
      </c>
      <c r="L73" s="143">
        <f t="shared" si="0"/>
        <v>-141</v>
      </c>
      <c r="M73" s="144">
        <f t="shared" si="1"/>
        <v>-130.99999999999997</v>
      </c>
      <c r="N73" s="143">
        <f t="shared" si="2"/>
        <v>-125</v>
      </c>
      <c r="O73" s="143"/>
      <c r="P73" s="151"/>
      <c r="Q73" s="150"/>
      <c r="R73" s="149"/>
      <c r="S73" s="148"/>
      <c r="T73" s="148"/>
    </row>
    <row r="74" spans="1:20">
      <c r="A74" s="81">
        <f>'BC.115+260'!B73</f>
        <v>45311</v>
      </c>
      <c r="B74" s="143">
        <v>60</v>
      </c>
      <c r="C74" s="145">
        <f>'BC.115+260'!M73/1000</f>
        <v>0.96899999999999997</v>
      </c>
      <c r="D74" s="145">
        <f>'BC.115+260'!AA73</f>
        <v>1.3059999999999998</v>
      </c>
      <c r="E74" s="146">
        <f>'BC.115+260'!AB73</f>
        <v>1.0580000000000001</v>
      </c>
      <c r="F74" s="145">
        <f>VLOOKUP($A74,'BC.115+260'!$B$13:$X$489,8,0)/1000</f>
        <v>1.659</v>
      </c>
      <c r="G74" s="145">
        <f>VLOOKUP($A74,'BC.115+260'!$B$13:$X$489,9,0)/1000</f>
        <v>-0.34100000000000003</v>
      </c>
      <c r="H74" s="145">
        <f>VLOOKUP($A74,'BC.115+260'!$B$13:$X$489,14,0)/1000</f>
        <v>1.649</v>
      </c>
      <c r="I74" s="145">
        <f>VLOOKUP($A74,'BC.115+260'!$B$13:$X$489,15,0)/1000</f>
        <v>-0.35099999999999998</v>
      </c>
      <c r="J74" s="145">
        <f>VLOOKUP($A74,'BC.115+260'!$B$13:$X$489,20,0)/1000</f>
        <v>1.625</v>
      </c>
      <c r="K74" s="145">
        <f>VLOOKUP($A74,'BC.115+260'!$B$13:$X$489,21,0)/1000</f>
        <v>-0.375</v>
      </c>
      <c r="L74" s="143">
        <f t="shared" si="0"/>
        <v>-141</v>
      </c>
      <c r="M74" s="144">
        <f t="shared" si="1"/>
        <v>-130.99999999999997</v>
      </c>
      <c r="N74" s="143">
        <f t="shared" si="2"/>
        <v>-125</v>
      </c>
      <c r="O74" s="143"/>
      <c r="P74" s="151"/>
      <c r="Q74" s="150"/>
      <c r="R74" s="149"/>
      <c r="S74" s="148"/>
      <c r="T74" s="148"/>
    </row>
    <row r="75" spans="1:20">
      <c r="A75" s="81">
        <f>'BC.115+260'!B74</f>
        <v>45312</v>
      </c>
      <c r="B75" s="143">
        <v>61</v>
      </c>
      <c r="C75" s="145">
        <f>'BC.115+260'!M74/1000</f>
        <v>0.96899999999999997</v>
      </c>
      <c r="D75" s="145">
        <f>'BC.115+260'!AA74</f>
        <v>1.3059999999999998</v>
      </c>
      <c r="E75" s="146">
        <f>'BC.115+260'!AB74</f>
        <v>1.0580000000000001</v>
      </c>
      <c r="F75" s="145">
        <f>VLOOKUP($A75,'BC.115+260'!$B$13:$X$489,8,0)/1000</f>
        <v>1.659</v>
      </c>
      <c r="G75" s="145">
        <f>VLOOKUP($A75,'BC.115+260'!$B$13:$X$489,9,0)/1000</f>
        <v>-0.34100000000000003</v>
      </c>
      <c r="H75" s="145">
        <f>VLOOKUP($A75,'BC.115+260'!$B$13:$X$489,14,0)/1000</f>
        <v>1.649</v>
      </c>
      <c r="I75" s="145">
        <f>VLOOKUP($A75,'BC.115+260'!$B$13:$X$489,15,0)/1000</f>
        <v>-0.35099999999999998</v>
      </c>
      <c r="J75" s="145">
        <f>VLOOKUP($A75,'BC.115+260'!$B$13:$X$489,20,0)/1000</f>
        <v>1.625</v>
      </c>
      <c r="K75" s="145">
        <f>VLOOKUP($A75,'BC.115+260'!$B$13:$X$489,21,0)/1000</f>
        <v>-0.375</v>
      </c>
      <c r="L75" s="143">
        <f t="shared" si="0"/>
        <v>-141</v>
      </c>
      <c r="M75" s="144">
        <f t="shared" si="1"/>
        <v>-130.99999999999997</v>
      </c>
      <c r="N75" s="143">
        <f t="shared" si="2"/>
        <v>-125</v>
      </c>
      <c r="O75" s="143"/>
      <c r="P75" s="151"/>
      <c r="Q75" s="150"/>
      <c r="R75" s="149"/>
      <c r="S75" s="148"/>
      <c r="T75" s="148"/>
    </row>
    <row r="76" spans="1:20">
      <c r="A76" s="81">
        <f>'BC.115+260'!B75</f>
        <v>45313</v>
      </c>
      <c r="B76" s="143">
        <v>62</v>
      </c>
      <c r="C76" s="145">
        <f>'BC.115+260'!M75/1000</f>
        <v>0.96899999999999997</v>
      </c>
      <c r="D76" s="145">
        <f>'BC.115+260'!AA75</f>
        <v>1.3059999999999998</v>
      </c>
      <c r="E76" s="146">
        <f>'BC.115+260'!AB75</f>
        <v>1.0580000000000001</v>
      </c>
      <c r="F76" s="145">
        <f>VLOOKUP($A76,'BC.115+260'!$B$13:$X$489,8,0)/1000</f>
        <v>1.659</v>
      </c>
      <c r="G76" s="145">
        <f>VLOOKUP($A76,'BC.115+260'!$B$13:$X$489,9,0)/1000</f>
        <v>-0.34100000000000003</v>
      </c>
      <c r="H76" s="145">
        <f>VLOOKUP($A76,'BC.115+260'!$B$13:$X$489,14,0)/1000</f>
        <v>1.649</v>
      </c>
      <c r="I76" s="145">
        <f>VLOOKUP($A76,'BC.115+260'!$B$13:$X$489,15,0)/1000</f>
        <v>-0.35099999999999998</v>
      </c>
      <c r="J76" s="145">
        <f>VLOOKUP($A76,'BC.115+260'!$B$13:$X$489,20,0)/1000</f>
        <v>1.625</v>
      </c>
      <c r="K76" s="145">
        <f>VLOOKUP($A76,'BC.115+260'!$B$13:$X$489,21,0)/1000</f>
        <v>-0.375</v>
      </c>
      <c r="L76" s="143">
        <f t="shared" si="0"/>
        <v>-141</v>
      </c>
      <c r="M76" s="144">
        <f t="shared" si="1"/>
        <v>-130.99999999999997</v>
      </c>
      <c r="N76" s="143">
        <f t="shared" si="2"/>
        <v>-125</v>
      </c>
      <c r="O76" s="143"/>
      <c r="P76" s="151"/>
      <c r="Q76" s="150"/>
      <c r="R76" s="149"/>
      <c r="S76" s="148"/>
      <c r="T76" s="148"/>
    </row>
    <row r="77" spans="1:20">
      <c r="A77" s="81">
        <f>'BC.115+260'!B76</f>
        <v>45314</v>
      </c>
      <c r="B77" s="143">
        <v>63</v>
      </c>
      <c r="C77" s="145">
        <f>'BC.115+260'!M76/1000</f>
        <v>0.96899999999999997</v>
      </c>
      <c r="D77" s="145">
        <f>'BC.115+260'!AA76</f>
        <v>1.3059999999999998</v>
      </c>
      <c r="E77" s="146">
        <f>'BC.115+260'!AB76</f>
        <v>1.0580000000000001</v>
      </c>
      <c r="F77" s="145">
        <f>VLOOKUP($A77,'BC.115+260'!$B$13:$X$489,8,0)/1000</f>
        <v>1.659</v>
      </c>
      <c r="G77" s="145">
        <f>VLOOKUP($A77,'BC.115+260'!$B$13:$X$489,9,0)/1000</f>
        <v>-0.34100000000000003</v>
      </c>
      <c r="H77" s="145">
        <f>VLOOKUP($A77,'BC.115+260'!$B$13:$X$489,14,0)/1000</f>
        <v>1.649</v>
      </c>
      <c r="I77" s="145">
        <f>VLOOKUP($A77,'BC.115+260'!$B$13:$X$489,15,0)/1000</f>
        <v>-0.35099999999999998</v>
      </c>
      <c r="J77" s="145">
        <f>VLOOKUP($A77,'BC.115+260'!$B$13:$X$489,20,0)/1000</f>
        <v>1.625</v>
      </c>
      <c r="K77" s="145">
        <f>VLOOKUP($A77,'BC.115+260'!$B$13:$X$489,21,0)/1000</f>
        <v>-0.375</v>
      </c>
      <c r="L77" s="143">
        <f t="shared" si="0"/>
        <v>-141</v>
      </c>
      <c r="M77" s="144">
        <f t="shared" si="1"/>
        <v>-130.99999999999997</v>
      </c>
      <c r="N77" s="143">
        <f t="shared" si="2"/>
        <v>-125</v>
      </c>
      <c r="O77" s="143"/>
    </row>
    <row r="78" spans="1:20">
      <c r="A78" s="81">
        <f>'BC.115+260'!B77</f>
        <v>45315</v>
      </c>
      <c r="B78" s="143">
        <v>64</v>
      </c>
      <c r="C78" s="145">
        <f>'BC.115+260'!M77/1000</f>
        <v>0.96899999999999997</v>
      </c>
      <c r="D78" s="145">
        <f>'BC.115+260'!AA77</f>
        <v>1.3059999999999998</v>
      </c>
      <c r="E78" s="146">
        <f>'BC.115+260'!AB77</f>
        <v>1.0580000000000001</v>
      </c>
      <c r="F78" s="145">
        <f>VLOOKUP($A78,'BC.115+260'!$B$13:$X$489,8,0)/1000</f>
        <v>1.659</v>
      </c>
      <c r="G78" s="145">
        <f>VLOOKUP($A78,'BC.115+260'!$B$13:$X$489,9,0)/1000</f>
        <v>-0.34100000000000003</v>
      </c>
      <c r="H78" s="145">
        <f>VLOOKUP($A78,'BC.115+260'!$B$13:$X$489,14,0)/1000</f>
        <v>1.649</v>
      </c>
      <c r="I78" s="145">
        <f>VLOOKUP($A78,'BC.115+260'!$B$13:$X$489,15,0)/1000</f>
        <v>-0.35099999999999998</v>
      </c>
      <c r="J78" s="145">
        <f>VLOOKUP($A78,'BC.115+260'!$B$13:$X$489,20,0)/1000</f>
        <v>1.625</v>
      </c>
      <c r="K78" s="145">
        <f>VLOOKUP($A78,'BC.115+260'!$B$13:$X$489,21,0)/1000</f>
        <v>-0.375</v>
      </c>
      <c r="L78" s="143">
        <f t="shared" ref="L78:L141" si="3">(G78-$G$14)*1000</f>
        <v>-141</v>
      </c>
      <c r="M78" s="144">
        <f t="shared" ref="M78:M141" si="4">(I78-$I$14)*1000</f>
        <v>-130.99999999999997</v>
      </c>
      <c r="N78" s="143">
        <f t="shared" si="2"/>
        <v>-125</v>
      </c>
      <c r="O78" s="143"/>
    </row>
    <row r="79" spans="1:20">
      <c r="A79" s="81">
        <f>'BC.115+260'!B78</f>
        <v>45316</v>
      </c>
      <c r="B79" s="143">
        <v>65</v>
      </c>
      <c r="C79" s="145">
        <f>'BC.115+260'!M78/1000</f>
        <v>0.96899999999999997</v>
      </c>
      <c r="D79" s="145">
        <f>'BC.115+260'!AA78</f>
        <v>1.3059999999999998</v>
      </c>
      <c r="E79" s="146">
        <f>'BC.115+260'!AB78</f>
        <v>1.0580000000000001</v>
      </c>
      <c r="F79" s="145">
        <f>VLOOKUP($A79,'BC.115+260'!$B$13:$X$489,8,0)/1000</f>
        <v>1.659</v>
      </c>
      <c r="G79" s="145">
        <f>VLOOKUP($A79,'BC.115+260'!$B$13:$X$489,9,0)/1000</f>
        <v>-0.34100000000000003</v>
      </c>
      <c r="H79" s="145">
        <f>VLOOKUP($A79,'BC.115+260'!$B$13:$X$489,14,0)/1000</f>
        <v>1.649</v>
      </c>
      <c r="I79" s="145">
        <f>VLOOKUP($A79,'BC.115+260'!$B$13:$X$489,15,0)/1000</f>
        <v>-0.35099999999999998</v>
      </c>
      <c r="J79" s="145">
        <f>VLOOKUP($A79,'BC.115+260'!$B$13:$X$489,20,0)/1000</f>
        <v>1.625</v>
      </c>
      <c r="K79" s="145">
        <f>VLOOKUP($A79,'BC.115+260'!$B$13:$X$489,21,0)/1000</f>
        <v>-0.375</v>
      </c>
      <c r="L79" s="143">
        <f t="shared" si="3"/>
        <v>-141</v>
      </c>
      <c r="M79" s="144">
        <f t="shared" si="4"/>
        <v>-130.99999999999997</v>
      </c>
      <c r="N79" s="143">
        <f t="shared" ref="N79:N142" si="5">(K79-$K$14)*1000</f>
        <v>-125</v>
      </c>
      <c r="O79" s="143"/>
    </row>
    <row r="80" spans="1:20">
      <c r="A80" s="81">
        <f>'BC.115+260'!B79</f>
        <v>45317</v>
      </c>
      <c r="B80" s="143">
        <v>66</v>
      </c>
      <c r="C80" s="145">
        <f>'BC.115+260'!M79/1000</f>
        <v>0.96899999999999997</v>
      </c>
      <c r="D80" s="145">
        <f>'BC.115+260'!AA79</f>
        <v>1.3059999999999998</v>
      </c>
      <c r="E80" s="146">
        <f>'BC.115+260'!AB79</f>
        <v>1.0580000000000001</v>
      </c>
      <c r="F80" s="145">
        <f>VLOOKUP($A80,'BC.115+260'!$B$13:$X$489,8,0)/1000</f>
        <v>1.659</v>
      </c>
      <c r="G80" s="145">
        <f>VLOOKUP($A80,'BC.115+260'!$B$13:$X$489,9,0)/1000</f>
        <v>-0.34100000000000003</v>
      </c>
      <c r="H80" s="145">
        <f>VLOOKUP($A80,'BC.115+260'!$B$13:$X$489,14,0)/1000</f>
        <v>1.649</v>
      </c>
      <c r="I80" s="145">
        <f>VLOOKUP($A80,'BC.115+260'!$B$13:$X$489,15,0)/1000</f>
        <v>-0.35099999999999998</v>
      </c>
      <c r="J80" s="145">
        <f>VLOOKUP($A80,'BC.115+260'!$B$13:$X$489,20,0)/1000</f>
        <v>1.625</v>
      </c>
      <c r="K80" s="145">
        <f>VLOOKUP($A80,'BC.115+260'!$B$13:$X$489,21,0)/1000</f>
        <v>-0.375</v>
      </c>
      <c r="L80" s="143">
        <f t="shared" si="3"/>
        <v>-141</v>
      </c>
      <c r="M80" s="144">
        <f t="shared" si="4"/>
        <v>-130.99999999999997</v>
      </c>
      <c r="N80" s="143">
        <f t="shared" si="5"/>
        <v>-125</v>
      </c>
      <c r="O80" s="143"/>
    </row>
    <row r="81" spans="1:25">
      <c r="A81" s="81">
        <f>'BC.115+260'!B80</f>
        <v>45318</v>
      </c>
      <c r="B81" s="143">
        <v>67</v>
      </c>
      <c r="C81" s="145">
        <f>'BC.115+260'!M80/1000</f>
        <v>0.96899999999999997</v>
      </c>
      <c r="D81" s="145">
        <f>'BC.115+260'!AA80</f>
        <v>1.3059999999999998</v>
      </c>
      <c r="E81" s="146">
        <f>'BC.115+260'!AB80</f>
        <v>1.0580000000000001</v>
      </c>
      <c r="F81" s="145">
        <f>VLOOKUP($A81,'BC.115+260'!$B$13:$X$489,8,0)/1000</f>
        <v>1.659</v>
      </c>
      <c r="G81" s="145">
        <f>VLOOKUP($A81,'BC.115+260'!$B$13:$X$489,9,0)/1000</f>
        <v>-0.34100000000000003</v>
      </c>
      <c r="H81" s="145">
        <f>VLOOKUP($A81,'BC.115+260'!$B$13:$X$489,14,0)/1000</f>
        <v>1.649</v>
      </c>
      <c r="I81" s="145">
        <f>VLOOKUP($A81,'BC.115+260'!$B$13:$X$489,15,0)/1000</f>
        <v>-0.35099999999999998</v>
      </c>
      <c r="J81" s="145">
        <f>VLOOKUP($A81,'BC.115+260'!$B$13:$X$489,20,0)/1000</f>
        <v>1.625</v>
      </c>
      <c r="K81" s="145">
        <f>VLOOKUP($A81,'BC.115+260'!$B$13:$X$489,21,0)/1000</f>
        <v>-0.375</v>
      </c>
      <c r="L81" s="143">
        <f t="shared" si="3"/>
        <v>-141</v>
      </c>
      <c r="M81" s="144">
        <f t="shared" si="4"/>
        <v>-130.99999999999997</v>
      </c>
      <c r="N81" s="143">
        <f t="shared" si="5"/>
        <v>-125</v>
      </c>
      <c r="O81" s="143"/>
    </row>
    <row r="82" spans="1:25">
      <c r="A82" s="81">
        <f>'BC.115+260'!B81</f>
        <v>45319</v>
      </c>
      <c r="B82" s="143">
        <v>68</v>
      </c>
      <c r="C82" s="145">
        <f>'BC.115+260'!M81/1000</f>
        <v>0.96899999999999997</v>
      </c>
      <c r="D82" s="145">
        <f>'BC.115+260'!AA81</f>
        <v>1.3059999999999998</v>
      </c>
      <c r="E82" s="146">
        <f>'BC.115+260'!AB81</f>
        <v>1.0580000000000001</v>
      </c>
      <c r="F82" s="145">
        <f>VLOOKUP($A82,'BC.115+260'!$B$13:$X$489,8,0)/1000</f>
        <v>1.659</v>
      </c>
      <c r="G82" s="145">
        <f>VLOOKUP($A82,'BC.115+260'!$B$13:$X$489,9,0)/1000</f>
        <v>-0.34100000000000003</v>
      </c>
      <c r="H82" s="145">
        <f>VLOOKUP($A82,'BC.115+260'!$B$13:$X$489,14,0)/1000</f>
        <v>1.649</v>
      </c>
      <c r="I82" s="145">
        <f>VLOOKUP($A82,'BC.115+260'!$B$13:$X$489,15,0)/1000</f>
        <v>-0.35099999999999998</v>
      </c>
      <c r="J82" s="145">
        <f>VLOOKUP($A82,'BC.115+260'!$B$13:$X$489,20,0)/1000</f>
        <v>1.625</v>
      </c>
      <c r="K82" s="145">
        <f>VLOOKUP($A82,'BC.115+260'!$B$13:$X$489,21,0)/1000</f>
        <v>-0.375</v>
      </c>
      <c r="L82" s="143">
        <f t="shared" si="3"/>
        <v>-141</v>
      </c>
      <c r="M82" s="144">
        <f t="shared" si="4"/>
        <v>-130.99999999999997</v>
      </c>
      <c r="N82" s="143">
        <f t="shared" si="5"/>
        <v>-125</v>
      </c>
      <c r="O82" s="143"/>
    </row>
    <row r="83" spans="1:25">
      <c r="A83" s="81">
        <f>'BC.115+260'!B82</f>
        <v>45320</v>
      </c>
      <c r="B83" s="143">
        <v>69</v>
      </c>
      <c r="C83" s="145">
        <f>'BC.115+260'!M82/1000</f>
        <v>0.96899999999999997</v>
      </c>
      <c r="D83" s="145">
        <f>'BC.115+260'!AA82</f>
        <v>1.3059999999999998</v>
      </c>
      <c r="E83" s="146">
        <f>'BC.115+260'!AB82</f>
        <v>1.0580000000000001</v>
      </c>
      <c r="F83" s="145">
        <f>VLOOKUP($A83,'BC.115+260'!$B$13:$X$489,8,0)/1000</f>
        <v>1.659</v>
      </c>
      <c r="G83" s="145">
        <f>VLOOKUP($A83,'BC.115+260'!$B$13:$X$489,9,0)/1000</f>
        <v>-0.34100000000000003</v>
      </c>
      <c r="H83" s="145">
        <f>VLOOKUP($A83,'BC.115+260'!$B$13:$X$489,14,0)/1000</f>
        <v>1.649</v>
      </c>
      <c r="I83" s="145">
        <f>VLOOKUP($A83,'BC.115+260'!$B$13:$X$489,15,0)/1000</f>
        <v>-0.35099999999999998</v>
      </c>
      <c r="J83" s="145">
        <f>VLOOKUP($A83,'BC.115+260'!$B$13:$X$489,20,0)/1000</f>
        <v>1.625</v>
      </c>
      <c r="K83" s="145">
        <f>VLOOKUP($A83,'BC.115+260'!$B$13:$X$489,21,0)/1000</f>
        <v>-0.375</v>
      </c>
      <c r="L83" s="143">
        <f t="shared" si="3"/>
        <v>-141</v>
      </c>
      <c r="M83" s="144">
        <f t="shared" si="4"/>
        <v>-130.99999999999997</v>
      </c>
      <c r="N83" s="143">
        <f t="shared" si="5"/>
        <v>-125</v>
      </c>
      <c r="O83" s="143"/>
    </row>
    <row r="84" spans="1:25">
      <c r="A84" s="81">
        <f>'BC.115+260'!B83</f>
        <v>45321</v>
      </c>
      <c r="B84" s="143">
        <v>70</v>
      </c>
      <c r="C84" s="145">
        <f>'BC.115+260'!M83/1000</f>
        <v>0.96899999999999997</v>
      </c>
      <c r="D84" s="145">
        <f>'BC.115+260'!AA83</f>
        <v>1.3059999999999998</v>
      </c>
      <c r="E84" s="146">
        <f>'BC.115+260'!AB83</f>
        <v>1.0580000000000001</v>
      </c>
      <c r="F84" s="145">
        <f>VLOOKUP($A84,'BC.115+260'!$B$13:$X$489,8,0)/1000</f>
        <v>1.659</v>
      </c>
      <c r="G84" s="145">
        <f>VLOOKUP($A84,'BC.115+260'!$B$13:$X$489,9,0)/1000</f>
        <v>-0.34100000000000003</v>
      </c>
      <c r="H84" s="145">
        <f>VLOOKUP($A84,'BC.115+260'!$B$13:$X$489,14,0)/1000</f>
        <v>1.649</v>
      </c>
      <c r="I84" s="145">
        <f>VLOOKUP($A84,'BC.115+260'!$B$13:$X$489,15,0)/1000</f>
        <v>-0.35099999999999998</v>
      </c>
      <c r="J84" s="145">
        <f>VLOOKUP($A84,'BC.115+260'!$B$13:$X$489,20,0)/1000</f>
        <v>1.625</v>
      </c>
      <c r="K84" s="145">
        <f>VLOOKUP($A84,'BC.115+260'!$B$13:$X$489,21,0)/1000</f>
        <v>-0.375</v>
      </c>
      <c r="L84" s="143">
        <f t="shared" si="3"/>
        <v>-141</v>
      </c>
      <c r="M84" s="144">
        <f t="shared" si="4"/>
        <v>-130.99999999999997</v>
      </c>
      <c r="N84" s="143">
        <f t="shared" si="5"/>
        <v>-125</v>
      </c>
      <c r="O84" s="143"/>
    </row>
    <row r="85" spans="1:25">
      <c r="A85" s="81">
        <f>'BC.115+260'!B84</f>
        <v>45322</v>
      </c>
      <c r="B85" s="143">
        <v>71</v>
      </c>
      <c r="C85" s="145">
        <f>'BC.115+260'!M84/1000</f>
        <v>0.96899999999999997</v>
      </c>
      <c r="D85" s="145">
        <f>'BC.115+260'!AA84</f>
        <v>1.3059999999999998</v>
      </c>
      <c r="E85" s="146">
        <f>'BC.115+260'!AB84</f>
        <v>1.0580000000000001</v>
      </c>
      <c r="F85" s="145">
        <f>VLOOKUP($A85,'BC.115+260'!$B$13:$X$489,8,0)/1000</f>
        <v>1.659</v>
      </c>
      <c r="G85" s="145">
        <f>VLOOKUP($A85,'BC.115+260'!$B$13:$X$489,9,0)/1000</f>
        <v>-0.34100000000000003</v>
      </c>
      <c r="H85" s="145">
        <f>VLOOKUP($A85,'BC.115+260'!$B$13:$X$489,14,0)/1000</f>
        <v>1.649</v>
      </c>
      <c r="I85" s="145">
        <f>VLOOKUP($A85,'BC.115+260'!$B$13:$X$489,15,0)/1000</f>
        <v>-0.35099999999999998</v>
      </c>
      <c r="J85" s="145">
        <f>VLOOKUP($A85,'BC.115+260'!$B$13:$X$489,20,0)/1000</f>
        <v>1.625</v>
      </c>
      <c r="K85" s="145">
        <f>VLOOKUP($A85,'BC.115+260'!$B$13:$X$489,21,0)/1000</f>
        <v>-0.375</v>
      </c>
      <c r="L85" s="143">
        <f t="shared" si="3"/>
        <v>-141</v>
      </c>
      <c r="M85" s="144">
        <f t="shared" si="4"/>
        <v>-130.99999999999997</v>
      </c>
      <c r="N85" s="143">
        <f t="shared" si="5"/>
        <v>-125</v>
      </c>
      <c r="O85" s="143"/>
    </row>
    <row r="86" spans="1:25">
      <c r="A86" s="81">
        <f>'BC.115+260'!B85</f>
        <v>45323</v>
      </c>
      <c r="B86" s="143">
        <v>72</v>
      </c>
      <c r="C86" s="145">
        <f>'BC.115+260'!M85/1000</f>
        <v>0.96899999999999997</v>
      </c>
      <c r="D86" s="145">
        <f>'BC.115+260'!AA85</f>
        <v>1.3059999999999998</v>
      </c>
      <c r="E86" s="146">
        <f>'BC.115+260'!AB85</f>
        <v>1.0580000000000001</v>
      </c>
      <c r="F86" s="145">
        <f>VLOOKUP($A86,'BC.115+260'!$B$13:$X$489,8,0)/1000</f>
        <v>1.659</v>
      </c>
      <c r="G86" s="145">
        <f>VLOOKUP($A86,'BC.115+260'!$B$13:$X$489,9,0)/1000</f>
        <v>-0.34100000000000003</v>
      </c>
      <c r="H86" s="145">
        <f>VLOOKUP($A86,'BC.115+260'!$B$13:$X$489,14,0)/1000</f>
        <v>1.649</v>
      </c>
      <c r="I86" s="145">
        <f>VLOOKUP($A86,'BC.115+260'!$B$13:$X$489,15,0)/1000</f>
        <v>-0.35099999999999998</v>
      </c>
      <c r="J86" s="145">
        <f>VLOOKUP($A86,'BC.115+260'!$B$13:$X$489,20,0)/1000</f>
        <v>1.625</v>
      </c>
      <c r="K86" s="145">
        <f>VLOOKUP($A86,'BC.115+260'!$B$13:$X$489,21,0)/1000</f>
        <v>-0.375</v>
      </c>
      <c r="L86" s="143">
        <f t="shared" si="3"/>
        <v>-141</v>
      </c>
      <c r="M86" s="144">
        <f t="shared" si="4"/>
        <v>-130.99999999999997</v>
      </c>
      <c r="N86" s="143">
        <f t="shared" si="5"/>
        <v>-125</v>
      </c>
      <c r="O86" s="143"/>
    </row>
    <row r="87" spans="1:25">
      <c r="A87" s="81">
        <f>'BC.115+260'!B86</f>
        <v>45324</v>
      </c>
      <c r="B87" s="143">
        <v>73</v>
      </c>
      <c r="C87" s="145">
        <f>'BC.115+260'!M86/1000</f>
        <v>0.96899999999999997</v>
      </c>
      <c r="D87" s="145">
        <f>'BC.115+260'!AA86</f>
        <v>1.3059999999999998</v>
      </c>
      <c r="E87" s="146">
        <f>'BC.115+260'!AB86</f>
        <v>1.0580000000000001</v>
      </c>
      <c r="F87" s="145">
        <f>VLOOKUP($A87,'BC.115+260'!$B$13:$X$489,8,0)/1000</f>
        <v>1.659</v>
      </c>
      <c r="G87" s="145">
        <f>VLOOKUP($A87,'BC.115+260'!$B$13:$X$489,9,0)/1000</f>
        <v>-0.34100000000000003</v>
      </c>
      <c r="H87" s="145">
        <f>VLOOKUP($A87,'BC.115+260'!$B$13:$X$489,14,0)/1000</f>
        <v>1.649</v>
      </c>
      <c r="I87" s="145">
        <f>VLOOKUP($A87,'BC.115+260'!$B$13:$X$489,15,0)/1000</f>
        <v>-0.35099999999999998</v>
      </c>
      <c r="J87" s="145">
        <f>VLOOKUP($A87,'BC.115+260'!$B$13:$X$489,20,0)/1000</f>
        <v>1.625</v>
      </c>
      <c r="K87" s="145">
        <f>VLOOKUP($A87,'BC.115+260'!$B$13:$X$489,21,0)/1000</f>
        <v>-0.375</v>
      </c>
      <c r="L87" s="143">
        <f t="shared" si="3"/>
        <v>-141</v>
      </c>
      <c r="M87" s="144">
        <f t="shared" si="4"/>
        <v>-130.99999999999997</v>
      </c>
      <c r="N87" s="143">
        <f t="shared" si="5"/>
        <v>-125</v>
      </c>
      <c r="O87" s="143"/>
    </row>
    <row r="88" spans="1:25">
      <c r="A88" s="81">
        <f>'BC.115+260'!B87</f>
        <v>45325</v>
      </c>
      <c r="B88" s="143">
        <v>74</v>
      </c>
      <c r="C88" s="145">
        <f>'BC.115+260'!M87/1000</f>
        <v>0.96899999999999997</v>
      </c>
      <c r="D88" s="145">
        <f>'BC.115+260'!AA87</f>
        <v>1.3059999999999998</v>
      </c>
      <c r="E88" s="146">
        <f>'BC.115+260'!AB87</f>
        <v>1.0580000000000001</v>
      </c>
      <c r="F88" s="145">
        <f>VLOOKUP($A88,'BC.115+260'!$B$13:$X$489,8,0)/1000</f>
        <v>1.659</v>
      </c>
      <c r="G88" s="145">
        <f>VLOOKUP($A88,'BC.115+260'!$B$13:$X$489,9,0)/1000</f>
        <v>-0.34100000000000003</v>
      </c>
      <c r="H88" s="145">
        <f>VLOOKUP($A88,'BC.115+260'!$B$13:$X$489,14,0)/1000</f>
        <v>1.649</v>
      </c>
      <c r="I88" s="145">
        <f>VLOOKUP($A88,'BC.115+260'!$B$13:$X$489,15,0)/1000</f>
        <v>-0.35099999999999998</v>
      </c>
      <c r="J88" s="145">
        <f>VLOOKUP($A88,'BC.115+260'!$B$13:$X$489,20,0)/1000</f>
        <v>1.625</v>
      </c>
      <c r="K88" s="145">
        <f>VLOOKUP($A88,'BC.115+260'!$B$13:$X$489,21,0)/1000</f>
        <v>-0.375</v>
      </c>
      <c r="L88" s="143">
        <f t="shared" si="3"/>
        <v>-141</v>
      </c>
      <c r="M88" s="144">
        <f t="shared" si="4"/>
        <v>-130.99999999999997</v>
      </c>
      <c r="N88" s="143">
        <f t="shared" si="5"/>
        <v>-125</v>
      </c>
      <c r="O88" s="143"/>
    </row>
    <row r="89" spans="1:25">
      <c r="A89" s="81">
        <f>'BC.115+260'!B88</f>
        <v>45326</v>
      </c>
      <c r="B89" s="143">
        <v>75</v>
      </c>
      <c r="C89" s="145">
        <f>'BC.115+260'!M88/1000</f>
        <v>0.96899999999999997</v>
      </c>
      <c r="D89" s="145">
        <f>'BC.115+260'!AA88</f>
        <v>1.3059999999999998</v>
      </c>
      <c r="E89" s="146">
        <f>'BC.115+260'!AB88</f>
        <v>1.0580000000000001</v>
      </c>
      <c r="F89" s="145">
        <f>VLOOKUP($A89,'BC.115+260'!$B$13:$X$489,8,0)/1000</f>
        <v>1.659</v>
      </c>
      <c r="G89" s="145">
        <f>VLOOKUP($A89,'BC.115+260'!$B$13:$X$489,9,0)/1000</f>
        <v>-0.34100000000000003</v>
      </c>
      <c r="H89" s="145">
        <f>VLOOKUP($A89,'BC.115+260'!$B$13:$X$489,14,0)/1000</f>
        <v>1.649</v>
      </c>
      <c r="I89" s="145">
        <f>VLOOKUP($A89,'BC.115+260'!$B$13:$X$489,15,0)/1000</f>
        <v>-0.35099999999999998</v>
      </c>
      <c r="J89" s="145">
        <f>VLOOKUP($A89,'BC.115+260'!$B$13:$X$489,20,0)/1000</f>
        <v>1.625</v>
      </c>
      <c r="K89" s="145">
        <f>VLOOKUP($A89,'BC.115+260'!$B$13:$X$489,21,0)/1000</f>
        <v>-0.375</v>
      </c>
      <c r="L89" s="143">
        <f t="shared" si="3"/>
        <v>-141</v>
      </c>
      <c r="M89" s="144">
        <f t="shared" si="4"/>
        <v>-130.99999999999997</v>
      </c>
      <c r="N89" s="143">
        <f t="shared" si="5"/>
        <v>-125</v>
      </c>
      <c r="O89" s="143"/>
    </row>
    <row r="90" spans="1:25">
      <c r="A90" s="81">
        <f>'BC.115+260'!B89</f>
        <v>45327</v>
      </c>
      <c r="B90" s="143">
        <v>76</v>
      </c>
      <c r="C90" s="145">
        <f>'BC.115+260'!M89/1000</f>
        <v>0.96899999999999997</v>
      </c>
      <c r="D90" s="145">
        <f>'BC.115+260'!AA89</f>
        <v>1.3059999999999998</v>
      </c>
      <c r="E90" s="146">
        <f>'BC.115+260'!AB89</f>
        <v>1.0580000000000001</v>
      </c>
      <c r="F90" s="145">
        <f>VLOOKUP($A90,'BC.115+260'!$B$13:$X$489,8,0)/1000</f>
        <v>1.659</v>
      </c>
      <c r="G90" s="145">
        <f>VLOOKUP($A90,'BC.115+260'!$B$13:$X$489,9,0)/1000</f>
        <v>-0.34100000000000003</v>
      </c>
      <c r="H90" s="145">
        <f>VLOOKUP($A90,'BC.115+260'!$B$13:$X$489,14,0)/1000</f>
        <v>1.649</v>
      </c>
      <c r="I90" s="145">
        <f>VLOOKUP($A90,'BC.115+260'!$B$13:$X$489,15,0)/1000</f>
        <v>-0.35099999999999998</v>
      </c>
      <c r="J90" s="145">
        <f>VLOOKUP($A90,'BC.115+260'!$B$13:$X$489,20,0)/1000</f>
        <v>1.625</v>
      </c>
      <c r="K90" s="145">
        <f>VLOOKUP($A90,'BC.115+260'!$B$13:$X$489,21,0)/1000</f>
        <v>-0.375</v>
      </c>
      <c r="L90" s="143">
        <f t="shared" si="3"/>
        <v>-141</v>
      </c>
      <c r="M90" s="144">
        <f t="shared" si="4"/>
        <v>-130.99999999999997</v>
      </c>
      <c r="N90" s="143">
        <f t="shared" si="5"/>
        <v>-125</v>
      </c>
      <c r="O90" s="143"/>
    </row>
    <row r="91" spans="1:25">
      <c r="A91" s="81">
        <f>'BC.115+260'!B90</f>
        <v>45328</v>
      </c>
      <c r="B91" s="143">
        <v>77</v>
      </c>
      <c r="C91" s="145">
        <f>'BC.115+260'!M90/1000</f>
        <v>0.96899999999999997</v>
      </c>
      <c r="D91" s="145">
        <f>'BC.115+260'!AA90</f>
        <v>1.3059999999999998</v>
      </c>
      <c r="E91" s="146">
        <f>'BC.115+260'!AB90</f>
        <v>1.0580000000000001</v>
      </c>
      <c r="F91" s="145">
        <f>VLOOKUP($A91,'BC.115+260'!$B$13:$X$489,8,0)/1000</f>
        <v>1.659</v>
      </c>
      <c r="G91" s="145">
        <f>VLOOKUP($A91,'BC.115+260'!$B$13:$X$489,9,0)/1000</f>
        <v>-0.34100000000000003</v>
      </c>
      <c r="H91" s="145">
        <f>VLOOKUP($A91,'BC.115+260'!$B$13:$X$489,14,0)/1000</f>
        <v>1.649</v>
      </c>
      <c r="I91" s="145">
        <f>VLOOKUP($A91,'BC.115+260'!$B$13:$X$489,15,0)/1000</f>
        <v>-0.35099999999999998</v>
      </c>
      <c r="J91" s="145">
        <f>VLOOKUP($A91,'BC.115+260'!$B$13:$X$489,20,0)/1000</f>
        <v>1.625</v>
      </c>
      <c r="K91" s="145">
        <f>VLOOKUP($A91,'BC.115+260'!$B$13:$X$489,21,0)/1000</f>
        <v>-0.375</v>
      </c>
      <c r="L91" s="143">
        <f t="shared" si="3"/>
        <v>-141</v>
      </c>
      <c r="M91" s="144">
        <f t="shared" si="4"/>
        <v>-130.99999999999997</v>
      </c>
      <c r="N91" s="143">
        <f t="shared" si="5"/>
        <v>-125</v>
      </c>
      <c r="O91" s="143"/>
    </row>
    <row r="92" spans="1:25">
      <c r="A92" s="81">
        <f>'BC.115+260'!B91</f>
        <v>45329</v>
      </c>
      <c r="B92" s="143">
        <v>78</v>
      </c>
      <c r="C92" s="145">
        <f>'BC.115+260'!M91/1000</f>
        <v>0.96899999999999997</v>
      </c>
      <c r="D92" s="145">
        <f>'BC.115+260'!AA91</f>
        <v>1.3059999999999998</v>
      </c>
      <c r="E92" s="146">
        <f>'BC.115+260'!AB91</f>
        <v>1.0580000000000001</v>
      </c>
      <c r="F92" s="145">
        <f>VLOOKUP($A92,'BC.115+260'!$B$13:$X$489,8,0)/1000</f>
        <v>1.659</v>
      </c>
      <c r="G92" s="145">
        <f>VLOOKUP($A92,'BC.115+260'!$B$13:$X$489,9,0)/1000</f>
        <v>-0.34100000000000003</v>
      </c>
      <c r="H92" s="145">
        <f>VLOOKUP($A92,'BC.115+260'!$B$13:$X$489,14,0)/1000</f>
        <v>1.649</v>
      </c>
      <c r="I92" s="145">
        <f>VLOOKUP($A92,'BC.115+260'!$B$13:$X$489,15,0)/1000</f>
        <v>-0.35099999999999998</v>
      </c>
      <c r="J92" s="145">
        <f>VLOOKUP($A92,'BC.115+260'!$B$13:$X$489,20,0)/1000</f>
        <v>1.625</v>
      </c>
      <c r="K92" s="145">
        <f>VLOOKUP($A92,'BC.115+260'!$B$13:$X$489,21,0)/1000</f>
        <v>-0.375</v>
      </c>
      <c r="L92" s="143">
        <f t="shared" si="3"/>
        <v>-141</v>
      </c>
      <c r="M92" s="144">
        <f t="shared" si="4"/>
        <v>-130.99999999999997</v>
      </c>
      <c r="N92" s="143">
        <f t="shared" si="5"/>
        <v>-125</v>
      </c>
      <c r="O92" s="143"/>
      <c r="Y92" s="137">
        <f>A21-A14</f>
        <v>7</v>
      </c>
    </row>
    <row r="93" spans="1:25">
      <c r="A93" s="81">
        <f>'BC.115+260'!B92</f>
        <v>45330</v>
      </c>
      <c r="B93" s="143">
        <v>79</v>
      </c>
      <c r="C93" s="145">
        <f>'BC.115+260'!M92/1000</f>
        <v>0.96899999999999997</v>
      </c>
      <c r="D93" s="145">
        <f>'BC.115+260'!AA92</f>
        <v>1.3059999999999998</v>
      </c>
      <c r="E93" s="146">
        <f>'BC.115+260'!AB92</f>
        <v>1.0580000000000001</v>
      </c>
      <c r="F93" s="145">
        <f>VLOOKUP($A93,'BC.115+260'!$B$13:$X$489,8,0)/1000</f>
        <v>1.659</v>
      </c>
      <c r="G93" s="145">
        <f>VLOOKUP($A93,'BC.115+260'!$B$13:$X$489,9,0)/1000</f>
        <v>-0.34100000000000003</v>
      </c>
      <c r="H93" s="145">
        <f>VLOOKUP($A93,'BC.115+260'!$B$13:$X$489,14,0)/1000</f>
        <v>1.649</v>
      </c>
      <c r="I93" s="145">
        <f>VLOOKUP($A93,'BC.115+260'!$B$13:$X$489,15,0)/1000</f>
        <v>-0.35099999999999998</v>
      </c>
      <c r="J93" s="145">
        <f>VLOOKUP($A93,'BC.115+260'!$B$13:$X$489,20,0)/1000</f>
        <v>1.625</v>
      </c>
      <c r="K93" s="145">
        <f>VLOOKUP($A93,'BC.115+260'!$B$13:$X$489,21,0)/1000</f>
        <v>-0.375</v>
      </c>
      <c r="L93" s="143">
        <f t="shared" si="3"/>
        <v>-141</v>
      </c>
      <c r="M93" s="144">
        <f t="shared" si="4"/>
        <v>-130.99999999999997</v>
      </c>
      <c r="N93" s="143">
        <f t="shared" si="5"/>
        <v>-125</v>
      </c>
      <c r="O93" s="143"/>
    </row>
    <row r="94" spans="1:25">
      <c r="A94" s="81">
        <f>'BC.115+260'!B93</f>
        <v>45331</v>
      </c>
      <c r="B94" s="143">
        <v>80</v>
      </c>
      <c r="C94" s="145">
        <f>'BC.115+260'!M93/1000</f>
        <v>0.96899999999999997</v>
      </c>
      <c r="D94" s="145">
        <f>'BC.115+260'!AA93</f>
        <v>1.3059999999999998</v>
      </c>
      <c r="E94" s="146">
        <f>'BC.115+260'!AB93</f>
        <v>1.0580000000000001</v>
      </c>
      <c r="F94" s="145">
        <f>VLOOKUP($A94,'BC.115+260'!$B$13:$X$489,8,0)/1000</f>
        <v>1.659</v>
      </c>
      <c r="G94" s="145">
        <f>VLOOKUP($A94,'BC.115+260'!$B$13:$X$489,9,0)/1000</f>
        <v>-0.34100000000000003</v>
      </c>
      <c r="H94" s="145">
        <f>VLOOKUP($A94,'BC.115+260'!$B$13:$X$489,14,0)/1000</f>
        <v>1.649</v>
      </c>
      <c r="I94" s="145">
        <f>VLOOKUP($A94,'BC.115+260'!$B$13:$X$489,15,0)/1000</f>
        <v>-0.35099999999999998</v>
      </c>
      <c r="J94" s="145">
        <f>VLOOKUP($A94,'BC.115+260'!$B$13:$X$489,20,0)/1000</f>
        <v>1.625</v>
      </c>
      <c r="K94" s="145">
        <f>VLOOKUP($A94,'BC.115+260'!$B$13:$X$489,21,0)/1000</f>
        <v>-0.375</v>
      </c>
      <c r="L94" s="143">
        <f t="shared" si="3"/>
        <v>-141</v>
      </c>
      <c r="M94" s="144">
        <f t="shared" si="4"/>
        <v>-130.99999999999997</v>
      </c>
      <c r="N94" s="143">
        <f t="shared" si="5"/>
        <v>-125</v>
      </c>
      <c r="O94" s="143"/>
    </row>
    <row r="95" spans="1:25">
      <c r="A95" s="81">
        <f>'BC.115+260'!B94</f>
        <v>45332</v>
      </c>
      <c r="B95" s="143">
        <v>81</v>
      </c>
      <c r="C95" s="145">
        <f>'BC.115+260'!M94/1000</f>
        <v>0.96899999999999997</v>
      </c>
      <c r="D95" s="145">
        <f>'BC.115+260'!AA94</f>
        <v>1.3059999999999998</v>
      </c>
      <c r="E95" s="146">
        <f>'BC.115+260'!AB94</f>
        <v>1.0580000000000001</v>
      </c>
      <c r="F95" s="145">
        <f>VLOOKUP($A95,'BC.115+260'!$B$13:$X$489,8,0)/1000</f>
        <v>1.659</v>
      </c>
      <c r="G95" s="145">
        <f>VLOOKUP($A95,'BC.115+260'!$B$13:$X$489,9,0)/1000</f>
        <v>-0.34100000000000003</v>
      </c>
      <c r="H95" s="145">
        <f>VLOOKUP($A95,'BC.115+260'!$B$13:$X$489,14,0)/1000</f>
        <v>1.649</v>
      </c>
      <c r="I95" s="145">
        <f>VLOOKUP($A95,'BC.115+260'!$B$13:$X$489,15,0)/1000</f>
        <v>-0.35099999999999998</v>
      </c>
      <c r="J95" s="145">
        <f>VLOOKUP($A95,'BC.115+260'!$B$13:$X$489,20,0)/1000</f>
        <v>1.625</v>
      </c>
      <c r="K95" s="145">
        <f>VLOOKUP($A95,'BC.115+260'!$B$13:$X$489,21,0)/1000</f>
        <v>-0.375</v>
      </c>
      <c r="L95" s="143">
        <f t="shared" si="3"/>
        <v>-141</v>
      </c>
      <c r="M95" s="144">
        <f t="shared" si="4"/>
        <v>-130.99999999999997</v>
      </c>
      <c r="N95" s="143">
        <f t="shared" si="5"/>
        <v>-125</v>
      </c>
      <c r="O95" s="143"/>
    </row>
    <row r="96" spans="1:25">
      <c r="A96" s="81">
        <f>'BC.115+260'!B95</f>
        <v>45333</v>
      </c>
      <c r="B96" s="143">
        <v>82</v>
      </c>
      <c r="C96" s="145">
        <f>'BC.115+260'!M95/1000</f>
        <v>0.96899999999999997</v>
      </c>
      <c r="D96" s="145">
        <f>'BC.115+260'!AA95</f>
        <v>1.3059999999999998</v>
      </c>
      <c r="E96" s="146">
        <f>'BC.115+260'!AB95</f>
        <v>1.0580000000000001</v>
      </c>
      <c r="F96" s="145">
        <f>VLOOKUP($A96,'BC.115+260'!$B$13:$X$489,8,0)/1000</f>
        <v>1.659</v>
      </c>
      <c r="G96" s="145">
        <f>VLOOKUP($A96,'BC.115+260'!$B$13:$X$489,9,0)/1000</f>
        <v>-0.34100000000000003</v>
      </c>
      <c r="H96" s="145">
        <f>VLOOKUP($A96,'BC.115+260'!$B$13:$X$489,14,0)/1000</f>
        <v>1.649</v>
      </c>
      <c r="I96" s="145">
        <f>VLOOKUP($A96,'BC.115+260'!$B$13:$X$489,15,0)/1000</f>
        <v>-0.35099999999999998</v>
      </c>
      <c r="J96" s="145">
        <f>VLOOKUP($A96,'BC.115+260'!$B$13:$X$489,20,0)/1000</f>
        <v>1.625</v>
      </c>
      <c r="K96" s="145">
        <f>VLOOKUP($A96,'BC.115+260'!$B$13:$X$489,21,0)/1000</f>
        <v>-0.375</v>
      </c>
      <c r="L96" s="143">
        <f t="shared" si="3"/>
        <v>-141</v>
      </c>
      <c r="M96" s="144">
        <f t="shared" si="4"/>
        <v>-130.99999999999997</v>
      </c>
      <c r="N96" s="143">
        <f t="shared" si="5"/>
        <v>-125</v>
      </c>
      <c r="O96" s="143"/>
    </row>
    <row r="97" spans="1:15">
      <c r="A97" s="81">
        <f>'BC.115+260'!B96</f>
        <v>45334</v>
      </c>
      <c r="B97" s="143">
        <v>83</v>
      </c>
      <c r="C97" s="145">
        <f>'BC.115+260'!M96/1000</f>
        <v>0.96899999999999997</v>
      </c>
      <c r="D97" s="145">
        <f>'BC.115+260'!AA96</f>
        <v>1.3059999999999998</v>
      </c>
      <c r="E97" s="146">
        <f>'BC.115+260'!AB96</f>
        <v>1.0580000000000001</v>
      </c>
      <c r="F97" s="145">
        <f>VLOOKUP($A97,'BC.115+260'!$B$13:$X$489,8,0)/1000</f>
        <v>1.659</v>
      </c>
      <c r="G97" s="145">
        <f>VLOOKUP($A97,'BC.115+260'!$B$13:$X$489,9,0)/1000</f>
        <v>-0.34100000000000003</v>
      </c>
      <c r="H97" s="145">
        <f>VLOOKUP($A97,'BC.115+260'!$B$13:$X$489,14,0)/1000</f>
        <v>1.649</v>
      </c>
      <c r="I97" s="145">
        <f>VLOOKUP($A97,'BC.115+260'!$B$13:$X$489,15,0)/1000</f>
        <v>-0.35099999999999998</v>
      </c>
      <c r="J97" s="145">
        <f>VLOOKUP($A97,'BC.115+260'!$B$13:$X$489,20,0)/1000</f>
        <v>1.625</v>
      </c>
      <c r="K97" s="145">
        <f>VLOOKUP($A97,'BC.115+260'!$B$13:$X$489,21,0)/1000</f>
        <v>-0.375</v>
      </c>
      <c r="L97" s="143">
        <f t="shared" si="3"/>
        <v>-141</v>
      </c>
      <c r="M97" s="144">
        <f t="shared" si="4"/>
        <v>-130.99999999999997</v>
      </c>
      <c r="N97" s="143">
        <f t="shared" si="5"/>
        <v>-125</v>
      </c>
      <c r="O97" s="143"/>
    </row>
    <row r="98" spans="1:15">
      <c r="A98" s="81">
        <f>'BC.115+260'!B97</f>
        <v>45335</v>
      </c>
      <c r="B98" s="143">
        <v>84</v>
      </c>
      <c r="C98" s="145">
        <f>'BC.115+260'!M97/1000</f>
        <v>0.96899999999999997</v>
      </c>
      <c r="D98" s="145">
        <f>'BC.115+260'!AA97</f>
        <v>1.3059999999999998</v>
      </c>
      <c r="E98" s="146">
        <f>'BC.115+260'!AB97</f>
        <v>1.0580000000000001</v>
      </c>
      <c r="F98" s="145">
        <f>VLOOKUP($A98,'BC.115+260'!$B$13:$X$489,8,0)/1000</f>
        <v>1.659</v>
      </c>
      <c r="G98" s="145">
        <f>VLOOKUP($A98,'BC.115+260'!$B$13:$X$489,9,0)/1000</f>
        <v>-0.34100000000000003</v>
      </c>
      <c r="H98" s="145">
        <f>VLOOKUP($A98,'BC.115+260'!$B$13:$X$489,14,0)/1000</f>
        <v>1.649</v>
      </c>
      <c r="I98" s="145">
        <f>VLOOKUP($A98,'BC.115+260'!$B$13:$X$489,15,0)/1000</f>
        <v>-0.35099999999999998</v>
      </c>
      <c r="J98" s="145">
        <f>VLOOKUP($A98,'BC.115+260'!$B$13:$X$489,20,0)/1000</f>
        <v>1.625</v>
      </c>
      <c r="K98" s="145">
        <f>VLOOKUP($A98,'BC.115+260'!$B$13:$X$489,21,0)/1000</f>
        <v>-0.375</v>
      </c>
      <c r="L98" s="143">
        <f t="shared" si="3"/>
        <v>-141</v>
      </c>
      <c r="M98" s="144">
        <f t="shared" si="4"/>
        <v>-130.99999999999997</v>
      </c>
      <c r="N98" s="143">
        <f t="shared" si="5"/>
        <v>-125</v>
      </c>
      <c r="O98" s="143"/>
    </row>
    <row r="99" spans="1:15">
      <c r="A99" s="81">
        <f>'BC.115+260'!B98</f>
        <v>45336</v>
      </c>
      <c r="B99" s="143">
        <v>85</v>
      </c>
      <c r="C99" s="145">
        <f>'BC.115+260'!M98/1000</f>
        <v>0.96899999999999997</v>
      </c>
      <c r="D99" s="145">
        <f>'BC.115+260'!AA98</f>
        <v>1.3059999999999998</v>
      </c>
      <c r="E99" s="146">
        <f>'BC.115+260'!AB98</f>
        <v>1.0580000000000001</v>
      </c>
      <c r="F99" s="145">
        <f>VLOOKUP($A99,'BC.115+260'!$B$13:$X$489,8,0)/1000</f>
        <v>1.659</v>
      </c>
      <c r="G99" s="145">
        <f>VLOOKUP($A99,'BC.115+260'!$B$13:$X$489,9,0)/1000</f>
        <v>-0.34100000000000003</v>
      </c>
      <c r="H99" s="145">
        <f>VLOOKUP($A99,'BC.115+260'!$B$13:$X$489,14,0)/1000</f>
        <v>1.649</v>
      </c>
      <c r="I99" s="145">
        <f>VLOOKUP($A99,'BC.115+260'!$B$13:$X$489,15,0)/1000</f>
        <v>-0.35099999999999998</v>
      </c>
      <c r="J99" s="145">
        <f>VLOOKUP($A99,'BC.115+260'!$B$13:$X$489,20,0)/1000</f>
        <v>1.625</v>
      </c>
      <c r="K99" s="145">
        <f>VLOOKUP($A99,'BC.115+260'!$B$13:$X$489,21,0)/1000</f>
        <v>-0.375</v>
      </c>
      <c r="L99" s="143">
        <f t="shared" si="3"/>
        <v>-141</v>
      </c>
      <c r="M99" s="144">
        <f t="shared" si="4"/>
        <v>-130.99999999999997</v>
      </c>
      <c r="N99" s="143">
        <f t="shared" si="5"/>
        <v>-125</v>
      </c>
      <c r="O99" s="143"/>
    </row>
    <row r="100" spans="1:15">
      <c r="A100" s="81">
        <f>'BC.115+260'!B99</f>
        <v>45337</v>
      </c>
      <c r="B100" s="143">
        <v>86</v>
      </c>
      <c r="C100" s="145">
        <f>'BC.115+260'!M99/1000</f>
        <v>0.96899999999999997</v>
      </c>
      <c r="D100" s="145">
        <f>'BC.115+260'!AA99</f>
        <v>1.3059999999999998</v>
      </c>
      <c r="E100" s="146">
        <f>'BC.115+260'!AB99</f>
        <v>1.0580000000000001</v>
      </c>
      <c r="F100" s="145">
        <f>VLOOKUP($A100,'BC.115+260'!$B$13:$X$489,8,0)/1000</f>
        <v>1.659</v>
      </c>
      <c r="G100" s="145">
        <f>VLOOKUP($A100,'BC.115+260'!$B$13:$X$489,9,0)/1000</f>
        <v>-0.34100000000000003</v>
      </c>
      <c r="H100" s="145">
        <f>VLOOKUP($A100,'BC.115+260'!$B$13:$X$489,14,0)/1000</f>
        <v>1.649</v>
      </c>
      <c r="I100" s="145">
        <f>VLOOKUP($A100,'BC.115+260'!$B$13:$X$489,15,0)/1000</f>
        <v>-0.35099999999999998</v>
      </c>
      <c r="J100" s="145">
        <f>VLOOKUP($A100,'BC.115+260'!$B$13:$X$489,20,0)/1000</f>
        <v>1.625</v>
      </c>
      <c r="K100" s="145">
        <f>VLOOKUP($A100,'BC.115+260'!$B$13:$X$489,21,0)/1000</f>
        <v>-0.375</v>
      </c>
      <c r="L100" s="143">
        <f t="shared" si="3"/>
        <v>-141</v>
      </c>
      <c r="M100" s="144">
        <f t="shared" si="4"/>
        <v>-130.99999999999997</v>
      </c>
      <c r="N100" s="143">
        <f t="shared" si="5"/>
        <v>-125</v>
      </c>
      <c r="O100" s="143"/>
    </row>
    <row r="101" spans="1:15">
      <c r="A101" s="81">
        <f>'BC.115+260'!B100</f>
        <v>45338</v>
      </c>
      <c r="B101" s="143">
        <v>87</v>
      </c>
      <c r="C101" s="145">
        <f>'BC.115+260'!M100/1000</f>
        <v>0.96899999999999997</v>
      </c>
      <c r="D101" s="145">
        <f>'BC.115+260'!AA100</f>
        <v>1.3059999999999998</v>
      </c>
      <c r="E101" s="146">
        <f>'BC.115+260'!AB100</f>
        <v>1.0580000000000001</v>
      </c>
      <c r="F101" s="145">
        <f>VLOOKUP($A101,'BC.115+260'!$B$13:$X$489,8,0)/1000</f>
        <v>1.659</v>
      </c>
      <c r="G101" s="145">
        <f>VLOOKUP($A101,'BC.115+260'!$B$13:$X$489,9,0)/1000</f>
        <v>-0.34100000000000003</v>
      </c>
      <c r="H101" s="145">
        <f>VLOOKUP($A101,'BC.115+260'!$B$13:$X$489,14,0)/1000</f>
        <v>1.649</v>
      </c>
      <c r="I101" s="145">
        <f>VLOOKUP($A101,'BC.115+260'!$B$13:$X$489,15,0)/1000</f>
        <v>-0.35099999999999998</v>
      </c>
      <c r="J101" s="145">
        <f>VLOOKUP($A101,'BC.115+260'!$B$13:$X$489,20,0)/1000</f>
        <v>1.625</v>
      </c>
      <c r="K101" s="145">
        <f>VLOOKUP($A101,'BC.115+260'!$B$13:$X$489,21,0)/1000</f>
        <v>-0.375</v>
      </c>
      <c r="L101" s="143">
        <f t="shared" si="3"/>
        <v>-141</v>
      </c>
      <c r="M101" s="144">
        <f t="shared" si="4"/>
        <v>-130.99999999999997</v>
      </c>
      <c r="N101" s="143">
        <f t="shared" si="5"/>
        <v>-125</v>
      </c>
      <c r="O101" s="143"/>
    </row>
    <row r="102" spans="1:15">
      <c r="A102" s="81">
        <f>'BC.115+260'!B101</f>
        <v>45339</v>
      </c>
      <c r="B102" s="143">
        <v>88</v>
      </c>
      <c r="C102" s="145">
        <f>'BC.115+260'!M101/1000</f>
        <v>0.96899999999999997</v>
      </c>
      <c r="D102" s="145">
        <f>'BC.115+260'!AA101</f>
        <v>1.3059999999999998</v>
      </c>
      <c r="E102" s="146">
        <f>'BC.115+260'!AB101</f>
        <v>1.0580000000000001</v>
      </c>
      <c r="F102" s="145">
        <f>VLOOKUP($A102,'BC.115+260'!$B$13:$X$489,8,0)/1000</f>
        <v>1.659</v>
      </c>
      <c r="G102" s="145">
        <f>VLOOKUP($A102,'BC.115+260'!$B$13:$X$489,9,0)/1000</f>
        <v>-0.34100000000000003</v>
      </c>
      <c r="H102" s="145">
        <f>VLOOKUP($A102,'BC.115+260'!$B$13:$X$489,14,0)/1000</f>
        <v>1.649</v>
      </c>
      <c r="I102" s="145">
        <f>VLOOKUP($A102,'BC.115+260'!$B$13:$X$489,15,0)/1000</f>
        <v>-0.35099999999999998</v>
      </c>
      <c r="J102" s="145">
        <f>VLOOKUP($A102,'BC.115+260'!$B$13:$X$489,20,0)/1000</f>
        <v>1.625</v>
      </c>
      <c r="K102" s="145">
        <f>VLOOKUP($A102,'BC.115+260'!$B$13:$X$489,21,0)/1000</f>
        <v>-0.375</v>
      </c>
      <c r="L102" s="143">
        <f t="shared" si="3"/>
        <v>-141</v>
      </c>
      <c r="M102" s="144">
        <f t="shared" si="4"/>
        <v>-130.99999999999997</v>
      </c>
      <c r="N102" s="143">
        <f t="shared" si="5"/>
        <v>-125</v>
      </c>
      <c r="O102" s="143"/>
    </row>
    <row r="103" spans="1:15">
      <c r="A103" s="81">
        <f>'BC.115+260'!B102</f>
        <v>45340</v>
      </c>
      <c r="B103" s="143">
        <v>89</v>
      </c>
      <c r="C103" s="145">
        <f>'BC.115+260'!M102/1000</f>
        <v>0.96899999999999997</v>
      </c>
      <c r="D103" s="145">
        <f>'BC.115+260'!AA102</f>
        <v>1.3059999999999998</v>
      </c>
      <c r="E103" s="146">
        <f>'BC.115+260'!AB102</f>
        <v>1.0580000000000001</v>
      </c>
      <c r="F103" s="145">
        <f>VLOOKUP($A103,'BC.115+260'!$B$13:$X$489,8,0)/1000</f>
        <v>1.659</v>
      </c>
      <c r="G103" s="145">
        <f>VLOOKUP($A103,'BC.115+260'!$B$13:$X$489,9,0)/1000</f>
        <v>-0.34100000000000003</v>
      </c>
      <c r="H103" s="145">
        <f>VLOOKUP($A103,'BC.115+260'!$B$13:$X$489,14,0)/1000</f>
        <v>1.649</v>
      </c>
      <c r="I103" s="145">
        <f>VLOOKUP($A103,'BC.115+260'!$B$13:$X$489,15,0)/1000</f>
        <v>-0.35099999999999998</v>
      </c>
      <c r="J103" s="145">
        <f>VLOOKUP($A103,'BC.115+260'!$B$13:$X$489,20,0)/1000</f>
        <v>1.625</v>
      </c>
      <c r="K103" s="145">
        <f>VLOOKUP($A103,'BC.115+260'!$B$13:$X$489,21,0)/1000</f>
        <v>-0.375</v>
      </c>
      <c r="L103" s="143">
        <f t="shared" si="3"/>
        <v>-141</v>
      </c>
      <c r="M103" s="144">
        <f t="shared" si="4"/>
        <v>-130.99999999999997</v>
      </c>
      <c r="N103" s="143">
        <f t="shared" si="5"/>
        <v>-125</v>
      </c>
      <c r="O103" s="143"/>
    </row>
    <row r="104" spans="1:15">
      <c r="A104" s="81">
        <f>'BC.115+260'!B103</f>
        <v>45341</v>
      </c>
      <c r="B104" s="143">
        <v>90</v>
      </c>
      <c r="C104" s="145">
        <f>'BC.115+260'!M103/1000</f>
        <v>0.96899999999999997</v>
      </c>
      <c r="D104" s="145">
        <f>'BC.115+260'!AA103</f>
        <v>1.3059999999999998</v>
      </c>
      <c r="E104" s="146">
        <f>'BC.115+260'!AB103</f>
        <v>1.0580000000000001</v>
      </c>
      <c r="F104" s="145">
        <f>VLOOKUP($A104,'BC.115+260'!$B$13:$X$489,8,0)/1000</f>
        <v>1.659</v>
      </c>
      <c r="G104" s="145">
        <f>VLOOKUP($A104,'BC.115+260'!$B$13:$X$489,9,0)/1000</f>
        <v>-0.34100000000000003</v>
      </c>
      <c r="H104" s="145">
        <f>VLOOKUP($A104,'BC.115+260'!$B$13:$X$489,14,0)/1000</f>
        <v>1.649</v>
      </c>
      <c r="I104" s="145">
        <f>VLOOKUP($A104,'BC.115+260'!$B$13:$X$489,15,0)/1000</f>
        <v>-0.35099999999999998</v>
      </c>
      <c r="J104" s="145">
        <f>VLOOKUP($A104,'BC.115+260'!$B$13:$X$489,20,0)/1000</f>
        <v>1.625</v>
      </c>
      <c r="K104" s="145">
        <f>VLOOKUP($A104,'BC.115+260'!$B$13:$X$489,21,0)/1000</f>
        <v>-0.375</v>
      </c>
      <c r="L104" s="143">
        <f t="shared" si="3"/>
        <v>-141</v>
      </c>
      <c r="M104" s="144">
        <f t="shared" si="4"/>
        <v>-130.99999999999997</v>
      </c>
      <c r="N104" s="143">
        <f t="shared" si="5"/>
        <v>-125</v>
      </c>
      <c r="O104" s="143"/>
    </row>
    <row r="105" spans="1:15">
      <c r="A105" s="81">
        <f>'BC.115+260'!B104</f>
        <v>45342</v>
      </c>
      <c r="B105" s="143">
        <v>91</v>
      </c>
      <c r="C105" s="145">
        <f>'BC.115+260'!M104/1000</f>
        <v>0.96899999999999997</v>
      </c>
      <c r="D105" s="145">
        <f>'BC.115+260'!AA104</f>
        <v>1.3059999999999998</v>
      </c>
      <c r="E105" s="146">
        <f>'BC.115+260'!AB104</f>
        <v>1.0580000000000001</v>
      </c>
      <c r="F105" s="145">
        <f>VLOOKUP($A105,'BC.115+260'!$B$13:$X$489,8,0)/1000</f>
        <v>1.659</v>
      </c>
      <c r="G105" s="145">
        <f>VLOOKUP($A105,'BC.115+260'!$B$13:$X$489,9,0)/1000</f>
        <v>-0.34100000000000003</v>
      </c>
      <c r="H105" s="145">
        <f>VLOOKUP($A105,'BC.115+260'!$B$13:$X$489,14,0)/1000</f>
        <v>1.649</v>
      </c>
      <c r="I105" s="145">
        <f>VLOOKUP($A105,'BC.115+260'!$B$13:$X$489,15,0)/1000</f>
        <v>-0.35099999999999998</v>
      </c>
      <c r="J105" s="145">
        <f>VLOOKUP($A105,'BC.115+260'!$B$13:$X$489,20,0)/1000</f>
        <v>1.625</v>
      </c>
      <c r="K105" s="145">
        <f>VLOOKUP($A105,'BC.115+260'!$B$13:$X$489,21,0)/1000</f>
        <v>-0.375</v>
      </c>
      <c r="L105" s="143">
        <f t="shared" si="3"/>
        <v>-141</v>
      </c>
      <c r="M105" s="144">
        <f t="shared" si="4"/>
        <v>-130.99999999999997</v>
      </c>
      <c r="N105" s="143">
        <f t="shared" si="5"/>
        <v>-125</v>
      </c>
      <c r="O105" s="143"/>
    </row>
    <row r="106" spans="1:15">
      <c r="A106" s="81">
        <f>'BC.115+260'!B105</f>
        <v>45343</v>
      </c>
      <c r="B106" s="143">
        <v>92</v>
      </c>
      <c r="C106" s="145">
        <f>'BC.115+260'!M105/1000</f>
        <v>0.96899999999999997</v>
      </c>
      <c r="D106" s="145">
        <f>'BC.115+260'!AA105</f>
        <v>1.3059999999999998</v>
      </c>
      <c r="E106" s="146">
        <f>'BC.115+260'!AB105</f>
        <v>1.0580000000000001</v>
      </c>
      <c r="F106" s="145">
        <f>VLOOKUP($A106,'BC.115+260'!$B$13:$X$489,8,0)/1000</f>
        <v>1.659</v>
      </c>
      <c r="G106" s="145">
        <f>VLOOKUP($A106,'BC.115+260'!$B$13:$X$489,9,0)/1000</f>
        <v>-0.34100000000000003</v>
      </c>
      <c r="H106" s="145">
        <f>VLOOKUP($A106,'BC.115+260'!$B$13:$X$489,14,0)/1000</f>
        <v>1.649</v>
      </c>
      <c r="I106" s="145">
        <f>VLOOKUP($A106,'BC.115+260'!$B$13:$X$489,15,0)/1000</f>
        <v>-0.35099999999999998</v>
      </c>
      <c r="J106" s="145">
        <f>VLOOKUP($A106,'BC.115+260'!$B$13:$X$489,20,0)/1000</f>
        <v>1.625</v>
      </c>
      <c r="K106" s="145">
        <f>VLOOKUP($A106,'BC.115+260'!$B$13:$X$489,21,0)/1000</f>
        <v>-0.375</v>
      </c>
      <c r="L106" s="143">
        <f t="shared" si="3"/>
        <v>-141</v>
      </c>
      <c r="M106" s="144">
        <f t="shared" si="4"/>
        <v>-130.99999999999997</v>
      </c>
      <c r="N106" s="143">
        <f t="shared" si="5"/>
        <v>-125</v>
      </c>
      <c r="O106" s="143"/>
    </row>
    <row r="107" spans="1:15">
      <c r="A107" s="81">
        <f>'BC.115+260'!B106</f>
        <v>45344</v>
      </c>
      <c r="B107" s="143">
        <v>93</v>
      </c>
      <c r="C107" s="145">
        <f>'BC.115+260'!M106/1000</f>
        <v>0.96899999999999997</v>
      </c>
      <c r="D107" s="145">
        <f>'BC.115+260'!AA106</f>
        <v>1.3059999999999998</v>
      </c>
      <c r="E107" s="146">
        <f>'BC.115+260'!AB106</f>
        <v>1.0580000000000001</v>
      </c>
      <c r="F107" s="145">
        <f>VLOOKUP($A107,'BC.115+260'!$B$13:$X$489,8,0)/1000</f>
        <v>1.659</v>
      </c>
      <c r="G107" s="145">
        <f>VLOOKUP($A107,'BC.115+260'!$B$13:$X$489,9,0)/1000</f>
        <v>-0.34100000000000003</v>
      </c>
      <c r="H107" s="145">
        <f>VLOOKUP($A107,'BC.115+260'!$B$13:$X$489,14,0)/1000</f>
        <v>1.649</v>
      </c>
      <c r="I107" s="145">
        <f>VLOOKUP($A107,'BC.115+260'!$B$13:$X$489,15,0)/1000</f>
        <v>-0.35099999999999998</v>
      </c>
      <c r="J107" s="145">
        <f>VLOOKUP($A107,'BC.115+260'!$B$13:$X$489,20,0)/1000</f>
        <v>1.625</v>
      </c>
      <c r="K107" s="145">
        <f>VLOOKUP($A107,'BC.115+260'!$B$13:$X$489,21,0)/1000</f>
        <v>-0.375</v>
      </c>
      <c r="L107" s="143">
        <f t="shared" si="3"/>
        <v>-141</v>
      </c>
      <c r="M107" s="144">
        <f t="shared" si="4"/>
        <v>-130.99999999999997</v>
      </c>
      <c r="N107" s="143">
        <f t="shared" si="5"/>
        <v>-125</v>
      </c>
      <c r="O107" s="143"/>
    </row>
    <row r="108" spans="1:15">
      <c r="A108" s="81">
        <f>'BC.115+260'!B107</f>
        <v>45345</v>
      </c>
      <c r="B108" s="143">
        <v>94</v>
      </c>
      <c r="C108" s="145">
        <f>'BC.115+260'!M107/1000</f>
        <v>0.96899999999999997</v>
      </c>
      <c r="D108" s="145">
        <f>'BC.115+260'!AA107</f>
        <v>1.3059999999999998</v>
      </c>
      <c r="E108" s="146">
        <f>'BC.115+260'!AB107</f>
        <v>1.0580000000000001</v>
      </c>
      <c r="F108" s="145">
        <f>VLOOKUP($A108,'BC.115+260'!$B$13:$X$489,8,0)/1000</f>
        <v>1.659</v>
      </c>
      <c r="G108" s="145">
        <f>VLOOKUP($A108,'BC.115+260'!$B$13:$X$489,9,0)/1000</f>
        <v>-0.34100000000000003</v>
      </c>
      <c r="H108" s="145">
        <f>VLOOKUP($A108,'BC.115+260'!$B$13:$X$489,14,0)/1000</f>
        <v>1.649</v>
      </c>
      <c r="I108" s="145">
        <f>VLOOKUP($A108,'BC.115+260'!$B$13:$X$489,15,0)/1000</f>
        <v>-0.35099999999999998</v>
      </c>
      <c r="J108" s="145">
        <f>VLOOKUP($A108,'BC.115+260'!$B$13:$X$489,20,0)/1000</f>
        <v>1.625</v>
      </c>
      <c r="K108" s="145">
        <f>VLOOKUP($A108,'BC.115+260'!$B$13:$X$489,21,0)/1000</f>
        <v>-0.375</v>
      </c>
      <c r="L108" s="143">
        <f t="shared" si="3"/>
        <v>-141</v>
      </c>
      <c r="M108" s="144">
        <f t="shared" si="4"/>
        <v>-130.99999999999997</v>
      </c>
      <c r="N108" s="143">
        <f t="shared" si="5"/>
        <v>-125</v>
      </c>
      <c r="O108" s="143"/>
    </row>
    <row r="109" spans="1:15">
      <c r="A109" s="81">
        <f>'BC.115+260'!B108</f>
        <v>45346</v>
      </c>
      <c r="B109" s="143">
        <v>95</v>
      </c>
      <c r="C109" s="145">
        <f>'BC.115+260'!M108/1000</f>
        <v>0.96899999999999997</v>
      </c>
      <c r="D109" s="145">
        <f>'BC.115+260'!AA108</f>
        <v>1.3059999999999998</v>
      </c>
      <c r="E109" s="146">
        <f>'BC.115+260'!AB108</f>
        <v>1.0580000000000001</v>
      </c>
      <c r="F109" s="145">
        <f>VLOOKUP($A109,'BC.115+260'!$B$13:$X$489,8,0)/1000</f>
        <v>1.659</v>
      </c>
      <c r="G109" s="145">
        <f>VLOOKUP($A109,'BC.115+260'!$B$13:$X$489,9,0)/1000</f>
        <v>-0.34100000000000003</v>
      </c>
      <c r="H109" s="145">
        <f>VLOOKUP($A109,'BC.115+260'!$B$13:$X$489,14,0)/1000</f>
        <v>1.649</v>
      </c>
      <c r="I109" s="145">
        <f>VLOOKUP($A109,'BC.115+260'!$B$13:$X$489,15,0)/1000</f>
        <v>-0.35099999999999998</v>
      </c>
      <c r="J109" s="145">
        <f>VLOOKUP($A109,'BC.115+260'!$B$13:$X$489,20,0)/1000</f>
        <v>1.625</v>
      </c>
      <c r="K109" s="145">
        <f>VLOOKUP($A109,'BC.115+260'!$B$13:$X$489,21,0)/1000</f>
        <v>-0.375</v>
      </c>
      <c r="L109" s="143">
        <f t="shared" si="3"/>
        <v>-141</v>
      </c>
      <c r="M109" s="144">
        <f t="shared" si="4"/>
        <v>-130.99999999999997</v>
      </c>
      <c r="N109" s="143">
        <f t="shared" si="5"/>
        <v>-125</v>
      </c>
      <c r="O109" s="143"/>
    </row>
    <row r="110" spans="1:15">
      <c r="A110" s="81">
        <f>'BC.115+260'!B109</f>
        <v>45347</v>
      </c>
      <c r="B110" s="143">
        <v>96</v>
      </c>
      <c r="C110" s="145">
        <f>'BC.115+260'!M109/1000</f>
        <v>0.96899999999999997</v>
      </c>
      <c r="D110" s="145">
        <f>'BC.115+260'!AA109</f>
        <v>1.3059999999999998</v>
      </c>
      <c r="E110" s="146">
        <f>'BC.115+260'!AB109</f>
        <v>1.0580000000000001</v>
      </c>
      <c r="F110" s="145">
        <f>VLOOKUP($A110,'BC.115+260'!$B$13:$X$489,8,0)/1000</f>
        <v>1.659</v>
      </c>
      <c r="G110" s="145">
        <f>VLOOKUP($A110,'BC.115+260'!$B$13:$X$489,9,0)/1000</f>
        <v>-0.34100000000000003</v>
      </c>
      <c r="H110" s="145">
        <f>VLOOKUP($A110,'BC.115+260'!$B$13:$X$489,14,0)/1000</f>
        <v>1.649</v>
      </c>
      <c r="I110" s="145">
        <f>VLOOKUP($A110,'BC.115+260'!$B$13:$X$489,15,0)/1000</f>
        <v>-0.35099999999999998</v>
      </c>
      <c r="J110" s="145">
        <f>VLOOKUP($A110,'BC.115+260'!$B$13:$X$489,20,0)/1000</f>
        <v>1.625</v>
      </c>
      <c r="K110" s="145">
        <f>VLOOKUP($A110,'BC.115+260'!$B$13:$X$489,21,0)/1000</f>
        <v>-0.375</v>
      </c>
      <c r="L110" s="143">
        <f t="shared" si="3"/>
        <v>-141</v>
      </c>
      <c r="M110" s="144">
        <f t="shared" si="4"/>
        <v>-130.99999999999997</v>
      </c>
      <c r="N110" s="143">
        <f t="shared" si="5"/>
        <v>-125</v>
      </c>
      <c r="O110" s="143"/>
    </row>
    <row r="111" spans="1:15">
      <c r="A111" s="81">
        <f>'BC.115+260'!B110</f>
        <v>45348</v>
      </c>
      <c r="B111" s="143">
        <v>97</v>
      </c>
      <c r="C111" s="145">
        <f>'BC.115+260'!M110/1000</f>
        <v>0.96899999999999997</v>
      </c>
      <c r="D111" s="145">
        <f>'BC.115+260'!AA110</f>
        <v>1.3059999999999998</v>
      </c>
      <c r="E111" s="146">
        <f>'BC.115+260'!AB110</f>
        <v>1.0580000000000001</v>
      </c>
      <c r="F111" s="145">
        <f>VLOOKUP($A111,'BC.115+260'!$B$13:$X$489,8,0)/1000</f>
        <v>1.659</v>
      </c>
      <c r="G111" s="145">
        <f>VLOOKUP($A111,'BC.115+260'!$B$13:$X$489,9,0)/1000</f>
        <v>-0.34100000000000003</v>
      </c>
      <c r="H111" s="145">
        <f>VLOOKUP($A111,'BC.115+260'!$B$13:$X$489,14,0)/1000</f>
        <v>1.649</v>
      </c>
      <c r="I111" s="145">
        <f>VLOOKUP($A111,'BC.115+260'!$B$13:$X$489,15,0)/1000</f>
        <v>-0.35099999999999998</v>
      </c>
      <c r="J111" s="145">
        <f>VLOOKUP($A111,'BC.115+260'!$B$13:$X$489,20,0)/1000</f>
        <v>1.625</v>
      </c>
      <c r="K111" s="145">
        <f>VLOOKUP($A111,'BC.115+260'!$B$13:$X$489,21,0)/1000</f>
        <v>-0.375</v>
      </c>
      <c r="L111" s="143">
        <f t="shared" si="3"/>
        <v>-141</v>
      </c>
      <c r="M111" s="144">
        <f t="shared" si="4"/>
        <v>-130.99999999999997</v>
      </c>
      <c r="N111" s="143">
        <f t="shared" si="5"/>
        <v>-125</v>
      </c>
      <c r="O111" s="143"/>
    </row>
    <row r="112" spans="1:15">
      <c r="A112" s="81">
        <f>'BC.115+260'!B111</f>
        <v>45349</v>
      </c>
      <c r="B112" s="143">
        <v>98</v>
      </c>
      <c r="C112" s="145">
        <f>'BC.115+260'!M111/1000</f>
        <v>0.96899999999999997</v>
      </c>
      <c r="D112" s="145">
        <f>'BC.115+260'!AA111</f>
        <v>1.3059999999999998</v>
      </c>
      <c r="E112" s="146">
        <f>'BC.115+260'!AB111</f>
        <v>1.0580000000000001</v>
      </c>
      <c r="F112" s="145">
        <f>VLOOKUP($A112,'BC.115+260'!$B$13:$X$489,8,0)/1000</f>
        <v>1.659</v>
      </c>
      <c r="G112" s="145">
        <f>VLOOKUP($A112,'BC.115+260'!$B$13:$X$489,9,0)/1000</f>
        <v>-0.34100000000000003</v>
      </c>
      <c r="H112" s="145">
        <f>VLOOKUP($A112,'BC.115+260'!$B$13:$X$489,14,0)/1000</f>
        <v>1.649</v>
      </c>
      <c r="I112" s="145">
        <f>VLOOKUP($A112,'BC.115+260'!$B$13:$X$489,15,0)/1000</f>
        <v>-0.35099999999999998</v>
      </c>
      <c r="J112" s="145">
        <f>VLOOKUP($A112,'BC.115+260'!$B$13:$X$489,20,0)/1000</f>
        <v>1.625</v>
      </c>
      <c r="K112" s="145">
        <f>VLOOKUP($A112,'BC.115+260'!$B$13:$X$489,21,0)/1000</f>
        <v>-0.375</v>
      </c>
      <c r="L112" s="143">
        <f t="shared" si="3"/>
        <v>-141</v>
      </c>
      <c r="M112" s="144">
        <f t="shared" si="4"/>
        <v>-130.99999999999997</v>
      </c>
      <c r="N112" s="143">
        <f t="shared" si="5"/>
        <v>-125</v>
      </c>
      <c r="O112" s="143"/>
    </row>
    <row r="113" spans="1:15">
      <c r="A113" s="81">
        <f>'BC.115+260'!B112</f>
        <v>45350</v>
      </c>
      <c r="B113" s="143">
        <v>99</v>
      </c>
      <c r="C113" s="145">
        <f>'BC.115+260'!M112/1000</f>
        <v>0.96899999999999997</v>
      </c>
      <c r="D113" s="145">
        <f>'BC.115+260'!AA112</f>
        <v>1.3059999999999998</v>
      </c>
      <c r="E113" s="146">
        <f>'BC.115+260'!AB112</f>
        <v>1.0580000000000001</v>
      </c>
      <c r="F113" s="145">
        <f>VLOOKUP($A113,'BC.115+260'!$B$13:$X$489,8,0)/1000</f>
        <v>1.659</v>
      </c>
      <c r="G113" s="145">
        <f>VLOOKUP($A113,'BC.115+260'!$B$13:$X$489,9,0)/1000</f>
        <v>-0.34100000000000003</v>
      </c>
      <c r="H113" s="145">
        <f>VLOOKUP($A113,'BC.115+260'!$B$13:$X$489,14,0)/1000</f>
        <v>1.649</v>
      </c>
      <c r="I113" s="145">
        <f>VLOOKUP($A113,'BC.115+260'!$B$13:$X$489,15,0)/1000</f>
        <v>-0.35099999999999998</v>
      </c>
      <c r="J113" s="145">
        <f>VLOOKUP($A113,'BC.115+260'!$B$13:$X$489,20,0)/1000</f>
        <v>1.625</v>
      </c>
      <c r="K113" s="145">
        <f>VLOOKUP($A113,'BC.115+260'!$B$13:$X$489,21,0)/1000</f>
        <v>-0.375</v>
      </c>
      <c r="L113" s="143">
        <f t="shared" si="3"/>
        <v>-141</v>
      </c>
      <c r="M113" s="144">
        <f t="shared" si="4"/>
        <v>-130.99999999999997</v>
      </c>
      <c r="N113" s="143">
        <f t="shared" si="5"/>
        <v>-125</v>
      </c>
      <c r="O113" s="143"/>
    </row>
    <row r="114" spans="1:15">
      <c r="A114" s="81">
        <f>'BC.115+260'!B113</f>
        <v>45351</v>
      </c>
      <c r="B114" s="143">
        <v>100</v>
      </c>
      <c r="C114" s="145">
        <f>'BC.115+260'!M113/1000</f>
        <v>0.96899999999999997</v>
      </c>
      <c r="D114" s="145">
        <f>'BC.115+260'!AA113</f>
        <v>1.3059999999999998</v>
      </c>
      <c r="E114" s="146">
        <f>'BC.115+260'!AB113</f>
        <v>1.0580000000000001</v>
      </c>
      <c r="F114" s="145">
        <f>VLOOKUP($A114,'BC.115+260'!$B$13:$X$489,8,0)/1000</f>
        <v>1.659</v>
      </c>
      <c r="G114" s="145">
        <f>VLOOKUP($A114,'BC.115+260'!$B$13:$X$489,9,0)/1000</f>
        <v>-0.34100000000000003</v>
      </c>
      <c r="H114" s="145">
        <f>VLOOKUP($A114,'BC.115+260'!$B$13:$X$489,14,0)/1000</f>
        <v>1.649</v>
      </c>
      <c r="I114" s="145">
        <f>VLOOKUP($A114,'BC.115+260'!$B$13:$X$489,15,0)/1000</f>
        <v>-0.35099999999999998</v>
      </c>
      <c r="J114" s="145">
        <f>VLOOKUP($A114,'BC.115+260'!$B$13:$X$489,20,0)/1000</f>
        <v>1.625</v>
      </c>
      <c r="K114" s="145">
        <f>VLOOKUP($A114,'BC.115+260'!$B$13:$X$489,21,0)/1000</f>
        <v>-0.375</v>
      </c>
      <c r="L114" s="143">
        <f t="shared" si="3"/>
        <v>-141</v>
      </c>
      <c r="M114" s="144">
        <f t="shared" si="4"/>
        <v>-130.99999999999997</v>
      </c>
      <c r="N114" s="143">
        <f t="shared" si="5"/>
        <v>-125</v>
      </c>
      <c r="O114" s="143"/>
    </row>
    <row r="115" spans="1:15">
      <c r="A115" s="81">
        <f>'BC.115+260'!B114</f>
        <v>45352</v>
      </c>
      <c r="B115" s="143">
        <v>101</v>
      </c>
      <c r="C115" s="145">
        <f>'BC.115+260'!M114/1000</f>
        <v>0.96899999999999997</v>
      </c>
      <c r="D115" s="145">
        <f>'BC.115+260'!AA114</f>
        <v>1.3059999999999998</v>
      </c>
      <c r="E115" s="146">
        <f>'BC.115+260'!AB114</f>
        <v>1.0580000000000001</v>
      </c>
      <c r="F115" s="145">
        <f>VLOOKUP($A115,'BC.115+260'!$B$13:$X$489,8,0)/1000</f>
        <v>1.659</v>
      </c>
      <c r="G115" s="145">
        <f>VLOOKUP($A115,'BC.115+260'!$B$13:$X$489,9,0)/1000</f>
        <v>-0.34100000000000003</v>
      </c>
      <c r="H115" s="145">
        <f>VLOOKUP($A115,'BC.115+260'!$B$13:$X$489,14,0)/1000</f>
        <v>1.649</v>
      </c>
      <c r="I115" s="145">
        <f>VLOOKUP($A115,'BC.115+260'!$B$13:$X$489,15,0)/1000</f>
        <v>-0.35099999999999998</v>
      </c>
      <c r="J115" s="145">
        <f>VLOOKUP($A115,'BC.115+260'!$B$13:$X$489,20,0)/1000</f>
        <v>1.625</v>
      </c>
      <c r="K115" s="145">
        <f>VLOOKUP($A115,'BC.115+260'!$B$13:$X$489,21,0)/1000</f>
        <v>-0.375</v>
      </c>
      <c r="L115" s="143">
        <f t="shared" si="3"/>
        <v>-141</v>
      </c>
      <c r="M115" s="144">
        <f t="shared" si="4"/>
        <v>-130.99999999999997</v>
      </c>
      <c r="N115" s="143">
        <f t="shared" si="5"/>
        <v>-125</v>
      </c>
      <c r="O115" s="143"/>
    </row>
    <row r="116" spans="1:15">
      <c r="A116" s="81">
        <f>'BC.115+260'!B115</f>
        <v>45353</v>
      </c>
      <c r="B116" s="143">
        <v>102</v>
      </c>
      <c r="C116" s="145">
        <f>'BC.115+260'!M115/1000</f>
        <v>0.96899999999999997</v>
      </c>
      <c r="D116" s="145">
        <f>'BC.115+260'!AA115</f>
        <v>1.3059999999999998</v>
      </c>
      <c r="E116" s="146">
        <f>'BC.115+260'!AB115</f>
        <v>1.0580000000000001</v>
      </c>
      <c r="F116" s="145">
        <f>VLOOKUP($A116,'BC.115+260'!$B$13:$X$489,8,0)/1000</f>
        <v>1.659</v>
      </c>
      <c r="G116" s="145">
        <f>VLOOKUP($A116,'BC.115+260'!$B$13:$X$489,9,0)/1000</f>
        <v>-0.34100000000000003</v>
      </c>
      <c r="H116" s="145">
        <f>VLOOKUP($A116,'BC.115+260'!$B$13:$X$489,14,0)/1000</f>
        <v>1.649</v>
      </c>
      <c r="I116" s="145">
        <f>VLOOKUP($A116,'BC.115+260'!$B$13:$X$489,15,0)/1000</f>
        <v>-0.35099999999999998</v>
      </c>
      <c r="J116" s="145">
        <f>VLOOKUP($A116,'BC.115+260'!$B$13:$X$489,20,0)/1000</f>
        <v>1.625</v>
      </c>
      <c r="K116" s="145">
        <f>VLOOKUP($A116,'BC.115+260'!$B$13:$X$489,21,0)/1000</f>
        <v>-0.375</v>
      </c>
      <c r="L116" s="143">
        <f t="shared" si="3"/>
        <v>-141</v>
      </c>
      <c r="M116" s="144">
        <f t="shared" si="4"/>
        <v>-130.99999999999997</v>
      </c>
      <c r="N116" s="143">
        <f t="shared" si="5"/>
        <v>-125</v>
      </c>
      <c r="O116" s="143"/>
    </row>
    <row r="117" spans="1:15">
      <c r="A117" s="81">
        <f>'BC.115+260'!B116</f>
        <v>45354</v>
      </c>
      <c r="B117" s="143">
        <v>103</v>
      </c>
      <c r="C117" s="145">
        <f>'BC.115+260'!M116/1000</f>
        <v>0.96899999999999997</v>
      </c>
      <c r="D117" s="145">
        <f>'BC.115+260'!AA116</f>
        <v>1.3059999999999998</v>
      </c>
      <c r="E117" s="146">
        <f>'BC.115+260'!AB116</f>
        <v>1.0580000000000001</v>
      </c>
      <c r="F117" s="145">
        <f>VLOOKUP($A117,'BC.115+260'!$B$13:$X$489,8,0)/1000</f>
        <v>1.659</v>
      </c>
      <c r="G117" s="145">
        <f>VLOOKUP($A117,'BC.115+260'!$B$13:$X$489,9,0)/1000</f>
        <v>-0.34100000000000003</v>
      </c>
      <c r="H117" s="145">
        <f>VLOOKUP($A117,'BC.115+260'!$B$13:$X$489,14,0)/1000</f>
        <v>1.649</v>
      </c>
      <c r="I117" s="145">
        <f>VLOOKUP($A117,'BC.115+260'!$B$13:$X$489,15,0)/1000</f>
        <v>-0.35099999999999998</v>
      </c>
      <c r="J117" s="145">
        <f>VLOOKUP($A117,'BC.115+260'!$B$13:$X$489,20,0)/1000</f>
        <v>1.625</v>
      </c>
      <c r="K117" s="145">
        <f>VLOOKUP($A117,'BC.115+260'!$B$13:$X$489,21,0)/1000</f>
        <v>-0.375</v>
      </c>
      <c r="L117" s="143">
        <f t="shared" si="3"/>
        <v>-141</v>
      </c>
      <c r="M117" s="144">
        <f t="shared" si="4"/>
        <v>-130.99999999999997</v>
      </c>
      <c r="N117" s="143">
        <f t="shared" si="5"/>
        <v>-125</v>
      </c>
      <c r="O117" s="143"/>
    </row>
    <row r="118" spans="1:15">
      <c r="A118" s="81">
        <f>'BC.115+260'!B117</f>
        <v>45355</v>
      </c>
      <c r="B118" s="143">
        <v>104</v>
      </c>
      <c r="C118" s="145">
        <f>'BC.115+260'!M117/1000</f>
        <v>0.96899999999999997</v>
      </c>
      <c r="D118" s="145">
        <f>'BC.115+260'!AA117</f>
        <v>1.3059999999999998</v>
      </c>
      <c r="E118" s="146">
        <f>'BC.115+260'!AB117</f>
        <v>1.0580000000000001</v>
      </c>
      <c r="F118" s="145">
        <f>VLOOKUP($A118,'BC.115+260'!$B$13:$X$489,8,0)/1000</f>
        <v>1.659</v>
      </c>
      <c r="G118" s="145">
        <f>VLOOKUP($A118,'BC.115+260'!$B$13:$X$489,9,0)/1000</f>
        <v>-0.34100000000000003</v>
      </c>
      <c r="H118" s="145">
        <f>VLOOKUP($A118,'BC.115+260'!$B$13:$X$489,14,0)/1000</f>
        <v>1.649</v>
      </c>
      <c r="I118" s="145">
        <f>VLOOKUP($A118,'BC.115+260'!$B$13:$X$489,15,0)/1000</f>
        <v>-0.35099999999999998</v>
      </c>
      <c r="J118" s="145">
        <f>VLOOKUP($A118,'BC.115+260'!$B$13:$X$489,20,0)/1000</f>
        <v>1.625</v>
      </c>
      <c r="K118" s="145">
        <f>VLOOKUP($A118,'BC.115+260'!$B$13:$X$489,21,0)/1000</f>
        <v>-0.375</v>
      </c>
      <c r="L118" s="143">
        <f t="shared" si="3"/>
        <v>-141</v>
      </c>
      <c r="M118" s="144">
        <f t="shared" si="4"/>
        <v>-130.99999999999997</v>
      </c>
      <c r="N118" s="143">
        <f t="shared" si="5"/>
        <v>-125</v>
      </c>
      <c r="O118" s="143"/>
    </row>
    <row r="119" spans="1:15">
      <c r="A119" s="81">
        <f>'BC.115+260'!B118</f>
        <v>45356</v>
      </c>
      <c r="B119" s="143">
        <v>105</v>
      </c>
      <c r="C119" s="145">
        <f>'BC.115+260'!M118/1000</f>
        <v>0.96899999999999997</v>
      </c>
      <c r="D119" s="145">
        <f>'BC.115+260'!AA118</f>
        <v>1.3059999999999998</v>
      </c>
      <c r="E119" s="146">
        <f>'BC.115+260'!AB118</f>
        <v>1.0580000000000001</v>
      </c>
      <c r="F119" s="145">
        <f>VLOOKUP($A119,'BC.115+260'!$B$13:$X$489,8,0)/1000</f>
        <v>1.659</v>
      </c>
      <c r="G119" s="145">
        <f>VLOOKUP($A119,'BC.115+260'!$B$13:$X$489,9,0)/1000</f>
        <v>-0.34100000000000003</v>
      </c>
      <c r="H119" s="145">
        <f>VLOOKUP($A119,'BC.115+260'!$B$13:$X$489,14,0)/1000</f>
        <v>1.649</v>
      </c>
      <c r="I119" s="145">
        <f>VLOOKUP($A119,'BC.115+260'!$B$13:$X$489,15,0)/1000</f>
        <v>-0.35099999999999998</v>
      </c>
      <c r="J119" s="145">
        <f>VLOOKUP($A119,'BC.115+260'!$B$13:$X$489,20,0)/1000</f>
        <v>1.625</v>
      </c>
      <c r="K119" s="145">
        <f>VLOOKUP($A119,'BC.115+260'!$B$13:$X$489,21,0)/1000</f>
        <v>-0.375</v>
      </c>
      <c r="L119" s="143">
        <f t="shared" si="3"/>
        <v>-141</v>
      </c>
      <c r="M119" s="144">
        <f t="shared" si="4"/>
        <v>-130.99999999999997</v>
      </c>
      <c r="N119" s="143">
        <f t="shared" si="5"/>
        <v>-125</v>
      </c>
      <c r="O119" s="143"/>
    </row>
    <row r="120" spans="1:15">
      <c r="A120" s="81">
        <f>'BC.115+260'!B119</f>
        <v>45357</v>
      </c>
      <c r="B120" s="143">
        <v>106</v>
      </c>
      <c r="C120" s="145">
        <f>'BC.115+260'!M119/1000</f>
        <v>0.96899999999999997</v>
      </c>
      <c r="D120" s="145">
        <f>'BC.115+260'!AA119</f>
        <v>1.3059999999999998</v>
      </c>
      <c r="E120" s="146">
        <f>'BC.115+260'!AB119</f>
        <v>1.0580000000000001</v>
      </c>
      <c r="F120" s="145">
        <f>VLOOKUP($A120,'BC.115+260'!$B$13:$X$489,8,0)/1000</f>
        <v>1.659</v>
      </c>
      <c r="G120" s="145">
        <f>VLOOKUP($A120,'BC.115+260'!$B$13:$X$489,9,0)/1000</f>
        <v>-0.34100000000000003</v>
      </c>
      <c r="H120" s="145">
        <f>VLOOKUP($A120,'BC.115+260'!$B$13:$X$489,14,0)/1000</f>
        <v>1.649</v>
      </c>
      <c r="I120" s="145">
        <f>VLOOKUP($A120,'BC.115+260'!$B$13:$X$489,15,0)/1000</f>
        <v>-0.35099999999999998</v>
      </c>
      <c r="J120" s="145">
        <f>VLOOKUP($A120,'BC.115+260'!$B$13:$X$489,20,0)/1000</f>
        <v>1.625</v>
      </c>
      <c r="K120" s="145">
        <f>VLOOKUP($A120,'BC.115+260'!$B$13:$X$489,21,0)/1000</f>
        <v>-0.375</v>
      </c>
      <c r="L120" s="143">
        <f t="shared" si="3"/>
        <v>-141</v>
      </c>
      <c r="M120" s="144">
        <f t="shared" si="4"/>
        <v>-130.99999999999997</v>
      </c>
      <c r="N120" s="143">
        <f t="shared" si="5"/>
        <v>-125</v>
      </c>
      <c r="O120" s="143"/>
    </row>
    <row r="121" spans="1:15">
      <c r="A121" s="81">
        <f>'BC.115+260'!B120</f>
        <v>45358</v>
      </c>
      <c r="B121" s="143">
        <v>107</v>
      </c>
      <c r="C121" s="145">
        <f>'BC.115+260'!M120/1000</f>
        <v>0.96899999999999997</v>
      </c>
      <c r="D121" s="145">
        <f>'BC.115+260'!AA120</f>
        <v>1.3059999999999998</v>
      </c>
      <c r="E121" s="146">
        <f>'BC.115+260'!AB120</f>
        <v>1.0580000000000001</v>
      </c>
      <c r="F121" s="145">
        <f>VLOOKUP($A121,'BC.115+260'!$B$13:$X$489,8,0)/1000</f>
        <v>1.659</v>
      </c>
      <c r="G121" s="145">
        <f>VLOOKUP($A121,'BC.115+260'!$B$13:$X$489,9,0)/1000</f>
        <v>-0.34100000000000003</v>
      </c>
      <c r="H121" s="145">
        <f>VLOOKUP($A121,'BC.115+260'!$B$13:$X$489,14,0)/1000</f>
        <v>1.649</v>
      </c>
      <c r="I121" s="145">
        <f>VLOOKUP($A121,'BC.115+260'!$B$13:$X$489,15,0)/1000</f>
        <v>-0.35099999999999998</v>
      </c>
      <c r="J121" s="145">
        <f>VLOOKUP($A121,'BC.115+260'!$B$13:$X$489,20,0)/1000</f>
        <v>1.625</v>
      </c>
      <c r="K121" s="145">
        <f>VLOOKUP($A121,'BC.115+260'!$B$13:$X$489,21,0)/1000</f>
        <v>-0.375</v>
      </c>
      <c r="L121" s="143">
        <f t="shared" si="3"/>
        <v>-141</v>
      </c>
      <c r="M121" s="144">
        <f t="shared" si="4"/>
        <v>-130.99999999999997</v>
      </c>
      <c r="N121" s="143">
        <f t="shared" si="5"/>
        <v>-125</v>
      </c>
      <c r="O121" s="143"/>
    </row>
    <row r="122" spans="1:15">
      <c r="A122" s="81">
        <f>'BC.115+260'!B121</f>
        <v>45359</v>
      </c>
      <c r="B122" s="143">
        <v>108</v>
      </c>
      <c r="C122" s="145">
        <f>'BC.115+260'!M121/1000</f>
        <v>0.96899999999999997</v>
      </c>
      <c r="D122" s="145">
        <f>'BC.115+260'!AA121</f>
        <v>1.3059999999999998</v>
      </c>
      <c r="E122" s="146">
        <f>'BC.115+260'!AB121</f>
        <v>1.0580000000000001</v>
      </c>
      <c r="F122" s="145">
        <f>VLOOKUP($A122,'BC.115+260'!$B$13:$X$489,8,0)/1000</f>
        <v>1.659</v>
      </c>
      <c r="G122" s="145">
        <f>VLOOKUP($A122,'BC.115+260'!$B$13:$X$489,9,0)/1000</f>
        <v>-0.34100000000000003</v>
      </c>
      <c r="H122" s="145">
        <f>VLOOKUP($A122,'BC.115+260'!$B$13:$X$489,14,0)/1000</f>
        <v>1.649</v>
      </c>
      <c r="I122" s="145">
        <f>VLOOKUP($A122,'BC.115+260'!$B$13:$X$489,15,0)/1000</f>
        <v>-0.35099999999999998</v>
      </c>
      <c r="J122" s="145">
        <f>VLOOKUP($A122,'BC.115+260'!$B$13:$X$489,20,0)/1000</f>
        <v>1.625</v>
      </c>
      <c r="K122" s="145">
        <f>VLOOKUP($A122,'BC.115+260'!$B$13:$X$489,21,0)/1000</f>
        <v>-0.375</v>
      </c>
      <c r="L122" s="143">
        <f t="shared" si="3"/>
        <v>-141</v>
      </c>
      <c r="M122" s="144">
        <f t="shared" si="4"/>
        <v>-130.99999999999997</v>
      </c>
      <c r="N122" s="143">
        <f t="shared" si="5"/>
        <v>-125</v>
      </c>
      <c r="O122" s="143"/>
    </row>
    <row r="123" spans="1:15">
      <c r="A123" s="81">
        <f>'BC.115+260'!B122</f>
        <v>45360</v>
      </c>
      <c r="B123" s="143">
        <v>109</v>
      </c>
      <c r="C123" s="145">
        <f>'BC.115+260'!M122/1000</f>
        <v>0.96899999999999997</v>
      </c>
      <c r="D123" s="145">
        <f>'BC.115+260'!AA122</f>
        <v>1.3059999999999998</v>
      </c>
      <c r="E123" s="146">
        <f>'BC.115+260'!AB122</f>
        <v>1.0580000000000001</v>
      </c>
      <c r="F123" s="145">
        <f>VLOOKUP($A123,'BC.115+260'!$B$13:$X$489,8,0)/1000</f>
        <v>1.659</v>
      </c>
      <c r="G123" s="145">
        <f>VLOOKUP($A123,'BC.115+260'!$B$13:$X$489,9,0)/1000</f>
        <v>-0.34100000000000003</v>
      </c>
      <c r="H123" s="145">
        <f>VLOOKUP($A123,'BC.115+260'!$B$13:$X$489,14,0)/1000</f>
        <v>1.649</v>
      </c>
      <c r="I123" s="145">
        <f>VLOOKUP($A123,'BC.115+260'!$B$13:$X$489,15,0)/1000</f>
        <v>-0.35099999999999998</v>
      </c>
      <c r="J123" s="145">
        <f>VLOOKUP($A123,'BC.115+260'!$B$13:$X$489,20,0)/1000</f>
        <v>1.625</v>
      </c>
      <c r="K123" s="145">
        <f>VLOOKUP($A123,'BC.115+260'!$B$13:$X$489,21,0)/1000</f>
        <v>-0.375</v>
      </c>
      <c r="L123" s="143">
        <f t="shared" si="3"/>
        <v>-141</v>
      </c>
      <c r="M123" s="144">
        <f t="shared" si="4"/>
        <v>-130.99999999999997</v>
      </c>
      <c r="N123" s="143">
        <f t="shared" si="5"/>
        <v>-125</v>
      </c>
      <c r="O123" s="143"/>
    </row>
    <row r="124" spans="1:15">
      <c r="A124" s="81">
        <f>'BC.115+260'!B123</f>
        <v>45361</v>
      </c>
      <c r="B124" s="143">
        <v>110</v>
      </c>
      <c r="C124" s="145">
        <f>'BC.115+260'!M123/1000</f>
        <v>0.96899999999999997</v>
      </c>
      <c r="D124" s="145">
        <f>'BC.115+260'!AA123</f>
        <v>1.3059999999999998</v>
      </c>
      <c r="E124" s="146">
        <f>'BC.115+260'!AB123</f>
        <v>1.0580000000000001</v>
      </c>
      <c r="F124" s="145">
        <f>VLOOKUP($A124,'BC.115+260'!$B$13:$X$489,8,0)/1000</f>
        <v>1.659</v>
      </c>
      <c r="G124" s="145">
        <f>VLOOKUP($A124,'BC.115+260'!$B$13:$X$489,9,0)/1000</f>
        <v>-0.34100000000000003</v>
      </c>
      <c r="H124" s="145">
        <f>VLOOKUP($A124,'BC.115+260'!$B$13:$X$489,14,0)/1000</f>
        <v>1.649</v>
      </c>
      <c r="I124" s="145">
        <f>VLOOKUP($A124,'BC.115+260'!$B$13:$X$489,15,0)/1000</f>
        <v>-0.35099999999999998</v>
      </c>
      <c r="J124" s="145">
        <f>VLOOKUP($A124,'BC.115+260'!$B$13:$X$489,20,0)/1000</f>
        <v>1.625</v>
      </c>
      <c r="K124" s="145">
        <f>VLOOKUP($A124,'BC.115+260'!$B$13:$X$489,21,0)/1000</f>
        <v>-0.375</v>
      </c>
      <c r="L124" s="143">
        <f t="shared" si="3"/>
        <v>-141</v>
      </c>
      <c r="M124" s="144">
        <f t="shared" si="4"/>
        <v>-130.99999999999997</v>
      </c>
      <c r="N124" s="143">
        <f t="shared" si="5"/>
        <v>-125</v>
      </c>
      <c r="O124" s="143"/>
    </row>
    <row r="125" spans="1:15">
      <c r="A125" s="81">
        <f>'BC.115+260'!B124</f>
        <v>45362</v>
      </c>
      <c r="B125" s="143">
        <v>111</v>
      </c>
      <c r="C125" s="145">
        <f>'BC.115+260'!M124/1000</f>
        <v>0.96899999999999997</v>
      </c>
      <c r="D125" s="145">
        <f>'BC.115+260'!AA124</f>
        <v>1.3059999999999998</v>
      </c>
      <c r="E125" s="146">
        <f>'BC.115+260'!AB124</f>
        <v>1.0580000000000001</v>
      </c>
      <c r="F125" s="145">
        <f>VLOOKUP($A125,'BC.115+260'!$B$13:$X$489,8,0)/1000</f>
        <v>1.659</v>
      </c>
      <c r="G125" s="145">
        <f>VLOOKUP($A125,'BC.115+260'!$B$13:$X$489,9,0)/1000</f>
        <v>-0.34100000000000003</v>
      </c>
      <c r="H125" s="145">
        <f>VLOOKUP($A125,'BC.115+260'!$B$13:$X$489,14,0)/1000</f>
        <v>1.649</v>
      </c>
      <c r="I125" s="145">
        <f>VLOOKUP($A125,'BC.115+260'!$B$13:$X$489,15,0)/1000</f>
        <v>-0.35099999999999998</v>
      </c>
      <c r="J125" s="145">
        <f>VLOOKUP($A125,'BC.115+260'!$B$13:$X$489,20,0)/1000</f>
        <v>1.625</v>
      </c>
      <c r="K125" s="145">
        <f>VLOOKUP($A125,'BC.115+260'!$B$13:$X$489,21,0)/1000</f>
        <v>-0.375</v>
      </c>
      <c r="L125" s="143">
        <f t="shared" si="3"/>
        <v>-141</v>
      </c>
      <c r="M125" s="144">
        <f t="shared" si="4"/>
        <v>-130.99999999999997</v>
      </c>
      <c r="N125" s="143">
        <f t="shared" si="5"/>
        <v>-125</v>
      </c>
      <c r="O125" s="143"/>
    </row>
    <row r="126" spans="1:15">
      <c r="A126" s="81">
        <f>'BC.115+260'!B125</f>
        <v>45363</v>
      </c>
      <c r="B126" s="143">
        <v>112</v>
      </c>
      <c r="C126" s="145">
        <f>'BC.115+260'!M125/1000</f>
        <v>0.96899999999999997</v>
      </c>
      <c r="D126" s="145">
        <f>'BC.115+260'!AA125</f>
        <v>1.3059999999999998</v>
      </c>
      <c r="E126" s="146">
        <f>'BC.115+260'!AB125</f>
        <v>1.0580000000000001</v>
      </c>
      <c r="F126" s="145">
        <f>VLOOKUP($A126,'BC.115+260'!$B$13:$X$489,8,0)/1000</f>
        <v>1.659</v>
      </c>
      <c r="G126" s="145">
        <f>VLOOKUP($A126,'BC.115+260'!$B$13:$X$489,9,0)/1000</f>
        <v>-0.34100000000000003</v>
      </c>
      <c r="H126" s="145">
        <f>VLOOKUP($A126,'BC.115+260'!$B$13:$X$489,14,0)/1000</f>
        <v>1.649</v>
      </c>
      <c r="I126" s="145">
        <f>VLOOKUP($A126,'BC.115+260'!$B$13:$X$489,15,0)/1000</f>
        <v>-0.35099999999999998</v>
      </c>
      <c r="J126" s="145">
        <f>VLOOKUP($A126,'BC.115+260'!$B$13:$X$489,20,0)/1000</f>
        <v>1.625</v>
      </c>
      <c r="K126" s="145">
        <f>VLOOKUP($A126,'BC.115+260'!$B$13:$X$489,21,0)/1000</f>
        <v>-0.375</v>
      </c>
      <c r="L126" s="143">
        <f t="shared" si="3"/>
        <v>-141</v>
      </c>
      <c r="M126" s="144">
        <f t="shared" si="4"/>
        <v>-130.99999999999997</v>
      </c>
      <c r="N126" s="143">
        <f t="shared" si="5"/>
        <v>-125</v>
      </c>
      <c r="O126" s="143"/>
    </row>
    <row r="127" spans="1:15">
      <c r="A127" s="81">
        <f>'BC.115+260'!B126</f>
        <v>45364</v>
      </c>
      <c r="B127" s="143">
        <v>113</v>
      </c>
      <c r="C127" s="145">
        <f>'BC.115+260'!M126/1000</f>
        <v>0.96899999999999997</v>
      </c>
      <c r="D127" s="145">
        <f>'BC.115+260'!AA126</f>
        <v>1.3059999999999998</v>
      </c>
      <c r="E127" s="146">
        <f>'BC.115+260'!AB126</f>
        <v>1.0580000000000001</v>
      </c>
      <c r="F127" s="145">
        <f>VLOOKUP($A127,'BC.115+260'!$B$13:$X$489,8,0)/1000</f>
        <v>1.659</v>
      </c>
      <c r="G127" s="145">
        <f>VLOOKUP($A127,'BC.115+260'!$B$13:$X$489,9,0)/1000</f>
        <v>-0.34100000000000003</v>
      </c>
      <c r="H127" s="145">
        <f>VLOOKUP($A127,'BC.115+260'!$B$13:$X$489,14,0)/1000</f>
        <v>1.649</v>
      </c>
      <c r="I127" s="145">
        <f>VLOOKUP($A127,'BC.115+260'!$B$13:$X$489,15,0)/1000</f>
        <v>-0.35099999999999998</v>
      </c>
      <c r="J127" s="145">
        <f>VLOOKUP($A127,'BC.115+260'!$B$13:$X$489,20,0)/1000</f>
        <v>1.625</v>
      </c>
      <c r="K127" s="145">
        <f>VLOOKUP($A127,'BC.115+260'!$B$13:$X$489,21,0)/1000</f>
        <v>-0.375</v>
      </c>
      <c r="L127" s="143">
        <f t="shared" si="3"/>
        <v>-141</v>
      </c>
      <c r="M127" s="144">
        <f t="shared" si="4"/>
        <v>-130.99999999999997</v>
      </c>
      <c r="N127" s="143">
        <f t="shared" si="5"/>
        <v>-125</v>
      </c>
      <c r="O127" s="143"/>
    </row>
    <row r="128" spans="1:15">
      <c r="A128" s="81">
        <f>'BC.115+260'!B127</f>
        <v>45365</v>
      </c>
      <c r="B128" s="143">
        <v>114</v>
      </c>
      <c r="C128" s="145">
        <f>'BC.115+260'!M127/1000</f>
        <v>0.96899999999999997</v>
      </c>
      <c r="D128" s="145">
        <f>'BC.115+260'!AA127</f>
        <v>1.3059999999999998</v>
      </c>
      <c r="E128" s="146">
        <f>'BC.115+260'!AB127</f>
        <v>1.0580000000000001</v>
      </c>
      <c r="F128" s="145">
        <f>VLOOKUP($A128,'BC.115+260'!$B$13:$X$489,8,0)/1000</f>
        <v>1.659</v>
      </c>
      <c r="G128" s="145">
        <f>VLOOKUP($A128,'BC.115+260'!$B$13:$X$489,9,0)/1000</f>
        <v>-0.34100000000000003</v>
      </c>
      <c r="H128" s="145">
        <f>VLOOKUP($A128,'BC.115+260'!$B$13:$X$489,14,0)/1000</f>
        <v>1.649</v>
      </c>
      <c r="I128" s="145">
        <f>VLOOKUP($A128,'BC.115+260'!$B$13:$X$489,15,0)/1000</f>
        <v>-0.35099999999999998</v>
      </c>
      <c r="J128" s="145">
        <f>VLOOKUP($A128,'BC.115+260'!$B$13:$X$489,20,0)/1000</f>
        <v>1.625</v>
      </c>
      <c r="K128" s="145">
        <f>VLOOKUP($A128,'BC.115+260'!$B$13:$X$489,21,0)/1000</f>
        <v>-0.375</v>
      </c>
      <c r="L128" s="143">
        <f t="shared" si="3"/>
        <v>-141</v>
      </c>
      <c r="M128" s="144">
        <f t="shared" si="4"/>
        <v>-130.99999999999997</v>
      </c>
      <c r="N128" s="143">
        <f t="shared" si="5"/>
        <v>-125</v>
      </c>
      <c r="O128" s="143"/>
    </row>
    <row r="129" spans="1:15">
      <c r="A129" s="81">
        <f>'BC.115+260'!B128</f>
        <v>45366</v>
      </c>
      <c r="B129" s="143">
        <v>115</v>
      </c>
      <c r="C129" s="145">
        <f>'BC.115+260'!M128/1000</f>
        <v>0.96899999999999997</v>
      </c>
      <c r="D129" s="145">
        <f>'BC.115+260'!AA128</f>
        <v>1.3059999999999998</v>
      </c>
      <c r="E129" s="146">
        <f>'BC.115+260'!AB128</f>
        <v>1.0580000000000001</v>
      </c>
      <c r="F129" s="145">
        <f>VLOOKUP($A129,'BC.115+260'!$B$13:$X$489,8,0)/1000</f>
        <v>1.659</v>
      </c>
      <c r="G129" s="145">
        <f>VLOOKUP($A129,'BC.115+260'!$B$13:$X$489,9,0)/1000</f>
        <v>-0.34100000000000003</v>
      </c>
      <c r="H129" s="145">
        <f>VLOOKUP($A129,'BC.115+260'!$B$13:$X$489,14,0)/1000</f>
        <v>1.649</v>
      </c>
      <c r="I129" s="145">
        <f>VLOOKUP($A129,'BC.115+260'!$B$13:$X$489,15,0)/1000</f>
        <v>-0.35099999999999998</v>
      </c>
      <c r="J129" s="145">
        <f>VLOOKUP($A129,'BC.115+260'!$B$13:$X$489,20,0)/1000</f>
        <v>1.625</v>
      </c>
      <c r="K129" s="145">
        <f>VLOOKUP($A129,'BC.115+260'!$B$13:$X$489,21,0)/1000</f>
        <v>-0.375</v>
      </c>
      <c r="L129" s="143">
        <f t="shared" si="3"/>
        <v>-141</v>
      </c>
      <c r="M129" s="144">
        <f t="shared" si="4"/>
        <v>-130.99999999999997</v>
      </c>
      <c r="N129" s="143">
        <f t="shared" si="5"/>
        <v>-125</v>
      </c>
      <c r="O129" s="143"/>
    </row>
    <row r="130" spans="1:15">
      <c r="A130" s="81">
        <f>'BC.115+260'!B129</f>
        <v>45367</v>
      </c>
      <c r="B130" s="143">
        <v>116</v>
      </c>
      <c r="C130" s="145">
        <f>'BC.115+260'!M129/1000</f>
        <v>0.96899999999999997</v>
      </c>
      <c r="D130" s="145">
        <f>'BC.115+260'!AA129</f>
        <v>1.3059999999999998</v>
      </c>
      <c r="E130" s="146">
        <f>'BC.115+260'!AB129</f>
        <v>1.0580000000000001</v>
      </c>
      <c r="F130" s="145">
        <f>VLOOKUP($A130,'BC.115+260'!$B$13:$X$489,8,0)/1000</f>
        <v>1.659</v>
      </c>
      <c r="G130" s="145">
        <f>VLOOKUP($A130,'BC.115+260'!$B$13:$X$489,9,0)/1000</f>
        <v>-0.34100000000000003</v>
      </c>
      <c r="H130" s="145">
        <f>VLOOKUP($A130,'BC.115+260'!$B$13:$X$489,14,0)/1000</f>
        <v>1.649</v>
      </c>
      <c r="I130" s="145">
        <f>VLOOKUP($A130,'BC.115+260'!$B$13:$X$489,15,0)/1000</f>
        <v>-0.35099999999999998</v>
      </c>
      <c r="J130" s="145">
        <f>VLOOKUP($A130,'BC.115+260'!$B$13:$X$489,20,0)/1000</f>
        <v>1.625</v>
      </c>
      <c r="K130" s="145">
        <f>VLOOKUP($A130,'BC.115+260'!$B$13:$X$489,21,0)/1000</f>
        <v>-0.375</v>
      </c>
      <c r="L130" s="143">
        <f t="shared" si="3"/>
        <v>-141</v>
      </c>
      <c r="M130" s="144">
        <f t="shared" si="4"/>
        <v>-130.99999999999997</v>
      </c>
      <c r="N130" s="143">
        <f t="shared" si="5"/>
        <v>-125</v>
      </c>
      <c r="O130" s="143"/>
    </row>
    <row r="131" spans="1:15">
      <c r="A131" s="81">
        <f>'BC.115+260'!B130</f>
        <v>45368</v>
      </c>
      <c r="B131" s="143">
        <v>117</v>
      </c>
      <c r="C131" s="145">
        <f>'BC.115+260'!M130/1000</f>
        <v>0.96899999999999997</v>
      </c>
      <c r="D131" s="145">
        <f>'BC.115+260'!AA130</f>
        <v>1.3059999999999998</v>
      </c>
      <c r="E131" s="146">
        <f>'BC.115+260'!AB130</f>
        <v>1.0580000000000001</v>
      </c>
      <c r="F131" s="145">
        <f>VLOOKUP($A131,'BC.115+260'!$B$13:$X$489,8,0)/1000</f>
        <v>1.659</v>
      </c>
      <c r="G131" s="145">
        <f>VLOOKUP($A131,'BC.115+260'!$B$13:$X$489,9,0)/1000</f>
        <v>-0.34100000000000003</v>
      </c>
      <c r="H131" s="145">
        <f>VLOOKUP($A131,'BC.115+260'!$B$13:$X$489,14,0)/1000</f>
        <v>1.649</v>
      </c>
      <c r="I131" s="145">
        <f>VLOOKUP($A131,'BC.115+260'!$B$13:$X$489,15,0)/1000</f>
        <v>-0.35099999999999998</v>
      </c>
      <c r="J131" s="145">
        <f>VLOOKUP($A131,'BC.115+260'!$B$13:$X$489,20,0)/1000</f>
        <v>1.625</v>
      </c>
      <c r="K131" s="145">
        <f>VLOOKUP($A131,'BC.115+260'!$B$13:$X$489,21,0)/1000</f>
        <v>-0.375</v>
      </c>
      <c r="L131" s="143">
        <f t="shared" si="3"/>
        <v>-141</v>
      </c>
      <c r="M131" s="144">
        <f t="shared" si="4"/>
        <v>-130.99999999999997</v>
      </c>
      <c r="N131" s="143">
        <f t="shared" si="5"/>
        <v>-125</v>
      </c>
      <c r="O131" s="143"/>
    </row>
    <row r="132" spans="1:15">
      <c r="A132" s="81">
        <f>'BC.115+260'!B131</f>
        <v>45369</v>
      </c>
      <c r="B132" s="143">
        <v>118</v>
      </c>
      <c r="C132" s="145">
        <f>'BC.115+260'!M131/1000</f>
        <v>0.96899999999999997</v>
      </c>
      <c r="D132" s="145">
        <f>'BC.115+260'!AA131</f>
        <v>1.3059999999999998</v>
      </c>
      <c r="E132" s="146">
        <f>'BC.115+260'!AB131</f>
        <v>1.0580000000000001</v>
      </c>
      <c r="F132" s="145">
        <f>VLOOKUP($A132,'BC.115+260'!$B$13:$X$489,8,0)/1000</f>
        <v>1.659</v>
      </c>
      <c r="G132" s="145">
        <f>VLOOKUP($A132,'BC.115+260'!$B$13:$X$489,9,0)/1000</f>
        <v>-0.34100000000000003</v>
      </c>
      <c r="H132" s="145">
        <f>VLOOKUP($A132,'BC.115+260'!$B$13:$X$489,14,0)/1000</f>
        <v>1.649</v>
      </c>
      <c r="I132" s="145">
        <f>VLOOKUP($A132,'BC.115+260'!$B$13:$X$489,15,0)/1000</f>
        <v>-0.35099999999999998</v>
      </c>
      <c r="J132" s="145">
        <f>VLOOKUP($A132,'BC.115+260'!$B$13:$X$489,20,0)/1000</f>
        <v>1.625</v>
      </c>
      <c r="K132" s="145">
        <f>VLOOKUP($A132,'BC.115+260'!$B$13:$X$489,21,0)/1000</f>
        <v>-0.375</v>
      </c>
      <c r="L132" s="143">
        <f t="shared" si="3"/>
        <v>-141</v>
      </c>
      <c r="M132" s="144">
        <f t="shared" si="4"/>
        <v>-130.99999999999997</v>
      </c>
      <c r="N132" s="143">
        <f t="shared" si="5"/>
        <v>-125</v>
      </c>
      <c r="O132" s="143"/>
    </row>
    <row r="133" spans="1:15">
      <c r="A133" s="81">
        <f>'BC.115+260'!B132</f>
        <v>45370</v>
      </c>
      <c r="B133" s="143">
        <v>119</v>
      </c>
      <c r="C133" s="145">
        <f>'BC.115+260'!M132/1000</f>
        <v>0.96899999999999997</v>
      </c>
      <c r="D133" s="145">
        <f>'BC.115+260'!AA132</f>
        <v>1.3059999999999998</v>
      </c>
      <c r="E133" s="146">
        <f>'BC.115+260'!AB132</f>
        <v>1.0580000000000001</v>
      </c>
      <c r="F133" s="145">
        <f>VLOOKUP($A133,'BC.115+260'!$B$13:$X$489,8,0)/1000</f>
        <v>1.659</v>
      </c>
      <c r="G133" s="145">
        <f>VLOOKUP($A133,'BC.115+260'!$B$13:$X$489,9,0)/1000</f>
        <v>-0.34100000000000003</v>
      </c>
      <c r="H133" s="145">
        <f>VLOOKUP($A133,'BC.115+260'!$B$13:$X$489,14,0)/1000</f>
        <v>1.649</v>
      </c>
      <c r="I133" s="145">
        <f>VLOOKUP($A133,'BC.115+260'!$B$13:$X$489,15,0)/1000</f>
        <v>-0.35099999999999998</v>
      </c>
      <c r="J133" s="145">
        <f>VLOOKUP($A133,'BC.115+260'!$B$13:$X$489,20,0)/1000</f>
        <v>1.625</v>
      </c>
      <c r="K133" s="145">
        <f>VLOOKUP($A133,'BC.115+260'!$B$13:$X$489,21,0)/1000</f>
        <v>-0.375</v>
      </c>
      <c r="L133" s="143">
        <f t="shared" si="3"/>
        <v>-141</v>
      </c>
      <c r="M133" s="144">
        <f t="shared" si="4"/>
        <v>-130.99999999999997</v>
      </c>
      <c r="N133" s="143">
        <f t="shared" si="5"/>
        <v>-125</v>
      </c>
      <c r="O133" s="143"/>
    </row>
    <row r="134" spans="1:15">
      <c r="A134" s="81">
        <f>'BC.115+260'!B133</f>
        <v>45371</v>
      </c>
      <c r="B134" s="143">
        <v>120</v>
      </c>
      <c r="C134" s="145">
        <f>'BC.115+260'!M133/1000</f>
        <v>0.96899999999999997</v>
      </c>
      <c r="D134" s="145">
        <f>'BC.115+260'!AA133</f>
        <v>1.3059999999999998</v>
      </c>
      <c r="E134" s="146">
        <f>'BC.115+260'!AB133</f>
        <v>1.0580000000000001</v>
      </c>
      <c r="F134" s="145">
        <f>VLOOKUP($A134,'BC.115+260'!$B$13:$X$489,8,0)/1000</f>
        <v>1.659</v>
      </c>
      <c r="G134" s="145">
        <f>VLOOKUP($A134,'BC.115+260'!$B$13:$X$489,9,0)/1000</f>
        <v>-0.34100000000000003</v>
      </c>
      <c r="H134" s="145">
        <f>VLOOKUP($A134,'BC.115+260'!$B$13:$X$489,14,0)/1000</f>
        <v>1.649</v>
      </c>
      <c r="I134" s="145">
        <f>VLOOKUP($A134,'BC.115+260'!$B$13:$X$489,15,0)/1000</f>
        <v>-0.35099999999999998</v>
      </c>
      <c r="J134" s="145">
        <f>VLOOKUP($A134,'BC.115+260'!$B$13:$X$489,20,0)/1000</f>
        <v>1.625</v>
      </c>
      <c r="K134" s="145">
        <f>VLOOKUP($A134,'BC.115+260'!$B$13:$X$489,21,0)/1000</f>
        <v>-0.375</v>
      </c>
      <c r="L134" s="143">
        <f t="shared" si="3"/>
        <v>-141</v>
      </c>
      <c r="M134" s="144">
        <f t="shared" si="4"/>
        <v>-130.99999999999997</v>
      </c>
      <c r="N134" s="143">
        <f t="shared" si="5"/>
        <v>-125</v>
      </c>
      <c r="O134" s="147"/>
    </row>
    <row r="135" spans="1:15">
      <c r="A135" s="81">
        <f>'BC.115+260'!B134</f>
        <v>45372</v>
      </c>
      <c r="B135" s="143">
        <v>121</v>
      </c>
      <c r="C135" s="145">
        <f>'BC.115+260'!M134/1000</f>
        <v>0.96899999999999997</v>
      </c>
      <c r="D135" s="145">
        <f>'BC.115+260'!AA134</f>
        <v>1.3059999999999998</v>
      </c>
      <c r="E135" s="146">
        <f>'BC.115+260'!AB134</f>
        <v>1.0580000000000001</v>
      </c>
      <c r="F135" s="145">
        <f>VLOOKUP($A135,'BC.115+260'!$B$13:$X$489,8,0)/1000</f>
        <v>1.659</v>
      </c>
      <c r="G135" s="145">
        <f>VLOOKUP($A135,'BC.115+260'!$B$13:$X$489,9,0)/1000</f>
        <v>-0.34100000000000003</v>
      </c>
      <c r="H135" s="145">
        <f>VLOOKUP($A135,'BC.115+260'!$B$13:$X$489,14,0)/1000</f>
        <v>1.649</v>
      </c>
      <c r="I135" s="145">
        <f>VLOOKUP($A135,'BC.115+260'!$B$13:$X$489,15,0)/1000</f>
        <v>-0.35099999999999998</v>
      </c>
      <c r="J135" s="145">
        <f>VLOOKUP($A135,'BC.115+260'!$B$13:$X$489,20,0)/1000</f>
        <v>1.625</v>
      </c>
      <c r="K135" s="145">
        <f>VLOOKUP($A135,'BC.115+260'!$B$13:$X$489,21,0)/1000</f>
        <v>-0.375</v>
      </c>
      <c r="L135" s="143">
        <f t="shared" si="3"/>
        <v>-141</v>
      </c>
      <c r="M135" s="144">
        <f t="shared" si="4"/>
        <v>-130.99999999999997</v>
      </c>
      <c r="N135" s="143">
        <f t="shared" si="5"/>
        <v>-125</v>
      </c>
      <c r="O135" s="143"/>
    </row>
    <row r="136" spans="1:15">
      <c r="A136" s="81">
        <f>'BC.115+260'!B135</f>
        <v>45373</v>
      </c>
      <c r="B136" s="143">
        <v>122</v>
      </c>
      <c r="C136" s="145">
        <f>'BC.115+260'!M135/1000</f>
        <v>0.96899999999999997</v>
      </c>
      <c r="D136" s="145">
        <f>'BC.115+260'!AA135</f>
        <v>1.3059999999999998</v>
      </c>
      <c r="E136" s="146">
        <f>'BC.115+260'!AB135</f>
        <v>1.0580000000000001</v>
      </c>
      <c r="F136" s="145">
        <f>VLOOKUP($A136,'BC.115+260'!$B$13:$X$489,8,0)/1000</f>
        <v>1.659</v>
      </c>
      <c r="G136" s="145">
        <f>VLOOKUP($A136,'BC.115+260'!$B$13:$X$489,9,0)/1000</f>
        <v>-0.34100000000000003</v>
      </c>
      <c r="H136" s="145">
        <f>VLOOKUP($A136,'BC.115+260'!$B$13:$X$489,14,0)/1000</f>
        <v>1.649</v>
      </c>
      <c r="I136" s="145">
        <f>VLOOKUP($A136,'BC.115+260'!$B$13:$X$489,15,0)/1000</f>
        <v>-0.35099999999999998</v>
      </c>
      <c r="J136" s="145">
        <f>VLOOKUP($A136,'BC.115+260'!$B$13:$X$489,20,0)/1000</f>
        <v>1.625</v>
      </c>
      <c r="K136" s="145">
        <f>VLOOKUP($A136,'BC.115+260'!$B$13:$X$489,21,0)/1000</f>
        <v>-0.375</v>
      </c>
      <c r="L136" s="143">
        <f t="shared" si="3"/>
        <v>-141</v>
      </c>
      <c r="M136" s="144">
        <f t="shared" si="4"/>
        <v>-130.99999999999997</v>
      </c>
      <c r="N136" s="143">
        <f t="shared" si="5"/>
        <v>-125</v>
      </c>
      <c r="O136" s="143"/>
    </row>
    <row r="137" spans="1:15">
      <c r="A137" s="81">
        <f>'BC.115+260'!B136</f>
        <v>45374</v>
      </c>
      <c r="B137" s="143">
        <v>123</v>
      </c>
      <c r="C137" s="145">
        <f>'BC.115+260'!M136/1000</f>
        <v>0.96899999999999997</v>
      </c>
      <c r="D137" s="145">
        <f>'BC.115+260'!AA136</f>
        <v>1.3059999999999998</v>
      </c>
      <c r="E137" s="146">
        <f>'BC.115+260'!AB136</f>
        <v>1.0580000000000001</v>
      </c>
      <c r="F137" s="145">
        <f>VLOOKUP($A137,'BC.115+260'!$B$13:$X$489,8,0)/1000</f>
        <v>1.659</v>
      </c>
      <c r="G137" s="145">
        <f>VLOOKUP($A137,'BC.115+260'!$B$13:$X$489,9,0)/1000</f>
        <v>-0.34100000000000003</v>
      </c>
      <c r="H137" s="145">
        <f>VLOOKUP($A137,'BC.115+260'!$B$13:$X$489,14,0)/1000</f>
        <v>1.649</v>
      </c>
      <c r="I137" s="145">
        <f>VLOOKUP($A137,'BC.115+260'!$B$13:$X$489,15,0)/1000</f>
        <v>-0.35099999999999998</v>
      </c>
      <c r="J137" s="145">
        <f>VLOOKUP($A137,'BC.115+260'!$B$13:$X$489,20,0)/1000</f>
        <v>1.625</v>
      </c>
      <c r="K137" s="145">
        <f>VLOOKUP($A137,'BC.115+260'!$B$13:$X$489,21,0)/1000</f>
        <v>-0.375</v>
      </c>
      <c r="L137" s="143">
        <f t="shared" si="3"/>
        <v>-141</v>
      </c>
      <c r="M137" s="144">
        <f t="shared" si="4"/>
        <v>-130.99999999999997</v>
      </c>
      <c r="N137" s="143">
        <f t="shared" si="5"/>
        <v>-125</v>
      </c>
      <c r="O137" s="143"/>
    </row>
    <row r="138" spans="1:15">
      <c r="A138" s="81">
        <f>'BC.115+260'!B137</f>
        <v>45375</v>
      </c>
      <c r="B138" s="143">
        <v>124</v>
      </c>
      <c r="C138" s="145">
        <f>'BC.115+260'!M137/1000</f>
        <v>0.96899999999999997</v>
      </c>
      <c r="D138" s="145">
        <f>'BC.115+260'!AA137</f>
        <v>1.3059999999999998</v>
      </c>
      <c r="E138" s="146">
        <f>'BC.115+260'!AB137</f>
        <v>1.0580000000000001</v>
      </c>
      <c r="F138" s="145">
        <f>VLOOKUP($A138,'BC.115+260'!$B$13:$X$489,8,0)/1000</f>
        <v>1.659</v>
      </c>
      <c r="G138" s="145">
        <f>VLOOKUP($A138,'BC.115+260'!$B$13:$X$489,9,0)/1000</f>
        <v>-0.34100000000000003</v>
      </c>
      <c r="H138" s="145">
        <f>VLOOKUP($A138,'BC.115+260'!$B$13:$X$489,14,0)/1000</f>
        <v>1.649</v>
      </c>
      <c r="I138" s="145">
        <f>VLOOKUP($A138,'BC.115+260'!$B$13:$X$489,15,0)/1000</f>
        <v>-0.35099999999999998</v>
      </c>
      <c r="J138" s="145">
        <f>VLOOKUP($A138,'BC.115+260'!$B$13:$X$489,20,0)/1000</f>
        <v>1.625</v>
      </c>
      <c r="K138" s="145">
        <f>VLOOKUP($A138,'BC.115+260'!$B$13:$X$489,21,0)/1000</f>
        <v>-0.375</v>
      </c>
      <c r="L138" s="143">
        <f t="shared" si="3"/>
        <v>-141</v>
      </c>
      <c r="M138" s="144">
        <f t="shared" si="4"/>
        <v>-130.99999999999997</v>
      </c>
      <c r="N138" s="143">
        <f t="shared" si="5"/>
        <v>-125</v>
      </c>
      <c r="O138" s="143"/>
    </row>
    <row r="139" spans="1:15">
      <c r="A139" s="81">
        <f>'BC.115+260'!B138</f>
        <v>45376</v>
      </c>
      <c r="B139" s="143">
        <v>125</v>
      </c>
      <c r="C139" s="145">
        <f>'BC.115+260'!M138/1000</f>
        <v>0.96899999999999997</v>
      </c>
      <c r="D139" s="145">
        <f>'BC.115+260'!AA138</f>
        <v>1.3059999999999998</v>
      </c>
      <c r="E139" s="146">
        <f>'BC.115+260'!AB138</f>
        <v>1.0580000000000001</v>
      </c>
      <c r="F139" s="145">
        <f>VLOOKUP($A139,'BC.115+260'!$B$13:$X$489,8,0)/1000</f>
        <v>1.659</v>
      </c>
      <c r="G139" s="145">
        <f>VLOOKUP($A139,'BC.115+260'!$B$13:$X$489,9,0)/1000</f>
        <v>-0.34100000000000003</v>
      </c>
      <c r="H139" s="145">
        <f>VLOOKUP($A139,'BC.115+260'!$B$13:$X$489,14,0)/1000</f>
        <v>1.649</v>
      </c>
      <c r="I139" s="145">
        <f>VLOOKUP($A139,'BC.115+260'!$B$13:$X$489,15,0)/1000</f>
        <v>-0.35099999999999998</v>
      </c>
      <c r="J139" s="145">
        <f>VLOOKUP($A139,'BC.115+260'!$B$13:$X$489,20,0)/1000</f>
        <v>1.625</v>
      </c>
      <c r="K139" s="145">
        <f>VLOOKUP($A139,'BC.115+260'!$B$13:$X$489,21,0)/1000</f>
        <v>-0.375</v>
      </c>
      <c r="L139" s="143">
        <f t="shared" si="3"/>
        <v>-141</v>
      </c>
      <c r="M139" s="144">
        <f t="shared" si="4"/>
        <v>-130.99999999999997</v>
      </c>
      <c r="N139" s="143">
        <f t="shared" si="5"/>
        <v>-125</v>
      </c>
      <c r="O139" s="143"/>
    </row>
    <row r="140" spans="1:15">
      <c r="A140" s="81">
        <f>'BC.115+260'!B139</f>
        <v>45377</v>
      </c>
      <c r="B140" s="143">
        <v>126</v>
      </c>
      <c r="C140" s="145">
        <f>'BC.115+260'!M139/1000</f>
        <v>0.96899999999999997</v>
      </c>
      <c r="D140" s="145">
        <f>'BC.115+260'!AA139</f>
        <v>1.3059999999999998</v>
      </c>
      <c r="E140" s="146">
        <f>'BC.115+260'!AB139</f>
        <v>1.0580000000000001</v>
      </c>
      <c r="F140" s="145">
        <f>VLOOKUP($A140,'BC.115+260'!$B$13:$X$489,8,0)/1000</f>
        <v>1.659</v>
      </c>
      <c r="G140" s="145">
        <f>VLOOKUP($A140,'BC.115+260'!$B$13:$X$489,9,0)/1000</f>
        <v>-0.34100000000000003</v>
      </c>
      <c r="H140" s="145">
        <f>VLOOKUP($A140,'BC.115+260'!$B$13:$X$489,14,0)/1000</f>
        <v>1.649</v>
      </c>
      <c r="I140" s="145">
        <f>VLOOKUP($A140,'BC.115+260'!$B$13:$X$489,15,0)/1000</f>
        <v>-0.35099999999999998</v>
      </c>
      <c r="J140" s="145">
        <f>VLOOKUP($A140,'BC.115+260'!$B$13:$X$489,20,0)/1000</f>
        <v>1.625</v>
      </c>
      <c r="K140" s="145">
        <f>VLOOKUP($A140,'BC.115+260'!$B$13:$X$489,21,0)/1000</f>
        <v>-0.375</v>
      </c>
      <c r="L140" s="143">
        <f t="shared" si="3"/>
        <v>-141</v>
      </c>
      <c r="M140" s="144">
        <f t="shared" si="4"/>
        <v>-130.99999999999997</v>
      </c>
      <c r="N140" s="143">
        <f t="shared" si="5"/>
        <v>-125</v>
      </c>
      <c r="O140" s="143"/>
    </row>
    <row r="141" spans="1:15">
      <c r="A141" s="81">
        <f>'BC.115+260'!B140</f>
        <v>45378</v>
      </c>
      <c r="B141" s="143">
        <v>127</v>
      </c>
      <c r="C141" s="145">
        <f>'BC.115+260'!M140/1000</f>
        <v>0.96899999999999997</v>
      </c>
      <c r="D141" s="145">
        <f>'BC.115+260'!AA140</f>
        <v>1.3059999999999998</v>
      </c>
      <c r="E141" s="146">
        <f>'BC.115+260'!AB140</f>
        <v>1.0580000000000001</v>
      </c>
      <c r="F141" s="145">
        <f>VLOOKUP($A141,'BC.115+260'!$B$13:$X$489,8,0)/1000</f>
        <v>1.659</v>
      </c>
      <c r="G141" s="145">
        <f>VLOOKUP($A141,'BC.115+260'!$B$13:$X$489,9,0)/1000</f>
        <v>-0.34100000000000003</v>
      </c>
      <c r="H141" s="145">
        <f>VLOOKUP($A141,'BC.115+260'!$B$13:$X$489,14,0)/1000</f>
        <v>1.649</v>
      </c>
      <c r="I141" s="145">
        <f>VLOOKUP($A141,'BC.115+260'!$B$13:$X$489,15,0)/1000</f>
        <v>-0.35099999999999998</v>
      </c>
      <c r="J141" s="145">
        <f>VLOOKUP($A141,'BC.115+260'!$B$13:$X$489,20,0)/1000</f>
        <v>1.625</v>
      </c>
      <c r="K141" s="145">
        <f>VLOOKUP($A141,'BC.115+260'!$B$13:$X$489,21,0)/1000</f>
        <v>-0.375</v>
      </c>
      <c r="L141" s="143">
        <f t="shared" si="3"/>
        <v>-141</v>
      </c>
      <c r="M141" s="144">
        <f t="shared" si="4"/>
        <v>-130.99999999999997</v>
      </c>
      <c r="N141" s="143">
        <f t="shared" si="5"/>
        <v>-125</v>
      </c>
      <c r="O141" s="143"/>
    </row>
    <row r="142" spans="1:15">
      <c r="A142" s="81">
        <f>'BC.115+260'!B141</f>
        <v>45379</v>
      </c>
      <c r="B142" s="143">
        <v>128</v>
      </c>
      <c r="C142" s="145">
        <f>'BC.115+260'!M141/1000</f>
        <v>0.96899999999999997</v>
      </c>
      <c r="D142" s="145">
        <f>'BC.115+260'!AA141</f>
        <v>1.3059999999999998</v>
      </c>
      <c r="E142" s="146">
        <f>'BC.115+260'!AB141</f>
        <v>1.0580000000000001</v>
      </c>
      <c r="F142" s="145">
        <f>VLOOKUP($A142,'BC.115+260'!$B$13:$X$489,8,0)/1000</f>
        <v>1.659</v>
      </c>
      <c r="G142" s="145">
        <f>VLOOKUP($A142,'BC.115+260'!$B$13:$X$489,9,0)/1000</f>
        <v>-0.34100000000000003</v>
      </c>
      <c r="H142" s="145">
        <f>VLOOKUP($A142,'BC.115+260'!$B$13:$X$489,14,0)/1000</f>
        <v>1.649</v>
      </c>
      <c r="I142" s="145">
        <f>VLOOKUP($A142,'BC.115+260'!$B$13:$X$489,15,0)/1000</f>
        <v>-0.35099999999999998</v>
      </c>
      <c r="J142" s="145">
        <f>VLOOKUP($A142,'BC.115+260'!$B$13:$X$489,20,0)/1000</f>
        <v>1.625</v>
      </c>
      <c r="K142" s="145">
        <f>VLOOKUP($A142,'BC.115+260'!$B$13:$X$489,21,0)/1000</f>
        <v>-0.375</v>
      </c>
      <c r="L142" s="143">
        <f t="shared" ref="L142:L205" si="6">(G142-$G$14)*1000</f>
        <v>-141</v>
      </c>
      <c r="M142" s="144">
        <f t="shared" ref="M142:M205" si="7">(I142-$I$14)*1000</f>
        <v>-130.99999999999997</v>
      </c>
      <c r="N142" s="143">
        <f t="shared" si="5"/>
        <v>-125</v>
      </c>
      <c r="O142" s="143"/>
    </row>
    <row r="143" spans="1:15">
      <c r="A143" s="81">
        <f>'BC.115+260'!B142</f>
        <v>45380</v>
      </c>
      <c r="B143" s="143">
        <v>129</v>
      </c>
      <c r="C143" s="145">
        <f>'BC.115+260'!M142/1000</f>
        <v>0.96899999999999997</v>
      </c>
      <c r="D143" s="145">
        <f>'BC.115+260'!AA142</f>
        <v>1.3059999999999998</v>
      </c>
      <c r="E143" s="146">
        <f>'BC.115+260'!AB142</f>
        <v>1.0580000000000001</v>
      </c>
      <c r="F143" s="145">
        <f>VLOOKUP($A143,'BC.115+260'!$B$13:$X$489,8,0)/1000</f>
        <v>1.659</v>
      </c>
      <c r="G143" s="145">
        <f>VLOOKUP($A143,'BC.115+260'!$B$13:$X$489,9,0)/1000</f>
        <v>-0.34100000000000003</v>
      </c>
      <c r="H143" s="145">
        <f>VLOOKUP($A143,'BC.115+260'!$B$13:$X$489,14,0)/1000</f>
        <v>1.649</v>
      </c>
      <c r="I143" s="145">
        <f>VLOOKUP($A143,'BC.115+260'!$B$13:$X$489,15,0)/1000</f>
        <v>-0.35099999999999998</v>
      </c>
      <c r="J143" s="145">
        <f>VLOOKUP($A143,'BC.115+260'!$B$13:$X$489,20,0)/1000</f>
        <v>1.625</v>
      </c>
      <c r="K143" s="145">
        <f>VLOOKUP($A143,'BC.115+260'!$B$13:$X$489,21,0)/1000</f>
        <v>-0.375</v>
      </c>
      <c r="L143" s="143">
        <f t="shared" si="6"/>
        <v>-141</v>
      </c>
      <c r="M143" s="144">
        <f t="shared" si="7"/>
        <v>-130.99999999999997</v>
      </c>
      <c r="N143" s="143">
        <f t="shared" ref="N143:N206" si="8">(K143-$K$14)*1000</f>
        <v>-125</v>
      </c>
      <c r="O143" s="143"/>
    </row>
    <row r="144" spans="1:15">
      <c r="A144" s="81">
        <f>'BC.115+260'!B143</f>
        <v>45381</v>
      </c>
      <c r="B144" s="143">
        <v>130</v>
      </c>
      <c r="C144" s="145">
        <f>'BC.115+260'!M143/1000</f>
        <v>0.96899999999999997</v>
      </c>
      <c r="D144" s="145">
        <f>'BC.115+260'!AA143</f>
        <v>1.3059999999999998</v>
      </c>
      <c r="E144" s="146">
        <f>'BC.115+260'!AB143</f>
        <v>1.0580000000000001</v>
      </c>
      <c r="F144" s="145">
        <f>VLOOKUP($A144,'BC.115+260'!$B$13:$X$489,8,0)/1000</f>
        <v>1.659</v>
      </c>
      <c r="G144" s="145">
        <f>VLOOKUP($A144,'BC.115+260'!$B$13:$X$489,9,0)/1000</f>
        <v>-0.34100000000000003</v>
      </c>
      <c r="H144" s="145">
        <f>VLOOKUP($A144,'BC.115+260'!$B$13:$X$489,14,0)/1000</f>
        <v>1.649</v>
      </c>
      <c r="I144" s="145">
        <f>VLOOKUP($A144,'BC.115+260'!$B$13:$X$489,15,0)/1000</f>
        <v>-0.35099999999999998</v>
      </c>
      <c r="J144" s="145">
        <f>VLOOKUP($A144,'BC.115+260'!$B$13:$X$489,20,0)/1000</f>
        <v>1.625</v>
      </c>
      <c r="K144" s="145">
        <f>VLOOKUP($A144,'BC.115+260'!$B$13:$X$489,21,0)/1000</f>
        <v>-0.375</v>
      </c>
      <c r="L144" s="143">
        <f t="shared" si="6"/>
        <v>-141</v>
      </c>
      <c r="M144" s="144">
        <f t="shared" si="7"/>
        <v>-130.99999999999997</v>
      </c>
      <c r="N144" s="143">
        <f t="shared" si="8"/>
        <v>-125</v>
      </c>
      <c r="O144" s="143"/>
    </row>
    <row r="145" spans="1:15">
      <c r="A145" s="81">
        <f>'BC.115+260'!B144</f>
        <v>45382</v>
      </c>
      <c r="B145" s="143">
        <v>131</v>
      </c>
      <c r="C145" s="145">
        <f>'BC.115+260'!M144/1000</f>
        <v>0.96899999999999997</v>
      </c>
      <c r="D145" s="145">
        <f>'BC.115+260'!AA144</f>
        <v>1.3059999999999998</v>
      </c>
      <c r="E145" s="146">
        <f>'BC.115+260'!AB144</f>
        <v>1.0580000000000001</v>
      </c>
      <c r="F145" s="145">
        <f>VLOOKUP($A145,'BC.115+260'!$B$13:$X$489,8,0)/1000</f>
        <v>1.659</v>
      </c>
      <c r="G145" s="145">
        <f>VLOOKUP($A145,'BC.115+260'!$B$13:$X$489,9,0)/1000</f>
        <v>-0.34100000000000003</v>
      </c>
      <c r="H145" s="145">
        <f>VLOOKUP($A145,'BC.115+260'!$B$13:$X$489,14,0)/1000</f>
        <v>1.649</v>
      </c>
      <c r="I145" s="145">
        <f>VLOOKUP($A145,'BC.115+260'!$B$13:$X$489,15,0)/1000</f>
        <v>-0.35099999999999998</v>
      </c>
      <c r="J145" s="145">
        <f>VLOOKUP($A145,'BC.115+260'!$B$13:$X$489,20,0)/1000</f>
        <v>1.625</v>
      </c>
      <c r="K145" s="145">
        <f>VLOOKUP($A145,'BC.115+260'!$B$13:$X$489,21,0)/1000</f>
        <v>-0.375</v>
      </c>
      <c r="L145" s="143">
        <f t="shared" si="6"/>
        <v>-141</v>
      </c>
      <c r="M145" s="144">
        <f t="shared" si="7"/>
        <v>-130.99999999999997</v>
      </c>
      <c r="N145" s="143">
        <f t="shared" si="8"/>
        <v>-125</v>
      </c>
      <c r="O145" s="143"/>
    </row>
    <row r="146" spans="1:15">
      <c r="A146" s="81">
        <f>'BC.115+260'!B145</f>
        <v>45383</v>
      </c>
      <c r="B146" s="143">
        <v>132</v>
      </c>
      <c r="C146" s="145">
        <f>'BC.115+260'!M145/1000</f>
        <v>0.96899999999999997</v>
      </c>
      <c r="D146" s="145">
        <f>'BC.115+260'!AA145</f>
        <v>1.3059999999999998</v>
      </c>
      <c r="E146" s="146">
        <f>'BC.115+260'!AB145</f>
        <v>1.0580000000000001</v>
      </c>
      <c r="F146" s="145">
        <f>VLOOKUP($A146,'BC.115+260'!$B$13:$X$489,8,0)/1000</f>
        <v>1.659</v>
      </c>
      <c r="G146" s="145">
        <f>VLOOKUP($A146,'BC.115+260'!$B$13:$X$489,9,0)/1000</f>
        <v>-0.34100000000000003</v>
      </c>
      <c r="H146" s="145">
        <f>VLOOKUP($A146,'BC.115+260'!$B$13:$X$489,14,0)/1000</f>
        <v>1.649</v>
      </c>
      <c r="I146" s="145">
        <f>VLOOKUP($A146,'BC.115+260'!$B$13:$X$489,15,0)/1000</f>
        <v>-0.35099999999999998</v>
      </c>
      <c r="J146" s="145">
        <f>VLOOKUP($A146,'BC.115+260'!$B$13:$X$489,20,0)/1000</f>
        <v>1.625</v>
      </c>
      <c r="K146" s="145">
        <f>VLOOKUP($A146,'BC.115+260'!$B$13:$X$489,21,0)/1000</f>
        <v>-0.375</v>
      </c>
      <c r="L146" s="143">
        <f t="shared" si="6"/>
        <v>-141</v>
      </c>
      <c r="M146" s="144">
        <f t="shared" si="7"/>
        <v>-130.99999999999997</v>
      </c>
      <c r="N146" s="143">
        <f t="shared" si="8"/>
        <v>-125</v>
      </c>
      <c r="O146" s="143"/>
    </row>
    <row r="147" spans="1:15">
      <c r="A147" s="81">
        <f>'BC.115+260'!B146</f>
        <v>45384</v>
      </c>
      <c r="B147" s="143">
        <v>133</v>
      </c>
      <c r="C147" s="145">
        <f>'BC.115+260'!M146/1000</f>
        <v>0.96899999999999997</v>
      </c>
      <c r="D147" s="145">
        <f>'BC.115+260'!AA146</f>
        <v>1.3059999999999998</v>
      </c>
      <c r="E147" s="146">
        <f>'BC.115+260'!AB146</f>
        <v>1.0580000000000001</v>
      </c>
      <c r="F147" s="145">
        <f>VLOOKUP($A147,'BC.115+260'!$B$13:$X$489,8,0)/1000</f>
        <v>1.659</v>
      </c>
      <c r="G147" s="145">
        <f>VLOOKUP($A147,'BC.115+260'!$B$13:$X$489,9,0)/1000</f>
        <v>-0.34100000000000003</v>
      </c>
      <c r="H147" s="145">
        <f>VLOOKUP($A147,'BC.115+260'!$B$13:$X$489,14,0)/1000</f>
        <v>1.649</v>
      </c>
      <c r="I147" s="145">
        <f>VLOOKUP($A147,'BC.115+260'!$B$13:$X$489,15,0)/1000</f>
        <v>-0.35099999999999998</v>
      </c>
      <c r="J147" s="145">
        <f>VLOOKUP($A147,'BC.115+260'!$B$13:$X$489,20,0)/1000</f>
        <v>1.625</v>
      </c>
      <c r="K147" s="145">
        <f>VLOOKUP($A147,'BC.115+260'!$B$13:$X$489,21,0)/1000</f>
        <v>-0.375</v>
      </c>
      <c r="L147" s="143">
        <f t="shared" si="6"/>
        <v>-141</v>
      </c>
      <c r="M147" s="144">
        <f t="shared" si="7"/>
        <v>-130.99999999999997</v>
      </c>
      <c r="N147" s="143">
        <f t="shared" si="8"/>
        <v>-125</v>
      </c>
      <c r="O147" s="143"/>
    </row>
    <row r="148" spans="1:15">
      <c r="A148" s="81">
        <f>'BC.115+260'!B147</f>
        <v>45385</v>
      </c>
      <c r="B148" s="143">
        <v>134</v>
      </c>
      <c r="C148" s="145">
        <f>'BC.115+260'!M147/1000</f>
        <v>0.96899999999999997</v>
      </c>
      <c r="D148" s="145">
        <f>'BC.115+260'!AA147</f>
        <v>1.3059999999999998</v>
      </c>
      <c r="E148" s="146">
        <f>'BC.115+260'!AB147</f>
        <v>1.0580000000000001</v>
      </c>
      <c r="F148" s="145">
        <f>VLOOKUP($A148,'BC.115+260'!$B$13:$X$489,8,0)/1000</f>
        <v>1.659</v>
      </c>
      <c r="G148" s="145">
        <f>VLOOKUP($A148,'BC.115+260'!$B$13:$X$489,9,0)/1000</f>
        <v>-0.34100000000000003</v>
      </c>
      <c r="H148" s="145">
        <f>VLOOKUP($A148,'BC.115+260'!$B$13:$X$489,14,0)/1000</f>
        <v>1.649</v>
      </c>
      <c r="I148" s="145">
        <f>VLOOKUP($A148,'BC.115+260'!$B$13:$X$489,15,0)/1000</f>
        <v>-0.35099999999999998</v>
      </c>
      <c r="J148" s="145">
        <f>VLOOKUP($A148,'BC.115+260'!$B$13:$X$489,20,0)/1000</f>
        <v>1.625</v>
      </c>
      <c r="K148" s="145">
        <f>VLOOKUP($A148,'BC.115+260'!$B$13:$X$489,21,0)/1000</f>
        <v>-0.375</v>
      </c>
      <c r="L148" s="143">
        <f t="shared" si="6"/>
        <v>-141</v>
      </c>
      <c r="M148" s="144">
        <f t="shared" si="7"/>
        <v>-130.99999999999997</v>
      </c>
      <c r="N148" s="143">
        <f t="shared" si="8"/>
        <v>-125</v>
      </c>
      <c r="O148" s="143"/>
    </row>
    <row r="149" spans="1:15">
      <c r="A149" s="81">
        <f>'BC.115+260'!B148</f>
        <v>45386</v>
      </c>
      <c r="B149" s="143">
        <v>135</v>
      </c>
      <c r="C149" s="145">
        <f>'BC.115+260'!M148/1000</f>
        <v>0.96899999999999997</v>
      </c>
      <c r="D149" s="145">
        <f>'BC.115+260'!AA148</f>
        <v>1.3059999999999998</v>
      </c>
      <c r="E149" s="146">
        <f>'BC.115+260'!AB148</f>
        <v>1.0580000000000001</v>
      </c>
      <c r="F149" s="145">
        <f>VLOOKUP($A149,'BC.115+260'!$B$13:$X$489,8,0)/1000</f>
        <v>1.659</v>
      </c>
      <c r="G149" s="145">
        <f>VLOOKUP($A149,'BC.115+260'!$B$13:$X$489,9,0)/1000</f>
        <v>-0.34100000000000003</v>
      </c>
      <c r="H149" s="145">
        <f>VLOOKUP($A149,'BC.115+260'!$B$13:$X$489,14,0)/1000</f>
        <v>1.649</v>
      </c>
      <c r="I149" s="145">
        <f>VLOOKUP($A149,'BC.115+260'!$B$13:$X$489,15,0)/1000</f>
        <v>-0.35099999999999998</v>
      </c>
      <c r="J149" s="145">
        <f>VLOOKUP($A149,'BC.115+260'!$B$13:$X$489,20,0)/1000</f>
        <v>1.625</v>
      </c>
      <c r="K149" s="145">
        <f>VLOOKUP($A149,'BC.115+260'!$B$13:$X$489,21,0)/1000</f>
        <v>-0.375</v>
      </c>
      <c r="L149" s="143">
        <f t="shared" si="6"/>
        <v>-141</v>
      </c>
      <c r="M149" s="144">
        <f t="shared" si="7"/>
        <v>-130.99999999999997</v>
      </c>
      <c r="N149" s="143">
        <f t="shared" si="8"/>
        <v>-125</v>
      </c>
      <c r="O149" s="143"/>
    </row>
    <row r="150" spans="1:15">
      <c r="A150" s="81">
        <f>'BC.115+260'!B149</f>
        <v>45387</v>
      </c>
      <c r="B150" s="143">
        <v>136</v>
      </c>
      <c r="C150" s="145">
        <f>'BC.115+260'!M149/1000</f>
        <v>0.96899999999999997</v>
      </c>
      <c r="D150" s="145">
        <f>'BC.115+260'!AA149</f>
        <v>1.3059999999999998</v>
      </c>
      <c r="E150" s="146">
        <f>'BC.115+260'!AB149</f>
        <v>1.0580000000000001</v>
      </c>
      <c r="F150" s="145">
        <f>VLOOKUP($A150,'BC.115+260'!$B$13:$X$489,8,0)/1000</f>
        <v>1.659</v>
      </c>
      <c r="G150" s="145">
        <f>VLOOKUP($A150,'BC.115+260'!$B$13:$X$489,9,0)/1000</f>
        <v>-0.34100000000000003</v>
      </c>
      <c r="H150" s="145">
        <f>VLOOKUP($A150,'BC.115+260'!$B$13:$X$489,14,0)/1000</f>
        <v>1.649</v>
      </c>
      <c r="I150" s="145">
        <f>VLOOKUP($A150,'BC.115+260'!$B$13:$X$489,15,0)/1000</f>
        <v>-0.35099999999999998</v>
      </c>
      <c r="J150" s="145">
        <f>VLOOKUP($A150,'BC.115+260'!$B$13:$X$489,20,0)/1000</f>
        <v>1.625</v>
      </c>
      <c r="K150" s="145">
        <f>VLOOKUP($A150,'BC.115+260'!$B$13:$X$489,21,0)/1000</f>
        <v>-0.375</v>
      </c>
      <c r="L150" s="143">
        <f t="shared" si="6"/>
        <v>-141</v>
      </c>
      <c r="M150" s="144">
        <f t="shared" si="7"/>
        <v>-130.99999999999997</v>
      </c>
      <c r="N150" s="143">
        <f t="shared" si="8"/>
        <v>-125</v>
      </c>
      <c r="O150" s="143"/>
    </row>
    <row r="151" spans="1:15">
      <c r="A151" s="81">
        <f>'BC.115+260'!B150</f>
        <v>45388</v>
      </c>
      <c r="B151" s="143">
        <v>137</v>
      </c>
      <c r="C151" s="145">
        <f>'BC.115+260'!M150/1000</f>
        <v>0.96899999999999997</v>
      </c>
      <c r="D151" s="145">
        <f>'BC.115+260'!AA150</f>
        <v>1.3059999999999998</v>
      </c>
      <c r="E151" s="146">
        <f>'BC.115+260'!AB150</f>
        <v>1.0580000000000001</v>
      </c>
      <c r="F151" s="145">
        <f>VLOOKUP($A151,'BC.115+260'!$B$13:$X$489,8,0)/1000</f>
        <v>1.659</v>
      </c>
      <c r="G151" s="145">
        <f>VLOOKUP($A151,'BC.115+260'!$B$13:$X$489,9,0)/1000</f>
        <v>-0.34100000000000003</v>
      </c>
      <c r="H151" s="145">
        <f>VLOOKUP($A151,'BC.115+260'!$B$13:$X$489,14,0)/1000</f>
        <v>1.649</v>
      </c>
      <c r="I151" s="145">
        <f>VLOOKUP($A151,'BC.115+260'!$B$13:$X$489,15,0)/1000</f>
        <v>-0.35099999999999998</v>
      </c>
      <c r="J151" s="145">
        <f>VLOOKUP($A151,'BC.115+260'!$B$13:$X$489,20,0)/1000</f>
        <v>1.625</v>
      </c>
      <c r="K151" s="145">
        <f>VLOOKUP($A151,'BC.115+260'!$B$13:$X$489,21,0)/1000</f>
        <v>-0.375</v>
      </c>
      <c r="L151" s="143">
        <f t="shared" si="6"/>
        <v>-141</v>
      </c>
      <c r="M151" s="144">
        <f t="shared" si="7"/>
        <v>-130.99999999999997</v>
      </c>
      <c r="N151" s="143">
        <f t="shared" si="8"/>
        <v>-125</v>
      </c>
      <c r="O151" s="143"/>
    </row>
    <row r="152" spans="1:15">
      <c r="A152" s="81">
        <f>'BC.115+260'!B151</f>
        <v>45389</v>
      </c>
      <c r="B152" s="143">
        <v>138</v>
      </c>
      <c r="C152" s="145">
        <f>'BC.115+260'!M151/1000</f>
        <v>0.96899999999999997</v>
      </c>
      <c r="D152" s="145">
        <f>'BC.115+260'!AA151</f>
        <v>1.3059999999999998</v>
      </c>
      <c r="E152" s="146">
        <f>'BC.115+260'!AB151</f>
        <v>1.0580000000000001</v>
      </c>
      <c r="F152" s="145">
        <f>VLOOKUP($A152,'BC.115+260'!$B$13:$X$489,8,0)/1000</f>
        <v>1.659</v>
      </c>
      <c r="G152" s="145">
        <f>VLOOKUP($A152,'BC.115+260'!$B$13:$X$489,9,0)/1000</f>
        <v>-0.34100000000000003</v>
      </c>
      <c r="H152" s="145">
        <f>VLOOKUP($A152,'BC.115+260'!$B$13:$X$489,14,0)/1000</f>
        <v>1.649</v>
      </c>
      <c r="I152" s="145">
        <f>VLOOKUP($A152,'BC.115+260'!$B$13:$X$489,15,0)/1000</f>
        <v>-0.35099999999999998</v>
      </c>
      <c r="J152" s="145">
        <f>VLOOKUP($A152,'BC.115+260'!$B$13:$X$489,20,0)/1000</f>
        <v>1.625</v>
      </c>
      <c r="K152" s="145">
        <f>VLOOKUP($A152,'BC.115+260'!$B$13:$X$489,21,0)/1000</f>
        <v>-0.375</v>
      </c>
      <c r="L152" s="143">
        <f t="shared" si="6"/>
        <v>-141</v>
      </c>
      <c r="M152" s="144">
        <f t="shared" si="7"/>
        <v>-130.99999999999997</v>
      </c>
      <c r="N152" s="143">
        <f t="shared" si="8"/>
        <v>-125</v>
      </c>
      <c r="O152" s="143"/>
    </row>
    <row r="153" spans="1:15">
      <c r="A153" s="81">
        <f>'BC.115+260'!B152</f>
        <v>45390</v>
      </c>
      <c r="B153" s="143">
        <v>139</v>
      </c>
      <c r="C153" s="145">
        <f>'BC.115+260'!M152/1000</f>
        <v>0.96899999999999997</v>
      </c>
      <c r="D153" s="145">
        <f>'BC.115+260'!AA152</f>
        <v>1.3059999999999998</v>
      </c>
      <c r="E153" s="146">
        <f>'BC.115+260'!AB152</f>
        <v>1.0580000000000001</v>
      </c>
      <c r="F153" s="145">
        <f>VLOOKUP($A153,'BC.115+260'!$B$13:$X$489,8,0)/1000</f>
        <v>1.659</v>
      </c>
      <c r="G153" s="145">
        <f>VLOOKUP($A153,'BC.115+260'!$B$13:$X$489,9,0)/1000</f>
        <v>-0.34100000000000003</v>
      </c>
      <c r="H153" s="145">
        <f>VLOOKUP($A153,'BC.115+260'!$B$13:$X$489,14,0)/1000</f>
        <v>1.649</v>
      </c>
      <c r="I153" s="145">
        <f>VLOOKUP($A153,'BC.115+260'!$B$13:$X$489,15,0)/1000</f>
        <v>-0.35099999999999998</v>
      </c>
      <c r="J153" s="145">
        <f>VLOOKUP($A153,'BC.115+260'!$B$13:$X$489,20,0)/1000</f>
        <v>1.625</v>
      </c>
      <c r="K153" s="145">
        <f>VLOOKUP($A153,'BC.115+260'!$B$13:$X$489,21,0)/1000</f>
        <v>-0.375</v>
      </c>
      <c r="L153" s="143">
        <f t="shared" si="6"/>
        <v>-141</v>
      </c>
      <c r="M153" s="144">
        <f t="shared" si="7"/>
        <v>-130.99999999999997</v>
      </c>
      <c r="N153" s="143">
        <f t="shared" si="8"/>
        <v>-125</v>
      </c>
      <c r="O153" s="143"/>
    </row>
    <row r="154" spans="1:15">
      <c r="A154" s="81">
        <f>'BC.115+260'!B153</f>
        <v>45391</v>
      </c>
      <c r="B154" s="143">
        <v>140</v>
      </c>
      <c r="C154" s="145">
        <f>'BC.115+260'!M153/1000</f>
        <v>0.96899999999999997</v>
      </c>
      <c r="D154" s="145">
        <f>'BC.115+260'!AA153</f>
        <v>1.3059999999999998</v>
      </c>
      <c r="E154" s="146">
        <f>'BC.115+260'!AB153</f>
        <v>1.0580000000000001</v>
      </c>
      <c r="F154" s="145">
        <f>VLOOKUP($A154,'BC.115+260'!$B$13:$X$489,8,0)/1000</f>
        <v>1.659</v>
      </c>
      <c r="G154" s="145">
        <f>VLOOKUP($A154,'BC.115+260'!$B$13:$X$489,9,0)/1000</f>
        <v>-0.34100000000000003</v>
      </c>
      <c r="H154" s="145">
        <f>VLOOKUP($A154,'BC.115+260'!$B$13:$X$489,14,0)/1000</f>
        <v>1.649</v>
      </c>
      <c r="I154" s="145">
        <f>VLOOKUP($A154,'BC.115+260'!$B$13:$X$489,15,0)/1000</f>
        <v>-0.35099999999999998</v>
      </c>
      <c r="J154" s="145">
        <f>VLOOKUP($A154,'BC.115+260'!$B$13:$X$489,20,0)/1000</f>
        <v>1.625</v>
      </c>
      <c r="K154" s="145">
        <f>VLOOKUP($A154,'BC.115+260'!$B$13:$X$489,21,0)/1000</f>
        <v>-0.375</v>
      </c>
      <c r="L154" s="143">
        <f t="shared" si="6"/>
        <v>-141</v>
      </c>
      <c r="M154" s="144">
        <f t="shared" si="7"/>
        <v>-130.99999999999997</v>
      </c>
      <c r="N154" s="143">
        <f t="shared" si="8"/>
        <v>-125</v>
      </c>
      <c r="O154" s="143"/>
    </row>
    <row r="155" spans="1:15">
      <c r="A155" s="81">
        <f>'BC.115+260'!B154</f>
        <v>45392</v>
      </c>
      <c r="B155" s="143">
        <v>141</v>
      </c>
      <c r="C155" s="145">
        <f>'BC.115+260'!M154/1000</f>
        <v>0.96899999999999997</v>
      </c>
      <c r="D155" s="145">
        <f>'BC.115+260'!AA154</f>
        <v>1.3059999999999998</v>
      </c>
      <c r="E155" s="146">
        <f>'BC.115+260'!AB154</f>
        <v>1.0580000000000001</v>
      </c>
      <c r="F155" s="145">
        <f>VLOOKUP($A155,'BC.115+260'!$B$13:$X$489,8,0)/1000</f>
        <v>1.659</v>
      </c>
      <c r="G155" s="145">
        <f>VLOOKUP($A155,'BC.115+260'!$B$13:$X$489,9,0)/1000</f>
        <v>-0.34100000000000003</v>
      </c>
      <c r="H155" s="145">
        <f>VLOOKUP($A155,'BC.115+260'!$B$13:$X$489,14,0)/1000</f>
        <v>1.649</v>
      </c>
      <c r="I155" s="145">
        <f>VLOOKUP($A155,'BC.115+260'!$B$13:$X$489,15,0)/1000</f>
        <v>-0.35099999999999998</v>
      </c>
      <c r="J155" s="145">
        <f>VLOOKUP($A155,'BC.115+260'!$B$13:$X$489,20,0)/1000</f>
        <v>1.625</v>
      </c>
      <c r="K155" s="145">
        <f>VLOOKUP($A155,'BC.115+260'!$B$13:$X$489,21,0)/1000</f>
        <v>-0.375</v>
      </c>
      <c r="L155" s="143">
        <f t="shared" si="6"/>
        <v>-141</v>
      </c>
      <c r="M155" s="144">
        <f t="shared" si="7"/>
        <v>-130.99999999999997</v>
      </c>
      <c r="N155" s="143">
        <f t="shared" si="8"/>
        <v>-125</v>
      </c>
      <c r="O155" s="143"/>
    </row>
    <row r="156" spans="1:15">
      <c r="A156" s="81">
        <f>'BC.115+260'!B155</f>
        <v>45393</v>
      </c>
      <c r="B156" s="143">
        <v>142</v>
      </c>
      <c r="C156" s="145">
        <f>'BC.115+260'!M155/1000</f>
        <v>0.96899999999999997</v>
      </c>
      <c r="D156" s="145">
        <f>'BC.115+260'!AA155</f>
        <v>1.3059999999999998</v>
      </c>
      <c r="E156" s="146">
        <f>'BC.115+260'!AB155</f>
        <v>1.0580000000000001</v>
      </c>
      <c r="F156" s="145">
        <f>VLOOKUP($A156,'BC.115+260'!$B$13:$X$489,8,0)/1000</f>
        <v>1.659</v>
      </c>
      <c r="G156" s="145">
        <f>VLOOKUP($A156,'BC.115+260'!$B$13:$X$489,9,0)/1000</f>
        <v>-0.34100000000000003</v>
      </c>
      <c r="H156" s="145">
        <f>VLOOKUP($A156,'BC.115+260'!$B$13:$X$489,14,0)/1000</f>
        <v>1.649</v>
      </c>
      <c r="I156" s="145">
        <f>VLOOKUP($A156,'BC.115+260'!$B$13:$X$489,15,0)/1000</f>
        <v>-0.35099999999999998</v>
      </c>
      <c r="J156" s="145">
        <f>VLOOKUP($A156,'BC.115+260'!$B$13:$X$489,20,0)/1000</f>
        <v>1.625</v>
      </c>
      <c r="K156" s="145">
        <f>VLOOKUP($A156,'BC.115+260'!$B$13:$X$489,21,0)/1000</f>
        <v>-0.375</v>
      </c>
      <c r="L156" s="143">
        <f t="shared" si="6"/>
        <v>-141</v>
      </c>
      <c r="M156" s="144">
        <f t="shared" si="7"/>
        <v>-130.99999999999997</v>
      </c>
      <c r="N156" s="143">
        <f t="shared" si="8"/>
        <v>-125</v>
      </c>
      <c r="O156" s="143"/>
    </row>
    <row r="157" spans="1:15">
      <c r="A157" s="81">
        <f>'BC.115+260'!B156</f>
        <v>45394</v>
      </c>
      <c r="B157" s="143">
        <v>143</v>
      </c>
      <c r="C157" s="145">
        <f>'BC.115+260'!M156/1000</f>
        <v>0.96899999999999997</v>
      </c>
      <c r="D157" s="145">
        <f>'BC.115+260'!AA156</f>
        <v>1.3059999999999998</v>
      </c>
      <c r="E157" s="146">
        <f>'BC.115+260'!AB156</f>
        <v>1.0580000000000001</v>
      </c>
      <c r="F157" s="145">
        <f>VLOOKUP($A157,'BC.115+260'!$B$13:$X$489,8,0)/1000</f>
        <v>1.659</v>
      </c>
      <c r="G157" s="145">
        <f>VLOOKUP($A157,'BC.115+260'!$B$13:$X$489,9,0)/1000</f>
        <v>-0.34100000000000003</v>
      </c>
      <c r="H157" s="145">
        <f>VLOOKUP($A157,'BC.115+260'!$B$13:$X$489,14,0)/1000</f>
        <v>1.649</v>
      </c>
      <c r="I157" s="145">
        <f>VLOOKUP($A157,'BC.115+260'!$B$13:$X$489,15,0)/1000</f>
        <v>-0.35099999999999998</v>
      </c>
      <c r="J157" s="145">
        <f>VLOOKUP($A157,'BC.115+260'!$B$13:$X$489,20,0)/1000</f>
        <v>1.625</v>
      </c>
      <c r="K157" s="145">
        <f>VLOOKUP($A157,'BC.115+260'!$B$13:$X$489,21,0)/1000</f>
        <v>-0.375</v>
      </c>
      <c r="L157" s="143">
        <f t="shared" si="6"/>
        <v>-141</v>
      </c>
      <c r="M157" s="144">
        <f t="shared" si="7"/>
        <v>-130.99999999999997</v>
      </c>
      <c r="N157" s="143">
        <f t="shared" si="8"/>
        <v>-125</v>
      </c>
      <c r="O157" s="143"/>
    </row>
    <row r="158" spans="1:15">
      <c r="A158" s="81">
        <f>'BC.115+260'!B157</f>
        <v>45395</v>
      </c>
      <c r="B158" s="143">
        <v>144</v>
      </c>
      <c r="C158" s="145">
        <f>'BC.115+260'!M157/1000</f>
        <v>0.96899999999999997</v>
      </c>
      <c r="D158" s="145">
        <f>'BC.115+260'!AA157</f>
        <v>1.3059999999999998</v>
      </c>
      <c r="E158" s="146">
        <f>'BC.115+260'!AB157</f>
        <v>1.0580000000000001</v>
      </c>
      <c r="F158" s="145">
        <f>VLOOKUP($A158,'BC.115+260'!$B$13:$X$489,8,0)/1000</f>
        <v>1.659</v>
      </c>
      <c r="G158" s="145">
        <f>VLOOKUP($A158,'BC.115+260'!$B$13:$X$489,9,0)/1000</f>
        <v>-0.34100000000000003</v>
      </c>
      <c r="H158" s="145">
        <f>VLOOKUP($A158,'BC.115+260'!$B$13:$X$489,14,0)/1000</f>
        <v>1.649</v>
      </c>
      <c r="I158" s="145">
        <f>VLOOKUP($A158,'BC.115+260'!$B$13:$X$489,15,0)/1000</f>
        <v>-0.35099999999999998</v>
      </c>
      <c r="J158" s="145">
        <f>VLOOKUP($A158,'BC.115+260'!$B$13:$X$489,20,0)/1000</f>
        <v>1.625</v>
      </c>
      <c r="K158" s="145">
        <f>VLOOKUP($A158,'BC.115+260'!$B$13:$X$489,21,0)/1000</f>
        <v>-0.375</v>
      </c>
      <c r="L158" s="143">
        <f t="shared" si="6"/>
        <v>-141</v>
      </c>
      <c r="M158" s="144">
        <f t="shared" si="7"/>
        <v>-130.99999999999997</v>
      </c>
      <c r="N158" s="143">
        <f t="shared" si="8"/>
        <v>-125</v>
      </c>
      <c r="O158" s="143"/>
    </row>
    <row r="159" spans="1:15">
      <c r="A159" s="81">
        <f>'BC.115+260'!B158</f>
        <v>45396</v>
      </c>
      <c r="B159" s="143">
        <v>145</v>
      </c>
      <c r="C159" s="145">
        <f>'BC.115+260'!M158/1000</f>
        <v>0.96899999999999997</v>
      </c>
      <c r="D159" s="145">
        <f>'BC.115+260'!AA158</f>
        <v>1.3059999999999998</v>
      </c>
      <c r="E159" s="146">
        <f>'BC.115+260'!AB158</f>
        <v>1.0580000000000001</v>
      </c>
      <c r="F159" s="145">
        <f>VLOOKUP($A159,'BC.115+260'!$B$13:$X$489,8,0)/1000</f>
        <v>1.659</v>
      </c>
      <c r="G159" s="145">
        <f>VLOOKUP($A159,'BC.115+260'!$B$13:$X$489,9,0)/1000</f>
        <v>-0.34100000000000003</v>
      </c>
      <c r="H159" s="145">
        <f>VLOOKUP($A159,'BC.115+260'!$B$13:$X$489,14,0)/1000</f>
        <v>1.649</v>
      </c>
      <c r="I159" s="145">
        <f>VLOOKUP($A159,'BC.115+260'!$B$13:$X$489,15,0)/1000</f>
        <v>-0.35099999999999998</v>
      </c>
      <c r="J159" s="145">
        <f>VLOOKUP($A159,'BC.115+260'!$B$13:$X$489,20,0)/1000</f>
        <v>1.625</v>
      </c>
      <c r="K159" s="145">
        <f>VLOOKUP($A159,'BC.115+260'!$B$13:$X$489,21,0)/1000</f>
        <v>-0.375</v>
      </c>
      <c r="L159" s="143">
        <f t="shared" si="6"/>
        <v>-141</v>
      </c>
      <c r="M159" s="144">
        <f t="shared" si="7"/>
        <v>-130.99999999999997</v>
      </c>
      <c r="N159" s="143">
        <f t="shared" si="8"/>
        <v>-125</v>
      </c>
      <c r="O159" s="143"/>
    </row>
    <row r="160" spans="1:15">
      <c r="A160" s="81">
        <f>'BC.115+260'!B159</f>
        <v>45397</v>
      </c>
      <c r="B160" s="143">
        <v>146</v>
      </c>
      <c r="C160" s="145">
        <f>'BC.115+260'!M159/1000</f>
        <v>0.96899999999999997</v>
      </c>
      <c r="D160" s="145">
        <f>'BC.115+260'!AA159</f>
        <v>1.3059999999999998</v>
      </c>
      <c r="E160" s="146">
        <f>'BC.115+260'!AB159</f>
        <v>1.0580000000000001</v>
      </c>
      <c r="F160" s="145">
        <f>VLOOKUP($A160,'BC.115+260'!$B$13:$X$489,8,0)/1000</f>
        <v>1.659</v>
      </c>
      <c r="G160" s="145">
        <f>VLOOKUP($A160,'BC.115+260'!$B$13:$X$489,9,0)/1000</f>
        <v>-0.34100000000000003</v>
      </c>
      <c r="H160" s="145">
        <f>VLOOKUP($A160,'BC.115+260'!$B$13:$X$489,14,0)/1000</f>
        <v>1.649</v>
      </c>
      <c r="I160" s="145">
        <f>VLOOKUP($A160,'BC.115+260'!$B$13:$X$489,15,0)/1000</f>
        <v>-0.35099999999999998</v>
      </c>
      <c r="J160" s="145">
        <f>VLOOKUP($A160,'BC.115+260'!$B$13:$X$489,20,0)/1000</f>
        <v>1.625</v>
      </c>
      <c r="K160" s="145">
        <f>VLOOKUP($A160,'BC.115+260'!$B$13:$X$489,21,0)/1000</f>
        <v>-0.375</v>
      </c>
      <c r="L160" s="143">
        <f t="shared" si="6"/>
        <v>-141</v>
      </c>
      <c r="M160" s="144">
        <f t="shared" si="7"/>
        <v>-130.99999999999997</v>
      </c>
      <c r="N160" s="143">
        <f t="shared" si="8"/>
        <v>-125</v>
      </c>
      <c r="O160" s="143"/>
    </row>
    <row r="161" spans="1:15">
      <c r="A161" s="81">
        <f>'BC.115+260'!B160</f>
        <v>45398</v>
      </c>
      <c r="B161" s="143">
        <v>147</v>
      </c>
      <c r="C161" s="145">
        <f>'BC.115+260'!M160/1000</f>
        <v>0.96899999999999997</v>
      </c>
      <c r="D161" s="145">
        <f>'BC.115+260'!AA160</f>
        <v>1.3059999999999998</v>
      </c>
      <c r="E161" s="146">
        <f>'BC.115+260'!AB160</f>
        <v>1.0580000000000001</v>
      </c>
      <c r="F161" s="145">
        <f>VLOOKUP($A161,'BC.115+260'!$B$13:$X$489,8,0)/1000</f>
        <v>1.659</v>
      </c>
      <c r="G161" s="145">
        <f>VLOOKUP($A161,'BC.115+260'!$B$13:$X$489,9,0)/1000</f>
        <v>-0.34100000000000003</v>
      </c>
      <c r="H161" s="145">
        <f>VLOOKUP($A161,'BC.115+260'!$B$13:$X$489,14,0)/1000</f>
        <v>1.649</v>
      </c>
      <c r="I161" s="145">
        <f>VLOOKUP($A161,'BC.115+260'!$B$13:$X$489,15,0)/1000</f>
        <v>-0.35099999999999998</v>
      </c>
      <c r="J161" s="145">
        <f>VLOOKUP($A161,'BC.115+260'!$B$13:$X$489,20,0)/1000</f>
        <v>1.625</v>
      </c>
      <c r="K161" s="145">
        <f>VLOOKUP($A161,'BC.115+260'!$B$13:$X$489,21,0)/1000</f>
        <v>-0.375</v>
      </c>
      <c r="L161" s="143">
        <f t="shared" si="6"/>
        <v>-141</v>
      </c>
      <c r="M161" s="144">
        <f t="shared" si="7"/>
        <v>-130.99999999999997</v>
      </c>
      <c r="N161" s="143">
        <f t="shared" si="8"/>
        <v>-125</v>
      </c>
      <c r="O161" s="143"/>
    </row>
    <row r="162" spans="1:15">
      <c r="A162" s="81">
        <f>'BC.115+260'!B161</f>
        <v>45399</v>
      </c>
      <c r="B162" s="143">
        <v>148</v>
      </c>
      <c r="C162" s="145">
        <f>'BC.115+260'!M161/1000</f>
        <v>0.96899999999999997</v>
      </c>
      <c r="D162" s="145">
        <f>'BC.115+260'!AA161</f>
        <v>1.3059999999999998</v>
      </c>
      <c r="E162" s="146">
        <f>'BC.115+260'!AB161</f>
        <v>1.0580000000000001</v>
      </c>
      <c r="F162" s="145">
        <f>VLOOKUP($A162,'BC.115+260'!$B$13:$X$489,8,0)/1000</f>
        <v>1.659</v>
      </c>
      <c r="G162" s="145">
        <f>VLOOKUP($A162,'BC.115+260'!$B$13:$X$489,9,0)/1000</f>
        <v>-0.34100000000000003</v>
      </c>
      <c r="H162" s="145">
        <f>VLOOKUP($A162,'BC.115+260'!$B$13:$X$489,14,0)/1000</f>
        <v>1.649</v>
      </c>
      <c r="I162" s="145">
        <f>VLOOKUP($A162,'BC.115+260'!$B$13:$X$489,15,0)/1000</f>
        <v>-0.35099999999999998</v>
      </c>
      <c r="J162" s="145">
        <f>VLOOKUP($A162,'BC.115+260'!$B$13:$X$489,20,0)/1000</f>
        <v>1.625</v>
      </c>
      <c r="K162" s="145">
        <f>VLOOKUP($A162,'BC.115+260'!$B$13:$X$489,21,0)/1000</f>
        <v>-0.375</v>
      </c>
      <c r="L162" s="143">
        <f t="shared" si="6"/>
        <v>-141</v>
      </c>
      <c r="M162" s="144">
        <f t="shared" si="7"/>
        <v>-130.99999999999997</v>
      </c>
      <c r="N162" s="143">
        <f t="shared" si="8"/>
        <v>-125</v>
      </c>
      <c r="O162" s="143"/>
    </row>
    <row r="163" spans="1:15">
      <c r="A163" s="81">
        <f>'BC.115+260'!B162</f>
        <v>45400</v>
      </c>
      <c r="B163" s="143">
        <v>149</v>
      </c>
      <c r="C163" s="145">
        <f>'BC.115+260'!M162/1000</f>
        <v>0.96899999999999997</v>
      </c>
      <c r="D163" s="145">
        <f>'BC.115+260'!AA162</f>
        <v>1.3059999999999998</v>
      </c>
      <c r="E163" s="146">
        <f>'BC.115+260'!AB162</f>
        <v>1.0580000000000001</v>
      </c>
      <c r="F163" s="145">
        <f>VLOOKUP($A163,'BC.115+260'!$B$13:$X$489,8,0)/1000</f>
        <v>1.659</v>
      </c>
      <c r="G163" s="145">
        <f>VLOOKUP($A163,'BC.115+260'!$B$13:$X$489,9,0)/1000</f>
        <v>-0.34100000000000003</v>
      </c>
      <c r="H163" s="145">
        <f>VLOOKUP($A163,'BC.115+260'!$B$13:$X$489,14,0)/1000</f>
        <v>1.649</v>
      </c>
      <c r="I163" s="145">
        <f>VLOOKUP($A163,'BC.115+260'!$B$13:$X$489,15,0)/1000</f>
        <v>-0.35099999999999998</v>
      </c>
      <c r="J163" s="145">
        <f>VLOOKUP($A163,'BC.115+260'!$B$13:$X$489,20,0)/1000</f>
        <v>1.625</v>
      </c>
      <c r="K163" s="145">
        <f>VLOOKUP($A163,'BC.115+260'!$B$13:$X$489,21,0)/1000</f>
        <v>-0.375</v>
      </c>
      <c r="L163" s="143">
        <f t="shared" si="6"/>
        <v>-141</v>
      </c>
      <c r="M163" s="144">
        <f t="shared" si="7"/>
        <v>-130.99999999999997</v>
      </c>
      <c r="N163" s="143">
        <f t="shared" si="8"/>
        <v>-125</v>
      </c>
      <c r="O163" s="143"/>
    </row>
    <row r="164" spans="1:15">
      <c r="A164" s="81">
        <f>'BC.115+260'!B163</f>
        <v>45401</v>
      </c>
      <c r="B164" s="143">
        <v>150</v>
      </c>
      <c r="C164" s="145">
        <f>'BC.115+260'!M163/1000</f>
        <v>0.96899999999999997</v>
      </c>
      <c r="D164" s="145">
        <f>'BC.115+260'!AA163</f>
        <v>1.3059999999999998</v>
      </c>
      <c r="E164" s="146">
        <f>'BC.115+260'!AB163</f>
        <v>1.0580000000000001</v>
      </c>
      <c r="F164" s="145">
        <f>VLOOKUP($A164,'BC.115+260'!$B$13:$X$489,8,0)/1000</f>
        <v>1.659</v>
      </c>
      <c r="G164" s="145">
        <f>VLOOKUP($A164,'BC.115+260'!$B$13:$X$489,9,0)/1000</f>
        <v>-0.34100000000000003</v>
      </c>
      <c r="H164" s="145">
        <f>VLOOKUP($A164,'BC.115+260'!$B$13:$X$489,14,0)/1000</f>
        <v>1.649</v>
      </c>
      <c r="I164" s="145">
        <f>VLOOKUP($A164,'BC.115+260'!$B$13:$X$489,15,0)/1000</f>
        <v>-0.35099999999999998</v>
      </c>
      <c r="J164" s="145">
        <f>VLOOKUP($A164,'BC.115+260'!$B$13:$X$489,20,0)/1000</f>
        <v>1.625</v>
      </c>
      <c r="K164" s="145">
        <f>VLOOKUP($A164,'BC.115+260'!$B$13:$X$489,21,0)/1000</f>
        <v>-0.375</v>
      </c>
      <c r="L164" s="143">
        <f t="shared" si="6"/>
        <v>-141</v>
      </c>
      <c r="M164" s="144">
        <f t="shared" si="7"/>
        <v>-130.99999999999997</v>
      </c>
      <c r="N164" s="143">
        <f t="shared" si="8"/>
        <v>-125</v>
      </c>
      <c r="O164" s="143"/>
    </row>
    <row r="165" spans="1:15">
      <c r="A165" s="81">
        <f>'BC.115+260'!B164</f>
        <v>45402</v>
      </c>
      <c r="B165" s="143">
        <v>151</v>
      </c>
      <c r="C165" s="145">
        <f>'BC.115+260'!M164/1000</f>
        <v>1.26</v>
      </c>
      <c r="D165" s="145">
        <f>'BC.115+260'!AA164</f>
        <v>1.5979999999999999</v>
      </c>
      <c r="E165" s="146">
        <f>'BC.115+260'!AB164</f>
        <v>1.34</v>
      </c>
      <c r="F165" s="145">
        <f>VLOOKUP($A165,'BC.115+260'!$B$13:$X$489,8,0)/1000</f>
        <v>1.65</v>
      </c>
      <c r="G165" s="145">
        <f>VLOOKUP($A165,'BC.115+260'!$B$13:$X$489,9,0)/1000</f>
        <v>-0.35</v>
      </c>
      <c r="H165" s="145">
        <f>VLOOKUP($A165,'BC.115+260'!$B$13:$X$489,14,0)/1000</f>
        <v>1.64</v>
      </c>
      <c r="I165" s="145">
        <f>VLOOKUP($A165,'BC.115+260'!$B$13:$X$489,15,0)/1000</f>
        <v>-0.36</v>
      </c>
      <c r="J165" s="145">
        <f>VLOOKUP($A165,'BC.115+260'!$B$13:$X$489,20,0)/1000</f>
        <v>1.617</v>
      </c>
      <c r="K165" s="145">
        <f>VLOOKUP($A165,'BC.115+260'!$B$13:$X$489,21,0)/1000</f>
        <v>-0.38300000000000001</v>
      </c>
      <c r="L165" s="143">
        <f t="shared" si="6"/>
        <v>-149.99999999999997</v>
      </c>
      <c r="M165" s="144">
        <f t="shared" si="7"/>
        <v>-139.99999999999997</v>
      </c>
      <c r="N165" s="143">
        <f t="shared" si="8"/>
        <v>-133</v>
      </c>
      <c r="O165" s="143"/>
    </row>
    <row r="166" spans="1:15">
      <c r="A166" s="81">
        <f>'BC.115+260'!B165</f>
        <v>45403</v>
      </c>
      <c r="B166" s="143">
        <v>152</v>
      </c>
      <c r="C166" s="145">
        <f>'BC.115+260'!M165/1000</f>
        <v>1.254</v>
      </c>
      <c r="D166" s="145">
        <f>'BC.115+260'!AA165</f>
        <v>1.5979999999999999</v>
      </c>
      <c r="E166" s="146">
        <f>'BC.115+260'!AB165</f>
        <v>1.3280000000000001</v>
      </c>
      <c r="F166" s="145">
        <f>VLOOKUP($A166,'BC.115+260'!$B$13:$X$489,8,0)/1000</f>
        <v>1.6439999999999999</v>
      </c>
      <c r="G166" s="145">
        <f>VLOOKUP($A166,'BC.115+260'!$B$13:$X$489,9,0)/1000</f>
        <v>-0.35599999999999998</v>
      </c>
      <c r="H166" s="145">
        <f>VLOOKUP($A166,'BC.115+260'!$B$13:$X$489,14,0)/1000</f>
        <v>1.6339999999999999</v>
      </c>
      <c r="I166" s="145">
        <f>VLOOKUP($A166,'BC.115+260'!$B$13:$X$489,15,0)/1000</f>
        <v>-0.36599999999999999</v>
      </c>
      <c r="J166" s="145">
        <f>VLOOKUP($A166,'BC.115+260'!$B$13:$X$489,20,0)/1000</f>
        <v>1.6140000000000001</v>
      </c>
      <c r="K166" s="145">
        <f>VLOOKUP($A166,'BC.115+260'!$B$13:$X$489,21,0)/1000</f>
        <v>-0.38600000000000001</v>
      </c>
      <c r="L166" s="143">
        <f t="shared" si="6"/>
        <v>-155.99999999999997</v>
      </c>
      <c r="M166" s="144">
        <f t="shared" si="7"/>
        <v>-146</v>
      </c>
      <c r="N166" s="143">
        <f t="shared" si="8"/>
        <v>-136</v>
      </c>
      <c r="O166" s="143"/>
    </row>
    <row r="167" spans="1:15">
      <c r="A167" s="81">
        <f>'BC.115+260'!B166</f>
        <v>45404</v>
      </c>
      <c r="B167" s="143">
        <v>153</v>
      </c>
      <c r="C167" s="145">
        <f>'BC.115+260'!M166/1000</f>
        <v>1.2490000000000001</v>
      </c>
      <c r="D167" s="145">
        <f>'BC.115+260'!AA166</f>
        <v>1.5979999999999999</v>
      </c>
      <c r="E167" s="146">
        <f>'BC.115+260'!AB166</f>
        <v>1.3180000000000001</v>
      </c>
      <c r="F167" s="145">
        <f>VLOOKUP($A167,'BC.115+260'!$B$13:$X$489,8,0)/1000</f>
        <v>1.639</v>
      </c>
      <c r="G167" s="145">
        <f>VLOOKUP($A167,'BC.115+260'!$B$13:$X$489,9,0)/1000</f>
        <v>-0.36099999999999999</v>
      </c>
      <c r="H167" s="145">
        <f>VLOOKUP($A167,'BC.115+260'!$B$13:$X$489,14,0)/1000</f>
        <v>1.629</v>
      </c>
      <c r="I167" s="145">
        <f>VLOOKUP($A167,'BC.115+260'!$B$13:$X$489,15,0)/1000</f>
        <v>-0.371</v>
      </c>
      <c r="J167" s="145">
        <f>VLOOKUP($A167,'BC.115+260'!$B$13:$X$489,20,0)/1000</f>
        <v>1.61</v>
      </c>
      <c r="K167" s="145">
        <f>VLOOKUP($A167,'BC.115+260'!$B$13:$X$489,21,0)/1000</f>
        <v>-0.39</v>
      </c>
      <c r="L167" s="143">
        <f t="shared" si="6"/>
        <v>-160.99999999999997</v>
      </c>
      <c r="M167" s="144">
        <f t="shared" si="7"/>
        <v>-151</v>
      </c>
      <c r="N167" s="143">
        <f t="shared" si="8"/>
        <v>-140</v>
      </c>
      <c r="O167" s="143"/>
    </row>
    <row r="168" spans="1:15">
      <c r="A168" s="81">
        <f>'BC.115+260'!B167</f>
        <v>45405</v>
      </c>
      <c r="B168" s="143">
        <v>154</v>
      </c>
      <c r="C168" s="145">
        <f>'BC.115+260'!M167/1000</f>
        <v>1.2430000000000001</v>
      </c>
      <c r="D168" s="145">
        <f>'BC.115+260'!AA167</f>
        <v>1.5979999999999999</v>
      </c>
      <c r="E168" s="146">
        <f>'BC.115+260'!AB167</f>
        <v>1.306</v>
      </c>
      <c r="F168" s="145">
        <f>VLOOKUP($A168,'BC.115+260'!$B$13:$X$489,8,0)/1000</f>
        <v>1.6339999999999999</v>
      </c>
      <c r="G168" s="145">
        <f>VLOOKUP($A168,'BC.115+260'!$B$13:$X$489,9,0)/1000</f>
        <v>-0.36599999999999999</v>
      </c>
      <c r="H168" s="145">
        <f>VLOOKUP($A168,'BC.115+260'!$B$13:$X$489,14,0)/1000</f>
        <v>1.623</v>
      </c>
      <c r="I168" s="145">
        <f>VLOOKUP($A168,'BC.115+260'!$B$13:$X$489,15,0)/1000</f>
        <v>-0.377</v>
      </c>
      <c r="J168" s="145">
        <f>VLOOKUP($A168,'BC.115+260'!$B$13:$X$489,20,0)/1000</f>
        <v>1.6060000000000001</v>
      </c>
      <c r="K168" s="145">
        <f>VLOOKUP($A168,'BC.115+260'!$B$13:$X$489,21,0)/1000</f>
        <v>-0.39400000000000002</v>
      </c>
      <c r="L168" s="143">
        <f t="shared" si="6"/>
        <v>-165.99999999999997</v>
      </c>
      <c r="M168" s="144">
        <f t="shared" si="7"/>
        <v>-157</v>
      </c>
      <c r="N168" s="143">
        <f t="shared" si="8"/>
        <v>-144.00000000000003</v>
      </c>
      <c r="O168" s="143"/>
    </row>
    <row r="169" spans="1:15">
      <c r="A169" s="81">
        <f>'BC.115+260'!B168</f>
        <v>45406</v>
      </c>
      <c r="B169" s="143">
        <v>155</v>
      </c>
      <c r="C169" s="145">
        <f>'BC.115+260'!M168/1000</f>
        <v>1.534</v>
      </c>
      <c r="D169" s="145">
        <f>'BC.115+260'!AA168</f>
        <v>1.89</v>
      </c>
      <c r="E169" s="146">
        <f>'BC.115+260'!AB168</f>
        <v>1.5880000000000001</v>
      </c>
      <c r="F169" s="145">
        <f>VLOOKUP($A169,'BC.115+260'!$B$13:$X$489,8,0)/1000</f>
        <v>1.625</v>
      </c>
      <c r="G169" s="145">
        <f>VLOOKUP($A169,'BC.115+260'!$B$13:$X$489,9,0)/1000</f>
        <v>-0.375</v>
      </c>
      <c r="H169" s="145">
        <f>VLOOKUP($A169,'BC.115+260'!$B$13:$X$489,14,0)/1000</f>
        <v>1.6140000000000001</v>
      </c>
      <c r="I169" s="145">
        <f>VLOOKUP($A169,'BC.115+260'!$B$13:$X$489,15,0)/1000</f>
        <v>-0.38600000000000001</v>
      </c>
      <c r="J169" s="145">
        <f>VLOOKUP($A169,'BC.115+260'!$B$13:$X$489,20,0)/1000</f>
        <v>1.5980000000000001</v>
      </c>
      <c r="K169" s="145">
        <f>VLOOKUP($A169,'BC.115+260'!$B$13:$X$489,21,0)/1000</f>
        <v>-0.40200000000000002</v>
      </c>
      <c r="L169" s="143">
        <f t="shared" si="6"/>
        <v>-175</v>
      </c>
      <c r="M169" s="144">
        <f t="shared" si="7"/>
        <v>-166</v>
      </c>
      <c r="N169" s="143">
        <f t="shared" si="8"/>
        <v>-152.00000000000003</v>
      </c>
      <c r="O169" s="143"/>
    </row>
    <row r="170" spans="1:15" ht="15.6" customHeight="1">
      <c r="A170" s="81">
        <f>'BC.115+260'!B169</f>
        <v>45407</v>
      </c>
      <c r="B170" s="143">
        <v>156</v>
      </c>
      <c r="C170" s="145">
        <f>'BC.115+260'!M169/1000</f>
        <v>1.528</v>
      </c>
      <c r="D170" s="145">
        <f>'BC.115+260'!AA169</f>
        <v>1.89</v>
      </c>
      <c r="E170" s="146">
        <f>'BC.115+260'!AB169</f>
        <v>1.5760000000000001</v>
      </c>
      <c r="F170" s="145">
        <f>VLOOKUP($A170,'BC.115+260'!$B$13:$X$489,8,0)/1000</f>
        <v>1.619</v>
      </c>
      <c r="G170" s="145">
        <f>VLOOKUP($A170,'BC.115+260'!$B$13:$X$489,9,0)/1000</f>
        <v>-0.38100000000000001</v>
      </c>
      <c r="H170" s="145">
        <f>VLOOKUP($A170,'BC.115+260'!$B$13:$X$489,14,0)/1000</f>
        <v>1.6080000000000001</v>
      </c>
      <c r="I170" s="145">
        <f>VLOOKUP($A170,'BC.115+260'!$B$13:$X$489,15,0)/1000</f>
        <v>-0.39200000000000002</v>
      </c>
      <c r="J170" s="145">
        <f>VLOOKUP($A170,'BC.115+260'!$B$13:$X$489,20,0)/1000</f>
        <v>1.595</v>
      </c>
      <c r="K170" s="145">
        <f>VLOOKUP($A170,'BC.115+260'!$B$13:$X$489,21,0)/1000</f>
        <v>-0.40500000000000003</v>
      </c>
      <c r="L170" s="143">
        <f t="shared" si="6"/>
        <v>-181</v>
      </c>
      <c r="M170" s="144">
        <f t="shared" si="7"/>
        <v>-172</v>
      </c>
      <c r="N170" s="143">
        <f t="shared" si="8"/>
        <v>-155.00000000000003</v>
      </c>
      <c r="O170" s="143"/>
    </row>
    <row r="171" spans="1:15" ht="15.6" customHeight="1">
      <c r="A171" s="81">
        <f>'BC.115+260'!B170</f>
        <v>45408</v>
      </c>
      <c r="B171" s="143">
        <v>157</v>
      </c>
      <c r="C171" s="145">
        <f>'BC.115+260'!M170/1000</f>
        <v>1.5229999999999999</v>
      </c>
      <c r="D171" s="145">
        <f>'BC.115+260'!AA170</f>
        <v>1.89</v>
      </c>
      <c r="E171" s="146">
        <f>'BC.115+260'!AB170</f>
        <v>1.5660000000000001</v>
      </c>
      <c r="F171" s="145">
        <f>VLOOKUP($A171,'BC.115+260'!$B$13:$X$489,8,0)/1000</f>
        <v>1.6140000000000001</v>
      </c>
      <c r="G171" s="145">
        <f>VLOOKUP($A171,'BC.115+260'!$B$13:$X$489,9,0)/1000</f>
        <v>-0.38600000000000001</v>
      </c>
      <c r="H171" s="145">
        <f>VLOOKUP($A171,'BC.115+260'!$B$13:$X$489,14,0)/1000</f>
        <v>1.603</v>
      </c>
      <c r="I171" s="145">
        <f>VLOOKUP($A171,'BC.115+260'!$B$13:$X$489,15,0)/1000</f>
        <v>-0.39700000000000002</v>
      </c>
      <c r="J171" s="145">
        <f>VLOOKUP($A171,'BC.115+260'!$B$13:$X$489,20,0)/1000</f>
        <v>1.591</v>
      </c>
      <c r="K171" s="145">
        <f>VLOOKUP($A171,'BC.115+260'!$B$13:$X$489,21,0)/1000</f>
        <v>-0.40899999999999997</v>
      </c>
      <c r="L171" s="143">
        <f t="shared" si="6"/>
        <v>-186</v>
      </c>
      <c r="M171" s="144">
        <f t="shared" si="7"/>
        <v>-177.00000000000003</v>
      </c>
      <c r="N171" s="143">
        <f t="shared" si="8"/>
        <v>-158.99999999999997</v>
      </c>
      <c r="O171" s="143"/>
    </row>
    <row r="172" spans="1:15" ht="15.6" customHeight="1">
      <c r="A172" s="81">
        <f>'BC.115+260'!B171</f>
        <v>45409</v>
      </c>
      <c r="B172" s="143">
        <v>158</v>
      </c>
      <c r="C172" s="145">
        <f>'BC.115+260'!M171/1000</f>
        <v>1.5169999999999999</v>
      </c>
      <c r="D172" s="145">
        <f>'BC.115+260'!AA171</f>
        <v>1.89</v>
      </c>
      <c r="E172" s="146">
        <f>'BC.115+260'!AB171</f>
        <v>1.554</v>
      </c>
      <c r="F172" s="145">
        <f>VLOOKUP($A172,'BC.115+260'!$B$13:$X$489,8,0)/1000</f>
        <v>1.609</v>
      </c>
      <c r="G172" s="145">
        <f>VLOOKUP($A172,'BC.115+260'!$B$13:$X$489,9,0)/1000</f>
        <v>-0.39100000000000001</v>
      </c>
      <c r="H172" s="145">
        <f>VLOOKUP($A172,'BC.115+260'!$B$13:$X$489,14,0)/1000</f>
        <v>1.597</v>
      </c>
      <c r="I172" s="145">
        <f>VLOOKUP($A172,'BC.115+260'!$B$13:$X$489,15,0)/1000</f>
        <v>-0.40300000000000002</v>
      </c>
      <c r="J172" s="145">
        <f>VLOOKUP($A172,'BC.115+260'!$B$13:$X$489,20,0)/1000</f>
        <v>1.587</v>
      </c>
      <c r="K172" s="145">
        <f>VLOOKUP($A172,'BC.115+260'!$B$13:$X$489,21,0)/1000</f>
        <v>-0.41299999999999998</v>
      </c>
      <c r="L172" s="143">
        <f t="shared" si="6"/>
        <v>-191</v>
      </c>
      <c r="M172" s="144">
        <f t="shared" si="7"/>
        <v>-183.00000000000003</v>
      </c>
      <c r="N172" s="143">
        <f t="shared" si="8"/>
        <v>-162.99999999999997</v>
      </c>
      <c r="O172" s="143"/>
    </row>
    <row r="173" spans="1:15" ht="15.6" customHeight="1">
      <c r="A173" s="81">
        <f>'BC.115+260'!B172</f>
        <v>45410</v>
      </c>
      <c r="B173" s="143">
        <v>159</v>
      </c>
      <c r="C173" s="145">
        <f>'BC.115+260'!M172/1000</f>
        <v>1.5109999999999999</v>
      </c>
      <c r="D173" s="145">
        <f>'BC.115+260'!AA172</f>
        <v>1.89</v>
      </c>
      <c r="E173" s="146">
        <f>'BC.115+260'!AB172</f>
        <v>1.542</v>
      </c>
      <c r="F173" s="145">
        <f>VLOOKUP($A173,'BC.115+260'!$B$13:$X$489,8,0)/1000</f>
        <v>2.6040000000000001</v>
      </c>
      <c r="G173" s="145">
        <f>VLOOKUP($A173,'BC.115+260'!$B$13:$X$489,9,0)/1000</f>
        <v>-0.39600000000000002</v>
      </c>
      <c r="H173" s="145">
        <f>VLOOKUP($A173,'BC.115+260'!$B$13:$X$489,14,0)/1000</f>
        <v>2.5910000000000002</v>
      </c>
      <c r="I173" s="145">
        <f>VLOOKUP($A173,'BC.115+260'!$B$13:$X$489,15,0)/1000</f>
        <v>-0.40899999999999997</v>
      </c>
      <c r="J173" s="145">
        <f>VLOOKUP($A173,'BC.115+260'!$B$13:$X$489,20,0)/1000</f>
        <v>2.5830000000000002</v>
      </c>
      <c r="K173" s="145">
        <f>VLOOKUP($A173,'BC.115+260'!$B$13:$X$489,21,0)/1000</f>
        <v>-0.41699999999999998</v>
      </c>
      <c r="L173" s="143">
        <f t="shared" si="6"/>
        <v>-196</v>
      </c>
      <c r="M173" s="144">
        <f t="shared" si="7"/>
        <v>-188.99999999999997</v>
      </c>
      <c r="N173" s="143">
        <f t="shared" si="8"/>
        <v>-166.99999999999997</v>
      </c>
      <c r="O173" s="143"/>
    </row>
    <row r="174" spans="1:15" ht="15.6" customHeight="1">
      <c r="A174" s="81">
        <f>'BC.115+260'!B173</f>
        <v>45411</v>
      </c>
      <c r="B174" s="143">
        <v>160</v>
      </c>
      <c r="C174" s="145">
        <f>'BC.115+260'!M173/1000</f>
        <v>1.802</v>
      </c>
      <c r="D174" s="145">
        <f>'BC.115+260'!AA173</f>
        <v>2.181</v>
      </c>
      <c r="E174" s="146">
        <f>'BC.115+260'!AB173</f>
        <v>1.8240000000000001</v>
      </c>
      <c r="F174" s="145">
        <f>VLOOKUP($A174,'BC.115+260'!$B$13:$X$489,8,0)/1000</f>
        <v>2.5950000000000002</v>
      </c>
      <c r="G174" s="145">
        <f>VLOOKUP($A174,'BC.115+260'!$B$13:$X$489,9,0)/1000</f>
        <v>-0.40500000000000003</v>
      </c>
      <c r="H174" s="145">
        <f>VLOOKUP($A174,'BC.115+260'!$B$13:$X$489,14,0)/1000</f>
        <v>2.5819999999999999</v>
      </c>
      <c r="I174" s="145">
        <f>VLOOKUP($A174,'BC.115+260'!$B$13:$X$489,15,0)/1000</f>
        <v>-0.41799999999999998</v>
      </c>
      <c r="J174" s="145">
        <f>VLOOKUP($A174,'BC.115+260'!$B$13:$X$489,20,0)/1000</f>
        <v>2.5739999999999998</v>
      </c>
      <c r="K174" s="145">
        <f>VLOOKUP($A174,'BC.115+260'!$B$13:$X$489,21,0)/1000</f>
        <v>-0.42599999999999999</v>
      </c>
      <c r="L174" s="143">
        <f t="shared" si="6"/>
        <v>-205.00000000000003</v>
      </c>
      <c r="M174" s="144">
        <f t="shared" si="7"/>
        <v>-197.99999999999997</v>
      </c>
      <c r="N174" s="143">
        <f t="shared" si="8"/>
        <v>-176</v>
      </c>
      <c r="O174" s="143"/>
    </row>
    <row r="175" spans="1:15" ht="15.6" customHeight="1">
      <c r="A175" s="81">
        <f>'BC.115+260'!B174</f>
        <v>45412</v>
      </c>
      <c r="B175" s="143">
        <v>161</v>
      </c>
      <c r="C175" s="145">
        <f>'BC.115+260'!M174/1000</f>
        <v>1.798</v>
      </c>
      <c r="D175" s="145">
        <f>'BC.115+260'!AA174</f>
        <v>2.181</v>
      </c>
      <c r="E175" s="146">
        <f>'BC.115+260'!AB174</f>
        <v>1.8160000000000001</v>
      </c>
      <c r="F175" s="145">
        <f>VLOOKUP($A175,'BC.115+260'!$B$13:$X$489,8,0)/1000</f>
        <v>2.5920000000000001</v>
      </c>
      <c r="G175" s="145">
        <f>VLOOKUP($A175,'BC.115+260'!$B$13:$X$489,9,0)/1000</f>
        <v>-0.40799999999999997</v>
      </c>
      <c r="H175" s="145">
        <f>VLOOKUP($A175,'BC.115+260'!$B$13:$X$489,14,0)/1000</f>
        <v>2.5779999999999998</v>
      </c>
      <c r="I175" s="145">
        <f>VLOOKUP($A175,'BC.115+260'!$B$13:$X$489,15,0)/1000</f>
        <v>-0.42199999999999999</v>
      </c>
      <c r="J175" s="145">
        <f>VLOOKUP($A175,'BC.115+260'!$B$13:$X$489,20,0)/1000</f>
        <v>2.57</v>
      </c>
      <c r="K175" s="145">
        <f>VLOOKUP($A175,'BC.115+260'!$B$13:$X$489,21,0)/1000</f>
        <v>-0.43</v>
      </c>
      <c r="L175" s="143">
        <f t="shared" si="6"/>
        <v>-207.99999999999997</v>
      </c>
      <c r="M175" s="144">
        <f t="shared" si="7"/>
        <v>-201.99999999999997</v>
      </c>
      <c r="N175" s="143">
        <f t="shared" si="8"/>
        <v>-180</v>
      </c>
      <c r="O175" s="143"/>
    </row>
    <row r="176" spans="1:15" ht="15.6" customHeight="1">
      <c r="A176" s="81">
        <f>'BC.115+260'!B175</f>
        <v>45413</v>
      </c>
      <c r="B176" s="143">
        <v>162</v>
      </c>
      <c r="C176" s="145">
        <f>'BC.115+260'!M175/1000</f>
        <v>1.7929999999999999</v>
      </c>
      <c r="D176" s="145">
        <f>'BC.115+260'!AA175</f>
        <v>2.181</v>
      </c>
      <c r="E176" s="146">
        <f>'BC.115+260'!AB175</f>
        <v>1.806</v>
      </c>
      <c r="F176" s="145">
        <f>VLOOKUP($A176,'BC.115+260'!$B$13:$X$489,8,0)/1000</f>
        <v>2.59</v>
      </c>
      <c r="G176" s="145">
        <f>VLOOKUP($A176,'BC.115+260'!$B$13:$X$489,9,0)/1000</f>
        <v>-0.41</v>
      </c>
      <c r="H176" s="145">
        <f>VLOOKUP($A176,'BC.115+260'!$B$13:$X$489,14,0)/1000</f>
        <v>2.573</v>
      </c>
      <c r="I176" s="145">
        <f>VLOOKUP($A176,'BC.115+260'!$B$13:$X$489,15,0)/1000</f>
        <v>-0.42699999999999999</v>
      </c>
      <c r="J176" s="145">
        <f>VLOOKUP($A176,'BC.115+260'!$B$13:$X$489,20,0)/1000</f>
        <v>2.5680000000000001</v>
      </c>
      <c r="K176" s="145">
        <f>VLOOKUP($A176,'BC.115+260'!$B$13:$X$489,21,0)/1000</f>
        <v>-0.432</v>
      </c>
      <c r="L176" s="143">
        <f t="shared" si="6"/>
        <v>-209.99999999999997</v>
      </c>
      <c r="M176" s="144">
        <f t="shared" si="7"/>
        <v>-207</v>
      </c>
      <c r="N176" s="143">
        <f t="shared" si="8"/>
        <v>-182</v>
      </c>
      <c r="O176" s="143"/>
    </row>
    <row r="177" spans="1:15" ht="15.6" customHeight="1">
      <c r="A177" s="81">
        <f>'BC.115+260'!B176</f>
        <v>45414</v>
      </c>
      <c r="B177" s="143">
        <v>163</v>
      </c>
      <c r="C177" s="145">
        <f>'BC.115+260'!M176/1000</f>
        <v>1.788</v>
      </c>
      <c r="D177" s="145">
        <f>'BC.115+260'!AA176</f>
        <v>2.181</v>
      </c>
      <c r="E177" s="146">
        <f>'BC.115+260'!AB176</f>
        <v>1.796</v>
      </c>
      <c r="F177" s="145">
        <f>VLOOKUP($A177,'BC.115+260'!$B$13:$X$489,8,0)/1000</f>
        <v>2.5859999999999999</v>
      </c>
      <c r="G177" s="145">
        <f>VLOOKUP($A177,'BC.115+260'!$B$13:$X$489,9,0)/1000</f>
        <v>-0.41399999999999998</v>
      </c>
      <c r="H177" s="145">
        <f>VLOOKUP($A177,'BC.115+260'!$B$13:$X$489,14,0)/1000</f>
        <v>2.5680000000000001</v>
      </c>
      <c r="I177" s="145">
        <f>VLOOKUP($A177,'BC.115+260'!$B$13:$X$489,15,0)/1000</f>
        <v>-0.432</v>
      </c>
      <c r="J177" s="145">
        <f>VLOOKUP($A177,'BC.115+260'!$B$13:$X$489,20,0)/1000</f>
        <v>2.5630000000000002</v>
      </c>
      <c r="K177" s="145">
        <f>VLOOKUP($A177,'BC.115+260'!$B$13:$X$489,21,0)/1000</f>
        <v>-0.437</v>
      </c>
      <c r="L177" s="143">
        <f t="shared" si="6"/>
        <v>-213.99999999999997</v>
      </c>
      <c r="M177" s="144">
        <f t="shared" si="7"/>
        <v>-212</v>
      </c>
      <c r="N177" s="143">
        <f t="shared" si="8"/>
        <v>-187</v>
      </c>
      <c r="O177" s="143"/>
    </row>
    <row r="178" spans="1:15" ht="15.6" customHeight="1">
      <c r="A178" s="81">
        <f>'BC.115+260'!B177</f>
        <v>45415</v>
      </c>
      <c r="B178" s="143">
        <v>164</v>
      </c>
      <c r="C178" s="145">
        <f>'BC.115+260'!M177/1000</f>
        <v>2.0790000000000002</v>
      </c>
      <c r="D178" s="145">
        <f>'BC.115+260'!AA177</f>
        <v>2.4729999999999999</v>
      </c>
      <c r="E178" s="146">
        <f>'BC.115+260'!AB177</f>
        <v>2.0779999999999998</v>
      </c>
      <c r="F178" s="145">
        <f>VLOOKUP($A178,'BC.115+260'!$B$13:$X$489,8,0)/1000</f>
        <v>2.5779999999999998</v>
      </c>
      <c r="G178" s="145">
        <f>VLOOKUP($A178,'BC.115+260'!$B$13:$X$489,9,0)/1000</f>
        <v>-0.42199999999999999</v>
      </c>
      <c r="H178" s="145">
        <f>VLOOKUP($A178,'BC.115+260'!$B$13:$X$489,14,0)/1000</f>
        <v>2.5590000000000002</v>
      </c>
      <c r="I178" s="145">
        <f>VLOOKUP($A178,'BC.115+260'!$B$13:$X$489,15,0)/1000</f>
        <v>-0.441</v>
      </c>
      <c r="J178" s="145">
        <f>VLOOKUP($A178,'BC.115+260'!$B$13:$X$489,20,0)/1000</f>
        <v>2.5550000000000002</v>
      </c>
      <c r="K178" s="145">
        <f>VLOOKUP($A178,'BC.115+260'!$B$13:$X$489,21,0)/1000</f>
        <v>-0.44500000000000001</v>
      </c>
      <c r="L178" s="143">
        <f t="shared" si="6"/>
        <v>-221.99999999999997</v>
      </c>
      <c r="M178" s="144">
        <f t="shared" si="7"/>
        <v>-221</v>
      </c>
      <c r="N178" s="143">
        <f t="shared" si="8"/>
        <v>-195</v>
      </c>
      <c r="O178" s="143"/>
    </row>
    <row r="179" spans="1:15" ht="15.6" customHeight="1">
      <c r="A179" s="81">
        <f>'BC.115+260'!B178</f>
        <v>45416</v>
      </c>
      <c r="B179" s="143">
        <v>165</v>
      </c>
      <c r="C179" s="145">
        <f>'BC.115+260'!M178/1000</f>
        <v>2.0739999999999998</v>
      </c>
      <c r="D179" s="145">
        <f>'BC.115+260'!AA178</f>
        <v>2.4729999999999999</v>
      </c>
      <c r="E179" s="146">
        <f>'BC.115+260'!AB178</f>
        <v>2.0680000000000001</v>
      </c>
      <c r="F179" s="145">
        <f>VLOOKUP($A179,'BC.115+260'!$B$13:$X$489,8,0)/1000</f>
        <v>2.573</v>
      </c>
      <c r="G179" s="145">
        <f>VLOOKUP($A179,'BC.115+260'!$B$13:$X$489,9,0)/1000</f>
        <v>-0.42699999999999999</v>
      </c>
      <c r="H179" s="145">
        <f>VLOOKUP($A179,'BC.115+260'!$B$13:$X$489,14,0)/1000</f>
        <v>2.5539999999999998</v>
      </c>
      <c r="I179" s="145">
        <f>VLOOKUP($A179,'BC.115+260'!$B$13:$X$489,15,0)/1000</f>
        <v>-0.44600000000000001</v>
      </c>
      <c r="J179" s="145">
        <f>VLOOKUP($A179,'BC.115+260'!$B$13:$X$489,20,0)/1000</f>
        <v>2.5510000000000002</v>
      </c>
      <c r="K179" s="145">
        <f>VLOOKUP($A179,'BC.115+260'!$B$13:$X$489,21,0)/1000</f>
        <v>-0.44900000000000001</v>
      </c>
      <c r="L179" s="143">
        <f t="shared" si="6"/>
        <v>-226.99999999999997</v>
      </c>
      <c r="M179" s="144">
        <f t="shared" si="7"/>
        <v>-226</v>
      </c>
      <c r="N179" s="143">
        <f t="shared" si="8"/>
        <v>-199</v>
      </c>
      <c r="O179" s="143"/>
    </row>
    <row r="180" spans="1:15" ht="15.6" customHeight="1">
      <c r="A180" s="81">
        <f>'BC.115+260'!B179</f>
        <v>45417</v>
      </c>
      <c r="B180" s="143">
        <v>166</v>
      </c>
      <c r="C180" s="145">
        <f>'BC.115+260'!M179/1000</f>
        <v>2.0699999999999998</v>
      </c>
      <c r="D180" s="145">
        <f>'BC.115+260'!AA179</f>
        <v>2.4729999999999999</v>
      </c>
      <c r="E180" s="146">
        <f>'BC.115+260'!AB179</f>
        <v>2.06</v>
      </c>
      <c r="F180" s="145">
        <f>VLOOKUP($A180,'BC.115+260'!$B$13:$X$489,8,0)/1000</f>
        <v>2.5680000000000001</v>
      </c>
      <c r="G180" s="145">
        <f>VLOOKUP($A180,'BC.115+260'!$B$13:$X$489,9,0)/1000</f>
        <v>-0.432</v>
      </c>
      <c r="H180" s="145">
        <f>VLOOKUP($A180,'BC.115+260'!$B$13:$X$489,14,0)/1000</f>
        <v>2.5499999999999998</v>
      </c>
      <c r="I180" s="145">
        <f>VLOOKUP($A180,'BC.115+260'!$B$13:$X$489,15,0)/1000</f>
        <v>-0.45</v>
      </c>
      <c r="J180" s="145">
        <f>VLOOKUP($A180,'BC.115+260'!$B$13:$X$489,20,0)/1000</f>
        <v>2.548</v>
      </c>
      <c r="K180" s="145">
        <f>VLOOKUP($A180,'BC.115+260'!$B$13:$X$489,21,0)/1000</f>
        <v>-0.45200000000000001</v>
      </c>
      <c r="L180" s="143">
        <f t="shared" si="6"/>
        <v>-231.99999999999997</v>
      </c>
      <c r="M180" s="144">
        <f t="shared" si="7"/>
        <v>-230</v>
      </c>
      <c r="N180" s="143">
        <f t="shared" si="8"/>
        <v>-202</v>
      </c>
      <c r="O180" s="143"/>
    </row>
    <row r="181" spans="1:15" ht="15.6" customHeight="1">
      <c r="A181" s="81">
        <f>'BC.115+260'!B180</f>
        <v>45418</v>
      </c>
      <c r="B181" s="143">
        <v>167</v>
      </c>
      <c r="C181" s="145">
        <f>'BC.115+260'!M180/1000</f>
        <v>2.0659999999999998</v>
      </c>
      <c r="D181" s="145">
        <f>'BC.115+260'!AA180</f>
        <v>2.4729999999999999</v>
      </c>
      <c r="E181" s="146">
        <f>'BC.115+260'!AB180</f>
        <v>2.052</v>
      </c>
      <c r="F181" s="145">
        <f>VLOOKUP($A181,'BC.115+260'!$B$13:$X$489,8,0)/1000</f>
        <v>2.5640000000000001</v>
      </c>
      <c r="G181" s="145">
        <f>VLOOKUP($A181,'BC.115+260'!$B$13:$X$489,9,0)/1000</f>
        <v>-0.436</v>
      </c>
      <c r="H181" s="145">
        <f>VLOOKUP($A181,'BC.115+260'!$B$13:$X$489,14,0)/1000</f>
        <v>2.5459999999999998</v>
      </c>
      <c r="I181" s="145">
        <f>VLOOKUP($A181,'BC.115+260'!$B$13:$X$489,15,0)/1000</f>
        <v>-0.45400000000000001</v>
      </c>
      <c r="J181" s="145">
        <f>VLOOKUP($A181,'BC.115+260'!$B$13:$X$489,20,0)/1000</f>
        <v>2.5470000000000002</v>
      </c>
      <c r="K181" s="145">
        <f>VLOOKUP($A181,'BC.115+260'!$B$13:$X$489,21,0)/1000</f>
        <v>-0.45300000000000001</v>
      </c>
      <c r="L181" s="143">
        <f t="shared" si="6"/>
        <v>-236</v>
      </c>
      <c r="M181" s="144">
        <f t="shared" si="7"/>
        <v>-234</v>
      </c>
      <c r="N181" s="143">
        <f t="shared" si="8"/>
        <v>-203</v>
      </c>
      <c r="O181" s="143"/>
    </row>
    <row r="182" spans="1:15" ht="15.6" customHeight="1">
      <c r="A182" s="81">
        <f>'BC.115+260'!B181</f>
        <v>45419</v>
      </c>
      <c r="B182" s="143">
        <v>168</v>
      </c>
      <c r="C182" s="145">
        <f>'BC.115+260'!M181/1000</f>
        <v>2.0630000000000002</v>
      </c>
      <c r="D182" s="145">
        <f>'BC.115+260'!AA181</f>
        <v>2.4729999999999999</v>
      </c>
      <c r="E182" s="146">
        <f>'BC.115+260'!AB181</f>
        <v>2.0459999999999998</v>
      </c>
      <c r="F182" s="145">
        <f>VLOOKUP($A182,'BC.115+260'!$B$13:$X$489,8,0)/1000</f>
        <v>2.5609999999999999</v>
      </c>
      <c r="G182" s="145">
        <f>VLOOKUP($A182,'BC.115+260'!$B$13:$X$489,9,0)/1000</f>
        <v>-0.439</v>
      </c>
      <c r="H182" s="145">
        <f>VLOOKUP($A182,'BC.115+260'!$B$13:$X$489,14,0)/1000</f>
        <v>2.5430000000000001</v>
      </c>
      <c r="I182" s="145">
        <f>VLOOKUP($A182,'BC.115+260'!$B$13:$X$489,15,0)/1000</f>
        <v>-0.45700000000000002</v>
      </c>
      <c r="J182" s="145">
        <f>VLOOKUP($A182,'BC.115+260'!$B$13:$X$489,20,0)/1000</f>
        <v>2.5459999999999998</v>
      </c>
      <c r="K182" s="145">
        <f>VLOOKUP($A182,'BC.115+260'!$B$13:$X$489,21,0)/1000</f>
        <v>-0.45400000000000001</v>
      </c>
      <c r="L182" s="143">
        <f t="shared" si="6"/>
        <v>-239</v>
      </c>
      <c r="M182" s="144">
        <f t="shared" si="7"/>
        <v>-237.00000000000003</v>
      </c>
      <c r="N182" s="143">
        <f t="shared" si="8"/>
        <v>-204.00000000000003</v>
      </c>
      <c r="O182" s="143"/>
    </row>
    <row r="183" spans="1:15" ht="15.6" customHeight="1">
      <c r="A183" s="81">
        <f>'BC.115+260'!B182</f>
        <v>45420</v>
      </c>
      <c r="B183" s="143">
        <v>169</v>
      </c>
      <c r="C183" s="145">
        <f>'BC.115+260'!M182/1000</f>
        <v>2.0579999999999998</v>
      </c>
      <c r="D183" s="145">
        <f>'BC.115+260'!AA182</f>
        <v>2.4729999999999999</v>
      </c>
      <c r="E183" s="146">
        <f>'BC.115+260'!AB182</f>
        <v>2.036</v>
      </c>
      <c r="F183" s="145">
        <f>VLOOKUP($A183,'BC.115+260'!$B$13:$X$489,8,0)/1000</f>
        <v>2.5590000000000002</v>
      </c>
      <c r="G183" s="145">
        <f>VLOOKUP($A183,'BC.115+260'!$B$13:$X$489,9,0)/1000</f>
        <v>-0.441</v>
      </c>
      <c r="H183" s="145">
        <f>VLOOKUP($A183,'BC.115+260'!$B$13:$X$489,14,0)/1000</f>
        <v>2.5379999999999998</v>
      </c>
      <c r="I183" s="145">
        <f>VLOOKUP($A183,'BC.115+260'!$B$13:$X$489,15,0)/1000</f>
        <v>-0.46200000000000002</v>
      </c>
      <c r="J183" s="145">
        <f>VLOOKUP($A183,'BC.115+260'!$B$13:$X$489,20,0)/1000</f>
        <v>2.5449999999999999</v>
      </c>
      <c r="K183" s="145">
        <f>VLOOKUP($A183,'BC.115+260'!$B$13:$X$489,21,0)/1000</f>
        <v>-0.45500000000000002</v>
      </c>
      <c r="L183" s="143">
        <f t="shared" si="6"/>
        <v>-241</v>
      </c>
      <c r="M183" s="144">
        <f t="shared" si="7"/>
        <v>-242.00000000000003</v>
      </c>
      <c r="N183" s="143">
        <f t="shared" si="8"/>
        <v>-205.00000000000003</v>
      </c>
      <c r="O183" s="143"/>
    </row>
    <row r="184" spans="1:15" ht="15.6" customHeight="1">
      <c r="A184" s="81">
        <f>'BC.115+260'!B183</f>
        <v>45421</v>
      </c>
      <c r="B184" s="143">
        <v>170</v>
      </c>
      <c r="C184" s="145">
        <f>'BC.115+260'!M183/1000</f>
        <v>2.0529999999999999</v>
      </c>
      <c r="D184" s="145">
        <f>'BC.115+260'!AA183</f>
        <v>2.4729999999999999</v>
      </c>
      <c r="E184" s="146">
        <f>'BC.115+260'!AB183</f>
        <v>2.0259999999999998</v>
      </c>
      <c r="F184" s="145">
        <f>VLOOKUP($A184,'BC.115+260'!$B$13:$X$489,8,0)/1000</f>
        <v>2.5550000000000002</v>
      </c>
      <c r="G184" s="145">
        <f>VLOOKUP($A184,'BC.115+260'!$B$13:$X$489,9,0)/1000</f>
        <v>-0.44500000000000001</v>
      </c>
      <c r="H184" s="145">
        <f>VLOOKUP($A184,'BC.115+260'!$B$13:$X$489,14,0)/1000</f>
        <v>2.5329999999999999</v>
      </c>
      <c r="I184" s="145">
        <f>VLOOKUP($A184,'BC.115+260'!$B$13:$X$489,15,0)/1000</f>
        <v>-0.46700000000000003</v>
      </c>
      <c r="J184" s="145">
        <f>VLOOKUP($A184,'BC.115+260'!$B$13:$X$489,20,0)/1000</f>
        <v>2.5419999999999998</v>
      </c>
      <c r="K184" s="145">
        <f>VLOOKUP($A184,'BC.115+260'!$B$13:$X$489,21,0)/1000</f>
        <v>-0.45800000000000002</v>
      </c>
      <c r="L184" s="143">
        <f t="shared" si="6"/>
        <v>-245</v>
      </c>
      <c r="M184" s="144">
        <f t="shared" si="7"/>
        <v>-247.00000000000003</v>
      </c>
      <c r="N184" s="143">
        <f t="shared" si="8"/>
        <v>-208.00000000000003</v>
      </c>
      <c r="O184" s="143"/>
    </row>
    <row r="185" spans="1:15" ht="15.6" customHeight="1">
      <c r="A185" s="81">
        <f>'BC.115+260'!B184</f>
        <v>45422</v>
      </c>
      <c r="B185" s="143">
        <v>171</v>
      </c>
      <c r="C185" s="145">
        <f>'BC.115+260'!M184/1000</f>
        <v>2.0489999999999999</v>
      </c>
      <c r="D185" s="145">
        <f>'BC.115+260'!AA184</f>
        <v>2.4729999999999999</v>
      </c>
      <c r="E185" s="146">
        <f>'BC.115+260'!AB184</f>
        <v>2.0179999999999998</v>
      </c>
      <c r="F185" s="145">
        <f>VLOOKUP($A185,'BC.115+260'!$B$13:$X$489,8,0)/1000</f>
        <v>2.5529999999999999</v>
      </c>
      <c r="G185" s="145">
        <f>VLOOKUP($A185,'BC.115+260'!$B$13:$X$489,9,0)/1000</f>
        <v>-0.44700000000000001</v>
      </c>
      <c r="H185" s="145">
        <f>VLOOKUP($A185,'BC.115+260'!$B$13:$X$489,14,0)/1000</f>
        <v>2.5289999999999999</v>
      </c>
      <c r="I185" s="145">
        <f>VLOOKUP($A185,'BC.115+260'!$B$13:$X$489,15,0)/1000</f>
        <v>-0.47099999999999997</v>
      </c>
      <c r="J185" s="145">
        <f>VLOOKUP($A185,'BC.115+260'!$B$13:$X$489,20,0)/1000</f>
        <v>2.5409999999999999</v>
      </c>
      <c r="K185" s="145">
        <f>VLOOKUP($A185,'BC.115+260'!$B$13:$X$489,21,0)/1000</f>
        <v>-0.45900000000000002</v>
      </c>
      <c r="L185" s="143">
        <f t="shared" si="6"/>
        <v>-247</v>
      </c>
      <c r="M185" s="144">
        <f t="shared" si="7"/>
        <v>-251</v>
      </c>
      <c r="N185" s="143">
        <f t="shared" si="8"/>
        <v>-209.00000000000003</v>
      </c>
      <c r="O185" s="143"/>
    </row>
    <row r="186" spans="1:15" ht="15.6" customHeight="1">
      <c r="A186" s="81">
        <f>'BC.115+260'!B185</f>
        <v>45423</v>
      </c>
      <c r="B186" s="143">
        <v>172</v>
      </c>
      <c r="C186" s="145">
        <f>'BC.115+260'!M185/1000</f>
        <v>2.0489999999999999</v>
      </c>
      <c r="D186" s="145">
        <f>'BC.115+260'!AA185</f>
        <v>2.4729999999999999</v>
      </c>
      <c r="E186" s="146">
        <f>'BC.115+260'!AB185</f>
        <v>2.0179999999999998</v>
      </c>
      <c r="F186" s="145">
        <f>VLOOKUP($A186,'BC.115+260'!$B$13:$X$489,8,0)/1000</f>
        <v>2.5529999999999999</v>
      </c>
      <c r="G186" s="145">
        <f>VLOOKUP($A186,'BC.115+260'!$B$13:$X$489,9,0)/1000</f>
        <v>-0.44700000000000001</v>
      </c>
      <c r="H186" s="145">
        <f>VLOOKUP($A186,'BC.115+260'!$B$13:$X$489,14,0)/1000</f>
        <v>2.5289999999999999</v>
      </c>
      <c r="I186" s="145">
        <f>VLOOKUP($A186,'BC.115+260'!$B$13:$X$489,15,0)/1000</f>
        <v>-0.47099999999999997</v>
      </c>
      <c r="J186" s="145">
        <f>VLOOKUP($A186,'BC.115+260'!$B$13:$X$489,20,0)/1000</f>
        <v>2.5409999999999999</v>
      </c>
      <c r="K186" s="145">
        <f>VLOOKUP($A186,'BC.115+260'!$B$13:$X$489,21,0)/1000</f>
        <v>-0.45900000000000002</v>
      </c>
      <c r="L186" s="143">
        <f t="shared" si="6"/>
        <v>-247</v>
      </c>
      <c r="M186" s="144">
        <f t="shared" si="7"/>
        <v>-251</v>
      </c>
      <c r="N186" s="143">
        <f t="shared" si="8"/>
        <v>-209.00000000000003</v>
      </c>
      <c r="O186" s="143"/>
    </row>
    <row r="187" spans="1:15" ht="15.6" customHeight="1">
      <c r="A187" s="81">
        <f>'BC.115+260'!B186</f>
        <v>45424</v>
      </c>
      <c r="B187" s="143">
        <v>173</v>
      </c>
      <c r="C187" s="145">
        <f>'BC.115+260'!M186/1000</f>
        <v>2.0489999999999999</v>
      </c>
      <c r="D187" s="145">
        <f>'BC.115+260'!AA186</f>
        <v>2.4729999999999999</v>
      </c>
      <c r="E187" s="146">
        <f>'BC.115+260'!AB186</f>
        <v>2.0179999999999998</v>
      </c>
      <c r="F187" s="145">
        <f>VLOOKUP($A187,'BC.115+260'!$B$13:$X$489,8,0)/1000</f>
        <v>2.5529999999999999</v>
      </c>
      <c r="G187" s="145">
        <f>VLOOKUP($A187,'BC.115+260'!$B$13:$X$489,9,0)/1000</f>
        <v>-0.44700000000000001</v>
      </c>
      <c r="H187" s="145">
        <f>VLOOKUP($A187,'BC.115+260'!$B$13:$X$489,14,0)/1000</f>
        <v>2.5289999999999999</v>
      </c>
      <c r="I187" s="145">
        <f>VLOOKUP($A187,'BC.115+260'!$B$13:$X$489,15,0)/1000</f>
        <v>-0.47099999999999997</v>
      </c>
      <c r="J187" s="145">
        <f>VLOOKUP($A187,'BC.115+260'!$B$13:$X$489,20,0)/1000</f>
        <v>2.5409999999999999</v>
      </c>
      <c r="K187" s="145">
        <f>VLOOKUP($A187,'BC.115+260'!$B$13:$X$489,21,0)/1000</f>
        <v>-0.45900000000000002</v>
      </c>
      <c r="L187" s="143">
        <f t="shared" si="6"/>
        <v>-247</v>
      </c>
      <c r="M187" s="144">
        <f t="shared" si="7"/>
        <v>-251</v>
      </c>
      <c r="N187" s="143">
        <f t="shared" si="8"/>
        <v>-209.00000000000003</v>
      </c>
      <c r="O187" s="143"/>
    </row>
    <row r="188" spans="1:15" ht="15.6" customHeight="1">
      <c r="A188" s="81">
        <f>'BC.115+260'!B187</f>
        <v>45425</v>
      </c>
      <c r="B188" s="143">
        <v>174</v>
      </c>
      <c r="C188" s="145">
        <f>'BC.115+260'!M187/1000</f>
        <v>2.0489999999999999</v>
      </c>
      <c r="D188" s="145">
        <f>'BC.115+260'!AA187</f>
        <v>2.4729999999999999</v>
      </c>
      <c r="E188" s="146">
        <f>'BC.115+260'!AB187</f>
        <v>2.0179999999999998</v>
      </c>
      <c r="F188" s="145">
        <f>VLOOKUP($A188,'BC.115+260'!$B$13:$X$489,8,0)/1000</f>
        <v>2.5529999999999999</v>
      </c>
      <c r="G188" s="145">
        <f>VLOOKUP($A188,'BC.115+260'!$B$13:$X$489,9,0)/1000</f>
        <v>-0.44700000000000001</v>
      </c>
      <c r="H188" s="145">
        <f>VLOOKUP($A188,'BC.115+260'!$B$13:$X$489,14,0)/1000</f>
        <v>2.5289999999999999</v>
      </c>
      <c r="I188" s="145">
        <f>VLOOKUP($A188,'BC.115+260'!$B$13:$X$489,15,0)/1000</f>
        <v>-0.47099999999999997</v>
      </c>
      <c r="J188" s="145">
        <f>VLOOKUP($A188,'BC.115+260'!$B$13:$X$489,20,0)/1000</f>
        <v>2.5409999999999999</v>
      </c>
      <c r="K188" s="145">
        <f>VLOOKUP($A188,'BC.115+260'!$B$13:$X$489,21,0)/1000</f>
        <v>-0.45900000000000002</v>
      </c>
      <c r="L188" s="143">
        <f t="shared" si="6"/>
        <v>-247</v>
      </c>
      <c r="M188" s="144">
        <f t="shared" si="7"/>
        <v>-251</v>
      </c>
      <c r="N188" s="143">
        <f t="shared" si="8"/>
        <v>-209.00000000000003</v>
      </c>
      <c r="O188" s="143"/>
    </row>
    <row r="189" spans="1:15" ht="15.6" customHeight="1">
      <c r="A189" s="81">
        <f>'BC.115+260'!B188</f>
        <v>45426</v>
      </c>
      <c r="B189" s="143">
        <v>175</v>
      </c>
      <c r="C189" s="145">
        <f>'BC.115+260'!M188/1000</f>
        <v>2.0489999999999999</v>
      </c>
      <c r="D189" s="145">
        <f>'BC.115+260'!AA188</f>
        <v>2.4729999999999999</v>
      </c>
      <c r="E189" s="146">
        <f>'BC.115+260'!AB188</f>
        <v>2.0179999999999998</v>
      </c>
      <c r="F189" s="145">
        <f>VLOOKUP($A189,'BC.115+260'!$B$13:$X$489,8,0)/1000</f>
        <v>2.5529999999999999</v>
      </c>
      <c r="G189" s="145">
        <f>VLOOKUP($A189,'BC.115+260'!$B$13:$X$489,9,0)/1000</f>
        <v>-0.44700000000000001</v>
      </c>
      <c r="H189" s="145">
        <f>VLOOKUP($A189,'BC.115+260'!$B$13:$X$489,14,0)/1000</f>
        <v>2.5289999999999999</v>
      </c>
      <c r="I189" s="145">
        <f>VLOOKUP($A189,'BC.115+260'!$B$13:$X$489,15,0)/1000</f>
        <v>-0.47099999999999997</v>
      </c>
      <c r="J189" s="145">
        <f>VLOOKUP($A189,'BC.115+260'!$B$13:$X$489,20,0)/1000</f>
        <v>2.5409999999999999</v>
      </c>
      <c r="K189" s="145">
        <f>VLOOKUP($A189,'BC.115+260'!$B$13:$X$489,21,0)/1000</f>
        <v>-0.45900000000000002</v>
      </c>
      <c r="L189" s="143">
        <f t="shared" si="6"/>
        <v>-247</v>
      </c>
      <c r="M189" s="144">
        <f t="shared" si="7"/>
        <v>-251</v>
      </c>
      <c r="N189" s="143">
        <f t="shared" si="8"/>
        <v>-209.00000000000003</v>
      </c>
      <c r="O189" s="143"/>
    </row>
    <row r="190" spans="1:15" ht="15.6" customHeight="1">
      <c r="A190" s="81">
        <f>'BC.115+260'!B189</f>
        <v>45427</v>
      </c>
      <c r="B190" s="143">
        <v>176</v>
      </c>
      <c r="C190" s="145">
        <f>'BC.115+260'!M189/1000</f>
        <v>2.0489999999999999</v>
      </c>
      <c r="D190" s="145">
        <f>'BC.115+260'!AA189</f>
        <v>2.4729999999999999</v>
      </c>
      <c r="E190" s="146">
        <f>'BC.115+260'!AB189</f>
        <v>2.0179999999999998</v>
      </c>
      <c r="F190" s="145">
        <f>VLOOKUP($A190,'BC.115+260'!$B$13:$X$489,8,0)/1000</f>
        <v>2.5529999999999999</v>
      </c>
      <c r="G190" s="145">
        <f>VLOOKUP($A190,'BC.115+260'!$B$13:$X$489,9,0)/1000</f>
        <v>-0.44700000000000001</v>
      </c>
      <c r="H190" s="145">
        <f>VLOOKUP($A190,'BC.115+260'!$B$13:$X$489,14,0)/1000</f>
        <v>2.5289999999999999</v>
      </c>
      <c r="I190" s="145">
        <f>VLOOKUP($A190,'BC.115+260'!$B$13:$X$489,15,0)/1000</f>
        <v>-0.47099999999999997</v>
      </c>
      <c r="J190" s="145">
        <f>VLOOKUP($A190,'BC.115+260'!$B$13:$X$489,20,0)/1000</f>
        <v>2.5409999999999999</v>
      </c>
      <c r="K190" s="145">
        <f>VLOOKUP($A190,'BC.115+260'!$B$13:$X$489,21,0)/1000</f>
        <v>-0.45900000000000002</v>
      </c>
      <c r="L190" s="143">
        <f t="shared" si="6"/>
        <v>-247</v>
      </c>
      <c r="M190" s="144">
        <f t="shared" si="7"/>
        <v>-251</v>
      </c>
      <c r="N190" s="143">
        <f t="shared" si="8"/>
        <v>-209.00000000000003</v>
      </c>
      <c r="O190" s="143"/>
    </row>
    <row r="191" spans="1:15" ht="15.6" customHeight="1">
      <c r="A191" s="81">
        <f>'BC.115+260'!B190</f>
        <v>45428</v>
      </c>
      <c r="B191" s="143">
        <v>177</v>
      </c>
      <c r="C191" s="145">
        <f>'BC.115+260'!M190/1000</f>
        <v>2.0489999999999999</v>
      </c>
      <c r="D191" s="145">
        <f>'BC.115+260'!AA190</f>
        <v>2.4729999999999999</v>
      </c>
      <c r="E191" s="146">
        <f>'BC.115+260'!AB190</f>
        <v>2.0179999999999998</v>
      </c>
      <c r="F191" s="145">
        <f>VLOOKUP($A191,'BC.115+260'!$B$13:$X$489,8,0)/1000</f>
        <v>2.5529999999999999</v>
      </c>
      <c r="G191" s="145">
        <f>VLOOKUP($A191,'BC.115+260'!$B$13:$X$489,9,0)/1000</f>
        <v>-0.44700000000000001</v>
      </c>
      <c r="H191" s="145">
        <f>VLOOKUP($A191,'BC.115+260'!$B$13:$X$489,14,0)/1000</f>
        <v>2.5289999999999999</v>
      </c>
      <c r="I191" s="145">
        <f>VLOOKUP($A191,'BC.115+260'!$B$13:$X$489,15,0)/1000</f>
        <v>-0.47099999999999997</v>
      </c>
      <c r="J191" s="145">
        <f>VLOOKUP($A191,'BC.115+260'!$B$13:$X$489,20,0)/1000</f>
        <v>2.5409999999999999</v>
      </c>
      <c r="K191" s="145">
        <f>VLOOKUP($A191,'BC.115+260'!$B$13:$X$489,21,0)/1000</f>
        <v>-0.45900000000000002</v>
      </c>
      <c r="L191" s="143">
        <f t="shared" si="6"/>
        <v>-247</v>
      </c>
      <c r="M191" s="144">
        <f t="shared" si="7"/>
        <v>-251</v>
      </c>
      <c r="N191" s="143">
        <f t="shared" si="8"/>
        <v>-209.00000000000003</v>
      </c>
      <c r="O191" s="143"/>
    </row>
    <row r="192" spans="1:15" ht="15.6" customHeight="1">
      <c r="A192" s="81">
        <f>'BC.115+260'!B191</f>
        <v>45429</v>
      </c>
      <c r="B192" s="143">
        <v>178</v>
      </c>
      <c r="C192" s="145">
        <f>'BC.115+260'!M191/1000</f>
        <v>2.0489999999999999</v>
      </c>
      <c r="D192" s="145">
        <f>'BC.115+260'!AA191</f>
        <v>2.4729999999999999</v>
      </c>
      <c r="E192" s="146">
        <f>'BC.115+260'!AB191</f>
        <v>2.0179999999999998</v>
      </c>
      <c r="F192" s="145">
        <f>VLOOKUP($A192,'BC.115+260'!$B$13:$X$489,8,0)/1000</f>
        <v>2.5529999999999999</v>
      </c>
      <c r="G192" s="145">
        <f>VLOOKUP($A192,'BC.115+260'!$B$13:$X$489,9,0)/1000</f>
        <v>-0.44700000000000001</v>
      </c>
      <c r="H192" s="145">
        <f>VLOOKUP($A192,'BC.115+260'!$B$13:$X$489,14,0)/1000</f>
        <v>2.5289999999999999</v>
      </c>
      <c r="I192" s="145">
        <f>VLOOKUP($A192,'BC.115+260'!$B$13:$X$489,15,0)/1000</f>
        <v>-0.47099999999999997</v>
      </c>
      <c r="J192" s="145">
        <f>VLOOKUP($A192,'BC.115+260'!$B$13:$X$489,20,0)/1000</f>
        <v>2.5409999999999999</v>
      </c>
      <c r="K192" s="145">
        <f>VLOOKUP($A192,'BC.115+260'!$B$13:$X$489,21,0)/1000</f>
        <v>-0.45900000000000002</v>
      </c>
      <c r="L192" s="143">
        <f t="shared" si="6"/>
        <v>-247</v>
      </c>
      <c r="M192" s="144">
        <f t="shared" si="7"/>
        <v>-251</v>
      </c>
      <c r="N192" s="143">
        <f t="shared" si="8"/>
        <v>-209.00000000000003</v>
      </c>
      <c r="O192" s="143"/>
    </row>
    <row r="193" spans="1:15" ht="15.6" customHeight="1">
      <c r="A193" s="81">
        <f>'BC.115+260'!B192</f>
        <v>45430</v>
      </c>
      <c r="B193" s="143">
        <v>179</v>
      </c>
      <c r="C193" s="145">
        <f>'BC.115+260'!M192/1000</f>
        <v>2.0489999999999999</v>
      </c>
      <c r="D193" s="145">
        <f>'BC.115+260'!AA192</f>
        <v>2.4729999999999999</v>
      </c>
      <c r="E193" s="146">
        <f>'BC.115+260'!AB192</f>
        <v>2.0179999999999998</v>
      </c>
      <c r="F193" s="145">
        <f>VLOOKUP($A193,'BC.115+260'!$B$13:$X$489,8,0)/1000</f>
        <v>2.5529999999999999</v>
      </c>
      <c r="G193" s="145">
        <f>VLOOKUP($A193,'BC.115+260'!$B$13:$X$489,9,0)/1000</f>
        <v>-0.44700000000000001</v>
      </c>
      <c r="H193" s="145">
        <f>VLOOKUP($A193,'BC.115+260'!$B$13:$X$489,14,0)/1000</f>
        <v>2.5289999999999999</v>
      </c>
      <c r="I193" s="145">
        <f>VLOOKUP($A193,'BC.115+260'!$B$13:$X$489,15,0)/1000</f>
        <v>-0.47099999999999997</v>
      </c>
      <c r="J193" s="145">
        <f>VLOOKUP($A193,'BC.115+260'!$B$13:$X$489,20,0)/1000</f>
        <v>2.5409999999999999</v>
      </c>
      <c r="K193" s="145">
        <f>VLOOKUP($A193,'BC.115+260'!$B$13:$X$489,21,0)/1000</f>
        <v>-0.45900000000000002</v>
      </c>
      <c r="L193" s="143">
        <f t="shared" si="6"/>
        <v>-247</v>
      </c>
      <c r="M193" s="144">
        <f t="shared" si="7"/>
        <v>-251</v>
      </c>
      <c r="N193" s="143">
        <f t="shared" si="8"/>
        <v>-209.00000000000003</v>
      </c>
      <c r="O193" s="143"/>
    </row>
    <row r="194" spans="1:15" ht="15.6" customHeight="1">
      <c r="A194" s="81">
        <f>'BC.115+260'!B193</f>
        <v>45431</v>
      </c>
      <c r="B194" s="143">
        <v>180</v>
      </c>
      <c r="C194" s="145">
        <f>'BC.115+260'!M193/1000</f>
        <v>2.0489999999999999</v>
      </c>
      <c r="D194" s="145">
        <f>'BC.115+260'!AA193</f>
        <v>2.4729999999999999</v>
      </c>
      <c r="E194" s="146">
        <f>'BC.115+260'!AB193</f>
        <v>2.0179999999999998</v>
      </c>
      <c r="F194" s="145">
        <f>VLOOKUP($A194,'BC.115+260'!$B$13:$X$489,8,0)/1000</f>
        <v>2.5529999999999999</v>
      </c>
      <c r="G194" s="145">
        <f>VLOOKUP($A194,'BC.115+260'!$B$13:$X$489,9,0)/1000</f>
        <v>-0.44700000000000001</v>
      </c>
      <c r="H194" s="145">
        <f>VLOOKUP($A194,'BC.115+260'!$B$13:$X$489,14,0)/1000</f>
        <v>2.5289999999999999</v>
      </c>
      <c r="I194" s="145">
        <f>VLOOKUP($A194,'BC.115+260'!$B$13:$X$489,15,0)/1000</f>
        <v>-0.47099999999999997</v>
      </c>
      <c r="J194" s="145">
        <f>VLOOKUP($A194,'BC.115+260'!$B$13:$X$489,20,0)/1000</f>
        <v>2.5409999999999999</v>
      </c>
      <c r="K194" s="145">
        <f>VLOOKUP($A194,'BC.115+260'!$B$13:$X$489,21,0)/1000</f>
        <v>-0.45900000000000002</v>
      </c>
      <c r="L194" s="143">
        <f t="shared" si="6"/>
        <v>-247</v>
      </c>
      <c r="M194" s="144">
        <f t="shared" si="7"/>
        <v>-251</v>
      </c>
      <c r="N194" s="143">
        <f t="shared" si="8"/>
        <v>-209.00000000000003</v>
      </c>
      <c r="O194" s="143"/>
    </row>
    <row r="195" spans="1:15" ht="15.6" customHeight="1">
      <c r="A195" s="81">
        <f>'BC.115+260'!B194</f>
        <v>45432</v>
      </c>
      <c r="B195" s="143">
        <v>181</v>
      </c>
      <c r="C195" s="145">
        <f>'BC.115+260'!M194/1000</f>
        <v>2.0489999999999999</v>
      </c>
      <c r="D195" s="145">
        <f>'BC.115+260'!AA194</f>
        <v>2.4729999999999999</v>
      </c>
      <c r="E195" s="146">
        <f>'BC.115+260'!AB194</f>
        <v>2.0179999999999998</v>
      </c>
      <c r="F195" s="145">
        <f>VLOOKUP($A195,'BC.115+260'!$B$13:$X$489,8,0)/1000</f>
        <v>2.5529999999999999</v>
      </c>
      <c r="G195" s="145">
        <f>VLOOKUP($A195,'BC.115+260'!$B$13:$X$489,9,0)/1000</f>
        <v>-0.44700000000000001</v>
      </c>
      <c r="H195" s="145">
        <f>VLOOKUP($A195,'BC.115+260'!$B$13:$X$489,14,0)/1000</f>
        <v>2.5289999999999999</v>
      </c>
      <c r="I195" s="145">
        <f>VLOOKUP($A195,'BC.115+260'!$B$13:$X$489,15,0)/1000</f>
        <v>-0.47099999999999997</v>
      </c>
      <c r="J195" s="145">
        <f>VLOOKUP($A195,'BC.115+260'!$B$13:$X$489,20,0)/1000</f>
        <v>2.5409999999999999</v>
      </c>
      <c r="K195" s="145">
        <f>VLOOKUP($A195,'BC.115+260'!$B$13:$X$489,21,0)/1000</f>
        <v>-0.45900000000000002</v>
      </c>
      <c r="L195" s="143">
        <f t="shared" si="6"/>
        <v>-247</v>
      </c>
      <c r="M195" s="144">
        <f t="shared" si="7"/>
        <v>-251</v>
      </c>
      <c r="N195" s="143">
        <f t="shared" si="8"/>
        <v>-209.00000000000003</v>
      </c>
      <c r="O195" s="143"/>
    </row>
    <row r="196" spans="1:15" ht="15.6" customHeight="1">
      <c r="A196" s="81">
        <f>'BC.115+260'!B195</f>
        <v>45433</v>
      </c>
      <c r="B196" s="143">
        <v>182</v>
      </c>
      <c r="C196" s="145">
        <f>'BC.115+260'!M195/1000</f>
        <v>2.0489999999999999</v>
      </c>
      <c r="D196" s="145">
        <f>'BC.115+260'!AA195</f>
        <v>2.4729999999999999</v>
      </c>
      <c r="E196" s="146">
        <f>'BC.115+260'!AB195</f>
        <v>2.0179999999999998</v>
      </c>
      <c r="F196" s="145">
        <f>VLOOKUP($A196,'BC.115+260'!$B$13:$X$489,8,0)/1000</f>
        <v>2.5529999999999999</v>
      </c>
      <c r="G196" s="145">
        <f>VLOOKUP($A196,'BC.115+260'!$B$13:$X$489,9,0)/1000</f>
        <v>-0.44700000000000001</v>
      </c>
      <c r="H196" s="145">
        <f>VLOOKUP($A196,'BC.115+260'!$B$13:$X$489,14,0)/1000</f>
        <v>2.5289999999999999</v>
      </c>
      <c r="I196" s="145">
        <f>VLOOKUP($A196,'BC.115+260'!$B$13:$X$489,15,0)/1000</f>
        <v>-0.47099999999999997</v>
      </c>
      <c r="J196" s="145">
        <f>VLOOKUP($A196,'BC.115+260'!$B$13:$X$489,20,0)/1000</f>
        <v>2.5409999999999999</v>
      </c>
      <c r="K196" s="145">
        <f>VLOOKUP($A196,'BC.115+260'!$B$13:$X$489,21,0)/1000</f>
        <v>-0.45900000000000002</v>
      </c>
      <c r="L196" s="143">
        <f t="shared" si="6"/>
        <v>-247</v>
      </c>
      <c r="M196" s="144">
        <f t="shared" si="7"/>
        <v>-251</v>
      </c>
      <c r="N196" s="143">
        <f t="shared" si="8"/>
        <v>-209.00000000000003</v>
      </c>
      <c r="O196" s="143"/>
    </row>
    <row r="197" spans="1:15" ht="15.6" customHeight="1">
      <c r="A197" s="81">
        <f>'BC.115+260'!B196</f>
        <v>45434</v>
      </c>
      <c r="B197" s="143">
        <v>183</v>
      </c>
      <c r="C197" s="145">
        <f>'BC.115+260'!M196/1000</f>
        <v>2.0489999999999999</v>
      </c>
      <c r="D197" s="145">
        <f>'BC.115+260'!AA196</f>
        <v>2.4729999999999999</v>
      </c>
      <c r="E197" s="146">
        <f>'BC.115+260'!AB196</f>
        <v>2.0179999999999998</v>
      </c>
      <c r="F197" s="145">
        <f>VLOOKUP($A197,'BC.115+260'!$B$13:$X$489,8,0)/1000</f>
        <v>2.5529999999999999</v>
      </c>
      <c r="G197" s="145">
        <f>VLOOKUP($A197,'BC.115+260'!$B$13:$X$489,9,0)/1000</f>
        <v>-0.44700000000000001</v>
      </c>
      <c r="H197" s="145">
        <f>VLOOKUP($A197,'BC.115+260'!$B$13:$X$489,14,0)/1000</f>
        <v>2.5289999999999999</v>
      </c>
      <c r="I197" s="145">
        <f>VLOOKUP($A197,'BC.115+260'!$B$13:$X$489,15,0)/1000</f>
        <v>-0.47099999999999997</v>
      </c>
      <c r="J197" s="145">
        <f>VLOOKUP($A197,'BC.115+260'!$B$13:$X$489,20,0)/1000</f>
        <v>2.5409999999999999</v>
      </c>
      <c r="K197" s="145">
        <f>VLOOKUP($A197,'BC.115+260'!$B$13:$X$489,21,0)/1000</f>
        <v>-0.45900000000000002</v>
      </c>
      <c r="L197" s="143">
        <f t="shared" si="6"/>
        <v>-247</v>
      </c>
      <c r="M197" s="144">
        <f t="shared" si="7"/>
        <v>-251</v>
      </c>
      <c r="N197" s="143">
        <f t="shared" si="8"/>
        <v>-209.00000000000003</v>
      </c>
      <c r="O197" s="143"/>
    </row>
    <row r="198" spans="1:15" ht="15.6" customHeight="1">
      <c r="A198" s="81">
        <f>'BC.115+260'!B197</f>
        <v>45435</v>
      </c>
      <c r="B198" s="143">
        <v>184</v>
      </c>
      <c r="C198" s="145">
        <f>'BC.115+260'!M197/1000</f>
        <v>2.0489999999999999</v>
      </c>
      <c r="D198" s="145">
        <f>'BC.115+260'!AA197</f>
        <v>2.4729999999999999</v>
      </c>
      <c r="E198" s="146">
        <f>'BC.115+260'!AB197</f>
        <v>2.0179999999999998</v>
      </c>
      <c r="F198" s="145">
        <f>VLOOKUP($A198,'BC.115+260'!$B$13:$X$489,8,0)/1000</f>
        <v>2.5529999999999999</v>
      </c>
      <c r="G198" s="145">
        <f>VLOOKUP($A198,'BC.115+260'!$B$13:$X$489,9,0)/1000</f>
        <v>-0.44700000000000001</v>
      </c>
      <c r="H198" s="145">
        <f>VLOOKUP($A198,'BC.115+260'!$B$13:$X$489,14,0)/1000</f>
        <v>2.5289999999999999</v>
      </c>
      <c r="I198" s="145">
        <f>VLOOKUP($A198,'BC.115+260'!$B$13:$X$489,15,0)/1000</f>
        <v>-0.47099999999999997</v>
      </c>
      <c r="J198" s="145">
        <f>VLOOKUP($A198,'BC.115+260'!$B$13:$X$489,20,0)/1000</f>
        <v>2.5409999999999999</v>
      </c>
      <c r="K198" s="145">
        <f>VLOOKUP($A198,'BC.115+260'!$B$13:$X$489,21,0)/1000</f>
        <v>-0.45900000000000002</v>
      </c>
      <c r="L198" s="143">
        <f t="shared" si="6"/>
        <v>-247</v>
      </c>
      <c r="M198" s="144">
        <f t="shared" si="7"/>
        <v>-251</v>
      </c>
      <c r="N198" s="143">
        <f t="shared" si="8"/>
        <v>-209.00000000000003</v>
      </c>
      <c r="O198" s="143"/>
    </row>
    <row r="199" spans="1:15" ht="15.6" customHeight="1">
      <c r="A199" s="81">
        <f>'BC.115+260'!B198</f>
        <v>45436</v>
      </c>
      <c r="B199" s="143">
        <v>185</v>
      </c>
      <c r="C199" s="145">
        <f>'BC.115+260'!M198/1000</f>
        <v>2.0489999999999999</v>
      </c>
      <c r="D199" s="145">
        <f>'BC.115+260'!AA198</f>
        <v>2.4729999999999999</v>
      </c>
      <c r="E199" s="146">
        <f>'BC.115+260'!AB198</f>
        <v>2.0179999999999998</v>
      </c>
      <c r="F199" s="145">
        <f>VLOOKUP($A199,'BC.115+260'!$B$13:$X$489,8,0)/1000</f>
        <v>2.5529999999999999</v>
      </c>
      <c r="G199" s="145">
        <f>VLOOKUP($A199,'BC.115+260'!$B$13:$X$489,9,0)/1000</f>
        <v>-0.44700000000000001</v>
      </c>
      <c r="H199" s="145">
        <f>VLOOKUP($A199,'BC.115+260'!$B$13:$X$489,14,0)/1000</f>
        <v>2.5289999999999999</v>
      </c>
      <c r="I199" s="145">
        <f>VLOOKUP($A199,'BC.115+260'!$B$13:$X$489,15,0)/1000</f>
        <v>-0.47099999999999997</v>
      </c>
      <c r="J199" s="145">
        <f>VLOOKUP($A199,'BC.115+260'!$B$13:$X$489,20,0)/1000</f>
        <v>2.5409999999999999</v>
      </c>
      <c r="K199" s="145">
        <f>VLOOKUP($A199,'BC.115+260'!$B$13:$X$489,21,0)/1000</f>
        <v>-0.45900000000000002</v>
      </c>
      <c r="L199" s="143">
        <f t="shared" si="6"/>
        <v>-247</v>
      </c>
      <c r="M199" s="144">
        <f t="shared" si="7"/>
        <v>-251</v>
      </c>
      <c r="N199" s="143">
        <f t="shared" si="8"/>
        <v>-209.00000000000003</v>
      </c>
      <c r="O199" s="143"/>
    </row>
    <row r="200" spans="1:15" ht="15.6" customHeight="1">
      <c r="A200" s="81">
        <f>'BC.115+260'!B199</f>
        <v>45437</v>
      </c>
      <c r="B200" s="143">
        <v>186</v>
      </c>
      <c r="C200" s="145">
        <f>'BC.115+260'!M199/1000</f>
        <v>2.0489999999999999</v>
      </c>
      <c r="D200" s="145">
        <f>'BC.115+260'!AA199</f>
        <v>2.4729999999999999</v>
      </c>
      <c r="E200" s="146">
        <f>'BC.115+260'!AB199</f>
        <v>2.0179999999999998</v>
      </c>
      <c r="F200" s="145">
        <f>VLOOKUP($A200,'BC.115+260'!$B$13:$X$489,8,0)/1000</f>
        <v>2.5529999999999999</v>
      </c>
      <c r="G200" s="145">
        <f>VLOOKUP($A200,'BC.115+260'!$B$13:$X$489,9,0)/1000</f>
        <v>-0.44700000000000001</v>
      </c>
      <c r="H200" s="145">
        <f>VLOOKUP($A200,'BC.115+260'!$B$13:$X$489,14,0)/1000</f>
        <v>2.5289999999999999</v>
      </c>
      <c r="I200" s="145">
        <f>VLOOKUP($A200,'BC.115+260'!$B$13:$X$489,15,0)/1000</f>
        <v>-0.47099999999999997</v>
      </c>
      <c r="J200" s="145">
        <f>VLOOKUP($A200,'BC.115+260'!$B$13:$X$489,20,0)/1000</f>
        <v>2.5409999999999999</v>
      </c>
      <c r="K200" s="145">
        <f>VLOOKUP($A200,'BC.115+260'!$B$13:$X$489,21,0)/1000</f>
        <v>-0.45900000000000002</v>
      </c>
      <c r="L200" s="143">
        <f t="shared" si="6"/>
        <v>-247</v>
      </c>
      <c r="M200" s="144">
        <f t="shared" si="7"/>
        <v>-251</v>
      </c>
      <c r="N200" s="143">
        <f t="shared" si="8"/>
        <v>-209.00000000000003</v>
      </c>
      <c r="O200" s="143"/>
    </row>
    <row r="201" spans="1:15">
      <c r="A201" s="81">
        <f>'BC.115+260'!B200</f>
        <v>45438</v>
      </c>
      <c r="B201" s="143">
        <v>187</v>
      </c>
      <c r="C201" s="145">
        <f>'BC.115+260'!M200/1000</f>
        <v>2.0489999999999999</v>
      </c>
      <c r="D201" s="145">
        <f>'BC.115+260'!AA200</f>
        <v>2.4729999999999999</v>
      </c>
      <c r="E201" s="146">
        <f>'BC.115+260'!AB200</f>
        <v>2.0179999999999998</v>
      </c>
      <c r="F201" s="145">
        <f>VLOOKUP($A201,'BC.115+260'!$B$13:$X$489,8,0)/1000</f>
        <v>2.5529999999999999</v>
      </c>
      <c r="G201" s="145">
        <f>VLOOKUP($A201,'BC.115+260'!$B$13:$X$489,9,0)/1000</f>
        <v>-0.44700000000000001</v>
      </c>
      <c r="H201" s="145">
        <f>VLOOKUP($A201,'BC.115+260'!$B$13:$X$489,14,0)/1000</f>
        <v>2.5289999999999999</v>
      </c>
      <c r="I201" s="145">
        <f>VLOOKUP($A201,'BC.115+260'!$B$13:$X$489,15,0)/1000</f>
        <v>-0.47099999999999997</v>
      </c>
      <c r="J201" s="145">
        <f>VLOOKUP($A201,'BC.115+260'!$B$13:$X$489,20,0)/1000</f>
        <v>2.5409999999999999</v>
      </c>
      <c r="K201" s="145">
        <f>VLOOKUP($A201,'BC.115+260'!$B$13:$X$489,21,0)/1000</f>
        <v>-0.45900000000000002</v>
      </c>
      <c r="L201" s="143">
        <f t="shared" si="6"/>
        <v>-247</v>
      </c>
      <c r="M201" s="144">
        <f t="shared" si="7"/>
        <v>-251</v>
      </c>
      <c r="N201" s="143">
        <f t="shared" si="8"/>
        <v>-209.00000000000003</v>
      </c>
      <c r="O201" s="143"/>
    </row>
    <row r="202" spans="1:15">
      <c r="A202" s="81">
        <f>'BC.115+260'!B201</f>
        <v>45439</v>
      </c>
      <c r="B202" s="143">
        <v>188</v>
      </c>
      <c r="C202" s="145">
        <f>'BC.115+260'!M201/1000</f>
        <v>2.0489999999999999</v>
      </c>
      <c r="D202" s="145">
        <f>'BC.115+260'!AA201</f>
        <v>2.4729999999999999</v>
      </c>
      <c r="E202" s="146">
        <f>'BC.115+260'!AB201</f>
        <v>2.0179999999999998</v>
      </c>
      <c r="F202" s="145">
        <f>VLOOKUP($A202,'BC.115+260'!$B$13:$X$489,8,0)/1000</f>
        <v>2.5529999999999999</v>
      </c>
      <c r="G202" s="145">
        <f>VLOOKUP($A202,'BC.115+260'!$B$13:$X$489,9,0)/1000</f>
        <v>-0.44700000000000001</v>
      </c>
      <c r="H202" s="145">
        <f>VLOOKUP($A202,'BC.115+260'!$B$13:$X$489,14,0)/1000</f>
        <v>2.5289999999999999</v>
      </c>
      <c r="I202" s="145">
        <f>VLOOKUP($A202,'BC.115+260'!$B$13:$X$489,15,0)/1000</f>
        <v>-0.47099999999999997</v>
      </c>
      <c r="J202" s="145">
        <f>VLOOKUP($A202,'BC.115+260'!$B$13:$X$489,20,0)/1000</f>
        <v>2.5409999999999999</v>
      </c>
      <c r="K202" s="145">
        <f>VLOOKUP($A202,'BC.115+260'!$B$13:$X$489,21,0)/1000</f>
        <v>-0.45900000000000002</v>
      </c>
      <c r="L202" s="143">
        <f t="shared" si="6"/>
        <v>-247</v>
      </c>
      <c r="M202" s="144">
        <f t="shared" si="7"/>
        <v>-251</v>
      </c>
      <c r="N202" s="143">
        <f t="shared" si="8"/>
        <v>-209.00000000000003</v>
      </c>
      <c r="O202" s="143"/>
    </row>
    <row r="203" spans="1:15">
      <c r="A203" s="81">
        <f>'BC.115+260'!B202</f>
        <v>45440</v>
      </c>
      <c r="B203" s="143">
        <v>189</v>
      </c>
      <c r="C203" s="145">
        <f>'BC.115+260'!M202/1000</f>
        <v>2.0489999999999999</v>
      </c>
      <c r="D203" s="145">
        <f>'BC.115+260'!AA202</f>
        <v>2.4729999999999999</v>
      </c>
      <c r="E203" s="146">
        <f>'BC.115+260'!AB202</f>
        <v>2.0179999999999998</v>
      </c>
      <c r="F203" s="145">
        <f>VLOOKUP($A203,'BC.115+260'!$B$13:$X$489,8,0)/1000</f>
        <v>2.5529999999999999</v>
      </c>
      <c r="G203" s="145">
        <f>VLOOKUP($A203,'BC.115+260'!$B$13:$X$489,9,0)/1000</f>
        <v>-0.44700000000000001</v>
      </c>
      <c r="H203" s="145">
        <f>VLOOKUP($A203,'BC.115+260'!$B$13:$X$489,14,0)/1000</f>
        <v>2.5289999999999999</v>
      </c>
      <c r="I203" s="145">
        <f>VLOOKUP($A203,'BC.115+260'!$B$13:$X$489,15,0)/1000</f>
        <v>-0.47099999999999997</v>
      </c>
      <c r="J203" s="145">
        <f>VLOOKUP($A203,'BC.115+260'!$B$13:$X$489,20,0)/1000</f>
        <v>2.5409999999999999</v>
      </c>
      <c r="K203" s="145">
        <f>VLOOKUP($A203,'BC.115+260'!$B$13:$X$489,21,0)/1000</f>
        <v>-0.45900000000000002</v>
      </c>
      <c r="L203" s="143">
        <f t="shared" si="6"/>
        <v>-247</v>
      </c>
      <c r="M203" s="144">
        <f t="shared" si="7"/>
        <v>-251</v>
      </c>
      <c r="N203" s="143">
        <f t="shared" si="8"/>
        <v>-209.00000000000003</v>
      </c>
      <c r="O203" s="143"/>
    </row>
    <row r="204" spans="1:15">
      <c r="A204" s="81">
        <f>'BC.115+260'!B203</f>
        <v>45441</v>
      </c>
      <c r="B204" s="143">
        <v>190</v>
      </c>
      <c r="C204" s="145">
        <f>'BC.115+260'!M203/1000</f>
        <v>2.0489999999999999</v>
      </c>
      <c r="D204" s="145">
        <f>'BC.115+260'!AA203</f>
        <v>2.4729999999999999</v>
      </c>
      <c r="E204" s="146">
        <f>'BC.115+260'!AB203</f>
        <v>2.0179999999999998</v>
      </c>
      <c r="F204" s="145">
        <f>VLOOKUP($A204,'BC.115+260'!$B$13:$X$489,8,0)/1000</f>
        <v>2.5529999999999999</v>
      </c>
      <c r="G204" s="145">
        <f>VLOOKUP($A204,'BC.115+260'!$B$13:$X$489,9,0)/1000</f>
        <v>-0.44700000000000001</v>
      </c>
      <c r="H204" s="145">
        <f>VLOOKUP($A204,'BC.115+260'!$B$13:$X$489,14,0)/1000</f>
        <v>2.5289999999999999</v>
      </c>
      <c r="I204" s="145">
        <f>VLOOKUP($A204,'BC.115+260'!$B$13:$X$489,15,0)/1000</f>
        <v>-0.47099999999999997</v>
      </c>
      <c r="J204" s="145">
        <f>VLOOKUP($A204,'BC.115+260'!$B$13:$X$489,20,0)/1000</f>
        <v>2.5409999999999999</v>
      </c>
      <c r="K204" s="145">
        <f>VLOOKUP($A204,'BC.115+260'!$B$13:$X$489,21,0)/1000</f>
        <v>-0.45900000000000002</v>
      </c>
      <c r="L204" s="143">
        <f t="shared" si="6"/>
        <v>-247</v>
      </c>
      <c r="M204" s="144">
        <f t="shared" si="7"/>
        <v>-251</v>
      </c>
      <c r="N204" s="143">
        <f t="shared" si="8"/>
        <v>-209.00000000000003</v>
      </c>
      <c r="O204" s="143"/>
    </row>
    <row r="205" spans="1:15">
      <c r="A205" s="81">
        <f>'BC.115+260'!B204</f>
        <v>45442</v>
      </c>
      <c r="B205" s="143">
        <v>191</v>
      </c>
      <c r="C205" s="145">
        <f>'BC.115+260'!M204/1000</f>
        <v>2.0489999999999999</v>
      </c>
      <c r="D205" s="145">
        <f>'BC.115+260'!AA204</f>
        <v>2.4729999999999999</v>
      </c>
      <c r="E205" s="146">
        <f>'BC.115+260'!AB204</f>
        <v>2.0179999999999998</v>
      </c>
      <c r="F205" s="145">
        <f>VLOOKUP($A205,'BC.115+260'!$B$13:$X$489,8,0)/1000</f>
        <v>2.5529999999999999</v>
      </c>
      <c r="G205" s="145">
        <f>VLOOKUP($A205,'BC.115+260'!$B$13:$X$489,9,0)/1000</f>
        <v>-0.44700000000000001</v>
      </c>
      <c r="H205" s="145">
        <f>VLOOKUP($A205,'BC.115+260'!$B$13:$X$489,14,0)/1000</f>
        <v>2.5289999999999999</v>
      </c>
      <c r="I205" s="145">
        <f>VLOOKUP($A205,'BC.115+260'!$B$13:$X$489,15,0)/1000</f>
        <v>-0.47099999999999997</v>
      </c>
      <c r="J205" s="145">
        <f>VLOOKUP($A205,'BC.115+260'!$B$13:$X$489,20,0)/1000</f>
        <v>2.5409999999999999</v>
      </c>
      <c r="K205" s="145">
        <f>VLOOKUP($A205,'BC.115+260'!$B$13:$X$489,21,0)/1000</f>
        <v>-0.45900000000000002</v>
      </c>
      <c r="L205" s="143">
        <f t="shared" si="6"/>
        <v>-247</v>
      </c>
      <c r="M205" s="144">
        <f t="shared" si="7"/>
        <v>-251</v>
      </c>
      <c r="N205" s="143">
        <f t="shared" si="8"/>
        <v>-209.00000000000003</v>
      </c>
      <c r="O205" s="143"/>
    </row>
    <row r="206" spans="1:15">
      <c r="A206" s="81">
        <f>'BC.115+260'!B205</f>
        <v>45443</v>
      </c>
      <c r="B206" s="143">
        <v>192</v>
      </c>
      <c r="C206" s="145">
        <f>'BC.115+260'!M205/1000</f>
        <v>2.0489999999999999</v>
      </c>
      <c r="D206" s="145">
        <f>'BC.115+260'!AA205</f>
        <v>2.4729999999999999</v>
      </c>
      <c r="E206" s="146">
        <f>'BC.115+260'!AB205</f>
        <v>2.0179999999999998</v>
      </c>
      <c r="F206" s="145">
        <f>VLOOKUP($A206,'BC.115+260'!$B$13:$X$489,8,0)/1000</f>
        <v>2.5529999999999999</v>
      </c>
      <c r="G206" s="145">
        <f>VLOOKUP($A206,'BC.115+260'!$B$13:$X$489,9,0)/1000</f>
        <v>-0.44700000000000001</v>
      </c>
      <c r="H206" s="145">
        <f>VLOOKUP($A206,'BC.115+260'!$B$13:$X$489,14,0)/1000</f>
        <v>2.5289999999999999</v>
      </c>
      <c r="I206" s="145">
        <f>VLOOKUP($A206,'BC.115+260'!$B$13:$X$489,15,0)/1000</f>
        <v>-0.47099999999999997</v>
      </c>
      <c r="J206" s="145">
        <f>VLOOKUP($A206,'BC.115+260'!$B$13:$X$489,20,0)/1000</f>
        <v>2.5409999999999999</v>
      </c>
      <c r="K206" s="145">
        <f>VLOOKUP($A206,'BC.115+260'!$B$13:$X$489,21,0)/1000</f>
        <v>-0.45900000000000002</v>
      </c>
      <c r="L206" s="143">
        <f t="shared" ref="L206:L269" si="9">(G206-$G$14)*1000</f>
        <v>-247</v>
      </c>
      <c r="M206" s="144">
        <f t="shared" ref="M206:M269" si="10">(I206-$I$14)*1000</f>
        <v>-251</v>
      </c>
      <c r="N206" s="143">
        <f t="shared" si="8"/>
        <v>-209.00000000000003</v>
      </c>
      <c r="O206" s="143"/>
    </row>
    <row r="207" spans="1:15">
      <c r="A207" s="81">
        <f>'BC.115+260'!B206</f>
        <v>45444</v>
      </c>
      <c r="B207" s="143">
        <v>193</v>
      </c>
      <c r="C207" s="145">
        <f>'BC.115+260'!M206/1000</f>
        <v>2.0489999999999999</v>
      </c>
      <c r="D207" s="145">
        <f>'BC.115+260'!AA206</f>
        <v>2.4729999999999999</v>
      </c>
      <c r="E207" s="146">
        <f>'BC.115+260'!AB206</f>
        <v>2.0179999999999998</v>
      </c>
      <c r="F207" s="145">
        <f>VLOOKUP($A207,'BC.115+260'!$B$13:$X$489,8,0)/1000</f>
        <v>2.5529999999999999</v>
      </c>
      <c r="G207" s="145">
        <f>VLOOKUP($A207,'BC.115+260'!$B$13:$X$489,9,0)/1000</f>
        <v>-0.44700000000000001</v>
      </c>
      <c r="H207" s="145">
        <f>VLOOKUP($A207,'BC.115+260'!$B$13:$X$489,14,0)/1000</f>
        <v>2.5289999999999999</v>
      </c>
      <c r="I207" s="145">
        <f>VLOOKUP($A207,'BC.115+260'!$B$13:$X$489,15,0)/1000</f>
        <v>-0.47099999999999997</v>
      </c>
      <c r="J207" s="145">
        <f>VLOOKUP($A207,'BC.115+260'!$B$13:$X$489,20,0)/1000</f>
        <v>2.5409999999999999</v>
      </c>
      <c r="K207" s="145">
        <f>VLOOKUP($A207,'BC.115+260'!$B$13:$X$489,21,0)/1000</f>
        <v>-0.45900000000000002</v>
      </c>
      <c r="L207" s="143">
        <f t="shared" si="9"/>
        <v>-247</v>
      </c>
      <c r="M207" s="144">
        <f t="shared" si="10"/>
        <v>-251</v>
      </c>
      <c r="N207" s="143">
        <f t="shared" ref="N207:N270" si="11">(K207-$K$14)*1000</f>
        <v>-209.00000000000003</v>
      </c>
      <c r="O207" s="143"/>
    </row>
    <row r="208" spans="1:15">
      <c r="A208" s="81">
        <f>'BC.115+260'!B207</f>
        <v>45445</v>
      </c>
      <c r="B208" s="143">
        <v>194</v>
      </c>
      <c r="C208" s="145">
        <f>'BC.115+260'!M207/1000</f>
        <v>2.0489999999999999</v>
      </c>
      <c r="D208" s="145">
        <f>'BC.115+260'!AA207</f>
        <v>2.4729999999999999</v>
      </c>
      <c r="E208" s="146">
        <f>'BC.115+260'!AB207</f>
        <v>2.0179999999999998</v>
      </c>
      <c r="F208" s="145">
        <f>VLOOKUP($A208,'BC.115+260'!$B$13:$X$489,8,0)/1000</f>
        <v>2.5529999999999999</v>
      </c>
      <c r="G208" s="145">
        <f>VLOOKUP($A208,'BC.115+260'!$B$13:$X$489,9,0)/1000</f>
        <v>-0.44700000000000001</v>
      </c>
      <c r="H208" s="145">
        <f>VLOOKUP($A208,'BC.115+260'!$B$13:$X$489,14,0)/1000</f>
        <v>2.5289999999999999</v>
      </c>
      <c r="I208" s="145">
        <f>VLOOKUP($A208,'BC.115+260'!$B$13:$X$489,15,0)/1000</f>
        <v>-0.47099999999999997</v>
      </c>
      <c r="J208" s="145">
        <f>VLOOKUP($A208,'BC.115+260'!$B$13:$X$489,20,0)/1000</f>
        <v>2.5409999999999999</v>
      </c>
      <c r="K208" s="145">
        <f>VLOOKUP($A208,'BC.115+260'!$B$13:$X$489,21,0)/1000</f>
        <v>-0.45900000000000002</v>
      </c>
      <c r="L208" s="143">
        <f t="shared" si="9"/>
        <v>-247</v>
      </c>
      <c r="M208" s="144">
        <f t="shared" si="10"/>
        <v>-251</v>
      </c>
      <c r="N208" s="143">
        <f t="shared" si="11"/>
        <v>-209.00000000000003</v>
      </c>
      <c r="O208" s="143"/>
    </row>
    <row r="209" spans="1:15">
      <c r="A209" s="81">
        <f>'BC.115+260'!B208</f>
        <v>45446</v>
      </c>
      <c r="B209" s="143">
        <v>195</v>
      </c>
      <c r="C209" s="145">
        <f>'BC.115+260'!M208/1000</f>
        <v>2.0489999999999999</v>
      </c>
      <c r="D209" s="145">
        <f>'BC.115+260'!AA208</f>
        <v>2.4729999999999999</v>
      </c>
      <c r="E209" s="146">
        <f>'BC.115+260'!AB208</f>
        <v>2.0179999999999998</v>
      </c>
      <c r="F209" s="145">
        <f>VLOOKUP($A209,'BC.115+260'!$B$13:$X$489,8,0)/1000</f>
        <v>2.5529999999999999</v>
      </c>
      <c r="G209" s="145">
        <f>VLOOKUP($A209,'BC.115+260'!$B$13:$X$489,9,0)/1000</f>
        <v>-0.44700000000000001</v>
      </c>
      <c r="H209" s="145">
        <f>VLOOKUP($A209,'BC.115+260'!$B$13:$X$489,14,0)/1000</f>
        <v>2.5289999999999999</v>
      </c>
      <c r="I209" s="145">
        <f>VLOOKUP($A209,'BC.115+260'!$B$13:$X$489,15,0)/1000</f>
        <v>-0.47099999999999997</v>
      </c>
      <c r="J209" s="145">
        <f>VLOOKUP($A209,'BC.115+260'!$B$13:$X$489,20,0)/1000</f>
        <v>2.5409999999999999</v>
      </c>
      <c r="K209" s="145">
        <f>VLOOKUP($A209,'BC.115+260'!$B$13:$X$489,21,0)/1000</f>
        <v>-0.45900000000000002</v>
      </c>
      <c r="L209" s="143">
        <f t="shared" si="9"/>
        <v>-247</v>
      </c>
      <c r="M209" s="144">
        <f t="shared" si="10"/>
        <v>-251</v>
      </c>
      <c r="N209" s="143">
        <f t="shared" si="11"/>
        <v>-209.00000000000003</v>
      </c>
      <c r="O209" s="143"/>
    </row>
    <row r="210" spans="1:15">
      <c r="A210" s="81">
        <f>'BC.115+260'!B209</f>
        <v>45447</v>
      </c>
      <c r="B210" s="143">
        <v>196</v>
      </c>
      <c r="C210" s="145">
        <f>'BC.115+260'!M209/1000</f>
        <v>2.0489999999999999</v>
      </c>
      <c r="D210" s="145">
        <f>'BC.115+260'!AA209</f>
        <v>2.4729999999999999</v>
      </c>
      <c r="E210" s="146">
        <f>'BC.115+260'!AB209</f>
        <v>2.0179999999999998</v>
      </c>
      <c r="F210" s="145">
        <f>VLOOKUP($A210,'BC.115+260'!$B$13:$X$489,8,0)/1000</f>
        <v>2.5529999999999999</v>
      </c>
      <c r="G210" s="145">
        <f>VLOOKUP($A210,'BC.115+260'!$B$13:$X$489,9,0)/1000</f>
        <v>-0.44700000000000001</v>
      </c>
      <c r="H210" s="145">
        <f>VLOOKUP($A210,'BC.115+260'!$B$13:$X$489,14,0)/1000</f>
        <v>2.5289999999999999</v>
      </c>
      <c r="I210" s="145">
        <f>VLOOKUP($A210,'BC.115+260'!$B$13:$X$489,15,0)/1000</f>
        <v>-0.47099999999999997</v>
      </c>
      <c r="J210" s="145">
        <f>VLOOKUP($A210,'BC.115+260'!$B$13:$X$489,20,0)/1000</f>
        <v>2.5409999999999999</v>
      </c>
      <c r="K210" s="145">
        <f>VLOOKUP($A210,'BC.115+260'!$B$13:$X$489,21,0)/1000</f>
        <v>-0.45900000000000002</v>
      </c>
      <c r="L210" s="143">
        <f t="shared" si="9"/>
        <v>-247</v>
      </c>
      <c r="M210" s="144">
        <f t="shared" si="10"/>
        <v>-251</v>
      </c>
      <c r="N210" s="143">
        <f t="shared" si="11"/>
        <v>-209.00000000000003</v>
      </c>
      <c r="O210" s="143"/>
    </row>
    <row r="211" spans="1:15">
      <c r="A211" s="81">
        <f>'BC.115+260'!B210</f>
        <v>45448</v>
      </c>
      <c r="B211" s="143">
        <v>197</v>
      </c>
      <c r="C211" s="145">
        <f>'BC.115+260'!M210/1000</f>
        <v>2.0489999999999999</v>
      </c>
      <c r="D211" s="145">
        <f>'BC.115+260'!AA210</f>
        <v>2.4729999999999999</v>
      </c>
      <c r="E211" s="146">
        <f>'BC.115+260'!AB210</f>
        <v>2.0179999999999998</v>
      </c>
      <c r="F211" s="145">
        <f>VLOOKUP($A211,'BC.115+260'!$B$13:$X$489,8,0)/1000</f>
        <v>2.5529999999999999</v>
      </c>
      <c r="G211" s="145">
        <f>VLOOKUP($A211,'BC.115+260'!$B$13:$X$489,9,0)/1000</f>
        <v>-0.44700000000000001</v>
      </c>
      <c r="H211" s="145">
        <f>VLOOKUP($A211,'BC.115+260'!$B$13:$X$489,14,0)/1000</f>
        <v>2.5289999999999999</v>
      </c>
      <c r="I211" s="145">
        <f>VLOOKUP($A211,'BC.115+260'!$B$13:$X$489,15,0)/1000</f>
        <v>-0.47099999999999997</v>
      </c>
      <c r="J211" s="145">
        <f>VLOOKUP($A211,'BC.115+260'!$B$13:$X$489,20,0)/1000</f>
        <v>2.5409999999999999</v>
      </c>
      <c r="K211" s="145">
        <f>VLOOKUP($A211,'BC.115+260'!$B$13:$X$489,21,0)/1000</f>
        <v>-0.45900000000000002</v>
      </c>
      <c r="L211" s="143">
        <f t="shared" si="9"/>
        <v>-247</v>
      </c>
      <c r="M211" s="144">
        <f t="shared" si="10"/>
        <v>-251</v>
      </c>
      <c r="N211" s="143">
        <f t="shared" si="11"/>
        <v>-209.00000000000003</v>
      </c>
      <c r="O211" s="143"/>
    </row>
    <row r="212" spans="1:15">
      <c r="A212" s="81">
        <f>'BC.115+260'!B211</f>
        <v>45449</v>
      </c>
      <c r="B212" s="143">
        <v>198</v>
      </c>
      <c r="C212" s="145">
        <f>'BC.115+260'!M211/1000</f>
        <v>2.0489999999999999</v>
      </c>
      <c r="D212" s="145">
        <f>'BC.115+260'!AA211</f>
        <v>2.4729999999999999</v>
      </c>
      <c r="E212" s="146">
        <f>'BC.115+260'!AB211</f>
        <v>2.0179999999999998</v>
      </c>
      <c r="F212" s="145">
        <f>VLOOKUP($A212,'BC.115+260'!$B$13:$X$489,8,0)/1000</f>
        <v>2.5529999999999999</v>
      </c>
      <c r="G212" s="145">
        <f>VLOOKUP($A212,'BC.115+260'!$B$13:$X$489,9,0)/1000</f>
        <v>-0.44700000000000001</v>
      </c>
      <c r="H212" s="145">
        <f>VLOOKUP($A212,'BC.115+260'!$B$13:$X$489,14,0)/1000</f>
        <v>2.5289999999999999</v>
      </c>
      <c r="I212" s="145">
        <f>VLOOKUP($A212,'BC.115+260'!$B$13:$X$489,15,0)/1000</f>
        <v>-0.47099999999999997</v>
      </c>
      <c r="J212" s="145">
        <f>VLOOKUP($A212,'BC.115+260'!$B$13:$X$489,20,0)/1000</f>
        <v>2.5409999999999999</v>
      </c>
      <c r="K212" s="145">
        <f>VLOOKUP($A212,'BC.115+260'!$B$13:$X$489,21,0)/1000</f>
        <v>-0.45900000000000002</v>
      </c>
      <c r="L212" s="143">
        <f t="shared" si="9"/>
        <v>-247</v>
      </c>
      <c r="M212" s="144">
        <f t="shared" si="10"/>
        <v>-251</v>
      </c>
      <c r="N212" s="143">
        <f t="shared" si="11"/>
        <v>-209.00000000000003</v>
      </c>
      <c r="O212" s="143"/>
    </row>
    <row r="213" spans="1:15">
      <c r="A213" s="81">
        <f>'BC.115+260'!B212</f>
        <v>45450</v>
      </c>
      <c r="B213" s="143">
        <v>199</v>
      </c>
      <c r="C213" s="145">
        <f>'BC.115+260'!M212/1000</f>
        <v>2.0489999999999999</v>
      </c>
      <c r="D213" s="145">
        <f>'BC.115+260'!AA212</f>
        <v>2.4729999999999999</v>
      </c>
      <c r="E213" s="146">
        <f>'BC.115+260'!AB212</f>
        <v>2.0179999999999998</v>
      </c>
      <c r="F213" s="145">
        <f>VLOOKUP($A213,'BC.115+260'!$B$13:$X$489,8,0)/1000</f>
        <v>2.5529999999999999</v>
      </c>
      <c r="G213" s="145">
        <f>VLOOKUP($A213,'BC.115+260'!$B$13:$X$489,9,0)/1000</f>
        <v>-0.44700000000000001</v>
      </c>
      <c r="H213" s="145">
        <f>VLOOKUP($A213,'BC.115+260'!$B$13:$X$489,14,0)/1000</f>
        <v>2.5289999999999999</v>
      </c>
      <c r="I213" s="145">
        <f>VLOOKUP($A213,'BC.115+260'!$B$13:$X$489,15,0)/1000</f>
        <v>-0.47099999999999997</v>
      </c>
      <c r="J213" s="145">
        <f>VLOOKUP($A213,'BC.115+260'!$B$13:$X$489,20,0)/1000</f>
        <v>2.5409999999999999</v>
      </c>
      <c r="K213" s="145">
        <f>VLOOKUP($A213,'BC.115+260'!$B$13:$X$489,21,0)/1000</f>
        <v>-0.45900000000000002</v>
      </c>
      <c r="L213" s="143">
        <f t="shared" si="9"/>
        <v>-247</v>
      </c>
      <c r="M213" s="144">
        <f t="shared" si="10"/>
        <v>-251</v>
      </c>
      <c r="N213" s="143">
        <f t="shared" si="11"/>
        <v>-209.00000000000003</v>
      </c>
      <c r="O213" s="143"/>
    </row>
    <row r="214" spans="1:15">
      <c r="A214" s="81">
        <f>'BC.115+260'!B213</f>
        <v>45451</v>
      </c>
      <c r="B214" s="143">
        <v>200</v>
      </c>
      <c r="C214" s="145">
        <f>'BC.115+260'!M213/1000</f>
        <v>2.0489999999999999</v>
      </c>
      <c r="D214" s="145">
        <f>'BC.115+260'!AA213</f>
        <v>2.4729999999999999</v>
      </c>
      <c r="E214" s="146">
        <f>'BC.115+260'!AB213</f>
        <v>2.0179999999999998</v>
      </c>
      <c r="F214" s="145">
        <f>VLOOKUP($A214,'BC.115+260'!$B$13:$X$489,8,0)/1000</f>
        <v>2.5529999999999999</v>
      </c>
      <c r="G214" s="145">
        <f>VLOOKUP($A214,'BC.115+260'!$B$13:$X$489,9,0)/1000</f>
        <v>-0.44700000000000001</v>
      </c>
      <c r="H214" s="145">
        <f>VLOOKUP($A214,'BC.115+260'!$B$13:$X$489,14,0)/1000</f>
        <v>2.5289999999999999</v>
      </c>
      <c r="I214" s="145">
        <f>VLOOKUP($A214,'BC.115+260'!$B$13:$X$489,15,0)/1000</f>
        <v>-0.47099999999999997</v>
      </c>
      <c r="J214" s="145">
        <f>VLOOKUP($A214,'BC.115+260'!$B$13:$X$489,20,0)/1000</f>
        <v>2.5409999999999999</v>
      </c>
      <c r="K214" s="145">
        <f>VLOOKUP($A214,'BC.115+260'!$B$13:$X$489,21,0)/1000</f>
        <v>-0.45900000000000002</v>
      </c>
      <c r="L214" s="143">
        <f t="shared" si="9"/>
        <v>-247</v>
      </c>
      <c r="M214" s="144">
        <f t="shared" si="10"/>
        <v>-251</v>
      </c>
      <c r="N214" s="143">
        <f t="shared" si="11"/>
        <v>-209.00000000000003</v>
      </c>
      <c r="O214" s="143"/>
    </row>
    <row r="215" spans="1:15">
      <c r="A215" s="81">
        <f>'BC.115+260'!B214</f>
        <v>45452</v>
      </c>
      <c r="B215" s="143">
        <v>201</v>
      </c>
      <c r="C215" s="145">
        <f>'BC.115+260'!M214/1000</f>
        <v>2.0489999999999999</v>
      </c>
      <c r="D215" s="145">
        <f>'BC.115+260'!AA214</f>
        <v>2.4729999999999999</v>
      </c>
      <c r="E215" s="146">
        <f>'BC.115+260'!AB214</f>
        <v>2.0179999999999998</v>
      </c>
      <c r="F215" s="145">
        <f>VLOOKUP($A215,'BC.115+260'!$B$13:$X$489,8,0)/1000</f>
        <v>2.5529999999999999</v>
      </c>
      <c r="G215" s="145">
        <f>VLOOKUP($A215,'BC.115+260'!$B$13:$X$489,9,0)/1000</f>
        <v>-0.44700000000000001</v>
      </c>
      <c r="H215" s="145">
        <f>VLOOKUP($A215,'BC.115+260'!$B$13:$X$489,14,0)/1000</f>
        <v>2.5289999999999999</v>
      </c>
      <c r="I215" s="145">
        <f>VLOOKUP($A215,'BC.115+260'!$B$13:$X$489,15,0)/1000</f>
        <v>-0.47099999999999997</v>
      </c>
      <c r="J215" s="145">
        <f>VLOOKUP($A215,'BC.115+260'!$B$13:$X$489,20,0)/1000</f>
        <v>2.5409999999999999</v>
      </c>
      <c r="K215" s="145">
        <f>VLOOKUP($A215,'BC.115+260'!$B$13:$X$489,21,0)/1000</f>
        <v>-0.45900000000000002</v>
      </c>
      <c r="L215" s="143">
        <f t="shared" si="9"/>
        <v>-247</v>
      </c>
      <c r="M215" s="144">
        <f t="shared" si="10"/>
        <v>-251</v>
      </c>
      <c r="N215" s="143">
        <f t="shared" si="11"/>
        <v>-209.00000000000003</v>
      </c>
      <c r="O215" s="143"/>
    </row>
    <row r="216" spans="1:15">
      <c r="A216" s="81">
        <f>'BC.115+260'!B215</f>
        <v>45453</v>
      </c>
      <c r="B216" s="143">
        <v>202</v>
      </c>
      <c r="C216" s="145">
        <f>'BC.115+260'!M215/1000</f>
        <v>2.0489999999999999</v>
      </c>
      <c r="D216" s="145">
        <f>'BC.115+260'!AA215</f>
        <v>2.4729999999999999</v>
      </c>
      <c r="E216" s="146">
        <f>'BC.115+260'!AB215</f>
        <v>2.0179999999999998</v>
      </c>
      <c r="F216" s="145">
        <f>VLOOKUP($A216,'BC.115+260'!$B$13:$X$489,8,0)/1000</f>
        <v>2.5529999999999999</v>
      </c>
      <c r="G216" s="145">
        <f>VLOOKUP($A216,'BC.115+260'!$B$13:$X$489,9,0)/1000</f>
        <v>-0.44700000000000001</v>
      </c>
      <c r="H216" s="145">
        <f>VLOOKUP($A216,'BC.115+260'!$B$13:$X$489,14,0)/1000</f>
        <v>2.5289999999999999</v>
      </c>
      <c r="I216" s="145">
        <f>VLOOKUP($A216,'BC.115+260'!$B$13:$X$489,15,0)/1000</f>
        <v>-0.47099999999999997</v>
      </c>
      <c r="J216" s="145">
        <f>VLOOKUP($A216,'BC.115+260'!$B$13:$X$489,20,0)/1000</f>
        <v>2.5409999999999999</v>
      </c>
      <c r="K216" s="145">
        <f>VLOOKUP($A216,'BC.115+260'!$B$13:$X$489,21,0)/1000</f>
        <v>-0.45900000000000002</v>
      </c>
      <c r="L216" s="143">
        <f t="shared" si="9"/>
        <v>-247</v>
      </c>
      <c r="M216" s="144">
        <f t="shared" si="10"/>
        <v>-251</v>
      </c>
      <c r="N216" s="143">
        <f t="shared" si="11"/>
        <v>-209.00000000000003</v>
      </c>
      <c r="O216" s="143"/>
    </row>
    <row r="217" spans="1:15">
      <c r="A217" s="81">
        <f>'BC.115+260'!B216</f>
        <v>45454</v>
      </c>
      <c r="B217" s="143">
        <v>203</v>
      </c>
      <c r="C217" s="145">
        <f>'BC.115+260'!M216/1000</f>
        <v>2.0489999999999999</v>
      </c>
      <c r="D217" s="145">
        <f>'BC.115+260'!AA216</f>
        <v>2.4729999999999999</v>
      </c>
      <c r="E217" s="146">
        <f>'BC.115+260'!AB216</f>
        <v>2.0179999999999998</v>
      </c>
      <c r="F217" s="145">
        <f>VLOOKUP($A217,'BC.115+260'!$B$13:$X$489,8,0)/1000</f>
        <v>2.5529999999999999</v>
      </c>
      <c r="G217" s="145">
        <f>VLOOKUP($A217,'BC.115+260'!$B$13:$X$489,9,0)/1000</f>
        <v>-0.44700000000000001</v>
      </c>
      <c r="H217" s="145">
        <f>VLOOKUP($A217,'BC.115+260'!$B$13:$X$489,14,0)/1000</f>
        <v>2.5289999999999999</v>
      </c>
      <c r="I217" s="145">
        <f>VLOOKUP($A217,'BC.115+260'!$B$13:$X$489,15,0)/1000</f>
        <v>-0.47099999999999997</v>
      </c>
      <c r="J217" s="145">
        <f>VLOOKUP($A217,'BC.115+260'!$B$13:$X$489,20,0)/1000</f>
        <v>2.5409999999999999</v>
      </c>
      <c r="K217" s="145">
        <f>VLOOKUP($A217,'BC.115+260'!$B$13:$X$489,21,0)/1000</f>
        <v>-0.45900000000000002</v>
      </c>
      <c r="L217" s="143">
        <f t="shared" si="9"/>
        <v>-247</v>
      </c>
      <c r="M217" s="144">
        <f t="shared" si="10"/>
        <v>-251</v>
      </c>
      <c r="N217" s="143">
        <f t="shared" si="11"/>
        <v>-209.00000000000003</v>
      </c>
      <c r="O217" s="143"/>
    </row>
    <row r="218" spans="1:15">
      <c r="A218" s="81">
        <f>'BC.115+260'!B217</f>
        <v>45455</v>
      </c>
      <c r="B218" s="143">
        <v>204</v>
      </c>
      <c r="C218" s="145">
        <f>'BC.115+260'!M217/1000</f>
        <v>2.0489999999999999</v>
      </c>
      <c r="D218" s="145">
        <f>'BC.115+260'!AA217</f>
        <v>2.4729999999999999</v>
      </c>
      <c r="E218" s="146">
        <f>'BC.115+260'!AB217</f>
        <v>2.0179999999999998</v>
      </c>
      <c r="F218" s="145">
        <f>VLOOKUP($A218,'BC.115+260'!$B$13:$X$489,8,0)/1000</f>
        <v>2.5529999999999999</v>
      </c>
      <c r="G218" s="145">
        <f>VLOOKUP($A218,'BC.115+260'!$B$13:$X$489,9,0)/1000</f>
        <v>-0.44700000000000001</v>
      </c>
      <c r="H218" s="145">
        <f>VLOOKUP($A218,'BC.115+260'!$B$13:$X$489,14,0)/1000</f>
        <v>2.5289999999999999</v>
      </c>
      <c r="I218" s="145">
        <f>VLOOKUP($A218,'BC.115+260'!$B$13:$X$489,15,0)/1000</f>
        <v>-0.47099999999999997</v>
      </c>
      <c r="J218" s="145">
        <f>VLOOKUP($A218,'BC.115+260'!$B$13:$X$489,20,0)/1000</f>
        <v>2.5409999999999999</v>
      </c>
      <c r="K218" s="145">
        <f>VLOOKUP($A218,'BC.115+260'!$B$13:$X$489,21,0)/1000</f>
        <v>-0.45900000000000002</v>
      </c>
      <c r="L218" s="143">
        <f t="shared" si="9"/>
        <v>-247</v>
      </c>
      <c r="M218" s="144">
        <f t="shared" si="10"/>
        <v>-251</v>
      </c>
      <c r="N218" s="143">
        <f t="shared" si="11"/>
        <v>-209.00000000000003</v>
      </c>
      <c r="O218" s="143"/>
    </row>
    <row r="219" spans="1:15">
      <c r="A219" s="81">
        <f>'BC.115+260'!B218</f>
        <v>45456</v>
      </c>
      <c r="B219" s="143">
        <v>205</v>
      </c>
      <c r="C219" s="145">
        <f>'BC.115+260'!M218/1000</f>
        <v>2.0489999999999999</v>
      </c>
      <c r="D219" s="145">
        <f>'BC.115+260'!AA218</f>
        <v>2.4729999999999999</v>
      </c>
      <c r="E219" s="146">
        <f>'BC.115+260'!AB218</f>
        <v>2.0179999999999998</v>
      </c>
      <c r="F219" s="145">
        <f>VLOOKUP($A219,'BC.115+260'!$B$13:$X$489,8,0)/1000</f>
        <v>2.5529999999999999</v>
      </c>
      <c r="G219" s="145">
        <f>VLOOKUP($A219,'BC.115+260'!$B$13:$X$489,9,0)/1000</f>
        <v>-0.44700000000000001</v>
      </c>
      <c r="H219" s="145">
        <f>VLOOKUP($A219,'BC.115+260'!$B$13:$X$489,14,0)/1000</f>
        <v>2.5289999999999999</v>
      </c>
      <c r="I219" s="145">
        <f>VLOOKUP($A219,'BC.115+260'!$B$13:$X$489,15,0)/1000</f>
        <v>-0.47099999999999997</v>
      </c>
      <c r="J219" s="145">
        <f>VLOOKUP($A219,'BC.115+260'!$B$13:$X$489,20,0)/1000</f>
        <v>2.5409999999999999</v>
      </c>
      <c r="K219" s="145">
        <f>VLOOKUP($A219,'BC.115+260'!$B$13:$X$489,21,0)/1000</f>
        <v>-0.45900000000000002</v>
      </c>
      <c r="L219" s="143">
        <f t="shared" si="9"/>
        <v>-247</v>
      </c>
      <c r="M219" s="144">
        <f t="shared" si="10"/>
        <v>-251</v>
      </c>
      <c r="N219" s="143">
        <f t="shared" si="11"/>
        <v>-209.00000000000003</v>
      </c>
      <c r="O219" s="143"/>
    </row>
    <row r="220" spans="1:15">
      <c r="A220" s="81">
        <f>'BC.115+260'!B219</f>
        <v>45457</v>
      </c>
      <c r="B220" s="143">
        <v>206</v>
      </c>
      <c r="C220" s="145">
        <f>'BC.115+260'!M219/1000</f>
        <v>2.0489999999999999</v>
      </c>
      <c r="D220" s="145">
        <f>'BC.115+260'!AA219</f>
        <v>2.4729999999999999</v>
      </c>
      <c r="E220" s="146">
        <f>'BC.115+260'!AB219</f>
        <v>2.0179999999999998</v>
      </c>
      <c r="F220" s="145">
        <f>VLOOKUP($A220,'BC.115+260'!$B$13:$X$489,8,0)/1000</f>
        <v>2.5529999999999999</v>
      </c>
      <c r="G220" s="145">
        <f>VLOOKUP($A220,'BC.115+260'!$B$13:$X$489,9,0)/1000</f>
        <v>-0.44700000000000001</v>
      </c>
      <c r="H220" s="145">
        <f>VLOOKUP($A220,'BC.115+260'!$B$13:$X$489,14,0)/1000</f>
        <v>2.5289999999999999</v>
      </c>
      <c r="I220" s="145">
        <f>VLOOKUP($A220,'BC.115+260'!$B$13:$X$489,15,0)/1000</f>
        <v>-0.47099999999999997</v>
      </c>
      <c r="J220" s="145">
        <f>VLOOKUP($A220,'BC.115+260'!$B$13:$X$489,20,0)/1000</f>
        <v>2.5409999999999999</v>
      </c>
      <c r="K220" s="145">
        <f>VLOOKUP($A220,'BC.115+260'!$B$13:$X$489,21,0)/1000</f>
        <v>-0.45900000000000002</v>
      </c>
      <c r="L220" s="143">
        <f t="shared" si="9"/>
        <v>-247</v>
      </c>
      <c r="M220" s="144">
        <f t="shared" si="10"/>
        <v>-251</v>
      </c>
      <c r="N220" s="143">
        <f t="shared" si="11"/>
        <v>-209.00000000000003</v>
      </c>
      <c r="O220" s="143"/>
    </row>
    <row r="221" spans="1:15">
      <c r="A221" s="81">
        <f>'BC.115+260'!B220</f>
        <v>45458</v>
      </c>
      <c r="B221" s="143">
        <v>207</v>
      </c>
      <c r="C221" s="145">
        <f>'BC.115+260'!M220/1000</f>
        <v>2.0489999999999999</v>
      </c>
      <c r="D221" s="145">
        <f>'BC.115+260'!AA220</f>
        <v>2.4729999999999999</v>
      </c>
      <c r="E221" s="146">
        <f>'BC.115+260'!AB220</f>
        <v>2.0179999999999998</v>
      </c>
      <c r="F221" s="145">
        <f>VLOOKUP($A221,'BC.115+260'!$B$13:$X$489,8,0)/1000</f>
        <v>2.5529999999999999</v>
      </c>
      <c r="G221" s="145">
        <f>VLOOKUP($A221,'BC.115+260'!$B$13:$X$489,9,0)/1000</f>
        <v>-0.44700000000000001</v>
      </c>
      <c r="H221" s="145">
        <f>VLOOKUP($A221,'BC.115+260'!$B$13:$X$489,14,0)/1000</f>
        <v>2.5289999999999999</v>
      </c>
      <c r="I221" s="145">
        <f>VLOOKUP($A221,'BC.115+260'!$B$13:$X$489,15,0)/1000</f>
        <v>-0.47099999999999997</v>
      </c>
      <c r="J221" s="145">
        <f>VLOOKUP($A221,'BC.115+260'!$B$13:$X$489,20,0)/1000</f>
        <v>2.5409999999999999</v>
      </c>
      <c r="K221" s="145">
        <f>VLOOKUP($A221,'BC.115+260'!$B$13:$X$489,21,0)/1000</f>
        <v>-0.45900000000000002</v>
      </c>
      <c r="L221" s="143">
        <f t="shared" si="9"/>
        <v>-247</v>
      </c>
      <c r="M221" s="144">
        <f t="shared" si="10"/>
        <v>-251</v>
      </c>
      <c r="N221" s="143">
        <f t="shared" si="11"/>
        <v>-209.00000000000003</v>
      </c>
      <c r="O221" s="143"/>
    </row>
    <row r="222" spans="1:15">
      <c r="A222" s="81">
        <f>'BC.115+260'!B221</f>
        <v>45459</v>
      </c>
      <c r="B222" s="143">
        <v>208</v>
      </c>
      <c r="C222" s="145">
        <f>'BC.115+260'!M221/1000</f>
        <v>2.0489999999999999</v>
      </c>
      <c r="D222" s="145">
        <f>'BC.115+260'!AA221</f>
        <v>2.4729999999999999</v>
      </c>
      <c r="E222" s="146">
        <f>'BC.115+260'!AB221</f>
        <v>2.0179999999999998</v>
      </c>
      <c r="F222" s="145">
        <f>VLOOKUP($A222,'BC.115+260'!$B$13:$X$489,8,0)/1000</f>
        <v>2.5529999999999999</v>
      </c>
      <c r="G222" s="145">
        <f>VLOOKUP($A222,'BC.115+260'!$B$13:$X$489,9,0)/1000</f>
        <v>-0.44700000000000001</v>
      </c>
      <c r="H222" s="145">
        <f>VLOOKUP($A222,'BC.115+260'!$B$13:$X$489,14,0)/1000</f>
        <v>2.5289999999999999</v>
      </c>
      <c r="I222" s="145">
        <f>VLOOKUP($A222,'BC.115+260'!$B$13:$X$489,15,0)/1000</f>
        <v>-0.47099999999999997</v>
      </c>
      <c r="J222" s="145">
        <f>VLOOKUP($A222,'BC.115+260'!$B$13:$X$489,20,0)/1000</f>
        <v>2.5409999999999999</v>
      </c>
      <c r="K222" s="145">
        <f>VLOOKUP($A222,'BC.115+260'!$B$13:$X$489,21,0)/1000</f>
        <v>-0.45900000000000002</v>
      </c>
      <c r="L222" s="143">
        <f t="shared" si="9"/>
        <v>-247</v>
      </c>
      <c r="M222" s="144">
        <f t="shared" si="10"/>
        <v>-251</v>
      </c>
      <c r="N222" s="143">
        <f t="shared" si="11"/>
        <v>-209.00000000000003</v>
      </c>
      <c r="O222" s="143"/>
    </row>
    <row r="223" spans="1:15">
      <c r="A223" s="81">
        <f>'BC.115+260'!B222</f>
        <v>45460</v>
      </c>
      <c r="B223" s="143">
        <v>209</v>
      </c>
      <c r="C223" s="145">
        <f>'BC.115+260'!M222/1000</f>
        <v>2.0489999999999999</v>
      </c>
      <c r="D223" s="145">
        <f>'BC.115+260'!AA222</f>
        <v>2.4729999999999999</v>
      </c>
      <c r="E223" s="146">
        <f>'BC.115+260'!AB222</f>
        <v>2.0179999999999998</v>
      </c>
      <c r="F223" s="145">
        <f>VLOOKUP($A223,'BC.115+260'!$B$13:$X$489,8,0)/1000</f>
        <v>2.5529999999999999</v>
      </c>
      <c r="G223" s="145">
        <f>VLOOKUP($A223,'BC.115+260'!$B$13:$X$489,9,0)/1000</f>
        <v>-0.44700000000000001</v>
      </c>
      <c r="H223" s="145">
        <f>VLOOKUP($A223,'BC.115+260'!$B$13:$X$489,14,0)/1000</f>
        <v>2.5289999999999999</v>
      </c>
      <c r="I223" s="145">
        <f>VLOOKUP($A223,'BC.115+260'!$B$13:$X$489,15,0)/1000</f>
        <v>-0.47099999999999997</v>
      </c>
      <c r="J223" s="145">
        <f>VLOOKUP($A223,'BC.115+260'!$B$13:$X$489,20,0)/1000</f>
        <v>2.5409999999999999</v>
      </c>
      <c r="K223" s="145">
        <f>VLOOKUP($A223,'BC.115+260'!$B$13:$X$489,21,0)/1000</f>
        <v>-0.45900000000000002</v>
      </c>
      <c r="L223" s="143">
        <f t="shared" si="9"/>
        <v>-247</v>
      </c>
      <c r="M223" s="144">
        <f t="shared" si="10"/>
        <v>-251</v>
      </c>
      <c r="N223" s="143">
        <f t="shared" si="11"/>
        <v>-209.00000000000003</v>
      </c>
      <c r="O223" s="143"/>
    </row>
    <row r="224" spans="1:15">
      <c r="A224" s="81">
        <f>'BC.115+260'!B223</f>
        <v>45461</v>
      </c>
      <c r="B224" s="143">
        <v>210</v>
      </c>
      <c r="C224" s="145">
        <f>'BC.115+260'!M223/1000</f>
        <v>2.0489999999999999</v>
      </c>
      <c r="D224" s="145">
        <f>'BC.115+260'!AA223</f>
        <v>2.4729999999999999</v>
      </c>
      <c r="E224" s="146">
        <f>'BC.115+260'!AB223</f>
        <v>2.0179999999999998</v>
      </c>
      <c r="F224" s="145">
        <f>VLOOKUP($A224,'BC.115+260'!$B$13:$X$489,8,0)/1000</f>
        <v>2.5529999999999999</v>
      </c>
      <c r="G224" s="145">
        <f>VLOOKUP($A224,'BC.115+260'!$B$13:$X$489,9,0)/1000</f>
        <v>-0.44700000000000001</v>
      </c>
      <c r="H224" s="145">
        <f>VLOOKUP($A224,'BC.115+260'!$B$13:$X$489,14,0)/1000</f>
        <v>2.5289999999999999</v>
      </c>
      <c r="I224" s="145">
        <f>VLOOKUP($A224,'BC.115+260'!$B$13:$X$489,15,0)/1000</f>
        <v>-0.47099999999999997</v>
      </c>
      <c r="J224" s="145">
        <f>VLOOKUP($A224,'BC.115+260'!$B$13:$X$489,20,0)/1000</f>
        <v>2.5409999999999999</v>
      </c>
      <c r="K224" s="145">
        <f>VLOOKUP($A224,'BC.115+260'!$B$13:$X$489,21,0)/1000</f>
        <v>-0.45900000000000002</v>
      </c>
      <c r="L224" s="143">
        <f t="shared" si="9"/>
        <v>-247</v>
      </c>
      <c r="M224" s="144">
        <f t="shared" si="10"/>
        <v>-251</v>
      </c>
      <c r="N224" s="143">
        <f t="shared" si="11"/>
        <v>-209.00000000000003</v>
      </c>
      <c r="O224" s="143"/>
    </row>
    <row r="225" spans="1:15">
      <c r="A225" s="81">
        <f>'BC.115+260'!B224</f>
        <v>45462</v>
      </c>
      <c r="B225" s="143">
        <v>211</v>
      </c>
      <c r="C225" s="145">
        <f>'BC.115+260'!M224/1000</f>
        <v>2.0489999999999999</v>
      </c>
      <c r="D225" s="145">
        <f>'BC.115+260'!AA224</f>
        <v>2.4729999999999999</v>
      </c>
      <c r="E225" s="146">
        <f>'BC.115+260'!AB224</f>
        <v>2.0179999999999998</v>
      </c>
      <c r="F225" s="145">
        <f>VLOOKUP($A225,'BC.115+260'!$B$13:$X$489,8,0)/1000</f>
        <v>2.5529999999999999</v>
      </c>
      <c r="G225" s="145">
        <f>VLOOKUP($A225,'BC.115+260'!$B$13:$X$489,9,0)/1000</f>
        <v>-0.44700000000000001</v>
      </c>
      <c r="H225" s="145">
        <f>VLOOKUP($A225,'BC.115+260'!$B$13:$X$489,14,0)/1000</f>
        <v>2.5289999999999999</v>
      </c>
      <c r="I225" s="145">
        <f>VLOOKUP($A225,'BC.115+260'!$B$13:$X$489,15,0)/1000</f>
        <v>-0.47099999999999997</v>
      </c>
      <c r="J225" s="145">
        <f>VLOOKUP($A225,'BC.115+260'!$B$13:$X$489,20,0)/1000</f>
        <v>2.5409999999999999</v>
      </c>
      <c r="K225" s="145">
        <f>VLOOKUP($A225,'BC.115+260'!$B$13:$X$489,21,0)/1000</f>
        <v>-0.45900000000000002</v>
      </c>
      <c r="L225" s="143">
        <f t="shared" si="9"/>
        <v>-247</v>
      </c>
      <c r="M225" s="144">
        <f t="shared" si="10"/>
        <v>-251</v>
      </c>
      <c r="N225" s="143">
        <f t="shared" si="11"/>
        <v>-209.00000000000003</v>
      </c>
      <c r="O225" s="143"/>
    </row>
    <row r="226" spans="1:15">
      <c r="A226" s="81">
        <f>'BC.115+260'!B225</f>
        <v>45463</v>
      </c>
      <c r="B226" s="143">
        <v>212</v>
      </c>
      <c r="C226" s="145">
        <f>'BC.115+260'!M225/1000</f>
        <v>2.0489999999999999</v>
      </c>
      <c r="D226" s="145">
        <f>'BC.115+260'!AA225</f>
        <v>2.4729999999999999</v>
      </c>
      <c r="E226" s="146">
        <f>'BC.115+260'!AB225</f>
        <v>2.0179999999999998</v>
      </c>
      <c r="F226" s="145">
        <f>VLOOKUP($A226,'BC.115+260'!$B$13:$X$489,8,0)/1000</f>
        <v>2.5529999999999999</v>
      </c>
      <c r="G226" s="145">
        <f>VLOOKUP($A226,'BC.115+260'!$B$13:$X$489,9,0)/1000</f>
        <v>-0.44700000000000001</v>
      </c>
      <c r="H226" s="145">
        <f>VLOOKUP($A226,'BC.115+260'!$B$13:$X$489,14,0)/1000</f>
        <v>2.5289999999999999</v>
      </c>
      <c r="I226" s="145">
        <f>VLOOKUP($A226,'BC.115+260'!$B$13:$X$489,15,0)/1000</f>
        <v>-0.47099999999999997</v>
      </c>
      <c r="J226" s="145">
        <f>VLOOKUP($A226,'BC.115+260'!$B$13:$X$489,20,0)/1000</f>
        <v>2.5409999999999999</v>
      </c>
      <c r="K226" s="145">
        <f>VLOOKUP($A226,'BC.115+260'!$B$13:$X$489,21,0)/1000</f>
        <v>-0.45900000000000002</v>
      </c>
      <c r="L226" s="143">
        <f t="shared" si="9"/>
        <v>-247</v>
      </c>
      <c r="M226" s="144">
        <f t="shared" si="10"/>
        <v>-251</v>
      </c>
      <c r="N226" s="143">
        <f t="shared" si="11"/>
        <v>-209.00000000000003</v>
      </c>
      <c r="O226" s="143"/>
    </row>
    <row r="227" spans="1:15">
      <c r="A227" s="81">
        <f>'BC.115+260'!B226</f>
        <v>45464</v>
      </c>
      <c r="B227" s="143">
        <v>213</v>
      </c>
      <c r="C227" s="145">
        <f>'BC.115+260'!M226/1000</f>
        <v>2.0489999999999999</v>
      </c>
      <c r="D227" s="145">
        <f>'BC.115+260'!AA226</f>
        <v>2.4729999999999999</v>
      </c>
      <c r="E227" s="146">
        <f>'BC.115+260'!AB226</f>
        <v>2.0179999999999998</v>
      </c>
      <c r="F227" s="145">
        <f>VLOOKUP($A227,'BC.115+260'!$B$13:$X$489,8,0)/1000</f>
        <v>2.5529999999999999</v>
      </c>
      <c r="G227" s="145">
        <f>VLOOKUP($A227,'BC.115+260'!$B$13:$X$489,9,0)/1000</f>
        <v>-0.44700000000000001</v>
      </c>
      <c r="H227" s="145">
        <f>VLOOKUP($A227,'BC.115+260'!$B$13:$X$489,14,0)/1000</f>
        <v>2.5289999999999999</v>
      </c>
      <c r="I227" s="145">
        <f>VLOOKUP($A227,'BC.115+260'!$B$13:$X$489,15,0)/1000</f>
        <v>-0.47099999999999997</v>
      </c>
      <c r="J227" s="145">
        <f>VLOOKUP($A227,'BC.115+260'!$B$13:$X$489,20,0)/1000</f>
        <v>2.5409999999999999</v>
      </c>
      <c r="K227" s="145">
        <f>VLOOKUP($A227,'BC.115+260'!$B$13:$X$489,21,0)/1000</f>
        <v>-0.45900000000000002</v>
      </c>
      <c r="L227" s="143">
        <f t="shared" si="9"/>
        <v>-247</v>
      </c>
      <c r="M227" s="144">
        <f t="shared" si="10"/>
        <v>-251</v>
      </c>
      <c r="N227" s="143">
        <f t="shared" si="11"/>
        <v>-209.00000000000003</v>
      </c>
      <c r="O227" s="143"/>
    </row>
    <row r="228" spans="1:15">
      <c r="A228" s="81">
        <f>'BC.115+260'!B227</f>
        <v>45465</v>
      </c>
      <c r="B228" s="143">
        <v>214</v>
      </c>
      <c r="C228" s="145">
        <f>'BC.115+260'!M227/1000</f>
        <v>2.0489999999999999</v>
      </c>
      <c r="D228" s="145">
        <f>'BC.115+260'!AA227</f>
        <v>2.4729999999999999</v>
      </c>
      <c r="E228" s="146">
        <f>'BC.115+260'!AB227</f>
        <v>2.0179999999999998</v>
      </c>
      <c r="F228" s="145">
        <f>VLOOKUP($A228,'BC.115+260'!$B$13:$X$489,8,0)/1000</f>
        <v>2.5529999999999999</v>
      </c>
      <c r="G228" s="145">
        <f>VLOOKUP($A228,'BC.115+260'!$B$13:$X$489,9,0)/1000</f>
        <v>-0.44700000000000001</v>
      </c>
      <c r="H228" s="145">
        <f>VLOOKUP($A228,'BC.115+260'!$B$13:$X$489,14,0)/1000</f>
        <v>2.5289999999999999</v>
      </c>
      <c r="I228" s="145">
        <f>VLOOKUP($A228,'BC.115+260'!$B$13:$X$489,15,0)/1000</f>
        <v>-0.47099999999999997</v>
      </c>
      <c r="J228" s="145">
        <f>VLOOKUP($A228,'BC.115+260'!$B$13:$X$489,20,0)/1000</f>
        <v>2.5409999999999999</v>
      </c>
      <c r="K228" s="145">
        <f>VLOOKUP($A228,'BC.115+260'!$B$13:$X$489,21,0)/1000</f>
        <v>-0.45900000000000002</v>
      </c>
      <c r="L228" s="143">
        <f t="shared" si="9"/>
        <v>-247</v>
      </c>
      <c r="M228" s="144">
        <f t="shared" si="10"/>
        <v>-251</v>
      </c>
      <c r="N228" s="143">
        <f t="shared" si="11"/>
        <v>-209.00000000000003</v>
      </c>
      <c r="O228" s="143"/>
    </row>
    <row r="229" spans="1:15">
      <c r="A229" s="81">
        <f>'BC.115+260'!B228</f>
        <v>45466</v>
      </c>
      <c r="B229" s="143">
        <v>215</v>
      </c>
      <c r="C229" s="145">
        <f>'BC.115+260'!M228/1000</f>
        <v>2.0489999999999999</v>
      </c>
      <c r="D229" s="145">
        <f>'BC.115+260'!AA228</f>
        <v>2.4729999999999999</v>
      </c>
      <c r="E229" s="146">
        <f>'BC.115+260'!AB228</f>
        <v>2.0179999999999998</v>
      </c>
      <c r="F229" s="145">
        <f>VLOOKUP($A229,'BC.115+260'!$B$13:$X$489,8,0)/1000</f>
        <v>2.5529999999999999</v>
      </c>
      <c r="G229" s="145">
        <f>VLOOKUP($A229,'BC.115+260'!$B$13:$X$489,9,0)/1000</f>
        <v>-0.44700000000000001</v>
      </c>
      <c r="H229" s="145">
        <f>VLOOKUP($A229,'BC.115+260'!$B$13:$X$489,14,0)/1000</f>
        <v>2.5289999999999999</v>
      </c>
      <c r="I229" s="145">
        <f>VLOOKUP($A229,'BC.115+260'!$B$13:$X$489,15,0)/1000</f>
        <v>-0.47099999999999997</v>
      </c>
      <c r="J229" s="145">
        <f>VLOOKUP($A229,'BC.115+260'!$B$13:$X$489,20,0)/1000</f>
        <v>2.5409999999999999</v>
      </c>
      <c r="K229" s="145">
        <f>VLOOKUP($A229,'BC.115+260'!$B$13:$X$489,21,0)/1000</f>
        <v>-0.45900000000000002</v>
      </c>
      <c r="L229" s="143">
        <f t="shared" si="9"/>
        <v>-247</v>
      </c>
      <c r="M229" s="144">
        <f t="shared" si="10"/>
        <v>-251</v>
      </c>
      <c r="N229" s="143">
        <f t="shared" si="11"/>
        <v>-209.00000000000003</v>
      </c>
      <c r="O229" s="143"/>
    </row>
    <row r="230" spans="1:15">
      <c r="A230" s="81">
        <f>'BC.115+260'!B229</f>
        <v>45467</v>
      </c>
      <c r="B230" s="143">
        <v>216</v>
      </c>
      <c r="C230" s="145">
        <f>'BC.115+260'!M229/1000</f>
        <v>2.0489999999999999</v>
      </c>
      <c r="D230" s="145">
        <f>'BC.115+260'!AA229</f>
        <v>2.4729999999999999</v>
      </c>
      <c r="E230" s="146">
        <f>'BC.115+260'!AB229</f>
        <v>2.0179999999999998</v>
      </c>
      <c r="F230" s="145">
        <f>VLOOKUP($A230,'BC.115+260'!$B$13:$X$489,8,0)/1000</f>
        <v>2.5529999999999999</v>
      </c>
      <c r="G230" s="145">
        <f>VLOOKUP($A230,'BC.115+260'!$B$13:$X$489,9,0)/1000</f>
        <v>-0.44700000000000001</v>
      </c>
      <c r="H230" s="145">
        <f>VLOOKUP($A230,'BC.115+260'!$B$13:$X$489,14,0)/1000</f>
        <v>2.5289999999999999</v>
      </c>
      <c r="I230" s="145">
        <f>VLOOKUP($A230,'BC.115+260'!$B$13:$X$489,15,0)/1000</f>
        <v>-0.47099999999999997</v>
      </c>
      <c r="J230" s="145">
        <f>VLOOKUP($A230,'BC.115+260'!$B$13:$X$489,20,0)/1000</f>
        <v>2.5409999999999999</v>
      </c>
      <c r="K230" s="145">
        <f>VLOOKUP($A230,'BC.115+260'!$B$13:$X$489,21,0)/1000</f>
        <v>-0.45900000000000002</v>
      </c>
      <c r="L230" s="143">
        <f t="shared" si="9"/>
        <v>-247</v>
      </c>
      <c r="M230" s="144">
        <f t="shared" si="10"/>
        <v>-251</v>
      </c>
      <c r="N230" s="143">
        <f t="shared" si="11"/>
        <v>-209.00000000000003</v>
      </c>
      <c r="O230" s="143"/>
    </row>
    <row r="231" spans="1:15">
      <c r="A231" s="81">
        <f>'BC.115+260'!B230</f>
        <v>45468</v>
      </c>
      <c r="B231" s="143">
        <v>217</v>
      </c>
      <c r="C231" s="145">
        <f>'BC.115+260'!M230/1000</f>
        <v>2.0489999999999999</v>
      </c>
      <c r="D231" s="145">
        <f>'BC.115+260'!AA230</f>
        <v>2.4729999999999999</v>
      </c>
      <c r="E231" s="146">
        <f>'BC.115+260'!AB230</f>
        <v>2.0179999999999998</v>
      </c>
      <c r="F231" s="145">
        <f>VLOOKUP($A231,'BC.115+260'!$B$13:$X$489,8,0)/1000</f>
        <v>2.5529999999999999</v>
      </c>
      <c r="G231" s="145">
        <f>VLOOKUP($A231,'BC.115+260'!$B$13:$X$489,9,0)/1000</f>
        <v>-0.44700000000000001</v>
      </c>
      <c r="H231" s="145">
        <f>VLOOKUP($A231,'BC.115+260'!$B$13:$X$489,14,0)/1000</f>
        <v>2.5289999999999999</v>
      </c>
      <c r="I231" s="145">
        <f>VLOOKUP($A231,'BC.115+260'!$B$13:$X$489,15,0)/1000</f>
        <v>-0.47099999999999997</v>
      </c>
      <c r="J231" s="145">
        <f>VLOOKUP($A231,'BC.115+260'!$B$13:$X$489,20,0)/1000</f>
        <v>2.5409999999999999</v>
      </c>
      <c r="K231" s="145">
        <f>VLOOKUP($A231,'BC.115+260'!$B$13:$X$489,21,0)/1000</f>
        <v>-0.45900000000000002</v>
      </c>
      <c r="L231" s="143">
        <f t="shared" si="9"/>
        <v>-247</v>
      </c>
      <c r="M231" s="144">
        <f t="shared" si="10"/>
        <v>-251</v>
      </c>
      <c r="N231" s="143">
        <f t="shared" si="11"/>
        <v>-209.00000000000003</v>
      </c>
      <c r="O231" s="143"/>
    </row>
    <row r="232" spans="1:15">
      <c r="A232" s="81">
        <f>'BC.115+260'!B231</f>
        <v>45469</v>
      </c>
      <c r="B232" s="143">
        <v>218</v>
      </c>
      <c r="C232" s="145">
        <f>'BC.115+260'!M231/1000</f>
        <v>2.0489999999999999</v>
      </c>
      <c r="D232" s="145">
        <f>'BC.115+260'!AA231</f>
        <v>2.4729999999999999</v>
      </c>
      <c r="E232" s="146">
        <f>'BC.115+260'!AB231</f>
        <v>2.0179999999999998</v>
      </c>
      <c r="F232" s="145">
        <f>VLOOKUP($A232,'BC.115+260'!$B$13:$X$489,8,0)/1000</f>
        <v>2.5529999999999999</v>
      </c>
      <c r="G232" s="145">
        <f>VLOOKUP($A232,'BC.115+260'!$B$13:$X$489,9,0)/1000</f>
        <v>-0.44700000000000001</v>
      </c>
      <c r="H232" s="145">
        <f>VLOOKUP($A232,'BC.115+260'!$B$13:$X$489,14,0)/1000</f>
        <v>2.5289999999999999</v>
      </c>
      <c r="I232" s="145">
        <f>VLOOKUP($A232,'BC.115+260'!$B$13:$X$489,15,0)/1000</f>
        <v>-0.47099999999999997</v>
      </c>
      <c r="J232" s="145">
        <f>VLOOKUP($A232,'BC.115+260'!$B$13:$X$489,20,0)/1000</f>
        <v>2.5409999999999999</v>
      </c>
      <c r="K232" s="145">
        <f>VLOOKUP($A232,'BC.115+260'!$B$13:$X$489,21,0)/1000</f>
        <v>-0.45900000000000002</v>
      </c>
      <c r="L232" s="143">
        <f t="shared" si="9"/>
        <v>-247</v>
      </c>
      <c r="M232" s="144">
        <f t="shared" si="10"/>
        <v>-251</v>
      </c>
      <c r="N232" s="143">
        <f t="shared" si="11"/>
        <v>-209.00000000000003</v>
      </c>
      <c r="O232" s="143"/>
    </row>
    <row r="233" spans="1:15">
      <c r="A233" s="81">
        <f>'BC.115+260'!B232</f>
        <v>45470</v>
      </c>
      <c r="B233" s="143">
        <v>219</v>
      </c>
      <c r="C233" s="145">
        <f>'BC.115+260'!M232/1000</f>
        <v>2.0489999999999999</v>
      </c>
      <c r="D233" s="145">
        <f>'BC.115+260'!AA232</f>
        <v>2.4729999999999999</v>
      </c>
      <c r="E233" s="146">
        <f>'BC.115+260'!AB232</f>
        <v>2.0179999999999998</v>
      </c>
      <c r="F233" s="145">
        <f>VLOOKUP($A233,'BC.115+260'!$B$13:$X$489,8,0)/1000</f>
        <v>2.5529999999999999</v>
      </c>
      <c r="G233" s="145">
        <f>VLOOKUP($A233,'BC.115+260'!$B$13:$X$489,9,0)/1000</f>
        <v>-0.44700000000000001</v>
      </c>
      <c r="H233" s="145">
        <f>VLOOKUP($A233,'BC.115+260'!$B$13:$X$489,14,0)/1000</f>
        <v>2.5289999999999999</v>
      </c>
      <c r="I233" s="145">
        <f>VLOOKUP($A233,'BC.115+260'!$B$13:$X$489,15,0)/1000</f>
        <v>-0.47099999999999997</v>
      </c>
      <c r="J233" s="145">
        <f>VLOOKUP($A233,'BC.115+260'!$B$13:$X$489,20,0)/1000</f>
        <v>2.5409999999999999</v>
      </c>
      <c r="K233" s="145">
        <f>VLOOKUP($A233,'BC.115+260'!$B$13:$X$489,21,0)/1000</f>
        <v>-0.45900000000000002</v>
      </c>
      <c r="L233" s="143">
        <f t="shared" si="9"/>
        <v>-247</v>
      </c>
      <c r="M233" s="144">
        <f t="shared" si="10"/>
        <v>-251</v>
      </c>
      <c r="N233" s="143">
        <f t="shared" si="11"/>
        <v>-209.00000000000003</v>
      </c>
      <c r="O233" s="143"/>
    </row>
    <row r="234" spans="1:15">
      <c r="A234" s="81">
        <f>'BC.115+260'!B233</f>
        <v>45471</v>
      </c>
      <c r="B234" s="143">
        <v>220</v>
      </c>
      <c r="C234" s="145">
        <f>'BC.115+260'!M233/1000</f>
        <v>2.0489999999999999</v>
      </c>
      <c r="D234" s="145">
        <f>'BC.115+260'!AA233</f>
        <v>2.4729999999999999</v>
      </c>
      <c r="E234" s="146">
        <f>'BC.115+260'!AB233</f>
        <v>2.0179999999999998</v>
      </c>
      <c r="F234" s="145">
        <f>VLOOKUP($A234,'BC.115+260'!$B$13:$X$489,8,0)/1000</f>
        <v>2.5529999999999999</v>
      </c>
      <c r="G234" s="145">
        <f>VLOOKUP($A234,'BC.115+260'!$B$13:$X$489,9,0)/1000</f>
        <v>-0.44700000000000001</v>
      </c>
      <c r="H234" s="145">
        <f>VLOOKUP($A234,'BC.115+260'!$B$13:$X$489,14,0)/1000</f>
        <v>2.5289999999999999</v>
      </c>
      <c r="I234" s="145">
        <f>VLOOKUP($A234,'BC.115+260'!$B$13:$X$489,15,0)/1000</f>
        <v>-0.47099999999999997</v>
      </c>
      <c r="J234" s="145">
        <f>VLOOKUP($A234,'BC.115+260'!$B$13:$X$489,20,0)/1000</f>
        <v>2.5409999999999999</v>
      </c>
      <c r="K234" s="145">
        <f>VLOOKUP($A234,'BC.115+260'!$B$13:$X$489,21,0)/1000</f>
        <v>-0.45900000000000002</v>
      </c>
      <c r="L234" s="143">
        <f t="shared" si="9"/>
        <v>-247</v>
      </c>
      <c r="M234" s="144">
        <f t="shared" si="10"/>
        <v>-251</v>
      </c>
      <c r="N234" s="143">
        <f t="shared" si="11"/>
        <v>-209.00000000000003</v>
      </c>
      <c r="O234" s="143"/>
    </row>
    <row r="235" spans="1:15">
      <c r="A235" s="81">
        <f>'BC.115+260'!B234</f>
        <v>45472</v>
      </c>
      <c r="B235" s="143">
        <v>221</v>
      </c>
      <c r="C235" s="145">
        <f>'BC.115+260'!M234/1000</f>
        <v>2.0489999999999999</v>
      </c>
      <c r="D235" s="145">
        <f>'BC.115+260'!AA234</f>
        <v>2.4729999999999999</v>
      </c>
      <c r="E235" s="146">
        <f>'BC.115+260'!AB234</f>
        <v>2.0179999999999998</v>
      </c>
      <c r="F235" s="145">
        <f>VLOOKUP($A235,'BC.115+260'!$B$13:$X$489,8,0)/1000</f>
        <v>2.5529999999999999</v>
      </c>
      <c r="G235" s="145">
        <f>VLOOKUP($A235,'BC.115+260'!$B$13:$X$489,9,0)/1000</f>
        <v>-0.44700000000000001</v>
      </c>
      <c r="H235" s="145">
        <f>VLOOKUP($A235,'BC.115+260'!$B$13:$X$489,14,0)/1000</f>
        <v>2.5289999999999999</v>
      </c>
      <c r="I235" s="145">
        <f>VLOOKUP($A235,'BC.115+260'!$B$13:$X$489,15,0)/1000</f>
        <v>-0.47099999999999997</v>
      </c>
      <c r="J235" s="145">
        <f>VLOOKUP($A235,'BC.115+260'!$B$13:$X$489,20,0)/1000</f>
        <v>2.5409999999999999</v>
      </c>
      <c r="K235" s="145">
        <f>VLOOKUP($A235,'BC.115+260'!$B$13:$X$489,21,0)/1000</f>
        <v>-0.45900000000000002</v>
      </c>
      <c r="L235" s="143">
        <f t="shared" si="9"/>
        <v>-247</v>
      </c>
      <c r="M235" s="144">
        <f t="shared" si="10"/>
        <v>-251</v>
      </c>
      <c r="N235" s="143">
        <f t="shared" si="11"/>
        <v>-209.00000000000003</v>
      </c>
      <c r="O235" s="143"/>
    </row>
    <row r="236" spans="1:15">
      <c r="A236" s="81">
        <f>'BC.115+260'!B235</f>
        <v>45473</v>
      </c>
      <c r="B236" s="143">
        <v>222</v>
      </c>
      <c r="C236" s="145">
        <f>'BC.115+260'!M235/1000</f>
        <v>2.0489999999999999</v>
      </c>
      <c r="D236" s="145">
        <f>'BC.115+260'!AA235</f>
        <v>2.4729999999999999</v>
      </c>
      <c r="E236" s="146">
        <f>'BC.115+260'!AB235</f>
        <v>2.0179999999999998</v>
      </c>
      <c r="F236" s="145">
        <f>VLOOKUP($A236,'BC.115+260'!$B$13:$X$489,8,0)/1000</f>
        <v>2.5529999999999999</v>
      </c>
      <c r="G236" s="145">
        <f>VLOOKUP($A236,'BC.115+260'!$B$13:$X$489,9,0)/1000</f>
        <v>-0.44700000000000001</v>
      </c>
      <c r="H236" s="145">
        <f>VLOOKUP($A236,'BC.115+260'!$B$13:$X$489,14,0)/1000</f>
        <v>2.5289999999999999</v>
      </c>
      <c r="I236" s="145">
        <f>VLOOKUP($A236,'BC.115+260'!$B$13:$X$489,15,0)/1000</f>
        <v>-0.47099999999999997</v>
      </c>
      <c r="J236" s="145">
        <f>VLOOKUP($A236,'BC.115+260'!$B$13:$X$489,20,0)/1000</f>
        <v>2.5409999999999999</v>
      </c>
      <c r="K236" s="145">
        <f>VLOOKUP($A236,'BC.115+260'!$B$13:$X$489,21,0)/1000</f>
        <v>-0.45900000000000002</v>
      </c>
      <c r="L236" s="143">
        <f t="shared" si="9"/>
        <v>-247</v>
      </c>
      <c r="M236" s="144">
        <f t="shared" si="10"/>
        <v>-251</v>
      </c>
      <c r="N236" s="143">
        <f t="shared" si="11"/>
        <v>-209.00000000000003</v>
      </c>
      <c r="O236" s="143"/>
    </row>
    <row r="237" spans="1:15">
      <c r="A237" s="81">
        <f>'BC.115+260'!B236</f>
        <v>45474</v>
      </c>
      <c r="B237" s="143">
        <v>223</v>
      </c>
      <c r="C237" s="145">
        <f>'BC.115+260'!M236/1000</f>
        <v>2.0489999999999999</v>
      </c>
      <c r="D237" s="145">
        <f>'BC.115+260'!AA236</f>
        <v>2.4729999999999999</v>
      </c>
      <c r="E237" s="146">
        <f>'BC.115+260'!AB236</f>
        <v>2.0179999999999998</v>
      </c>
      <c r="F237" s="145">
        <f>VLOOKUP($A237,'BC.115+260'!$B$13:$X$489,8,0)/1000</f>
        <v>2.5529999999999999</v>
      </c>
      <c r="G237" s="145">
        <f>VLOOKUP($A237,'BC.115+260'!$B$13:$X$489,9,0)/1000</f>
        <v>-0.44700000000000001</v>
      </c>
      <c r="H237" s="145">
        <f>VLOOKUP($A237,'BC.115+260'!$B$13:$X$489,14,0)/1000</f>
        <v>2.5289999999999999</v>
      </c>
      <c r="I237" s="145">
        <f>VLOOKUP($A237,'BC.115+260'!$B$13:$X$489,15,0)/1000</f>
        <v>-0.47099999999999997</v>
      </c>
      <c r="J237" s="145">
        <f>VLOOKUP($A237,'BC.115+260'!$B$13:$X$489,20,0)/1000</f>
        <v>2.5409999999999999</v>
      </c>
      <c r="K237" s="145">
        <f>VLOOKUP($A237,'BC.115+260'!$B$13:$X$489,21,0)/1000</f>
        <v>-0.45900000000000002</v>
      </c>
      <c r="L237" s="143">
        <f t="shared" si="9"/>
        <v>-247</v>
      </c>
      <c r="M237" s="144">
        <f t="shared" si="10"/>
        <v>-251</v>
      </c>
      <c r="N237" s="143">
        <f t="shared" si="11"/>
        <v>-209.00000000000003</v>
      </c>
      <c r="O237" s="143"/>
    </row>
    <row r="238" spans="1:15">
      <c r="A238" s="81">
        <f>'BC.115+260'!B237</f>
        <v>45475</v>
      </c>
      <c r="B238" s="143">
        <v>224</v>
      </c>
      <c r="C238" s="145">
        <f>'BC.115+260'!M237/1000</f>
        <v>2.0489999999999999</v>
      </c>
      <c r="D238" s="145">
        <f>'BC.115+260'!AA237</f>
        <v>2.4729999999999999</v>
      </c>
      <c r="E238" s="146">
        <f>'BC.115+260'!AB237</f>
        <v>2.0179999999999998</v>
      </c>
      <c r="F238" s="145">
        <f>VLOOKUP($A238,'BC.115+260'!$B$13:$X$489,8,0)/1000</f>
        <v>2.5529999999999999</v>
      </c>
      <c r="G238" s="145">
        <f>VLOOKUP($A238,'BC.115+260'!$B$13:$X$489,9,0)/1000</f>
        <v>-0.44700000000000001</v>
      </c>
      <c r="H238" s="145">
        <f>VLOOKUP($A238,'BC.115+260'!$B$13:$X$489,14,0)/1000</f>
        <v>2.5289999999999999</v>
      </c>
      <c r="I238" s="145">
        <f>VLOOKUP($A238,'BC.115+260'!$B$13:$X$489,15,0)/1000</f>
        <v>-0.47099999999999997</v>
      </c>
      <c r="J238" s="145">
        <f>VLOOKUP($A238,'BC.115+260'!$B$13:$X$489,20,0)/1000</f>
        <v>2.5409999999999999</v>
      </c>
      <c r="K238" s="145">
        <f>VLOOKUP($A238,'BC.115+260'!$B$13:$X$489,21,0)/1000</f>
        <v>-0.45900000000000002</v>
      </c>
      <c r="L238" s="143">
        <f t="shared" si="9"/>
        <v>-247</v>
      </c>
      <c r="M238" s="144">
        <f t="shared" si="10"/>
        <v>-251</v>
      </c>
      <c r="N238" s="143">
        <f t="shared" si="11"/>
        <v>-209.00000000000003</v>
      </c>
      <c r="O238" s="143"/>
    </row>
    <row r="239" spans="1:15">
      <c r="A239" s="81">
        <f>'BC.115+260'!B238</f>
        <v>45476</v>
      </c>
      <c r="B239" s="143">
        <v>225</v>
      </c>
      <c r="C239" s="145">
        <f>'BC.115+260'!M238/1000</f>
        <v>2.0489999999999999</v>
      </c>
      <c r="D239" s="145">
        <f>'BC.115+260'!AA238</f>
        <v>2.4729999999999999</v>
      </c>
      <c r="E239" s="146">
        <f>'BC.115+260'!AB238</f>
        <v>2.0179999999999998</v>
      </c>
      <c r="F239" s="145">
        <f>VLOOKUP($A239,'BC.115+260'!$B$13:$X$489,8,0)/1000</f>
        <v>2.5529999999999999</v>
      </c>
      <c r="G239" s="145">
        <f>VLOOKUP($A239,'BC.115+260'!$B$13:$X$489,9,0)/1000</f>
        <v>-0.44700000000000001</v>
      </c>
      <c r="H239" s="145">
        <f>VLOOKUP($A239,'BC.115+260'!$B$13:$X$489,14,0)/1000</f>
        <v>2.5289999999999999</v>
      </c>
      <c r="I239" s="145">
        <f>VLOOKUP($A239,'BC.115+260'!$B$13:$X$489,15,0)/1000</f>
        <v>-0.47099999999999997</v>
      </c>
      <c r="J239" s="145">
        <f>VLOOKUP($A239,'BC.115+260'!$B$13:$X$489,20,0)/1000</f>
        <v>2.5409999999999999</v>
      </c>
      <c r="K239" s="145">
        <f>VLOOKUP($A239,'BC.115+260'!$B$13:$X$489,21,0)/1000</f>
        <v>-0.45900000000000002</v>
      </c>
      <c r="L239" s="143">
        <f t="shared" si="9"/>
        <v>-247</v>
      </c>
      <c r="M239" s="144">
        <f t="shared" si="10"/>
        <v>-251</v>
      </c>
      <c r="N239" s="143">
        <f t="shared" si="11"/>
        <v>-209.00000000000003</v>
      </c>
      <c r="O239" s="143"/>
    </row>
    <row r="240" spans="1:15">
      <c r="A240" s="81">
        <f>'BC.115+260'!B239</f>
        <v>45477</v>
      </c>
      <c r="B240" s="143">
        <v>226</v>
      </c>
      <c r="C240" s="145">
        <f>'BC.115+260'!M239/1000</f>
        <v>2.0489999999999999</v>
      </c>
      <c r="D240" s="145">
        <f>'BC.115+260'!AA239</f>
        <v>2.4729999999999999</v>
      </c>
      <c r="E240" s="146">
        <f>'BC.115+260'!AB239</f>
        <v>2.0179999999999998</v>
      </c>
      <c r="F240" s="145">
        <f>VLOOKUP($A240,'BC.115+260'!$B$13:$X$489,8,0)/1000</f>
        <v>2.5529999999999999</v>
      </c>
      <c r="G240" s="145">
        <f>VLOOKUP($A240,'BC.115+260'!$B$13:$X$489,9,0)/1000</f>
        <v>-0.44700000000000001</v>
      </c>
      <c r="H240" s="145">
        <f>VLOOKUP($A240,'BC.115+260'!$B$13:$X$489,14,0)/1000</f>
        <v>2.5289999999999999</v>
      </c>
      <c r="I240" s="145">
        <f>VLOOKUP($A240,'BC.115+260'!$B$13:$X$489,15,0)/1000</f>
        <v>-0.47099999999999997</v>
      </c>
      <c r="J240" s="145">
        <f>VLOOKUP($A240,'BC.115+260'!$B$13:$X$489,20,0)/1000</f>
        <v>2.5409999999999999</v>
      </c>
      <c r="K240" s="145">
        <f>VLOOKUP($A240,'BC.115+260'!$B$13:$X$489,21,0)/1000</f>
        <v>-0.45900000000000002</v>
      </c>
      <c r="L240" s="143">
        <f t="shared" si="9"/>
        <v>-247</v>
      </c>
      <c r="M240" s="144">
        <f t="shared" si="10"/>
        <v>-251</v>
      </c>
      <c r="N240" s="143">
        <f t="shared" si="11"/>
        <v>-209.00000000000003</v>
      </c>
      <c r="O240" s="143"/>
    </row>
    <row r="241" spans="1:15">
      <c r="A241" s="81">
        <f>'BC.115+260'!B240</f>
        <v>45478</v>
      </c>
      <c r="B241" s="143">
        <v>227</v>
      </c>
      <c r="C241" s="145">
        <f>'BC.115+260'!M240/1000</f>
        <v>2.0489999999999999</v>
      </c>
      <c r="D241" s="145">
        <f>'BC.115+260'!AA240</f>
        <v>2.4729999999999999</v>
      </c>
      <c r="E241" s="146">
        <f>'BC.115+260'!AB240</f>
        <v>2.0179999999999998</v>
      </c>
      <c r="F241" s="145">
        <f>VLOOKUP($A241,'BC.115+260'!$B$13:$X$489,8,0)/1000</f>
        <v>2.5529999999999999</v>
      </c>
      <c r="G241" s="145">
        <f>VLOOKUP($A241,'BC.115+260'!$B$13:$X$489,9,0)/1000</f>
        <v>-0.44700000000000001</v>
      </c>
      <c r="H241" s="145">
        <f>VLOOKUP($A241,'BC.115+260'!$B$13:$X$489,14,0)/1000</f>
        <v>2.5289999999999999</v>
      </c>
      <c r="I241" s="145">
        <f>VLOOKUP($A241,'BC.115+260'!$B$13:$X$489,15,0)/1000</f>
        <v>-0.47099999999999997</v>
      </c>
      <c r="J241" s="145">
        <f>VLOOKUP($A241,'BC.115+260'!$B$13:$X$489,20,0)/1000</f>
        <v>2.5409999999999999</v>
      </c>
      <c r="K241" s="145">
        <f>VLOOKUP($A241,'BC.115+260'!$B$13:$X$489,21,0)/1000</f>
        <v>-0.45900000000000002</v>
      </c>
      <c r="L241" s="143">
        <f t="shared" si="9"/>
        <v>-247</v>
      </c>
      <c r="M241" s="144">
        <f t="shared" si="10"/>
        <v>-251</v>
      </c>
      <c r="N241" s="143">
        <f t="shared" si="11"/>
        <v>-209.00000000000003</v>
      </c>
      <c r="O241" s="143"/>
    </row>
    <row r="242" spans="1:15">
      <c r="A242" s="81">
        <f>'BC.115+260'!B241</f>
        <v>45479</v>
      </c>
      <c r="B242" s="143">
        <v>228</v>
      </c>
      <c r="C242" s="145">
        <f>'BC.115+260'!M241/1000</f>
        <v>2.0489999999999999</v>
      </c>
      <c r="D242" s="145">
        <f>'BC.115+260'!AA241</f>
        <v>2.4729999999999999</v>
      </c>
      <c r="E242" s="146">
        <f>'BC.115+260'!AB241</f>
        <v>2.0179999999999998</v>
      </c>
      <c r="F242" s="145">
        <f>VLOOKUP($A242,'BC.115+260'!$B$13:$X$489,8,0)/1000</f>
        <v>2.5529999999999999</v>
      </c>
      <c r="G242" s="145">
        <f>VLOOKUP($A242,'BC.115+260'!$B$13:$X$489,9,0)/1000</f>
        <v>-0.44700000000000001</v>
      </c>
      <c r="H242" s="145">
        <f>VLOOKUP($A242,'BC.115+260'!$B$13:$X$489,14,0)/1000</f>
        <v>2.5289999999999999</v>
      </c>
      <c r="I242" s="145">
        <f>VLOOKUP($A242,'BC.115+260'!$B$13:$X$489,15,0)/1000</f>
        <v>-0.47099999999999997</v>
      </c>
      <c r="J242" s="145">
        <f>VLOOKUP($A242,'BC.115+260'!$B$13:$X$489,20,0)/1000</f>
        <v>2.5409999999999999</v>
      </c>
      <c r="K242" s="145">
        <f>VLOOKUP($A242,'BC.115+260'!$B$13:$X$489,21,0)/1000</f>
        <v>-0.45900000000000002</v>
      </c>
      <c r="L242" s="143">
        <f t="shared" si="9"/>
        <v>-247</v>
      </c>
      <c r="M242" s="144">
        <f t="shared" si="10"/>
        <v>-251</v>
      </c>
      <c r="N242" s="143">
        <f t="shared" si="11"/>
        <v>-209.00000000000003</v>
      </c>
      <c r="O242" s="143"/>
    </row>
    <row r="243" spans="1:15">
      <c r="A243" s="81">
        <f>'BC.115+260'!B242</f>
        <v>45480</v>
      </c>
      <c r="B243" s="143">
        <v>229</v>
      </c>
      <c r="C243" s="145">
        <f>'BC.115+260'!M242/1000</f>
        <v>2.0489999999999999</v>
      </c>
      <c r="D243" s="145">
        <f>'BC.115+260'!AA242</f>
        <v>2.4729999999999999</v>
      </c>
      <c r="E243" s="146">
        <f>'BC.115+260'!AB242</f>
        <v>2.0179999999999998</v>
      </c>
      <c r="F243" s="145">
        <f>VLOOKUP($A243,'BC.115+260'!$B$13:$X$489,8,0)/1000</f>
        <v>2.5529999999999999</v>
      </c>
      <c r="G243" s="145">
        <f>VLOOKUP($A243,'BC.115+260'!$B$13:$X$489,9,0)/1000</f>
        <v>-0.44700000000000001</v>
      </c>
      <c r="H243" s="145">
        <f>VLOOKUP($A243,'BC.115+260'!$B$13:$X$489,14,0)/1000</f>
        <v>2.5289999999999999</v>
      </c>
      <c r="I243" s="145">
        <f>VLOOKUP($A243,'BC.115+260'!$B$13:$X$489,15,0)/1000</f>
        <v>-0.47099999999999997</v>
      </c>
      <c r="J243" s="145">
        <f>VLOOKUP($A243,'BC.115+260'!$B$13:$X$489,20,0)/1000</f>
        <v>2.5409999999999999</v>
      </c>
      <c r="K243" s="145">
        <f>VLOOKUP($A243,'BC.115+260'!$B$13:$X$489,21,0)/1000</f>
        <v>-0.45900000000000002</v>
      </c>
      <c r="L243" s="143">
        <f t="shared" si="9"/>
        <v>-247</v>
      </c>
      <c r="M243" s="144">
        <f t="shared" si="10"/>
        <v>-251</v>
      </c>
      <c r="N243" s="143">
        <f t="shared" si="11"/>
        <v>-209.00000000000003</v>
      </c>
      <c r="O243" s="143"/>
    </row>
    <row r="244" spans="1:15">
      <c r="A244" s="81">
        <f>'BC.115+260'!B243</f>
        <v>45481</v>
      </c>
      <c r="B244" s="143">
        <v>230</v>
      </c>
      <c r="C244" s="145">
        <f>'BC.115+260'!M243/1000</f>
        <v>2.0489999999999999</v>
      </c>
      <c r="D244" s="145">
        <f>'BC.115+260'!AA243</f>
        <v>2.4729999999999999</v>
      </c>
      <c r="E244" s="146">
        <f>'BC.115+260'!AB243</f>
        <v>2.0179999999999998</v>
      </c>
      <c r="F244" s="145">
        <f>VLOOKUP($A244,'BC.115+260'!$B$13:$X$489,8,0)/1000</f>
        <v>2.5529999999999999</v>
      </c>
      <c r="G244" s="145">
        <f>VLOOKUP($A244,'BC.115+260'!$B$13:$X$489,9,0)/1000</f>
        <v>-0.44700000000000001</v>
      </c>
      <c r="H244" s="145">
        <f>VLOOKUP($A244,'BC.115+260'!$B$13:$X$489,14,0)/1000</f>
        <v>2.5289999999999999</v>
      </c>
      <c r="I244" s="145">
        <f>VLOOKUP($A244,'BC.115+260'!$B$13:$X$489,15,0)/1000</f>
        <v>-0.47099999999999997</v>
      </c>
      <c r="J244" s="145">
        <f>VLOOKUP($A244,'BC.115+260'!$B$13:$X$489,20,0)/1000</f>
        <v>2.5409999999999999</v>
      </c>
      <c r="K244" s="145">
        <f>VLOOKUP($A244,'BC.115+260'!$B$13:$X$489,21,0)/1000</f>
        <v>-0.45900000000000002</v>
      </c>
      <c r="L244" s="143">
        <f t="shared" si="9"/>
        <v>-247</v>
      </c>
      <c r="M244" s="144">
        <f t="shared" si="10"/>
        <v>-251</v>
      </c>
      <c r="N244" s="143">
        <f t="shared" si="11"/>
        <v>-209.00000000000003</v>
      </c>
      <c r="O244" s="143"/>
    </row>
    <row r="245" spans="1:15">
      <c r="A245" s="81">
        <f>'BC.115+260'!B244</f>
        <v>45482</v>
      </c>
      <c r="B245" s="143">
        <v>231</v>
      </c>
      <c r="C245" s="145">
        <f>'BC.115+260'!M244/1000</f>
        <v>2.0489999999999999</v>
      </c>
      <c r="D245" s="145">
        <f>'BC.115+260'!AA244</f>
        <v>2.4729999999999999</v>
      </c>
      <c r="E245" s="146">
        <f>'BC.115+260'!AB244</f>
        <v>2.0179999999999998</v>
      </c>
      <c r="F245" s="145">
        <f>VLOOKUP($A245,'BC.115+260'!$B$13:$X$489,8,0)/1000</f>
        <v>2.5529999999999999</v>
      </c>
      <c r="G245" s="145">
        <f>VLOOKUP($A245,'BC.115+260'!$B$13:$X$489,9,0)/1000</f>
        <v>-0.44700000000000001</v>
      </c>
      <c r="H245" s="145">
        <f>VLOOKUP($A245,'BC.115+260'!$B$13:$X$489,14,0)/1000</f>
        <v>2.5289999999999999</v>
      </c>
      <c r="I245" s="145">
        <f>VLOOKUP($A245,'BC.115+260'!$B$13:$X$489,15,0)/1000</f>
        <v>-0.47099999999999997</v>
      </c>
      <c r="J245" s="145">
        <f>VLOOKUP($A245,'BC.115+260'!$B$13:$X$489,20,0)/1000</f>
        <v>2.5409999999999999</v>
      </c>
      <c r="K245" s="145">
        <f>VLOOKUP($A245,'BC.115+260'!$B$13:$X$489,21,0)/1000</f>
        <v>-0.45900000000000002</v>
      </c>
      <c r="L245" s="143">
        <f t="shared" si="9"/>
        <v>-247</v>
      </c>
      <c r="M245" s="144">
        <f t="shared" si="10"/>
        <v>-251</v>
      </c>
      <c r="N245" s="143">
        <f t="shared" si="11"/>
        <v>-209.00000000000003</v>
      </c>
      <c r="O245" s="143"/>
    </row>
    <row r="246" spans="1:15">
      <c r="A246" s="81">
        <f>'BC.115+260'!B245</f>
        <v>45483</v>
      </c>
      <c r="B246" s="143">
        <v>232</v>
      </c>
      <c r="C246" s="145">
        <f>'BC.115+260'!M245/1000</f>
        <v>2.0489999999999999</v>
      </c>
      <c r="D246" s="145">
        <f>'BC.115+260'!AA245</f>
        <v>2.4729999999999999</v>
      </c>
      <c r="E246" s="146">
        <f>'BC.115+260'!AB245</f>
        <v>2.0179999999999998</v>
      </c>
      <c r="F246" s="145">
        <f>VLOOKUP($A246,'BC.115+260'!$B$13:$X$489,8,0)/1000</f>
        <v>2.5529999999999999</v>
      </c>
      <c r="G246" s="145">
        <f>VLOOKUP($A246,'BC.115+260'!$B$13:$X$489,9,0)/1000</f>
        <v>-0.44700000000000001</v>
      </c>
      <c r="H246" s="145">
        <f>VLOOKUP($A246,'BC.115+260'!$B$13:$X$489,14,0)/1000</f>
        <v>2.5289999999999999</v>
      </c>
      <c r="I246" s="145">
        <f>VLOOKUP($A246,'BC.115+260'!$B$13:$X$489,15,0)/1000</f>
        <v>-0.47099999999999997</v>
      </c>
      <c r="J246" s="145">
        <f>VLOOKUP($A246,'BC.115+260'!$B$13:$X$489,20,0)/1000</f>
        <v>2.5409999999999999</v>
      </c>
      <c r="K246" s="145">
        <f>VLOOKUP($A246,'BC.115+260'!$B$13:$X$489,21,0)/1000</f>
        <v>-0.45900000000000002</v>
      </c>
      <c r="L246" s="143">
        <f t="shared" si="9"/>
        <v>-247</v>
      </c>
      <c r="M246" s="144">
        <f t="shared" si="10"/>
        <v>-251</v>
      </c>
      <c r="N246" s="143">
        <f t="shared" si="11"/>
        <v>-209.00000000000003</v>
      </c>
      <c r="O246" s="143"/>
    </row>
    <row r="247" spans="1:15">
      <c r="A247" s="81">
        <f>'BC.115+260'!B246</f>
        <v>45484</v>
      </c>
      <c r="B247" s="143">
        <v>233</v>
      </c>
      <c r="C247" s="145">
        <f>'BC.115+260'!M246/1000</f>
        <v>2.0489999999999999</v>
      </c>
      <c r="D247" s="145">
        <f>'BC.115+260'!AA246</f>
        <v>2.4729999999999999</v>
      </c>
      <c r="E247" s="146">
        <f>'BC.115+260'!AB246</f>
        <v>2.0179999999999998</v>
      </c>
      <c r="F247" s="145">
        <f>VLOOKUP($A247,'BC.115+260'!$B$13:$X$489,8,0)/1000</f>
        <v>2.5529999999999999</v>
      </c>
      <c r="G247" s="145">
        <f>VLOOKUP($A247,'BC.115+260'!$B$13:$X$489,9,0)/1000</f>
        <v>-0.44700000000000001</v>
      </c>
      <c r="H247" s="145">
        <f>VLOOKUP($A247,'BC.115+260'!$B$13:$X$489,14,0)/1000</f>
        <v>2.5289999999999999</v>
      </c>
      <c r="I247" s="145">
        <f>VLOOKUP($A247,'BC.115+260'!$B$13:$X$489,15,0)/1000</f>
        <v>-0.47099999999999997</v>
      </c>
      <c r="J247" s="145">
        <f>VLOOKUP($A247,'BC.115+260'!$B$13:$X$489,20,0)/1000</f>
        <v>2.5409999999999999</v>
      </c>
      <c r="K247" s="145">
        <f>VLOOKUP($A247,'BC.115+260'!$B$13:$X$489,21,0)/1000</f>
        <v>-0.45900000000000002</v>
      </c>
      <c r="L247" s="143">
        <f t="shared" si="9"/>
        <v>-247</v>
      </c>
      <c r="M247" s="144">
        <f t="shared" si="10"/>
        <v>-251</v>
      </c>
      <c r="N247" s="143">
        <f t="shared" si="11"/>
        <v>-209.00000000000003</v>
      </c>
      <c r="O247" s="143"/>
    </row>
    <row r="248" spans="1:15">
      <c r="A248" s="81">
        <f>'BC.115+260'!B247</f>
        <v>45485</v>
      </c>
      <c r="B248" s="143">
        <v>234</v>
      </c>
      <c r="C248" s="145">
        <f>'BC.115+260'!M247/1000</f>
        <v>2.0489999999999999</v>
      </c>
      <c r="D248" s="145">
        <f>'BC.115+260'!AA247</f>
        <v>2.4729999999999999</v>
      </c>
      <c r="E248" s="146">
        <f>'BC.115+260'!AB247</f>
        <v>2.0179999999999998</v>
      </c>
      <c r="F248" s="145">
        <f>VLOOKUP($A248,'BC.115+260'!$B$13:$X$489,8,0)/1000</f>
        <v>2.5529999999999999</v>
      </c>
      <c r="G248" s="145">
        <f>VLOOKUP($A248,'BC.115+260'!$B$13:$X$489,9,0)/1000</f>
        <v>-0.44700000000000001</v>
      </c>
      <c r="H248" s="145">
        <f>VLOOKUP($A248,'BC.115+260'!$B$13:$X$489,14,0)/1000</f>
        <v>2.5289999999999999</v>
      </c>
      <c r="I248" s="145">
        <f>VLOOKUP($A248,'BC.115+260'!$B$13:$X$489,15,0)/1000</f>
        <v>-0.47099999999999997</v>
      </c>
      <c r="J248" s="145">
        <f>VLOOKUP($A248,'BC.115+260'!$B$13:$X$489,20,0)/1000</f>
        <v>2.5409999999999999</v>
      </c>
      <c r="K248" s="145">
        <f>VLOOKUP($A248,'BC.115+260'!$B$13:$X$489,21,0)/1000</f>
        <v>-0.45900000000000002</v>
      </c>
      <c r="L248" s="143">
        <f t="shared" si="9"/>
        <v>-247</v>
      </c>
      <c r="M248" s="144">
        <f t="shared" si="10"/>
        <v>-251</v>
      </c>
      <c r="N248" s="143">
        <f t="shared" si="11"/>
        <v>-209.00000000000003</v>
      </c>
      <c r="O248" s="143"/>
    </row>
    <row r="249" spans="1:15">
      <c r="A249" s="81">
        <f>'BC.115+260'!B248</f>
        <v>45486</v>
      </c>
      <c r="B249" s="143">
        <v>235</v>
      </c>
      <c r="C249" s="145">
        <f>'BC.115+260'!M248/1000</f>
        <v>2.0489999999999999</v>
      </c>
      <c r="D249" s="145">
        <f>'BC.115+260'!AA248</f>
        <v>2.4729999999999999</v>
      </c>
      <c r="E249" s="146">
        <f>'BC.115+260'!AB248</f>
        <v>2.0179999999999998</v>
      </c>
      <c r="F249" s="145">
        <f>VLOOKUP($A249,'BC.115+260'!$B$13:$X$489,8,0)/1000</f>
        <v>2.5529999999999999</v>
      </c>
      <c r="G249" s="145">
        <f>VLOOKUP($A249,'BC.115+260'!$B$13:$X$489,9,0)/1000</f>
        <v>-0.44700000000000001</v>
      </c>
      <c r="H249" s="145">
        <f>VLOOKUP($A249,'BC.115+260'!$B$13:$X$489,14,0)/1000</f>
        <v>2.5289999999999999</v>
      </c>
      <c r="I249" s="145">
        <f>VLOOKUP($A249,'BC.115+260'!$B$13:$X$489,15,0)/1000</f>
        <v>-0.47099999999999997</v>
      </c>
      <c r="J249" s="145">
        <f>VLOOKUP($A249,'BC.115+260'!$B$13:$X$489,20,0)/1000</f>
        <v>2.5409999999999999</v>
      </c>
      <c r="K249" s="145">
        <f>VLOOKUP($A249,'BC.115+260'!$B$13:$X$489,21,0)/1000</f>
        <v>-0.45900000000000002</v>
      </c>
      <c r="L249" s="143">
        <f t="shared" si="9"/>
        <v>-247</v>
      </c>
      <c r="M249" s="144">
        <f t="shared" si="10"/>
        <v>-251</v>
      </c>
      <c r="N249" s="143">
        <f t="shared" si="11"/>
        <v>-209.00000000000003</v>
      </c>
      <c r="O249" s="143"/>
    </row>
    <row r="250" spans="1:15">
      <c r="A250" s="81">
        <f>'BC.115+260'!B249</f>
        <v>45487</v>
      </c>
      <c r="B250" s="143">
        <v>236</v>
      </c>
      <c r="C250" s="145">
        <f>'BC.115+260'!M249/1000</f>
        <v>2.0489999999999999</v>
      </c>
      <c r="D250" s="145">
        <f>'BC.115+260'!AA249</f>
        <v>2.4729999999999999</v>
      </c>
      <c r="E250" s="146">
        <f>'BC.115+260'!AB249</f>
        <v>2.0179999999999998</v>
      </c>
      <c r="F250" s="145">
        <f>VLOOKUP($A250,'BC.115+260'!$B$13:$X$489,8,0)/1000</f>
        <v>2.5529999999999999</v>
      </c>
      <c r="G250" s="145">
        <f>VLOOKUP($A250,'BC.115+260'!$B$13:$X$489,9,0)/1000</f>
        <v>-0.44700000000000001</v>
      </c>
      <c r="H250" s="145">
        <f>VLOOKUP($A250,'BC.115+260'!$B$13:$X$489,14,0)/1000</f>
        <v>2.5289999999999999</v>
      </c>
      <c r="I250" s="145">
        <f>VLOOKUP($A250,'BC.115+260'!$B$13:$X$489,15,0)/1000</f>
        <v>-0.47099999999999997</v>
      </c>
      <c r="J250" s="145">
        <f>VLOOKUP($A250,'BC.115+260'!$B$13:$X$489,20,0)/1000</f>
        <v>2.5409999999999999</v>
      </c>
      <c r="K250" s="145">
        <f>VLOOKUP($A250,'BC.115+260'!$B$13:$X$489,21,0)/1000</f>
        <v>-0.45900000000000002</v>
      </c>
      <c r="L250" s="143">
        <f t="shared" si="9"/>
        <v>-247</v>
      </c>
      <c r="M250" s="144">
        <f t="shared" si="10"/>
        <v>-251</v>
      </c>
      <c r="N250" s="143">
        <f t="shared" si="11"/>
        <v>-209.00000000000003</v>
      </c>
      <c r="O250" s="143"/>
    </row>
    <row r="251" spans="1:15">
      <c r="A251" s="81">
        <f>'BC.115+260'!B250</f>
        <v>45488</v>
      </c>
      <c r="B251" s="143">
        <v>237</v>
      </c>
      <c r="C251" s="145">
        <f>'BC.115+260'!M250/1000</f>
        <v>2.0489999999999999</v>
      </c>
      <c r="D251" s="145">
        <f>'BC.115+260'!AA250</f>
        <v>2.4729999999999999</v>
      </c>
      <c r="E251" s="146">
        <f>'BC.115+260'!AB250</f>
        <v>2.0179999999999998</v>
      </c>
      <c r="F251" s="145">
        <f>VLOOKUP($A251,'BC.115+260'!$B$13:$X$489,8,0)/1000</f>
        <v>2.5529999999999999</v>
      </c>
      <c r="G251" s="145">
        <f>VLOOKUP($A251,'BC.115+260'!$B$13:$X$489,9,0)/1000</f>
        <v>-0.44700000000000001</v>
      </c>
      <c r="H251" s="145">
        <f>VLOOKUP($A251,'BC.115+260'!$B$13:$X$489,14,0)/1000</f>
        <v>2.5289999999999999</v>
      </c>
      <c r="I251" s="145">
        <f>VLOOKUP($A251,'BC.115+260'!$B$13:$X$489,15,0)/1000</f>
        <v>-0.47099999999999997</v>
      </c>
      <c r="J251" s="145">
        <f>VLOOKUP($A251,'BC.115+260'!$B$13:$X$489,20,0)/1000</f>
        <v>2.5409999999999999</v>
      </c>
      <c r="K251" s="145">
        <f>VLOOKUP($A251,'BC.115+260'!$B$13:$X$489,21,0)/1000</f>
        <v>-0.45900000000000002</v>
      </c>
      <c r="L251" s="143">
        <f t="shared" si="9"/>
        <v>-247</v>
      </c>
      <c r="M251" s="144">
        <f t="shared" si="10"/>
        <v>-251</v>
      </c>
      <c r="N251" s="143">
        <f t="shared" si="11"/>
        <v>-209.00000000000003</v>
      </c>
      <c r="O251" s="143"/>
    </row>
    <row r="252" spans="1:15">
      <c r="A252" s="81">
        <f>'BC.115+260'!B251</f>
        <v>45489</v>
      </c>
      <c r="B252" s="143">
        <v>238</v>
      </c>
      <c r="C252" s="145">
        <f>'BC.115+260'!M251/1000</f>
        <v>2.0489999999999999</v>
      </c>
      <c r="D252" s="145">
        <f>'BC.115+260'!AA251</f>
        <v>2.4729999999999999</v>
      </c>
      <c r="E252" s="146">
        <f>'BC.115+260'!AB251</f>
        <v>2.0179999999999998</v>
      </c>
      <c r="F252" s="145">
        <f>VLOOKUP($A252,'BC.115+260'!$B$13:$X$489,8,0)/1000</f>
        <v>2.5529999999999999</v>
      </c>
      <c r="G252" s="145">
        <f>VLOOKUP($A252,'BC.115+260'!$B$13:$X$489,9,0)/1000</f>
        <v>-0.44700000000000001</v>
      </c>
      <c r="H252" s="145">
        <f>VLOOKUP($A252,'BC.115+260'!$B$13:$X$489,14,0)/1000</f>
        <v>2.5289999999999999</v>
      </c>
      <c r="I252" s="145">
        <f>VLOOKUP($A252,'BC.115+260'!$B$13:$X$489,15,0)/1000</f>
        <v>-0.47099999999999997</v>
      </c>
      <c r="J252" s="145">
        <f>VLOOKUP($A252,'BC.115+260'!$B$13:$X$489,20,0)/1000</f>
        <v>2.5409999999999999</v>
      </c>
      <c r="K252" s="145">
        <f>VLOOKUP($A252,'BC.115+260'!$B$13:$X$489,21,0)/1000</f>
        <v>-0.45900000000000002</v>
      </c>
      <c r="L252" s="143">
        <f t="shared" si="9"/>
        <v>-247</v>
      </c>
      <c r="M252" s="144">
        <f t="shared" si="10"/>
        <v>-251</v>
      </c>
      <c r="N252" s="143">
        <f t="shared" si="11"/>
        <v>-209.00000000000003</v>
      </c>
      <c r="O252" s="143"/>
    </row>
    <row r="253" spans="1:15">
      <c r="A253" s="81">
        <f>'BC.115+260'!B252</f>
        <v>45490</v>
      </c>
      <c r="B253" s="143">
        <v>239</v>
      </c>
      <c r="C253" s="145">
        <f>'BC.115+260'!M252/1000</f>
        <v>2.0489999999999999</v>
      </c>
      <c r="D253" s="145">
        <f>'BC.115+260'!AA252</f>
        <v>2.4729999999999999</v>
      </c>
      <c r="E253" s="146">
        <f>'BC.115+260'!AB252</f>
        <v>2.0179999999999998</v>
      </c>
      <c r="F253" s="145">
        <f>VLOOKUP($A253,'BC.115+260'!$B$13:$X$489,8,0)/1000</f>
        <v>2.5529999999999999</v>
      </c>
      <c r="G253" s="145">
        <f>VLOOKUP($A253,'BC.115+260'!$B$13:$X$489,9,0)/1000</f>
        <v>-0.44700000000000001</v>
      </c>
      <c r="H253" s="145">
        <f>VLOOKUP($A253,'BC.115+260'!$B$13:$X$489,14,0)/1000</f>
        <v>2.5289999999999999</v>
      </c>
      <c r="I253" s="145">
        <f>VLOOKUP($A253,'BC.115+260'!$B$13:$X$489,15,0)/1000</f>
        <v>-0.47099999999999997</v>
      </c>
      <c r="J253" s="145">
        <f>VLOOKUP($A253,'BC.115+260'!$B$13:$X$489,20,0)/1000</f>
        <v>2.5409999999999999</v>
      </c>
      <c r="K253" s="145">
        <f>VLOOKUP($A253,'BC.115+260'!$B$13:$X$489,21,0)/1000</f>
        <v>-0.45900000000000002</v>
      </c>
      <c r="L253" s="143">
        <f t="shared" si="9"/>
        <v>-247</v>
      </c>
      <c r="M253" s="144">
        <f t="shared" si="10"/>
        <v>-251</v>
      </c>
      <c r="N253" s="143">
        <f t="shared" si="11"/>
        <v>-209.00000000000003</v>
      </c>
      <c r="O253" s="143"/>
    </row>
    <row r="254" spans="1:15">
      <c r="A254" s="81">
        <f>'BC.115+260'!B253</f>
        <v>45491</v>
      </c>
      <c r="B254" s="143">
        <v>240</v>
      </c>
      <c r="C254" s="145">
        <f>'BC.115+260'!M253/1000</f>
        <v>2.0489999999999999</v>
      </c>
      <c r="D254" s="145">
        <f>'BC.115+260'!AA253</f>
        <v>2.4729999999999999</v>
      </c>
      <c r="E254" s="146">
        <f>'BC.115+260'!AB253</f>
        <v>2.0179999999999998</v>
      </c>
      <c r="F254" s="145">
        <f>VLOOKUP($A254,'BC.115+260'!$B$13:$X$489,8,0)/1000</f>
        <v>2.5529999999999999</v>
      </c>
      <c r="G254" s="145">
        <f>VLOOKUP($A254,'BC.115+260'!$B$13:$X$489,9,0)/1000</f>
        <v>-0.44700000000000001</v>
      </c>
      <c r="H254" s="145">
        <f>VLOOKUP($A254,'BC.115+260'!$B$13:$X$489,14,0)/1000</f>
        <v>2.5289999999999999</v>
      </c>
      <c r="I254" s="145">
        <f>VLOOKUP($A254,'BC.115+260'!$B$13:$X$489,15,0)/1000</f>
        <v>-0.47099999999999997</v>
      </c>
      <c r="J254" s="145">
        <f>VLOOKUP($A254,'BC.115+260'!$B$13:$X$489,20,0)/1000</f>
        <v>2.5409999999999999</v>
      </c>
      <c r="K254" s="145">
        <f>VLOOKUP($A254,'BC.115+260'!$B$13:$X$489,21,0)/1000</f>
        <v>-0.45900000000000002</v>
      </c>
      <c r="L254" s="143">
        <f t="shared" si="9"/>
        <v>-247</v>
      </c>
      <c r="M254" s="144">
        <f t="shared" si="10"/>
        <v>-251</v>
      </c>
      <c r="N254" s="143">
        <f t="shared" si="11"/>
        <v>-209.00000000000003</v>
      </c>
      <c r="O254" s="143"/>
    </row>
    <row r="255" spans="1:15">
      <c r="A255" s="81">
        <f>'BC.115+260'!B254</f>
        <v>45492</v>
      </c>
      <c r="B255" s="143">
        <v>241</v>
      </c>
      <c r="C255" s="145">
        <f>'BC.115+260'!M254/1000</f>
        <v>2.0489999999999999</v>
      </c>
      <c r="D255" s="145">
        <f>'BC.115+260'!AA254</f>
        <v>2.4729999999999999</v>
      </c>
      <c r="E255" s="146">
        <f>'BC.115+260'!AB254</f>
        <v>2.0179999999999998</v>
      </c>
      <c r="F255" s="145">
        <f>VLOOKUP($A255,'BC.115+260'!$B$13:$X$489,8,0)/1000</f>
        <v>2.5529999999999999</v>
      </c>
      <c r="G255" s="145">
        <f>VLOOKUP($A255,'BC.115+260'!$B$13:$X$489,9,0)/1000</f>
        <v>-0.44700000000000001</v>
      </c>
      <c r="H255" s="145">
        <f>VLOOKUP($A255,'BC.115+260'!$B$13:$X$489,14,0)/1000</f>
        <v>2.5289999999999999</v>
      </c>
      <c r="I255" s="145">
        <f>VLOOKUP($A255,'BC.115+260'!$B$13:$X$489,15,0)/1000</f>
        <v>-0.47099999999999997</v>
      </c>
      <c r="J255" s="145">
        <f>VLOOKUP($A255,'BC.115+260'!$B$13:$X$489,20,0)/1000</f>
        <v>2.5409999999999999</v>
      </c>
      <c r="K255" s="145">
        <f>VLOOKUP($A255,'BC.115+260'!$B$13:$X$489,21,0)/1000</f>
        <v>-0.45900000000000002</v>
      </c>
      <c r="L255" s="143">
        <f t="shared" si="9"/>
        <v>-247</v>
      </c>
      <c r="M255" s="144">
        <f t="shared" si="10"/>
        <v>-251</v>
      </c>
      <c r="N255" s="143">
        <f t="shared" si="11"/>
        <v>-209.00000000000003</v>
      </c>
      <c r="O255" s="143"/>
    </row>
    <row r="256" spans="1:15">
      <c r="A256" s="81">
        <f>'BC.115+260'!B255</f>
        <v>45493</v>
      </c>
      <c r="B256" s="143">
        <v>242</v>
      </c>
      <c r="C256" s="145">
        <f>'BC.115+260'!M255/1000</f>
        <v>2.0489999999999999</v>
      </c>
      <c r="D256" s="145">
        <f>'BC.115+260'!AA255</f>
        <v>2.4729999999999999</v>
      </c>
      <c r="E256" s="146">
        <f>'BC.115+260'!AB255</f>
        <v>2.0179999999999998</v>
      </c>
      <c r="F256" s="145">
        <f>VLOOKUP($A256,'BC.115+260'!$B$13:$X$489,8,0)/1000</f>
        <v>2.5529999999999999</v>
      </c>
      <c r="G256" s="145">
        <f>VLOOKUP($A256,'BC.115+260'!$B$13:$X$489,9,0)/1000</f>
        <v>-0.44700000000000001</v>
      </c>
      <c r="H256" s="145">
        <f>VLOOKUP($A256,'BC.115+260'!$B$13:$X$489,14,0)/1000</f>
        <v>2.5289999999999999</v>
      </c>
      <c r="I256" s="145">
        <f>VLOOKUP($A256,'BC.115+260'!$B$13:$X$489,15,0)/1000</f>
        <v>-0.47099999999999997</v>
      </c>
      <c r="J256" s="145">
        <f>VLOOKUP($A256,'BC.115+260'!$B$13:$X$489,20,0)/1000</f>
        <v>2.5409999999999999</v>
      </c>
      <c r="K256" s="145">
        <f>VLOOKUP($A256,'BC.115+260'!$B$13:$X$489,21,0)/1000</f>
        <v>-0.45900000000000002</v>
      </c>
      <c r="L256" s="143">
        <f t="shared" si="9"/>
        <v>-247</v>
      </c>
      <c r="M256" s="144">
        <f t="shared" si="10"/>
        <v>-251</v>
      </c>
      <c r="N256" s="143">
        <f t="shared" si="11"/>
        <v>-209.00000000000003</v>
      </c>
      <c r="O256" s="143"/>
    </row>
    <row r="257" spans="1:15">
      <c r="A257" s="81">
        <f>'BC.115+260'!B256</f>
        <v>45494</v>
      </c>
      <c r="B257" s="143">
        <v>243</v>
      </c>
      <c r="C257" s="145">
        <f>'BC.115+260'!M256/1000</f>
        <v>2.0489999999999999</v>
      </c>
      <c r="D257" s="145">
        <f>'BC.115+260'!AA256</f>
        <v>2.4729999999999999</v>
      </c>
      <c r="E257" s="146">
        <f>'BC.115+260'!AB256</f>
        <v>2.0179999999999998</v>
      </c>
      <c r="F257" s="145">
        <f>VLOOKUP($A257,'BC.115+260'!$B$13:$X$489,8,0)/1000</f>
        <v>2.5529999999999999</v>
      </c>
      <c r="G257" s="145">
        <f>VLOOKUP($A257,'BC.115+260'!$B$13:$X$489,9,0)/1000</f>
        <v>-0.44700000000000001</v>
      </c>
      <c r="H257" s="145">
        <f>VLOOKUP($A257,'BC.115+260'!$B$13:$X$489,14,0)/1000</f>
        <v>2.5289999999999999</v>
      </c>
      <c r="I257" s="145">
        <f>VLOOKUP($A257,'BC.115+260'!$B$13:$X$489,15,0)/1000</f>
        <v>-0.47099999999999997</v>
      </c>
      <c r="J257" s="145">
        <f>VLOOKUP($A257,'BC.115+260'!$B$13:$X$489,20,0)/1000</f>
        <v>2.5409999999999999</v>
      </c>
      <c r="K257" s="145">
        <f>VLOOKUP($A257,'BC.115+260'!$B$13:$X$489,21,0)/1000</f>
        <v>-0.45900000000000002</v>
      </c>
      <c r="L257" s="143">
        <f t="shared" si="9"/>
        <v>-247</v>
      </c>
      <c r="M257" s="144">
        <f t="shared" si="10"/>
        <v>-251</v>
      </c>
      <c r="N257" s="143">
        <f t="shared" si="11"/>
        <v>-209.00000000000003</v>
      </c>
      <c r="O257" s="143"/>
    </row>
    <row r="258" spans="1:15">
      <c r="A258" s="81">
        <f>'BC.115+260'!B257</f>
        <v>45495</v>
      </c>
      <c r="B258" s="143">
        <v>244</v>
      </c>
      <c r="C258" s="145">
        <f>'BC.115+260'!M257/1000</f>
        <v>2.0489999999999999</v>
      </c>
      <c r="D258" s="145">
        <f>'BC.115+260'!AA257</f>
        <v>2.4729999999999999</v>
      </c>
      <c r="E258" s="146">
        <f>'BC.115+260'!AB257</f>
        <v>2.0179999999999998</v>
      </c>
      <c r="F258" s="145">
        <f>VLOOKUP($A258,'BC.115+260'!$B$13:$X$489,8,0)/1000</f>
        <v>2.5529999999999999</v>
      </c>
      <c r="G258" s="145">
        <f>VLOOKUP($A258,'BC.115+260'!$B$13:$X$489,9,0)/1000</f>
        <v>-0.44700000000000001</v>
      </c>
      <c r="H258" s="145">
        <f>VLOOKUP($A258,'BC.115+260'!$B$13:$X$489,14,0)/1000</f>
        <v>2.5289999999999999</v>
      </c>
      <c r="I258" s="145">
        <f>VLOOKUP($A258,'BC.115+260'!$B$13:$X$489,15,0)/1000</f>
        <v>-0.47099999999999997</v>
      </c>
      <c r="J258" s="145">
        <f>VLOOKUP($A258,'BC.115+260'!$B$13:$X$489,20,0)/1000</f>
        <v>2.5409999999999999</v>
      </c>
      <c r="K258" s="145">
        <f>VLOOKUP($A258,'BC.115+260'!$B$13:$X$489,21,0)/1000</f>
        <v>-0.45900000000000002</v>
      </c>
      <c r="L258" s="143">
        <f t="shared" si="9"/>
        <v>-247</v>
      </c>
      <c r="M258" s="144">
        <f t="shared" si="10"/>
        <v>-251</v>
      </c>
      <c r="N258" s="143">
        <f t="shared" si="11"/>
        <v>-209.00000000000003</v>
      </c>
      <c r="O258" s="143"/>
    </row>
    <row r="259" spans="1:15">
      <c r="A259" s="81">
        <f>'BC.115+260'!B258</f>
        <v>45496</v>
      </c>
      <c r="B259" s="143">
        <v>245</v>
      </c>
      <c r="C259" s="145">
        <f>'BC.115+260'!M258/1000</f>
        <v>2.0489999999999999</v>
      </c>
      <c r="D259" s="145">
        <f>'BC.115+260'!AA258</f>
        <v>2.4729999999999999</v>
      </c>
      <c r="E259" s="146">
        <f>'BC.115+260'!AB258</f>
        <v>2.0179999999999998</v>
      </c>
      <c r="F259" s="145">
        <f>VLOOKUP($A259,'BC.115+260'!$B$13:$X$489,8,0)/1000</f>
        <v>2.5529999999999999</v>
      </c>
      <c r="G259" s="145">
        <f>VLOOKUP($A259,'BC.115+260'!$B$13:$X$489,9,0)/1000</f>
        <v>-0.44700000000000001</v>
      </c>
      <c r="H259" s="145">
        <f>VLOOKUP($A259,'BC.115+260'!$B$13:$X$489,14,0)/1000</f>
        <v>2.5289999999999999</v>
      </c>
      <c r="I259" s="145">
        <f>VLOOKUP($A259,'BC.115+260'!$B$13:$X$489,15,0)/1000</f>
        <v>-0.47099999999999997</v>
      </c>
      <c r="J259" s="145">
        <f>VLOOKUP($A259,'BC.115+260'!$B$13:$X$489,20,0)/1000</f>
        <v>2.5409999999999999</v>
      </c>
      <c r="K259" s="145">
        <f>VLOOKUP($A259,'BC.115+260'!$B$13:$X$489,21,0)/1000</f>
        <v>-0.45900000000000002</v>
      </c>
      <c r="L259" s="143">
        <f t="shared" si="9"/>
        <v>-247</v>
      </c>
      <c r="M259" s="144">
        <f t="shared" si="10"/>
        <v>-251</v>
      </c>
      <c r="N259" s="143">
        <f t="shared" si="11"/>
        <v>-209.00000000000003</v>
      </c>
      <c r="O259" s="143"/>
    </row>
    <row r="260" spans="1:15">
      <c r="A260" s="81">
        <f>'BC.115+260'!B259</f>
        <v>45497</v>
      </c>
      <c r="B260" s="143">
        <v>246</v>
      </c>
      <c r="C260" s="145">
        <f>'BC.115+260'!M259/1000</f>
        <v>2.0489999999999999</v>
      </c>
      <c r="D260" s="145">
        <f>'BC.115+260'!AA259</f>
        <v>2.4729999999999999</v>
      </c>
      <c r="E260" s="146">
        <f>'BC.115+260'!AB259</f>
        <v>2.0179999999999998</v>
      </c>
      <c r="F260" s="145">
        <f>VLOOKUP($A260,'BC.115+260'!$B$13:$X$489,8,0)/1000</f>
        <v>2.5529999999999999</v>
      </c>
      <c r="G260" s="145">
        <f>VLOOKUP($A260,'BC.115+260'!$B$13:$X$489,9,0)/1000</f>
        <v>-0.44700000000000001</v>
      </c>
      <c r="H260" s="145">
        <f>VLOOKUP($A260,'BC.115+260'!$B$13:$X$489,14,0)/1000</f>
        <v>2.5289999999999999</v>
      </c>
      <c r="I260" s="145">
        <f>VLOOKUP($A260,'BC.115+260'!$B$13:$X$489,15,0)/1000</f>
        <v>-0.47099999999999997</v>
      </c>
      <c r="J260" s="145">
        <f>VLOOKUP($A260,'BC.115+260'!$B$13:$X$489,20,0)/1000</f>
        <v>2.5409999999999999</v>
      </c>
      <c r="K260" s="145">
        <f>VLOOKUP($A260,'BC.115+260'!$B$13:$X$489,21,0)/1000</f>
        <v>-0.45900000000000002</v>
      </c>
      <c r="L260" s="143">
        <f t="shared" si="9"/>
        <v>-247</v>
      </c>
      <c r="M260" s="144">
        <f t="shared" si="10"/>
        <v>-251</v>
      </c>
      <c r="N260" s="143">
        <f t="shared" si="11"/>
        <v>-209.00000000000003</v>
      </c>
      <c r="O260" s="143"/>
    </row>
    <row r="261" spans="1:15">
      <c r="A261" s="81">
        <f>'BC.115+260'!B260</f>
        <v>45498</v>
      </c>
      <c r="B261" s="143">
        <v>247</v>
      </c>
      <c r="C261" s="145">
        <f>'BC.115+260'!M260/1000</f>
        <v>2.0489999999999999</v>
      </c>
      <c r="D261" s="145">
        <f>'BC.115+260'!AA260</f>
        <v>2.4729999999999999</v>
      </c>
      <c r="E261" s="146">
        <f>'BC.115+260'!AB260</f>
        <v>2.0179999999999998</v>
      </c>
      <c r="F261" s="145">
        <f>VLOOKUP($A261,'BC.115+260'!$B$13:$X$489,8,0)/1000</f>
        <v>2.5529999999999999</v>
      </c>
      <c r="G261" s="145">
        <f>VLOOKUP($A261,'BC.115+260'!$B$13:$X$489,9,0)/1000</f>
        <v>-0.44700000000000001</v>
      </c>
      <c r="H261" s="145">
        <f>VLOOKUP($A261,'BC.115+260'!$B$13:$X$489,14,0)/1000</f>
        <v>2.5289999999999999</v>
      </c>
      <c r="I261" s="145">
        <f>VLOOKUP($A261,'BC.115+260'!$B$13:$X$489,15,0)/1000</f>
        <v>-0.47099999999999997</v>
      </c>
      <c r="J261" s="145">
        <f>VLOOKUP($A261,'BC.115+260'!$B$13:$X$489,20,0)/1000</f>
        <v>2.5409999999999999</v>
      </c>
      <c r="K261" s="145">
        <f>VLOOKUP($A261,'BC.115+260'!$B$13:$X$489,21,0)/1000</f>
        <v>-0.45900000000000002</v>
      </c>
      <c r="L261" s="143">
        <f t="shared" si="9"/>
        <v>-247</v>
      </c>
      <c r="M261" s="144">
        <f t="shared" si="10"/>
        <v>-251</v>
      </c>
      <c r="N261" s="143">
        <f t="shared" si="11"/>
        <v>-209.00000000000003</v>
      </c>
      <c r="O261" s="143"/>
    </row>
    <row r="262" spans="1:15">
      <c r="A262" s="81">
        <f>'BC.115+260'!B261</f>
        <v>45499</v>
      </c>
      <c r="B262" s="143">
        <v>248</v>
      </c>
      <c r="C262" s="145">
        <f>'BC.115+260'!M261/1000</f>
        <v>2.0489999999999999</v>
      </c>
      <c r="D262" s="145">
        <f>'BC.115+260'!AA261</f>
        <v>2.4729999999999999</v>
      </c>
      <c r="E262" s="146">
        <f>'BC.115+260'!AB261</f>
        <v>2.0179999999999998</v>
      </c>
      <c r="F262" s="145">
        <f>VLOOKUP($A262,'BC.115+260'!$B$13:$X$489,8,0)/1000</f>
        <v>2.5529999999999999</v>
      </c>
      <c r="G262" s="145">
        <f>VLOOKUP($A262,'BC.115+260'!$B$13:$X$489,9,0)/1000</f>
        <v>-0.44700000000000001</v>
      </c>
      <c r="H262" s="145">
        <f>VLOOKUP($A262,'BC.115+260'!$B$13:$X$489,14,0)/1000</f>
        <v>2.5289999999999999</v>
      </c>
      <c r="I262" s="145">
        <f>VLOOKUP($A262,'BC.115+260'!$B$13:$X$489,15,0)/1000</f>
        <v>-0.47099999999999997</v>
      </c>
      <c r="J262" s="145">
        <f>VLOOKUP($A262,'BC.115+260'!$B$13:$X$489,20,0)/1000</f>
        <v>2.5409999999999999</v>
      </c>
      <c r="K262" s="145">
        <f>VLOOKUP($A262,'BC.115+260'!$B$13:$X$489,21,0)/1000</f>
        <v>-0.45900000000000002</v>
      </c>
      <c r="L262" s="143">
        <f t="shared" si="9"/>
        <v>-247</v>
      </c>
      <c r="M262" s="144">
        <f t="shared" si="10"/>
        <v>-251</v>
      </c>
      <c r="N262" s="143">
        <f t="shared" si="11"/>
        <v>-209.00000000000003</v>
      </c>
      <c r="O262" s="143"/>
    </row>
    <row r="263" spans="1:15">
      <c r="A263" s="81">
        <f>'BC.115+260'!B262</f>
        <v>45500</v>
      </c>
      <c r="B263" s="143">
        <v>249</v>
      </c>
      <c r="C263" s="145">
        <f>'BC.115+260'!M262/1000</f>
        <v>2.0489999999999999</v>
      </c>
      <c r="D263" s="145">
        <f>'BC.115+260'!AA262</f>
        <v>2.4729999999999999</v>
      </c>
      <c r="E263" s="146">
        <f>'BC.115+260'!AB262</f>
        <v>2.0179999999999998</v>
      </c>
      <c r="F263" s="145">
        <f>VLOOKUP($A263,'BC.115+260'!$B$13:$X$489,8,0)/1000</f>
        <v>2.5529999999999999</v>
      </c>
      <c r="G263" s="145">
        <f>VLOOKUP($A263,'BC.115+260'!$B$13:$X$489,9,0)/1000</f>
        <v>-0.44700000000000001</v>
      </c>
      <c r="H263" s="145">
        <f>VLOOKUP($A263,'BC.115+260'!$B$13:$X$489,14,0)/1000</f>
        <v>2.5289999999999999</v>
      </c>
      <c r="I263" s="145">
        <f>VLOOKUP($A263,'BC.115+260'!$B$13:$X$489,15,0)/1000</f>
        <v>-0.47099999999999997</v>
      </c>
      <c r="J263" s="145">
        <f>VLOOKUP($A263,'BC.115+260'!$B$13:$X$489,20,0)/1000</f>
        <v>2.5409999999999999</v>
      </c>
      <c r="K263" s="145">
        <f>VLOOKUP($A263,'BC.115+260'!$B$13:$X$489,21,0)/1000</f>
        <v>-0.45900000000000002</v>
      </c>
      <c r="L263" s="143">
        <f t="shared" si="9"/>
        <v>-247</v>
      </c>
      <c r="M263" s="144">
        <f t="shared" si="10"/>
        <v>-251</v>
      </c>
      <c r="N263" s="143">
        <f t="shared" si="11"/>
        <v>-209.00000000000003</v>
      </c>
      <c r="O263" s="143"/>
    </row>
    <row r="264" spans="1:15">
      <c r="A264" s="81">
        <f>'BC.115+260'!B263</f>
        <v>45501</v>
      </c>
      <c r="B264" s="143">
        <v>250</v>
      </c>
      <c r="C264" s="145">
        <f>'BC.115+260'!M263/1000</f>
        <v>2.0489999999999999</v>
      </c>
      <c r="D264" s="145">
        <f>'BC.115+260'!AA263</f>
        <v>2.4729999999999999</v>
      </c>
      <c r="E264" s="146">
        <f>'BC.115+260'!AB263</f>
        <v>2.0179999999999998</v>
      </c>
      <c r="F264" s="145">
        <f>VLOOKUP($A264,'BC.115+260'!$B$13:$X$489,8,0)/1000</f>
        <v>2.5529999999999999</v>
      </c>
      <c r="G264" s="145">
        <f>VLOOKUP($A264,'BC.115+260'!$B$13:$X$489,9,0)/1000</f>
        <v>-0.44700000000000001</v>
      </c>
      <c r="H264" s="145">
        <f>VLOOKUP($A264,'BC.115+260'!$B$13:$X$489,14,0)/1000</f>
        <v>2.5289999999999999</v>
      </c>
      <c r="I264" s="145">
        <f>VLOOKUP($A264,'BC.115+260'!$B$13:$X$489,15,0)/1000</f>
        <v>-0.47099999999999997</v>
      </c>
      <c r="J264" s="145">
        <f>VLOOKUP($A264,'BC.115+260'!$B$13:$X$489,20,0)/1000</f>
        <v>2.5409999999999999</v>
      </c>
      <c r="K264" s="145">
        <f>VLOOKUP($A264,'BC.115+260'!$B$13:$X$489,21,0)/1000</f>
        <v>-0.45900000000000002</v>
      </c>
      <c r="L264" s="143">
        <f t="shared" si="9"/>
        <v>-247</v>
      </c>
      <c r="M264" s="144">
        <f t="shared" si="10"/>
        <v>-251</v>
      </c>
      <c r="N264" s="143">
        <f t="shared" si="11"/>
        <v>-209.00000000000003</v>
      </c>
      <c r="O264" s="143"/>
    </row>
    <row r="265" spans="1:15">
      <c r="A265" s="81">
        <f>'BC.115+260'!B264</f>
        <v>45502</v>
      </c>
      <c r="B265" s="143">
        <v>251</v>
      </c>
      <c r="C265" s="145">
        <f>'BC.115+260'!M264/1000</f>
        <v>2.0489999999999999</v>
      </c>
      <c r="D265" s="145">
        <f>'BC.115+260'!AA264</f>
        <v>2.4729999999999999</v>
      </c>
      <c r="E265" s="146">
        <f>'BC.115+260'!AB264</f>
        <v>2.0179999999999998</v>
      </c>
      <c r="F265" s="145">
        <f>VLOOKUP($A265,'BC.115+260'!$B$13:$X$489,8,0)/1000</f>
        <v>2.5529999999999999</v>
      </c>
      <c r="G265" s="145">
        <f>VLOOKUP($A265,'BC.115+260'!$B$13:$X$489,9,0)/1000</f>
        <v>-0.44700000000000001</v>
      </c>
      <c r="H265" s="145">
        <f>VLOOKUP($A265,'BC.115+260'!$B$13:$X$489,14,0)/1000</f>
        <v>2.5289999999999999</v>
      </c>
      <c r="I265" s="145">
        <f>VLOOKUP($A265,'BC.115+260'!$B$13:$X$489,15,0)/1000</f>
        <v>-0.47099999999999997</v>
      </c>
      <c r="J265" s="145">
        <f>VLOOKUP($A265,'BC.115+260'!$B$13:$X$489,20,0)/1000</f>
        <v>2.5409999999999999</v>
      </c>
      <c r="K265" s="145">
        <f>VLOOKUP($A265,'BC.115+260'!$B$13:$X$489,21,0)/1000</f>
        <v>-0.45900000000000002</v>
      </c>
      <c r="L265" s="143">
        <f t="shared" si="9"/>
        <v>-247</v>
      </c>
      <c r="M265" s="144">
        <f t="shared" si="10"/>
        <v>-251</v>
      </c>
      <c r="N265" s="143">
        <f t="shared" si="11"/>
        <v>-209.00000000000003</v>
      </c>
      <c r="O265" s="143"/>
    </row>
    <row r="266" spans="1:15">
      <c r="A266" s="81">
        <f>'BC.115+260'!B265</f>
        <v>45503</v>
      </c>
      <c r="B266" s="143">
        <v>252</v>
      </c>
      <c r="C266" s="145">
        <f>'BC.115+260'!M265/1000</f>
        <v>2.0489999999999999</v>
      </c>
      <c r="D266" s="145">
        <f>'BC.115+260'!AA265</f>
        <v>2.4729999999999999</v>
      </c>
      <c r="E266" s="146">
        <f>'BC.115+260'!AB265</f>
        <v>2.0179999999999998</v>
      </c>
      <c r="F266" s="145">
        <f>VLOOKUP($A266,'BC.115+260'!$B$13:$X$489,8,0)/1000</f>
        <v>2.5529999999999999</v>
      </c>
      <c r="G266" s="145">
        <f>VLOOKUP($A266,'BC.115+260'!$B$13:$X$489,9,0)/1000</f>
        <v>-0.44700000000000001</v>
      </c>
      <c r="H266" s="145">
        <f>VLOOKUP($A266,'BC.115+260'!$B$13:$X$489,14,0)/1000</f>
        <v>2.5289999999999999</v>
      </c>
      <c r="I266" s="145">
        <f>VLOOKUP($A266,'BC.115+260'!$B$13:$X$489,15,0)/1000</f>
        <v>-0.47099999999999997</v>
      </c>
      <c r="J266" s="145">
        <f>VLOOKUP($A266,'BC.115+260'!$B$13:$X$489,20,0)/1000</f>
        <v>2.5409999999999999</v>
      </c>
      <c r="K266" s="145">
        <f>VLOOKUP($A266,'BC.115+260'!$B$13:$X$489,21,0)/1000</f>
        <v>-0.45900000000000002</v>
      </c>
      <c r="L266" s="143">
        <f t="shared" si="9"/>
        <v>-247</v>
      </c>
      <c r="M266" s="144">
        <f t="shared" si="10"/>
        <v>-251</v>
      </c>
      <c r="N266" s="143">
        <f t="shared" si="11"/>
        <v>-209.00000000000003</v>
      </c>
      <c r="O266" s="143"/>
    </row>
    <row r="267" spans="1:15">
      <c r="A267" s="81">
        <f>'BC.115+260'!B266</f>
        <v>45504</v>
      </c>
      <c r="B267" s="143">
        <v>253</v>
      </c>
      <c r="C267" s="145">
        <f>'BC.115+260'!M266/1000</f>
        <v>2.0489999999999999</v>
      </c>
      <c r="D267" s="145">
        <f>'BC.115+260'!AA266</f>
        <v>2.4729999999999999</v>
      </c>
      <c r="E267" s="146">
        <f>'BC.115+260'!AB266</f>
        <v>2.0179999999999998</v>
      </c>
      <c r="F267" s="145">
        <f>VLOOKUP($A267,'BC.115+260'!$B$13:$X$489,8,0)/1000</f>
        <v>2.5529999999999999</v>
      </c>
      <c r="G267" s="145">
        <f>VLOOKUP($A267,'BC.115+260'!$B$13:$X$489,9,0)/1000</f>
        <v>-0.44700000000000001</v>
      </c>
      <c r="H267" s="145">
        <f>VLOOKUP($A267,'BC.115+260'!$B$13:$X$489,14,0)/1000</f>
        <v>2.5289999999999999</v>
      </c>
      <c r="I267" s="145">
        <f>VLOOKUP($A267,'BC.115+260'!$B$13:$X$489,15,0)/1000</f>
        <v>-0.47099999999999997</v>
      </c>
      <c r="J267" s="145">
        <f>VLOOKUP($A267,'BC.115+260'!$B$13:$X$489,20,0)/1000</f>
        <v>2.5409999999999999</v>
      </c>
      <c r="K267" s="145">
        <f>VLOOKUP($A267,'BC.115+260'!$B$13:$X$489,21,0)/1000</f>
        <v>-0.45900000000000002</v>
      </c>
      <c r="L267" s="143">
        <f t="shared" si="9"/>
        <v>-247</v>
      </c>
      <c r="M267" s="144">
        <f t="shared" si="10"/>
        <v>-251</v>
      </c>
      <c r="N267" s="143">
        <f t="shared" si="11"/>
        <v>-209.00000000000003</v>
      </c>
      <c r="O267" s="143"/>
    </row>
    <row r="268" spans="1:15">
      <c r="A268" s="81">
        <f>'BC.115+260'!B267</f>
        <v>45505</v>
      </c>
      <c r="B268" s="143">
        <v>254</v>
      </c>
      <c r="C268" s="145">
        <f>'BC.115+260'!M267/1000</f>
        <v>2.0489999999999999</v>
      </c>
      <c r="D268" s="145">
        <f>'BC.115+260'!AA267</f>
        <v>2.4729999999999999</v>
      </c>
      <c r="E268" s="146">
        <f>'BC.115+260'!AB267</f>
        <v>2.0179999999999998</v>
      </c>
      <c r="F268" s="145">
        <f>VLOOKUP($A268,'BC.115+260'!$B$13:$X$489,8,0)/1000</f>
        <v>2.5529999999999999</v>
      </c>
      <c r="G268" s="145">
        <f>VLOOKUP($A268,'BC.115+260'!$B$13:$X$489,9,0)/1000</f>
        <v>-0.44700000000000001</v>
      </c>
      <c r="H268" s="145">
        <f>VLOOKUP($A268,'BC.115+260'!$B$13:$X$489,14,0)/1000</f>
        <v>2.5289999999999999</v>
      </c>
      <c r="I268" s="145">
        <f>VLOOKUP($A268,'BC.115+260'!$B$13:$X$489,15,0)/1000</f>
        <v>-0.47099999999999997</v>
      </c>
      <c r="J268" s="145">
        <f>VLOOKUP($A268,'BC.115+260'!$B$13:$X$489,20,0)/1000</f>
        <v>2.5409999999999999</v>
      </c>
      <c r="K268" s="145">
        <f>VLOOKUP($A268,'BC.115+260'!$B$13:$X$489,21,0)/1000</f>
        <v>-0.45900000000000002</v>
      </c>
      <c r="L268" s="143">
        <f t="shared" si="9"/>
        <v>-247</v>
      </c>
      <c r="M268" s="144">
        <f t="shared" si="10"/>
        <v>-251</v>
      </c>
      <c r="N268" s="143">
        <f t="shared" si="11"/>
        <v>-209.00000000000003</v>
      </c>
      <c r="O268" s="143"/>
    </row>
    <row r="269" spans="1:15">
      <c r="A269" s="81">
        <f>'BC.115+260'!B268</f>
        <v>45506</v>
      </c>
      <c r="B269" s="143">
        <v>255</v>
      </c>
      <c r="C269" s="145">
        <f>'BC.115+260'!M268/1000</f>
        <v>2.0489999999999999</v>
      </c>
      <c r="D269" s="145">
        <f>'BC.115+260'!AA268</f>
        <v>2.4729999999999999</v>
      </c>
      <c r="E269" s="146">
        <f>'BC.115+260'!AB268</f>
        <v>2.0179999999999998</v>
      </c>
      <c r="F269" s="145">
        <f>VLOOKUP($A269,'BC.115+260'!$B$13:$X$489,8,0)/1000</f>
        <v>2.5529999999999999</v>
      </c>
      <c r="G269" s="145">
        <f>VLOOKUP($A269,'BC.115+260'!$B$13:$X$489,9,0)/1000</f>
        <v>-0.44700000000000001</v>
      </c>
      <c r="H269" s="145">
        <f>VLOOKUP($A269,'BC.115+260'!$B$13:$X$489,14,0)/1000</f>
        <v>2.5289999999999999</v>
      </c>
      <c r="I269" s="145">
        <f>VLOOKUP($A269,'BC.115+260'!$B$13:$X$489,15,0)/1000</f>
        <v>-0.47099999999999997</v>
      </c>
      <c r="J269" s="145">
        <f>VLOOKUP($A269,'BC.115+260'!$B$13:$X$489,20,0)/1000</f>
        <v>2.5409999999999999</v>
      </c>
      <c r="K269" s="145">
        <f>VLOOKUP($A269,'BC.115+260'!$B$13:$X$489,21,0)/1000</f>
        <v>-0.45900000000000002</v>
      </c>
      <c r="L269" s="143">
        <f t="shared" si="9"/>
        <v>-247</v>
      </c>
      <c r="M269" s="144">
        <f t="shared" si="10"/>
        <v>-251</v>
      </c>
      <c r="N269" s="143">
        <f t="shared" si="11"/>
        <v>-209.00000000000003</v>
      </c>
      <c r="O269" s="143"/>
    </row>
    <row r="270" spans="1:15">
      <c r="A270" s="81">
        <f>'BC.115+260'!B269</f>
        <v>45507</v>
      </c>
      <c r="B270" s="143">
        <v>256</v>
      </c>
      <c r="C270" s="145">
        <f>'BC.115+260'!M269/1000</f>
        <v>2.0489999999999999</v>
      </c>
      <c r="D270" s="145">
        <f>'BC.115+260'!AA269</f>
        <v>2.4729999999999999</v>
      </c>
      <c r="E270" s="146">
        <f>'BC.115+260'!AB269</f>
        <v>2.0179999999999998</v>
      </c>
      <c r="F270" s="145">
        <f>VLOOKUP($A270,'BC.115+260'!$B$13:$X$489,8,0)/1000</f>
        <v>2.5529999999999999</v>
      </c>
      <c r="G270" s="145">
        <f>VLOOKUP($A270,'BC.115+260'!$B$13:$X$489,9,0)/1000</f>
        <v>-0.44700000000000001</v>
      </c>
      <c r="H270" s="145">
        <f>VLOOKUP($A270,'BC.115+260'!$B$13:$X$489,14,0)/1000</f>
        <v>2.5289999999999999</v>
      </c>
      <c r="I270" s="145">
        <f>VLOOKUP($A270,'BC.115+260'!$B$13:$X$489,15,0)/1000</f>
        <v>-0.47099999999999997</v>
      </c>
      <c r="J270" s="145">
        <f>VLOOKUP($A270,'BC.115+260'!$B$13:$X$489,20,0)/1000</f>
        <v>2.5409999999999999</v>
      </c>
      <c r="K270" s="145">
        <f>VLOOKUP($A270,'BC.115+260'!$B$13:$X$489,21,0)/1000</f>
        <v>-0.45900000000000002</v>
      </c>
      <c r="L270" s="143">
        <f t="shared" ref="L270:L333" si="12">(G270-$G$14)*1000</f>
        <v>-247</v>
      </c>
      <c r="M270" s="144">
        <f t="shared" ref="M270:M333" si="13">(I270-$I$14)*1000</f>
        <v>-251</v>
      </c>
      <c r="N270" s="143">
        <f t="shared" si="11"/>
        <v>-209.00000000000003</v>
      </c>
      <c r="O270" s="143"/>
    </row>
    <row r="271" spans="1:15">
      <c r="A271" s="81">
        <f>'BC.115+260'!B270</f>
        <v>45508</v>
      </c>
      <c r="B271" s="143">
        <v>257</v>
      </c>
      <c r="C271" s="145">
        <f>'BC.115+260'!M270/1000</f>
        <v>2.0489999999999999</v>
      </c>
      <c r="D271" s="145">
        <f>'BC.115+260'!AA270</f>
        <v>2.4729999999999999</v>
      </c>
      <c r="E271" s="146">
        <f>'BC.115+260'!AB270</f>
        <v>2.0179999999999998</v>
      </c>
      <c r="F271" s="145">
        <f>VLOOKUP($A271,'BC.115+260'!$B$13:$X$489,8,0)/1000</f>
        <v>2.5529999999999999</v>
      </c>
      <c r="G271" s="145">
        <f>VLOOKUP($A271,'BC.115+260'!$B$13:$X$489,9,0)/1000</f>
        <v>-0.44700000000000001</v>
      </c>
      <c r="H271" s="145">
        <f>VLOOKUP($A271,'BC.115+260'!$B$13:$X$489,14,0)/1000</f>
        <v>2.5289999999999999</v>
      </c>
      <c r="I271" s="145">
        <f>VLOOKUP($A271,'BC.115+260'!$B$13:$X$489,15,0)/1000</f>
        <v>-0.47099999999999997</v>
      </c>
      <c r="J271" s="145">
        <f>VLOOKUP($A271,'BC.115+260'!$B$13:$X$489,20,0)/1000</f>
        <v>2.5409999999999999</v>
      </c>
      <c r="K271" s="145">
        <f>VLOOKUP($A271,'BC.115+260'!$B$13:$X$489,21,0)/1000</f>
        <v>-0.45900000000000002</v>
      </c>
      <c r="L271" s="143">
        <f t="shared" si="12"/>
        <v>-247</v>
      </c>
      <c r="M271" s="144">
        <f t="shared" si="13"/>
        <v>-251</v>
      </c>
      <c r="N271" s="143">
        <f t="shared" ref="N271:N334" si="14">(K271-$K$14)*1000</f>
        <v>-209.00000000000003</v>
      </c>
      <c r="O271" s="143"/>
    </row>
    <row r="272" spans="1:15">
      <c r="A272" s="81">
        <f>'BC.115+260'!B271</f>
        <v>45509</v>
      </c>
      <c r="B272" s="143">
        <v>258</v>
      </c>
      <c r="C272" s="145">
        <f>'BC.115+260'!M271/1000</f>
        <v>2.0489999999999999</v>
      </c>
      <c r="D272" s="145">
        <f>'BC.115+260'!AA271</f>
        <v>2.4729999999999999</v>
      </c>
      <c r="E272" s="146">
        <f>'BC.115+260'!AB271</f>
        <v>2.0179999999999998</v>
      </c>
      <c r="F272" s="145">
        <f>VLOOKUP($A272,'BC.115+260'!$B$13:$X$489,8,0)/1000</f>
        <v>2.5529999999999999</v>
      </c>
      <c r="G272" s="145">
        <f>VLOOKUP($A272,'BC.115+260'!$B$13:$X$489,9,0)/1000</f>
        <v>-0.44700000000000001</v>
      </c>
      <c r="H272" s="145">
        <f>VLOOKUP($A272,'BC.115+260'!$B$13:$X$489,14,0)/1000</f>
        <v>2.5289999999999999</v>
      </c>
      <c r="I272" s="145">
        <f>VLOOKUP($A272,'BC.115+260'!$B$13:$X$489,15,0)/1000</f>
        <v>-0.47099999999999997</v>
      </c>
      <c r="J272" s="145">
        <f>VLOOKUP($A272,'BC.115+260'!$B$13:$X$489,20,0)/1000</f>
        <v>2.5409999999999999</v>
      </c>
      <c r="K272" s="145">
        <f>VLOOKUP($A272,'BC.115+260'!$B$13:$X$489,21,0)/1000</f>
        <v>-0.45900000000000002</v>
      </c>
      <c r="L272" s="143">
        <f t="shared" si="12"/>
        <v>-247</v>
      </c>
      <c r="M272" s="144">
        <f t="shared" si="13"/>
        <v>-251</v>
      </c>
      <c r="N272" s="143">
        <f t="shared" si="14"/>
        <v>-209.00000000000003</v>
      </c>
      <c r="O272" s="143"/>
    </row>
    <row r="273" spans="1:15">
      <c r="A273" s="81">
        <f>'BC.115+260'!B272</f>
        <v>45510</v>
      </c>
      <c r="B273" s="143">
        <v>259</v>
      </c>
      <c r="C273" s="145">
        <f>'BC.115+260'!M272/1000</f>
        <v>2.0489999999999999</v>
      </c>
      <c r="D273" s="145">
        <f>'BC.115+260'!AA272</f>
        <v>2.4729999999999999</v>
      </c>
      <c r="E273" s="146">
        <f>'BC.115+260'!AB272</f>
        <v>2.0179999999999998</v>
      </c>
      <c r="F273" s="145">
        <f>VLOOKUP($A273,'BC.115+260'!$B$13:$X$489,8,0)/1000</f>
        <v>2.5529999999999999</v>
      </c>
      <c r="G273" s="145">
        <f>VLOOKUP($A273,'BC.115+260'!$B$13:$X$489,9,0)/1000</f>
        <v>-0.44700000000000001</v>
      </c>
      <c r="H273" s="145">
        <f>VLOOKUP($A273,'BC.115+260'!$B$13:$X$489,14,0)/1000</f>
        <v>2.5289999999999999</v>
      </c>
      <c r="I273" s="145">
        <f>VLOOKUP($A273,'BC.115+260'!$B$13:$X$489,15,0)/1000</f>
        <v>-0.47099999999999997</v>
      </c>
      <c r="J273" s="145">
        <f>VLOOKUP($A273,'BC.115+260'!$B$13:$X$489,20,0)/1000</f>
        <v>2.5409999999999999</v>
      </c>
      <c r="K273" s="145">
        <f>VLOOKUP($A273,'BC.115+260'!$B$13:$X$489,21,0)/1000</f>
        <v>-0.45900000000000002</v>
      </c>
      <c r="L273" s="143">
        <f t="shared" si="12"/>
        <v>-247</v>
      </c>
      <c r="M273" s="144">
        <f t="shared" si="13"/>
        <v>-251</v>
      </c>
      <c r="N273" s="143">
        <f t="shared" si="14"/>
        <v>-209.00000000000003</v>
      </c>
      <c r="O273" s="143"/>
    </row>
    <row r="274" spans="1:15">
      <c r="A274" s="81">
        <f>'BC.115+260'!B273</f>
        <v>45511</v>
      </c>
      <c r="B274" s="143">
        <f t="shared" ref="B274:B337" si="15">+B273+1</f>
        <v>260</v>
      </c>
      <c r="C274" s="145">
        <f>'BC.115+260'!M273/1000</f>
        <v>2.0489999999999999</v>
      </c>
      <c r="D274" s="145">
        <f>'BC.115+260'!AA273</f>
        <v>2.4729999999999999</v>
      </c>
      <c r="E274" s="146">
        <f>'BC.115+260'!AB273</f>
        <v>2.0179999999999998</v>
      </c>
      <c r="F274" s="145">
        <f>VLOOKUP($A274,'BC.115+260'!$B$13:$X$489,8,0)/1000</f>
        <v>2.5529999999999999</v>
      </c>
      <c r="G274" s="145">
        <f>VLOOKUP($A274,'BC.115+260'!$B$13:$X$489,9,0)/1000</f>
        <v>-0.44700000000000001</v>
      </c>
      <c r="H274" s="145">
        <f>VLOOKUP($A274,'BC.115+260'!$B$13:$X$489,14,0)/1000</f>
        <v>2.5289999999999999</v>
      </c>
      <c r="I274" s="145">
        <f>VLOOKUP($A274,'BC.115+260'!$B$13:$X$489,15,0)/1000</f>
        <v>-0.47099999999999997</v>
      </c>
      <c r="J274" s="145">
        <f>VLOOKUP($A274,'BC.115+260'!$B$13:$X$489,20,0)/1000</f>
        <v>2.5409999999999999</v>
      </c>
      <c r="K274" s="145">
        <f>VLOOKUP($A274,'BC.115+260'!$B$13:$X$489,21,0)/1000</f>
        <v>-0.45900000000000002</v>
      </c>
      <c r="L274" s="143">
        <f t="shared" si="12"/>
        <v>-247</v>
      </c>
      <c r="M274" s="144">
        <f t="shared" si="13"/>
        <v>-251</v>
      </c>
      <c r="N274" s="143">
        <f t="shared" si="14"/>
        <v>-209.00000000000003</v>
      </c>
      <c r="O274" s="143"/>
    </row>
    <row r="275" spans="1:15">
      <c r="A275" s="81">
        <f>'BC.115+260'!B274</f>
        <v>45512</v>
      </c>
      <c r="B275" s="143">
        <f t="shared" si="15"/>
        <v>261</v>
      </c>
      <c r="C275" s="145">
        <f>'BC.115+260'!M274/1000</f>
        <v>2.0489999999999999</v>
      </c>
      <c r="D275" s="145">
        <f>'BC.115+260'!AA274</f>
        <v>2.4729999999999999</v>
      </c>
      <c r="E275" s="146">
        <f>'BC.115+260'!AB274</f>
        <v>2.0179999999999998</v>
      </c>
      <c r="F275" s="145">
        <f>VLOOKUP($A275,'BC.115+260'!$B$13:$X$489,8,0)/1000</f>
        <v>2.5529999999999999</v>
      </c>
      <c r="G275" s="145">
        <f>VLOOKUP($A275,'BC.115+260'!$B$13:$X$489,9,0)/1000</f>
        <v>-0.44700000000000001</v>
      </c>
      <c r="H275" s="145">
        <f>VLOOKUP($A275,'BC.115+260'!$B$13:$X$489,14,0)/1000</f>
        <v>2.5289999999999999</v>
      </c>
      <c r="I275" s="145">
        <f>VLOOKUP($A275,'BC.115+260'!$B$13:$X$489,15,0)/1000</f>
        <v>-0.47099999999999997</v>
      </c>
      <c r="J275" s="145">
        <f>VLOOKUP($A275,'BC.115+260'!$B$13:$X$489,20,0)/1000</f>
        <v>2.5409999999999999</v>
      </c>
      <c r="K275" s="145">
        <f>VLOOKUP($A275,'BC.115+260'!$B$13:$X$489,21,0)/1000</f>
        <v>-0.45900000000000002</v>
      </c>
      <c r="L275" s="143">
        <f t="shared" si="12"/>
        <v>-247</v>
      </c>
      <c r="M275" s="144">
        <f t="shared" si="13"/>
        <v>-251</v>
      </c>
      <c r="N275" s="143">
        <f t="shared" si="14"/>
        <v>-209.00000000000003</v>
      </c>
      <c r="O275" s="143"/>
    </row>
    <row r="276" spans="1:15">
      <c r="A276" s="81">
        <f>'BC.115+260'!B275</f>
        <v>45513</v>
      </c>
      <c r="B276" s="143">
        <f t="shared" si="15"/>
        <v>262</v>
      </c>
      <c r="C276" s="145">
        <f>'BC.115+260'!M275/1000</f>
        <v>2.0489999999999999</v>
      </c>
      <c r="D276" s="145">
        <f>'BC.115+260'!AA275</f>
        <v>2.4729999999999999</v>
      </c>
      <c r="E276" s="146">
        <f>'BC.115+260'!AB275</f>
        <v>2.0179999999999998</v>
      </c>
      <c r="F276" s="145">
        <f>VLOOKUP($A276,'BC.115+260'!$B$13:$X$489,8,0)/1000</f>
        <v>2.5529999999999999</v>
      </c>
      <c r="G276" s="145">
        <f>VLOOKUP($A276,'BC.115+260'!$B$13:$X$489,9,0)/1000</f>
        <v>-0.44700000000000001</v>
      </c>
      <c r="H276" s="145">
        <f>VLOOKUP($A276,'BC.115+260'!$B$13:$X$489,14,0)/1000</f>
        <v>2.5289999999999999</v>
      </c>
      <c r="I276" s="145">
        <f>VLOOKUP($A276,'BC.115+260'!$B$13:$X$489,15,0)/1000</f>
        <v>-0.47099999999999997</v>
      </c>
      <c r="J276" s="145">
        <f>VLOOKUP($A276,'BC.115+260'!$B$13:$X$489,20,0)/1000</f>
        <v>2.5409999999999999</v>
      </c>
      <c r="K276" s="145">
        <f>VLOOKUP($A276,'BC.115+260'!$B$13:$X$489,21,0)/1000</f>
        <v>-0.45900000000000002</v>
      </c>
      <c r="L276" s="143">
        <f t="shared" si="12"/>
        <v>-247</v>
      </c>
      <c r="M276" s="144">
        <f t="shared" si="13"/>
        <v>-251</v>
      </c>
      <c r="N276" s="143">
        <f t="shared" si="14"/>
        <v>-209.00000000000003</v>
      </c>
      <c r="O276" s="143"/>
    </row>
    <row r="277" spans="1:15">
      <c r="A277" s="81">
        <f>'BC.115+260'!B276</f>
        <v>45514</v>
      </c>
      <c r="B277" s="143">
        <f t="shared" si="15"/>
        <v>263</v>
      </c>
      <c r="C277" s="145">
        <f>'BC.115+260'!M276/1000</f>
        <v>2.0489999999999999</v>
      </c>
      <c r="D277" s="145">
        <f>'BC.115+260'!AA276</f>
        <v>2.4729999999999999</v>
      </c>
      <c r="E277" s="146">
        <f>'BC.115+260'!AB276</f>
        <v>2.0179999999999998</v>
      </c>
      <c r="F277" s="145">
        <f>VLOOKUP($A277,'BC.115+260'!$B$13:$X$489,8,0)/1000</f>
        <v>2.5529999999999999</v>
      </c>
      <c r="G277" s="145">
        <f>VLOOKUP($A277,'BC.115+260'!$B$13:$X$489,9,0)/1000</f>
        <v>-0.44700000000000001</v>
      </c>
      <c r="H277" s="145">
        <f>VLOOKUP($A277,'BC.115+260'!$B$13:$X$489,14,0)/1000</f>
        <v>2.5289999999999999</v>
      </c>
      <c r="I277" s="145">
        <f>VLOOKUP($A277,'BC.115+260'!$B$13:$X$489,15,0)/1000</f>
        <v>-0.47099999999999997</v>
      </c>
      <c r="J277" s="145">
        <f>VLOOKUP($A277,'BC.115+260'!$B$13:$X$489,20,0)/1000</f>
        <v>2.5409999999999999</v>
      </c>
      <c r="K277" s="145">
        <f>VLOOKUP($A277,'BC.115+260'!$B$13:$X$489,21,0)/1000</f>
        <v>-0.45900000000000002</v>
      </c>
      <c r="L277" s="143">
        <f t="shared" si="12"/>
        <v>-247</v>
      </c>
      <c r="M277" s="144">
        <f t="shared" si="13"/>
        <v>-251</v>
      </c>
      <c r="N277" s="143">
        <f t="shared" si="14"/>
        <v>-209.00000000000003</v>
      </c>
      <c r="O277" s="143"/>
    </row>
    <row r="278" spans="1:15">
      <c r="A278" s="81">
        <f>'BC.115+260'!B277</f>
        <v>45515</v>
      </c>
      <c r="B278" s="143">
        <f t="shared" si="15"/>
        <v>264</v>
      </c>
      <c r="C278" s="145">
        <f>'BC.115+260'!M277/1000</f>
        <v>2.0489999999999999</v>
      </c>
      <c r="D278" s="145">
        <f>'BC.115+260'!AA277</f>
        <v>2.4729999999999999</v>
      </c>
      <c r="E278" s="146">
        <f>'BC.115+260'!AB277</f>
        <v>2.0179999999999998</v>
      </c>
      <c r="F278" s="145">
        <f>VLOOKUP($A278,'BC.115+260'!$B$13:$X$489,8,0)/1000</f>
        <v>2.5529999999999999</v>
      </c>
      <c r="G278" s="145">
        <f>VLOOKUP($A278,'BC.115+260'!$B$13:$X$489,9,0)/1000</f>
        <v>-0.44700000000000001</v>
      </c>
      <c r="H278" s="145">
        <f>VLOOKUP($A278,'BC.115+260'!$B$13:$X$489,14,0)/1000</f>
        <v>2.5289999999999999</v>
      </c>
      <c r="I278" s="145">
        <f>VLOOKUP($A278,'BC.115+260'!$B$13:$X$489,15,0)/1000</f>
        <v>-0.47099999999999997</v>
      </c>
      <c r="J278" s="145">
        <f>VLOOKUP($A278,'BC.115+260'!$B$13:$X$489,20,0)/1000</f>
        <v>2.5409999999999999</v>
      </c>
      <c r="K278" s="145">
        <f>VLOOKUP($A278,'BC.115+260'!$B$13:$X$489,21,0)/1000</f>
        <v>-0.45900000000000002</v>
      </c>
      <c r="L278" s="143">
        <f t="shared" si="12"/>
        <v>-247</v>
      </c>
      <c r="M278" s="144">
        <f t="shared" si="13"/>
        <v>-251</v>
      </c>
      <c r="N278" s="143">
        <f t="shared" si="14"/>
        <v>-209.00000000000003</v>
      </c>
      <c r="O278" s="143"/>
    </row>
    <row r="279" spans="1:15">
      <c r="A279" s="81">
        <f>'BC.115+260'!B278</f>
        <v>45516</v>
      </c>
      <c r="B279" s="143">
        <f t="shared" si="15"/>
        <v>265</v>
      </c>
      <c r="C279" s="145">
        <f>'BC.115+260'!M278/1000</f>
        <v>2.0489999999999999</v>
      </c>
      <c r="D279" s="145">
        <f>'BC.115+260'!AA278</f>
        <v>2.4729999999999999</v>
      </c>
      <c r="E279" s="146">
        <f>'BC.115+260'!AB278</f>
        <v>2.0179999999999998</v>
      </c>
      <c r="F279" s="145">
        <f>VLOOKUP($A279,'BC.115+260'!$B$13:$X$489,8,0)/1000</f>
        <v>2.5529999999999999</v>
      </c>
      <c r="G279" s="145">
        <f>VLOOKUP($A279,'BC.115+260'!$B$13:$X$489,9,0)/1000</f>
        <v>-0.44700000000000001</v>
      </c>
      <c r="H279" s="145">
        <f>VLOOKUP($A279,'BC.115+260'!$B$13:$X$489,14,0)/1000</f>
        <v>2.5289999999999999</v>
      </c>
      <c r="I279" s="145">
        <f>VLOOKUP($A279,'BC.115+260'!$B$13:$X$489,15,0)/1000</f>
        <v>-0.47099999999999997</v>
      </c>
      <c r="J279" s="145">
        <f>VLOOKUP($A279,'BC.115+260'!$B$13:$X$489,20,0)/1000</f>
        <v>2.5409999999999999</v>
      </c>
      <c r="K279" s="145">
        <f>VLOOKUP($A279,'BC.115+260'!$B$13:$X$489,21,0)/1000</f>
        <v>-0.45900000000000002</v>
      </c>
      <c r="L279" s="143">
        <f t="shared" si="12"/>
        <v>-247</v>
      </c>
      <c r="M279" s="144">
        <f t="shared" si="13"/>
        <v>-251</v>
      </c>
      <c r="N279" s="143">
        <f t="shared" si="14"/>
        <v>-209.00000000000003</v>
      </c>
      <c r="O279" s="143"/>
    </row>
    <row r="280" spans="1:15">
      <c r="A280" s="81">
        <f>'BC.115+260'!B279</f>
        <v>45517</v>
      </c>
      <c r="B280" s="143">
        <f t="shared" si="15"/>
        <v>266</v>
      </c>
      <c r="C280" s="145">
        <f>'BC.115+260'!M279/1000</f>
        <v>2.0489999999999999</v>
      </c>
      <c r="D280" s="145">
        <f>'BC.115+260'!AA279</f>
        <v>2.4729999999999999</v>
      </c>
      <c r="E280" s="146">
        <f>'BC.115+260'!AB279</f>
        <v>2.0179999999999998</v>
      </c>
      <c r="F280" s="145">
        <f>VLOOKUP($A280,'BC.115+260'!$B$13:$X$489,8,0)/1000</f>
        <v>2.5529999999999999</v>
      </c>
      <c r="G280" s="145">
        <f>VLOOKUP($A280,'BC.115+260'!$B$13:$X$489,9,0)/1000</f>
        <v>-0.44700000000000001</v>
      </c>
      <c r="H280" s="145">
        <f>VLOOKUP($A280,'BC.115+260'!$B$13:$X$489,14,0)/1000</f>
        <v>2.5289999999999999</v>
      </c>
      <c r="I280" s="145">
        <f>VLOOKUP($A280,'BC.115+260'!$B$13:$X$489,15,0)/1000</f>
        <v>-0.47099999999999997</v>
      </c>
      <c r="J280" s="145">
        <f>VLOOKUP($A280,'BC.115+260'!$B$13:$X$489,20,0)/1000</f>
        <v>2.5409999999999999</v>
      </c>
      <c r="K280" s="145">
        <f>VLOOKUP($A280,'BC.115+260'!$B$13:$X$489,21,0)/1000</f>
        <v>-0.45900000000000002</v>
      </c>
      <c r="L280" s="143">
        <f t="shared" si="12"/>
        <v>-247</v>
      </c>
      <c r="M280" s="144">
        <f t="shared" si="13"/>
        <v>-251</v>
      </c>
      <c r="N280" s="143">
        <f t="shared" si="14"/>
        <v>-209.00000000000003</v>
      </c>
      <c r="O280" s="143"/>
    </row>
    <row r="281" spans="1:15">
      <c r="A281" s="81">
        <f>'BC.115+260'!B280</f>
        <v>45518</v>
      </c>
      <c r="B281" s="143">
        <f t="shared" si="15"/>
        <v>267</v>
      </c>
      <c r="C281" s="145">
        <f>'BC.115+260'!M280/1000</f>
        <v>2.0489999999999999</v>
      </c>
      <c r="D281" s="145">
        <f>'BC.115+260'!AA280</f>
        <v>2.4729999999999999</v>
      </c>
      <c r="E281" s="146">
        <f>'BC.115+260'!AB280</f>
        <v>2.0179999999999998</v>
      </c>
      <c r="F281" s="145">
        <f>VLOOKUP($A281,'BC.115+260'!$B$13:$X$489,8,0)/1000</f>
        <v>2.5529999999999999</v>
      </c>
      <c r="G281" s="145">
        <f>VLOOKUP($A281,'BC.115+260'!$B$13:$X$489,9,0)/1000</f>
        <v>-0.44700000000000001</v>
      </c>
      <c r="H281" s="145">
        <f>VLOOKUP($A281,'BC.115+260'!$B$13:$X$489,14,0)/1000</f>
        <v>2.5289999999999999</v>
      </c>
      <c r="I281" s="145">
        <f>VLOOKUP($A281,'BC.115+260'!$B$13:$X$489,15,0)/1000</f>
        <v>-0.47099999999999997</v>
      </c>
      <c r="J281" s="145">
        <f>VLOOKUP($A281,'BC.115+260'!$B$13:$X$489,20,0)/1000</f>
        <v>2.5409999999999999</v>
      </c>
      <c r="K281" s="145">
        <f>VLOOKUP($A281,'BC.115+260'!$B$13:$X$489,21,0)/1000</f>
        <v>-0.45900000000000002</v>
      </c>
      <c r="L281" s="143">
        <f t="shared" si="12"/>
        <v>-247</v>
      </c>
      <c r="M281" s="144">
        <f t="shared" si="13"/>
        <v>-251</v>
      </c>
      <c r="N281" s="143">
        <f t="shared" si="14"/>
        <v>-209.00000000000003</v>
      </c>
      <c r="O281" s="143"/>
    </row>
    <row r="282" spans="1:15">
      <c r="A282" s="81">
        <f>'BC.115+260'!B281</f>
        <v>45519</v>
      </c>
      <c r="B282" s="143">
        <f t="shared" si="15"/>
        <v>268</v>
      </c>
      <c r="C282" s="145">
        <f>'BC.115+260'!M281/1000</f>
        <v>2.0489999999999999</v>
      </c>
      <c r="D282" s="145">
        <f>'BC.115+260'!AA281</f>
        <v>2.4729999999999999</v>
      </c>
      <c r="E282" s="146">
        <f>'BC.115+260'!AB281</f>
        <v>2.0179999999999998</v>
      </c>
      <c r="F282" s="145">
        <f>VLOOKUP($A282,'BC.115+260'!$B$13:$X$489,8,0)/1000</f>
        <v>2.5529999999999999</v>
      </c>
      <c r="G282" s="145">
        <f>VLOOKUP($A282,'BC.115+260'!$B$13:$X$489,9,0)/1000</f>
        <v>-0.44700000000000001</v>
      </c>
      <c r="H282" s="145">
        <f>VLOOKUP($A282,'BC.115+260'!$B$13:$X$489,14,0)/1000</f>
        <v>2.5289999999999999</v>
      </c>
      <c r="I282" s="145">
        <f>VLOOKUP($A282,'BC.115+260'!$B$13:$X$489,15,0)/1000</f>
        <v>-0.47099999999999997</v>
      </c>
      <c r="J282" s="145">
        <f>VLOOKUP($A282,'BC.115+260'!$B$13:$X$489,20,0)/1000</f>
        <v>2.5409999999999999</v>
      </c>
      <c r="K282" s="145">
        <f>VLOOKUP($A282,'BC.115+260'!$B$13:$X$489,21,0)/1000</f>
        <v>-0.45900000000000002</v>
      </c>
      <c r="L282" s="143">
        <f t="shared" si="12"/>
        <v>-247</v>
      </c>
      <c r="M282" s="144">
        <f t="shared" si="13"/>
        <v>-251</v>
      </c>
      <c r="N282" s="143">
        <f t="shared" si="14"/>
        <v>-209.00000000000003</v>
      </c>
      <c r="O282" s="143"/>
    </row>
    <row r="283" spans="1:15">
      <c r="A283" s="81">
        <f>'BC.115+260'!B282</f>
        <v>45520</v>
      </c>
      <c r="B283" s="143">
        <f t="shared" si="15"/>
        <v>269</v>
      </c>
      <c r="C283" s="145">
        <f>'BC.115+260'!M282/1000</f>
        <v>2.0489999999999999</v>
      </c>
      <c r="D283" s="145">
        <f>'BC.115+260'!AA282</f>
        <v>2.4729999999999999</v>
      </c>
      <c r="E283" s="146">
        <f>'BC.115+260'!AB282</f>
        <v>2.0179999999999998</v>
      </c>
      <c r="F283" s="145">
        <f>VLOOKUP($A283,'BC.115+260'!$B$13:$X$489,8,0)/1000</f>
        <v>2.5529999999999999</v>
      </c>
      <c r="G283" s="145">
        <f>VLOOKUP($A283,'BC.115+260'!$B$13:$X$489,9,0)/1000</f>
        <v>-0.44700000000000001</v>
      </c>
      <c r="H283" s="145">
        <f>VLOOKUP($A283,'BC.115+260'!$B$13:$X$489,14,0)/1000</f>
        <v>2.5289999999999999</v>
      </c>
      <c r="I283" s="145">
        <f>VLOOKUP($A283,'BC.115+260'!$B$13:$X$489,15,0)/1000</f>
        <v>-0.47099999999999997</v>
      </c>
      <c r="J283" s="145">
        <f>VLOOKUP($A283,'BC.115+260'!$B$13:$X$489,20,0)/1000</f>
        <v>2.5409999999999999</v>
      </c>
      <c r="K283" s="145">
        <f>VLOOKUP($A283,'BC.115+260'!$B$13:$X$489,21,0)/1000</f>
        <v>-0.45900000000000002</v>
      </c>
      <c r="L283" s="143">
        <f t="shared" si="12"/>
        <v>-247</v>
      </c>
      <c r="M283" s="144">
        <f t="shared" si="13"/>
        <v>-251</v>
      </c>
      <c r="N283" s="143">
        <f t="shared" si="14"/>
        <v>-209.00000000000003</v>
      </c>
      <c r="O283" s="143"/>
    </row>
    <row r="284" spans="1:15">
      <c r="A284" s="81">
        <f>'BC.115+260'!B283</f>
        <v>45521</v>
      </c>
      <c r="B284" s="143">
        <f t="shared" si="15"/>
        <v>270</v>
      </c>
      <c r="C284" s="145">
        <f>'BC.115+260'!M283/1000</f>
        <v>2.0489999999999999</v>
      </c>
      <c r="D284" s="145">
        <f>'BC.115+260'!AA283</f>
        <v>2.4729999999999999</v>
      </c>
      <c r="E284" s="146">
        <f>'BC.115+260'!AB283</f>
        <v>2.0179999999999998</v>
      </c>
      <c r="F284" s="145">
        <f>VLOOKUP($A284,'BC.115+260'!$B$13:$X$489,8,0)/1000</f>
        <v>2.5529999999999999</v>
      </c>
      <c r="G284" s="145">
        <f>VLOOKUP($A284,'BC.115+260'!$B$13:$X$489,9,0)/1000</f>
        <v>-0.44700000000000001</v>
      </c>
      <c r="H284" s="145">
        <f>VLOOKUP($A284,'BC.115+260'!$B$13:$X$489,14,0)/1000</f>
        <v>2.5289999999999999</v>
      </c>
      <c r="I284" s="145">
        <f>VLOOKUP($A284,'BC.115+260'!$B$13:$X$489,15,0)/1000</f>
        <v>-0.47099999999999997</v>
      </c>
      <c r="J284" s="145">
        <f>VLOOKUP($A284,'BC.115+260'!$B$13:$X$489,20,0)/1000</f>
        <v>2.5409999999999999</v>
      </c>
      <c r="K284" s="145">
        <f>VLOOKUP($A284,'BC.115+260'!$B$13:$X$489,21,0)/1000</f>
        <v>-0.45900000000000002</v>
      </c>
      <c r="L284" s="143">
        <f t="shared" si="12"/>
        <v>-247</v>
      </c>
      <c r="M284" s="144">
        <f t="shared" si="13"/>
        <v>-251</v>
      </c>
      <c r="N284" s="143">
        <f t="shared" si="14"/>
        <v>-209.00000000000003</v>
      </c>
      <c r="O284" s="143"/>
    </row>
    <row r="285" spans="1:15">
      <c r="A285" s="81">
        <f>'BC.115+260'!B284</f>
        <v>45522</v>
      </c>
      <c r="B285" s="143">
        <f t="shared" si="15"/>
        <v>271</v>
      </c>
      <c r="C285" s="145">
        <f>'BC.115+260'!M284/1000</f>
        <v>2.0489999999999999</v>
      </c>
      <c r="D285" s="145">
        <f>'BC.115+260'!AA284</f>
        <v>2.4729999999999999</v>
      </c>
      <c r="E285" s="146">
        <f>'BC.115+260'!AB284</f>
        <v>2.0179999999999998</v>
      </c>
      <c r="F285" s="145">
        <f>VLOOKUP($A285,'BC.115+260'!$B$13:$X$489,8,0)/1000</f>
        <v>2.5529999999999999</v>
      </c>
      <c r="G285" s="145">
        <f>VLOOKUP($A285,'BC.115+260'!$B$13:$X$489,9,0)/1000</f>
        <v>-0.44700000000000001</v>
      </c>
      <c r="H285" s="145">
        <f>VLOOKUP($A285,'BC.115+260'!$B$13:$X$489,14,0)/1000</f>
        <v>2.5289999999999999</v>
      </c>
      <c r="I285" s="145">
        <f>VLOOKUP($A285,'BC.115+260'!$B$13:$X$489,15,0)/1000</f>
        <v>-0.47099999999999997</v>
      </c>
      <c r="J285" s="145">
        <f>VLOOKUP($A285,'BC.115+260'!$B$13:$X$489,20,0)/1000</f>
        <v>2.5409999999999999</v>
      </c>
      <c r="K285" s="145">
        <f>VLOOKUP($A285,'BC.115+260'!$B$13:$X$489,21,0)/1000</f>
        <v>-0.45900000000000002</v>
      </c>
      <c r="L285" s="143">
        <f t="shared" si="12"/>
        <v>-247</v>
      </c>
      <c r="M285" s="144">
        <f t="shared" si="13"/>
        <v>-251</v>
      </c>
      <c r="N285" s="143">
        <f t="shared" si="14"/>
        <v>-209.00000000000003</v>
      </c>
      <c r="O285" s="143"/>
    </row>
    <row r="286" spans="1:15">
      <c r="A286" s="81">
        <f>'BC.115+260'!B285</f>
        <v>45523</v>
      </c>
      <c r="B286" s="143">
        <f t="shared" si="15"/>
        <v>272</v>
      </c>
      <c r="C286" s="145">
        <f>'BC.115+260'!M285/1000</f>
        <v>2.0489999999999999</v>
      </c>
      <c r="D286" s="145">
        <f>'BC.115+260'!AA285</f>
        <v>2.4729999999999999</v>
      </c>
      <c r="E286" s="146">
        <f>'BC.115+260'!AB285</f>
        <v>2.0179999999999998</v>
      </c>
      <c r="F286" s="145">
        <f>VLOOKUP($A286,'BC.115+260'!$B$13:$X$489,8,0)/1000</f>
        <v>2.5529999999999999</v>
      </c>
      <c r="G286" s="145">
        <f>VLOOKUP($A286,'BC.115+260'!$B$13:$X$489,9,0)/1000</f>
        <v>-0.44700000000000001</v>
      </c>
      <c r="H286" s="145">
        <f>VLOOKUP($A286,'BC.115+260'!$B$13:$X$489,14,0)/1000</f>
        <v>2.5289999999999999</v>
      </c>
      <c r="I286" s="145">
        <f>VLOOKUP($A286,'BC.115+260'!$B$13:$X$489,15,0)/1000</f>
        <v>-0.47099999999999997</v>
      </c>
      <c r="J286" s="145">
        <f>VLOOKUP($A286,'BC.115+260'!$B$13:$X$489,20,0)/1000</f>
        <v>2.5409999999999999</v>
      </c>
      <c r="K286" s="145">
        <f>VLOOKUP($A286,'BC.115+260'!$B$13:$X$489,21,0)/1000</f>
        <v>-0.45900000000000002</v>
      </c>
      <c r="L286" s="143">
        <f t="shared" si="12"/>
        <v>-247</v>
      </c>
      <c r="M286" s="144">
        <f t="shared" si="13"/>
        <v>-251</v>
      </c>
      <c r="N286" s="143">
        <f t="shared" si="14"/>
        <v>-209.00000000000003</v>
      </c>
      <c r="O286" s="143"/>
    </row>
    <row r="287" spans="1:15">
      <c r="A287" s="81">
        <f>'BC.115+260'!B286</f>
        <v>45524</v>
      </c>
      <c r="B287" s="143">
        <f t="shared" si="15"/>
        <v>273</v>
      </c>
      <c r="C287" s="145">
        <f>'BC.115+260'!M286/1000</f>
        <v>2.0489999999999999</v>
      </c>
      <c r="D287" s="145">
        <f>'BC.115+260'!AA286</f>
        <v>2.4729999999999999</v>
      </c>
      <c r="E287" s="146">
        <f>'BC.115+260'!AB286</f>
        <v>2.0179999999999998</v>
      </c>
      <c r="F287" s="145">
        <f>VLOOKUP($A287,'BC.115+260'!$B$13:$X$489,8,0)/1000</f>
        <v>2.5529999999999999</v>
      </c>
      <c r="G287" s="145">
        <f>VLOOKUP($A287,'BC.115+260'!$B$13:$X$489,9,0)/1000</f>
        <v>-0.44700000000000001</v>
      </c>
      <c r="H287" s="145">
        <f>VLOOKUP($A287,'BC.115+260'!$B$13:$X$489,14,0)/1000</f>
        <v>2.5289999999999999</v>
      </c>
      <c r="I287" s="145">
        <f>VLOOKUP($A287,'BC.115+260'!$B$13:$X$489,15,0)/1000</f>
        <v>-0.47099999999999997</v>
      </c>
      <c r="J287" s="145">
        <f>VLOOKUP($A287,'BC.115+260'!$B$13:$X$489,20,0)/1000</f>
        <v>2.5409999999999999</v>
      </c>
      <c r="K287" s="145">
        <f>VLOOKUP($A287,'BC.115+260'!$B$13:$X$489,21,0)/1000</f>
        <v>-0.45900000000000002</v>
      </c>
      <c r="L287" s="143">
        <f t="shared" si="12"/>
        <v>-247</v>
      </c>
      <c r="M287" s="144">
        <f t="shared" si="13"/>
        <v>-251</v>
      </c>
      <c r="N287" s="143">
        <f t="shared" si="14"/>
        <v>-209.00000000000003</v>
      </c>
      <c r="O287" s="143"/>
    </row>
    <row r="288" spans="1:15">
      <c r="A288" s="81">
        <f>'BC.115+260'!B287</f>
        <v>45525</v>
      </c>
      <c r="B288" s="143">
        <f t="shared" si="15"/>
        <v>274</v>
      </c>
      <c r="C288" s="145">
        <f>'BC.115+260'!M287/1000</f>
        <v>2.0489999999999999</v>
      </c>
      <c r="D288" s="145">
        <f>'BC.115+260'!AA287</f>
        <v>2.4729999999999999</v>
      </c>
      <c r="E288" s="146">
        <f>'BC.115+260'!AB287</f>
        <v>2.0179999999999998</v>
      </c>
      <c r="F288" s="145">
        <f>VLOOKUP($A288,'BC.115+260'!$B$13:$X$489,8,0)/1000</f>
        <v>2.5529999999999999</v>
      </c>
      <c r="G288" s="145">
        <f>VLOOKUP($A288,'BC.115+260'!$B$13:$X$489,9,0)/1000</f>
        <v>-0.44700000000000001</v>
      </c>
      <c r="H288" s="145">
        <f>VLOOKUP($A288,'BC.115+260'!$B$13:$X$489,14,0)/1000</f>
        <v>2.5289999999999999</v>
      </c>
      <c r="I288" s="145">
        <f>VLOOKUP($A288,'BC.115+260'!$B$13:$X$489,15,0)/1000</f>
        <v>-0.47099999999999997</v>
      </c>
      <c r="J288" s="145">
        <f>VLOOKUP($A288,'BC.115+260'!$B$13:$X$489,20,0)/1000</f>
        <v>2.5409999999999999</v>
      </c>
      <c r="K288" s="145">
        <f>VLOOKUP($A288,'BC.115+260'!$B$13:$X$489,21,0)/1000</f>
        <v>-0.45900000000000002</v>
      </c>
      <c r="L288" s="143">
        <f t="shared" si="12"/>
        <v>-247</v>
      </c>
      <c r="M288" s="144">
        <f t="shared" si="13"/>
        <v>-251</v>
      </c>
      <c r="N288" s="143">
        <f t="shared" si="14"/>
        <v>-209.00000000000003</v>
      </c>
      <c r="O288" s="143"/>
    </row>
    <row r="289" spans="1:15">
      <c r="A289" s="81">
        <f>'BC.115+260'!B288</f>
        <v>45526</v>
      </c>
      <c r="B289" s="143">
        <f t="shared" si="15"/>
        <v>275</v>
      </c>
      <c r="C289" s="145">
        <f>'BC.115+260'!M288/1000</f>
        <v>2.0489999999999999</v>
      </c>
      <c r="D289" s="145">
        <f>'BC.115+260'!AA288</f>
        <v>2.4729999999999999</v>
      </c>
      <c r="E289" s="146">
        <f>'BC.115+260'!AB288</f>
        <v>2.0179999999999998</v>
      </c>
      <c r="F289" s="145">
        <f>VLOOKUP($A289,'BC.115+260'!$B$13:$X$489,8,0)/1000</f>
        <v>2.5529999999999999</v>
      </c>
      <c r="G289" s="145">
        <f>VLOOKUP($A289,'BC.115+260'!$B$13:$X$489,9,0)/1000</f>
        <v>-0.44700000000000001</v>
      </c>
      <c r="H289" s="145">
        <f>VLOOKUP($A289,'BC.115+260'!$B$13:$X$489,14,0)/1000</f>
        <v>2.5289999999999999</v>
      </c>
      <c r="I289" s="145">
        <f>VLOOKUP($A289,'BC.115+260'!$B$13:$X$489,15,0)/1000</f>
        <v>-0.47099999999999997</v>
      </c>
      <c r="J289" s="145">
        <f>VLOOKUP($A289,'BC.115+260'!$B$13:$X$489,20,0)/1000</f>
        <v>2.5409999999999999</v>
      </c>
      <c r="K289" s="145">
        <f>VLOOKUP($A289,'BC.115+260'!$B$13:$X$489,21,0)/1000</f>
        <v>-0.45900000000000002</v>
      </c>
      <c r="L289" s="143">
        <f t="shared" si="12"/>
        <v>-247</v>
      </c>
      <c r="M289" s="144">
        <f t="shared" si="13"/>
        <v>-251</v>
      </c>
      <c r="N289" s="143">
        <f t="shared" si="14"/>
        <v>-209.00000000000003</v>
      </c>
      <c r="O289" s="143"/>
    </row>
    <row r="290" spans="1:15">
      <c r="A290" s="81">
        <f>'BC.115+260'!B289</f>
        <v>45527</v>
      </c>
      <c r="B290" s="143">
        <f t="shared" si="15"/>
        <v>276</v>
      </c>
      <c r="C290" s="145">
        <f>'BC.115+260'!M289/1000</f>
        <v>2.0489999999999999</v>
      </c>
      <c r="D290" s="145">
        <f>'BC.115+260'!AA289</f>
        <v>2.4729999999999999</v>
      </c>
      <c r="E290" s="146">
        <f>'BC.115+260'!AB289</f>
        <v>2.0179999999999998</v>
      </c>
      <c r="F290" s="145">
        <f>VLOOKUP($A290,'BC.115+260'!$B$13:$X$489,8,0)/1000</f>
        <v>2.5529999999999999</v>
      </c>
      <c r="G290" s="145">
        <f>VLOOKUP($A290,'BC.115+260'!$B$13:$X$489,9,0)/1000</f>
        <v>-0.44700000000000001</v>
      </c>
      <c r="H290" s="145">
        <f>VLOOKUP($A290,'BC.115+260'!$B$13:$X$489,14,0)/1000</f>
        <v>2.5289999999999999</v>
      </c>
      <c r="I290" s="145">
        <f>VLOOKUP($A290,'BC.115+260'!$B$13:$X$489,15,0)/1000</f>
        <v>-0.47099999999999997</v>
      </c>
      <c r="J290" s="145">
        <f>VLOOKUP($A290,'BC.115+260'!$B$13:$X$489,20,0)/1000</f>
        <v>2.5409999999999999</v>
      </c>
      <c r="K290" s="145">
        <f>VLOOKUP($A290,'BC.115+260'!$B$13:$X$489,21,0)/1000</f>
        <v>-0.45900000000000002</v>
      </c>
      <c r="L290" s="143">
        <f t="shared" si="12"/>
        <v>-247</v>
      </c>
      <c r="M290" s="144">
        <f t="shared" si="13"/>
        <v>-251</v>
      </c>
      <c r="N290" s="143">
        <f t="shared" si="14"/>
        <v>-209.00000000000003</v>
      </c>
      <c r="O290" s="143"/>
    </row>
    <row r="291" spans="1:15">
      <c r="A291" s="81">
        <f>'BC.115+260'!B290</f>
        <v>45528</v>
      </c>
      <c r="B291" s="143">
        <f t="shared" si="15"/>
        <v>277</v>
      </c>
      <c r="C291" s="145">
        <f>'BC.115+260'!M290/1000</f>
        <v>2.0489999999999999</v>
      </c>
      <c r="D291" s="145">
        <f>'BC.115+260'!AA290</f>
        <v>2.4729999999999999</v>
      </c>
      <c r="E291" s="146">
        <f>'BC.115+260'!AB290</f>
        <v>2.0179999999999998</v>
      </c>
      <c r="F291" s="145">
        <f>VLOOKUP($A291,'BC.115+260'!$B$13:$X$489,8,0)/1000</f>
        <v>2.5529999999999999</v>
      </c>
      <c r="G291" s="145">
        <f>VLOOKUP($A291,'BC.115+260'!$B$13:$X$489,9,0)/1000</f>
        <v>-0.44700000000000001</v>
      </c>
      <c r="H291" s="145">
        <f>VLOOKUP($A291,'BC.115+260'!$B$13:$X$489,14,0)/1000</f>
        <v>2.5289999999999999</v>
      </c>
      <c r="I291" s="145">
        <f>VLOOKUP($A291,'BC.115+260'!$B$13:$X$489,15,0)/1000</f>
        <v>-0.47099999999999997</v>
      </c>
      <c r="J291" s="145">
        <f>VLOOKUP($A291,'BC.115+260'!$B$13:$X$489,20,0)/1000</f>
        <v>2.5409999999999999</v>
      </c>
      <c r="K291" s="145">
        <f>VLOOKUP($A291,'BC.115+260'!$B$13:$X$489,21,0)/1000</f>
        <v>-0.45900000000000002</v>
      </c>
      <c r="L291" s="143">
        <f t="shared" si="12"/>
        <v>-247</v>
      </c>
      <c r="M291" s="144">
        <f t="shared" si="13"/>
        <v>-251</v>
      </c>
      <c r="N291" s="143">
        <f t="shared" si="14"/>
        <v>-209.00000000000003</v>
      </c>
      <c r="O291" s="143"/>
    </row>
    <row r="292" spans="1:15">
      <c r="A292" s="81">
        <f>'BC.115+260'!B291</f>
        <v>45529</v>
      </c>
      <c r="B292" s="143">
        <f t="shared" si="15"/>
        <v>278</v>
      </c>
      <c r="C292" s="145">
        <f>'BC.115+260'!M291/1000</f>
        <v>2.0489999999999999</v>
      </c>
      <c r="D292" s="145">
        <f>'BC.115+260'!AA291</f>
        <v>2.4729999999999999</v>
      </c>
      <c r="E292" s="146">
        <f>'BC.115+260'!AB291</f>
        <v>2.0179999999999998</v>
      </c>
      <c r="F292" s="145">
        <f>VLOOKUP($A292,'BC.115+260'!$B$13:$X$489,8,0)/1000</f>
        <v>2.5529999999999999</v>
      </c>
      <c r="G292" s="145">
        <f>VLOOKUP($A292,'BC.115+260'!$B$13:$X$489,9,0)/1000</f>
        <v>-0.44700000000000001</v>
      </c>
      <c r="H292" s="145">
        <f>VLOOKUP($A292,'BC.115+260'!$B$13:$X$489,14,0)/1000</f>
        <v>2.5289999999999999</v>
      </c>
      <c r="I292" s="145">
        <f>VLOOKUP($A292,'BC.115+260'!$B$13:$X$489,15,0)/1000</f>
        <v>-0.47099999999999997</v>
      </c>
      <c r="J292" s="145">
        <f>VLOOKUP($A292,'BC.115+260'!$B$13:$X$489,20,0)/1000</f>
        <v>2.5409999999999999</v>
      </c>
      <c r="K292" s="145">
        <f>VLOOKUP($A292,'BC.115+260'!$B$13:$X$489,21,0)/1000</f>
        <v>-0.45900000000000002</v>
      </c>
      <c r="L292" s="143">
        <f t="shared" si="12"/>
        <v>-247</v>
      </c>
      <c r="M292" s="144">
        <f t="shared" si="13"/>
        <v>-251</v>
      </c>
      <c r="N292" s="143">
        <f t="shared" si="14"/>
        <v>-209.00000000000003</v>
      </c>
      <c r="O292" s="143"/>
    </row>
    <row r="293" spans="1:15">
      <c r="A293" s="81">
        <f>'BC.115+260'!B292</f>
        <v>45530</v>
      </c>
      <c r="B293" s="143">
        <f t="shared" si="15"/>
        <v>279</v>
      </c>
      <c r="C293" s="145">
        <f>'BC.115+260'!M292/1000</f>
        <v>2.0489999999999999</v>
      </c>
      <c r="D293" s="145">
        <f>'BC.115+260'!AA292</f>
        <v>2.4729999999999999</v>
      </c>
      <c r="E293" s="146">
        <f>'BC.115+260'!AB292</f>
        <v>2.0179999999999998</v>
      </c>
      <c r="F293" s="145">
        <f>VLOOKUP($A293,'BC.115+260'!$B$13:$X$489,8,0)/1000</f>
        <v>2.5529999999999999</v>
      </c>
      <c r="G293" s="145">
        <f>VLOOKUP($A293,'BC.115+260'!$B$13:$X$489,9,0)/1000</f>
        <v>-0.44700000000000001</v>
      </c>
      <c r="H293" s="145">
        <f>VLOOKUP($A293,'BC.115+260'!$B$13:$X$489,14,0)/1000</f>
        <v>2.5289999999999999</v>
      </c>
      <c r="I293" s="145">
        <f>VLOOKUP($A293,'BC.115+260'!$B$13:$X$489,15,0)/1000</f>
        <v>-0.47099999999999997</v>
      </c>
      <c r="J293" s="145">
        <f>VLOOKUP($A293,'BC.115+260'!$B$13:$X$489,20,0)/1000</f>
        <v>2.5409999999999999</v>
      </c>
      <c r="K293" s="145">
        <f>VLOOKUP($A293,'BC.115+260'!$B$13:$X$489,21,0)/1000</f>
        <v>-0.45900000000000002</v>
      </c>
      <c r="L293" s="143">
        <f t="shared" si="12"/>
        <v>-247</v>
      </c>
      <c r="M293" s="144">
        <f t="shared" si="13"/>
        <v>-251</v>
      </c>
      <c r="N293" s="143">
        <f t="shared" si="14"/>
        <v>-209.00000000000003</v>
      </c>
      <c r="O293" s="143"/>
    </row>
    <row r="294" spans="1:15">
      <c r="A294" s="81">
        <f>'BC.115+260'!B293</f>
        <v>45531</v>
      </c>
      <c r="B294" s="143">
        <f t="shared" si="15"/>
        <v>280</v>
      </c>
      <c r="C294" s="145">
        <f>'BC.115+260'!M293/1000</f>
        <v>2.0489999999999999</v>
      </c>
      <c r="D294" s="145">
        <f>'BC.115+260'!AA293</f>
        <v>2.4729999999999999</v>
      </c>
      <c r="E294" s="146">
        <f>'BC.115+260'!AB293</f>
        <v>2.0179999999999998</v>
      </c>
      <c r="F294" s="145">
        <f>VLOOKUP($A294,'BC.115+260'!$B$13:$X$489,8,0)/1000</f>
        <v>2.5529999999999999</v>
      </c>
      <c r="G294" s="145">
        <f>VLOOKUP($A294,'BC.115+260'!$B$13:$X$489,9,0)/1000</f>
        <v>-0.44700000000000001</v>
      </c>
      <c r="H294" s="145">
        <f>VLOOKUP($A294,'BC.115+260'!$B$13:$X$489,14,0)/1000</f>
        <v>2.5289999999999999</v>
      </c>
      <c r="I294" s="145">
        <f>VLOOKUP($A294,'BC.115+260'!$B$13:$X$489,15,0)/1000</f>
        <v>-0.47099999999999997</v>
      </c>
      <c r="J294" s="145">
        <f>VLOOKUP($A294,'BC.115+260'!$B$13:$X$489,20,0)/1000</f>
        <v>2.5409999999999999</v>
      </c>
      <c r="K294" s="145">
        <f>VLOOKUP($A294,'BC.115+260'!$B$13:$X$489,21,0)/1000</f>
        <v>-0.45900000000000002</v>
      </c>
      <c r="L294" s="143">
        <f t="shared" si="12"/>
        <v>-247</v>
      </c>
      <c r="M294" s="144">
        <f t="shared" si="13"/>
        <v>-251</v>
      </c>
      <c r="N294" s="143">
        <f t="shared" si="14"/>
        <v>-209.00000000000003</v>
      </c>
      <c r="O294" s="143"/>
    </row>
    <row r="295" spans="1:15">
      <c r="A295" s="81">
        <f>'BC.115+260'!B294</f>
        <v>45532</v>
      </c>
      <c r="B295" s="143">
        <f t="shared" si="15"/>
        <v>281</v>
      </c>
      <c r="C295" s="145">
        <f>'BC.115+260'!M294/1000</f>
        <v>2.0489999999999999</v>
      </c>
      <c r="D295" s="145">
        <f>'BC.115+260'!AA294</f>
        <v>2.4729999999999999</v>
      </c>
      <c r="E295" s="146">
        <f>'BC.115+260'!AB294</f>
        <v>2.0179999999999998</v>
      </c>
      <c r="F295" s="145">
        <f>VLOOKUP($A295,'BC.115+260'!$B$13:$X$489,8,0)/1000</f>
        <v>2.5529999999999999</v>
      </c>
      <c r="G295" s="145">
        <f>VLOOKUP($A295,'BC.115+260'!$B$13:$X$489,9,0)/1000</f>
        <v>-0.44700000000000001</v>
      </c>
      <c r="H295" s="145">
        <f>VLOOKUP($A295,'BC.115+260'!$B$13:$X$489,14,0)/1000</f>
        <v>2.5289999999999999</v>
      </c>
      <c r="I295" s="145">
        <f>VLOOKUP($A295,'BC.115+260'!$B$13:$X$489,15,0)/1000</f>
        <v>-0.47099999999999997</v>
      </c>
      <c r="J295" s="145">
        <f>VLOOKUP($A295,'BC.115+260'!$B$13:$X$489,20,0)/1000</f>
        <v>2.5409999999999999</v>
      </c>
      <c r="K295" s="145">
        <f>VLOOKUP($A295,'BC.115+260'!$B$13:$X$489,21,0)/1000</f>
        <v>-0.45900000000000002</v>
      </c>
      <c r="L295" s="143">
        <f t="shared" si="12"/>
        <v>-247</v>
      </c>
      <c r="M295" s="144">
        <f t="shared" si="13"/>
        <v>-251</v>
      </c>
      <c r="N295" s="143">
        <f t="shared" si="14"/>
        <v>-209.00000000000003</v>
      </c>
      <c r="O295" s="143"/>
    </row>
    <row r="296" spans="1:15">
      <c r="A296" s="81">
        <f>'BC.115+260'!B295</f>
        <v>45533</v>
      </c>
      <c r="B296" s="143">
        <f t="shared" si="15"/>
        <v>282</v>
      </c>
      <c r="C296" s="145">
        <f>'BC.115+260'!M295/1000</f>
        <v>2.0489999999999999</v>
      </c>
      <c r="D296" s="145">
        <f>'BC.115+260'!AA295</f>
        <v>2.4729999999999999</v>
      </c>
      <c r="E296" s="146">
        <f>'BC.115+260'!AB295</f>
        <v>2.0179999999999998</v>
      </c>
      <c r="F296" s="145">
        <f>VLOOKUP($A296,'BC.115+260'!$B$13:$X$489,8,0)/1000</f>
        <v>2.5529999999999999</v>
      </c>
      <c r="G296" s="145">
        <f>VLOOKUP($A296,'BC.115+260'!$B$13:$X$489,9,0)/1000</f>
        <v>-0.44700000000000001</v>
      </c>
      <c r="H296" s="145">
        <f>VLOOKUP($A296,'BC.115+260'!$B$13:$X$489,14,0)/1000</f>
        <v>2.5289999999999999</v>
      </c>
      <c r="I296" s="145">
        <f>VLOOKUP($A296,'BC.115+260'!$B$13:$X$489,15,0)/1000</f>
        <v>-0.47099999999999997</v>
      </c>
      <c r="J296" s="145">
        <f>VLOOKUP($A296,'BC.115+260'!$B$13:$X$489,20,0)/1000</f>
        <v>2.5409999999999999</v>
      </c>
      <c r="K296" s="145">
        <f>VLOOKUP($A296,'BC.115+260'!$B$13:$X$489,21,0)/1000</f>
        <v>-0.45900000000000002</v>
      </c>
      <c r="L296" s="143">
        <f t="shared" si="12"/>
        <v>-247</v>
      </c>
      <c r="M296" s="144">
        <f t="shared" si="13"/>
        <v>-251</v>
      </c>
      <c r="N296" s="143">
        <f t="shared" si="14"/>
        <v>-209.00000000000003</v>
      </c>
      <c r="O296" s="143"/>
    </row>
    <row r="297" spans="1:15">
      <c r="A297" s="81">
        <f>'BC.115+260'!B296</f>
        <v>45534</v>
      </c>
      <c r="B297" s="143">
        <f t="shared" si="15"/>
        <v>283</v>
      </c>
      <c r="C297" s="145">
        <f>'BC.115+260'!M296/1000</f>
        <v>2.0489999999999999</v>
      </c>
      <c r="D297" s="145">
        <f>'BC.115+260'!AA296</f>
        <v>2.4729999999999999</v>
      </c>
      <c r="E297" s="146">
        <f>'BC.115+260'!AB296</f>
        <v>2.0179999999999998</v>
      </c>
      <c r="F297" s="145">
        <f>VLOOKUP($A297,'BC.115+260'!$B$13:$X$489,8,0)/1000</f>
        <v>2.5529999999999999</v>
      </c>
      <c r="G297" s="145">
        <f>VLOOKUP($A297,'BC.115+260'!$B$13:$X$489,9,0)/1000</f>
        <v>-0.44700000000000001</v>
      </c>
      <c r="H297" s="145">
        <f>VLOOKUP($A297,'BC.115+260'!$B$13:$X$489,14,0)/1000</f>
        <v>2.5289999999999999</v>
      </c>
      <c r="I297" s="145">
        <f>VLOOKUP($A297,'BC.115+260'!$B$13:$X$489,15,0)/1000</f>
        <v>-0.47099999999999997</v>
      </c>
      <c r="J297" s="145">
        <f>VLOOKUP($A297,'BC.115+260'!$B$13:$X$489,20,0)/1000</f>
        <v>2.5409999999999999</v>
      </c>
      <c r="K297" s="145">
        <f>VLOOKUP($A297,'BC.115+260'!$B$13:$X$489,21,0)/1000</f>
        <v>-0.45900000000000002</v>
      </c>
      <c r="L297" s="143">
        <f t="shared" si="12"/>
        <v>-247</v>
      </c>
      <c r="M297" s="144">
        <f t="shared" si="13"/>
        <v>-251</v>
      </c>
      <c r="N297" s="143">
        <f t="shared" si="14"/>
        <v>-209.00000000000003</v>
      </c>
      <c r="O297" s="143"/>
    </row>
    <row r="298" spans="1:15">
      <c r="A298" s="81">
        <f>'BC.115+260'!B297</f>
        <v>45535</v>
      </c>
      <c r="B298" s="143">
        <f t="shared" si="15"/>
        <v>284</v>
      </c>
      <c r="C298" s="145">
        <f>'BC.115+260'!M297/1000</f>
        <v>2.0489999999999999</v>
      </c>
      <c r="D298" s="145">
        <f>'BC.115+260'!AA297</f>
        <v>2.4729999999999999</v>
      </c>
      <c r="E298" s="146">
        <f>'BC.115+260'!AB297</f>
        <v>2.0179999999999998</v>
      </c>
      <c r="F298" s="145">
        <f>VLOOKUP($A298,'BC.115+260'!$B$13:$X$489,8,0)/1000</f>
        <v>2.5529999999999999</v>
      </c>
      <c r="G298" s="145">
        <f>VLOOKUP($A298,'BC.115+260'!$B$13:$X$489,9,0)/1000</f>
        <v>-0.44700000000000001</v>
      </c>
      <c r="H298" s="145">
        <f>VLOOKUP($A298,'BC.115+260'!$B$13:$X$489,14,0)/1000</f>
        <v>2.5289999999999999</v>
      </c>
      <c r="I298" s="145">
        <f>VLOOKUP($A298,'BC.115+260'!$B$13:$X$489,15,0)/1000</f>
        <v>-0.47099999999999997</v>
      </c>
      <c r="J298" s="145">
        <f>VLOOKUP($A298,'BC.115+260'!$B$13:$X$489,20,0)/1000</f>
        <v>2.5409999999999999</v>
      </c>
      <c r="K298" s="145">
        <f>VLOOKUP($A298,'BC.115+260'!$B$13:$X$489,21,0)/1000</f>
        <v>-0.45900000000000002</v>
      </c>
      <c r="L298" s="143">
        <f t="shared" si="12"/>
        <v>-247</v>
      </c>
      <c r="M298" s="144">
        <f t="shared" si="13"/>
        <v>-251</v>
      </c>
      <c r="N298" s="143">
        <f t="shared" si="14"/>
        <v>-209.00000000000003</v>
      </c>
      <c r="O298" s="143"/>
    </row>
    <row r="299" spans="1:15">
      <c r="A299" s="81">
        <f>'BC.115+260'!B298</f>
        <v>45536</v>
      </c>
      <c r="B299" s="143">
        <f t="shared" si="15"/>
        <v>285</v>
      </c>
      <c r="C299" s="145">
        <f>'BC.115+260'!M298/1000</f>
        <v>2.0489999999999999</v>
      </c>
      <c r="D299" s="145">
        <f>'BC.115+260'!AA298</f>
        <v>2.4729999999999999</v>
      </c>
      <c r="E299" s="146">
        <f>'BC.115+260'!AB298</f>
        <v>2.0179999999999998</v>
      </c>
      <c r="F299" s="145">
        <f>VLOOKUP($A299,'BC.115+260'!$B$13:$X$489,8,0)/1000</f>
        <v>2.5529999999999999</v>
      </c>
      <c r="G299" s="145">
        <f>VLOOKUP($A299,'BC.115+260'!$B$13:$X$489,9,0)/1000</f>
        <v>-0.44700000000000001</v>
      </c>
      <c r="H299" s="145">
        <f>VLOOKUP($A299,'BC.115+260'!$B$13:$X$489,14,0)/1000</f>
        <v>2.5289999999999999</v>
      </c>
      <c r="I299" s="145">
        <f>VLOOKUP($A299,'BC.115+260'!$B$13:$X$489,15,0)/1000</f>
        <v>-0.47099999999999997</v>
      </c>
      <c r="J299" s="145">
        <f>VLOOKUP($A299,'BC.115+260'!$B$13:$X$489,20,0)/1000</f>
        <v>2.5409999999999999</v>
      </c>
      <c r="K299" s="145">
        <f>VLOOKUP($A299,'BC.115+260'!$B$13:$X$489,21,0)/1000</f>
        <v>-0.45900000000000002</v>
      </c>
      <c r="L299" s="143">
        <f t="shared" si="12"/>
        <v>-247</v>
      </c>
      <c r="M299" s="144">
        <f t="shared" si="13"/>
        <v>-251</v>
      </c>
      <c r="N299" s="143">
        <f t="shared" si="14"/>
        <v>-209.00000000000003</v>
      </c>
      <c r="O299" s="143"/>
    </row>
    <row r="300" spans="1:15">
      <c r="A300" s="81">
        <f>'BC.115+260'!B299</f>
        <v>45537</v>
      </c>
      <c r="B300" s="143">
        <f t="shared" si="15"/>
        <v>286</v>
      </c>
      <c r="C300" s="145">
        <f>'BC.115+260'!M299/1000</f>
        <v>2.0489999999999999</v>
      </c>
      <c r="D300" s="145">
        <f>'BC.115+260'!AA299</f>
        <v>2.4729999999999999</v>
      </c>
      <c r="E300" s="146">
        <f>'BC.115+260'!AB299</f>
        <v>2.0179999999999998</v>
      </c>
      <c r="F300" s="145">
        <f>VLOOKUP($A300,'BC.115+260'!$B$13:$X$489,8,0)/1000</f>
        <v>2.5529999999999999</v>
      </c>
      <c r="G300" s="145">
        <f>VLOOKUP($A300,'BC.115+260'!$B$13:$X$489,9,0)/1000</f>
        <v>-0.44700000000000001</v>
      </c>
      <c r="H300" s="145">
        <f>VLOOKUP($A300,'BC.115+260'!$B$13:$X$489,14,0)/1000</f>
        <v>2.5289999999999999</v>
      </c>
      <c r="I300" s="145">
        <f>VLOOKUP($A300,'BC.115+260'!$B$13:$X$489,15,0)/1000</f>
        <v>-0.47099999999999997</v>
      </c>
      <c r="J300" s="145">
        <f>VLOOKUP($A300,'BC.115+260'!$B$13:$X$489,20,0)/1000</f>
        <v>2.5409999999999999</v>
      </c>
      <c r="K300" s="145">
        <f>VLOOKUP($A300,'BC.115+260'!$B$13:$X$489,21,0)/1000</f>
        <v>-0.45900000000000002</v>
      </c>
      <c r="L300" s="143">
        <f t="shared" si="12"/>
        <v>-247</v>
      </c>
      <c r="M300" s="144">
        <f t="shared" si="13"/>
        <v>-251</v>
      </c>
      <c r="N300" s="143">
        <f t="shared" si="14"/>
        <v>-209.00000000000003</v>
      </c>
      <c r="O300" s="143"/>
    </row>
    <row r="301" spans="1:15">
      <c r="A301" s="81">
        <f>'BC.115+260'!B300</f>
        <v>45538</v>
      </c>
      <c r="B301" s="143">
        <f t="shared" si="15"/>
        <v>287</v>
      </c>
      <c r="C301" s="145">
        <f>'BC.115+260'!M300/1000</f>
        <v>2.0489999999999999</v>
      </c>
      <c r="D301" s="145">
        <f>'BC.115+260'!AA300</f>
        <v>2.4729999999999999</v>
      </c>
      <c r="E301" s="146">
        <f>'BC.115+260'!AB300</f>
        <v>2.0179999999999998</v>
      </c>
      <c r="F301" s="145">
        <f>VLOOKUP($A301,'BC.115+260'!$B$13:$X$489,8,0)/1000</f>
        <v>2.5529999999999999</v>
      </c>
      <c r="G301" s="145">
        <f>VLOOKUP($A301,'BC.115+260'!$B$13:$X$489,9,0)/1000</f>
        <v>-0.44700000000000001</v>
      </c>
      <c r="H301" s="145">
        <f>VLOOKUP($A301,'BC.115+260'!$B$13:$X$489,14,0)/1000</f>
        <v>2.5289999999999999</v>
      </c>
      <c r="I301" s="145">
        <f>VLOOKUP($A301,'BC.115+260'!$B$13:$X$489,15,0)/1000</f>
        <v>-0.47099999999999997</v>
      </c>
      <c r="J301" s="145">
        <f>VLOOKUP($A301,'BC.115+260'!$B$13:$X$489,20,0)/1000</f>
        <v>2.5409999999999999</v>
      </c>
      <c r="K301" s="145">
        <f>VLOOKUP($A301,'BC.115+260'!$B$13:$X$489,21,0)/1000</f>
        <v>-0.45900000000000002</v>
      </c>
      <c r="L301" s="143">
        <f t="shared" si="12"/>
        <v>-247</v>
      </c>
      <c r="M301" s="144">
        <f t="shared" si="13"/>
        <v>-251</v>
      </c>
      <c r="N301" s="143">
        <f t="shared" si="14"/>
        <v>-209.00000000000003</v>
      </c>
      <c r="O301" s="143"/>
    </row>
    <row r="302" spans="1:15">
      <c r="A302" s="81">
        <f>'BC.115+260'!B301</f>
        <v>45539</v>
      </c>
      <c r="B302" s="143">
        <f t="shared" si="15"/>
        <v>288</v>
      </c>
      <c r="C302" s="145">
        <f>'BC.115+260'!M301/1000</f>
        <v>2.0489999999999999</v>
      </c>
      <c r="D302" s="145">
        <f>'BC.115+260'!AA301</f>
        <v>2.4729999999999999</v>
      </c>
      <c r="E302" s="146">
        <f>'BC.115+260'!AB301</f>
        <v>2.0179999999999998</v>
      </c>
      <c r="F302" s="145">
        <f>VLOOKUP($A302,'BC.115+260'!$B$13:$X$489,8,0)/1000</f>
        <v>2.5529999999999999</v>
      </c>
      <c r="G302" s="145">
        <f>VLOOKUP($A302,'BC.115+260'!$B$13:$X$489,9,0)/1000</f>
        <v>-0.44700000000000001</v>
      </c>
      <c r="H302" s="145">
        <f>VLOOKUP($A302,'BC.115+260'!$B$13:$X$489,14,0)/1000</f>
        <v>2.5289999999999999</v>
      </c>
      <c r="I302" s="145">
        <f>VLOOKUP($A302,'BC.115+260'!$B$13:$X$489,15,0)/1000</f>
        <v>-0.47099999999999997</v>
      </c>
      <c r="J302" s="145">
        <f>VLOOKUP($A302,'BC.115+260'!$B$13:$X$489,20,0)/1000</f>
        <v>2.5409999999999999</v>
      </c>
      <c r="K302" s="145">
        <f>VLOOKUP($A302,'BC.115+260'!$B$13:$X$489,21,0)/1000</f>
        <v>-0.45900000000000002</v>
      </c>
      <c r="L302" s="143">
        <f t="shared" si="12"/>
        <v>-247</v>
      </c>
      <c r="M302" s="144">
        <f t="shared" si="13"/>
        <v>-251</v>
      </c>
      <c r="N302" s="143">
        <f t="shared" si="14"/>
        <v>-209.00000000000003</v>
      </c>
      <c r="O302" s="143"/>
    </row>
    <row r="303" spans="1:15">
      <c r="A303" s="81">
        <f>'BC.115+260'!B302</f>
        <v>45540</v>
      </c>
      <c r="B303" s="143">
        <f t="shared" si="15"/>
        <v>289</v>
      </c>
      <c r="C303" s="145">
        <f>'BC.115+260'!M302/1000</f>
        <v>2.0489999999999999</v>
      </c>
      <c r="D303" s="145">
        <f>'BC.115+260'!AA302</f>
        <v>2.4729999999999999</v>
      </c>
      <c r="E303" s="146">
        <f>'BC.115+260'!AB302</f>
        <v>2.0179999999999998</v>
      </c>
      <c r="F303" s="145">
        <f>VLOOKUP($A303,'BC.115+260'!$B$13:$X$489,8,0)/1000</f>
        <v>2.5529999999999999</v>
      </c>
      <c r="G303" s="145">
        <f>VLOOKUP($A303,'BC.115+260'!$B$13:$X$489,9,0)/1000</f>
        <v>-0.44700000000000001</v>
      </c>
      <c r="H303" s="145">
        <f>VLOOKUP($A303,'BC.115+260'!$B$13:$X$489,14,0)/1000</f>
        <v>2.5289999999999999</v>
      </c>
      <c r="I303" s="145">
        <f>VLOOKUP($A303,'BC.115+260'!$B$13:$X$489,15,0)/1000</f>
        <v>-0.47099999999999997</v>
      </c>
      <c r="J303" s="145">
        <f>VLOOKUP($A303,'BC.115+260'!$B$13:$X$489,20,0)/1000</f>
        <v>2.5409999999999999</v>
      </c>
      <c r="K303" s="145">
        <f>VLOOKUP($A303,'BC.115+260'!$B$13:$X$489,21,0)/1000</f>
        <v>-0.45900000000000002</v>
      </c>
      <c r="L303" s="143">
        <f t="shared" si="12"/>
        <v>-247</v>
      </c>
      <c r="M303" s="144">
        <f t="shared" si="13"/>
        <v>-251</v>
      </c>
      <c r="N303" s="143">
        <f t="shared" si="14"/>
        <v>-209.00000000000003</v>
      </c>
      <c r="O303" s="143"/>
    </row>
    <row r="304" spans="1:15">
      <c r="A304" s="81">
        <f>'BC.115+260'!B303</f>
        <v>45541</v>
      </c>
      <c r="B304" s="143">
        <f t="shared" si="15"/>
        <v>290</v>
      </c>
      <c r="C304" s="145">
        <f>'BC.115+260'!M303/1000</f>
        <v>2.0489999999999999</v>
      </c>
      <c r="D304" s="145">
        <f>'BC.115+260'!AA303</f>
        <v>2.4729999999999999</v>
      </c>
      <c r="E304" s="146">
        <f>'BC.115+260'!AB303</f>
        <v>2.0179999999999998</v>
      </c>
      <c r="F304" s="145">
        <f>VLOOKUP($A304,'BC.115+260'!$B$13:$X$489,8,0)/1000</f>
        <v>2.5529999999999999</v>
      </c>
      <c r="G304" s="145">
        <f>VLOOKUP($A304,'BC.115+260'!$B$13:$X$489,9,0)/1000</f>
        <v>-0.44700000000000001</v>
      </c>
      <c r="H304" s="145">
        <f>VLOOKUP($A304,'BC.115+260'!$B$13:$X$489,14,0)/1000</f>
        <v>2.5289999999999999</v>
      </c>
      <c r="I304" s="145">
        <f>VLOOKUP($A304,'BC.115+260'!$B$13:$X$489,15,0)/1000</f>
        <v>-0.47099999999999997</v>
      </c>
      <c r="J304" s="145">
        <f>VLOOKUP($A304,'BC.115+260'!$B$13:$X$489,20,0)/1000</f>
        <v>2.5409999999999999</v>
      </c>
      <c r="K304" s="145">
        <f>VLOOKUP($A304,'BC.115+260'!$B$13:$X$489,21,0)/1000</f>
        <v>-0.45900000000000002</v>
      </c>
      <c r="L304" s="143">
        <f t="shared" si="12"/>
        <v>-247</v>
      </c>
      <c r="M304" s="144">
        <f t="shared" si="13"/>
        <v>-251</v>
      </c>
      <c r="N304" s="143">
        <f t="shared" si="14"/>
        <v>-209.00000000000003</v>
      </c>
      <c r="O304" s="143"/>
    </row>
    <row r="305" spans="1:15">
      <c r="A305" s="81">
        <f>'BC.115+260'!B304</f>
        <v>45542</v>
      </c>
      <c r="B305" s="143">
        <f t="shared" si="15"/>
        <v>291</v>
      </c>
      <c r="C305" s="145">
        <f>'BC.115+260'!M304/1000</f>
        <v>2.0489999999999999</v>
      </c>
      <c r="D305" s="145">
        <f>'BC.115+260'!AA304</f>
        <v>2.4729999999999999</v>
      </c>
      <c r="E305" s="146">
        <f>'BC.115+260'!AB304</f>
        <v>2.0179999999999998</v>
      </c>
      <c r="F305" s="145">
        <f>VLOOKUP($A305,'BC.115+260'!$B$13:$X$489,8,0)/1000</f>
        <v>2.5529999999999999</v>
      </c>
      <c r="G305" s="145">
        <f>VLOOKUP($A305,'BC.115+260'!$B$13:$X$489,9,0)/1000</f>
        <v>-0.44700000000000001</v>
      </c>
      <c r="H305" s="145">
        <f>VLOOKUP($A305,'BC.115+260'!$B$13:$X$489,14,0)/1000</f>
        <v>2.5289999999999999</v>
      </c>
      <c r="I305" s="145">
        <f>VLOOKUP($A305,'BC.115+260'!$B$13:$X$489,15,0)/1000</f>
        <v>-0.47099999999999997</v>
      </c>
      <c r="J305" s="145">
        <f>VLOOKUP($A305,'BC.115+260'!$B$13:$X$489,20,0)/1000</f>
        <v>2.5409999999999999</v>
      </c>
      <c r="K305" s="145">
        <f>VLOOKUP($A305,'BC.115+260'!$B$13:$X$489,21,0)/1000</f>
        <v>-0.45900000000000002</v>
      </c>
      <c r="L305" s="143">
        <f t="shared" si="12"/>
        <v>-247</v>
      </c>
      <c r="M305" s="144">
        <f t="shared" si="13"/>
        <v>-251</v>
      </c>
      <c r="N305" s="143">
        <f t="shared" si="14"/>
        <v>-209.00000000000003</v>
      </c>
      <c r="O305" s="143"/>
    </row>
    <row r="306" spans="1:15">
      <c r="A306" s="81">
        <f>'BC.115+260'!B305</f>
        <v>45543</v>
      </c>
      <c r="B306" s="143">
        <f t="shared" si="15"/>
        <v>292</v>
      </c>
      <c r="C306" s="145">
        <f>'BC.115+260'!M305/1000</f>
        <v>2.0489999999999999</v>
      </c>
      <c r="D306" s="145">
        <f>'BC.115+260'!AA305</f>
        <v>2.4729999999999999</v>
      </c>
      <c r="E306" s="146">
        <f>'BC.115+260'!AB305</f>
        <v>2.0179999999999998</v>
      </c>
      <c r="F306" s="145">
        <f>VLOOKUP($A306,'BC.115+260'!$B$13:$X$489,8,0)/1000</f>
        <v>2.5529999999999999</v>
      </c>
      <c r="G306" s="145">
        <f>VLOOKUP($A306,'BC.115+260'!$B$13:$X$489,9,0)/1000</f>
        <v>-0.44700000000000001</v>
      </c>
      <c r="H306" s="145">
        <f>VLOOKUP($A306,'BC.115+260'!$B$13:$X$489,14,0)/1000</f>
        <v>2.5289999999999999</v>
      </c>
      <c r="I306" s="145">
        <f>VLOOKUP($A306,'BC.115+260'!$B$13:$X$489,15,0)/1000</f>
        <v>-0.47099999999999997</v>
      </c>
      <c r="J306" s="145">
        <f>VLOOKUP($A306,'BC.115+260'!$B$13:$X$489,20,0)/1000</f>
        <v>2.5409999999999999</v>
      </c>
      <c r="K306" s="145">
        <f>VLOOKUP($A306,'BC.115+260'!$B$13:$X$489,21,0)/1000</f>
        <v>-0.45900000000000002</v>
      </c>
      <c r="L306" s="143">
        <f t="shared" si="12"/>
        <v>-247</v>
      </c>
      <c r="M306" s="144">
        <f t="shared" si="13"/>
        <v>-251</v>
      </c>
      <c r="N306" s="143">
        <f t="shared" si="14"/>
        <v>-209.00000000000003</v>
      </c>
      <c r="O306" s="143"/>
    </row>
    <row r="307" spans="1:15">
      <c r="A307" s="81">
        <f>'BC.115+260'!B306</f>
        <v>45544</v>
      </c>
      <c r="B307" s="143">
        <f t="shared" si="15"/>
        <v>293</v>
      </c>
      <c r="C307" s="145">
        <f>'BC.115+260'!M306/1000</f>
        <v>2.0489999999999999</v>
      </c>
      <c r="D307" s="145">
        <f>'BC.115+260'!AA306</f>
        <v>2.4729999999999999</v>
      </c>
      <c r="E307" s="146">
        <f>'BC.115+260'!AB306</f>
        <v>2.0179999999999998</v>
      </c>
      <c r="F307" s="145">
        <f>VLOOKUP($A307,'BC.115+260'!$B$13:$X$489,8,0)/1000</f>
        <v>2.5529999999999999</v>
      </c>
      <c r="G307" s="145">
        <f>VLOOKUP($A307,'BC.115+260'!$B$13:$X$489,9,0)/1000</f>
        <v>-0.44700000000000001</v>
      </c>
      <c r="H307" s="145">
        <f>VLOOKUP($A307,'BC.115+260'!$B$13:$X$489,14,0)/1000</f>
        <v>2.5289999999999999</v>
      </c>
      <c r="I307" s="145">
        <f>VLOOKUP($A307,'BC.115+260'!$B$13:$X$489,15,0)/1000</f>
        <v>-0.47099999999999997</v>
      </c>
      <c r="J307" s="145">
        <f>VLOOKUP($A307,'BC.115+260'!$B$13:$X$489,20,0)/1000</f>
        <v>2.5409999999999999</v>
      </c>
      <c r="K307" s="145">
        <f>VLOOKUP($A307,'BC.115+260'!$B$13:$X$489,21,0)/1000</f>
        <v>-0.45900000000000002</v>
      </c>
      <c r="L307" s="143">
        <f t="shared" si="12"/>
        <v>-247</v>
      </c>
      <c r="M307" s="144">
        <f t="shared" si="13"/>
        <v>-251</v>
      </c>
      <c r="N307" s="143">
        <f t="shared" si="14"/>
        <v>-209.00000000000003</v>
      </c>
      <c r="O307" s="143"/>
    </row>
    <row r="308" spans="1:15">
      <c r="A308" s="81">
        <f>'BC.115+260'!B307</f>
        <v>45545</v>
      </c>
      <c r="B308" s="143">
        <f t="shared" si="15"/>
        <v>294</v>
      </c>
      <c r="C308" s="145">
        <f>'BC.115+260'!M307/1000</f>
        <v>2.0489999999999999</v>
      </c>
      <c r="D308" s="145">
        <f>'BC.115+260'!AA307</f>
        <v>2.4729999999999999</v>
      </c>
      <c r="E308" s="146">
        <f>'BC.115+260'!AB307</f>
        <v>2.0179999999999998</v>
      </c>
      <c r="F308" s="145">
        <f>VLOOKUP($A308,'BC.115+260'!$B$13:$X$489,8,0)/1000</f>
        <v>2.5529999999999999</v>
      </c>
      <c r="G308" s="145">
        <f>VLOOKUP($A308,'BC.115+260'!$B$13:$X$489,9,0)/1000</f>
        <v>-0.44700000000000001</v>
      </c>
      <c r="H308" s="145">
        <f>VLOOKUP($A308,'BC.115+260'!$B$13:$X$489,14,0)/1000</f>
        <v>2.5289999999999999</v>
      </c>
      <c r="I308" s="145">
        <f>VLOOKUP($A308,'BC.115+260'!$B$13:$X$489,15,0)/1000</f>
        <v>-0.47099999999999997</v>
      </c>
      <c r="J308" s="145">
        <f>VLOOKUP($A308,'BC.115+260'!$B$13:$X$489,20,0)/1000</f>
        <v>2.5409999999999999</v>
      </c>
      <c r="K308" s="145">
        <f>VLOOKUP($A308,'BC.115+260'!$B$13:$X$489,21,0)/1000</f>
        <v>-0.45900000000000002</v>
      </c>
      <c r="L308" s="143">
        <f t="shared" si="12"/>
        <v>-247</v>
      </c>
      <c r="M308" s="144">
        <f t="shared" si="13"/>
        <v>-251</v>
      </c>
      <c r="N308" s="143">
        <f t="shared" si="14"/>
        <v>-209.00000000000003</v>
      </c>
      <c r="O308" s="143"/>
    </row>
    <row r="309" spans="1:15">
      <c r="A309" s="81">
        <f>'BC.115+260'!B308</f>
        <v>45546</v>
      </c>
      <c r="B309" s="143">
        <f t="shared" si="15"/>
        <v>295</v>
      </c>
      <c r="C309" s="145">
        <f>'BC.115+260'!M308/1000</f>
        <v>2.0489999999999999</v>
      </c>
      <c r="D309" s="145">
        <f>'BC.115+260'!AA308</f>
        <v>2.4729999999999999</v>
      </c>
      <c r="E309" s="146">
        <f>'BC.115+260'!AB308</f>
        <v>2.0179999999999998</v>
      </c>
      <c r="F309" s="145">
        <f>VLOOKUP($A309,'BC.115+260'!$B$13:$X$489,8,0)/1000</f>
        <v>2.5529999999999999</v>
      </c>
      <c r="G309" s="145">
        <f>VLOOKUP($A309,'BC.115+260'!$B$13:$X$489,9,0)/1000</f>
        <v>-0.44700000000000001</v>
      </c>
      <c r="H309" s="145">
        <f>VLOOKUP($A309,'BC.115+260'!$B$13:$X$489,14,0)/1000</f>
        <v>2.5289999999999999</v>
      </c>
      <c r="I309" s="145">
        <f>VLOOKUP($A309,'BC.115+260'!$B$13:$X$489,15,0)/1000</f>
        <v>-0.47099999999999997</v>
      </c>
      <c r="J309" s="145">
        <f>VLOOKUP($A309,'BC.115+260'!$B$13:$X$489,20,0)/1000</f>
        <v>2.5409999999999999</v>
      </c>
      <c r="K309" s="145">
        <f>VLOOKUP($A309,'BC.115+260'!$B$13:$X$489,21,0)/1000</f>
        <v>-0.45900000000000002</v>
      </c>
      <c r="L309" s="143">
        <f t="shared" si="12"/>
        <v>-247</v>
      </c>
      <c r="M309" s="144">
        <f t="shared" si="13"/>
        <v>-251</v>
      </c>
      <c r="N309" s="143">
        <f t="shared" si="14"/>
        <v>-209.00000000000003</v>
      </c>
      <c r="O309" s="143"/>
    </row>
    <row r="310" spans="1:15">
      <c r="A310" s="81">
        <f>'BC.115+260'!B309</f>
        <v>45547</v>
      </c>
      <c r="B310" s="143">
        <f t="shared" si="15"/>
        <v>296</v>
      </c>
      <c r="C310" s="145">
        <f>'BC.115+260'!M309/1000</f>
        <v>2.0489999999999999</v>
      </c>
      <c r="D310" s="145">
        <f>'BC.115+260'!AA309</f>
        <v>2.4729999999999999</v>
      </c>
      <c r="E310" s="146">
        <f>'BC.115+260'!AB309</f>
        <v>2.0179999999999998</v>
      </c>
      <c r="F310" s="145">
        <f>VLOOKUP($A310,'BC.115+260'!$B$13:$X$489,8,0)/1000</f>
        <v>2.5529999999999999</v>
      </c>
      <c r="G310" s="145">
        <f>VLOOKUP($A310,'BC.115+260'!$B$13:$X$489,9,0)/1000</f>
        <v>-0.44700000000000001</v>
      </c>
      <c r="H310" s="145">
        <f>VLOOKUP($A310,'BC.115+260'!$B$13:$X$489,14,0)/1000</f>
        <v>2.5289999999999999</v>
      </c>
      <c r="I310" s="145">
        <f>VLOOKUP($A310,'BC.115+260'!$B$13:$X$489,15,0)/1000</f>
        <v>-0.47099999999999997</v>
      </c>
      <c r="J310" s="145">
        <f>VLOOKUP($A310,'BC.115+260'!$B$13:$X$489,20,0)/1000</f>
        <v>2.5409999999999999</v>
      </c>
      <c r="K310" s="145">
        <f>VLOOKUP($A310,'BC.115+260'!$B$13:$X$489,21,0)/1000</f>
        <v>-0.45900000000000002</v>
      </c>
      <c r="L310" s="143">
        <f t="shared" si="12"/>
        <v>-247</v>
      </c>
      <c r="M310" s="144">
        <f t="shared" si="13"/>
        <v>-251</v>
      </c>
      <c r="N310" s="143">
        <f t="shared" si="14"/>
        <v>-209.00000000000003</v>
      </c>
      <c r="O310" s="143"/>
    </row>
    <row r="311" spans="1:15">
      <c r="A311" s="81">
        <f>'BC.115+260'!B310</f>
        <v>45548</v>
      </c>
      <c r="B311" s="143">
        <f t="shared" si="15"/>
        <v>297</v>
      </c>
      <c r="C311" s="145">
        <f>'BC.115+260'!M310/1000</f>
        <v>2.0489999999999999</v>
      </c>
      <c r="D311" s="145">
        <f>'BC.115+260'!AA310</f>
        <v>2.4729999999999999</v>
      </c>
      <c r="E311" s="146">
        <f>'BC.115+260'!AB310</f>
        <v>2.0179999999999998</v>
      </c>
      <c r="F311" s="145">
        <f>VLOOKUP($A311,'BC.115+260'!$B$13:$X$489,8,0)/1000</f>
        <v>2.5529999999999999</v>
      </c>
      <c r="G311" s="145">
        <f>VLOOKUP($A311,'BC.115+260'!$B$13:$X$489,9,0)/1000</f>
        <v>-0.44700000000000001</v>
      </c>
      <c r="H311" s="145">
        <f>VLOOKUP($A311,'BC.115+260'!$B$13:$X$489,14,0)/1000</f>
        <v>2.5289999999999999</v>
      </c>
      <c r="I311" s="145">
        <f>VLOOKUP($A311,'BC.115+260'!$B$13:$X$489,15,0)/1000</f>
        <v>-0.47099999999999997</v>
      </c>
      <c r="J311" s="145">
        <f>VLOOKUP($A311,'BC.115+260'!$B$13:$X$489,20,0)/1000</f>
        <v>2.5409999999999999</v>
      </c>
      <c r="K311" s="145">
        <f>VLOOKUP($A311,'BC.115+260'!$B$13:$X$489,21,0)/1000</f>
        <v>-0.45900000000000002</v>
      </c>
      <c r="L311" s="143">
        <f t="shared" si="12"/>
        <v>-247</v>
      </c>
      <c r="M311" s="144">
        <f t="shared" si="13"/>
        <v>-251</v>
      </c>
      <c r="N311" s="143">
        <f t="shared" si="14"/>
        <v>-209.00000000000003</v>
      </c>
      <c r="O311" s="143"/>
    </row>
    <row r="312" spans="1:15">
      <c r="A312" s="81">
        <f>'BC.115+260'!B311</f>
        <v>45549</v>
      </c>
      <c r="B312" s="143">
        <f t="shared" si="15"/>
        <v>298</v>
      </c>
      <c r="C312" s="145">
        <f>'BC.115+260'!M311/1000</f>
        <v>2.0489999999999999</v>
      </c>
      <c r="D312" s="145">
        <f>'BC.115+260'!AA311</f>
        <v>2.4729999999999999</v>
      </c>
      <c r="E312" s="146">
        <f>'BC.115+260'!AB311</f>
        <v>2.0179999999999998</v>
      </c>
      <c r="F312" s="145">
        <f>VLOOKUP($A312,'BC.115+260'!$B$13:$X$489,8,0)/1000</f>
        <v>2.5529999999999999</v>
      </c>
      <c r="G312" s="145">
        <f>VLOOKUP($A312,'BC.115+260'!$B$13:$X$489,9,0)/1000</f>
        <v>-0.44700000000000001</v>
      </c>
      <c r="H312" s="145">
        <f>VLOOKUP($A312,'BC.115+260'!$B$13:$X$489,14,0)/1000</f>
        <v>2.5289999999999999</v>
      </c>
      <c r="I312" s="145">
        <f>VLOOKUP($A312,'BC.115+260'!$B$13:$X$489,15,0)/1000</f>
        <v>-0.47099999999999997</v>
      </c>
      <c r="J312" s="145">
        <f>VLOOKUP($A312,'BC.115+260'!$B$13:$X$489,20,0)/1000</f>
        <v>2.5409999999999999</v>
      </c>
      <c r="K312" s="145">
        <f>VLOOKUP($A312,'BC.115+260'!$B$13:$X$489,21,0)/1000</f>
        <v>-0.45900000000000002</v>
      </c>
      <c r="L312" s="143">
        <f t="shared" si="12"/>
        <v>-247</v>
      </c>
      <c r="M312" s="144">
        <f t="shared" si="13"/>
        <v>-251</v>
      </c>
      <c r="N312" s="143">
        <f t="shared" si="14"/>
        <v>-209.00000000000003</v>
      </c>
      <c r="O312" s="143"/>
    </row>
    <row r="313" spans="1:15">
      <c r="A313" s="81">
        <f>'BC.115+260'!B312</f>
        <v>45550</v>
      </c>
      <c r="B313" s="143">
        <f t="shared" si="15"/>
        <v>299</v>
      </c>
      <c r="C313" s="145">
        <f>'BC.115+260'!M312/1000</f>
        <v>2.0489999999999999</v>
      </c>
      <c r="D313" s="145">
        <f>'BC.115+260'!AA312</f>
        <v>2.4729999999999999</v>
      </c>
      <c r="E313" s="146">
        <f>'BC.115+260'!AB312</f>
        <v>2.0179999999999998</v>
      </c>
      <c r="F313" s="145">
        <f>VLOOKUP($A313,'BC.115+260'!$B$13:$X$489,8,0)/1000</f>
        <v>2.5529999999999999</v>
      </c>
      <c r="G313" s="145">
        <f>VLOOKUP($A313,'BC.115+260'!$B$13:$X$489,9,0)/1000</f>
        <v>-0.44700000000000001</v>
      </c>
      <c r="H313" s="145">
        <f>VLOOKUP($A313,'BC.115+260'!$B$13:$X$489,14,0)/1000</f>
        <v>2.5289999999999999</v>
      </c>
      <c r="I313" s="145">
        <f>VLOOKUP($A313,'BC.115+260'!$B$13:$X$489,15,0)/1000</f>
        <v>-0.47099999999999997</v>
      </c>
      <c r="J313" s="145">
        <f>VLOOKUP($A313,'BC.115+260'!$B$13:$X$489,20,0)/1000</f>
        <v>2.5409999999999999</v>
      </c>
      <c r="K313" s="145">
        <f>VLOOKUP($A313,'BC.115+260'!$B$13:$X$489,21,0)/1000</f>
        <v>-0.45900000000000002</v>
      </c>
      <c r="L313" s="143">
        <f t="shared" si="12"/>
        <v>-247</v>
      </c>
      <c r="M313" s="144">
        <f t="shared" si="13"/>
        <v>-251</v>
      </c>
      <c r="N313" s="143">
        <f t="shared" si="14"/>
        <v>-209.00000000000003</v>
      </c>
      <c r="O313" s="143"/>
    </row>
    <row r="314" spans="1:15">
      <c r="A314" s="81">
        <f>'BC.115+260'!B313</f>
        <v>45551</v>
      </c>
      <c r="B314" s="143">
        <f t="shared" si="15"/>
        <v>300</v>
      </c>
      <c r="C314" s="145">
        <f>'BC.115+260'!M313/1000</f>
        <v>2.0489999999999999</v>
      </c>
      <c r="D314" s="145">
        <f>'BC.115+260'!AA313</f>
        <v>2.4729999999999999</v>
      </c>
      <c r="E314" s="146">
        <f>'BC.115+260'!AB313</f>
        <v>2.0179999999999998</v>
      </c>
      <c r="F314" s="145">
        <f>VLOOKUP($A314,'BC.115+260'!$B$13:$X$489,8,0)/1000</f>
        <v>2.5529999999999999</v>
      </c>
      <c r="G314" s="145">
        <f>VLOOKUP($A314,'BC.115+260'!$B$13:$X$489,9,0)/1000</f>
        <v>-0.44700000000000001</v>
      </c>
      <c r="H314" s="145">
        <f>VLOOKUP($A314,'BC.115+260'!$B$13:$X$489,14,0)/1000</f>
        <v>2.5289999999999999</v>
      </c>
      <c r="I314" s="145">
        <f>VLOOKUP($A314,'BC.115+260'!$B$13:$X$489,15,0)/1000</f>
        <v>-0.47099999999999997</v>
      </c>
      <c r="J314" s="145">
        <f>VLOOKUP($A314,'BC.115+260'!$B$13:$X$489,20,0)/1000</f>
        <v>2.5409999999999999</v>
      </c>
      <c r="K314" s="145">
        <f>VLOOKUP($A314,'BC.115+260'!$B$13:$X$489,21,0)/1000</f>
        <v>-0.45900000000000002</v>
      </c>
      <c r="L314" s="143">
        <f t="shared" si="12"/>
        <v>-247</v>
      </c>
      <c r="M314" s="144">
        <f t="shared" si="13"/>
        <v>-251</v>
      </c>
      <c r="N314" s="143">
        <f t="shared" si="14"/>
        <v>-209.00000000000003</v>
      </c>
      <c r="O314" s="143"/>
    </row>
    <row r="315" spans="1:15">
      <c r="A315" s="81">
        <f>'BC.115+260'!B314</f>
        <v>45552</v>
      </c>
      <c r="B315" s="143">
        <f t="shared" si="15"/>
        <v>301</v>
      </c>
      <c r="C315" s="145">
        <f>'BC.115+260'!M314/1000</f>
        <v>2.0489999999999999</v>
      </c>
      <c r="D315" s="145">
        <f>'BC.115+260'!AA314</f>
        <v>2.4729999999999999</v>
      </c>
      <c r="E315" s="146">
        <f>'BC.115+260'!AB314</f>
        <v>2.0179999999999998</v>
      </c>
      <c r="F315" s="145">
        <f>VLOOKUP($A315,'BC.115+260'!$B$13:$X$489,8,0)/1000</f>
        <v>2.5529999999999999</v>
      </c>
      <c r="G315" s="145">
        <f>VLOOKUP($A315,'BC.115+260'!$B$13:$X$489,9,0)/1000</f>
        <v>-0.44700000000000001</v>
      </c>
      <c r="H315" s="145">
        <f>VLOOKUP($A315,'BC.115+260'!$B$13:$X$489,14,0)/1000</f>
        <v>2.5289999999999999</v>
      </c>
      <c r="I315" s="145">
        <f>VLOOKUP($A315,'BC.115+260'!$B$13:$X$489,15,0)/1000</f>
        <v>-0.47099999999999997</v>
      </c>
      <c r="J315" s="145">
        <f>VLOOKUP($A315,'BC.115+260'!$B$13:$X$489,20,0)/1000</f>
        <v>2.5409999999999999</v>
      </c>
      <c r="K315" s="145">
        <f>VLOOKUP($A315,'BC.115+260'!$B$13:$X$489,21,0)/1000</f>
        <v>-0.45900000000000002</v>
      </c>
      <c r="L315" s="143">
        <f t="shared" si="12"/>
        <v>-247</v>
      </c>
      <c r="M315" s="144">
        <f t="shared" si="13"/>
        <v>-251</v>
      </c>
      <c r="N315" s="143">
        <f t="shared" si="14"/>
        <v>-209.00000000000003</v>
      </c>
      <c r="O315" s="143"/>
    </row>
    <row r="316" spans="1:15">
      <c r="A316" s="81">
        <f>'BC.115+260'!B315</f>
        <v>45553</v>
      </c>
      <c r="B316" s="143">
        <f t="shared" si="15"/>
        <v>302</v>
      </c>
      <c r="C316" s="145">
        <f>'BC.115+260'!M315/1000</f>
        <v>2.0489999999999999</v>
      </c>
      <c r="D316" s="145">
        <f>'BC.115+260'!AA315</f>
        <v>2.4729999999999999</v>
      </c>
      <c r="E316" s="146">
        <f>'BC.115+260'!AB315</f>
        <v>2.0179999999999998</v>
      </c>
      <c r="F316" s="145">
        <f>VLOOKUP($A316,'BC.115+260'!$B$13:$X$489,8,0)/1000</f>
        <v>2.5529999999999999</v>
      </c>
      <c r="G316" s="145">
        <f>VLOOKUP($A316,'BC.115+260'!$B$13:$X$489,9,0)/1000</f>
        <v>-0.44700000000000001</v>
      </c>
      <c r="H316" s="145">
        <f>VLOOKUP($A316,'BC.115+260'!$B$13:$X$489,14,0)/1000</f>
        <v>2.5289999999999999</v>
      </c>
      <c r="I316" s="145">
        <f>VLOOKUP($A316,'BC.115+260'!$B$13:$X$489,15,0)/1000</f>
        <v>-0.47099999999999997</v>
      </c>
      <c r="J316" s="145">
        <f>VLOOKUP($A316,'BC.115+260'!$B$13:$X$489,20,0)/1000</f>
        <v>2.5409999999999999</v>
      </c>
      <c r="K316" s="145">
        <f>VLOOKUP($A316,'BC.115+260'!$B$13:$X$489,21,0)/1000</f>
        <v>-0.45900000000000002</v>
      </c>
      <c r="L316" s="143">
        <f t="shared" si="12"/>
        <v>-247</v>
      </c>
      <c r="M316" s="144">
        <f t="shared" si="13"/>
        <v>-251</v>
      </c>
      <c r="N316" s="143">
        <f t="shared" si="14"/>
        <v>-209.00000000000003</v>
      </c>
      <c r="O316" s="143"/>
    </row>
    <row r="317" spans="1:15">
      <c r="A317" s="81">
        <f>'BC.115+260'!B316</f>
        <v>45554</v>
      </c>
      <c r="B317" s="143">
        <f t="shared" si="15"/>
        <v>303</v>
      </c>
      <c r="C317" s="145">
        <f>'BC.115+260'!M316/1000</f>
        <v>2.0489999999999999</v>
      </c>
      <c r="D317" s="145">
        <f>'BC.115+260'!AA316</f>
        <v>2.4729999999999999</v>
      </c>
      <c r="E317" s="146">
        <f>'BC.115+260'!AB316</f>
        <v>2.0179999999999998</v>
      </c>
      <c r="F317" s="145">
        <f>VLOOKUP($A317,'BC.115+260'!$B$13:$X$489,8,0)/1000</f>
        <v>2.5529999999999999</v>
      </c>
      <c r="G317" s="145">
        <f>VLOOKUP($A317,'BC.115+260'!$B$13:$X$489,9,0)/1000</f>
        <v>-0.44700000000000001</v>
      </c>
      <c r="H317" s="145">
        <f>VLOOKUP($A317,'BC.115+260'!$B$13:$X$489,14,0)/1000</f>
        <v>2.5289999999999999</v>
      </c>
      <c r="I317" s="145">
        <f>VLOOKUP($A317,'BC.115+260'!$B$13:$X$489,15,0)/1000</f>
        <v>-0.47099999999999997</v>
      </c>
      <c r="J317" s="145">
        <f>VLOOKUP($A317,'BC.115+260'!$B$13:$X$489,20,0)/1000</f>
        <v>2.5409999999999999</v>
      </c>
      <c r="K317" s="145">
        <f>VLOOKUP($A317,'BC.115+260'!$B$13:$X$489,21,0)/1000</f>
        <v>-0.45900000000000002</v>
      </c>
      <c r="L317" s="143">
        <f t="shared" si="12"/>
        <v>-247</v>
      </c>
      <c r="M317" s="144">
        <f t="shared" si="13"/>
        <v>-251</v>
      </c>
      <c r="N317" s="143">
        <f t="shared" si="14"/>
        <v>-209.00000000000003</v>
      </c>
      <c r="O317" s="143"/>
    </row>
    <row r="318" spans="1:15">
      <c r="A318" s="81">
        <f>'BC.115+260'!B317</f>
        <v>45555</v>
      </c>
      <c r="B318" s="143">
        <f t="shared" si="15"/>
        <v>304</v>
      </c>
      <c r="C318" s="145">
        <f>'BC.115+260'!M317/1000</f>
        <v>2.0489999999999999</v>
      </c>
      <c r="D318" s="145">
        <f>'BC.115+260'!AA317</f>
        <v>2.4729999999999999</v>
      </c>
      <c r="E318" s="146">
        <f>'BC.115+260'!AB317</f>
        <v>2.0179999999999998</v>
      </c>
      <c r="F318" s="145">
        <f>VLOOKUP($A318,'BC.115+260'!$B$13:$X$489,8,0)/1000</f>
        <v>2.5529999999999999</v>
      </c>
      <c r="G318" s="145">
        <f>VLOOKUP($A318,'BC.115+260'!$B$13:$X$489,9,0)/1000</f>
        <v>-0.44700000000000001</v>
      </c>
      <c r="H318" s="145">
        <f>VLOOKUP($A318,'BC.115+260'!$B$13:$X$489,14,0)/1000</f>
        <v>2.5289999999999999</v>
      </c>
      <c r="I318" s="145">
        <f>VLOOKUP($A318,'BC.115+260'!$B$13:$X$489,15,0)/1000</f>
        <v>-0.47099999999999997</v>
      </c>
      <c r="J318" s="145">
        <f>VLOOKUP($A318,'BC.115+260'!$B$13:$X$489,20,0)/1000</f>
        <v>2.5409999999999999</v>
      </c>
      <c r="K318" s="145">
        <f>VLOOKUP($A318,'BC.115+260'!$B$13:$X$489,21,0)/1000</f>
        <v>-0.45900000000000002</v>
      </c>
      <c r="L318" s="143">
        <f t="shared" si="12"/>
        <v>-247</v>
      </c>
      <c r="M318" s="144">
        <f t="shared" si="13"/>
        <v>-251</v>
      </c>
      <c r="N318" s="143">
        <f t="shared" si="14"/>
        <v>-209.00000000000003</v>
      </c>
      <c r="O318" s="143"/>
    </row>
    <row r="319" spans="1:15">
      <c r="A319" s="81">
        <f>'BC.115+260'!B318</f>
        <v>45556</v>
      </c>
      <c r="B319" s="143">
        <f t="shared" si="15"/>
        <v>305</v>
      </c>
      <c r="C319" s="145">
        <f>'BC.115+260'!M318/1000</f>
        <v>2.0489999999999999</v>
      </c>
      <c r="D319" s="145">
        <f>'BC.115+260'!AA318</f>
        <v>2.4729999999999999</v>
      </c>
      <c r="E319" s="146">
        <f>'BC.115+260'!AB318</f>
        <v>2.0179999999999998</v>
      </c>
      <c r="F319" s="145">
        <f>VLOOKUP($A319,'BC.115+260'!$B$13:$X$489,8,0)/1000</f>
        <v>2.5529999999999999</v>
      </c>
      <c r="G319" s="145">
        <f>VLOOKUP($A319,'BC.115+260'!$B$13:$X$489,9,0)/1000</f>
        <v>-0.44700000000000001</v>
      </c>
      <c r="H319" s="145">
        <f>VLOOKUP($A319,'BC.115+260'!$B$13:$X$489,14,0)/1000</f>
        <v>2.5289999999999999</v>
      </c>
      <c r="I319" s="145">
        <f>VLOOKUP($A319,'BC.115+260'!$B$13:$X$489,15,0)/1000</f>
        <v>-0.47099999999999997</v>
      </c>
      <c r="J319" s="145">
        <f>VLOOKUP($A319,'BC.115+260'!$B$13:$X$489,20,0)/1000</f>
        <v>2.5409999999999999</v>
      </c>
      <c r="K319" s="145">
        <f>VLOOKUP($A319,'BC.115+260'!$B$13:$X$489,21,0)/1000</f>
        <v>-0.45900000000000002</v>
      </c>
      <c r="L319" s="143">
        <f t="shared" si="12"/>
        <v>-247</v>
      </c>
      <c r="M319" s="144">
        <f t="shared" si="13"/>
        <v>-251</v>
      </c>
      <c r="N319" s="143">
        <f t="shared" si="14"/>
        <v>-209.00000000000003</v>
      </c>
      <c r="O319" s="143"/>
    </row>
    <row r="320" spans="1:15">
      <c r="A320" s="81">
        <f>'BC.115+260'!B319</f>
        <v>45557</v>
      </c>
      <c r="B320" s="143">
        <f t="shared" si="15"/>
        <v>306</v>
      </c>
      <c r="C320" s="145">
        <f>'BC.115+260'!M319/1000</f>
        <v>2.0489999999999999</v>
      </c>
      <c r="D320" s="145">
        <f>'BC.115+260'!AA319</f>
        <v>2.4729999999999999</v>
      </c>
      <c r="E320" s="146">
        <f>'BC.115+260'!AB319</f>
        <v>2.0179999999999998</v>
      </c>
      <c r="F320" s="145">
        <f>VLOOKUP($A320,'BC.115+260'!$B$13:$X$489,8,0)/1000</f>
        <v>2.5529999999999999</v>
      </c>
      <c r="G320" s="145">
        <f>VLOOKUP($A320,'BC.115+260'!$B$13:$X$489,9,0)/1000</f>
        <v>-0.44700000000000001</v>
      </c>
      <c r="H320" s="145">
        <f>VLOOKUP($A320,'BC.115+260'!$B$13:$X$489,14,0)/1000</f>
        <v>2.5289999999999999</v>
      </c>
      <c r="I320" s="145">
        <f>VLOOKUP($A320,'BC.115+260'!$B$13:$X$489,15,0)/1000</f>
        <v>-0.47099999999999997</v>
      </c>
      <c r="J320" s="145">
        <f>VLOOKUP($A320,'BC.115+260'!$B$13:$X$489,20,0)/1000</f>
        <v>2.5409999999999999</v>
      </c>
      <c r="K320" s="145">
        <f>VLOOKUP($A320,'BC.115+260'!$B$13:$X$489,21,0)/1000</f>
        <v>-0.45900000000000002</v>
      </c>
      <c r="L320" s="143">
        <f t="shared" si="12"/>
        <v>-247</v>
      </c>
      <c r="M320" s="144">
        <f t="shared" si="13"/>
        <v>-251</v>
      </c>
      <c r="N320" s="143">
        <f t="shared" si="14"/>
        <v>-209.00000000000003</v>
      </c>
      <c r="O320" s="143"/>
    </row>
    <row r="321" spans="1:15">
      <c r="A321" s="81">
        <f>'BC.115+260'!B320</f>
        <v>45558</v>
      </c>
      <c r="B321" s="143">
        <f t="shared" si="15"/>
        <v>307</v>
      </c>
      <c r="C321" s="145">
        <f>'BC.115+260'!M320/1000</f>
        <v>2.0489999999999999</v>
      </c>
      <c r="D321" s="145">
        <f>'BC.115+260'!AA320</f>
        <v>2.4729999999999999</v>
      </c>
      <c r="E321" s="146">
        <f>'BC.115+260'!AB320</f>
        <v>2.0179999999999998</v>
      </c>
      <c r="F321" s="145">
        <f>VLOOKUP($A321,'BC.115+260'!$B$13:$X$489,8,0)/1000</f>
        <v>2.5529999999999999</v>
      </c>
      <c r="G321" s="145">
        <f>VLOOKUP($A321,'BC.115+260'!$B$13:$X$489,9,0)/1000</f>
        <v>-0.44700000000000001</v>
      </c>
      <c r="H321" s="145">
        <f>VLOOKUP($A321,'BC.115+260'!$B$13:$X$489,14,0)/1000</f>
        <v>2.5289999999999999</v>
      </c>
      <c r="I321" s="145">
        <f>VLOOKUP($A321,'BC.115+260'!$B$13:$X$489,15,0)/1000</f>
        <v>-0.47099999999999997</v>
      </c>
      <c r="J321" s="145">
        <f>VLOOKUP($A321,'BC.115+260'!$B$13:$X$489,20,0)/1000</f>
        <v>2.5409999999999999</v>
      </c>
      <c r="K321" s="145">
        <f>VLOOKUP($A321,'BC.115+260'!$B$13:$X$489,21,0)/1000</f>
        <v>-0.45900000000000002</v>
      </c>
      <c r="L321" s="143">
        <f t="shared" si="12"/>
        <v>-247</v>
      </c>
      <c r="M321" s="144">
        <f t="shared" si="13"/>
        <v>-251</v>
      </c>
      <c r="N321" s="143">
        <f t="shared" si="14"/>
        <v>-209.00000000000003</v>
      </c>
      <c r="O321" s="143"/>
    </row>
    <row r="322" spans="1:15">
      <c r="A322" s="81">
        <f>'BC.115+260'!B321</f>
        <v>45559</v>
      </c>
      <c r="B322" s="143">
        <f t="shared" si="15"/>
        <v>308</v>
      </c>
      <c r="C322" s="145">
        <f>'BC.115+260'!M321/1000</f>
        <v>2.0489999999999999</v>
      </c>
      <c r="D322" s="145">
        <f>'BC.115+260'!AA321</f>
        <v>2.4729999999999999</v>
      </c>
      <c r="E322" s="146">
        <f>'BC.115+260'!AB321</f>
        <v>2.0179999999999998</v>
      </c>
      <c r="F322" s="145">
        <f>VLOOKUP($A322,'BC.115+260'!$B$13:$X$489,8,0)/1000</f>
        <v>2.5529999999999999</v>
      </c>
      <c r="G322" s="145">
        <f>VLOOKUP($A322,'BC.115+260'!$B$13:$X$489,9,0)/1000</f>
        <v>-0.44700000000000001</v>
      </c>
      <c r="H322" s="145">
        <f>VLOOKUP($A322,'BC.115+260'!$B$13:$X$489,14,0)/1000</f>
        <v>2.5289999999999999</v>
      </c>
      <c r="I322" s="145">
        <f>VLOOKUP($A322,'BC.115+260'!$B$13:$X$489,15,0)/1000</f>
        <v>-0.47099999999999997</v>
      </c>
      <c r="J322" s="145">
        <f>VLOOKUP($A322,'BC.115+260'!$B$13:$X$489,20,0)/1000</f>
        <v>2.5409999999999999</v>
      </c>
      <c r="K322" s="145">
        <f>VLOOKUP($A322,'BC.115+260'!$B$13:$X$489,21,0)/1000</f>
        <v>-0.45900000000000002</v>
      </c>
      <c r="L322" s="143">
        <f t="shared" si="12"/>
        <v>-247</v>
      </c>
      <c r="M322" s="144">
        <f t="shared" si="13"/>
        <v>-251</v>
      </c>
      <c r="N322" s="143">
        <f t="shared" si="14"/>
        <v>-209.00000000000003</v>
      </c>
      <c r="O322" s="143"/>
    </row>
    <row r="323" spans="1:15">
      <c r="A323" s="81">
        <f>'BC.115+260'!B322</f>
        <v>45560</v>
      </c>
      <c r="B323" s="143">
        <f t="shared" si="15"/>
        <v>309</v>
      </c>
      <c r="C323" s="145">
        <f>'BC.115+260'!M322/1000</f>
        <v>2.0489999999999999</v>
      </c>
      <c r="D323" s="145">
        <f>'BC.115+260'!AA322</f>
        <v>2.4729999999999999</v>
      </c>
      <c r="E323" s="146">
        <f>'BC.115+260'!AB322</f>
        <v>2.0179999999999998</v>
      </c>
      <c r="F323" s="145">
        <f>VLOOKUP($A323,'BC.115+260'!$B$13:$X$489,8,0)/1000</f>
        <v>2.5529999999999999</v>
      </c>
      <c r="G323" s="145">
        <f>VLOOKUP($A323,'BC.115+260'!$B$13:$X$489,9,0)/1000</f>
        <v>-0.44700000000000001</v>
      </c>
      <c r="H323" s="145">
        <f>VLOOKUP($A323,'BC.115+260'!$B$13:$X$489,14,0)/1000</f>
        <v>2.5289999999999999</v>
      </c>
      <c r="I323" s="145">
        <f>VLOOKUP($A323,'BC.115+260'!$B$13:$X$489,15,0)/1000</f>
        <v>-0.47099999999999997</v>
      </c>
      <c r="J323" s="145">
        <f>VLOOKUP($A323,'BC.115+260'!$B$13:$X$489,20,0)/1000</f>
        <v>2.5409999999999999</v>
      </c>
      <c r="K323" s="145">
        <f>VLOOKUP($A323,'BC.115+260'!$B$13:$X$489,21,0)/1000</f>
        <v>-0.45900000000000002</v>
      </c>
      <c r="L323" s="143">
        <f t="shared" si="12"/>
        <v>-247</v>
      </c>
      <c r="M323" s="144">
        <f t="shared" si="13"/>
        <v>-251</v>
      </c>
      <c r="N323" s="143">
        <f t="shared" si="14"/>
        <v>-209.00000000000003</v>
      </c>
      <c r="O323" s="143"/>
    </row>
    <row r="324" spans="1:15">
      <c r="A324" s="81">
        <f>'BC.115+260'!B323</f>
        <v>45561</v>
      </c>
      <c r="B324" s="143">
        <f t="shared" si="15"/>
        <v>310</v>
      </c>
      <c r="C324" s="145">
        <f>'BC.115+260'!M323/1000</f>
        <v>2.0489999999999999</v>
      </c>
      <c r="D324" s="145">
        <f>'BC.115+260'!AA323</f>
        <v>2.4729999999999999</v>
      </c>
      <c r="E324" s="146">
        <f>'BC.115+260'!AB323</f>
        <v>2.0179999999999998</v>
      </c>
      <c r="F324" s="145">
        <f>VLOOKUP($A324,'BC.115+260'!$B$13:$X$489,8,0)/1000</f>
        <v>2.5529999999999999</v>
      </c>
      <c r="G324" s="145">
        <f>VLOOKUP($A324,'BC.115+260'!$B$13:$X$489,9,0)/1000</f>
        <v>-0.44700000000000001</v>
      </c>
      <c r="H324" s="145">
        <f>VLOOKUP($A324,'BC.115+260'!$B$13:$X$489,14,0)/1000</f>
        <v>2.5289999999999999</v>
      </c>
      <c r="I324" s="145">
        <f>VLOOKUP($A324,'BC.115+260'!$B$13:$X$489,15,0)/1000</f>
        <v>-0.47099999999999997</v>
      </c>
      <c r="J324" s="145">
        <f>VLOOKUP($A324,'BC.115+260'!$B$13:$X$489,20,0)/1000</f>
        <v>2.5409999999999999</v>
      </c>
      <c r="K324" s="145">
        <f>VLOOKUP($A324,'BC.115+260'!$B$13:$X$489,21,0)/1000</f>
        <v>-0.45900000000000002</v>
      </c>
      <c r="L324" s="143">
        <f t="shared" si="12"/>
        <v>-247</v>
      </c>
      <c r="M324" s="144">
        <f t="shared" si="13"/>
        <v>-251</v>
      </c>
      <c r="N324" s="143">
        <f t="shared" si="14"/>
        <v>-209.00000000000003</v>
      </c>
      <c r="O324" s="143"/>
    </row>
    <row r="325" spans="1:15">
      <c r="A325" s="81">
        <f>'BC.115+260'!B324</f>
        <v>45562</v>
      </c>
      <c r="B325" s="143">
        <f t="shared" si="15"/>
        <v>311</v>
      </c>
      <c r="C325" s="145">
        <f>'BC.115+260'!M324/1000</f>
        <v>2.0489999999999999</v>
      </c>
      <c r="D325" s="145">
        <f>'BC.115+260'!AA324</f>
        <v>2.4729999999999999</v>
      </c>
      <c r="E325" s="146">
        <f>'BC.115+260'!AB324</f>
        <v>2.0179999999999998</v>
      </c>
      <c r="F325" s="145">
        <f>VLOOKUP($A325,'BC.115+260'!$B$13:$X$489,8,0)/1000</f>
        <v>2.5529999999999999</v>
      </c>
      <c r="G325" s="145">
        <f>VLOOKUP($A325,'BC.115+260'!$B$13:$X$489,9,0)/1000</f>
        <v>-0.44700000000000001</v>
      </c>
      <c r="H325" s="145">
        <f>VLOOKUP($A325,'BC.115+260'!$B$13:$X$489,14,0)/1000</f>
        <v>2.5289999999999999</v>
      </c>
      <c r="I325" s="145">
        <f>VLOOKUP($A325,'BC.115+260'!$B$13:$X$489,15,0)/1000</f>
        <v>-0.47099999999999997</v>
      </c>
      <c r="J325" s="145">
        <f>VLOOKUP($A325,'BC.115+260'!$B$13:$X$489,20,0)/1000</f>
        <v>2.5409999999999999</v>
      </c>
      <c r="K325" s="145">
        <f>VLOOKUP($A325,'BC.115+260'!$B$13:$X$489,21,0)/1000</f>
        <v>-0.45900000000000002</v>
      </c>
      <c r="L325" s="143">
        <f t="shared" si="12"/>
        <v>-247</v>
      </c>
      <c r="M325" s="144">
        <f t="shared" si="13"/>
        <v>-251</v>
      </c>
      <c r="N325" s="143">
        <f t="shared" si="14"/>
        <v>-209.00000000000003</v>
      </c>
      <c r="O325" s="143"/>
    </row>
    <row r="326" spans="1:15">
      <c r="A326" s="81">
        <f>'BC.115+260'!B325</f>
        <v>45563</v>
      </c>
      <c r="B326" s="143">
        <f t="shared" si="15"/>
        <v>312</v>
      </c>
      <c r="C326" s="145">
        <f>'BC.115+260'!M325/1000</f>
        <v>2.0489999999999999</v>
      </c>
      <c r="D326" s="145">
        <f>'BC.115+260'!AA325</f>
        <v>2.4729999999999999</v>
      </c>
      <c r="E326" s="146">
        <f>'BC.115+260'!AB325</f>
        <v>2.0179999999999998</v>
      </c>
      <c r="F326" s="145">
        <f>VLOOKUP($A326,'BC.115+260'!$B$13:$X$489,8,0)/1000</f>
        <v>2.5529999999999999</v>
      </c>
      <c r="G326" s="145">
        <f>VLOOKUP($A326,'BC.115+260'!$B$13:$X$489,9,0)/1000</f>
        <v>-0.44700000000000001</v>
      </c>
      <c r="H326" s="145">
        <f>VLOOKUP($A326,'BC.115+260'!$B$13:$X$489,14,0)/1000</f>
        <v>2.5289999999999999</v>
      </c>
      <c r="I326" s="145">
        <f>VLOOKUP($A326,'BC.115+260'!$B$13:$X$489,15,0)/1000</f>
        <v>-0.47099999999999997</v>
      </c>
      <c r="J326" s="145">
        <f>VLOOKUP($A326,'BC.115+260'!$B$13:$X$489,20,0)/1000</f>
        <v>2.5409999999999999</v>
      </c>
      <c r="K326" s="145">
        <f>VLOOKUP($A326,'BC.115+260'!$B$13:$X$489,21,0)/1000</f>
        <v>-0.45900000000000002</v>
      </c>
      <c r="L326" s="143">
        <f t="shared" si="12"/>
        <v>-247</v>
      </c>
      <c r="M326" s="144">
        <f t="shared" si="13"/>
        <v>-251</v>
      </c>
      <c r="N326" s="143">
        <f t="shared" si="14"/>
        <v>-209.00000000000003</v>
      </c>
      <c r="O326" s="143"/>
    </row>
    <row r="327" spans="1:15">
      <c r="A327" s="81">
        <f>'BC.115+260'!B326</f>
        <v>45564</v>
      </c>
      <c r="B327" s="143">
        <f t="shared" si="15"/>
        <v>313</v>
      </c>
      <c r="C327" s="145">
        <f>'BC.115+260'!M326/1000</f>
        <v>2.0489999999999999</v>
      </c>
      <c r="D327" s="145">
        <f>'BC.115+260'!AA326</f>
        <v>2.4729999999999999</v>
      </c>
      <c r="E327" s="146">
        <f>'BC.115+260'!AB326</f>
        <v>2.0179999999999998</v>
      </c>
      <c r="F327" s="145">
        <f>VLOOKUP($A327,'BC.115+260'!$B$13:$X$489,8,0)/1000</f>
        <v>2.5529999999999999</v>
      </c>
      <c r="G327" s="145">
        <f>VLOOKUP($A327,'BC.115+260'!$B$13:$X$489,9,0)/1000</f>
        <v>-0.44700000000000001</v>
      </c>
      <c r="H327" s="145">
        <f>VLOOKUP($A327,'BC.115+260'!$B$13:$X$489,14,0)/1000</f>
        <v>2.5289999999999999</v>
      </c>
      <c r="I327" s="145">
        <f>VLOOKUP($A327,'BC.115+260'!$B$13:$X$489,15,0)/1000</f>
        <v>-0.47099999999999997</v>
      </c>
      <c r="J327" s="145">
        <f>VLOOKUP($A327,'BC.115+260'!$B$13:$X$489,20,0)/1000</f>
        <v>2.5409999999999999</v>
      </c>
      <c r="K327" s="145">
        <f>VLOOKUP($A327,'BC.115+260'!$B$13:$X$489,21,0)/1000</f>
        <v>-0.45900000000000002</v>
      </c>
      <c r="L327" s="143">
        <f t="shared" si="12"/>
        <v>-247</v>
      </c>
      <c r="M327" s="144">
        <f t="shared" si="13"/>
        <v>-251</v>
      </c>
      <c r="N327" s="143">
        <f t="shared" si="14"/>
        <v>-209.00000000000003</v>
      </c>
      <c r="O327" s="143"/>
    </row>
    <row r="328" spans="1:15">
      <c r="A328" s="81">
        <f>'BC.115+260'!B327</f>
        <v>45565</v>
      </c>
      <c r="B328" s="143">
        <f t="shared" si="15"/>
        <v>314</v>
      </c>
      <c r="C328" s="145">
        <f>'BC.115+260'!M327/1000</f>
        <v>2.0489999999999999</v>
      </c>
      <c r="D328" s="145">
        <f>'BC.115+260'!AA327</f>
        <v>2.4729999999999999</v>
      </c>
      <c r="E328" s="146">
        <f>'BC.115+260'!AB327</f>
        <v>2.0179999999999998</v>
      </c>
      <c r="F328" s="145">
        <f>VLOOKUP($A328,'BC.115+260'!$B$13:$X$489,8,0)/1000</f>
        <v>2.5529999999999999</v>
      </c>
      <c r="G328" s="145">
        <f>VLOOKUP($A328,'BC.115+260'!$B$13:$X$489,9,0)/1000</f>
        <v>-0.44700000000000001</v>
      </c>
      <c r="H328" s="145">
        <f>VLOOKUP($A328,'BC.115+260'!$B$13:$X$489,14,0)/1000</f>
        <v>2.5289999999999999</v>
      </c>
      <c r="I328" s="145">
        <f>VLOOKUP($A328,'BC.115+260'!$B$13:$X$489,15,0)/1000</f>
        <v>-0.47099999999999997</v>
      </c>
      <c r="J328" s="145">
        <f>VLOOKUP($A328,'BC.115+260'!$B$13:$X$489,20,0)/1000</f>
        <v>2.5409999999999999</v>
      </c>
      <c r="K328" s="145">
        <f>VLOOKUP($A328,'BC.115+260'!$B$13:$X$489,21,0)/1000</f>
        <v>-0.45900000000000002</v>
      </c>
      <c r="L328" s="143">
        <f t="shared" si="12"/>
        <v>-247</v>
      </c>
      <c r="M328" s="144">
        <f t="shared" si="13"/>
        <v>-251</v>
      </c>
      <c r="N328" s="143">
        <f t="shared" si="14"/>
        <v>-209.00000000000003</v>
      </c>
      <c r="O328" s="143"/>
    </row>
    <row r="329" spans="1:15">
      <c r="A329" s="81">
        <f>'BC.115+260'!B328</f>
        <v>45566</v>
      </c>
      <c r="B329" s="143">
        <f t="shared" si="15"/>
        <v>315</v>
      </c>
      <c r="C329" s="145">
        <f>'BC.115+260'!M328/1000</f>
        <v>2.0489999999999999</v>
      </c>
      <c r="D329" s="145">
        <f>'BC.115+260'!AA328</f>
        <v>2.4729999999999999</v>
      </c>
      <c r="E329" s="146">
        <f>'BC.115+260'!AB328</f>
        <v>2.0179999999999998</v>
      </c>
      <c r="F329" s="145">
        <f>VLOOKUP($A329,'BC.115+260'!$B$13:$X$489,8,0)/1000</f>
        <v>2.5529999999999999</v>
      </c>
      <c r="G329" s="145">
        <f>VLOOKUP($A329,'BC.115+260'!$B$13:$X$489,9,0)/1000</f>
        <v>-0.44700000000000001</v>
      </c>
      <c r="H329" s="145">
        <f>VLOOKUP($A329,'BC.115+260'!$B$13:$X$489,14,0)/1000</f>
        <v>2.5289999999999999</v>
      </c>
      <c r="I329" s="145">
        <f>VLOOKUP($A329,'BC.115+260'!$B$13:$X$489,15,0)/1000</f>
        <v>-0.47099999999999997</v>
      </c>
      <c r="J329" s="145">
        <f>VLOOKUP($A329,'BC.115+260'!$B$13:$X$489,20,0)/1000</f>
        <v>2.5409999999999999</v>
      </c>
      <c r="K329" s="145">
        <f>VLOOKUP($A329,'BC.115+260'!$B$13:$X$489,21,0)/1000</f>
        <v>-0.45900000000000002</v>
      </c>
      <c r="L329" s="143">
        <f t="shared" si="12"/>
        <v>-247</v>
      </c>
      <c r="M329" s="144">
        <f t="shared" si="13"/>
        <v>-251</v>
      </c>
      <c r="N329" s="143">
        <f t="shared" si="14"/>
        <v>-209.00000000000003</v>
      </c>
      <c r="O329" s="143"/>
    </row>
    <row r="330" spans="1:15">
      <c r="A330" s="81">
        <f>'BC.115+260'!B329</f>
        <v>45567</v>
      </c>
      <c r="B330" s="143">
        <f t="shared" si="15"/>
        <v>316</v>
      </c>
      <c r="C330" s="145">
        <f>'BC.115+260'!M329/1000</f>
        <v>2.0489999999999999</v>
      </c>
      <c r="D330" s="145">
        <f>'BC.115+260'!AA329</f>
        <v>2.4729999999999999</v>
      </c>
      <c r="E330" s="146">
        <f>'BC.115+260'!AB329</f>
        <v>2.0179999999999998</v>
      </c>
      <c r="F330" s="145">
        <f>VLOOKUP($A330,'BC.115+260'!$B$13:$X$489,8,0)/1000</f>
        <v>2.5529999999999999</v>
      </c>
      <c r="G330" s="145">
        <f>VLOOKUP($A330,'BC.115+260'!$B$13:$X$489,9,0)/1000</f>
        <v>-0.44700000000000001</v>
      </c>
      <c r="H330" s="145">
        <f>VLOOKUP($A330,'BC.115+260'!$B$13:$X$489,14,0)/1000</f>
        <v>2.5289999999999999</v>
      </c>
      <c r="I330" s="145">
        <f>VLOOKUP($A330,'BC.115+260'!$B$13:$X$489,15,0)/1000</f>
        <v>-0.47099999999999997</v>
      </c>
      <c r="J330" s="145">
        <f>VLOOKUP($A330,'BC.115+260'!$B$13:$X$489,20,0)/1000</f>
        <v>2.5409999999999999</v>
      </c>
      <c r="K330" s="145">
        <f>VLOOKUP($A330,'BC.115+260'!$B$13:$X$489,21,0)/1000</f>
        <v>-0.45900000000000002</v>
      </c>
      <c r="L330" s="143">
        <f t="shared" si="12"/>
        <v>-247</v>
      </c>
      <c r="M330" s="144">
        <f t="shared" si="13"/>
        <v>-251</v>
      </c>
      <c r="N330" s="143">
        <f t="shared" si="14"/>
        <v>-209.00000000000003</v>
      </c>
      <c r="O330" s="143"/>
    </row>
    <row r="331" spans="1:15">
      <c r="A331" s="81">
        <f>'BC.115+260'!B330</f>
        <v>45568</v>
      </c>
      <c r="B331" s="143">
        <f t="shared" si="15"/>
        <v>317</v>
      </c>
      <c r="C331" s="145">
        <f>'BC.115+260'!M330/1000</f>
        <v>2.0489999999999999</v>
      </c>
      <c r="D331" s="145">
        <f>'BC.115+260'!AA330</f>
        <v>2.4729999999999999</v>
      </c>
      <c r="E331" s="146">
        <f>'BC.115+260'!AB330</f>
        <v>2.0179999999999998</v>
      </c>
      <c r="F331" s="145">
        <f>VLOOKUP($A331,'BC.115+260'!$B$13:$X$489,8,0)/1000</f>
        <v>2.5529999999999999</v>
      </c>
      <c r="G331" s="145">
        <f>VLOOKUP($A331,'BC.115+260'!$B$13:$X$489,9,0)/1000</f>
        <v>-0.44700000000000001</v>
      </c>
      <c r="H331" s="145">
        <f>VLOOKUP($A331,'BC.115+260'!$B$13:$X$489,14,0)/1000</f>
        <v>2.5289999999999999</v>
      </c>
      <c r="I331" s="145">
        <f>VLOOKUP($A331,'BC.115+260'!$B$13:$X$489,15,0)/1000</f>
        <v>-0.47099999999999997</v>
      </c>
      <c r="J331" s="145">
        <f>VLOOKUP($A331,'BC.115+260'!$B$13:$X$489,20,0)/1000</f>
        <v>2.5409999999999999</v>
      </c>
      <c r="K331" s="145">
        <f>VLOOKUP($A331,'BC.115+260'!$B$13:$X$489,21,0)/1000</f>
        <v>-0.45900000000000002</v>
      </c>
      <c r="L331" s="143">
        <f t="shared" si="12"/>
        <v>-247</v>
      </c>
      <c r="M331" s="144">
        <f t="shared" si="13"/>
        <v>-251</v>
      </c>
      <c r="N331" s="143">
        <f t="shared" si="14"/>
        <v>-209.00000000000003</v>
      </c>
      <c r="O331" s="143"/>
    </row>
    <row r="332" spans="1:15">
      <c r="A332" s="81">
        <f>'BC.115+260'!B331</f>
        <v>45569</v>
      </c>
      <c r="B332" s="143">
        <f t="shared" si="15"/>
        <v>318</v>
      </c>
      <c r="C332" s="145">
        <f>'BC.115+260'!M331/1000</f>
        <v>2.0489999999999999</v>
      </c>
      <c r="D332" s="145">
        <f>'BC.115+260'!AA331</f>
        <v>2.4729999999999999</v>
      </c>
      <c r="E332" s="146">
        <f>'BC.115+260'!AB331</f>
        <v>2.0179999999999998</v>
      </c>
      <c r="F332" s="145">
        <f>VLOOKUP($A332,'BC.115+260'!$B$13:$X$489,8,0)/1000</f>
        <v>2.5529999999999999</v>
      </c>
      <c r="G332" s="145">
        <f>VLOOKUP($A332,'BC.115+260'!$B$13:$X$489,9,0)/1000</f>
        <v>-0.44700000000000001</v>
      </c>
      <c r="H332" s="145">
        <f>VLOOKUP($A332,'BC.115+260'!$B$13:$X$489,14,0)/1000</f>
        <v>2.5289999999999999</v>
      </c>
      <c r="I332" s="145">
        <f>VLOOKUP($A332,'BC.115+260'!$B$13:$X$489,15,0)/1000</f>
        <v>-0.47099999999999997</v>
      </c>
      <c r="J332" s="145">
        <f>VLOOKUP($A332,'BC.115+260'!$B$13:$X$489,20,0)/1000</f>
        <v>2.5409999999999999</v>
      </c>
      <c r="K332" s="145">
        <f>VLOOKUP($A332,'BC.115+260'!$B$13:$X$489,21,0)/1000</f>
        <v>-0.45900000000000002</v>
      </c>
      <c r="L332" s="143">
        <f t="shared" si="12"/>
        <v>-247</v>
      </c>
      <c r="M332" s="144">
        <f t="shared" si="13"/>
        <v>-251</v>
      </c>
      <c r="N332" s="143">
        <f t="shared" si="14"/>
        <v>-209.00000000000003</v>
      </c>
      <c r="O332" s="143"/>
    </row>
    <row r="333" spans="1:15">
      <c r="A333" s="81">
        <f>'BC.115+260'!B332</f>
        <v>45570</v>
      </c>
      <c r="B333" s="143">
        <f t="shared" si="15"/>
        <v>319</v>
      </c>
      <c r="C333" s="145">
        <f>'BC.115+260'!M332/1000</f>
        <v>2.0489999999999999</v>
      </c>
      <c r="D333" s="145">
        <f>'BC.115+260'!AA332</f>
        <v>2.4729999999999999</v>
      </c>
      <c r="E333" s="146">
        <f>'BC.115+260'!AB332</f>
        <v>2.0179999999999998</v>
      </c>
      <c r="F333" s="145">
        <f>VLOOKUP($A333,'BC.115+260'!$B$13:$X$489,8,0)/1000</f>
        <v>2.5529999999999999</v>
      </c>
      <c r="G333" s="145">
        <f>VLOOKUP($A333,'BC.115+260'!$B$13:$X$489,9,0)/1000</f>
        <v>-0.44700000000000001</v>
      </c>
      <c r="H333" s="145">
        <f>VLOOKUP($A333,'BC.115+260'!$B$13:$X$489,14,0)/1000</f>
        <v>2.5289999999999999</v>
      </c>
      <c r="I333" s="145">
        <f>VLOOKUP($A333,'BC.115+260'!$B$13:$X$489,15,0)/1000</f>
        <v>-0.47099999999999997</v>
      </c>
      <c r="J333" s="145">
        <f>VLOOKUP($A333,'BC.115+260'!$B$13:$X$489,20,0)/1000</f>
        <v>2.5409999999999999</v>
      </c>
      <c r="K333" s="145">
        <f>VLOOKUP($A333,'BC.115+260'!$B$13:$X$489,21,0)/1000</f>
        <v>-0.45900000000000002</v>
      </c>
      <c r="L333" s="143">
        <f t="shared" si="12"/>
        <v>-247</v>
      </c>
      <c r="M333" s="144">
        <f t="shared" si="13"/>
        <v>-251</v>
      </c>
      <c r="N333" s="143">
        <f t="shared" si="14"/>
        <v>-209.00000000000003</v>
      </c>
      <c r="O333" s="143"/>
    </row>
    <row r="334" spans="1:15">
      <c r="A334" s="81">
        <f>'BC.115+260'!B333</f>
        <v>45571</v>
      </c>
      <c r="B334" s="143">
        <f t="shared" si="15"/>
        <v>320</v>
      </c>
      <c r="C334" s="145">
        <f>'BC.115+260'!M333/1000</f>
        <v>2.0489999999999999</v>
      </c>
      <c r="D334" s="145">
        <f>'BC.115+260'!AA333</f>
        <v>2.4729999999999999</v>
      </c>
      <c r="E334" s="146">
        <f>'BC.115+260'!AB333</f>
        <v>2.0179999999999998</v>
      </c>
      <c r="F334" s="145">
        <f>VLOOKUP($A334,'BC.115+260'!$B$13:$X$489,8,0)/1000</f>
        <v>2.5529999999999999</v>
      </c>
      <c r="G334" s="145">
        <f>VLOOKUP($A334,'BC.115+260'!$B$13:$X$489,9,0)/1000</f>
        <v>-0.44700000000000001</v>
      </c>
      <c r="H334" s="145">
        <f>VLOOKUP($A334,'BC.115+260'!$B$13:$X$489,14,0)/1000</f>
        <v>2.5289999999999999</v>
      </c>
      <c r="I334" s="145">
        <f>VLOOKUP($A334,'BC.115+260'!$B$13:$X$489,15,0)/1000</f>
        <v>-0.47099999999999997</v>
      </c>
      <c r="J334" s="145">
        <f>VLOOKUP($A334,'BC.115+260'!$B$13:$X$489,20,0)/1000</f>
        <v>2.5409999999999999</v>
      </c>
      <c r="K334" s="145">
        <f>VLOOKUP($A334,'BC.115+260'!$B$13:$X$489,21,0)/1000</f>
        <v>-0.45900000000000002</v>
      </c>
      <c r="L334" s="143">
        <f t="shared" ref="L334:L397" si="16">(G334-$G$14)*1000</f>
        <v>-247</v>
      </c>
      <c r="M334" s="144">
        <f t="shared" ref="M334:M397" si="17">(I334-$I$14)*1000</f>
        <v>-251</v>
      </c>
      <c r="N334" s="143">
        <f t="shared" si="14"/>
        <v>-209.00000000000003</v>
      </c>
      <c r="O334" s="143"/>
    </row>
    <row r="335" spans="1:15">
      <c r="A335" s="81">
        <f>'BC.115+260'!B334</f>
        <v>45572</v>
      </c>
      <c r="B335" s="143">
        <f t="shared" si="15"/>
        <v>321</v>
      </c>
      <c r="C335" s="145">
        <f>'BC.115+260'!M334/1000</f>
        <v>2.0489999999999999</v>
      </c>
      <c r="D335" s="145">
        <f>'BC.115+260'!AA334</f>
        <v>2.4729999999999999</v>
      </c>
      <c r="E335" s="146">
        <f>'BC.115+260'!AB334</f>
        <v>2.0179999999999998</v>
      </c>
      <c r="F335" s="145">
        <f>VLOOKUP($A335,'BC.115+260'!$B$13:$X$489,8,0)/1000</f>
        <v>2.5529999999999999</v>
      </c>
      <c r="G335" s="145">
        <f>VLOOKUP($A335,'BC.115+260'!$B$13:$X$489,9,0)/1000</f>
        <v>-0.44700000000000001</v>
      </c>
      <c r="H335" s="145">
        <f>VLOOKUP($A335,'BC.115+260'!$B$13:$X$489,14,0)/1000</f>
        <v>2.5289999999999999</v>
      </c>
      <c r="I335" s="145">
        <f>VLOOKUP($A335,'BC.115+260'!$B$13:$X$489,15,0)/1000</f>
        <v>-0.47099999999999997</v>
      </c>
      <c r="J335" s="145">
        <f>VLOOKUP($A335,'BC.115+260'!$B$13:$X$489,20,0)/1000</f>
        <v>2.5409999999999999</v>
      </c>
      <c r="K335" s="145">
        <f>VLOOKUP($A335,'BC.115+260'!$B$13:$X$489,21,0)/1000</f>
        <v>-0.45900000000000002</v>
      </c>
      <c r="L335" s="143">
        <f t="shared" si="16"/>
        <v>-247</v>
      </c>
      <c r="M335" s="144">
        <f t="shared" si="17"/>
        <v>-251</v>
      </c>
      <c r="N335" s="143">
        <f t="shared" ref="N335:N398" si="18">(K335-$K$14)*1000</f>
        <v>-209.00000000000003</v>
      </c>
      <c r="O335" s="143"/>
    </row>
    <row r="336" spans="1:15">
      <c r="A336" s="81">
        <f>'BC.115+260'!B335</f>
        <v>45573</v>
      </c>
      <c r="B336" s="143">
        <f t="shared" si="15"/>
        <v>322</v>
      </c>
      <c r="C336" s="145">
        <f>'BC.115+260'!M335/1000</f>
        <v>2.0489999999999999</v>
      </c>
      <c r="D336" s="145">
        <f>'BC.115+260'!AA335</f>
        <v>2.4729999999999999</v>
      </c>
      <c r="E336" s="146">
        <f>'BC.115+260'!AB335</f>
        <v>2.0179999999999998</v>
      </c>
      <c r="F336" s="145">
        <f>VLOOKUP($A336,'BC.115+260'!$B$13:$X$489,8,0)/1000</f>
        <v>2.5529999999999999</v>
      </c>
      <c r="G336" s="145">
        <f>VLOOKUP($A336,'BC.115+260'!$B$13:$X$489,9,0)/1000</f>
        <v>-0.44700000000000001</v>
      </c>
      <c r="H336" s="145">
        <f>VLOOKUP($A336,'BC.115+260'!$B$13:$X$489,14,0)/1000</f>
        <v>2.5289999999999999</v>
      </c>
      <c r="I336" s="145">
        <f>VLOOKUP($A336,'BC.115+260'!$B$13:$X$489,15,0)/1000</f>
        <v>-0.47099999999999997</v>
      </c>
      <c r="J336" s="145">
        <f>VLOOKUP($A336,'BC.115+260'!$B$13:$X$489,20,0)/1000</f>
        <v>2.5409999999999999</v>
      </c>
      <c r="K336" s="145">
        <f>VLOOKUP($A336,'BC.115+260'!$B$13:$X$489,21,0)/1000</f>
        <v>-0.45900000000000002</v>
      </c>
      <c r="L336" s="143">
        <f t="shared" si="16"/>
        <v>-247</v>
      </c>
      <c r="M336" s="144">
        <f t="shared" si="17"/>
        <v>-251</v>
      </c>
      <c r="N336" s="143">
        <f t="shared" si="18"/>
        <v>-209.00000000000003</v>
      </c>
      <c r="O336" s="143"/>
    </row>
    <row r="337" spans="1:15">
      <c r="A337" s="81">
        <f>'BC.115+260'!B336</f>
        <v>45574</v>
      </c>
      <c r="B337" s="143">
        <f t="shared" si="15"/>
        <v>323</v>
      </c>
      <c r="C337" s="145">
        <f>'BC.115+260'!M336/1000</f>
        <v>2.0489999999999999</v>
      </c>
      <c r="D337" s="145">
        <f>'BC.115+260'!AA336</f>
        <v>2.4729999999999999</v>
      </c>
      <c r="E337" s="146">
        <f>'BC.115+260'!AB336</f>
        <v>2.0179999999999998</v>
      </c>
      <c r="F337" s="145">
        <f>VLOOKUP($A337,'BC.115+260'!$B$13:$X$489,8,0)/1000</f>
        <v>2.5529999999999999</v>
      </c>
      <c r="G337" s="145">
        <f>VLOOKUP($A337,'BC.115+260'!$B$13:$X$489,9,0)/1000</f>
        <v>-0.44700000000000001</v>
      </c>
      <c r="H337" s="145">
        <f>VLOOKUP($A337,'BC.115+260'!$B$13:$X$489,14,0)/1000</f>
        <v>2.5289999999999999</v>
      </c>
      <c r="I337" s="145">
        <f>VLOOKUP($A337,'BC.115+260'!$B$13:$X$489,15,0)/1000</f>
        <v>-0.47099999999999997</v>
      </c>
      <c r="J337" s="145">
        <f>VLOOKUP($A337,'BC.115+260'!$B$13:$X$489,20,0)/1000</f>
        <v>2.5409999999999999</v>
      </c>
      <c r="K337" s="145">
        <f>VLOOKUP($A337,'BC.115+260'!$B$13:$X$489,21,0)/1000</f>
        <v>-0.45900000000000002</v>
      </c>
      <c r="L337" s="143">
        <f t="shared" si="16"/>
        <v>-247</v>
      </c>
      <c r="M337" s="144">
        <f t="shared" si="17"/>
        <v>-251</v>
      </c>
      <c r="N337" s="143">
        <f t="shared" si="18"/>
        <v>-209.00000000000003</v>
      </c>
      <c r="O337" s="143"/>
    </row>
    <row r="338" spans="1:15">
      <c r="A338" s="81">
        <f>'BC.115+260'!B337</f>
        <v>45575</v>
      </c>
      <c r="B338" s="143">
        <f t="shared" ref="B338:B401" si="19">+B337+1</f>
        <v>324</v>
      </c>
      <c r="C338" s="145">
        <f>'BC.115+260'!M337/1000</f>
        <v>2.0489999999999999</v>
      </c>
      <c r="D338" s="145">
        <f>'BC.115+260'!AA337</f>
        <v>2.4729999999999999</v>
      </c>
      <c r="E338" s="146">
        <f>'BC.115+260'!AB337</f>
        <v>2.0179999999999998</v>
      </c>
      <c r="F338" s="145">
        <f>VLOOKUP($A338,'BC.115+260'!$B$13:$X$489,8,0)/1000</f>
        <v>2.5529999999999999</v>
      </c>
      <c r="G338" s="145">
        <f>VLOOKUP($A338,'BC.115+260'!$B$13:$X$489,9,0)/1000</f>
        <v>-0.44700000000000001</v>
      </c>
      <c r="H338" s="145">
        <f>VLOOKUP($A338,'BC.115+260'!$B$13:$X$489,14,0)/1000</f>
        <v>2.5289999999999999</v>
      </c>
      <c r="I338" s="145">
        <f>VLOOKUP($A338,'BC.115+260'!$B$13:$X$489,15,0)/1000</f>
        <v>-0.47099999999999997</v>
      </c>
      <c r="J338" s="145">
        <f>VLOOKUP($A338,'BC.115+260'!$B$13:$X$489,20,0)/1000</f>
        <v>2.5409999999999999</v>
      </c>
      <c r="K338" s="145">
        <f>VLOOKUP($A338,'BC.115+260'!$B$13:$X$489,21,0)/1000</f>
        <v>-0.45900000000000002</v>
      </c>
      <c r="L338" s="143">
        <f t="shared" si="16"/>
        <v>-247</v>
      </c>
      <c r="M338" s="144">
        <f t="shared" si="17"/>
        <v>-251</v>
      </c>
      <c r="N338" s="143">
        <f t="shared" si="18"/>
        <v>-209.00000000000003</v>
      </c>
      <c r="O338" s="143"/>
    </row>
    <row r="339" spans="1:15">
      <c r="A339" s="81">
        <f>'BC.115+260'!B338</f>
        <v>45576</v>
      </c>
      <c r="B339" s="143">
        <f t="shared" si="19"/>
        <v>325</v>
      </c>
      <c r="C339" s="145">
        <f>'BC.115+260'!M338/1000</f>
        <v>2.0489999999999999</v>
      </c>
      <c r="D339" s="145">
        <f>'BC.115+260'!AA338</f>
        <v>2.4729999999999999</v>
      </c>
      <c r="E339" s="146">
        <f>'BC.115+260'!AB338</f>
        <v>2.0179999999999998</v>
      </c>
      <c r="F339" s="145">
        <f>VLOOKUP($A339,'BC.115+260'!$B$13:$X$489,8,0)/1000</f>
        <v>2.5529999999999999</v>
      </c>
      <c r="G339" s="145">
        <f>VLOOKUP($A339,'BC.115+260'!$B$13:$X$489,9,0)/1000</f>
        <v>-0.44700000000000001</v>
      </c>
      <c r="H339" s="145">
        <f>VLOOKUP($A339,'BC.115+260'!$B$13:$X$489,14,0)/1000</f>
        <v>2.5289999999999999</v>
      </c>
      <c r="I339" s="145">
        <f>VLOOKUP($A339,'BC.115+260'!$B$13:$X$489,15,0)/1000</f>
        <v>-0.47099999999999997</v>
      </c>
      <c r="J339" s="145">
        <f>VLOOKUP($A339,'BC.115+260'!$B$13:$X$489,20,0)/1000</f>
        <v>2.5409999999999999</v>
      </c>
      <c r="K339" s="145">
        <f>VLOOKUP($A339,'BC.115+260'!$B$13:$X$489,21,0)/1000</f>
        <v>-0.45900000000000002</v>
      </c>
      <c r="L339" s="143">
        <f t="shared" si="16"/>
        <v>-247</v>
      </c>
      <c r="M339" s="144">
        <f t="shared" si="17"/>
        <v>-251</v>
      </c>
      <c r="N339" s="143">
        <f t="shared" si="18"/>
        <v>-209.00000000000003</v>
      </c>
      <c r="O339" s="143"/>
    </row>
    <row r="340" spans="1:15">
      <c r="A340" s="81">
        <f>'BC.115+260'!B339</f>
        <v>45577</v>
      </c>
      <c r="B340" s="143">
        <f t="shared" si="19"/>
        <v>326</v>
      </c>
      <c r="C340" s="145">
        <f>'BC.115+260'!M339/1000</f>
        <v>2.0489999999999999</v>
      </c>
      <c r="D340" s="145">
        <f>'BC.115+260'!AA339</f>
        <v>2.4729999999999999</v>
      </c>
      <c r="E340" s="146">
        <f>'BC.115+260'!AB339</f>
        <v>2.0179999999999998</v>
      </c>
      <c r="F340" s="145">
        <f>VLOOKUP($A340,'BC.115+260'!$B$13:$X$489,8,0)/1000</f>
        <v>2.5529999999999999</v>
      </c>
      <c r="G340" s="145">
        <f>VLOOKUP($A340,'BC.115+260'!$B$13:$X$489,9,0)/1000</f>
        <v>-0.44700000000000001</v>
      </c>
      <c r="H340" s="145">
        <f>VLOOKUP($A340,'BC.115+260'!$B$13:$X$489,14,0)/1000</f>
        <v>2.5289999999999999</v>
      </c>
      <c r="I340" s="145">
        <f>VLOOKUP($A340,'BC.115+260'!$B$13:$X$489,15,0)/1000</f>
        <v>-0.47099999999999997</v>
      </c>
      <c r="J340" s="145">
        <f>VLOOKUP($A340,'BC.115+260'!$B$13:$X$489,20,0)/1000</f>
        <v>2.5409999999999999</v>
      </c>
      <c r="K340" s="145">
        <f>VLOOKUP($A340,'BC.115+260'!$B$13:$X$489,21,0)/1000</f>
        <v>-0.45900000000000002</v>
      </c>
      <c r="L340" s="143">
        <f t="shared" si="16"/>
        <v>-247</v>
      </c>
      <c r="M340" s="144">
        <f t="shared" si="17"/>
        <v>-251</v>
      </c>
      <c r="N340" s="143">
        <f t="shared" si="18"/>
        <v>-209.00000000000003</v>
      </c>
      <c r="O340" s="143"/>
    </row>
    <row r="341" spans="1:15">
      <c r="A341" s="81">
        <f>'BC.115+260'!B340</f>
        <v>45578</v>
      </c>
      <c r="B341" s="143">
        <f t="shared" si="19"/>
        <v>327</v>
      </c>
      <c r="C341" s="145">
        <f>'BC.115+260'!M340/1000</f>
        <v>2.0489999999999999</v>
      </c>
      <c r="D341" s="145">
        <f>'BC.115+260'!AA340</f>
        <v>2.4729999999999999</v>
      </c>
      <c r="E341" s="146">
        <f>'BC.115+260'!AB340</f>
        <v>2.0179999999999998</v>
      </c>
      <c r="F341" s="145">
        <f>VLOOKUP($A341,'BC.115+260'!$B$13:$X$489,8,0)/1000</f>
        <v>2.5529999999999999</v>
      </c>
      <c r="G341" s="145">
        <f>VLOOKUP($A341,'BC.115+260'!$B$13:$X$489,9,0)/1000</f>
        <v>-0.44700000000000001</v>
      </c>
      <c r="H341" s="145">
        <f>VLOOKUP($A341,'BC.115+260'!$B$13:$X$489,14,0)/1000</f>
        <v>2.5289999999999999</v>
      </c>
      <c r="I341" s="145">
        <f>VLOOKUP($A341,'BC.115+260'!$B$13:$X$489,15,0)/1000</f>
        <v>-0.47099999999999997</v>
      </c>
      <c r="J341" s="145">
        <f>VLOOKUP($A341,'BC.115+260'!$B$13:$X$489,20,0)/1000</f>
        <v>2.5409999999999999</v>
      </c>
      <c r="K341" s="145">
        <f>VLOOKUP($A341,'BC.115+260'!$B$13:$X$489,21,0)/1000</f>
        <v>-0.45900000000000002</v>
      </c>
      <c r="L341" s="143">
        <f t="shared" si="16"/>
        <v>-247</v>
      </c>
      <c r="M341" s="144">
        <f t="shared" si="17"/>
        <v>-251</v>
      </c>
      <c r="N341" s="143">
        <f t="shared" si="18"/>
        <v>-209.00000000000003</v>
      </c>
      <c r="O341" s="143"/>
    </row>
    <row r="342" spans="1:15">
      <c r="A342" s="81">
        <f>'BC.115+260'!B341</f>
        <v>45579</v>
      </c>
      <c r="B342" s="143">
        <f t="shared" si="19"/>
        <v>328</v>
      </c>
      <c r="C342" s="145">
        <f>'BC.115+260'!M341/1000</f>
        <v>2.0489999999999999</v>
      </c>
      <c r="D342" s="145">
        <f>'BC.115+260'!AA341</f>
        <v>2.4729999999999999</v>
      </c>
      <c r="E342" s="146">
        <f>'BC.115+260'!AB341</f>
        <v>2.0179999999999998</v>
      </c>
      <c r="F342" s="145">
        <f>VLOOKUP($A342,'BC.115+260'!$B$13:$X$489,8,0)/1000</f>
        <v>2.5529999999999999</v>
      </c>
      <c r="G342" s="145">
        <f>VLOOKUP($A342,'BC.115+260'!$B$13:$X$489,9,0)/1000</f>
        <v>-0.44700000000000001</v>
      </c>
      <c r="H342" s="145">
        <f>VLOOKUP($A342,'BC.115+260'!$B$13:$X$489,14,0)/1000</f>
        <v>2.5289999999999999</v>
      </c>
      <c r="I342" s="145">
        <f>VLOOKUP($A342,'BC.115+260'!$B$13:$X$489,15,0)/1000</f>
        <v>-0.47099999999999997</v>
      </c>
      <c r="J342" s="145">
        <f>VLOOKUP($A342,'BC.115+260'!$B$13:$X$489,20,0)/1000</f>
        <v>2.5409999999999999</v>
      </c>
      <c r="K342" s="145">
        <f>VLOOKUP($A342,'BC.115+260'!$B$13:$X$489,21,0)/1000</f>
        <v>-0.45900000000000002</v>
      </c>
      <c r="L342" s="143">
        <f t="shared" si="16"/>
        <v>-247</v>
      </c>
      <c r="M342" s="144">
        <f t="shared" si="17"/>
        <v>-251</v>
      </c>
      <c r="N342" s="143">
        <f t="shared" si="18"/>
        <v>-209.00000000000003</v>
      </c>
      <c r="O342" s="143"/>
    </row>
    <row r="343" spans="1:15">
      <c r="A343" s="81">
        <f>'BC.115+260'!B342</f>
        <v>45580</v>
      </c>
      <c r="B343" s="143">
        <f t="shared" si="19"/>
        <v>329</v>
      </c>
      <c r="C343" s="145">
        <f>'BC.115+260'!M342/1000</f>
        <v>2.0489999999999999</v>
      </c>
      <c r="D343" s="145">
        <f>'BC.115+260'!AA342</f>
        <v>2.4729999999999999</v>
      </c>
      <c r="E343" s="146">
        <f>'BC.115+260'!AB342</f>
        <v>2.0179999999999998</v>
      </c>
      <c r="F343" s="145">
        <f>VLOOKUP($A343,'BC.115+260'!$B$13:$X$489,8,0)/1000</f>
        <v>2.5529999999999999</v>
      </c>
      <c r="G343" s="145">
        <f>VLOOKUP($A343,'BC.115+260'!$B$13:$X$489,9,0)/1000</f>
        <v>-0.44700000000000001</v>
      </c>
      <c r="H343" s="145">
        <f>VLOOKUP($A343,'BC.115+260'!$B$13:$X$489,14,0)/1000</f>
        <v>2.5289999999999999</v>
      </c>
      <c r="I343" s="145">
        <f>VLOOKUP($A343,'BC.115+260'!$B$13:$X$489,15,0)/1000</f>
        <v>-0.47099999999999997</v>
      </c>
      <c r="J343" s="145">
        <f>VLOOKUP($A343,'BC.115+260'!$B$13:$X$489,20,0)/1000</f>
        <v>2.5409999999999999</v>
      </c>
      <c r="K343" s="145">
        <f>VLOOKUP($A343,'BC.115+260'!$B$13:$X$489,21,0)/1000</f>
        <v>-0.45900000000000002</v>
      </c>
      <c r="L343" s="143">
        <f t="shared" si="16"/>
        <v>-247</v>
      </c>
      <c r="M343" s="144">
        <f t="shared" si="17"/>
        <v>-251</v>
      </c>
      <c r="N343" s="143">
        <f t="shared" si="18"/>
        <v>-209.00000000000003</v>
      </c>
      <c r="O343" s="143"/>
    </row>
    <row r="344" spans="1:15">
      <c r="A344" s="81">
        <f>'BC.115+260'!B343</f>
        <v>45581</v>
      </c>
      <c r="B344" s="143">
        <f t="shared" si="19"/>
        <v>330</v>
      </c>
      <c r="C344" s="145">
        <f>'BC.115+260'!M343/1000</f>
        <v>2.0489999999999999</v>
      </c>
      <c r="D344" s="145">
        <f>'BC.115+260'!AA343</f>
        <v>2.4729999999999999</v>
      </c>
      <c r="E344" s="146">
        <f>'BC.115+260'!AB343</f>
        <v>2.0179999999999998</v>
      </c>
      <c r="F344" s="145">
        <f>VLOOKUP($A344,'BC.115+260'!$B$13:$X$489,8,0)/1000</f>
        <v>2.5529999999999999</v>
      </c>
      <c r="G344" s="145">
        <f>VLOOKUP($A344,'BC.115+260'!$B$13:$X$489,9,0)/1000</f>
        <v>-0.44700000000000001</v>
      </c>
      <c r="H344" s="145">
        <f>VLOOKUP($A344,'BC.115+260'!$B$13:$X$489,14,0)/1000</f>
        <v>2.5289999999999999</v>
      </c>
      <c r="I344" s="145">
        <f>VLOOKUP($A344,'BC.115+260'!$B$13:$X$489,15,0)/1000</f>
        <v>-0.47099999999999997</v>
      </c>
      <c r="J344" s="145">
        <f>VLOOKUP($A344,'BC.115+260'!$B$13:$X$489,20,0)/1000</f>
        <v>2.5409999999999999</v>
      </c>
      <c r="K344" s="145">
        <f>VLOOKUP($A344,'BC.115+260'!$B$13:$X$489,21,0)/1000</f>
        <v>-0.45900000000000002</v>
      </c>
      <c r="L344" s="143">
        <f t="shared" si="16"/>
        <v>-247</v>
      </c>
      <c r="M344" s="144">
        <f t="shared" si="17"/>
        <v>-251</v>
      </c>
      <c r="N344" s="143">
        <f t="shared" si="18"/>
        <v>-209.00000000000003</v>
      </c>
      <c r="O344" s="143"/>
    </row>
    <row r="345" spans="1:15">
      <c r="A345" s="81">
        <f>'BC.115+260'!B344</f>
        <v>45582</v>
      </c>
      <c r="B345" s="143">
        <f t="shared" si="19"/>
        <v>331</v>
      </c>
      <c r="C345" s="145">
        <f>'BC.115+260'!M344/1000</f>
        <v>2.0489999999999999</v>
      </c>
      <c r="D345" s="145">
        <f>'BC.115+260'!AA344</f>
        <v>2.4729999999999999</v>
      </c>
      <c r="E345" s="146">
        <f>'BC.115+260'!AB344</f>
        <v>2.0179999999999998</v>
      </c>
      <c r="F345" s="145">
        <f>VLOOKUP($A345,'BC.115+260'!$B$13:$X$489,8,0)/1000</f>
        <v>2.5529999999999999</v>
      </c>
      <c r="G345" s="145">
        <f>VLOOKUP($A345,'BC.115+260'!$B$13:$X$489,9,0)/1000</f>
        <v>-0.44700000000000001</v>
      </c>
      <c r="H345" s="145">
        <f>VLOOKUP($A345,'BC.115+260'!$B$13:$X$489,14,0)/1000</f>
        <v>2.5289999999999999</v>
      </c>
      <c r="I345" s="145">
        <f>VLOOKUP($A345,'BC.115+260'!$B$13:$X$489,15,0)/1000</f>
        <v>-0.47099999999999997</v>
      </c>
      <c r="J345" s="145">
        <f>VLOOKUP($A345,'BC.115+260'!$B$13:$X$489,20,0)/1000</f>
        <v>2.5409999999999999</v>
      </c>
      <c r="K345" s="145">
        <f>VLOOKUP($A345,'BC.115+260'!$B$13:$X$489,21,0)/1000</f>
        <v>-0.45900000000000002</v>
      </c>
      <c r="L345" s="143">
        <f t="shared" si="16"/>
        <v>-247</v>
      </c>
      <c r="M345" s="144">
        <f t="shared" si="17"/>
        <v>-251</v>
      </c>
      <c r="N345" s="143">
        <f t="shared" si="18"/>
        <v>-209.00000000000003</v>
      </c>
      <c r="O345" s="143"/>
    </row>
    <row r="346" spans="1:15">
      <c r="A346" s="81">
        <f>'BC.115+260'!B345</f>
        <v>45583</v>
      </c>
      <c r="B346" s="143">
        <f t="shared" si="19"/>
        <v>332</v>
      </c>
      <c r="C346" s="145">
        <f>'BC.115+260'!M345/1000</f>
        <v>2.0489999999999999</v>
      </c>
      <c r="D346" s="145">
        <f>'BC.115+260'!AA345</f>
        <v>2.4729999999999999</v>
      </c>
      <c r="E346" s="146">
        <f>'BC.115+260'!AB345</f>
        <v>2.0179999999999998</v>
      </c>
      <c r="F346" s="145">
        <f>VLOOKUP($A346,'BC.115+260'!$B$13:$X$489,8,0)/1000</f>
        <v>2.5529999999999999</v>
      </c>
      <c r="G346" s="145">
        <f>VLOOKUP($A346,'BC.115+260'!$B$13:$X$489,9,0)/1000</f>
        <v>-0.44700000000000001</v>
      </c>
      <c r="H346" s="145">
        <f>VLOOKUP($A346,'BC.115+260'!$B$13:$X$489,14,0)/1000</f>
        <v>2.5289999999999999</v>
      </c>
      <c r="I346" s="145">
        <f>VLOOKUP($A346,'BC.115+260'!$B$13:$X$489,15,0)/1000</f>
        <v>-0.47099999999999997</v>
      </c>
      <c r="J346" s="145">
        <f>VLOOKUP($A346,'BC.115+260'!$B$13:$X$489,20,0)/1000</f>
        <v>2.5409999999999999</v>
      </c>
      <c r="K346" s="145">
        <f>VLOOKUP($A346,'BC.115+260'!$B$13:$X$489,21,0)/1000</f>
        <v>-0.45900000000000002</v>
      </c>
      <c r="L346" s="143">
        <f t="shared" si="16"/>
        <v>-247</v>
      </c>
      <c r="M346" s="144">
        <f t="shared" si="17"/>
        <v>-251</v>
      </c>
      <c r="N346" s="143">
        <f t="shared" si="18"/>
        <v>-209.00000000000003</v>
      </c>
      <c r="O346" s="143"/>
    </row>
    <row r="347" spans="1:15">
      <c r="A347" s="81">
        <f>'BC.115+260'!B346</f>
        <v>45584</v>
      </c>
      <c r="B347" s="143">
        <f t="shared" si="19"/>
        <v>333</v>
      </c>
      <c r="C347" s="145">
        <f>'BC.115+260'!M346/1000</f>
        <v>2.0489999999999999</v>
      </c>
      <c r="D347" s="145">
        <f>'BC.115+260'!AA346</f>
        <v>2.4729999999999999</v>
      </c>
      <c r="E347" s="146">
        <f>'BC.115+260'!AB346</f>
        <v>2.0179999999999998</v>
      </c>
      <c r="F347" s="145">
        <f>VLOOKUP($A347,'BC.115+260'!$B$13:$X$489,8,0)/1000</f>
        <v>2.5529999999999999</v>
      </c>
      <c r="G347" s="145">
        <f>VLOOKUP($A347,'BC.115+260'!$B$13:$X$489,9,0)/1000</f>
        <v>-0.44700000000000001</v>
      </c>
      <c r="H347" s="145">
        <f>VLOOKUP($A347,'BC.115+260'!$B$13:$X$489,14,0)/1000</f>
        <v>2.5289999999999999</v>
      </c>
      <c r="I347" s="145">
        <f>VLOOKUP($A347,'BC.115+260'!$B$13:$X$489,15,0)/1000</f>
        <v>-0.47099999999999997</v>
      </c>
      <c r="J347" s="145">
        <f>VLOOKUP($A347,'BC.115+260'!$B$13:$X$489,20,0)/1000</f>
        <v>2.5409999999999999</v>
      </c>
      <c r="K347" s="145">
        <f>VLOOKUP($A347,'BC.115+260'!$B$13:$X$489,21,0)/1000</f>
        <v>-0.45900000000000002</v>
      </c>
      <c r="L347" s="143">
        <f t="shared" si="16"/>
        <v>-247</v>
      </c>
      <c r="M347" s="144">
        <f t="shared" si="17"/>
        <v>-251</v>
      </c>
      <c r="N347" s="143">
        <f t="shared" si="18"/>
        <v>-209.00000000000003</v>
      </c>
      <c r="O347" s="143"/>
    </row>
    <row r="348" spans="1:15">
      <c r="A348" s="81">
        <f>'BC.115+260'!B347</f>
        <v>45585</v>
      </c>
      <c r="B348" s="143">
        <f t="shared" si="19"/>
        <v>334</v>
      </c>
      <c r="C348" s="145">
        <f>'BC.115+260'!M347/1000</f>
        <v>2.0489999999999999</v>
      </c>
      <c r="D348" s="145">
        <f>'BC.115+260'!AA347</f>
        <v>2.4729999999999999</v>
      </c>
      <c r="E348" s="146">
        <f>'BC.115+260'!AB347</f>
        <v>2.0179999999999998</v>
      </c>
      <c r="F348" s="145">
        <f>VLOOKUP($A348,'BC.115+260'!$B$13:$X$489,8,0)/1000</f>
        <v>2.5529999999999999</v>
      </c>
      <c r="G348" s="145">
        <f>VLOOKUP($A348,'BC.115+260'!$B$13:$X$489,9,0)/1000</f>
        <v>-0.44700000000000001</v>
      </c>
      <c r="H348" s="145">
        <f>VLOOKUP($A348,'BC.115+260'!$B$13:$X$489,14,0)/1000</f>
        <v>2.5289999999999999</v>
      </c>
      <c r="I348" s="145">
        <f>VLOOKUP($A348,'BC.115+260'!$B$13:$X$489,15,0)/1000</f>
        <v>-0.47099999999999997</v>
      </c>
      <c r="J348" s="145">
        <f>VLOOKUP($A348,'BC.115+260'!$B$13:$X$489,20,0)/1000</f>
        <v>2.5409999999999999</v>
      </c>
      <c r="K348" s="145">
        <f>VLOOKUP($A348,'BC.115+260'!$B$13:$X$489,21,0)/1000</f>
        <v>-0.45900000000000002</v>
      </c>
      <c r="L348" s="143">
        <f t="shared" si="16"/>
        <v>-247</v>
      </c>
      <c r="M348" s="144">
        <f t="shared" si="17"/>
        <v>-251</v>
      </c>
      <c r="N348" s="143">
        <f t="shared" si="18"/>
        <v>-209.00000000000003</v>
      </c>
      <c r="O348" s="143"/>
    </row>
    <row r="349" spans="1:15">
      <c r="A349" s="81">
        <f>'BC.115+260'!B348</f>
        <v>45586</v>
      </c>
      <c r="B349" s="143">
        <f t="shared" si="19"/>
        <v>335</v>
      </c>
      <c r="C349" s="145">
        <f>'BC.115+260'!M348/1000</f>
        <v>2.0489999999999999</v>
      </c>
      <c r="D349" s="145">
        <f>'BC.115+260'!AA348</f>
        <v>2.4729999999999999</v>
      </c>
      <c r="E349" s="146">
        <f>'BC.115+260'!AB348</f>
        <v>2.0179999999999998</v>
      </c>
      <c r="F349" s="145">
        <f>VLOOKUP($A349,'BC.115+260'!$B$13:$X$489,8,0)/1000</f>
        <v>2.5529999999999999</v>
      </c>
      <c r="G349" s="145">
        <f>VLOOKUP($A349,'BC.115+260'!$B$13:$X$489,9,0)/1000</f>
        <v>-0.44700000000000001</v>
      </c>
      <c r="H349" s="145">
        <f>VLOOKUP($A349,'BC.115+260'!$B$13:$X$489,14,0)/1000</f>
        <v>2.5289999999999999</v>
      </c>
      <c r="I349" s="145">
        <f>VLOOKUP($A349,'BC.115+260'!$B$13:$X$489,15,0)/1000</f>
        <v>-0.47099999999999997</v>
      </c>
      <c r="J349" s="145">
        <f>VLOOKUP($A349,'BC.115+260'!$B$13:$X$489,20,0)/1000</f>
        <v>2.5409999999999999</v>
      </c>
      <c r="K349" s="145">
        <f>VLOOKUP($A349,'BC.115+260'!$B$13:$X$489,21,0)/1000</f>
        <v>-0.45900000000000002</v>
      </c>
      <c r="L349" s="143">
        <f t="shared" si="16"/>
        <v>-247</v>
      </c>
      <c r="M349" s="144">
        <f t="shared" si="17"/>
        <v>-251</v>
      </c>
      <c r="N349" s="143">
        <f t="shared" si="18"/>
        <v>-209.00000000000003</v>
      </c>
      <c r="O349" s="143"/>
    </row>
    <row r="350" spans="1:15">
      <c r="A350" s="81">
        <f>'BC.115+260'!B349</f>
        <v>45587</v>
      </c>
      <c r="B350" s="143">
        <f t="shared" si="19"/>
        <v>336</v>
      </c>
      <c r="C350" s="145">
        <f>'BC.115+260'!M349/1000</f>
        <v>2.0489999999999999</v>
      </c>
      <c r="D350" s="145">
        <f>'BC.115+260'!AA349</f>
        <v>2.4729999999999999</v>
      </c>
      <c r="E350" s="146">
        <f>'BC.115+260'!AB349</f>
        <v>2.0179999999999998</v>
      </c>
      <c r="F350" s="145">
        <f>VLOOKUP($A350,'BC.115+260'!$B$13:$X$489,8,0)/1000</f>
        <v>2.5529999999999999</v>
      </c>
      <c r="G350" s="145">
        <f>VLOOKUP($A350,'BC.115+260'!$B$13:$X$489,9,0)/1000</f>
        <v>-0.44700000000000001</v>
      </c>
      <c r="H350" s="145">
        <f>VLOOKUP($A350,'BC.115+260'!$B$13:$X$489,14,0)/1000</f>
        <v>2.5289999999999999</v>
      </c>
      <c r="I350" s="145">
        <f>VLOOKUP($A350,'BC.115+260'!$B$13:$X$489,15,0)/1000</f>
        <v>-0.47099999999999997</v>
      </c>
      <c r="J350" s="145">
        <f>VLOOKUP($A350,'BC.115+260'!$B$13:$X$489,20,0)/1000</f>
        <v>2.5409999999999999</v>
      </c>
      <c r="K350" s="145">
        <f>VLOOKUP($A350,'BC.115+260'!$B$13:$X$489,21,0)/1000</f>
        <v>-0.45900000000000002</v>
      </c>
      <c r="L350" s="143">
        <f t="shared" si="16"/>
        <v>-247</v>
      </c>
      <c r="M350" s="144">
        <f t="shared" si="17"/>
        <v>-251</v>
      </c>
      <c r="N350" s="143">
        <f t="shared" si="18"/>
        <v>-209.00000000000003</v>
      </c>
      <c r="O350" s="143"/>
    </row>
    <row r="351" spans="1:15">
      <c r="A351" s="81">
        <f>'BC.115+260'!B350</f>
        <v>45588</v>
      </c>
      <c r="B351" s="143">
        <f t="shared" si="19"/>
        <v>337</v>
      </c>
      <c r="C351" s="145">
        <f>'BC.115+260'!M350/1000</f>
        <v>2.0489999999999999</v>
      </c>
      <c r="D351" s="145">
        <f>'BC.115+260'!AA350</f>
        <v>2.4729999999999999</v>
      </c>
      <c r="E351" s="146">
        <f>'BC.115+260'!AB350</f>
        <v>2.0179999999999998</v>
      </c>
      <c r="F351" s="145">
        <f>VLOOKUP($A351,'BC.115+260'!$B$13:$X$489,8,0)/1000</f>
        <v>2.5529999999999999</v>
      </c>
      <c r="G351" s="145">
        <f>VLOOKUP($A351,'BC.115+260'!$B$13:$X$489,9,0)/1000</f>
        <v>-0.44700000000000001</v>
      </c>
      <c r="H351" s="145">
        <f>VLOOKUP($A351,'BC.115+260'!$B$13:$X$489,14,0)/1000</f>
        <v>2.5289999999999999</v>
      </c>
      <c r="I351" s="145">
        <f>VLOOKUP($A351,'BC.115+260'!$B$13:$X$489,15,0)/1000</f>
        <v>-0.47099999999999997</v>
      </c>
      <c r="J351" s="145">
        <f>VLOOKUP($A351,'BC.115+260'!$B$13:$X$489,20,0)/1000</f>
        <v>2.5409999999999999</v>
      </c>
      <c r="K351" s="145">
        <f>VLOOKUP($A351,'BC.115+260'!$B$13:$X$489,21,0)/1000</f>
        <v>-0.45900000000000002</v>
      </c>
      <c r="L351" s="143">
        <f t="shared" si="16"/>
        <v>-247</v>
      </c>
      <c r="M351" s="144">
        <f t="shared" si="17"/>
        <v>-251</v>
      </c>
      <c r="N351" s="143">
        <f t="shared" si="18"/>
        <v>-209.00000000000003</v>
      </c>
      <c r="O351" s="143"/>
    </row>
    <row r="352" spans="1:15">
      <c r="A352" s="81">
        <f>'BC.115+260'!B351</f>
        <v>45589</v>
      </c>
      <c r="B352" s="143">
        <f t="shared" si="19"/>
        <v>338</v>
      </c>
      <c r="C352" s="145">
        <f>'BC.115+260'!M351/1000</f>
        <v>2.0489999999999999</v>
      </c>
      <c r="D352" s="145">
        <f>'BC.115+260'!AA351</f>
        <v>2.4729999999999999</v>
      </c>
      <c r="E352" s="146">
        <f>'BC.115+260'!AB351</f>
        <v>2.0179999999999998</v>
      </c>
      <c r="F352" s="145">
        <f>VLOOKUP($A352,'BC.115+260'!$B$13:$X$489,8,0)/1000</f>
        <v>2.5529999999999999</v>
      </c>
      <c r="G352" s="145">
        <f>VLOOKUP($A352,'BC.115+260'!$B$13:$X$489,9,0)/1000</f>
        <v>-0.44700000000000001</v>
      </c>
      <c r="H352" s="145">
        <f>VLOOKUP($A352,'BC.115+260'!$B$13:$X$489,14,0)/1000</f>
        <v>2.5289999999999999</v>
      </c>
      <c r="I352" s="145">
        <f>VLOOKUP($A352,'BC.115+260'!$B$13:$X$489,15,0)/1000</f>
        <v>-0.47099999999999997</v>
      </c>
      <c r="J352" s="145">
        <f>VLOOKUP($A352,'BC.115+260'!$B$13:$X$489,20,0)/1000</f>
        <v>2.5409999999999999</v>
      </c>
      <c r="K352" s="145">
        <f>VLOOKUP($A352,'BC.115+260'!$B$13:$X$489,21,0)/1000</f>
        <v>-0.45900000000000002</v>
      </c>
      <c r="L352" s="143">
        <f t="shared" si="16"/>
        <v>-247</v>
      </c>
      <c r="M352" s="144">
        <f t="shared" si="17"/>
        <v>-251</v>
      </c>
      <c r="N352" s="143">
        <f t="shared" si="18"/>
        <v>-209.00000000000003</v>
      </c>
      <c r="O352" s="143"/>
    </row>
    <row r="353" spans="1:15">
      <c r="A353" s="81">
        <f>'BC.115+260'!B352</f>
        <v>45590</v>
      </c>
      <c r="B353" s="143">
        <f t="shared" si="19"/>
        <v>339</v>
      </c>
      <c r="C353" s="145">
        <f>'BC.115+260'!M352/1000</f>
        <v>2.0489999999999999</v>
      </c>
      <c r="D353" s="145">
        <f>'BC.115+260'!AA352</f>
        <v>2.4729999999999999</v>
      </c>
      <c r="E353" s="146">
        <f>'BC.115+260'!AB352</f>
        <v>2.0179999999999998</v>
      </c>
      <c r="F353" s="145">
        <f>VLOOKUP($A353,'BC.115+260'!$B$13:$X$489,8,0)/1000</f>
        <v>2.5529999999999999</v>
      </c>
      <c r="G353" s="145">
        <f>VLOOKUP($A353,'BC.115+260'!$B$13:$X$489,9,0)/1000</f>
        <v>-0.44700000000000001</v>
      </c>
      <c r="H353" s="145">
        <f>VLOOKUP($A353,'BC.115+260'!$B$13:$X$489,14,0)/1000</f>
        <v>2.5289999999999999</v>
      </c>
      <c r="I353" s="145">
        <f>VLOOKUP($A353,'BC.115+260'!$B$13:$X$489,15,0)/1000</f>
        <v>-0.47099999999999997</v>
      </c>
      <c r="J353" s="145">
        <f>VLOOKUP($A353,'BC.115+260'!$B$13:$X$489,20,0)/1000</f>
        <v>2.5409999999999999</v>
      </c>
      <c r="K353" s="145">
        <f>VLOOKUP($A353,'BC.115+260'!$B$13:$X$489,21,0)/1000</f>
        <v>-0.45900000000000002</v>
      </c>
      <c r="L353" s="143">
        <f t="shared" si="16"/>
        <v>-247</v>
      </c>
      <c r="M353" s="144">
        <f t="shared" si="17"/>
        <v>-251</v>
      </c>
      <c r="N353" s="143">
        <f t="shared" si="18"/>
        <v>-209.00000000000003</v>
      </c>
      <c r="O353" s="143"/>
    </row>
    <row r="354" spans="1:15">
      <c r="A354" s="81">
        <f>'BC.115+260'!B353</f>
        <v>45591</v>
      </c>
      <c r="B354" s="143">
        <f t="shared" si="19"/>
        <v>340</v>
      </c>
      <c r="C354" s="145">
        <f>'BC.115+260'!M353/1000</f>
        <v>2.0489999999999999</v>
      </c>
      <c r="D354" s="145">
        <f>'BC.115+260'!AA353</f>
        <v>2.4729999999999999</v>
      </c>
      <c r="E354" s="146">
        <f>'BC.115+260'!AB353</f>
        <v>2.0179999999999998</v>
      </c>
      <c r="F354" s="145">
        <f>VLOOKUP($A354,'BC.115+260'!$B$13:$X$489,8,0)/1000</f>
        <v>2.5529999999999999</v>
      </c>
      <c r="G354" s="145">
        <f>VLOOKUP($A354,'BC.115+260'!$B$13:$X$489,9,0)/1000</f>
        <v>-0.44700000000000001</v>
      </c>
      <c r="H354" s="145">
        <f>VLOOKUP($A354,'BC.115+260'!$B$13:$X$489,14,0)/1000</f>
        <v>2.5289999999999999</v>
      </c>
      <c r="I354" s="145">
        <f>VLOOKUP($A354,'BC.115+260'!$B$13:$X$489,15,0)/1000</f>
        <v>-0.47099999999999997</v>
      </c>
      <c r="J354" s="145">
        <f>VLOOKUP($A354,'BC.115+260'!$B$13:$X$489,20,0)/1000</f>
        <v>2.5409999999999999</v>
      </c>
      <c r="K354" s="145">
        <f>VLOOKUP($A354,'BC.115+260'!$B$13:$X$489,21,0)/1000</f>
        <v>-0.45900000000000002</v>
      </c>
      <c r="L354" s="143">
        <f t="shared" si="16"/>
        <v>-247</v>
      </c>
      <c r="M354" s="144">
        <f t="shared" si="17"/>
        <v>-251</v>
      </c>
      <c r="N354" s="143">
        <f t="shared" si="18"/>
        <v>-209.00000000000003</v>
      </c>
      <c r="O354" s="143"/>
    </row>
    <row r="355" spans="1:15">
      <c r="A355" s="81">
        <f>'BC.115+260'!B354</f>
        <v>45592</v>
      </c>
      <c r="B355" s="143">
        <f t="shared" si="19"/>
        <v>341</v>
      </c>
      <c r="C355" s="145">
        <f>'BC.115+260'!M354/1000</f>
        <v>2.0489999999999999</v>
      </c>
      <c r="D355" s="145">
        <f>'BC.115+260'!AA354</f>
        <v>2.4729999999999999</v>
      </c>
      <c r="E355" s="146">
        <f>'BC.115+260'!AB354</f>
        <v>2.0179999999999998</v>
      </c>
      <c r="F355" s="145">
        <f>VLOOKUP($A355,'BC.115+260'!$B$13:$X$489,8,0)/1000</f>
        <v>2.5529999999999999</v>
      </c>
      <c r="G355" s="145">
        <f>VLOOKUP($A355,'BC.115+260'!$B$13:$X$489,9,0)/1000</f>
        <v>-0.44700000000000001</v>
      </c>
      <c r="H355" s="145">
        <f>VLOOKUP($A355,'BC.115+260'!$B$13:$X$489,14,0)/1000</f>
        <v>2.5289999999999999</v>
      </c>
      <c r="I355" s="145">
        <f>VLOOKUP($A355,'BC.115+260'!$B$13:$X$489,15,0)/1000</f>
        <v>-0.47099999999999997</v>
      </c>
      <c r="J355" s="145">
        <f>VLOOKUP($A355,'BC.115+260'!$B$13:$X$489,20,0)/1000</f>
        <v>2.5409999999999999</v>
      </c>
      <c r="K355" s="145">
        <f>VLOOKUP($A355,'BC.115+260'!$B$13:$X$489,21,0)/1000</f>
        <v>-0.45900000000000002</v>
      </c>
      <c r="L355" s="143">
        <f t="shared" si="16"/>
        <v>-247</v>
      </c>
      <c r="M355" s="144">
        <f t="shared" si="17"/>
        <v>-251</v>
      </c>
      <c r="N355" s="143">
        <f t="shared" si="18"/>
        <v>-209.00000000000003</v>
      </c>
      <c r="O355" s="143"/>
    </row>
    <row r="356" spans="1:15">
      <c r="A356" s="81">
        <f>'BC.115+260'!B355</f>
        <v>45593</v>
      </c>
      <c r="B356" s="143">
        <f t="shared" si="19"/>
        <v>342</v>
      </c>
      <c r="C356" s="145">
        <f>'BC.115+260'!M355/1000</f>
        <v>2.0489999999999999</v>
      </c>
      <c r="D356" s="145">
        <f>'BC.115+260'!AA355</f>
        <v>2.4729999999999999</v>
      </c>
      <c r="E356" s="146">
        <f>'BC.115+260'!AB355</f>
        <v>2.0179999999999998</v>
      </c>
      <c r="F356" s="145">
        <f>VLOOKUP($A356,'BC.115+260'!$B$13:$X$489,8,0)/1000</f>
        <v>2.5529999999999999</v>
      </c>
      <c r="G356" s="145">
        <f>VLOOKUP($A356,'BC.115+260'!$B$13:$X$489,9,0)/1000</f>
        <v>-0.44700000000000001</v>
      </c>
      <c r="H356" s="145">
        <f>VLOOKUP($A356,'BC.115+260'!$B$13:$X$489,14,0)/1000</f>
        <v>2.5289999999999999</v>
      </c>
      <c r="I356" s="145">
        <f>VLOOKUP($A356,'BC.115+260'!$B$13:$X$489,15,0)/1000</f>
        <v>-0.47099999999999997</v>
      </c>
      <c r="J356" s="145">
        <f>VLOOKUP($A356,'BC.115+260'!$B$13:$X$489,20,0)/1000</f>
        <v>2.5409999999999999</v>
      </c>
      <c r="K356" s="145">
        <f>VLOOKUP($A356,'BC.115+260'!$B$13:$X$489,21,0)/1000</f>
        <v>-0.45900000000000002</v>
      </c>
      <c r="L356" s="143">
        <f t="shared" si="16"/>
        <v>-247</v>
      </c>
      <c r="M356" s="144">
        <f t="shared" si="17"/>
        <v>-251</v>
      </c>
      <c r="N356" s="143">
        <f t="shared" si="18"/>
        <v>-209.00000000000003</v>
      </c>
      <c r="O356" s="143"/>
    </row>
    <row r="357" spans="1:15">
      <c r="A357" s="81">
        <f>'BC.115+260'!B356</f>
        <v>45594</v>
      </c>
      <c r="B357" s="143">
        <f t="shared" si="19"/>
        <v>343</v>
      </c>
      <c r="C357" s="145">
        <f>'BC.115+260'!M356/1000</f>
        <v>2.0489999999999999</v>
      </c>
      <c r="D357" s="145">
        <f>'BC.115+260'!AA356</f>
        <v>2.4729999999999999</v>
      </c>
      <c r="E357" s="146">
        <f>'BC.115+260'!AB356</f>
        <v>2.0179999999999998</v>
      </c>
      <c r="F357" s="145">
        <f>VLOOKUP($A357,'BC.115+260'!$B$13:$X$489,8,0)/1000</f>
        <v>2.5529999999999999</v>
      </c>
      <c r="G357" s="145">
        <f>VLOOKUP($A357,'BC.115+260'!$B$13:$X$489,9,0)/1000</f>
        <v>-0.44700000000000001</v>
      </c>
      <c r="H357" s="145">
        <f>VLOOKUP($A357,'BC.115+260'!$B$13:$X$489,14,0)/1000</f>
        <v>2.5289999999999999</v>
      </c>
      <c r="I357" s="145">
        <f>VLOOKUP($A357,'BC.115+260'!$B$13:$X$489,15,0)/1000</f>
        <v>-0.47099999999999997</v>
      </c>
      <c r="J357" s="145">
        <f>VLOOKUP($A357,'BC.115+260'!$B$13:$X$489,20,0)/1000</f>
        <v>2.5409999999999999</v>
      </c>
      <c r="K357" s="145">
        <f>VLOOKUP($A357,'BC.115+260'!$B$13:$X$489,21,0)/1000</f>
        <v>-0.45900000000000002</v>
      </c>
      <c r="L357" s="143">
        <f t="shared" si="16"/>
        <v>-247</v>
      </c>
      <c r="M357" s="144">
        <f t="shared" si="17"/>
        <v>-251</v>
      </c>
      <c r="N357" s="143">
        <f t="shared" si="18"/>
        <v>-209.00000000000003</v>
      </c>
      <c r="O357" s="143"/>
    </row>
    <row r="358" spans="1:15">
      <c r="A358" s="81">
        <f>'BC.115+260'!B357</f>
        <v>45595</v>
      </c>
      <c r="B358" s="143">
        <f t="shared" si="19"/>
        <v>344</v>
      </c>
      <c r="C358" s="145">
        <f>'BC.115+260'!M357/1000</f>
        <v>2.0489999999999999</v>
      </c>
      <c r="D358" s="145">
        <f>'BC.115+260'!AA357</f>
        <v>2.4729999999999999</v>
      </c>
      <c r="E358" s="146">
        <f>'BC.115+260'!AB357</f>
        <v>2.0179999999999998</v>
      </c>
      <c r="F358" s="145">
        <f>VLOOKUP($A358,'BC.115+260'!$B$13:$X$489,8,0)/1000</f>
        <v>2.5529999999999999</v>
      </c>
      <c r="G358" s="145">
        <f>VLOOKUP($A358,'BC.115+260'!$B$13:$X$489,9,0)/1000</f>
        <v>-0.44700000000000001</v>
      </c>
      <c r="H358" s="145">
        <f>VLOOKUP($A358,'BC.115+260'!$B$13:$X$489,14,0)/1000</f>
        <v>2.5289999999999999</v>
      </c>
      <c r="I358" s="145">
        <f>VLOOKUP($A358,'BC.115+260'!$B$13:$X$489,15,0)/1000</f>
        <v>-0.47099999999999997</v>
      </c>
      <c r="J358" s="145">
        <f>VLOOKUP($A358,'BC.115+260'!$B$13:$X$489,20,0)/1000</f>
        <v>2.5409999999999999</v>
      </c>
      <c r="K358" s="145">
        <f>VLOOKUP($A358,'BC.115+260'!$B$13:$X$489,21,0)/1000</f>
        <v>-0.45900000000000002</v>
      </c>
      <c r="L358" s="143">
        <f t="shared" si="16"/>
        <v>-247</v>
      </c>
      <c r="M358" s="144">
        <f t="shared" si="17"/>
        <v>-251</v>
      </c>
      <c r="N358" s="143">
        <f t="shared" si="18"/>
        <v>-209.00000000000003</v>
      </c>
      <c r="O358" s="143"/>
    </row>
    <row r="359" spans="1:15">
      <c r="A359" s="81">
        <f>'BC.115+260'!B358</f>
        <v>45596</v>
      </c>
      <c r="B359" s="143">
        <f t="shared" si="19"/>
        <v>345</v>
      </c>
      <c r="C359" s="145">
        <f>'BC.115+260'!M358/1000</f>
        <v>2.0489999999999999</v>
      </c>
      <c r="D359" s="145">
        <f>'BC.115+260'!AA358</f>
        <v>2.4729999999999999</v>
      </c>
      <c r="E359" s="146">
        <f>'BC.115+260'!AB358</f>
        <v>2.0179999999999998</v>
      </c>
      <c r="F359" s="145">
        <f>VLOOKUP($A359,'BC.115+260'!$B$13:$X$489,8,0)/1000</f>
        <v>2.5529999999999999</v>
      </c>
      <c r="G359" s="145">
        <f>VLOOKUP($A359,'BC.115+260'!$B$13:$X$489,9,0)/1000</f>
        <v>-0.44700000000000001</v>
      </c>
      <c r="H359" s="145">
        <f>VLOOKUP($A359,'BC.115+260'!$B$13:$X$489,14,0)/1000</f>
        <v>2.5289999999999999</v>
      </c>
      <c r="I359" s="145">
        <f>VLOOKUP($A359,'BC.115+260'!$B$13:$X$489,15,0)/1000</f>
        <v>-0.47099999999999997</v>
      </c>
      <c r="J359" s="145">
        <f>VLOOKUP($A359,'BC.115+260'!$B$13:$X$489,20,0)/1000</f>
        <v>2.5409999999999999</v>
      </c>
      <c r="K359" s="145">
        <f>VLOOKUP($A359,'BC.115+260'!$B$13:$X$489,21,0)/1000</f>
        <v>-0.45900000000000002</v>
      </c>
      <c r="L359" s="143">
        <f t="shared" si="16"/>
        <v>-247</v>
      </c>
      <c r="M359" s="144">
        <f t="shared" si="17"/>
        <v>-251</v>
      </c>
      <c r="N359" s="143">
        <f t="shared" si="18"/>
        <v>-209.00000000000003</v>
      </c>
      <c r="O359" s="143"/>
    </row>
    <row r="360" spans="1:15">
      <c r="A360" s="81">
        <f>'BC.115+260'!B359</f>
        <v>45597</v>
      </c>
      <c r="B360" s="143">
        <f t="shared" si="19"/>
        <v>346</v>
      </c>
      <c r="C360" s="145">
        <f>'BC.115+260'!M359/1000</f>
        <v>2.0489999999999999</v>
      </c>
      <c r="D360" s="145">
        <f>'BC.115+260'!AA359</f>
        <v>2.4729999999999999</v>
      </c>
      <c r="E360" s="146">
        <f>'BC.115+260'!AB359</f>
        <v>2.0179999999999998</v>
      </c>
      <c r="F360" s="145">
        <f>VLOOKUP($A360,'BC.115+260'!$B$13:$X$489,8,0)/1000</f>
        <v>2.5529999999999999</v>
      </c>
      <c r="G360" s="145">
        <f>VLOOKUP($A360,'BC.115+260'!$B$13:$X$489,9,0)/1000</f>
        <v>-0.44700000000000001</v>
      </c>
      <c r="H360" s="145">
        <f>VLOOKUP($A360,'BC.115+260'!$B$13:$X$489,14,0)/1000</f>
        <v>2.5289999999999999</v>
      </c>
      <c r="I360" s="145">
        <f>VLOOKUP($A360,'BC.115+260'!$B$13:$X$489,15,0)/1000</f>
        <v>-0.47099999999999997</v>
      </c>
      <c r="J360" s="145">
        <f>VLOOKUP($A360,'BC.115+260'!$B$13:$X$489,20,0)/1000</f>
        <v>2.5409999999999999</v>
      </c>
      <c r="K360" s="145">
        <f>VLOOKUP($A360,'BC.115+260'!$B$13:$X$489,21,0)/1000</f>
        <v>-0.45900000000000002</v>
      </c>
      <c r="L360" s="143">
        <f t="shared" si="16"/>
        <v>-247</v>
      </c>
      <c r="M360" s="144">
        <f t="shared" si="17"/>
        <v>-251</v>
      </c>
      <c r="N360" s="143">
        <f t="shared" si="18"/>
        <v>-209.00000000000003</v>
      </c>
      <c r="O360" s="143"/>
    </row>
    <row r="361" spans="1:15">
      <c r="A361" s="81">
        <f>'BC.115+260'!B360</f>
        <v>45598</v>
      </c>
      <c r="B361" s="143">
        <f t="shared" si="19"/>
        <v>347</v>
      </c>
      <c r="C361" s="145">
        <f>'BC.115+260'!M360/1000</f>
        <v>2.0489999999999999</v>
      </c>
      <c r="D361" s="145">
        <f>'BC.115+260'!AA360</f>
        <v>2.4729999999999999</v>
      </c>
      <c r="E361" s="146">
        <f>'BC.115+260'!AB360</f>
        <v>2.0179999999999998</v>
      </c>
      <c r="F361" s="145">
        <f>VLOOKUP($A361,'BC.115+260'!$B$13:$X$489,8,0)/1000</f>
        <v>2.5529999999999999</v>
      </c>
      <c r="G361" s="145">
        <f>VLOOKUP($A361,'BC.115+260'!$B$13:$X$489,9,0)/1000</f>
        <v>-0.44700000000000001</v>
      </c>
      <c r="H361" s="145">
        <f>VLOOKUP($A361,'BC.115+260'!$B$13:$X$489,14,0)/1000</f>
        <v>2.5289999999999999</v>
      </c>
      <c r="I361" s="145">
        <f>VLOOKUP($A361,'BC.115+260'!$B$13:$X$489,15,0)/1000</f>
        <v>-0.47099999999999997</v>
      </c>
      <c r="J361" s="145">
        <f>VLOOKUP($A361,'BC.115+260'!$B$13:$X$489,20,0)/1000</f>
        <v>2.5409999999999999</v>
      </c>
      <c r="K361" s="145">
        <f>VLOOKUP($A361,'BC.115+260'!$B$13:$X$489,21,0)/1000</f>
        <v>-0.45900000000000002</v>
      </c>
      <c r="L361" s="143">
        <f t="shared" si="16"/>
        <v>-247</v>
      </c>
      <c r="M361" s="144">
        <f t="shared" si="17"/>
        <v>-251</v>
      </c>
      <c r="N361" s="143">
        <f t="shared" si="18"/>
        <v>-209.00000000000003</v>
      </c>
      <c r="O361" s="143"/>
    </row>
    <row r="362" spans="1:15">
      <c r="A362" s="81">
        <f>'BC.115+260'!B361</f>
        <v>45599</v>
      </c>
      <c r="B362" s="143">
        <f t="shared" si="19"/>
        <v>348</v>
      </c>
      <c r="C362" s="145">
        <f>'BC.115+260'!M361/1000</f>
        <v>2.0489999999999999</v>
      </c>
      <c r="D362" s="145">
        <f>'BC.115+260'!AA361</f>
        <v>2.4729999999999999</v>
      </c>
      <c r="E362" s="146">
        <f>'BC.115+260'!AB361</f>
        <v>2.0179999999999998</v>
      </c>
      <c r="F362" s="145">
        <f>VLOOKUP($A362,'BC.115+260'!$B$13:$X$489,8,0)/1000</f>
        <v>2.5529999999999999</v>
      </c>
      <c r="G362" s="145">
        <f>VLOOKUP($A362,'BC.115+260'!$B$13:$X$489,9,0)/1000</f>
        <v>-0.44700000000000001</v>
      </c>
      <c r="H362" s="145">
        <f>VLOOKUP($A362,'BC.115+260'!$B$13:$X$489,14,0)/1000</f>
        <v>2.5289999999999999</v>
      </c>
      <c r="I362" s="145">
        <f>VLOOKUP($A362,'BC.115+260'!$B$13:$X$489,15,0)/1000</f>
        <v>-0.47099999999999997</v>
      </c>
      <c r="J362" s="145">
        <f>VLOOKUP($A362,'BC.115+260'!$B$13:$X$489,20,0)/1000</f>
        <v>2.5409999999999999</v>
      </c>
      <c r="K362" s="145">
        <f>VLOOKUP($A362,'BC.115+260'!$B$13:$X$489,21,0)/1000</f>
        <v>-0.45900000000000002</v>
      </c>
      <c r="L362" s="143">
        <f t="shared" si="16"/>
        <v>-247</v>
      </c>
      <c r="M362" s="144">
        <f t="shared" si="17"/>
        <v>-251</v>
      </c>
      <c r="N362" s="143">
        <f t="shared" si="18"/>
        <v>-209.00000000000003</v>
      </c>
      <c r="O362" s="143"/>
    </row>
    <row r="363" spans="1:15">
      <c r="A363" s="81">
        <f>'BC.115+260'!B362</f>
        <v>45600</v>
      </c>
      <c r="B363" s="143">
        <f t="shared" si="19"/>
        <v>349</v>
      </c>
      <c r="C363" s="145">
        <f>'BC.115+260'!M362/1000</f>
        <v>2.0489999999999999</v>
      </c>
      <c r="D363" s="145">
        <f>'BC.115+260'!AA362</f>
        <v>2.4729999999999999</v>
      </c>
      <c r="E363" s="146">
        <f>'BC.115+260'!AB362</f>
        <v>2.0179999999999998</v>
      </c>
      <c r="F363" s="145">
        <f>VLOOKUP($A363,'BC.115+260'!$B$13:$X$489,8,0)/1000</f>
        <v>2.5529999999999999</v>
      </c>
      <c r="G363" s="145">
        <f>VLOOKUP($A363,'BC.115+260'!$B$13:$X$489,9,0)/1000</f>
        <v>-0.44700000000000001</v>
      </c>
      <c r="H363" s="145">
        <f>VLOOKUP($A363,'BC.115+260'!$B$13:$X$489,14,0)/1000</f>
        <v>2.5289999999999999</v>
      </c>
      <c r="I363" s="145">
        <f>VLOOKUP($A363,'BC.115+260'!$B$13:$X$489,15,0)/1000</f>
        <v>-0.47099999999999997</v>
      </c>
      <c r="J363" s="145">
        <f>VLOOKUP($A363,'BC.115+260'!$B$13:$X$489,20,0)/1000</f>
        <v>2.5409999999999999</v>
      </c>
      <c r="K363" s="145">
        <f>VLOOKUP($A363,'BC.115+260'!$B$13:$X$489,21,0)/1000</f>
        <v>-0.45900000000000002</v>
      </c>
      <c r="L363" s="143">
        <f t="shared" si="16"/>
        <v>-247</v>
      </c>
      <c r="M363" s="144">
        <f t="shared" si="17"/>
        <v>-251</v>
      </c>
      <c r="N363" s="143">
        <f t="shared" si="18"/>
        <v>-209.00000000000003</v>
      </c>
      <c r="O363" s="143"/>
    </row>
    <row r="364" spans="1:15">
      <c r="A364" s="81">
        <f>'BC.115+260'!B363</f>
        <v>45601</v>
      </c>
      <c r="B364" s="143">
        <f t="shared" si="19"/>
        <v>350</v>
      </c>
      <c r="C364" s="145">
        <f>'BC.115+260'!M363/1000</f>
        <v>2.0489999999999999</v>
      </c>
      <c r="D364" s="145">
        <f>'BC.115+260'!AA363</f>
        <v>2.4729999999999999</v>
      </c>
      <c r="E364" s="146">
        <f>'BC.115+260'!AB363</f>
        <v>2.0179999999999998</v>
      </c>
      <c r="F364" s="145">
        <f>VLOOKUP($A364,'BC.115+260'!$B$13:$X$489,8,0)/1000</f>
        <v>2.5529999999999999</v>
      </c>
      <c r="G364" s="145">
        <f>VLOOKUP($A364,'BC.115+260'!$B$13:$X$489,9,0)/1000</f>
        <v>-0.44700000000000001</v>
      </c>
      <c r="H364" s="145">
        <f>VLOOKUP($A364,'BC.115+260'!$B$13:$X$489,14,0)/1000</f>
        <v>2.5289999999999999</v>
      </c>
      <c r="I364" s="145">
        <f>VLOOKUP($A364,'BC.115+260'!$B$13:$X$489,15,0)/1000</f>
        <v>-0.47099999999999997</v>
      </c>
      <c r="J364" s="145">
        <f>VLOOKUP($A364,'BC.115+260'!$B$13:$X$489,20,0)/1000</f>
        <v>2.5409999999999999</v>
      </c>
      <c r="K364" s="145">
        <f>VLOOKUP($A364,'BC.115+260'!$B$13:$X$489,21,0)/1000</f>
        <v>-0.45900000000000002</v>
      </c>
      <c r="L364" s="143">
        <f t="shared" si="16"/>
        <v>-247</v>
      </c>
      <c r="M364" s="144">
        <f t="shared" si="17"/>
        <v>-251</v>
      </c>
      <c r="N364" s="143">
        <f t="shared" si="18"/>
        <v>-209.00000000000003</v>
      </c>
      <c r="O364" s="143"/>
    </row>
    <row r="365" spans="1:15">
      <c r="A365" s="81">
        <f>'BC.115+260'!B364</f>
        <v>45602</v>
      </c>
      <c r="B365" s="143">
        <f t="shared" si="19"/>
        <v>351</v>
      </c>
      <c r="C365" s="145">
        <f>'BC.115+260'!M364/1000</f>
        <v>2.0489999999999999</v>
      </c>
      <c r="D365" s="145">
        <f>'BC.115+260'!AA364</f>
        <v>2.4729999999999999</v>
      </c>
      <c r="E365" s="146">
        <f>'BC.115+260'!AB364</f>
        <v>2.0179999999999998</v>
      </c>
      <c r="F365" s="145">
        <f>VLOOKUP($A365,'BC.115+260'!$B$13:$X$489,8,0)/1000</f>
        <v>2.5529999999999999</v>
      </c>
      <c r="G365" s="145">
        <f>VLOOKUP($A365,'BC.115+260'!$B$13:$X$489,9,0)/1000</f>
        <v>-0.44700000000000001</v>
      </c>
      <c r="H365" s="145">
        <f>VLOOKUP($A365,'BC.115+260'!$B$13:$X$489,14,0)/1000</f>
        <v>2.5289999999999999</v>
      </c>
      <c r="I365" s="145">
        <f>VLOOKUP($A365,'BC.115+260'!$B$13:$X$489,15,0)/1000</f>
        <v>-0.47099999999999997</v>
      </c>
      <c r="J365" s="145">
        <f>VLOOKUP($A365,'BC.115+260'!$B$13:$X$489,20,0)/1000</f>
        <v>2.5409999999999999</v>
      </c>
      <c r="K365" s="145">
        <f>VLOOKUP($A365,'BC.115+260'!$B$13:$X$489,21,0)/1000</f>
        <v>-0.45900000000000002</v>
      </c>
      <c r="L365" s="143">
        <f t="shared" si="16"/>
        <v>-247</v>
      </c>
      <c r="M365" s="144">
        <f t="shared" si="17"/>
        <v>-251</v>
      </c>
      <c r="N365" s="143">
        <f t="shared" si="18"/>
        <v>-209.00000000000003</v>
      </c>
      <c r="O365" s="143"/>
    </row>
    <row r="366" spans="1:15">
      <c r="A366" s="81">
        <f>'BC.115+260'!B365</f>
        <v>45603</v>
      </c>
      <c r="B366" s="143">
        <f t="shared" si="19"/>
        <v>352</v>
      </c>
      <c r="C366" s="145">
        <f>'BC.115+260'!M365/1000</f>
        <v>2.0489999999999999</v>
      </c>
      <c r="D366" s="145">
        <f>'BC.115+260'!AA365</f>
        <v>2.4729999999999999</v>
      </c>
      <c r="E366" s="146">
        <f>'BC.115+260'!AB365</f>
        <v>2.0179999999999998</v>
      </c>
      <c r="F366" s="145">
        <f>VLOOKUP($A366,'BC.115+260'!$B$13:$X$489,8,0)/1000</f>
        <v>2.5529999999999999</v>
      </c>
      <c r="G366" s="145">
        <f>VLOOKUP($A366,'BC.115+260'!$B$13:$X$489,9,0)/1000</f>
        <v>-0.44700000000000001</v>
      </c>
      <c r="H366" s="145">
        <f>VLOOKUP($A366,'BC.115+260'!$B$13:$X$489,14,0)/1000</f>
        <v>2.5289999999999999</v>
      </c>
      <c r="I366" s="145">
        <f>VLOOKUP($A366,'BC.115+260'!$B$13:$X$489,15,0)/1000</f>
        <v>-0.47099999999999997</v>
      </c>
      <c r="J366" s="145">
        <f>VLOOKUP($A366,'BC.115+260'!$B$13:$X$489,20,0)/1000</f>
        <v>2.5409999999999999</v>
      </c>
      <c r="K366" s="145">
        <f>VLOOKUP($A366,'BC.115+260'!$B$13:$X$489,21,0)/1000</f>
        <v>-0.45900000000000002</v>
      </c>
      <c r="L366" s="143">
        <f t="shared" si="16"/>
        <v>-247</v>
      </c>
      <c r="M366" s="144">
        <f t="shared" si="17"/>
        <v>-251</v>
      </c>
      <c r="N366" s="143">
        <f t="shared" si="18"/>
        <v>-209.00000000000003</v>
      </c>
      <c r="O366" s="143"/>
    </row>
    <row r="367" spans="1:15">
      <c r="A367" s="81">
        <f>'BC.115+260'!B366</f>
        <v>45604</v>
      </c>
      <c r="B367" s="143">
        <f t="shared" si="19"/>
        <v>353</v>
      </c>
      <c r="C367" s="145">
        <f>'BC.115+260'!M366/1000</f>
        <v>2.0489999999999999</v>
      </c>
      <c r="D367" s="145">
        <f>'BC.115+260'!AA366</f>
        <v>2.4729999999999999</v>
      </c>
      <c r="E367" s="146">
        <f>'BC.115+260'!AB366</f>
        <v>2.0179999999999998</v>
      </c>
      <c r="F367" s="145">
        <f>VLOOKUP($A367,'BC.115+260'!$B$13:$X$489,8,0)/1000</f>
        <v>2.5529999999999999</v>
      </c>
      <c r="G367" s="145">
        <f>VLOOKUP($A367,'BC.115+260'!$B$13:$X$489,9,0)/1000</f>
        <v>-0.44700000000000001</v>
      </c>
      <c r="H367" s="145">
        <f>VLOOKUP($A367,'BC.115+260'!$B$13:$X$489,14,0)/1000</f>
        <v>2.5289999999999999</v>
      </c>
      <c r="I367" s="145">
        <f>VLOOKUP($A367,'BC.115+260'!$B$13:$X$489,15,0)/1000</f>
        <v>-0.47099999999999997</v>
      </c>
      <c r="J367" s="145">
        <f>VLOOKUP($A367,'BC.115+260'!$B$13:$X$489,20,0)/1000</f>
        <v>2.5409999999999999</v>
      </c>
      <c r="K367" s="145">
        <f>VLOOKUP($A367,'BC.115+260'!$B$13:$X$489,21,0)/1000</f>
        <v>-0.45900000000000002</v>
      </c>
      <c r="L367" s="143">
        <f t="shared" si="16"/>
        <v>-247</v>
      </c>
      <c r="M367" s="144">
        <f t="shared" si="17"/>
        <v>-251</v>
      </c>
      <c r="N367" s="143">
        <f t="shared" si="18"/>
        <v>-209.00000000000003</v>
      </c>
      <c r="O367" s="143"/>
    </row>
    <row r="368" spans="1:15">
      <c r="A368" s="81">
        <f>'BC.115+260'!B367</f>
        <v>45605</v>
      </c>
      <c r="B368" s="143">
        <f t="shared" si="19"/>
        <v>354</v>
      </c>
      <c r="C368" s="145">
        <f>'BC.115+260'!M367/1000</f>
        <v>2.0489999999999999</v>
      </c>
      <c r="D368" s="145">
        <f>'BC.115+260'!AA367</f>
        <v>2.4729999999999999</v>
      </c>
      <c r="E368" s="146">
        <f>'BC.115+260'!AB367</f>
        <v>2.0179999999999998</v>
      </c>
      <c r="F368" s="145">
        <f>VLOOKUP($A368,'BC.115+260'!$B$13:$X$489,8,0)/1000</f>
        <v>2.5529999999999999</v>
      </c>
      <c r="G368" s="145">
        <f>VLOOKUP($A368,'BC.115+260'!$B$13:$X$489,9,0)/1000</f>
        <v>-0.44700000000000001</v>
      </c>
      <c r="H368" s="145">
        <f>VLOOKUP($A368,'BC.115+260'!$B$13:$X$489,14,0)/1000</f>
        <v>2.5289999999999999</v>
      </c>
      <c r="I368" s="145">
        <f>VLOOKUP($A368,'BC.115+260'!$B$13:$X$489,15,0)/1000</f>
        <v>-0.47099999999999997</v>
      </c>
      <c r="J368" s="145">
        <f>VLOOKUP($A368,'BC.115+260'!$B$13:$X$489,20,0)/1000</f>
        <v>2.5409999999999999</v>
      </c>
      <c r="K368" s="145">
        <f>VLOOKUP($A368,'BC.115+260'!$B$13:$X$489,21,0)/1000</f>
        <v>-0.45900000000000002</v>
      </c>
      <c r="L368" s="143">
        <f t="shared" si="16"/>
        <v>-247</v>
      </c>
      <c r="M368" s="144">
        <f t="shared" si="17"/>
        <v>-251</v>
      </c>
      <c r="N368" s="143">
        <f t="shared" si="18"/>
        <v>-209.00000000000003</v>
      </c>
      <c r="O368" s="143"/>
    </row>
    <row r="369" spans="1:15">
      <c r="A369" s="81">
        <f>'BC.115+260'!B368</f>
        <v>45606</v>
      </c>
      <c r="B369" s="143">
        <f t="shared" si="19"/>
        <v>355</v>
      </c>
      <c r="C369" s="145">
        <f>'BC.115+260'!M368/1000</f>
        <v>2.0489999999999999</v>
      </c>
      <c r="D369" s="145">
        <f>'BC.115+260'!AA368</f>
        <v>2.4729999999999999</v>
      </c>
      <c r="E369" s="146">
        <f>'BC.115+260'!AB368</f>
        <v>2.0179999999999998</v>
      </c>
      <c r="F369" s="145">
        <f>VLOOKUP($A369,'BC.115+260'!$B$13:$X$489,8,0)/1000</f>
        <v>2.5529999999999999</v>
      </c>
      <c r="G369" s="145">
        <f>VLOOKUP($A369,'BC.115+260'!$B$13:$X$489,9,0)/1000</f>
        <v>-0.44700000000000001</v>
      </c>
      <c r="H369" s="145">
        <f>VLOOKUP($A369,'BC.115+260'!$B$13:$X$489,14,0)/1000</f>
        <v>2.5289999999999999</v>
      </c>
      <c r="I369" s="145">
        <f>VLOOKUP($A369,'BC.115+260'!$B$13:$X$489,15,0)/1000</f>
        <v>-0.47099999999999997</v>
      </c>
      <c r="J369" s="145">
        <f>VLOOKUP($A369,'BC.115+260'!$B$13:$X$489,20,0)/1000</f>
        <v>2.5409999999999999</v>
      </c>
      <c r="K369" s="145">
        <f>VLOOKUP($A369,'BC.115+260'!$B$13:$X$489,21,0)/1000</f>
        <v>-0.45900000000000002</v>
      </c>
      <c r="L369" s="143">
        <f t="shared" si="16"/>
        <v>-247</v>
      </c>
      <c r="M369" s="144">
        <f t="shared" si="17"/>
        <v>-251</v>
      </c>
      <c r="N369" s="143">
        <f t="shared" si="18"/>
        <v>-209.00000000000003</v>
      </c>
      <c r="O369" s="143"/>
    </row>
    <row r="370" spans="1:15">
      <c r="A370" s="81">
        <f>'BC.115+260'!B369</f>
        <v>45607</v>
      </c>
      <c r="B370" s="143">
        <f t="shared" si="19"/>
        <v>356</v>
      </c>
      <c r="C370" s="145">
        <f>'BC.115+260'!M369/1000</f>
        <v>2.0489999999999999</v>
      </c>
      <c r="D370" s="145">
        <f>'BC.115+260'!AA369</f>
        <v>2.4729999999999999</v>
      </c>
      <c r="E370" s="146">
        <f>'BC.115+260'!AB369</f>
        <v>2.0179999999999998</v>
      </c>
      <c r="F370" s="145">
        <f>VLOOKUP($A370,'BC.115+260'!$B$13:$X$489,8,0)/1000</f>
        <v>2.5529999999999999</v>
      </c>
      <c r="G370" s="145">
        <f>VLOOKUP($A370,'BC.115+260'!$B$13:$X$489,9,0)/1000</f>
        <v>-0.44700000000000001</v>
      </c>
      <c r="H370" s="145">
        <f>VLOOKUP($A370,'BC.115+260'!$B$13:$X$489,14,0)/1000</f>
        <v>2.5289999999999999</v>
      </c>
      <c r="I370" s="145">
        <f>VLOOKUP($A370,'BC.115+260'!$B$13:$X$489,15,0)/1000</f>
        <v>-0.47099999999999997</v>
      </c>
      <c r="J370" s="145">
        <f>VLOOKUP($A370,'BC.115+260'!$B$13:$X$489,20,0)/1000</f>
        <v>2.5409999999999999</v>
      </c>
      <c r="K370" s="145">
        <f>VLOOKUP($A370,'BC.115+260'!$B$13:$X$489,21,0)/1000</f>
        <v>-0.45900000000000002</v>
      </c>
      <c r="L370" s="143">
        <f t="shared" si="16"/>
        <v>-247</v>
      </c>
      <c r="M370" s="144">
        <f t="shared" si="17"/>
        <v>-251</v>
      </c>
      <c r="N370" s="143">
        <f t="shared" si="18"/>
        <v>-209.00000000000003</v>
      </c>
      <c r="O370" s="143"/>
    </row>
    <row r="371" spans="1:15">
      <c r="A371" s="81">
        <f>'BC.115+260'!B370</f>
        <v>45608</v>
      </c>
      <c r="B371" s="143">
        <f t="shared" si="19"/>
        <v>357</v>
      </c>
      <c r="C371" s="145">
        <f>'BC.115+260'!M370/1000</f>
        <v>2.0489999999999999</v>
      </c>
      <c r="D371" s="145">
        <f>'BC.115+260'!AA370</f>
        <v>2.4729999999999999</v>
      </c>
      <c r="E371" s="146">
        <f>'BC.115+260'!AB370</f>
        <v>2.0179999999999998</v>
      </c>
      <c r="F371" s="145">
        <f>VLOOKUP($A371,'BC.115+260'!$B$13:$X$489,8,0)/1000</f>
        <v>2.5529999999999999</v>
      </c>
      <c r="G371" s="145">
        <f>VLOOKUP($A371,'BC.115+260'!$B$13:$X$489,9,0)/1000</f>
        <v>-0.44700000000000001</v>
      </c>
      <c r="H371" s="145">
        <f>VLOOKUP($A371,'BC.115+260'!$B$13:$X$489,14,0)/1000</f>
        <v>2.5289999999999999</v>
      </c>
      <c r="I371" s="145">
        <f>VLOOKUP($A371,'BC.115+260'!$B$13:$X$489,15,0)/1000</f>
        <v>-0.47099999999999997</v>
      </c>
      <c r="J371" s="145">
        <f>VLOOKUP($A371,'BC.115+260'!$B$13:$X$489,20,0)/1000</f>
        <v>2.5409999999999999</v>
      </c>
      <c r="K371" s="145">
        <f>VLOOKUP($A371,'BC.115+260'!$B$13:$X$489,21,0)/1000</f>
        <v>-0.45900000000000002</v>
      </c>
      <c r="L371" s="143">
        <f t="shared" si="16"/>
        <v>-247</v>
      </c>
      <c r="M371" s="144">
        <f t="shared" si="17"/>
        <v>-251</v>
      </c>
      <c r="N371" s="143">
        <f t="shared" si="18"/>
        <v>-209.00000000000003</v>
      </c>
      <c r="O371" s="143"/>
    </row>
    <row r="372" spans="1:15">
      <c r="A372" s="81">
        <f>'BC.115+260'!B371</f>
        <v>45609</v>
      </c>
      <c r="B372" s="143">
        <f t="shared" si="19"/>
        <v>358</v>
      </c>
      <c r="C372" s="145">
        <f>'BC.115+260'!M371/1000</f>
        <v>2.0489999999999999</v>
      </c>
      <c r="D372" s="145">
        <f>'BC.115+260'!AA371</f>
        <v>2.4729999999999999</v>
      </c>
      <c r="E372" s="146">
        <f>'BC.115+260'!AB371</f>
        <v>2.0179999999999998</v>
      </c>
      <c r="F372" s="145">
        <f>VLOOKUP($A372,'BC.115+260'!$B$13:$X$489,8,0)/1000</f>
        <v>2.5529999999999999</v>
      </c>
      <c r="G372" s="145">
        <f>VLOOKUP($A372,'BC.115+260'!$B$13:$X$489,9,0)/1000</f>
        <v>-0.44700000000000001</v>
      </c>
      <c r="H372" s="145">
        <f>VLOOKUP($A372,'BC.115+260'!$B$13:$X$489,14,0)/1000</f>
        <v>2.5289999999999999</v>
      </c>
      <c r="I372" s="145">
        <f>VLOOKUP($A372,'BC.115+260'!$B$13:$X$489,15,0)/1000</f>
        <v>-0.47099999999999997</v>
      </c>
      <c r="J372" s="145">
        <f>VLOOKUP($A372,'BC.115+260'!$B$13:$X$489,20,0)/1000</f>
        <v>2.5409999999999999</v>
      </c>
      <c r="K372" s="145">
        <f>VLOOKUP($A372,'BC.115+260'!$B$13:$X$489,21,0)/1000</f>
        <v>-0.45900000000000002</v>
      </c>
      <c r="L372" s="143">
        <f t="shared" si="16"/>
        <v>-247</v>
      </c>
      <c r="M372" s="144">
        <f t="shared" si="17"/>
        <v>-251</v>
      </c>
      <c r="N372" s="143">
        <f t="shared" si="18"/>
        <v>-209.00000000000003</v>
      </c>
      <c r="O372" s="143"/>
    </row>
    <row r="373" spans="1:15">
      <c r="A373" s="81">
        <f>'BC.115+260'!B372</f>
        <v>45610</v>
      </c>
      <c r="B373" s="143">
        <f t="shared" si="19"/>
        <v>359</v>
      </c>
      <c r="C373" s="145">
        <f>'BC.115+260'!M372/1000</f>
        <v>2.0489999999999999</v>
      </c>
      <c r="D373" s="145">
        <f>'BC.115+260'!AA372</f>
        <v>2.4729999999999999</v>
      </c>
      <c r="E373" s="146">
        <f>'BC.115+260'!AB372</f>
        <v>2.0179999999999998</v>
      </c>
      <c r="F373" s="145">
        <f>VLOOKUP($A373,'BC.115+260'!$B$13:$X$489,8,0)/1000</f>
        <v>2.5529999999999999</v>
      </c>
      <c r="G373" s="145">
        <f>VLOOKUP($A373,'BC.115+260'!$B$13:$X$489,9,0)/1000</f>
        <v>-0.44700000000000001</v>
      </c>
      <c r="H373" s="145">
        <f>VLOOKUP($A373,'BC.115+260'!$B$13:$X$489,14,0)/1000</f>
        <v>2.5289999999999999</v>
      </c>
      <c r="I373" s="145">
        <f>VLOOKUP($A373,'BC.115+260'!$B$13:$X$489,15,0)/1000</f>
        <v>-0.47099999999999997</v>
      </c>
      <c r="J373" s="145">
        <f>VLOOKUP($A373,'BC.115+260'!$B$13:$X$489,20,0)/1000</f>
        <v>2.5409999999999999</v>
      </c>
      <c r="K373" s="145">
        <f>VLOOKUP($A373,'BC.115+260'!$B$13:$X$489,21,0)/1000</f>
        <v>-0.45900000000000002</v>
      </c>
      <c r="L373" s="143">
        <f t="shared" si="16"/>
        <v>-247</v>
      </c>
      <c r="M373" s="144">
        <f t="shared" si="17"/>
        <v>-251</v>
      </c>
      <c r="N373" s="143">
        <f t="shared" si="18"/>
        <v>-209.00000000000003</v>
      </c>
      <c r="O373" s="143"/>
    </row>
    <row r="374" spans="1:15">
      <c r="A374" s="81">
        <f>'BC.115+260'!B373</f>
        <v>45611</v>
      </c>
      <c r="B374" s="143">
        <f t="shared" si="19"/>
        <v>360</v>
      </c>
      <c r="C374" s="145">
        <f>'BC.115+260'!M373/1000</f>
        <v>2.0489999999999999</v>
      </c>
      <c r="D374" s="145">
        <f>'BC.115+260'!AA373</f>
        <v>2.4729999999999999</v>
      </c>
      <c r="E374" s="146">
        <f>'BC.115+260'!AB373</f>
        <v>2.0179999999999998</v>
      </c>
      <c r="F374" s="145">
        <f>VLOOKUP($A374,'BC.115+260'!$B$13:$X$489,8,0)/1000</f>
        <v>2.5529999999999999</v>
      </c>
      <c r="G374" s="145">
        <f>VLOOKUP($A374,'BC.115+260'!$B$13:$X$489,9,0)/1000</f>
        <v>-0.44700000000000001</v>
      </c>
      <c r="H374" s="145">
        <f>VLOOKUP($A374,'BC.115+260'!$B$13:$X$489,14,0)/1000</f>
        <v>2.5289999999999999</v>
      </c>
      <c r="I374" s="145">
        <f>VLOOKUP($A374,'BC.115+260'!$B$13:$X$489,15,0)/1000</f>
        <v>-0.47099999999999997</v>
      </c>
      <c r="J374" s="145">
        <f>VLOOKUP($A374,'BC.115+260'!$B$13:$X$489,20,0)/1000</f>
        <v>2.5409999999999999</v>
      </c>
      <c r="K374" s="145">
        <f>VLOOKUP($A374,'BC.115+260'!$B$13:$X$489,21,0)/1000</f>
        <v>-0.45900000000000002</v>
      </c>
      <c r="L374" s="143">
        <f t="shared" si="16"/>
        <v>-247</v>
      </c>
      <c r="M374" s="144">
        <f t="shared" si="17"/>
        <v>-251</v>
      </c>
      <c r="N374" s="143">
        <f t="shared" si="18"/>
        <v>-209.00000000000003</v>
      </c>
      <c r="O374" s="143"/>
    </row>
    <row r="375" spans="1:15">
      <c r="A375" s="81">
        <f>'BC.115+260'!B374</f>
        <v>45612</v>
      </c>
      <c r="B375" s="143">
        <f t="shared" si="19"/>
        <v>361</v>
      </c>
      <c r="C375" s="145">
        <f>'BC.115+260'!M374/1000</f>
        <v>2.0489999999999999</v>
      </c>
      <c r="D375" s="145">
        <f>'BC.115+260'!AA374</f>
        <v>2.4729999999999999</v>
      </c>
      <c r="E375" s="146">
        <f>'BC.115+260'!AB374</f>
        <v>2.0179999999999998</v>
      </c>
      <c r="F375" s="145">
        <f>VLOOKUP($A375,'BC.115+260'!$B$13:$X$489,8,0)/1000</f>
        <v>2.5529999999999999</v>
      </c>
      <c r="G375" s="145">
        <f>VLOOKUP($A375,'BC.115+260'!$B$13:$X$489,9,0)/1000</f>
        <v>-0.44700000000000001</v>
      </c>
      <c r="H375" s="145">
        <f>VLOOKUP($A375,'BC.115+260'!$B$13:$X$489,14,0)/1000</f>
        <v>2.5289999999999999</v>
      </c>
      <c r="I375" s="145">
        <f>VLOOKUP($A375,'BC.115+260'!$B$13:$X$489,15,0)/1000</f>
        <v>-0.47099999999999997</v>
      </c>
      <c r="J375" s="145">
        <f>VLOOKUP($A375,'BC.115+260'!$B$13:$X$489,20,0)/1000</f>
        <v>2.5409999999999999</v>
      </c>
      <c r="K375" s="145">
        <f>VLOOKUP($A375,'BC.115+260'!$B$13:$X$489,21,0)/1000</f>
        <v>-0.45900000000000002</v>
      </c>
      <c r="L375" s="143">
        <f t="shared" si="16"/>
        <v>-247</v>
      </c>
      <c r="M375" s="144">
        <f t="shared" si="17"/>
        <v>-251</v>
      </c>
      <c r="N375" s="143">
        <f t="shared" si="18"/>
        <v>-209.00000000000003</v>
      </c>
      <c r="O375" s="143"/>
    </row>
    <row r="376" spans="1:15">
      <c r="A376" s="81">
        <f>'BC.115+260'!B375</f>
        <v>45613</v>
      </c>
      <c r="B376" s="143">
        <f t="shared" si="19"/>
        <v>362</v>
      </c>
      <c r="C376" s="145">
        <f>'BC.115+260'!M375/1000</f>
        <v>2.0489999999999999</v>
      </c>
      <c r="D376" s="145">
        <f>'BC.115+260'!AA375</f>
        <v>2.4729999999999999</v>
      </c>
      <c r="E376" s="146">
        <f>'BC.115+260'!AB375</f>
        <v>2.0179999999999998</v>
      </c>
      <c r="F376" s="145">
        <f>VLOOKUP($A376,'BC.115+260'!$B$13:$X$489,8,0)/1000</f>
        <v>2.5529999999999999</v>
      </c>
      <c r="G376" s="145">
        <f>VLOOKUP($A376,'BC.115+260'!$B$13:$X$489,9,0)/1000</f>
        <v>-0.44700000000000001</v>
      </c>
      <c r="H376" s="145">
        <f>VLOOKUP($A376,'BC.115+260'!$B$13:$X$489,14,0)/1000</f>
        <v>2.5289999999999999</v>
      </c>
      <c r="I376" s="145">
        <f>VLOOKUP($A376,'BC.115+260'!$B$13:$X$489,15,0)/1000</f>
        <v>-0.47099999999999997</v>
      </c>
      <c r="J376" s="145">
        <f>VLOOKUP($A376,'BC.115+260'!$B$13:$X$489,20,0)/1000</f>
        <v>2.5409999999999999</v>
      </c>
      <c r="K376" s="145">
        <f>VLOOKUP($A376,'BC.115+260'!$B$13:$X$489,21,0)/1000</f>
        <v>-0.45900000000000002</v>
      </c>
      <c r="L376" s="143">
        <f t="shared" si="16"/>
        <v>-247</v>
      </c>
      <c r="M376" s="144">
        <f t="shared" si="17"/>
        <v>-251</v>
      </c>
      <c r="N376" s="143">
        <f t="shared" si="18"/>
        <v>-209.00000000000003</v>
      </c>
      <c r="O376" s="143"/>
    </row>
    <row r="377" spans="1:15">
      <c r="A377" s="81">
        <f>'BC.115+260'!B376</f>
        <v>45614</v>
      </c>
      <c r="B377" s="143">
        <f t="shared" si="19"/>
        <v>363</v>
      </c>
      <c r="C377" s="145">
        <f>'BC.115+260'!M376/1000</f>
        <v>2.0489999999999999</v>
      </c>
      <c r="D377" s="145">
        <f>'BC.115+260'!AA376</f>
        <v>2.4729999999999999</v>
      </c>
      <c r="E377" s="146">
        <f>'BC.115+260'!AB376</f>
        <v>2.0179999999999998</v>
      </c>
      <c r="F377" s="145">
        <f>VLOOKUP($A377,'BC.115+260'!$B$13:$X$489,8,0)/1000</f>
        <v>2.5529999999999999</v>
      </c>
      <c r="G377" s="145">
        <f>VLOOKUP($A377,'BC.115+260'!$B$13:$X$489,9,0)/1000</f>
        <v>-0.44700000000000001</v>
      </c>
      <c r="H377" s="145">
        <f>VLOOKUP($A377,'BC.115+260'!$B$13:$X$489,14,0)/1000</f>
        <v>2.5289999999999999</v>
      </c>
      <c r="I377" s="145">
        <f>VLOOKUP($A377,'BC.115+260'!$B$13:$X$489,15,0)/1000</f>
        <v>-0.47099999999999997</v>
      </c>
      <c r="J377" s="145">
        <f>VLOOKUP($A377,'BC.115+260'!$B$13:$X$489,20,0)/1000</f>
        <v>2.5409999999999999</v>
      </c>
      <c r="K377" s="145">
        <f>VLOOKUP($A377,'BC.115+260'!$B$13:$X$489,21,0)/1000</f>
        <v>-0.45900000000000002</v>
      </c>
      <c r="L377" s="143">
        <f t="shared" si="16"/>
        <v>-247</v>
      </c>
      <c r="M377" s="144">
        <f t="shared" si="17"/>
        <v>-251</v>
      </c>
      <c r="N377" s="143">
        <f t="shared" si="18"/>
        <v>-209.00000000000003</v>
      </c>
      <c r="O377" s="143"/>
    </row>
    <row r="378" spans="1:15">
      <c r="A378" s="81">
        <f>'BC.115+260'!B377</f>
        <v>45615</v>
      </c>
      <c r="B378" s="143">
        <f t="shared" si="19"/>
        <v>364</v>
      </c>
      <c r="C378" s="145">
        <f>'BC.115+260'!M377/1000</f>
        <v>2.0489999999999999</v>
      </c>
      <c r="D378" s="145">
        <f>'BC.115+260'!AA377</f>
        <v>2.4729999999999999</v>
      </c>
      <c r="E378" s="146">
        <f>'BC.115+260'!AB377</f>
        <v>2.0179999999999998</v>
      </c>
      <c r="F378" s="145">
        <f>VLOOKUP($A378,'BC.115+260'!$B$13:$X$489,8,0)/1000</f>
        <v>2.5529999999999999</v>
      </c>
      <c r="G378" s="145">
        <f>VLOOKUP($A378,'BC.115+260'!$B$13:$X$489,9,0)/1000</f>
        <v>-0.44700000000000001</v>
      </c>
      <c r="H378" s="145">
        <f>VLOOKUP($A378,'BC.115+260'!$B$13:$X$489,14,0)/1000</f>
        <v>2.5289999999999999</v>
      </c>
      <c r="I378" s="145">
        <f>VLOOKUP($A378,'BC.115+260'!$B$13:$X$489,15,0)/1000</f>
        <v>-0.47099999999999997</v>
      </c>
      <c r="J378" s="145">
        <f>VLOOKUP($A378,'BC.115+260'!$B$13:$X$489,20,0)/1000</f>
        <v>2.5409999999999999</v>
      </c>
      <c r="K378" s="145">
        <f>VLOOKUP($A378,'BC.115+260'!$B$13:$X$489,21,0)/1000</f>
        <v>-0.45900000000000002</v>
      </c>
      <c r="L378" s="143">
        <f t="shared" si="16"/>
        <v>-247</v>
      </c>
      <c r="M378" s="144">
        <f t="shared" si="17"/>
        <v>-251</v>
      </c>
      <c r="N378" s="143">
        <f t="shared" si="18"/>
        <v>-209.00000000000003</v>
      </c>
      <c r="O378" s="143"/>
    </row>
    <row r="379" spans="1:15">
      <c r="A379" s="81">
        <f>'BC.115+260'!B378</f>
        <v>45616</v>
      </c>
      <c r="B379" s="143">
        <f t="shared" si="19"/>
        <v>365</v>
      </c>
      <c r="C379" s="145">
        <f>'BC.115+260'!M378/1000</f>
        <v>2.0489999999999999</v>
      </c>
      <c r="D379" s="145">
        <f>'BC.115+260'!AA378</f>
        <v>2.4729999999999999</v>
      </c>
      <c r="E379" s="146">
        <f>'BC.115+260'!AB378</f>
        <v>2.0179999999999998</v>
      </c>
      <c r="F379" s="145">
        <f>VLOOKUP($A379,'BC.115+260'!$B$13:$X$489,8,0)/1000</f>
        <v>2.5529999999999999</v>
      </c>
      <c r="G379" s="145">
        <f>VLOOKUP($A379,'BC.115+260'!$B$13:$X$489,9,0)/1000</f>
        <v>-0.44700000000000001</v>
      </c>
      <c r="H379" s="145">
        <f>VLOOKUP($A379,'BC.115+260'!$B$13:$X$489,14,0)/1000</f>
        <v>2.5289999999999999</v>
      </c>
      <c r="I379" s="145">
        <f>VLOOKUP($A379,'BC.115+260'!$B$13:$X$489,15,0)/1000</f>
        <v>-0.47099999999999997</v>
      </c>
      <c r="J379" s="145">
        <f>VLOOKUP($A379,'BC.115+260'!$B$13:$X$489,20,0)/1000</f>
        <v>2.5409999999999999</v>
      </c>
      <c r="K379" s="145">
        <f>VLOOKUP($A379,'BC.115+260'!$B$13:$X$489,21,0)/1000</f>
        <v>-0.45900000000000002</v>
      </c>
      <c r="L379" s="143">
        <f t="shared" si="16"/>
        <v>-247</v>
      </c>
      <c r="M379" s="144">
        <f t="shared" si="17"/>
        <v>-251</v>
      </c>
      <c r="N379" s="143">
        <f t="shared" si="18"/>
        <v>-209.00000000000003</v>
      </c>
      <c r="O379" s="143"/>
    </row>
    <row r="380" spans="1:15">
      <c r="A380" s="81">
        <f>'BC.115+260'!B379</f>
        <v>45617</v>
      </c>
      <c r="B380" s="143">
        <f t="shared" si="19"/>
        <v>366</v>
      </c>
      <c r="C380" s="145">
        <f>'BC.115+260'!M379/1000</f>
        <v>2.0489999999999999</v>
      </c>
      <c r="D380" s="145">
        <f>'BC.115+260'!AA379</f>
        <v>2.4729999999999999</v>
      </c>
      <c r="E380" s="146">
        <f>'BC.115+260'!AB379</f>
        <v>2.0179999999999998</v>
      </c>
      <c r="F380" s="145">
        <f>VLOOKUP($A380,'BC.115+260'!$B$13:$X$489,8,0)/1000</f>
        <v>2.5529999999999999</v>
      </c>
      <c r="G380" s="145">
        <f>VLOOKUP($A380,'BC.115+260'!$B$13:$X$489,9,0)/1000</f>
        <v>-0.44700000000000001</v>
      </c>
      <c r="H380" s="145">
        <f>VLOOKUP($A380,'BC.115+260'!$B$13:$X$489,14,0)/1000</f>
        <v>2.5289999999999999</v>
      </c>
      <c r="I380" s="145">
        <f>VLOOKUP($A380,'BC.115+260'!$B$13:$X$489,15,0)/1000</f>
        <v>-0.47099999999999997</v>
      </c>
      <c r="J380" s="145">
        <f>VLOOKUP($A380,'BC.115+260'!$B$13:$X$489,20,0)/1000</f>
        <v>2.5409999999999999</v>
      </c>
      <c r="K380" s="145">
        <f>VLOOKUP($A380,'BC.115+260'!$B$13:$X$489,21,0)/1000</f>
        <v>-0.45900000000000002</v>
      </c>
      <c r="L380" s="143">
        <f t="shared" si="16"/>
        <v>-247</v>
      </c>
      <c r="M380" s="144">
        <f t="shared" si="17"/>
        <v>-251</v>
      </c>
      <c r="N380" s="143">
        <f t="shared" si="18"/>
        <v>-209.00000000000003</v>
      </c>
      <c r="O380" s="143"/>
    </row>
    <row r="381" spans="1:15">
      <c r="A381" s="81">
        <f>'BC.115+260'!B380</f>
        <v>45618</v>
      </c>
      <c r="B381" s="143">
        <f t="shared" si="19"/>
        <v>367</v>
      </c>
      <c r="C381" s="145">
        <f>'BC.115+260'!M380/1000</f>
        <v>2.0489999999999999</v>
      </c>
      <c r="D381" s="145">
        <f>'BC.115+260'!AA380</f>
        <v>2.4729999999999999</v>
      </c>
      <c r="E381" s="146">
        <f>'BC.115+260'!AB380</f>
        <v>2.0179999999999998</v>
      </c>
      <c r="F381" s="145">
        <f>VLOOKUP($A381,'BC.115+260'!$B$13:$X$489,8,0)/1000</f>
        <v>2.5529999999999999</v>
      </c>
      <c r="G381" s="145">
        <f>VLOOKUP($A381,'BC.115+260'!$B$13:$X$489,9,0)/1000</f>
        <v>-0.44700000000000001</v>
      </c>
      <c r="H381" s="145">
        <f>VLOOKUP($A381,'BC.115+260'!$B$13:$X$489,14,0)/1000</f>
        <v>2.5289999999999999</v>
      </c>
      <c r="I381" s="145">
        <f>VLOOKUP($A381,'BC.115+260'!$B$13:$X$489,15,0)/1000</f>
        <v>-0.47099999999999997</v>
      </c>
      <c r="J381" s="145">
        <f>VLOOKUP($A381,'BC.115+260'!$B$13:$X$489,20,0)/1000</f>
        <v>2.5409999999999999</v>
      </c>
      <c r="K381" s="145">
        <f>VLOOKUP($A381,'BC.115+260'!$B$13:$X$489,21,0)/1000</f>
        <v>-0.45900000000000002</v>
      </c>
      <c r="L381" s="143">
        <f t="shared" si="16"/>
        <v>-247</v>
      </c>
      <c r="M381" s="144">
        <f t="shared" si="17"/>
        <v>-251</v>
      </c>
      <c r="N381" s="143">
        <f t="shared" si="18"/>
        <v>-209.00000000000003</v>
      </c>
      <c r="O381" s="143"/>
    </row>
    <row r="382" spans="1:15">
      <c r="A382" s="81">
        <f>'BC.115+260'!B381</f>
        <v>45619</v>
      </c>
      <c r="B382" s="143">
        <f t="shared" si="19"/>
        <v>368</v>
      </c>
      <c r="C382" s="145">
        <f>'BC.115+260'!M381/1000</f>
        <v>2.0489999999999999</v>
      </c>
      <c r="D382" s="145">
        <f>'BC.115+260'!AA381</f>
        <v>2.4729999999999999</v>
      </c>
      <c r="E382" s="146">
        <f>'BC.115+260'!AB381</f>
        <v>2.0179999999999998</v>
      </c>
      <c r="F382" s="145">
        <f>VLOOKUP($A382,'BC.115+260'!$B$13:$X$489,8,0)/1000</f>
        <v>2.5529999999999999</v>
      </c>
      <c r="G382" s="145">
        <f>VLOOKUP($A382,'BC.115+260'!$B$13:$X$489,9,0)/1000</f>
        <v>-0.44700000000000001</v>
      </c>
      <c r="H382" s="145">
        <f>VLOOKUP($A382,'BC.115+260'!$B$13:$X$489,14,0)/1000</f>
        <v>2.5289999999999999</v>
      </c>
      <c r="I382" s="145">
        <f>VLOOKUP($A382,'BC.115+260'!$B$13:$X$489,15,0)/1000</f>
        <v>-0.47099999999999997</v>
      </c>
      <c r="J382" s="145">
        <f>VLOOKUP($A382,'BC.115+260'!$B$13:$X$489,20,0)/1000</f>
        <v>2.5409999999999999</v>
      </c>
      <c r="K382" s="145">
        <f>VLOOKUP($A382,'BC.115+260'!$B$13:$X$489,21,0)/1000</f>
        <v>-0.45900000000000002</v>
      </c>
      <c r="L382" s="143">
        <f t="shared" si="16"/>
        <v>-247</v>
      </c>
      <c r="M382" s="144">
        <f t="shared" si="17"/>
        <v>-251</v>
      </c>
      <c r="N382" s="143">
        <f t="shared" si="18"/>
        <v>-209.00000000000003</v>
      </c>
      <c r="O382" s="143"/>
    </row>
    <row r="383" spans="1:15">
      <c r="A383" s="81">
        <f>'BC.115+260'!B382</f>
        <v>45620</v>
      </c>
      <c r="B383" s="143">
        <f t="shared" si="19"/>
        <v>369</v>
      </c>
      <c r="C383" s="145">
        <f>'BC.115+260'!M382/1000</f>
        <v>2.0489999999999999</v>
      </c>
      <c r="D383" s="145">
        <f>'BC.115+260'!AA382</f>
        <v>2.4729999999999999</v>
      </c>
      <c r="E383" s="146">
        <f>'BC.115+260'!AB382</f>
        <v>2.0179999999999998</v>
      </c>
      <c r="F383" s="145">
        <f>VLOOKUP($A383,'BC.115+260'!$B$13:$X$489,8,0)/1000</f>
        <v>2.5529999999999999</v>
      </c>
      <c r="G383" s="145">
        <f>VLOOKUP($A383,'BC.115+260'!$B$13:$X$489,9,0)/1000</f>
        <v>-0.44700000000000001</v>
      </c>
      <c r="H383" s="145">
        <f>VLOOKUP($A383,'BC.115+260'!$B$13:$X$489,14,0)/1000</f>
        <v>2.5289999999999999</v>
      </c>
      <c r="I383" s="145">
        <f>VLOOKUP($A383,'BC.115+260'!$B$13:$X$489,15,0)/1000</f>
        <v>-0.47099999999999997</v>
      </c>
      <c r="J383" s="145">
        <f>VLOOKUP($A383,'BC.115+260'!$B$13:$X$489,20,0)/1000</f>
        <v>2.5409999999999999</v>
      </c>
      <c r="K383" s="145">
        <f>VLOOKUP($A383,'BC.115+260'!$B$13:$X$489,21,0)/1000</f>
        <v>-0.45900000000000002</v>
      </c>
      <c r="L383" s="143">
        <f t="shared" si="16"/>
        <v>-247</v>
      </c>
      <c r="M383" s="144">
        <f t="shared" si="17"/>
        <v>-251</v>
      </c>
      <c r="N383" s="143">
        <f t="shared" si="18"/>
        <v>-209.00000000000003</v>
      </c>
      <c r="O383" s="143"/>
    </row>
    <row r="384" spans="1:15">
      <c r="A384" s="81">
        <f>'BC.115+260'!B383</f>
        <v>45621</v>
      </c>
      <c r="B384" s="143">
        <f t="shared" si="19"/>
        <v>370</v>
      </c>
      <c r="C384" s="145">
        <f>'BC.115+260'!M383/1000</f>
        <v>2.0489999999999999</v>
      </c>
      <c r="D384" s="145">
        <f>'BC.115+260'!AA383</f>
        <v>2.4729999999999999</v>
      </c>
      <c r="E384" s="146">
        <f>'BC.115+260'!AB383</f>
        <v>2.0179999999999998</v>
      </c>
      <c r="F384" s="145">
        <f>VLOOKUP($A384,'BC.115+260'!$B$13:$X$489,8,0)/1000</f>
        <v>2.5529999999999999</v>
      </c>
      <c r="G384" s="145">
        <f>VLOOKUP($A384,'BC.115+260'!$B$13:$X$489,9,0)/1000</f>
        <v>-0.44700000000000001</v>
      </c>
      <c r="H384" s="145">
        <f>VLOOKUP($A384,'BC.115+260'!$B$13:$X$489,14,0)/1000</f>
        <v>2.5289999999999999</v>
      </c>
      <c r="I384" s="145">
        <f>VLOOKUP($A384,'BC.115+260'!$B$13:$X$489,15,0)/1000</f>
        <v>-0.47099999999999997</v>
      </c>
      <c r="J384" s="145">
        <f>VLOOKUP($A384,'BC.115+260'!$B$13:$X$489,20,0)/1000</f>
        <v>2.5409999999999999</v>
      </c>
      <c r="K384" s="145">
        <f>VLOOKUP($A384,'BC.115+260'!$B$13:$X$489,21,0)/1000</f>
        <v>-0.45900000000000002</v>
      </c>
      <c r="L384" s="143">
        <f t="shared" si="16"/>
        <v>-247</v>
      </c>
      <c r="M384" s="144">
        <f t="shared" si="17"/>
        <v>-251</v>
      </c>
      <c r="N384" s="143">
        <f t="shared" si="18"/>
        <v>-209.00000000000003</v>
      </c>
      <c r="O384" s="143"/>
    </row>
    <row r="385" spans="1:15">
      <c r="A385" s="81">
        <f>'BC.115+260'!B384</f>
        <v>45622</v>
      </c>
      <c r="B385" s="143">
        <f t="shared" si="19"/>
        <v>371</v>
      </c>
      <c r="C385" s="145">
        <f>'BC.115+260'!M384/1000</f>
        <v>2.0489999999999999</v>
      </c>
      <c r="D385" s="145">
        <f>'BC.115+260'!AA384</f>
        <v>2.4729999999999999</v>
      </c>
      <c r="E385" s="146">
        <f>'BC.115+260'!AB384</f>
        <v>2.0179999999999998</v>
      </c>
      <c r="F385" s="145">
        <f>VLOOKUP($A385,'BC.115+260'!$B$13:$X$489,8,0)/1000</f>
        <v>2.5529999999999999</v>
      </c>
      <c r="G385" s="145">
        <f>VLOOKUP($A385,'BC.115+260'!$B$13:$X$489,9,0)/1000</f>
        <v>-0.44700000000000001</v>
      </c>
      <c r="H385" s="145">
        <f>VLOOKUP($A385,'BC.115+260'!$B$13:$X$489,14,0)/1000</f>
        <v>2.5289999999999999</v>
      </c>
      <c r="I385" s="145">
        <f>VLOOKUP($A385,'BC.115+260'!$B$13:$X$489,15,0)/1000</f>
        <v>-0.47099999999999997</v>
      </c>
      <c r="J385" s="145">
        <f>VLOOKUP($A385,'BC.115+260'!$B$13:$X$489,20,0)/1000</f>
        <v>2.5409999999999999</v>
      </c>
      <c r="K385" s="145">
        <f>VLOOKUP($A385,'BC.115+260'!$B$13:$X$489,21,0)/1000</f>
        <v>-0.45900000000000002</v>
      </c>
      <c r="L385" s="143">
        <f t="shared" si="16"/>
        <v>-247</v>
      </c>
      <c r="M385" s="144">
        <f t="shared" si="17"/>
        <v>-251</v>
      </c>
      <c r="N385" s="143">
        <f t="shared" si="18"/>
        <v>-209.00000000000003</v>
      </c>
      <c r="O385" s="143"/>
    </row>
    <row r="386" spans="1:15">
      <c r="A386" s="81">
        <f>'BC.115+260'!B385</f>
        <v>45623</v>
      </c>
      <c r="B386" s="143">
        <f t="shared" si="19"/>
        <v>372</v>
      </c>
      <c r="C386" s="145">
        <f>'BC.115+260'!M385/1000</f>
        <v>2.0489999999999999</v>
      </c>
      <c r="D386" s="145">
        <f>'BC.115+260'!AA385</f>
        <v>2.4729999999999999</v>
      </c>
      <c r="E386" s="146">
        <f>'BC.115+260'!AB385</f>
        <v>2.0179999999999998</v>
      </c>
      <c r="F386" s="145">
        <f>VLOOKUP($A386,'BC.115+260'!$B$13:$X$489,8,0)/1000</f>
        <v>2.5529999999999999</v>
      </c>
      <c r="G386" s="145">
        <f>VLOOKUP($A386,'BC.115+260'!$B$13:$X$489,9,0)/1000</f>
        <v>-0.44700000000000001</v>
      </c>
      <c r="H386" s="145">
        <f>VLOOKUP($A386,'BC.115+260'!$B$13:$X$489,14,0)/1000</f>
        <v>2.5289999999999999</v>
      </c>
      <c r="I386" s="145">
        <f>VLOOKUP($A386,'BC.115+260'!$B$13:$X$489,15,0)/1000</f>
        <v>-0.47099999999999997</v>
      </c>
      <c r="J386" s="145">
        <f>VLOOKUP($A386,'BC.115+260'!$B$13:$X$489,20,0)/1000</f>
        <v>2.5409999999999999</v>
      </c>
      <c r="K386" s="145">
        <f>VLOOKUP($A386,'BC.115+260'!$B$13:$X$489,21,0)/1000</f>
        <v>-0.45900000000000002</v>
      </c>
      <c r="L386" s="143">
        <f t="shared" si="16"/>
        <v>-247</v>
      </c>
      <c r="M386" s="144">
        <f t="shared" si="17"/>
        <v>-251</v>
      </c>
      <c r="N386" s="143">
        <f t="shared" si="18"/>
        <v>-209.00000000000003</v>
      </c>
      <c r="O386" s="143"/>
    </row>
    <row r="387" spans="1:15">
      <c r="A387" s="81">
        <f>'BC.115+260'!B386</f>
        <v>45624</v>
      </c>
      <c r="B387" s="143">
        <f t="shared" si="19"/>
        <v>373</v>
      </c>
      <c r="C387" s="145">
        <f>'BC.115+260'!M386/1000</f>
        <v>2.0489999999999999</v>
      </c>
      <c r="D387" s="145">
        <f>'BC.115+260'!AA386</f>
        <v>2.4729999999999999</v>
      </c>
      <c r="E387" s="146">
        <f>'BC.115+260'!AB386</f>
        <v>2.0179999999999998</v>
      </c>
      <c r="F387" s="145">
        <f>VLOOKUP($A387,'BC.115+260'!$B$13:$X$489,8,0)/1000</f>
        <v>2.5529999999999999</v>
      </c>
      <c r="G387" s="145">
        <f>VLOOKUP($A387,'BC.115+260'!$B$13:$X$489,9,0)/1000</f>
        <v>-0.44700000000000001</v>
      </c>
      <c r="H387" s="145">
        <f>VLOOKUP($A387,'BC.115+260'!$B$13:$X$489,14,0)/1000</f>
        <v>2.5289999999999999</v>
      </c>
      <c r="I387" s="145">
        <f>VLOOKUP($A387,'BC.115+260'!$B$13:$X$489,15,0)/1000</f>
        <v>-0.47099999999999997</v>
      </c>
      <c r="J387" s="145">
        <f>VLOOKUP($A387,'BC.115+260'!$B$13:$X$489,20,0)/1000</f>
        <v>2.5409999999999999</v>
      </c>
      <c r="K387" s="145">
        <f>VLOOKUP($A387,'BC.115+260'!$B$13:$X$489,21,0)/1000</f>
        <v>-0.45900000000000002</v>
      </c>
      <c r="L387" s="143">
        <f t="shared" si="16"/>
        <v>-247</v>
      </c>
      <c r="M387" s="144">
        <f t="shared" si="17"/>
        <v>-251</v>
      </c>
      <c r="N387" s="143">
        <f t="shared" si="18"/>
        <v>-209.00000000000003</v>
      </c>
      <c r="O387" s="143"/>
    </row>
    <row r="388" spans="1:15">
      <c r="A388" s="81">
        <f>'BC.115+260'!B387</f>
        <v>45625</v>
      </c>
      <c r="B388" s="143">
        <f t="shared" si="19"/>
        <v>374</v>
      </c>
      <c r="C388" s="145">
        <f>'BC.115+260'!M387/1000</f>
        <v>2.0489999999999999</v>
      </c>
      <c r="D388" s="145">
        <f>'BC.115+260'!AA387</f>
        <v>2.4729999999999999</v>
      </c>
      <c r="E388" s="146">
        <f>'BC.115+260'!AB387</f>
        <v>2.0179999999999998</v>
      </c>
      <c r="F388" s="145">
        <f>VLOOKUP($A388,'BC.115+260'!$B$13:$X$489,8,0)/1000</f>
        <v>2.5529999999999999</v>
      </c>
      <c r="G388" s="145">
        <f>VLOOKUP($A388,'BC.115+260'!$B$13:$X$489,9,0)/1000</f>
        <v>-0.44700000000000001</v>
      </c>
      <c r="H388" s="145">
        <f>VLOOKUP($A388,'BC.115+260'!$B$13:$X$489,14,0)/1000</f>
        <v>2.5289999999999999</v>
      </c>
      <c r="I388" s="145">
        <f>VLOOKUP($A388,'BC.115+260'!$B$13:$X$489,15,0)/1000</f>
        <v>-0.47099999999999997</v>
      </c>
      <c r="J388" s="145">
        <f>VLOOKUP($A388,'BC.115+260'!$B$13:$X$489,20,0)/1000</f>
        <v>2.5409999999999999</v>
      </c>
      <c r="K388" s="145">
        <f>VLOOKUP($A388,'BC.115+260'!$B$13:$X$489,21,0)/1000</f>
        <v>-0.45900000000000002</v>
      </c>
      <c r="L388" s="143">
        <f t="shared" si="16"/>
        <v>-247</v>
      </c>
      <c r="M388" s="144">
        <f t="shared" si="17"/>
        <v>-251</v>
      </c>
      <c r="N388" s="143">
        <f t="shared" si="18"/>
        <v>-209.00000000000003</v>
      </c>
      <c r="O388" s="143"/>
    </row>
    <row r="389" spans="1:15">
      <c r="A389" s="81">
        <f>'BC.115+260'!B388</f>
        <v>45626</v>
      </c>
      <c r="B389" s="143">
        <f t="shared" si="19"/>
        <v>375</v>
      </c>
      <c r="C389" s="145">
        <f>'BC.115+260'!M388/1000</f>
        <v>2.0489999999999999</v>
      </c>
      <c r="D389" s="145">
        <f>'BC.115+260'!AA388</f>
        <v>2.4729999999999999</v>
      </c>
      <c r="E389" s="146">
        <f>'BC.115+260'!AB388</f>
        <v>2.0179999999999998</v>
      </c>
      <c r="F389" s="145">
        <f>VLOOKUP($A389,'BC.115+260'!$B$13:$X$489,8,0)/1000</f>
        <v>2.5529999999999999</v>
      </c>
      <c r="G389" s="145">
        <f>VLOOKUP($A389,'BC.115+260'!$B$13:$X$489,9,0)/1000</f>
        <v>-0.44700000000000001</v>
      </c>
      <c r="H389" s="145">
        <f>VLOOKUP($A389,'BC.115+260'!$B$13:$X$489,14,0)/1000</f>
        <v>2.5289999999999999</v>
      </c>
      <c r="I389" s="145">
        <f>VLOOKUP($A389,'BC.115+260'!$B$13:$X$489,15,0)/1000</f>
        <v>-0.47099999999999997</v>
      </c>
      <c r="J389" s="145">
        <f>VLOOKUP($A389,'BC.115+260'!$B$13:$X$489,20,0)/1000</f>
        <v>2.5409999999999999</v>
      </c>
      <c r="K389" s="145">
        <f>VLOOKUP($A389,'BC.115+260'!$B$13:$X$489,21,0)/1000</f>
        <v>-0.45900000000000002</v>
      </c>
      <c r="L389" s="143">
        <f t="shared" si="16"/>
        <v>-247</v>
      </c>
      <c r="M389" s="144">
        <f t="shared" si="17"/>
        <v>-251</v>
      </c>
      <c r="N389" s="143">
        <f t="shared" si="18"/>
        <v>-209.00000000000003</v>
      </c>
      <c r="O389" s="143"/>
    </row>
    <row r="390" spans="1:15">
      <c r="A390" s="81">
        <f>'BC.115+260'!B389</f>
        <v>45627</v>
      </c>
      <c r="B390" s="143">
        <f t="shared" si="19"/>
        <v>376</v>
      </c>
      <c r="C390" s="145">
        <f>'BC.115+260'!M389/1000</f>
        <v>2.0489999999999999</v>
      </c>
      <c r="D390" s="145">
        <f>'BC.115+260'!AA389</f>
        <v>2.4729999999999999</v>
      </c>
      <c r="E390" s="146">
        <f>'BC.115+260'!AB389</f>
        <v>2.0179999999999998</v>
      </c>
      <c r="F390" s="145">
        <f>VLOOKUP($A390,'BC.115+260'!$B$13:$X$489,8,0)/1000</f>
        <v>2.5529999999999999</v>
      </c>
      <c r="G390" s="145">
        <f>VLOOKUP($A390,'BC.115+260'!$B$13:$X$489,9,0)/1000</f>
        <v>-0.44700000000000001</v>
      </c>
      <c r="H390" s="145">
        <f>VLOOKUP($A390,'BC.115+260'!$B$13:$X$489,14,0)/1000</f>
        <v>2.5289999999999999</v>
      </c>
      <c r="I390" s="145">
        <f>VLOOKUP($A390,'BC.115+260'!$B$13:$X$489,15,0)/1000</f>
        <v>-0.47099999999999997</v>
      </c>
      <c r="J390" s="145">
        <f>VLOOKUP($A390,'BC.115+260'!$B$13:$X$489,20,0)/1000</f>
        <v>2.5409999999999999</v>
      </c>
      <c r="K390" s="145">
        <f>VLOOKUP($A390,'BC.115+260'!$B$13:$X$489,21,0)/1000</f>
        <v>-0.45900000000000002</v>
      </c>
      <c r="L390" s="143">
        <f t="shared" si="16"/>
        <v>-247</v>
      </c>
      <c r="M390" s="144">
        <f t="shared" si="17"/>
        <v>-251</v>
      </c>
      <c r="N390" s="143">
        <f t="shared" si="18"/>
        <v>-209.00000000000003</v>
      </c>
      <c r="O390" s="143"/>
    </row>
    <row r="391" spans="1:15">
      <c r="A391" s="81">
        <f>'BC.115+260'!B390</f>
        <v>45628</v>
      </c>
      <c r="B391" s="143">
        <f t="shared" si="19"/>
        <v>377</v>
      </c>
      <c r="C391" s="145">
        <f>'BC.115+260'!M390/1000</f>
        <v>2.0489999999999999</v>
      </c>
      <c r="D391" s="145">
        <f>'BC.115+260'!AA390</f>
        <v>2.4729999999999999</v>
      </c>
      <c r="E391" s="146">
        <f>'BC.115+260'!AB390</f>
        <v>2.0179999999999998</v>
      </c>
      <c r="F391" s="145">
        <f>VLOOKUP($A391,'BC.115+260'!$B$13:$X$489,8,0)/1000</f>
        <v>2.5529999999999999</v>
      </c>
      <c r="G391" s="145">
        <f>VLOOKUP($A391,'BC.115+260'!$B$13:$X$489,9,0)/1000</f>
        <v>-0.44700000000000001</v>
      </c>
      <c r="H391" s="145">
        <f>VLOOKUP($A391,'BC.115+260'!$B$13:$X$489,14,0)/1000</f>
        <v>2.5289999999999999</v>
      </c>
      <c r="I391" s="145">
        <f>VLOOKUP($A391,'BC.115+260'!$B$13:$X$489,15,0)/1000</f>
        <v>-0.47099999999999997</v>
      </c>
      <c r="J391" s="145">
        <f>VLOOKUP($A391,'BC.115+260'!$B$13:$X$489,20,0)/1000</f>
        <v>2.5409999999999999</v>
      </c>
      <c r="K391" s="145">
        <f>VLOOKUP($A391,'BC.115+260'!$B$13:$X$489,21,0)/1000</f>
        <v>-0.45900000000000002</v>
      </c>
      <c r="L391" s="143">
        <f t="shared" si="16"/>
        <v>-247</v>
      </c>
      <c r="M391" s="144">
        <f t="shared" si="17"/>
        <v>-251</v>
      </c>
      <c r="N391" s="143">
        <f t="shared" si="18"/>
        <v>-209.00000000000003</v>
      </c>
      <c r="O391" s="143"/>
    </row>
    <row r="392" spans="1:15">
      <c r="A392" s="81">
        <f>'BC.115+260'!B391</f>
        <v>45629</v>
      </c>
      <c r="B392" s="143">
        <f t="shared" si="19"/>
        <v>378</v>
      </c>
      <c r="C392" s="145">
        <f>'BC.115+260'!M391/1000</f>
        <v>2.0489999999999999</v>
      </c>
      <c r="D392" s="145">
        <f>'BC.115+260'!AA391</f>
        <v>2.4729999999999999</v>
      </c>
      <c r="E392" s="146">
        <f>'BC.115+260'!AB391</f>
        <v>2.0179999999999998</v>
      </c>
      <c r="F392" s="145">
        <f>VLOOKUP($A392,'BC.115+260'!$B$13:$X$489,8,0)/1000</f>
        <v>2.5529999999999999</v>
      </c>
      <c r="G392" s="145">
        <f>VLOOKUP($A392,'BC.115+260'!$B$13:$X$489,9,0)/1000</f>
        <v>-0.44700000000000001</v>
      </c>
      <c r="H392" s="145">
        <f>VLOOKUP($A392,'BC.115+260'!$B$13:$X$489,14,0)/1000</f>
        <v>2.5289999999999999</v>
      </c>
      <c r="I392" s="145">
        <f>VLOOKUP($A392,'BC.115+260'!$B$13:$X$489,15,0)/1000</f>
        <v>-0.47099999999999997</v>
      </c>
      <c r="J392" s="145">
        <f>VLOOKUP($A392,'BC.115+260'!$B$13:$X$489,20,0)/1000</f>
        <v>2.5409999999999999</v>
      </c>
      <c r="K392" s="145">
        <f>VLOOKUP($A392,'BC.115+260'!$B$13:$X$489,21,0)/1000</f>
        <v>-0.45900000000000002</v>
      </c>
      <c r="L392" s="143">
        <f t="shared" si="16"/>
        <v>-247</v>
      </c>
      <c r="M392" s="144">
        <f t="shared" si="17"/>
        <v>-251</v>
      </c>
      <c r="N392" s="143">
        <f t="shared" si="18"/>
        <v>-209.00000000000003</v>
      </c>
      <c r="O392" s="143"/>
    </row>
    <row r="393" spans="1:15">
      <c r="A393" s="81">
        <f>'BC.115+260'!B392</f>
        <v>45630</v>
      </c>
      <c r="B393" s="143">
        <f t="shared" si="19"/>
        <v>379</v>
      </c>
      <c r="C393" s="145">
        <f>'BC.115+260'!M392/1000</f>
        <v>2.0489999999999999</v>
      </c>
      <c r="D393" s="145">
        <f>'BC.115+260'!AA392</f>
        <v>2.4729999999999999</v>
      </c>
      <c r="E393" s="146">
        <f>'BC.115+260'!AB392</f>
        <v>2.0179999999999998</v>
      </c>
      <c r="F393" s="145">
        <f>VLOOKUP($A393,'BC.115+260'!$B$13:$X$489,8,0)/1000</f>
        <v>2.5529999999999999</v>
      </c>
      <c r="G393" s="145">
        <f>VLOOKUP($A393,'BC.115+260'!$B$13:$X$489,9,0)/1000</f>
        <v>-0.44700000000000001</v>
      </c>
      <c r="H393" s="145">
        <f>VLOOKUP($A393,'BC.115+260'!$B$13:$X$489,14,0)/1000</f>
        <v>2.5289999999999999</v>
      </c>
      <c r="I393" s="145">
        <f>VLOOKUP($A393,'BC.115+260'!$B$13:$X$489,15,0)/1000</f>
        <v>-0.47099999999999997</v>
      </c>
      <c r="J393" s="145">
        <f>VLOOKUP($A393,'BC.115+260'!$B$13:$X$489,20,0)/1000</f>
        <v>2.5409999999999999</v>
      </c>
      <c r="K393" s="145">
        <f>VLOOKUP($A393,'BC.115+260'!$B$13:$X$489,21,0)/1000</f>
        <v>-0.45900000000000002</v>
      </c>
      <c r="L393" s="143">
        <f t="shared" si="16"/>
        <v>-247</v>
      </c>
      <c r="M393" s="144">
        <f t="shared" si="17"/>
        <v>-251</v>
      </c>
      <c r="N393" s="143">
        <f t="shared" si="18"/>
        <v>-209.00000000000003</v>
      </c>
      <c r="O393" s="143"/>
    </row>
    <row r="394" spans="1:15">
      <c r="A394" s="81">
        <f>'BC.115+260'!B393</f>
        <v>45631</v>
      </c>
      <c r="B394" s="143">
        <f t="shared" si="19"/>
        <v>380</v>
      </c>
      <c r="C394" s="145">
        <f>'BC.115+260'!M393/1000</f>
        <v>2.0489999999999999</v>
      </c>
      <c r="D394" s="145">
        <f>'BC.115+260'!AA393</f>
        <v>2.4729999999999999</v>
      </c>
      <c r="E394" s="146">
        <f>'BC.115+260'!AB393</f>
        <v>2.0179999999999998</v>
      </c>
      <c r="F394" s="145">
        <f>VLOOKUP($A394,'BC.115+260'!$B$13:$X$489,8,0)/1000</f>
        <v>2.5529999999999999</v>
      </c>
      <c r="G394" s="145">
        <f>VLOOKUP($A394,'BC.115+260'!$B$13:$X$489,9,0)/1000</f>
        <v>-0.44700000000000001</v>
      </c>
      <c r="H394" s="145">
        <f>VLOOKUP($A394,'BC.115+260'!$B$13:$X$489,14,0)/1000</f>
        <v>2.5289999999999999</v>
      </c>
      <c r="I394" s="145">
        <f>VLOOKUP($A394,'BC.115+260'!$B$13:$X$489,15,0)/1000</f>
        <v>-0.47099999999999997</v>
      </c>
      <c r="J394" s="145">
        <f>VLOOKUP($A394,'BC.115+260'!$B$13:$X$489,20,0)/1000</f>
        <v>2.5409999999999999</v>
      </c>
      <c r="K394" s="145">
        <f>VLOOKUP($A394,'BC.115+260'!$B$13:$X$489,21,0)/1000</f>
        <v>-0.45900000000000002</v>
      </c>
      <c r="L394" s="143">
        <f t="shared" si="16"/>
        <v>-247</v>
      </c>
      <c r="M394" s="144">
        <f t="shared" si="17"/>
        <v>-251</v>
      </c>
      <c r="N394" s="143">
        <f t="shared" si="18"/>
        <v>-209.00000000000003</v>
      </c>
      <c r="O394" s="143"/>
    </row>
    <row r="395" spans="1:15">
      <c r="A395" s="81">
        <f>'BC.115+260'!B394</f>
        <v>45632</v>
      </c>
      <c r="B395" s="143">
        <f t="shared" si="19"/>
        <v>381</v>
      </c>
      <c r="C395" s="145">
        <f>'BC.115+260'!M394/1000</f>
        <v>2.0489999999999999</v>
      </c>
      <c r="D395" s="145">
        <f>'BC.115+260'!AA394</f>
        <v>2.4729999999999999</v>
      </c>
      <c r="E395" s="146">
        <f>'BC.115+260'!AB394</f>
        <v>2.0179999999999998</v>
      </c>
      <c r="F395" s="145">
        <f>VLOOKUP($A395,'BC.115+260'!$B$13:$X$489,8,0)/1000</f>
        <v>2.5529999999999999</v>
      </c>
      <c r="G395" s="145">
        <f>VLOOKUP($A395,'BC.115+260'!$B$13:$X$489,9,0)/1000</f>
        <v>-0.44700000000000001</v>
      </c>
      <c r="H395" s="145">
        <f>VLOOKUP($A395,'BC.115+260'!$B$13:$X$489,14,0)/1000</f>
        <v>2.5289999999999999</v>
      </c>
      <c r="I395" s="145">
        <f>VLOOKUP($A395,'BC.115+260'!$B$13:$X$489,15,0)/1000</f>
        <v>-0.47099999999999997</v>
      </c>
      <c r="J395" s="145">
        <f>VLOOKUP($A395,'BC.115+260'!$B$13:$X$489,20,0)/1000</f>
        <v>2.5409999999999999</v>
      </c>
      <c r="K395" s="145">
        <f>VLOOKUP($A395,'BC.115+260'!$B$13:$X$489,21,0)/1000</f>
        <v>-0.45900000000000002</v>
      </c>
      <c r="L395" s="143">
        <f t="shared" si="16"/>
        <v>-247</v>
      </c>
      <c r="M395" s="144">
        <f t="shared" si="17"/>
        <v>-251</v>
      </c>
      <c r="N395" s="143">
        <f t="shared" si="18"/>
        <v>-209.00000000000003</v>
      </c>
      <c r="O395" s="143"/>
    </row>
    <row r="396" spans="1:15">
      <c r="A396" s="81">
        <f>'BC.115+260'!B395</f>
        <v>45633</v>
      </c>
      <c r="B396" s="143">
        <f t="shared" si="19"/>
        <v>382</v>
      </c>
      <c r="C396" s="145">
        <f>'BC.115+260'!M395/1000</f>
        <v>2.0489999999999999</v>
      </c>
      <c r="D396" s="145">
        <f>'BC.115+260'!AA395</f>
        <v>2.4729999999999999</v>
      </c>
      <c r="E396" s="146">
        <f>'BC.115+260'!AB395</f>
        <v>2.0179999999999998</v>
      </c>
      <c r="F396" s="145">
        <f>VLOOKUP($A396,'BC.115+260'!$B$13:$X$489,8,0)/1000</f>
        <v>2.5529999999999999</v>
      </c>
      <c r="G396" s="145">
        <f>VLOOKUP($A396,'BC.115+260'!$B$13:$X$489,9,0)/1000</f>
        <v>-0.44700000000000001</v>
      </c>
      <c r="H396" s="145">
        <f>VLOOKUP($A396,'BC.115+260'!$B$13:$X$489,14,0)/1000</f>
        <v>2.5289999999999999</v>
      </c>
      <c r="I396" s="145">
        <f>VLOOKUP($A396,'BC.115+260'!$B$13:$X$489,15,0)/1000</f>
        <v>-0.47099999999999997</v>
      </c>
      <c r="J396" s="145">
        <f>VLOOKUP($A396,'BC.115+260'!$B$13:$X$489,20,0)/1000</f>
        <v>2.5409999999999999</v>
      </c>
      <c r="K396" s="145">
        <f>VLOOKUP($A396,'BC.115+260'!$B$13:$X$489,21,0)/1000</f>
        <v>-0.45900000000000002</v>
      </c>
      <c r="L396" s="143">
        <f t="shared" si="16"/>
        <v>-247</v>
      </c>
      <c r="M396" s="144">
        <f t="shared" si="17"/>
        <v>-251</v>
      </c>
      <c r="N396" s="143">
        <f t="shared" si="18"/>
        <v>-209.00000000000003</v>
      </c>
      <c r="O396" s="143"/>
    </row>
    <row r="397" spans="1:15">
      <c r="A397" s="81">
        <f>'BC.115+260'!B396</f>
        <v>45634</v>
      </c>
      <c r="B397" s="143">
        <f t="shared" si="19"/>
        <v>383</v>
      </c>
      <c r="C397" s="145">
        <f>'BC.115+260'!M396/1000</f>
        <v>2.0489999999999999</v>
      </c>
      <c r="D397" s="145">
        <f>'BC.115+260'!AA396</f>
        <v>2.4729999999999999</v>
      </c>
      <c r="E397" s="146">
        <f>'BC.115+260'!AB396</f>
        <v>2.0179999999999998</v>
      </c>
      <c r="F397" s="145">
        <f>VLOOKUP($A397,'BC.115+260'!$B$13:$X$489,8,0)/1000</f>
        <v>2.5529999999999999</v>
      </c>
      <c r="G397" s="145">
        <f>VLOOKUP($A397,'BC.115+260'!$B$13:$X$489,9,0)/1000</f>
        <v>-0.44700000000000001</v>
      </c>
      <c r="H397" s="145">
        <f>VLOOKUP($A397,'BC.115+260'!$B$13:$X$489,14,0)/1000</f>
        <v>2.5289999999999999</v>
      </c>
      <c r="I397" s="145">
        <f>VLOOKUP($A397,'BC.115+260'!$B$13:$X$489,15,0)/1000</f>
        <v>-0.47099999999999997</v>
      </c>
      <c r="J397" s="145">
        <f>VLOOKUP($A397,'BC.115+260'!$B$13:$X$489,20,0)/1000</f>
        <v>2.5409999999999999</v>
      </c>
      <c r="K397" s="145">
        <f>VLOOKUP($A397,'BC.115+260'!$B$13:$X$489,21,0)/1000</f>
        <v>-0.45900000000000002</v>
      </c>
      <c r="L397" s="143">
        <f t="shared" si="16"/>
        <v>-247</v>
      </c>
      <c r="M397" s="144">
        <f t="shared" si="17"/>
        <v>-251</v>
      </c>
      <c r="N397" s="143">
        <f t="shared" si="18"/>
        <v>-209.00000000000003</v>
      </c>
      <c r="O397" s="143"/>
    </row>
    <row r="398" spans="1:15">
      <c r="A398" s="81">
        <f>'BC.115+260'!B397</f>
        <v>45635</v>
      </c>
      <c r="B398" s="143">
        <f t="shared" si="19"/>
        <v>384</v>
      </c>
      <c r="C398" s="145">
        <f>'BC.115+260'!M397/1000</f>
        <v>2.0489999999999999</v>
      </c>
      <c r="D398" s="145">
        <f>'BC.115+260'!AA397</f>
        <v>2.4729999999999999</v>
      </c>
      <c r="E398" s="146">
        <f>'BC.115+260'!AB397</f>
        <v>2.0179999999999998</v>
      </c>
      <c r="F398" s="145">
        <f>VLOOKUP($A398,'BC.115+260'!$B$13:$X$489,8,0)/1000</f>
        <v>2.5529999999999999</v>
      </c>
      <c r="G398" s="145">
        <f>VLOOKUP($A398,'BC.115+260'!$B$13:$X$489,9,0)/1000</f>
        <v>-0.44700000000000001</v>
      </c>
      <c r="H398" s="145">
        <f>VLOOKUP($A398,'BC.115+260'!$B$13:$X$489,14,0)/1000</f>
        <v>2.5289999999999999</v>
      </c>
      <c r="I398" s="145">
        <f>VLOOKUP($A398,'BC.115+260'!$B$13:$X$489,15,0)/1000</f>
        <v>-0.47099999999999997</v>
      </c>
      <c r="J398" s="145">
        <f>VLOOKUP($A398,'BC.115+260'!$B$13:$X$489,20,0)/1000</f>
        <v>2.5409999999999999</v>
      </c>
      <c r="K398" s="145">
        <f>VLOOKUP($A398,'BC.115+260'!$B$13:$X$489,21,0)/1000</f>
        <v>-0.45900000000000002</v>
      </c>
      <c r="L398" s="143">
        <f t="shared" ref="L398:L461" si="20">(G398-$G$14)*1000</f>
        <v>-247</v>
      </c>
      <c r="M398" s="144">
        <f t="shared" ref="M398:M461" si="21">(I398-$I$14)*1000</f>
        <v>-251</v>
      </c>
      <c r="N398" s="143">
        <f t="shared" si="18"/>
        <v>-209.00000000000003</v>
      </c>
      <c r="O398" s="143"/>
    </row>
    <row r="399" spans="1:15">
      <c r="A399" s="81">
        <f>'BC.115+260'!B398</f>
        <v>45636</v>
      </c>
      <c r="B399" s="143">
        <f t="shared" si="19"/>
        <v>385</v>
      </c>
      <c r="C399" s="145">
        <f>'BC.115+260'!M398/1000</f>
        <v>2.0489999999999999</v>
      </c>
      <c r="D399" s="145">
        <f>'BC.115+260'!AA398</f>
        <v>2.4729999999999999</v>
      </c>
      <c r="E399" s="146">
        <f>'BC.115+260'!AB398</f>
        <v>2.0179999999999998</v>
      </c>
      <c r="F399" s="145">
        <f>VLOOKUP($A399,'BC.115+260'!$B$13:$X$489,8,0)/1000</f>
        <v>2.5529999999999999</v>
      </c>
      <c r="G399" s="145">
        <f>VLOOKUP($A399,'BC.115+260'!$B$13:$X$489,9,0)/1000</f>
        <v>-0.44700000000000001</v>
      </c>
      <c r="H399" s="145">
        <f>VLOOKUP($A399,'BC.115+260'!$B$13:$X$489,14,0)/1000</f>
        <v>2.5289999999999999</v>
      </c>
      <c r="I399" s="145">
        <f>VLOOKUP($A399,'BC.115+260'!$B$13:$X$489,15,0)/1000</f>
        <v>-0.47099999999999997</v>
      </c>
      <c r="J399" s="145">
        <f>VLOOKUP($A399,'BC.115+260'!$B$13:$X$489,20,0)/1000</f>
        <v>2.5409999999999999</v>
      </c>
      <c r="K399" s="145">
        <f>VLOOKUP($A399,'BC.115+260'!$B$13:$X$489,21,0)/1000</f>
        <v>-0.45900000000000002</v>
      </c>
      <c r="L399" s="143">
        <f t="shared" si="20"/>
        <v>-247</v>
      </c>
      <c r="M399" s="144">
        <f t="shared" si="21"/>
        <v>-251</v>
      </c>
      <c r="N399" s="143">
        <f t="shared" ref="N399:N462" si="22">(K399-$K$14)*1000</f>
        <v>-209.00000000000003</v>
      </c>
      <c r="O399" s="143"/>
    </row>
    <row r="400" spans="1:15">
      <c r="A400" s="81">
        <f>'BC.115+260'!B399</f>
        <v>45637</v>
      </c>
      <c r="B400" s="143">
        <f t="shared" si="19"/>
        <v>386</v>
      </c>
      <c r="C400" s="145">
        <f>'BC.115+260'!M399/1000</f>
        <v>2.3290000000000002</v>
      </c>
      <c r="D400" s="145">
        <f>'BC.115+260'!AA399</f>
        <v>2.7530000000000001</v>
      </c>
      <c r="E400" s="146">
        <f>'BC.115+260'!AB399</f>
        <v>2.2879999999999998</v>
      </c>
      <c r="F400" s="145">
        <f>VLOOKUP($A400,'BC.115+260'!$B$13:$X$489,8,0)/1000</f>
        <v>2.5430000000000001</v>
      </c>
      <c r="G400" s="145">
        <f>VLOOKUP($A400,'BC.115+260'!$B$13:$X$489,9,0)/1000</f>
        <v>-0.45700000000000002</v>
      </c>
      <c r="H400" s="145">
        <f>VLOOKUP($A400,'BC.115+260'!$B$13:$X$489,14,0)/1000</f>
        <v>2.5190000000000001</v>
      </c>
      <c r="I400" s="145">
        <f>VLOOKUP($A400,'BC.115+260'!$B$13:$X$489,15,0)/1000</f>
        <v>-0.48099999999999998</v>
      </c>
      <c r="J400" s="145">
        <f>VLOOKUP($A400,'BC.115+260'!$B$13:$X$489,20,0)/1000</f>
        <v>2.5310000000000001</v>
      </c>
      <c r="K400" s="145">
        <f>VLOOKUP($A400,'BC.115+260'!$B$13:$X$489,21,0)/1000</f>
        <v>-0.46899999999999997</v>
      </c>
      <c r="L400" s="143">
        <f t="shared" si="20"/>
        <v>-257</v>
      </c>
      <c r="M400" s="144">
        <f t="shared" si="21"/>
        <v>-261</v>
      </c>
      <c r="N400" s="143">
        <f t="shared" si="22"/>
        <v>-218.99999999999997</v>
      </c>
      <c r="O400" s="143"/>
    </row>
    <row r="401" spans="1:15">
      <c r="A401" s="81">
        <f>'BC.115+260'!B400</f>
        <v>45638</v>
      </c>
      <c r="B401" s="143">
        <f t="shared" si="19"/>
        <v>387</v>
      </c>
      <c r="C401" s="145">
        <f>'BC.115+260'!M400/1000</f>
        <v>2.319</v>
      </c>
      <c r="D401" s="145">
        <f>'BC.115+260'!AA400</f>
        <v>2.7530000000000001</v>
      </c>
      <c r="E401" s="146">
        <f>'BC.115+260'!AB400</f>
        <v>2.2679999999999998</v>
      </c>
      <c r="F401" s="145">
        <f>VLOOKUP($A401,'BC.115+260'!$B$13:$X$489,8,0)/1000</f>
        <v>2.5350000000000001</v>
      </c>
      <c r="G401" s="145">
        <f>VLOOKUP($A401,'BC.115+260'!$B$13:$X$489,9,0)/1000</f>
        <v>-0.46500000000000002</v>
      </c>
      <c r="H401" s="145">
        <f>VLOOKUP($A401,'BC.115+260'!$B$13:$X$489,14,0)/1000</f>
        <v>2.5089999999999999</v>
      </c>
      <c r="I401" s="145">
        <f>VLOOKUP($A401,'BC.115+260'!$B$13:$X$489,15,0)/1000</f>
        <v>-0.49099999999999999</v>
      </c>
      <c r="J401" s="145">
        <f>VLOOKUP($A401,'BC.115+260'!$B$13:$X$489,20,0)/1000</f>
        <v>2.5209999999999999</v>
      </c>
      <c r="K401" s="145">
        <f>VLOOKUP($A401,'BC.115+260'!$B$13:$X$489,21,0)/1000</f>
        <v>-0.47899999999999998</v>
      </c>
      <c r="L401" s="143">
        <f t="shared" si="20"/>
        <v>-265</v>
      </c>
      <c r="M401" s="144">
        <f t="shared" si="21"/>
        <v>-271</v>
      </c>
      <c r="N401" s="143">
        <f t="shared" si="22"/>
        <v>-228.99999999999997</v>
      </c>
      <c r="O401" s="143"/>
    </row>
    <row r="402" spans="1:15">
      <c r="A402" s="81">
        <f>'BC.115+260'!B401</f>
        <v>45639</v>
      </c>
      <c r="B402" s="143">
        <f t="shared" ref="B402:B465" si="23">+B401+1</f>
        <v>388</v>
      </c>
      <c r="C402" s="145">
        <f>'BC.115+260'!M401/1000</f>
        <v>2.3130000000000002</v>
      </c>
      <c r="D402" s="145">
        <f>'BC.115+260'!AA401</f>
        <v>2.7530000000000001</v>
      </c>
      <c r="E402" s="146">
        <f>'BC.115+260'!AB401</f>
        <v>2.2559999999999998</v>
      </c>
      <c r="F402" s="145">
        <f>VLOOKUP($A402,'BC.115+260'!$B$13:$X$489,8,0)/1000</f>
        <v>2.5289999999999999</v>
      </c>
      <c r="G402" s="145">
        <f>VLOOKUP($A402,'BC.115+260'!$B$13:$X$489,9,0)/1000</f>
        <v>-0.47099999999999997</v>
      </c>
      <c r="H402" s="145">
        <f>VLOOKUP($A402,'BC.115+260'!$B$13:$X$489,14,0)/1000</f>
        <v>2.5030000000000001</v>
      </c>
      <c r="I402" s="145">
        <f>VLOOKUP($A402,'BC.115+260'!$B$13:$X$489,15,0)/1000</f>
        <v>-0.497</v>
      </c>
      <c r="J402" s="145">
        <f>VLOOKUP($A402,'BC.115+260'!$B$13:$X$489,20,0)/1000</f>
        <v>2.5110000000000001</v>
      </c>
      <c r="K402" s="145">
        <f>VLOOKUP($A402,'BC.115+260'!$B$13:$X$489,21,0)/1000</f>
        <v>-0.48899999999999999</v>
      </c>
      <c r="L402" s="143">
        <f t="shared" si="20"/>
        <v>-270.99999999999994</v>
      </c>
      <c r="M402" s="144">
        <f t="shared" si="21"/>
        <v>-277</v>
      </c>
      <c r="N402" s="143">
        <f t="shared" si="22"/>
        <v>-239</v>
      </c>
      <c r="O402" s="143"/>
    </row>
    <row r="403" spans="1:15">
      <c r="A403" s="81">
        <f>'BC.115+260'!B402</f>
        <v>45640</v>
      </c>
      <c r="B403" s="143">
        <f t="shared" si="23"/>
        <v>389</v>
      </c>
      <c r="C403" s="145">
        <f>'BC.115+260'!M402/1000</f>
        <v>2.3050000000000002</v>
      </c>
      <c r="D403" s="145">
        <f>'BC.115+260'!AA402</f>
        <v>2.7530000000000001</v>
      </c>
      <c r="E403" s="146">
        <f>'BC.115+260'!AB402</f>
        <v>2.2400000000000002</v>
      </c>
      <c r="F403" s="145">
        <f>VLOOKUP($A403,'BC.115+260'!$B$13:$X$489,8,0)/1000</f>
        <v>2.5230000000000001</v>
      </c>
      <c r="G403" s="145">
        <f>VLOOKUP($A403,'BC.115+260'!$B$13:$X$489,9,0)/1000</f>
        <v>-0.47699999999999998</v>
      </c>
      <c r="H403" s="145">
        <f>VLOOKUP($A403,'BC.115+260'!$B$13:$X$489,14,0)/1000</f>
        <v>2.4950000000000001</v>
      </c>
      <c r="I403" s="145">
        <f>VLOOKUP($A403,'BC.115+260'!$B$13:$X$489,15,0)/1000</f>
        <v>-0.505</v>
      </c>
      <c r="J403" s="145">
        <f>VLOOKUP($A403,'BC.115+260'!$B$13:$X$489,20,0)/1000</f>
        <v>2.504</v>
      </c>
      <c r="K403" s="145">
        <f>VLOOKUP($A403,'BC.115+260'!$B$13:$X$489,21,0)/1000</f>
        <v>-0.496</v>
      </c>
      <c r="L403" s="143">
        <f t="shared" si="20"/>
        <v>-276.99999999999994</v>
      </c>
      <c r="M403" s="144">
        <f t="shared" si="21"/>
        <v>-285.00000000000006</v>
      </c>
      <c r="N403" s="143">
        <f t="shared" si="22"/>
        <v>-246</v>
      </c>
      <c r="O403" s="143"/>
    </row>
    <row r="404" spans="1:15">
      <c r="A404" s="81">
        <f>'BC.115+260'!B403</f>
        <v>45641</v>
      </c>
      <c r="B404" s="143">
        <f t="shared" si="23"/>
        <v>390</v>
      </c>
      <c r="C404" s="145">
        <f>'BC.115+260'!M403/1000</f>
        <v>2.2970000000000002</v>
      </c>
      <c r="D404" s="145">
        <f>'BC.115+260'!AA403</f>
        <v>2.7530000000000001</v>
      </c>
      <c r="E404" s="146">
        <f>'BC.115+260'!AB403</f>
        <v>2.2240000000000002</v>
      </c>
      <c r="F404" s="145">
        <f>VLOOKUP($A404,'BC.115+260'!$B$13:$X$489,8,0)/1000</f>
        <v>2.5169999999999999</v>
      </c>
      <c r="G404" s="145">
        <f>VLOOKUP($A404,'BC.115+260'!$B$13:$X$489,9,0)/1000</f>
        <v>-0.48299999999999998</v>
      </c>
      <c r="H404" s="145">
        <f>VLOOKUP($A404,'BC.115+260'!$B$13:$X$489,14,0)/1000</f>
        <v>2.4870000000000001</v>
      </c>
      <c r="I404" s="145">
        <f>VLOOKUP($A404,'BC.115+260'!$B$13:$X$489,15,0)/1000</f>
        <v>-0.51300000000000001</v>
      </c>
      <c r="J404" s="145">
        <f>VLOOKUP($A404,'BC.115+260'!$B$13:$X$489,20,0)/1000</f>
        <v>2.4969999999999999</v>
      </c>
      <c r="K404" s="145">
        <f>VLOOKUP($A404,'BC.115+260'!$B$13:$X$489,21,0)/1000</f>
        <v>-0.503</v>
      </c>
      <c r="L404" s="143">
        <f t="shared" si="20"/>
        <v>-283</v>
      </c>
      <c r="M404" s="144">
        <f t="shared" si="21"/>
        <v>-293.00000000000006</v>
      </c>
      <c r="N404" s="143">
        <f t="shared" si="22"/>
        <v>-253</v>
      </c>
      <c r="O404" s="143"/>
    </row>
    <row r="405" spans="1:15">
      <c r="A405" s="81">
        <f>'BC.115+260'!B404</f>
        <v>45642</v>
      </c>
      <c r="B405" s="143">
        <f t="shared" si="23"/>
        <v>391</v>
      </c>
      <c r="C405" s="145">
        <f>'BC.115+260'!M404/1000</f>
        <v>2.5870000000000002</v>
      </c>
      <c r="D405" s="145">
        <f>'BC.115+260'!AA404</f>
        <v>3.0430000000000001</v>
      </c>
      <c r="E405" s="146">
        <f>'BC.115+260'!AB404</f>
        <v>2.504</v>
      </c>
      <c r="F405" s="145">
        <f>VLOOKUP($A405,'BC.115+260'!$B$13:$X$489,8,0)/1000</f>
        <v>2.5070000000000001</v>
      </c>
      <c r="G405" s="145">
        <f>VLOOKUP($A405,'BC.115+260'!$B$13:$X$489,9,0)/1000</f>
        <v>-0.49299999999999999</v>
      </c>
      <c r="H405" s="145">
        <f>VLOOKUP($A405,'BC.115+260'!$B$13:$X$489,14,0)/1000</f>
        <v>2.4769999999999999</v>
      </c>
      <c r="I405" s="145">
        <f>VLOOKUP($A405,'BC.115+260'!$B$13:$X$489,15,0)/1000</f>
        <v>-0.52300000000000002</v>
      </c>
      <c r="J405" s="145">
        <f>VLOOKUP($A405,'BC.115+260'!$B$13:$X$489,20,0)/1000</f>
        <v>2.4870000000000001</v>
      </c>
      <c r="K405" s="145">
        <f>VLOOKUP($A405,'BC.115+260'!$B$13:$X$489,21,0)/1000</f>
        <v>-0.51300000000000001</v>
      </c>
      <c r="L405" s="143">
        <f t="shared" si="20"/>
        <v>-293</v>
      </c>
      <c r="M405" s="144">
        <f t="shared" si="21"/>
        <v>-303.00000000000006</v>
      </c>
      <c r="N405" s="143">
        <f t="shared" si="22"/>
        <v>-263</v>
      </c>
      <c r="O405" s="143"/>
    </row>
    <row r="406" spans="1:15">
      <c r="A406" s="81">
        <f>'BC.115+260'!B405</f>
        <v>45643</v>
      </c>
      <c r="B406" s="143">
        <f t="shared" si="23"/>
        <v>392</v>
      </c>
      <c r="C406" s="145">
        <f>'BC.115+260'!M405/1000</f>
        <v>2.5779999999999998</v>
      </c>
      <c r="D406" s="145">
        <f>'BC.115+260'!AA405</f>
        <v>3.0430000000000001</v>
      </c>
      <c r="E406" s="146">
        <f>'BC.115+260'!AB405</f>
        <v>2.4860000000000002</v>
      </c>
      <c r="F406" s="145">
        <f>VLOOKUP($A406,'BC.115+260'!$B$13:$X$489,8,0)/1000</f>
        <v>2.4969999999999999</v>
      </c>
      <c r="G406" s="145">
        <f>VLOOKUP($A406,'BC.115+260'!$B$13:$X$489,9,0)/1000</f>
        <v>-0.503</v>
      </c>
      <c r="H406" s="145">
        <f>VLOOKUP($A406,'BC.115+260'!$B$13:$X$489,14,0)/1000</f>
        <v>2.468</v>
      </c>
      <c r="I406" s="145">
        <f>VLOOKUP($A406,'BC.115+260'!$B$13:$X$489,15,0)/1000</f>
        <v>-0.53200000000000003</v>
      </c>
      <c r="J406" s="145">
        <f>VLOOKUP($A406,'BC.115+260'!$B$13:$X$489,20,0)/1000</f>
        <v>2.4769999999999999</v>
      </c>
      <c r="K406" s="145">
        <f>VLOOKUP($A406,'BC.115+260'!$B$13:$X$489,21,0)/1000</f>
        <v>-0.52300000000000002</v>
      </c>
      <c r="L406" s="143">
        <f t="shared" si="20"/>
        <v>-303</v>
      </c>
      <c r="M406" s="144">
        <f t="shared" si="21"/>
        <v>-312.00000000000006</v>
      </c>
      <c r="N406" s="143">
        <f t="shared" si="22"/>
        <v>-273</v>
      </c>
      <c r="O406" s="143"/>
    </row>
    <row r="407" spans="1:15">
      <c r="A407" s="81">
        <f>'BC.115+260'!B406</f>
        <v>45644</v>
      </c>
      <c r="B407" s="143">
        <f t="shared" si="23"/>
        <v>393</v>
      </c>
      <c r="C407" s="145">
        <f>'BC.115+260'!M406/1000</f>
        <v>2.569</v>
      </c>
      <c r="D407" s="145">
        <f>'BC.115+260'!AA406</f>
        <v>3.0430000000000001</v>
      </c>
      <c r="E407" s="146">
        <f>'BC.115+260'!AB406</f>
        <v>2.468</v>
      </c>
      <c r="F407" s="145">
        <f>VLOOKUP($A407,'BC.115+260'!$B$13:$X$489,8,0)/1000</f>
        <v>2.4929999999999999</v>
      </c>
      <c r="G407" s="145">
        <f>VLOOKUP($A407,'BC.115+260'!$B$13:$X$489,9,0)/1000</f>
        <v>-0.50700000000000001</v>
      </c>
      <c r="H407" s="145">
        <f>VLOOKUP($A407,'BC.115+260'!$B$13:$X$489,14,0)/1000</f>
        <v>2.4590000000000001</v>
      </c>
      <c r="I407" s="145">
        <f>VLOOKUP($A407,'BC.115+260'!$B$13:$X$489,15,0)/1000</f>
        <v>-0.54100000000000004</v>
      </c>
      <c r="J407" s="145">
        <f>VLOOKUP($A407,'BC.115+260'!$B$13:$X$489,20,0)/1000</f>
        <v>2.4700000000000002</v>
      </c>
      <c r="K407" s="145">
        <f>VLOOKUP($A407,'BC.115+260'!$B$13:$X$489,21,0)/1000</f>
        <v>-0.53</v>
      </c>
      <c r="L407" s="143">
        <f t="shared" si="20"/>
        <v>-307</v>
      </c>
      <c r="M407" s="144">
        <f t="shared" si="21"/>
        <v>-321.00000000000006</v>
      </c>
      <c r="N407" s="143">
        <f t="shared" si="22"/>
        <v>-280</v>
      </c>
      <c r="O407" s="143"/>
    </row>
    <row r="408" spans="1:15">
      <c r="A408" s="81">
        <f>'BC.115+260'!B407</f>
        <v>45645</v>
      </c>
      <c r="B408" s="143">
        <f t="shared" si="23"/>
        <v>394</v>
      </c>
      <c r="C408" s="145">
        <f>'BC.115+260'!M407/1000</f>
        <v>2.56</v>
      </c>
      <c r="D408" s="145">
        <f>'BC.115+260'!AA407</f>
        <v>3.0430000000000001</v>
      </c>
      <c r="E408" s="146">
        <f>'BC.115+260'!AB407</f>
        <v>2.4500000000000002</v>
      </c>
      <c r="F408" s="145">
        <f>VLOOKUP($A408,'BC.115+260'!$B$13:$X$489,8,0)/1000</f>
        <v>2.488</v>
      </c>
      <c r="G408" s="145">
        <f>VLOOKUP($A408,'BC.115+260'!$B$13:$X$489,9,0)/1000</f>
        <v>-0.51200000000000001</v>
      </c>
      <c r="H408" s="145">
        <f>VLOOKUP($A408,'BC.115+260'!$B$13:$X$489,14,0)/1000</f>
        <v>2.4500000000000002</v>
      </c>
      <c r="I408" s="145">
        <f>VLOOKUP($A408,'BC.115+260'!$B$13:$X$489,15,0)/1000</f>
        <v>-0.55000000000000004</v>
      </c>
      <c r="J408" s="145">
        <f>VLOOKUP($A408,'BC.115+260'!$B$13:$X$489,20,0)/1000</f>
        <v>2.4630000000000001</v>
      </c>
      <c r="K408" s="145">
        <f>VLOOKUP($A408,'BC.115+260'!$B$13:$X$489,21,0)/1000</f>
        <v>-0.53700000000000003</v>
      </c>
      <c r="L408" s="143">
        <f t="shared" si="20"/>
        <v>-312</v>
      </c>
      <c r="M408" s="144">
        <f t="shared" si="21"/>
        <v>-330.00000000000006</v>
      </c>
      <c r="N408" s="143">
        <f t="shared" si="22"/>
        <v>-287.00000000000006</v>
      </c>
      <c r="O408" s="143"/>
    </row>
    <row r="409" spans="1:15">
      <c r="A409" s="81">
        <f>'BC.115+260'!B408</f>
        <v>45646</v>
      </c>
      <c r="B409" s="143">
        <f t="shared" si="23"/>
        <v>395</v>
      </c>
      <c r="C409" s="145">
        <f>'BC.115+260'!M408/1000</f>
        <v>2.552</v>
      </c>
      <c r="D409" s="145">
        <f>'BC.115+260'!AA408</f>
        <v>3.0430000000000001</v>
      </c>
      <c r="E409" s="146">
        <f>'BC.115+260'!AB408</f>
        <v>2.4340000000000002</v>
      </c>
      <c r="F409" s="145">
        <f>VLOOKUP($A409,'BC.115+260'!$B$13:$X$489,8,0)/1000</f>
        <v>2.4820000000000002</v>
      </c>
      <c r="G409" s="145">
        <f>VLOOKUP($A409,'BC.115+260'!$B$13:$X$489,9,0)/1000</f>
        <v>-0.51800000000000002</v>
      </c>
      <c r="H409" s="145">
        <f>VLOOKUP($A409,'BC.115+260'!$B$13:$X$489,14,0)/1000</f>
        <v>2.4420000000000002</v>
      </c>
      <c r="I409" s="145">
        <f>VLOOKUP($A409,'BC.115+260'!$B$13:$X$489,15,0)/1000</f>
        <v>-0.55800000000000005</v>
      </c>
      <c r="J409" s="145">
        <f>VLOOKUP($A409,'BC.115+260'!$B$13:$X$489,20,0)/1000</f>
        <v>2.456</v>
      </c>
      <c r="K409" s="145">
        <f>VLOOKUP($A409,'BC.115+260'!$B$13:$X$489,21,0)/1000</f>
        <v>-0.54400000000000004</v>
      </c>
      <c r="L409" s="143">
        <f t="shared" si="20"/>
        <v>-318</v>
      </c>
      <c r="M409" s="144">
        <f t="shared" si="21"/>
        <v>-338.00000000000006</v>
      </c>
      <c r="N409" s="143">
        <f t="shared" si="22"/>
        <v>-294.00000000000006</v>
      </c>
      <c r="O409" s="143"/>
    </row>
    <row r="410" spans="1:15">
      <c r="A410" s="81">
        <f>'BC.115+260'!B409</f>
        <v>45647</v>
      </c>
      <c r="B410" s="143">
        <f t="shared" si="23"/>
        <v>396</v>
      </c>
      <c r="C410" s="145">
        <f>'BC.115+260'!M409/1000</f>
        <v>2.8420000000000001</v>
      </c>
      <c r="D410" s="145">
        <f>'BC.115+260'!AA409</f>
        <v>3.3330000000000002</v>
      </c>
      <c r="E410" s="146">
        <f>'BC.115+260'!AB409</f>
        <v>2.714</v>
      </c>
      <c r="F410" s="145">
        <f>VLOOKUP($A410,'BC.115+260'!$B$13:$X$489,8,0)/1000</f>
        <v>2.472</v>
      </c>
      <c r="G410" s="145">
        <f>VLOOKUP($A410,'BC.115+260'!$B$13:$X$489,9,0)/1000</f>
        <v>-0.52800000000000002</v>
      </c>
      <c r="H410" s="145">
        <f>VLOOKUP($A410,'BC.115+260'!$B$13:$X$489,14,0)/1000</f>
        <v>2.4319999999999999</v>
      </c>
      <c r="I410" s="145">
        <f>VLOOKUP($A410,'BC.115+260'!$B$13:$X$489,15,0)/1000</f>
        <v>-0.56799999999999995</v>
      </c>
      <c r="J410" s="145">
        <f>VLOOKUP($A410,'BC.115+260'!$B$13:$X$489,20,0)/1000</f>
        <v>2.4460000000000002</v>
      </c>
      <c r="K410" s="145">
        <f>VLOOKUP($A410,'BC.115+260'!$B$13:$X$489,21,0)/1000</f>
        <v>-0.55400000000000005</v>
      </c>
      <c r="L410" s="143">
        <f t="shared" si="20"/>
        <v>-328</v>
      </c>
      <c r="M410" s="144">
        <f t="shared" si="21"/>
        <v>-348</v>
      </c>
      <c r="N410" s="143">
        <f t="shared" si="22"/>
        <v>-304.00000000000006</v>
      </c>
      <c r="O410" s="143"/>
    </row>
    <row r="411" spans="1:15">
      <c r="A411" s="81">
        <f>'BC.115+260'!B410</f>
        <v>45648</v>
      </c>
      <c r="B411" s="143">
        <f t="shared" si="23"/>
        <v>397</v>
      </c>
      <c r="C411" s="145">
        <f>'BC.115+260'!M410/1000</f>
        <v>2.8330000000000002</v>
      </c>
      <c r="D411" s="145">
        <f>'BC.115+260'!AA410</f>
        <v>3.3330000000000002</v>
      </c>
      <c r="E411" s="146">
        <f>'BC.115+260'!AB410</f>
        <v>2.6960000000000002</v>
      </c>
      <c r="F411" s="145">
        <f>VLOOKUP($A411,'BC.115+260'!$B$13:$X$489,8,0)/1000</f>
        <v>2.4620000000000002</v>
      </c>
      <c r="G411" s="145">
        <f>VLOOKUP($A411,'BC.115+260'!$B$13:$X$489,9,0)/1000</f>
        <v>-0.53800000000000003</v>
      </c>
      <c r="H411" s="145">
        <f>VLOOKUP($A411,'BC.115+260'!$B$13:$X$489,14,0)/1000</f>
        <v>2.423</v>
      </c>
      <c r="I411" s="145">
        <f>VLOOKUP($A411,'BC.115+260'!$B$13:$X$489,15,0)/1000</f>
        <v>-0.57699999999999996</v>
      </c>
      <c r="J411" s="145">
        <f>VLOOKUP($A411,'BC.115+260'!$B$13:$X$489,20,0)/1000</f>
        <v>2.4359999999999999</v>
      </c>
      <c r="K411" s="145">
        <f>VLOOKUP($A411,'BC.115+260'!$B$13:$X$489,21,0)/1000</f>
        <v>-0.56399999999999995</v>
      </c>
      <c r="L411" s="143">
        <f t="shared" si="20"/>
        <v>-338</v>
      </c>
      <c r="M411" s="144">
        <f t="shared" si="21"/>
        <v>-357</v>
      </c>
      <c r="N411" s="143">
        <f t="shared" si="22"/>
        <v>-313.99999999999994</v>
      </c>
      <c r="O411" s="143"/>
    </row>
    <row r="412" spans="1:15">
      <c r="A412" s="81">
        <f>'BC.115+260'!B411</f>
        <v>45649</v>
      </c>
      <c r="B412" s="143">
        <f t="shared" si="23"/>
        <v>398</v>
      </c>
      <c r="C412" s="145">
        <f>'BC.115+260'!M411/1000</f>
        <v>2.8250000000000002</v>
      </c>
      <c r="D412" s="145">
        <f>'BC.115+260'!AA411</f>
        <v>3.3330000000000002</v>
      </c>
      <c r="E412" s="146">
        <f>'BC.115+260'!AB411</f>
        <v>2.68</v>
      </c>
      <c r="F412" s="145">
        <f>VLOOKUP($A412,'BC.115+260'!$B$13:$X$489,8,0)/1000</f>
        <v>2.4580000000000002</v>
      </c>
      <c r="G412" s="145">
        <f>VLOOKUP($A412,'BC.115+260'!$B$13:$X$489,9,0)/1000</f>
        <v>-0.54200000000000004</v>
      </c>
      <c r="H412" s="145">
        <f>VLOOKUP($A412,'BC.115+260'!$B$13:$X$489,14,0)/1000</f>
        <v>2.415</v>
      </c>
      <c r="I412" s="145">
        <f>VLOOKUP($A412,'BC.115+260'!$B$13:$X$489,15,0)/1000</f>
        <v>-0.58499999999999996</v>
      </c>
      <c r="J412" s="145">
        <f>VLOOKUP($A412,'BC.115+260'!$B$13:$X$489,20,0)/1000</f>
        <v>2.4289999999999998</v>
      </c>
      <c r="K412" s="145">
        <f>VLOOKUP($A412,'BC.115+260'!$B$13:$X$489,21,0)/1000</f>
        <v>-0.57099999999999995</v>
      </c>
      <c r="L412" s="143">
        <f t="shared" si="20"/>
        <v>-342</v>
      </c>
      <c r="M412" s="144">
        <f t="shared" si="21"/>
        <v>-365</v>
      </c>
      <c r="N412" s="143">
        <f t="shared" si="22"/>
        <v>-320.99999999999994</v>
      </c>
      <c r="O412" s="143"/>
    </row>
    <row r="413" spans="1:15">
      <c r="A413" s="81">
        <f>'BC.115+260'!B412</f>
        <v>45650</v>
      </c>
      <c r="B413" s="143">
        <f t="shared" si="23"/>
        <v>399</v>
      </c>
      <c r="C413" s="145">
        <f>'BC.115+260'!M412/1000</f>
        <v>2.8159999999999998</v>
      </c>
      <c r="D413" s="145">
        <f>'BC.115+260'!AA412</f>
        <v>3.3330000000000002</v>
      </c>
      <c r="E413" s="146">
        <f>'BC.115+260'!AB412</f>
        <v>2.6619999999999999</v>
      </c>
      <c r="F413" s="145">
        <f>VLOOKUP($A413,'BC.115+260'!$B$13:$X$489,8,0)/1000</f>
        <v>2.4540000000000002</v>
      </c>
      <c r="G413" s="145">
        <f>VLOOKUP($A413,'BC.115+260'!$B$13:$X$489,9,0)/1000</f>
        <v>-0.54600000000000004</v>
      </c>
      <c r="H413" s="145">
        <f>VLOOKUP($A413,'BC.115+260'!$B$13:$X$489,14,0)/1000</f>
        <v>2.4060000000000001</v>
      </c>
      <c r="I413" s="145">
        <f>VLOOKUP($A413,'BC.115+260'!$B$13:$X$489,15,0)/1000</f>
        <v>-0.59399999999999997</v>
      </c>
      <c r="J413" s="145">
        <f>VLOOKUP($A413,'BC.115+260'!$B$13:$X$489,20,0)/1000</f>
        <v>2.4220000000000002</v>
      </c>
      <c r="K413" s="145">
        <f>VLOOKUP($A413,'BC.115+260'!$B$13:$X$489,21,0)/1000</f>
        <v>-0.57799999999999996</v>
      </c>
      <c r="L413" s="143">
        <f t="shared" si="20"/>
        <v>-346.00000000000006</v>
      </c>
      <c r="M413" s="144">
        <f t="shared" si="21"/>
        <v>-374</v>
      </c>
      <c r="N413" s="143">
        <f t="shared" si="22"/>
        <v>-327.99999999999994</v>
      </c>
      <c r="O413" s="143"/>
    </row>
    <row r="414" spans="1:15">
      <c r="A414" s="81">
        <f>'BC.115+260'!B413</f>
        <v>45651</v>
      </c>
      <c r="B414" s="143">
        <f t="shared" si="23"/>
        <v>400</v>
      </c>
      <c r="C414" s="145">
        <f>'BC.115+260'!M413/1000</f>
        <v>2.8079999999999998</v>
      </c>
      <c r="D414" s="145">
        <f>'BC.115+260'!AA413</f>
        <v>3.3330000000000002</v>
      </c>
      <c r="E414" s="146">
        <f>'BC.115+260'!AB413</f>
        <v>2.6459999999999999</v>
      </c>
      <c r="F414" s="145">
        <f>VLOOKUP($A414,'BC.115+260'!$B$13:$X$489,8,0)/1000</f>
        <v>2.448</v>
      </c>
      <c r="G414" s="145">
        <f>VLOOKUP($A414,'BC.115+260'!$B$13:$X$489,9,0)/1000</f>
        <v>-0.55200000000000005</v>
      </c>
      <c r="H414" s="145">
        <f>VLOOKUP($A414,'BC.115+260'!$B$13:$X$489,14,0)/1000</f>
        <v>2.3980000000000001</v>
      </c>
      <c r="I414" s="145">
        <f>VLOOKUP($A414,'BC.115+260'!$B$13:$X$489,15,0)/1000</f>
        <v>-0.60199999999999998</v>
      </c>
      <c r="J414" s="145">
        <f>VLOOKUP($A414,'BC.115+260'!$B$13:$X$489,20,0)/1000</f>
        <v>2.415</v>
      </c>
      <c r="K414" s="145">
        <f>VLOOKUP($A414,'BC.115+260'!$B$13:$X$489,21,0)/1000</f>
        <v>-0.58499999999999996</v>
      </c>
      <c r="L414" s="143">
        <f t="shared" si="20"/>
        <v>-352.00000000000006</v>
      </c>
      <c r="M414" s="144">
        <f t="shared" si="21"/>
        <v>-382</v>
      </c>
      <c r="N414" s="143">
        <f t="shared" si="22"/>
        <v>-334.99999999999994</v>
      </c>
      <c r="O414" s="143"/>
    </row>
    <row r="415" spans="1:15">
      <c r="A415" s="81">
        <f>'BC.115+260'!B414</f>
        <v>45652</v>
      </c>
      <c r="B415" s="143">
        <f t="shared" si="23"/>
        <v>401</v>
      </c>
      <c r="C415" s="145">
        <f>'BC.115+260'!M414/1000</f>
        <v>3.0979999999999999</v>
      </c>
      <c r="D415" s="145">
        <f>'BC.115+260'!AA414</f>
        <v>3.6230000000000002</v>
      </c>
      <c r="E415" s="146">
        <f>'BC.115+260'!AB414</f>
        <v>2.9260000000000002</v>
      </c>
      <c r="F415" s="145">
        <f>VLOOKUP($A415,'BC.115+260'!$B$13:$X$489,8,0)/1000</f>
        <v>2.4380000000000002</v>
      </c>
      <c r="G415" s="145">
        <f>VLOOKUP($A415,'BC.115+260'!$B$13:$X$489,9,0)/1000</f>
        <v>-0.56200000000000006</v>
      </c>
      <c r="H415" s="145">
        <f>VLOOKUP($A415,'BC.115+260'!$B$13:$X$489,14,0)/1000</f>
        <v>2.3879999999999999</v>
      </c>
      <c r="I415" s="145">
        <f>VLOOKUP($A415,'BC.115+260'!$B$13:$X$489,15,0)/1000</f>
        <v>-0.61199999999999999</v>
      </c>
      <c r="J415" s="145">
        <f>VLOOKUP($A415,'BC.115+260'!$B$13:$X$489,20,0)/1000</f>
        <v>2.4049999999999998</v>
      </c>
      <c r="K415" s="145">
        <f>VLOOKUP($A415,'BC.115+260'!$B$13:$X$489,21,0)/1000</f>
        <v>-0.59499999999999997</v>
      </c>
      <c r="L415" s="143">
        <f t="shared" si="20"/>
        <v>-362.00000000000006</v>
      </c>
      <c r="M415" s="144">
        <f t="shared" si="21"/>
        <v>-392</v>
      </c>
      <c r="N415" s="143">
        <f t="shared" si="22"/>
        <v>-345</v>
      </c>
      <c r="O415" s="143"/>
    </row>
    <row r="416" spans="1:15">
      <c r="A416" s="81">
        <f>'BC.115+260'!B415</f>
        <v>45653</v>
      </c>
      <c r="B416" s="143">
        <f t="shared" si="23"/>
        <v>402</v>
      </c>
      <c r="C416" s="145">
        <f>'BC.115+260'!M415/1000</f>
        <v>3.09</v>
      </c>
      <c r="D416" s="145">
        <f>'BC.115+260'!AA415</f>
        <v>3.6230000000000002</v>
      </c>
      <c r="E416" s="146">
        <f>'BC.115+260'!AB415</f>
        <v>2.91</v>
      </c>
      <c r="F416" s="145">
        <f>VLOOKUP($A416,'BC.115+260'!$B$13:$X$489,8,0)/1000</f>
        <v>2.431</v>
      </c>
      <c r="G416" s="145">
        <f>VLOOKUP($A416,'BC.115+260'!$B$13:$X$489,9,0)/1000</f>
        <v>-0.56899999999999995</v>
      </c>
      <c r="H416" s="145">
        <f>VLOOKUP($A416,'BC.115+260'!$B$13:$X$489,14,0)/1000</f>
        <v>2.38</v>
      </c>
      <c r="I416" s="145">
        <f>VLOOKUP($A416,'BC.115+260'!$B$13:$X$489,15,0)/1000</f>
        <v>-0.62</v>
      </c>
      <c r="J416" s="145">
        <f>VLOOKUP($A416,'BC.115+260'!$B$13:$X$489,20,0)/1000</f>
        <v>2.3969999999999998</v>
      </c>
      <c r="K416" s="145">
        <f>VLOOKUP($A416,'BC.115+260'!$B$13:$X$489,21,0)/1000</f>
        <v>-0.60299999999999998</v>
      </c>
      <c r="L416" s="143">
        <f t="shared" si="20"/>
        <v>-368.99999999999994</v>
      </c>
      <c r="M416" s="144">
        <f t="shared" si="21"/>
        <v>-400</v>
      </c>
      <c r="N416" s="143">
        <f t="shared" si="22"/>
        <v>-353</v>
      </c>
      <c r="O416" s="143"/>
    </row>
    <row r="417" spans="1:15">
      <c r="A417" s="81">
        <f>'BC.115+260'!B416</f>
        <v>45654</v>
      </c>
      <c r="B417" s="143">
        <f t="shared" si="23"/>
        <v>403</v>
      </c>
      <c r="C417" s="145">
        <f>'BC.115+260'!M416/1000</f>
        <v>3.081</v>
      </c>
      <c r="D417" s="145">
        <f>'BC.115+260'!AA416</f>
        <v>3.6230000000000002</v>
      </c>
      <c r="E417" s="146">
        <f>'BC.115+260'!AB416</f>
        <v>2.8919999999999999</v>
      </c>
      <c r="F417" s="145">
        <f>VLOOKUP($A417,'BC.115+260'!$B$13:$X$489,8,0)/1000</f>
        <v>2.423</v>
      </c>
      <c r="G417" s="145">
        <f>VLOOKUP($A417,'BC.115+260'!$B$13:$X$489,9,0)/1000</f>
        <v>-0.57699999999999996</v>
      </c>
      <c r="H417" s="145">
        <f>VLOOKUP($A417,'BC.115+260'!$B$13:$X$489,14,0)/1000</f>
        <v>2.371</v>
      </c>
      <c r="I417" s="145">
        <f>VLOOKUP($A417,'BC.115+260'!$B$13:$X$489,15,0)/1000</f>
        <v>-0.629</v>
      </c>
      <c r="J417" s="145">
        <f>VLOOKUP($A417,'BC.115+260'!$B$13:$X$489,20,0)/1000</f>
        <v>2.3889999999999998</v>
      </c>
      <c r="K417" s="145">
        <f>VLOOKUP($A417,'BC.115+260'!$B$13:$X$489,21,0)/1000</f>
        <v>-0.61099999999999999</v>
      </c>
      <c r="L417" s="143">
        <f t="shared" si="20"/>
        <v>-376.99999999999994</v>
      </c>
      <c r="M417" s="144">
        <f t="shared" si="21"/>
        <v>-409.00000000000006</v>
      </c>
      <c r="N417" s="143">
        <f t="shared" si="22"/>
        <v>-361</v>
      </c>
      <c r="O417" s="143"/>
    </row>
    <row r="418" spans="1:15">
      <c r="A418" s="81">
        <f>'BC.115+260'!B417</f>
        <v>45655</v>
      </c>
      <c r="B418" s="143">
        <f t="shared" si="23"/>
        <v>404</v>
      </c>
      <c r="C418" s="145">
        <f>'BC.115+260'!M417/1000</f>
        <v>3.073</v>
      </c>
      <c r="D418" s="145">
        <f>'BC.115+260'!AA417</f>
        <v>3.6230000000000002</v>
      </c>
      <c r="E418" s="146">
        <f>'BC.115+260'!AB417</f>
        <v>2.8759999999999999</v>
      </c>
      <c r="F418" s="145">
        <f>VLOOKUP($A418,'BC.115+260'!$B$13:$X$489,8,0)/1000</f>
        <v>2.4140000000000001</v>
      </c>
      <c r="G418" s="145">
        <f>VLOOKUP($A418,'BC.115+260'!$B$13:$X$489,9,0)/1000</f>
        <v>-0.58599999999999997</v>
      </c>
      <c r="H418" s="145">
        <f>VLOOKUP($A418,'BC.115+260'!$B$13:$X$489,14,0)/1000</f>
        <v>2.363</v>
      </c>
      <c r="I418" s="145">
        <f>VLOOKUP($A418,'BC.115+260'!$B$13:$X$489,15,0)/1000</f>
        <v>-0.63700000000000001</v>
      </c>
      <c r="J418" s="145">
        <f>VLOOKUP($A418,'BC.115+260'!$B$13:$X$489,20,0)/1000</f>
        <v>2.38</v>
      </c>
      <c r="K418" s="145">
        <f>VLOOKUP($A418,'BC.115+260'!$B$13:$X$489,21,0)/1000</f>
        <v>-0.62</v>
      </c>
      <c r="L418" s="143">
        <f t="shared" si="20"/>
        <v>-385.99999999999994</v>
      </c>
      <c r="M418" s="144">
        <f t="shared" si="21"/>
        <v>-417.00000000000006</v>
      </c>
      <c r="N418" s="143">
        <f t="shared" si="22"/>
        <v>-370</v>
      </c>
      <c r="O418" s="143"/>
    </row>
    <row r="419" spans="1:15">
      <c r="A419" s="81">
        <f>'BC.115+260'!B418</f>
        <v>45656</v>
      </c>
      <c r="B419" s="143">
        <f t="shared" si="23"/>
        <v>405</v>
      </c>
      <c r="C419" s="145">
        <f>'BC.115+260'!M418/1000</f>
        <v>3.0659999999999998</v>
      </c>
      <c r="D419" s="145">
        <f>'BC.115+260'!AA418</f>
        <v>3.6230000000000002</v>
      </c>
      <c r="E419" s="146">
        <f>'BC.115+260'!AB418</f>
        <v>2.8620000000000001</v>
      </c>
      <c r="F419" s="145">
        <f>VLOOKUP($A419,'BC.115+260'!$B$13:$X$489,8,0)/1000</f>
        <v>2.4060000000000001</v>
      </c>
      <c r="G419" s="145">
        <f>VLOOKUP($A419,'BC.115+260'!$B$13:$X$489,9,0)/1000</f>
        <v>-0.59399999999999997</v>
      </c>
      <c r="H419" s="145">
        <f>VLOOKUP($A419,'BC.115+260'!$B$13:$X$489,14,0)/1000</f>
        <v>2.3559999999999999</v>
      </c>
      <c r="I419" s="145">
        <f>VLOOKUP($A419,'BC.115+260'!$B$13:$X$489,15,0)/1000</f>
        <v>-0.64400000000000002</v>
      </c>
      <c r="J419" s="145">
        <f>VLOOKUP($A419,'BC.115+260'!$B$13:$X$489,20,0)/1000</f>
        <v>2.3719999999999999</v>
      </c>
      <c r="K419" s="145">
        <f>VLOOKUP($A419,'BC.115+260'!$B$13:$X$489,21,0)/1000</f>
        <v>-0.628</v>
      </c>
      <c r="L419" s="143">
        <f t="shared" si="20"/>
        <v>-393.99999999999994</v>
      </c>
      <c r="M419" s="144">
        <f t="shared" si="21"/>
        <v>-424.00000000000006</v>
      </c>
      <c r="N419" s="143">
        <f t="shared" si="22"/>
        <v>-378</v>
      </c>
      <c r="O419" s="143"/>
    </row>
    <row r="420" spans="1:15">
      <c r="A420" s="81">
        <f>'BC.115+260'!B419</f>
        <v>45657</v>
      </c>
      <c r="B420" s="143">
        <f t="shared" si="23"/>
        <v>406</v>
      </c>
      <c r="C420" s="145">
        <f>'BC.115+260'!M419/1000</f>
        <v>3.3570000000000002</v>
      </c>
      <c r="D420" s="145">
        <f>'BC.115+260'!AA419</f>
        <v>3.9130000000000003</v>
      </c>
      <c r="E420" s="146">
        <f>'BC.115+260'!AB419</f>
        <v>3.1440000000000001</v>
      </c>
      <c r="F420" s="145">
        <f>VLOOKUP($A420,'BC.115+260'!$B$13:$X$489,8,0)/1000</f>
        <v>2.3959999999999999</v>
      </c>
      <c r="G420" s="145">
        <f>VLOOKUP($A420,'BC.115+260'!$B$13:$X$489,9,0)/1000</f>
        <v>-0.60399999999999998</v>
      </c>
      <c r="H420" s="145">
        <f>VLOOKUP($A420,'BC.115+260'!$B$13:$X$489,14,0)/1000</f>
        <v>2.347</v>
      </c>
      <c r="I420" s="145">
        <f>VLOOKUP($A420,'BC.115+260'!$B$13:$X$489,15,0)/1000</f>
        <v>-0.65300000000000002</v>
      </c>
      <c r="J420" s="145">
        <f>VLOOKUP($A420,'BC.115+260'!$B$13:$X$489,20,0)/1000</f>
        <v>2.3620000000000001</v>
      </c>
      <c r="K420" s="145">
        <f>VLOOKUP($A420,'BC.115+260'!$B$13:$X$489,21,0)/1000</f>
        <v>-0.63800000000000001</v>
      </c>
      <c r="L420" s="143">
        <f t="shared" si="20"/>
        <v>-403.99999999999994</v>
      </c>
      <c r="M420" s="144">
        <f t="shared" si="21"/>
        <v>-433.00000000000006</v>
      </c>
      <c r="N420" s="143">
        <f t="shared" si="22"/>
        <v>-388</v>
      </c>
      <c r="O420" s="143"/>
    </row>
    <row r="421" spans="1:15">
      <c r="A421" s="81">
        <f>'BC.115+260'!B420</f>
        <v>45658</v>
      </c>
      <c r="B421" s="143">
        <f t="shared" si="23"/>
        <v>407</v>
      </c>
      <c r="C421" s="145">
        <f>'BC.115+260'!M420/1000</f>
        <v>3.3490000000000002</v>
      </c>
      <c r="D421" s="145">
        <f>'BC.115+260'!AA420</f>
        <v>3.9130000000000003</v>
      </c>
      <c r="E421" s="146">
        <f>'BC.115+260'!AB420</f>
        <v>3.1280000000000001</v>
      </c>
      <c r="F421" s="145">
        <f>VLOOKUP($A421,'BC.115+260'!$B$13:$X$489,8,0)/1000</f>
        <v>2.387</v>
      </c>
      <c r="G421" s="145">
        <f>VLOOKUP($A421,'BC.115+260'!$B$13:$X$489,9,0)/1000</f>
        <v>-0.61299999999999999</v>
      </c>
      <c r="H421" s="145">
        <f>VLOOKUP($A421,'BC.115+260'!$B$13:$X$489,14,0)/1000</f>
        <v>2.339</v>
      </c>
      <c r="I421" s="145">
        <f>VLOOKUP($A421,'BC.115+260'!$B$13:$X$489,15,0)/1000</f>
        <v>-0.66100000000000003</v>
      </c>
      <c r="J421" s="145">
        <f>VLOOKUP($A421,'BC.115+260'!$B$13:$X$489,20,0)/1000</f>
        <v>2.3530000000000002</v>
      </c>
      <c r="K421" s="145">
        <f>VLOOKUP($A421,'BC.115+260'!$B$13:$X$489,21,0)/1000</f>
        <v>-0.64700000000000002</v>
      </c>
      <c r="L421" s="143">
        <f t="shared" si="20"/>
        <v>-413</v>
      </c>
      <c r="M421" s="144">
        <f t="shared" si="21"/>
        <v>-441.00000000000006</v>
      </c>
      <c r="N421" s="143">
        <f t="shared" si="22"/>
        <v>-397</v>
      </c>
      <c r="O421" s="143"/>
    </row>
    <row r="422" spans="1:15">
      <c r="A422" s="81">
        <f>'BC.115+260'!B421</f>
        <v>45659</v>
      </c>
      <c r="B422" s="143">
        <f t="shared" si="23"/>
        <v>408</v>
      </c>
      <c r="C422" s="145">
        <f>'BC.115+260'!M421/1000</f>
        <v>3.34</v>
      </c>
      <c r="D422" s="145">
        <f>'BC.115+260'!AA421</f>
        <v>3.9130000000000003</v>
      </c>
      <c r="E422" s="146">
        <f>'BC.115+260'!AB421</f>
        <v>3.11</v>
      </c>
      <c r="F422" s="145">
        <f>VLOOKUP($A422,'BC.115+260'!$B$13:$X$489,8,0)/1000</f>
        <v>2.379</v>
      </c>
      <c r="G422" s="145">
        <f>VLOOKUP($A422,'BC.115+260'!$B$13:$X$489,9,0)/1000</f>
        <v>-0.621</v>
      </c>
      <c r="H422" s="145">
        <f>VLOOKUP($A422,'BC.115+260'!$B$13:$X$489,14,0)/1000</f>
        <v>2.33</v>
      </c>
      <c r="I422" s="145">
        <f>VLOOKUP($A422,'BC.115+260'!$B$13:$X$489,15,0)/1000</f>
        <v>-0.67</v>
      </c>
      <c r="J422" s="145">
        <f>VLOOKUP($A422,'BC.115+260'!$B$13:$X$489,20,0)/1000</f>
        <v>2.3450000000000002</v>
      </c>
      <c r="K422" s="145">
        <f>VLOOKUP($A422,'BC.115+260'!$B$13:$X$489,21,0)/1000</f>
        <v>-0.65500000000000003</v>
      </c>
      <c r="L422" s="143">
        <f t="shared" si="20"/>
        <v>-421</v>
      </c>
      <c r="M422" s="144">
        <f t="shared" si="21"/>
        <v>-450.00000000000006</v>
      </c>
      <c r="N422" s="143">
        <f t="shared" si="22"/>
        <v>-405</v>
      </c>
      <c r="O422" s="143"/>
    </row>
    <row r="423" spans="1:15">
      <c r="A423" s="81">
        <f>'BC.115+260'!B422</f>
        <v>45660</v>
      </c>
      <c r="B423" s="143">
        <f t="shared" si="23"/>
        <v>409</v>
      </c>
      <c r="C423" s="145">
        <f>'BC.115+260'!M422/1000</f>
        <v>3.3319999999999999</v>
      </c>
      <c r="D423" s="145">
        <f>'BC.115+260'!AA422</f>
        <v>3.9130000000000003</v>
      </c>
      <c r="E423" s="146">
        <f>'BC.115+260'!AB422</f>
        <v>3.0939999999999999</v>
      </c>
      <c r="F423" s="145">
        <f>VLOOKUP($A423,'BC.115+260'!$B$13:$X$489,8,0)/1000</f>
        <v>2.37</v>
      </c>
      <c r="G423" s="145">
        <f>VLOOKUP($A423,'BC.115+260'!$B$13:$X$489,9,0)/1000</f>
        <v>-0.63</v>
      </c>
      <c r="H423" s="145">
        <f>VLOOKUP($A423,'BC.115+260'!$B$13:$X$489,14,0)/1000</f>
        <v>2.3220000000000001</v>
      </c>
      <c r="I423" s="145">
        <f>VLOOKUP($A423,'BC.115+260'!$B$13:$X$489,15,0)/1000</f>
        <v>-0.67800000000000005</v>
      </c>
      <c r="J423" s="145">
        <f>VLOOKUP($A423,'BC.115+260'!$B$13:$X$489,20,0)/1000</f>
        <v>2.3359999999999999</v>
      </c>
      <c r="K423" s="145">
        <f>VLOOKUP($A423,'BC.115+260'!$B$13:$X$489,21,0)/1000</f>
        <v>-0.66400000000000003</v>
      </c>
      <c r="L423" s="143">
        <f t="shared" si="20"/>
        <v>-430</v>
      </c>
      <c r="M423" s="144">
        <f t="shared" si="21"/>
        <v>-458.00000000000006</v>
      </c>
      <c r="N423" s="143">
        <f t="shared" si="22"/>
        <v>-414.00000000000006</v>
      </c>
      <c r="O423" s="143"/>
    </row>
    <row r="424" spans="1:15">
      <c r="A424" s="81">
        <f>'BC.115+260'!B423</f>
        <v>45661</v>
      </c>
      <c r="B424" s="143">
        <f t="shared" si="23"/>
        <v>410</v>
      </c>
      <c r="C424" s="145">
        <f>'BC.115+260'!M423/1000</f>
        <v>3.3250000000000002</v>
      </c>
      <c r="D424" s="145">
        <f>'BC.115+260'!AA423</f>
        <v>3.9130000000000003</v>
      </c>
      <c r="E424" s="146">
        <f>'BC.115+260'!AB423</f>
        <v>3.08</v>
      </c>
      <c r="F424" s="145">
        <f>VLOOKUP($A424,'BC.115+260'!$B$13:$X$489,8,0)/1000</f>
        <v>2.3620000000000001</v>
      </c>
      <c r="G424" s="145">
        <f>VLOOKUP($A424,'BC.115+260'!$B$13:$X$489,9,0)/1000</f>
        <v>-0.63800000000000001</v>
      </c>
      <c r="H424" s="145">
        <f>VLOOKUP($A424,'BC.115+260'!$B$13:$X$489,14,0)/1000</f>
        <v>2.3149999999999999</v>
      </c>
      <c r="I424" s="145">
        <f>VLOOKUP($A424,'BC.115+260'!$B$13:$X$489,15,0)/1000</f>
        <v>-0.68500000000000005</v>
      </c>
      <c r="J424" s="145">
        <f>VLOOKUP($A424,'BC.115+260'!$B$13:$X$489,20,0)/1000</f>
        <v>2.3279999999999998</v>
      </c>
      <c r="K424" s="145">
        <f>VLOOKUP($A424,'BC.115+260'!$B$13:$X$489,21,0)/1000</f>
        <v>-0.67200000000000004</v>
      </c>
      <c r="L424" s="143">
        <f t="shared" si="20"/>
        <v>-438</v>
      </c>
      <c r="M424" s="144">
        <f t="shared" si="21"/>
        <v>-465.00000000000006</v>
      </c>
      <c r="N424" s="143">
        <f t="shared" si="22"/>
        <v>-422.00000000000006</v>
      </c>
      <c r="O424" s="143"/>
    </row>
    <row r="425" spans="1:15">
      <c r="A425" s="81">
        <f>'BC.115+260'!B424</f>
        <v>45662</v>
      </c>
      <c r="B425" s="143">
        <f t="shared" si="23"/>
        <v>411</v>
      </c>
      <c r="C425" s="145">
        <f>'BC.115+260'!M424/1000</f>
        <v>3.3159999999999998</v>
      </c>
      <c r="D425" s="145">
        <f>'BC.115+260'!AA424</f>
        <v>3.9130000000000003</v>
      </c>
      <c r="E425" s="146">
        <f>'BC.115+260'!AB424</f>
        <v>3.0619999999999998</v>
      </c>
      <c r="F425" s="145">
        <f>VLOOKUP($A425,'BC.115+260'!$B$13:$X$489,8,0)/1000</f>
        <v>2.355</v>
      </c>
      <c r="G425" s="145">
        <f>VLOOKUP($A425,'BC.115+260'!$B$13:$X$489,9,0)/1000</f>
        <v>-0.64500000000000002</v>
      </c>
      <c r="H425" s="145">
        <f>VLOOKUP($A425,'BC.115+260'!$B$13:$X$489,14,0)/1000</f>
        <v>2.306</v>
      </c>
      <c r="I425" s="145">
        <f>VLOOKUP($A425,'BC.115+260'!$B$13:$X$489,15,0)/1000</f>
        <v>-0.69399999999999995</v>
      </c>
      <c r="J425" s="145">
        <f>VLOOKUP($A425,'BC.115+260'!$B$13:$X$489,20,0)/1000</f>
        <v>2.319</v>
      </c>
      <c r="K425" s="145">
        <f>VLOOKUP($A425,'BC.115+260'!$B$13:$X$489,21,0)/1000</f>
        <v>-0.68100000000000005</v>
      </c>
      <c r="L425" s="143">
        <f t="shared" si="20"/>
        <v>-445</v>
      </c>
      <c r="M425" s="144">
        <f t="shared" si="21"/>
        <v>-474</v>
      </c>
      <c r="N425" s="143">
        <f t="shared" si="22"/>
        <v>-431.00000000000006</v>
      </c>
      <c r="O425" s="143"/>
    </row>
    <row r="426" spans="1:15">
      <c r="A426" s="81">
        <f>'BC.115+260'!B425</f>
        <v>45663</v>
      </c>
      <c r="B426" s="143">
        <f t="shared" si="23"/>
        <v>412</v>
      </c>
      <c r="C426" s="145">
        <f>'BC.115+260'!M425/1000</f>
        <v>3.3079999999999998</v>
      </c>
      <c r="D426" s="145">
        <f>'BC.115+260'!AA425</f>
        <v>3.9130000000000003</v>
      </c>
      <c r="E426" s="146">
        <f>'BC.115+260'!AB425</f>
        <v>3.0459999999999998</v>
      </c>
      <c r="F426" s="145">
        <f>VLOOKUP($A426,'BC.115+260'!$B$13:$X$489,8,0)/1000</f>
        <v>2.3460000000000001</v>
      </c>
      <c r="G426" s="145">
        <f>VLOOKUP($A426,'BC.115+260'!$B$13:$X$489,9,0)/1000</f>
        <v>-0.65400000000000003</v>
      </c>
      <c r="H426" s="145">
        <f>VLOOKUP($A426,'BC.115+260'!$B$13:$X$489,14,0)/1000</f>
        <v>2.298</v>
      </c>
      <c r="I426" s="145">
        <f>VLOOKUP($A426,'BC.115+260'!$B$13:$X$489,15,0)/1000</f>
        <v>-0.70199999999999996</v>
      </c>
      <c r="J426" s="145">
        <f>VLOOKUP($A426,'BC.115+260'!$B$13:$X$489,20,0)/1000</f>
        <v>2.3109999999999999</v>
      </c>
      <c r="K426" s="145">
        <f>VLOOKUP($A426,'BC.115+260'!$B$13:$X$489,21,0)/1000</f>
        <v>-0.68899999999999995</v>
      </c>
      <c r="L426" s="143">
        <f t="shared" si="20"/>
        <v>-454</v>
      </c>
      <c r="M426" s="144">
        <f t="shared" si="21"/>
        <v>-482</v>
      </c>
      <c r="N426" s="143">
        <f t="shared" si="22"/>
        <v>-438.99999999999994</v>
      </c>
      <c r="O426" s="143"/>
    </row>
    <row r="427" spans="1:15">
      <c r="A427" s="81">
        <f>'BC.115+260'!B426</f>
        <v>45664</v>
      </c>
      <c r="B427" s="143">
        <f t="shared" si="23"/>
        <v>413</v>
      </c>
      <c r="C427" s="145">
        <f>'BC.115+260'!M426/1000</f>
        <v>3.3010000000000002</v>
      </c>
      <c r="D427" s="145">
        <f>'BC.115+260'!AA426</f>
        <v>3.9130000000000003</v>
      </c>
      <c r="E427" s="146">
        <f>'BC.115+260'!AB426</f>
        <v>3.032</v>
      </c>
      <c r="F427" s="145">
        <f>VLOOKUP($A427,'BC.115+260'!$B$13:$X$489,8,0)/1000</f>
        <v>2.3380000000000001</v>
      </c>
      <c r="G427" s="145">
        <f>VLOOKUP($A427,'BC.115+260'!$B$13:$X$489,9,0)/1000</f>
        <v>-0.66200000000000003</v>
      </c>
      <c r="H427" s="145">
        <f>VLOOKUP($A427,'BC.115+260'!$B$13:$X$489,14,0)/1000</f>
        <v>2.2909999999999999</v>
      </c>
      <c r="I427" s="145">
        <f>VLOOKUP($A427,'BC.115+260'!$B$13:$X$489,15,0)/1000</f>
        <v>-0.70899999999999996</v>
      </c>
      <c r="J427" s="145">
        <f>VLOOKUP($A427,'BC.115+260'!$B$13:$X$489,20,0)/1000</f>
        <v>2.3039999999999998</v>
      </c>
      <c r="K427" s="145">
        <f>VLOOKUP($A427,'BC.115+260'!$B$13:$X$489,21,0)/1000</f>
        <v>-0.69599999999999995</v>
      </c>
      <c r="L427" s="143">
        <f t="shared" si="20"/>
        <v>-462</v>
      </c>
      <c r="M427" s="144">
        <f t="shared" si="21"/>
        <v>-489</v>
      </c>
      <c r="N427" s="143">
        <f t="shared" si="22"/>
        <v>-445.99999999999994</v>
      </c>
      <c r="O427" s="143"/>
    </row>
    <row r="428" spans="1:15">
      <c r="A428" s="81">
        <f>'BC.115+260'!B427</f>
        <v>45665</v>
      </c>
      <c r="B428" s="143">
        <f t="shared" si="23"/>
        <v>414</v>
      </c>
      <c r="C428" s="145">
        <f>'BC.115+260'!M427/1000</f>
        <v>3.2919999999999998</v>
      </c>
      <c r="D428" s="145">
        <f>'BC.115+260'!AA427</f>
        <v>3.9130000000000003</v>
      </c>
      <c r="E428" s="146">
        <f>'BC.115+260'!AB427</f>
        <v>3.0139999999999998</v>
      </c>
      <c r="F428" s="145">
        <f>VLOOKUP($A428,'BC.115+260'!$B$13:$X$489,8,0)/1000</f>
        <v>2.331</v>
      </c>
      <c r="G428" s="145">
        <f>VLOOKUP($A428,'BC.115+260'!$B$13:$X$489,9,0)/1000</f>
        <v>-0.66900000000000004</v>
      </c>
      <c r="H428" s="145">
        <f>VLOOKUP($A428,'BC.115+260'!$B$13:$X$489,14,0)/1000</f>
        <v>2.282</v>
      </c>
      <c r="I428" s="145">
        <f>VLOOKUP($A428,'BC.115+260'!$B$13:$X$489,15,0)/1000</f>
        <v>-0.71799999999999997</v>
      </c>
      <c r="J428" s="145">
        <f>VLOOKUP($A428,'BC.115+260'!$B$13:$X$489,20,0)/1000</f>
        <v>2.2949999999999999</v>
      </c>
      <c r="K428" s="145">
        <f>VLOOKUP($A428,'BC.115+260'!$B$13:$X$489,21,0)/1000</f>
        <v>-0.70499999999999996</v>
      </c>
      <c r="L428" s="143">
        <f t="shared" si="20"/>
        <v>-469</v>
      </c>
      <c r="M428" s="144">
        <f t="shared" si="21"/>
        <v>-498</v>
      </c>
      <c r="N428" s="143">
        <f t="shared" si="22"/>
        <v>-454.99999999999994</v>
      </c>
      <c r="O428" s="143"/>
    </row>
    <row r="429" spans="1:15">
      <c r="A429" s="81">
        <f>'BC.115+260'!B428</f>
        <v>45666</v>
      </c>
      <c r="B429" s="143">
        <f t="shared" si="23"/>
        <v>415</v>
      </c>
      <c r="C429" s="145">
        <f>'BC.115+260'!M428/1000</f>
        <v>3.2839999999999998</v>
      </c>
      <c r="D429" s="145">
        <f>'BC.115+260'!AA428</f>
        <v>3.9130000000000003</v>
      </c>
      <c r="E429" s="146">
        <f>'BC.115+260'!AB428</f>
        <v>2.9980000000000002</v>
      </c>
      <c r="F429" s="145">
        <f>VLOOKUP($A429,'BC.115+260'!$B$13:$X$489,8,0)/1000</f>
        <v>2.3220000000000001</v>
      </c>
      <c r="G429" s="145">
        <f>VLOOKUP($A429,'BC.115+260'!$B$13:$X$489,9,0)/1000</f>
        <v>-0.67800000000000005</v>
      </c>
      <c r="H429" s="145">
        <f>VLOOKUP($A429,'BC.115+260'!$B$13:$X$489,14,0)/1000</f>
        <v>2.274</v>
      </c>
      <c r="I429" s="145">
        <f>VLOOKUP($A429,'BC.115+260'!$B$13:$X$489,15,0)/1000</f>
        <v>-0.72599999999999998</v>
      </c>
      <c r="J429" s="145">
        <f>VLOOKUP($A429,'BC.115+260'!$B$13:$X$489,20,0)/1000</f>
        <v>2.2869999999999999</v>
      </c>
      <c r="K429" s="145">
        <f>VLOOKUP($A429,'BC.115+260'!$B$13:$X$489,21,0)/1000</f>
        <v>-0.71299999999999997</v>
      </c>
      <c r="L429" s="143">
        <f t="shared" si="20"/>
        <v>-478.00000000000006</v>
      </c>
      <c r="M429" s="144">
        <f t="shared" si="21"/>
        <v>-506</v>
      </c>
      <c r="N429" s="143">
        <f t="shared" si="22"/>
        <v>-462.99999999999994</v>
      </c>
      <c r="O429" s="143"/>
    </row>
    <row r="430" spans="1:15">
      <c r="A430" s="81">
        <f>'BC.115+260'!B429</f>
        <v>45667</v>
      </c>
      <c r="B430" s="143">
        <f t="shared" si="23"/>
        <v>416</v>
      </c>
      <c r="C430" s="145">
        <f>'BC.115+260'!M429/1000</f>
        <v>3.2749999999999999</v>
      </c>
      <c r="D430" s="145">
        <f>'BC.115+260'!AA429</f>
        <v>3.9130000000000003</v>
      </c>
      <c r="E430" s="146">
        <f>'BC.115+260'!AB429</f>
        <v>2.98</v>
      </c>
      <c r="F430" s="145">
        <f>VLOOKUP($A430,'BC.115+260'!$B$13:$X$489,8,0)/1000</f>
        <v>2.3140000000000001</v>
      </c>
      <c r="G430" s="145">
        <f>VLOOKUP($A430,'BC.115+260'!$B$13:$X$489,9,0)/1000</f>
        <v>-0.68600000000000005</v>
      </c>
      <c r="H430" s="145">
        <f>VLOOKUP($A430,'BC.115+260'!$B$13:$X$489,14,0)/1000</f>
        <v>2.2650000000000001</v>
      </c>
      <c r="I430" s="145">
        <f>VLOOKUP($A430,'BC.115+260'!$B$13:$X$489,15,0)/1000</f>
        <v>-0.73499999999999999</v>
      </c>
      <c r="J430" s="145">
        <f>VLOOKUP($A430,'BC.115+260'!$B$13:$X$489,20,0)/1000</f>
        <v>2.2799999999999998</v>
      </c>
      <c r="K430" s="145">
        <f>VLOOKUP($A430,'BC.115+260'!$B$13:$X$489,21,0)/1000</f>
        <v>-0.72</v>
      </c>
      <c r="L430" s="143">
        <f t="shared" si="20"/>
        <v>-486.00000000000006</v>
      </c>
      <c r="M430" s="144">
        <f t="shared" si="21"/>
        <v>-515</v>
      </c>
      <c r="N430" s="143">
        <f t="shared" si="22"/>
        <v>-470</v>
      </c>
      <c r="O430" s="143"/>
    </row>
    <row r="431" spans="1:15">
      <c r="A431" s="81">
        <f>'BC.115+260'!B430</f>
        <v>45668</v>
      </c>
      <c r="B431" s="143">
        <f t="shared" si="23"/>
        <v>417</v>
      </c>
      <c r="C431" s="145">
        <f>'BC.115+260'!M430/1000</f>
        <v>3.2669999999999999</v>
      </c>
      <c r="D431" s="145">
        <f>'BC.115+260'!AA430</f>
        <v>3.9130000000000003</v>
      </c>
      <c r="E431" s="146">
        <f>'BC.115+260'!AB430</f>
        <v>2.964</v>
      </c>
      <c r="F431" s="145">
        <f>VLOOKUP($A431,'BC.115+260'!$B$13:$X$489,8,0)/1000</f>
        <v>2.3050000000000002</v>
      </c>
      <c r="G431" s="145">
        <f>VLOOKUP($A431,'BC.115+260'!$B$13:$X$489,9,0)/1000</f>
        <v>-0.69499999999999995</v>
      </c>
      <c r="H431" s="145">
        <f>VLOOKUP($A431,'BC.115+260'!$B$13:$X$489,14,0)/1000</f>
        <v>2.2570000000000001</v>
      </c>
      <c r="I431" s="145">
        <f>VLOOKUP($A431,'BC.115+260'!$B$13:$X$489,15,0)/1000</f>
        <v>-0.74299999999999999</v>
      </c>
      <c r="J431" s="145">
        <f>VLOOKUP($A431,'BC.115+260'!$B$13:$X$489,20,0)/1000</f>
        <v>2.2709999999999999</v>
      </c>
      <c r="K431" s="145">
        <f>VLOOKUP($A431,'BC.115+260'!$B$13:$X$489,21,0)/1000</f>
        <v>-0.72899999999999998</v>
      </c>
      <c r="L431" s="143">
        <f t="shared" si="20"/>
        <v>-494.99999999999994</v>
      </c>
      <c r="M431" s="144">
        <f t="shared" si="21"/>
        <v>-523</v>
      </c>
      <c r="N431" s="143">
        <f t="shared" si="22"/>
        <v>-479</v>
      </c>
      <c r="O431" s="143"/>
    </row>
    <row r="432" spans="1:15">
      <c r="A432" s="81">
        <f>'BC.115+260'!B431</f>
        <v>45669</v>
      </c>
      <c r="B432" s="143">
        <f t="shared" si="23"/>
        <v>418</v>
      </c>
      <c r="C432" s="145">
        <f>'BC.115+260'!M431/1000</f>
        <v>3.2589999999999999</v>
      </c>
      <c r="D432" s="145">
        <f>'BC.115+260'!AA431</f>
        <v>3.9130000000000003</v>
      </c>
      <c r="E432" s="146">
        <f>'BC.115+260'!AB431</f>
        <v>2.948</v>
      </c>
      <c r="F432" s="145">
        <f>VLOOKUP($A432,'BC.115+260'!$B$13:$X$489,8,0)/1000</f>
        <v>2.2970000000000002</v>
      </c>
      <c r="G432" s="145">
        <f>VLOOKUP($A432,'BC.115+260'!$B$13:$X$489,9,0)/1000</f>
        <v>-0.70299999999999996</v>
      </c>
      <c r="H432" s="145">
        <f>VLOOKUP($A432,'BC.115+260'!$B$13:$X$489,14,0)/1000</f>
        <v>2.2490000000000001</v>
      </c>
      <c r="I432" s="145">
        <f>VLOOKUP($A432,'BC.115+260'!$B$13:$X$489,15,0)/1000</f>
        <v>-0.751</v>
      </c>
      <c r="J432" s="145">
        <f>VLOOKUP($A432,'BC.115+260'!$B$13:$X$489,20,0)/1000</f>
        <v>2.2629999999999999</v>
      </c>
      <c r="K432" s="145">
        <f>VLOOKUP($A432,'BC.115+260'!$B$13:$X$489,21,0)/1000</f>
        <v>-0.73699999999999999</v>
      </c>
      <c r="L432" s="143">
        <f t="shared" si="20"/>
        <v>-502.99999999999989</v>
      </c>
      <c r="M432" s="144">
        <f t="shared" si="21"/>
        <v>-531</v>
      </c>
      <c r="N432" s="143">
        <f t="shared" si="22"/>
        <v>-487</v>
      </c>
      <c r="O432" s="143"/>
    </row>
    <row r="433" spans="1:15">
      <c r="A433" s="81">
        <f>'BC.115+260'!B432</f>
        <v>45670</v>
      </c>
      <c r="B433" s="143">
        <f t="shared" si="23"/>
        <v>419</v>
      </c>
      <c r="C433" s="145">
        <f>'BC.115+260'!M432/1000</f>
        <v>3.25</v>
      </c>
      <c r="D433" s="145">
        <f>'BC.115+260'!AA432</f>
        <v>3.9130000000000003</v>
      </c>
      <c r="E433" s="146">
        <f>'BC.115+260'!AB432</f>
        <v>2.93</v>
      </c>
      <c r="F433" s="145">
        <f>VLOOKUP($A433,'BC.115+260'!$B$13:$X$489,8,0)/1000</f>
        <v>2.29</v>
      </c>
      <c r="G433" s="145">
        <f>VLOOKUP($A433,'BC.115+260'!$B$13:$X$489,9,0)/1000</f>
        <v>-0.71</v>
      </c>
      <c r="H433" s="145">
        <f>VLOOKUP($A433,'BC.115+260'!$B$13:$X$489,14,0)/1000</f>
        <v>2.2400000000000002</v>
      </c>
      <c r="I433" s="145">
        <f>VLOOKUP($A433,'BC.115+260'!$B$13:$X$489,15,0)/1000</f>
        <v>-0.76</v>
      </c>
      <c r="J433" s="145">
        <f>VLOOKUP($A433,'BC.115+260'!$B$13:$X$489,20,0)/1000</f>
        <v>2.254</v>
      </c>
      <c r="K433" s="145">
        <f>VLOOKUP($A433,'BC.115+260'!$B$13:$X$489,21,0)/1000</f>
        <v>-0.746</v>
      </c>
      <c r="L433" s="143">
        <f t="shared" si="20"/>
        <v>-510</v>
      </c>
      <c r="M433" s="144">
        <f t="shared" si="21"/>
        <v>-540</v>
      </c>
      <c r="N433" s="143">
        <f t="shared" si="22"/>
        <v>-496</v>
      </c>
      <c r="O433" s="143"/>
    </row>
    <row r="434" spans="1:15">
      <c r="A434" s="81">
        <f>'BC.115+260'!B433</f>
        <v>45671</v>
      </c>
      <c r="B434" s="143">
        <f t="shared" si="23"/>
        <v>420</v>
      </c>
      <c r="C434" s="145">
        <f>'BC.115+260'!M433/1000</f>
        <v>3.242</v>
      </c>
      <c r="D434" s="145">
        <f>'BC.115+260'!AA433</f>
        <v>3.9130000000000003</v>
      </c>
      <c r="E434" s="146">
        <f>'BC.115+260'!AB433</f>
        <v>2.9140000000000001</v>
      </c>
      <c r="F434" s="145">
        <f>VLOOKUP($A434,'BC.115+260'!$B$13:$X$489,8,0)/1000</f>
        <v>2.2829999999999999</v>
      </c>
      <c r="G434" s="145">
        <f>VLOOKUP($A434,'BC.115+260'!$B$13:$X$489,9,0)/1000</f>
        <v>-0.71699999999999997</v>
      </c>
      <c r="H434" s="145">
        <f>VLOOKUP($A434,'BC.115+260'!$B$13:$X$489,14,0)/1000</f>
        <v>2.2320000000000002</v>
      </c>
      <c r="I434" s="145">
        <f>VLOOKUP($A434,'BC.115+260'!$B$13:$X$489,15,0)/1000</f>
        <v>-0.76800000000000002</v>
      </c>
      <c r="J434" s="145">
        <f>VLOOKUP($A434,'BC.115+260'!$B$13:$X$489,20,0)/1000</f>
        <v>2.246</v>
      </c>
      <c r="K434" s="145">
        <f>VLOOKUP($A434,'BC.115+260'!$B$13:$X$489,21,0)/1000</f>
        <v>-0.754</v>
      </c>
      <c r="L434" s="143">
        <f t="shared" si="20"/>
        <v>-516.99999999999989</v>
      </c>
      <c r="M434" s="144">
        <f t="shared" si="21"/>
        <v>-548</v>
      </c>
      <c r="N434" s="143">
        <f t="shared" si="22"/>
        <v>-504</v>
      </c>
      <c r="O434" s="143"/>
    </row>
    <row r="435" spans="1:15">
      <c r="A435" s="81">
        <f>'BC.115+260'!B434</f>
        <v>45672</v>
      </c>
      <c r="B435" s="143">
        <f t="shared" si="23"/>
        <v>421</v>
      </c>
      <c r="C435" s="145">
        <f>'BC.115+260'!M434/1000</f>
        <v>3.2349999999999999</v>
      </c>
      <c r="D435" s="145">
        <f>'BC.115+260'!AA434</f>
        <v>3.9130000000000003</v>
      </c>
      <c r="E435" s="146">
        <f>'BC.115+260'!AB434</f>
        <v>2.9</v>
      </c>
      <c r="F435" s="145">
        <f>VLOOKUP($A435,'BC.115+260'!$B$13:$X$489,8,0)/1000</f>
        <v>2.2770000000000001</v>
      </c>
      <c r="G435" s="145">
        <f>VLOOKUP($A435,'BC.115+260'!$B$13:$X$489,9,0)/1000</f>
        <v>-0.72299999999999998</v>
      </c>
      <c r="H435" s="145">
        <f>VLOOKUP($A435,'BC.115+260'!$B$13:$X$489,14,0)/1000</f>
        <v>2.2250000000000001</v>
      </c>
      <c r="I435" s="145">
        <f>VLOOKUP($A435,'BC.115+260'!$B$13:$X$489,15,0)/1000</f>
        <v>-0.77500000000000002</v>
      </c>
      <c r="J435" s="145">
        <f>VLOOKUP($A435,'BC.115+260'!$B$13:$X$489,20,0)/1000</f>
        <v>2.2389999999999999</v>
      </c>
      <c r="K435" s="145">
        <f>VLOOKUP($A435,'BC.115+260'!$B$13:$X$489,21,0)/1000</f>
        <v>-0.76100000000000001</v>
      </c>
      <c r="L435" s="143">
        <f t="shared" si="20"/>
        <v>-522.99999999999989</v>
      </c>
      <c r="M435" s="144">
        <f t="shared" si="21"/>
        <v>-555</v>
      </c>
      <c r="N435" s="143">
        <f t="shared" si="22"/>
        <v>-511</v>
      </c>
      <c r="O435" s="143"/>
    </row>
    <row r="436" spans="1:15">
      <c r="A436" s="81">
        <f>'BC.115+260'!B435</f>
        <v>45673</v>
      </c>
      <c r="B436" s="143">
        <f t="shared" si="23"/>
        <v>422</v>
      </c>
      <c r="C436" s="145">
        <f>'BC.115+260'!M435/1000</f>
        <v>3.226</v>
      </c>
      <c r="D436" s="145">
        <f>'BC.115+260'!AA435</f>
        <v>3.9130000000000003</v>
      </c>
      <c r="E436" s="146">
        <f>'BC.115+260'!AB435</f>
        <v>2.8820000000000001</v>
      </c>
      <c r="F436" s="145">
        <f>VLOOKUP($A436,'BC.115+260'!$B$13:$X$489,8,0)/1000</f>
        <v>2.2730000000000001</v>
      </c>
      <c r="G436" s="145">
        <f>VLOOKUP($A436,'BC.115+260'!$B$13:$X$489,9,0)/1000</f>
        <v>-0.72699999999999998</v>
      </c>
      <c r="H436" s="145">
        <f>VLOOKUP($A436,'BC.115+260'!$B$13:$X$489,14,0)/1000</f>
        <v>2.2160000000000002</v>
      </c>
      <c r="I436" s="145">
        <f>VLOOKUP($A436,'BC.115+260'!$B$13:$X$489,15,0)/1000</f>
        <v>-0.78400000000000003</v>
      </c>
      <c r="J436" s="145">
        <f>VLOOKUP($A436,'BC.115+260'!$B$13:$X$489,20,0)/1000</f>
        <v>2.2320000000000002</v>
      </c>
      <c r="K436" s="145">
        <f>VLOOKUP($A436,'BC.115+260'!$B$13:$X$489,21,0)/1000</f>
        <v>-0.76800000000000002</v>
      </c>
      <c r="L436" s="143">
        <f t="shared" si="20"/>
        <v>-526.99999999999989</v>
      </c>
      <c r="M436" s="144">
        <f t="shared" si="21"/>
        <v>-564</v>
      </c>
      <c r="N436" s="143">
        <f t="shared" si="22"/>
        <v>-518</v>
      </c>
      <c r="O436" s="143"/>
    </row>
    <row r="437" spans="1:15">
      <c r="A437" s="81">
        <f>'BC.115+260'!B436</f>
        <v>45674</v>
      </c>
      <c r="B437" s="143">
        <f t="shared" si="23"/>
        <v>423</v>
      </c>
      <c r="C437" s="145">
        <f>'BC.115+260'!M436/1000</f>
        <v>3.218</v>
      </c>
      <c r="D437" s="145">
        <f>'BC.115+260'!AA436</f>
        <v>3.9130000000000003</v>
      </c>
      <c r="E437" s="146">
        <f>'BC.115+260'!AB436</f>
        <v>2.8660000000000001</v>
      </c>
      <c r="F437" s="145">
        <f>VLOOKUP($A437,'BC.115+260'!$B$13:$X$489,8,0)/1000</f>
        <v>2.266</v>
      </c>
      <c r="G437" s="145">
        <f>VLOOKUP($A437,'BC.115+260'!$B$13:$X$489,9,0)/1000</f>
        <v>-0.73399999999999999</v>
      </c>
      <c r="H437" s="145">
        <f>VLOOKUP($A437,'BC.115+260'!$B$13:$X$489,14,0)/1000</f>
        <v>2.2080000000000002</v>
      </c>
      <c r="I437" s="145">
        <f>VLOOKUP($A437,'BC.115+260'!$B$13:$X$489,15,0)/1000</f>
        <v>-0.79200000000000004</v>
      </c>
      <c r="J437" s="145">
        <f>VLOOKUP($A437,'BC.115+260'!$B$13:$X$489,20,0)/1000</f>
        <v>2.2290000000000001</v>
      </c>
      <c r="K437" s="145">
        <f>VLOOKUP($A437,'BC.115+260'!$B$13:$X$489,21,0)/1000</f>
        <v>-0.77100000000000002</v>
      </c>
      <c r="L437" s="143">
        <f t="shared" si="20"/>
        <v>-534</v>
      </c>
      <c r="M437" s="144">
        <f t="shared" si="21"/>
        <v>-572.00000000000011</v>
      </c>
      <c r="N437" s="143">
        <f t="shared" si="22"/>
        <v>-521</v>
      </c>
      <c r="O437" s="143"/>
    </row>
    <row r="438" spans="1:15">
      <c r="A438" s="81">
        <f>'BC.115+260'!B437</f>
        <v>45675</v>
      </c>
      <c r="B438" s="143">
        <f t="shared" si="23"/>
        <v>424</v>
      </c>
      <c r="C438" s="145">
        <f>'BC.115+260'!M437/1000</f>
        <v>3.2109999999999999</v>
      </c>
      <c r="D438" s="145">
        <f>'BC.115+260'!AA437</f>
        <v>3.9130000000000003</v>
      </c>
      <c r="E438" s="146">
        <f>'BC.115+260'!AB437</f>
        <v>2.8519999999999999</v>
      </c>
      <c r="F438" s="145">
        <f>VLOOKUP($A438,'BC.115+260'!$B$13:$X$489,8,0)/1000</f>
        <v>2.2610000000000001</v>
      </c>
      <c r="G438" s="145">
        <f>VLOOKUP($A438,'BC.115+260'!$B$13:$X$489,9,0)/1000</f>
        <v>-0.73899999999999999</v>
      </c>
      <c r="H438" s="145">
        <f>VLOOKUP($A438,'BC.115+260'!$B$13:$X$489,14,0)/1000</f>
        <v>2.2010000000000001</v>
      </c>
      <c r="I438" s="145">
        <f>VLOOKUP($A438,'BC.115+260'!$B$13:$X$489,15,0)/1000</f>
        <v>-0.79900000000000004</v>
      </c>
      <c r="J438" s="145">
        <f>VLOOKUP($A438,'BC.115+260'!$B$13:$X$489,20,0)/1000</f>
        <v>2.2250000000000001</v>
      </c>
      <c r="K438" s="145">
        <f>VLOOKUP($A438,'BC.115+260'!$B$13:$X$489,21,0)/1000</f>
        <v>-0.77500000000000002</v>
      </c>
      <c r="L438" s="143">
        <f t="shared" si="20"/>
        <v>-538.99999999999989</v>
      </c>
      <c r="M438" s="144">
        <f t="shared" si="21"/>
        <v>-579.00000000000011</v>
      </c>
      <c r="N438" s="143">
        <f t="shared" si="22"/>
        <v>-525</v>
      </c>
      <c r="O438" s="143"/>
    </row>
    <row r="439" spans="1:15">
      <c r="A439" s="81">
        <f>'BC.115+260'!B438</f>
        <v>45676</v>
      </c>
      <c r="B439" s="143">
        <f t="shared" si="23"/>
        <v>425</v>
      </c>
      <c r="C439" s="145">
        <f>'BC.115+260'!M438/1000</f>
        <v>3.202</v>
      </c>
      <c r="D439" s="145">
        <f>'BC.115+260'!AA438</f>
        <v>3.9130000000000003</v>
      </c>
      <c r="E439" s="146">
        <f>'BC.115+260'!AB438</f>
        <v>2.8340000000000001</v>
      </c>
      <c r="F439" s="145">
        <f>VLOOKUP($A439,'BC.115+260'!$B$13:$X$489,8,0)/1000</f>
        <v>2.2559999999999998</v>
      </c>
      <c r="G439" s="145">
        <f>VLOOKUP($A439,'BC.115+260'!$B$13:$X$489,9,0)/1000</f>
        <v>-0.74399999999999999</v>
      </c>
      <c r="H439" s="145">
        <f>VLOOKUP($A439,'BC.115+260'!$B$13:$X$489,14,0)/1000</f>
        <v>2.1920000000000002</v>
      </c>
      <c r="I439" s="145">
        <f>VLOOKUP($A439,'BC.115+260'!$B$13:$X$489,15,0)/1000</f>
        <v>-0.80800000000000005</v>
      </c>
      <c r="J439" s="145">
        <f>VLOOKUP($A439,'BC.115+260'!$B$13:$X$489,20,0)/1000</f>
        <v>2.2200000000000002</v>
      </c>
      <c r="K439" s="145">
        <f>VLOOKUP($A439,'BC.115+260'!$B$13:$X$489,21,0)/1000</f>
        <v>-0.78</v>
      </c>
      <c r="L439" s="143">
        <f t="shared" si="20"/>
        <v>-544</v>
      </c>
      <c r="M439" s="144">
        <f t="shared" si="21"/>
        <v>-588.00000000000011</v>
      </c>
      <c r="N439" s="143">
        <f t="shared" si="22"/>
        <v>-530</v>
      </c>
      <c r="O439" s="143"/>
    </row>
    <row r="440" spans="1:15">
      <c r="A440" s="81">
        <f>'BC.115+260'!B439</f>
        <v>45677</v>
      </c>
      <c r="B440" s="143">
        <f t="shared" si="23"/>
        <v>426</v>
      </c>
      <c r="C440" s="145">
        <f>'BC.115+260'!M439/1000</f>
        <v>3.194</v>
      </c>
      <c r="D440" s="145">
        <f>'BC.115+260'!AA439</f>
        <v>3.9130000000000003</v>
      </c>
      <c r="E440" s="146">
        <f>'BC.115+260'!AB439</f>
        <v>2.8180000000000001</v>
      </c>
      <c r="F440" s="145">
        <f>VLOOKUP($A440,'BC.115+260'!$B$13:$X$489,8,0)/1000</f>
        <v>2.2519999999999998</v>
      </c>
      <c r="G440" s="145">
        <f>VLOOKUP($A440,'BC.115+260'!$B$13:$X$489,9,0)/1000</f>
        <v>-0.748</v>
      </c>
      <c r="H440" s="145">
        <f>VLOOKUP($A440,'BC.115+260'!$B$13:$X$489,14,0)/1000</f>
        <v>2.1840000000000002</v>
      </c>
      <c r="I440" s="145">
        <f>VLOOKUP($A440,'BC.115+260'!$B$13:$X$489,15,0)/1000</f>
        <v>-0.81599999999999995</v>
      </c>
      <c r="J440" s="145">
        <f>VLOOKUP($A440,'BC.115+260'!$B$13:$X$489,20,0)/1000</f>
        <v>2.2149999999999999</v>
      </c>
      <c r="K440" s="145">
        <f>VLOOKUP($A440,'BC.115+260'!$B$13:$X$489,21,0)/1000</f>
        <v>-0.78500000000000003</v>
      </c>
      <c r="L440" s="143">
        <f t="shared" si="20"/>
        <v>-548</v>
      </c>
      <c r="M440" s="144">
        <f t="shared" si="21"/>
        <v>-596</v>
      </c>
      <c r="N440" s="143">
        <f t="shared" si="22"/>
        <v>-535</v>
      </c>
      <c r="O440" s="143"/>
    </row>
    <row r="441" spans="1:15">
      <c r="A441" s="81">
        <f>'BC.115+260'!B440</f>
        <v>45678</v>
      </c>
      <c r="B441" s="143">
        <f t="shared" si="23"/>
        <v>427</v>
      </c>
      <c r="C441" s="145">
        <f>'BC.115+260'!M440/1000</f>
        <v>3.1850000000000001</v>
      </c>
      <c r="D441" s="145">
        <f>'BC.115+260'!AA440</f>
        <v>3.9130000000000003</v>
      </c>
      <c r="E441" s="146">
        <f>'BC.115+260'!AB440</f>
        <v>2.8</v>
      </c>
      <c r="F441" s="145">
        <f>VLOOKUP($A441,'BC.115+260'!$B$13:$X$489,8,0)/1000</f>
        <v>2.2490000000000001</v>
      </c>
      <c r="G441" s="145">
        <f>VLOOKUP($A441,'BC.115+260'!$B$13:$X$489,9,0)/1000</f>
        <v>-0.751</v>
      </c>
      <c r="H441" s="145">
        <f>VLOOKUP($A441,'BC.115+260'!$B$13:$X$489,14,0)/1000</f>
        <v>2.1749999999999998</v>
      </c>
      <c r="I441" s="145">
        <f>VLOOKUP($A441,'BC.115+260'!$B$13:$X$489,15,0)/1000</f>
        <v>-0.82499999999999996</v>
      </c>
      <c r="J441" s="145">
        <f>VLOOKUP($A441,'BC.115+260'!$B$13:$X$489,20,0)/1000</f>
        <v>2.2109999999999999</v>
      </c>
      <c r="K441" s="145">
        <f>VLOOKUP($A441,'BC.115+260'!$B$13:$X$489,21,0)/1000</f>
        <v>-0.78900000000000003</v>
      </c>
      <c r="L441" s="143">
        <f t="shared" si="20"/>
        <v>-550.99999999999989</v>
      </c>
      <c r="M441" s="144">
        <f t="shared" si="21"/>
        <v>-605</v>
      </c>
      <c r="N441" s="143">
        <f t="shared" si="22"/>
        <v>-539</v>
      </c>
      <c r="O441" s="143"/>
    </row>
    <row r="442" spans="1:15">
      <c r="A442" s="81">
        <f>'BC.115+260'!B441</f>
        <v>45679</v>
      </c>
      <c r="B442" s="143">
        <f t="shared" si="23"/>
        <v>428</v>
      </c>
      <c r="C442" s="145">
        <f>'BC.115+260'!M441/1000</f>
        <v>3.177</v>
      </c>
      <c r="D442" s="145">
        <f>'BC.115+260'!AA441</f>
        <v>3.9130000000000003</v>
      </c>
      <c r="E442" s="146">
        <f>'BC.115+260'!AB441</f>
        <v>2.7839999999999998</v>
      </c>
      <c r="F442" s="145">
        <f>VLOOKUP($A442,'BC.115+260'!$B$13:$X$489,8,0)/1000</f>
        <v>2.2450000000000001</v>
      </c>
      <c r="G442" s="145">
        <f>VLOOKUP($A442,'BC.115+260'!$B$13:$X$489,9,0)/1000</f>
        <v>-0.755</v>
      </c>
      <c r="H442" s="145">
        <f>VLOOKUP($A442,'BC.115+260'!$B$13:$X$489,14,0)/1000</f>
        <v>2.1669999999999998</v>
      </c>
      <c r="I442" s="145">
        <f>VLOOKUP($A442,'BC.115+260'!$B$13:$X$489,15,0)/1000</f>
        <v>-0.83299999999999996</v>
      </c>
      <c r="J442" s="145">
        <f>VLOOKUP($A442,'BC.115+260'!$B$13:$X$489,20,0)/1000</f>
        <v>2.2080000000000002</v>
      </c>
      <c r="K442" s="145">
        <f>VLOOKUP($A442,'BC.115+260'!$B$13:$X$489,21,0)/1000</f>
        <v>-0.79200000000000004</v>
      </c>
      <c r="L442" s="143">
        <f t="shared" si="20"/>
        <v>-554.99999999999989</v>
      </c>
      <c r="M442" s="144">
        <f t="shared" si="21"/>
        <v>-613</v>
      </c>
      <c r="N442" s="143">
        <f t="shared" si="22"/>
        <v>-542</v>
      </c>
      <c r="O442" s="143"/>
    </row>
    <row r="443" spans="1:15">
      <c r="A443" s="81">
        <f>'BC.115+260'!B442</f>
        <v>45680</v>
      </c>
      <c r="B443" s="143">
        <f t="shared" si="23"/>
        <v>429</v>
      </c>
      <c r="C443" s="145">
        <f>'BC.115+260'!M442/1000</f>
        <v>3.17</v>
      </c>
      <c r="D443" s="145">
        <f>'BC.115+260'!AA442</f>
        <v>3.9130000000000003</v>
      </c>
      <c r="E443" s="146">
        <f>'BC.115+260'!AB442</f>
        <v>2.77</v>
      </c>
      <c r="F443" s="145">
        <f>VLOOKUP($A443,'BC.115+260'!$B$13:$X$489,8,0)/1000</f>
        <v>2.238</v>
      </c>
      <c r="G443" s="145">
        <f>VLOOKUP($A443,'BC.115+260'!$B$13:$X$489,9,0)/1000</f>
        <v>-0.76200000000000001</v>
      </c>
      <c r="H443" s="145">
        <f>VLOOKUP($A443,'BC.115+260'!$B$13:$X$489,14,0)/1000</f>
        <v>2.16</v>
      </c>
      <c r="I443" s="145">
        <f>VLOOKUP($A443,'BC.115+260'!$B$13:$X$489,15,0)/1000</f>
        <v>-0.84</v>
      </c>
      <c r="J443" s="145">
        <f>VLOOKUP($A443,'BC.115+260'!$B$13:$X$489,20,0)/1000</f>
        <v>2.206</v>
      </c>
      <c r="K443" s="145">
        <f>VLOOKUP($A443,'BC.115+260'!$B$13:$X$489,21,0)/1000</f>
        <v>-0.79400000000000004</v>
      </c>
      <c r="L443" s="143">
        <f t="shared" si="20"/>
        <v>-562</v>
      </c>
      <c r="M443" s="144">
        <f t="shared" si="21"/>
        <v>-620</v>
      </c>
      <c r="N443" s="143">
        <f t="shared" si="22"/>
        <v>-544</v>
      </c>
      <c r="O443" s="143"/>
    </row>
    <row r="444" spans="1:15">
      <c r="A444" s="81">
        <f>'BC.115+260'!B443</f>
        <v>45681</v>
      </c>
      <c r="B444" s="143">
        <f t="shared" si="23"/>
        <v>430</v>
      </c>
      <c r="C444" s="145">
        <f>'BC.115+260'!M443/1000</f>
        <v>3.1619999999999999</v>
      </c>
      <c r="D444" s="145">
        <f>'BC.115+260'!AA443</f>
        <v>3.9130000000000003</v>
      </c>
      <c r="E444" s="146">
        <f>'BC.115+260'!AB443</f>
        <v>2.754</v>
      </c>
      <c r="F444" s="145">
        <f>VLOOKUP($A444,'BC.115+260'!$B$13:$X$489,8,0)/1000</f>
        <v>2.2330000000000001</v>
      </c>
      <c r="G444" s="145">
        <f>VLOOKUP($A444,'BC.115+260'!$B$13:$X$489,9,0)/1000</f>
        <v>-0.76700000000000002</v>
      </c>
      <c r="H444" s="145">
        <f>VLOOKUP($A444,'BC.115+260'!$B$13:$X$489,14,0)/1000</f>
        <v>2.1520000000000001</v>
      </c>
      <c r="I444" s="145">
        <f>VLOOKUP($A444,'BC.115+260'!$B$13:$X$489,15,0)/1000</f>
        <v>-0.84799999999999998</v>
      </c>
      <c r="J444" s="145">
        <f>VLOOKUP($A444,'BC.115+260'!$B$13:$X$489,20,0)/1000</f>
        <v>2.202</v>
      </c>
      <c r="K444" s="145">
        <f>VLOOKUP($A444,'BC.115+260'!$B$13:$X$489,21,0)/1000</f>
        <v>-0.79800000000000004</v>
      </c>
      <c r="L444" s="143">
        <f t="shared" si="20"/>
        <v>-567</v>
      </c>
      <c r="M444" s="144">
        <f t="shared" si="21"/>
        <v>-628</v>
      </c>
      <c r="N444" s="143">
        <f t="shared" si="22"/>
        <v>-548</v>
      </c>
      <c r="O444" s="143"/>
    </row>
    <row r="445" spans="1:15">
      <c r="A445" s="81">
        <f>'BC.115+260'!B444</f>
        <v>45682</v>
      </c>
      <c r="B445" s="143">
        <f t="shared" si="23"/>
        <v>431</v>
      </c>
      <c r="C445" s="145">
        <f>'BC.115+260'!M444/1000</f>
        <v>3.153</v>
      </c>
      <c r="D445" s="145">
        <f>'BC.115+260'!AA444</f>
        <v>3.9130000000000003</v>
      </c>
      <c r="E445" s="146">
        <f>'BC.115+260'!AB444</f>
        <v>2.7360000000000002</v>
      </c>
      <c r="F445" s="145">
        <f>VLOOKUP($A445,'BC.115+260'!$B$13:$X$489,8,0)/1000</f>
        <v>2.2280000000000002</v>
      </c>
      <c r="G445" s="145">
        <f>VLOOKUP($A445,'BC.115+260'!$B$13:$X$489,9,0)/1000</f>
        <v>-0.77200000000000002</v>
      </c>
      <c r="H445" s="145">
        <f>VLOOKUP($A445,'BC.115+260'!$B$13:$X$489,14,0)/1000</f>
        <v>2.1429999999999998</v>
      </c>
      <c r="I445" s="145">
        <f>VLOOKUP($A445,'BC.115+260'!$B$13:$X$489,15,0)/1000</f>
        <v>-0.85699999999999998</v>
      </c>
      <c r="J445" s="145">
        <f>VLOOKUP($A445,'BC.115+260'!$B$13:$X$489,20,0)/1000</f>
        <v>2.1989999999999998</v>
      </c>
      <c r="K445" s="145">
        <f>VLOOKUP($A445,'BC.115+260'!$B$13:$X$489,21,0)/1000</f>
        <v>-0.80100000000000005</v>
      </c>
      <c r="L445" s="143">
        <f t="shared" si="20"/>
        <v>-572.00000000000011</v>
      </c>
      <c r="M445" s="144">
        <f t="shared" si="21"/>
        <v>-637</v>
      </c>
      <c r="N445" s="143">
        <f t="shared" si="22"/>
        <v>-551</v>
      </c>
      <c r="O445" s="143"/>
    </row>
    <row r="446" spans="1:15">
      <c r="A446" s="81">
        <f>'BC.115+260'!B445</f>
        <v>45683</v>
      </c>
      <c r="B446" s="143">
        <f t="shared" si="23"/>
        <v>432</v>
      </c>
      <c r="C446" s="145">
        <f>'BC.115+260'!M445/1000</f>
        <v>3.145</v>
      </c>
      <c r="D446" s="145">
        <f>'BC.115+260'!AA445</f>
        <v>3.9130000000000003</v>
      </c>
      <c r="E446" s="146">
        <f>'BC.115+260'!AB445</f>
        <v>2.72</v>
      </c>
      <c r="F446" s="145">
        <f>VLOOKUP($A446,'BC.115+260'!$B$13:$X$489,8,0)/1000</f>
        <v>2.2240000000000002</v>
      </c>
      <c r="G446" s="145">
        <f>VLOOKUP($A446,'BC.115+260'!$B$13:$X$489,9,0)/1000</f>
        <v>-0.77600000000000002</v>
      </c>
      <c r="H446" s="145">
        <f>VLOOKUP($A446,'BC.115+260'!$B$13:$X$489,14,0)/1000</f>
        <v>2.1349999999999998</v>
      </c>
      <c r="I446" s="145">
        <f>VLOOKUP($A446,'BC.115+260'!$B$13:$X$489,15,0)/1000</f>
        <v>-0.86499999999999999</v>
      </c>
      <c r="J446" s="145">
        <f>VLOOKUP($A446,'BC.115+260'!$B$13:$X$489,20,0)/1000</f>
        <v>2.1920000000000002</v>
      </c>
      <c r="K446" s="145">
        <f>VLOOKUP($A446,'BC.115+260'!$B$13:$X$489,21,0)/1000</f>
        <v>-0.80800000000000005</v>
      </c>
      <c r="L446" s="143">
        <f t="shared" si="20"/>
        <v>-576.00000000000011</v>
      </c>
      <c r="M446" s="144">
        <f t="shared" si="21"/>
        <v>-645</v>
      </c>
      <c r="N446" s="143">
        <f t="shared" si="22"/>
        <v>-558</v>
      </c>
      <c r="O446" s="143"/>
    </row>
    <row r="447" spans="1:15">
      <c r="A447" s="81">
        <f>'BC.115+260'!B446</f>
        <v>45684</v>
      </c>
      <c r="B447" s="143">
        <f t="shared" si="23"/>
        <v>433</v>
      </c>
      <c r="C447" s="145">
        <f>'BC.115+260'!M446/1000</f>
        <v>3.1379999999999999</v>
      </c>
      <c r="D447" s="145">
        <f>'BC.115+260'!AA446</f>
        <v>3.9130000000000003</v>
      </c>
      <c r="E447" s="146">
        <f>'BC.115+260'!AB446</f>
        <v>2.706</v>
      </c>
      <c r="F447" s="145">
        <f>VLOOKUP($A447,'BC.115+260'!$B$13:$X$489,8,0)/1000</f>
        <v>2.222</v>
      </c>
      <c r="G447" s="145">
        <f>VLOOKUP($A447,'BC.115+260'!$B$13:$X$489,9,0)/1000</f>
        <v>-0.77800000000000002</v>
      </c>
      <c r="H447" s="145">
        <f>VLOOKUP($A447,'BC.115+260'!$B$13:$X$489,14,0)/1000</f>
        <v>2.1280000000000001</v>
      </c>
      <c r="I447" s="145">
        <f>VLOOKUP($A447,'BC.115+260'!$B$13:$X$489,15,0)/1000</f>
        <v>-0.872</v>
      </c>
      <c r="J447" s="145">
        <f>VLOOKUP($A447,'BC.115+260'!$B$13:$X$489,20,0)/1000</f>
        <v>2.1869999999999998</v>
      </c>
      <c r="K447" s="145">
        <f>VLOOKUP($A447,'BC.115+260'!$B$13:$X$489,21,0)/1000</f>
        <v>-0.81299999999999994</v>
      </c>
      <c r="L447" s="143">
        <f t="shared" si="20"/>
        <v>-578.00000000000011</v>
      </c>
      <c r="M447" s="144">
        <f t="shared" si="21"/>
        <v>-652</v>
      </c>
      <c r="N447" s="143">
        <f t="shared" si="22"/>
        <v>-563</v>
      </c>
      <c r="O447" s="143"/>
    </row>
    <row r="448" spans="1:15">
      <c r="A448" s="81">
        <f>'BC.115+260'!B447</f>
        <v>45685</v>
      </c>
      <c r="B448" s="143">
        <f t="shared" si="23"/>
        <v>434</v>
      </c>
      <c r="C448" s="145">
        <f>'BC.115+260'!M447/1000</f>
        <v>3.129</v>
      </c>
      <c r="D448" s="145">
        <f>'BC.115+260'!AA447</f>
        <v>3.9130000000000003</v>
      </c>
      <c r="E448" s="146">
        <f>'BC.115+260'!AB447</f>
        <v>2.6880000000000002</v>
      </c>
      <c r="F448" s="145">
        <f>VLOOKUP($A448,'BC.115+260'!$B$13:$X$489,8,0)/1000</f>
        <v>2.2189999999999999</v>
      </c>
      <c r="G448" s="145">
        <f>VLOOKUP($A448,'BC.115+260'!$B$13:$X$489,9,0)/1000</f>
        <v>-0.78100000000000003</v>
      </c>
      <c r="H448" s="145">
        <f>VLOOKUP($A448,'BC.115+260'!$B$13:$X$489,14,0)/1000</f>
        <v>2.1190000000000002</v>
      </c>
      <c r="I448" s="145">
        <f>VLOOKUP($A448,'BC.115+260'!$B$13:$X$489,15,0)/1000</f>
        <v>-0.88100000000000001</v>
      </c>
      <c r="J448" s="145">
        <f>VLOOKUP($A448,'BC.115+260'!$B$13:$X$489,20,0)/1000</f>
        <v>2.1819999999999999</v>
      </c>
      <c r="K448" s="145">
        <f>VLOOKUP($A448,'BC.115+260'!$B$13:$X$489,21,0)/1000</f>
        <v>-0.81799999999999995</v>
      </c>
      <c r="L448" s="143">
        <f t="shared" si="20"/>
        <v>-581</v>
      </c>
      <c r="M448" s="144">
        <f t="shared" si="21"/>
        <v>-661</v>
      </c>
      <c r="N448" s="143">
        <f t="shared" si="22"/>
        <v>-568</v>
      </c>
      <c r="O448" s="143"/>
    </row>
    <row r="449" spans="1:15">
      <c r="A449" s="81">
        <f>'BC.115+260'!B448</f>
        <v>45686</v>
      </c>
      <c r="B449" s="143">
        <f t="shared" si="23"/>
        <v>435</v>
      </c>
      <c r="C449" s="145">
        <f>'BC.115+260'!M448/1000</f>
        <v>3.121</v>
      </c>
      <c r="D449" s="145">
        <f>'BC.115+260'!AA448</f>
        <v>3.9130000000000003</v>
      </c>
      <c r="E449" s="146">
        <f>'BC.115+260'!AB448</f>
        <v>2.6720000000000002</v>
      </c>
      <c r="F449" s="145">
        <f>VLOOKUP($A449,'BC.115+260'!$B$13:$X$489,8,0)/1000</f>
        <v>2.2170000000000001</v>
      </c>
      <c r="G449" s="145">
        <f>VLOOKUP($A449,'BC.115+260'!$B$13:$X$489,9,0)/1000</f>
        <v>-0.78300000000000003</v>
      </c>
      <c r="H449" s="145">
        <f>VLOOKUP($A449,'BC.115+260'!$B$13:$X$489,14,0)/1000</f>
        <v>2.1110000000000002</v>
      </c>
      <c r="I449" s="145">
        <f>VLOOKUP($A449,'BC.115+260'!$B$13:$X$489,15,0)/1000</f>
        <v>-0.88900000000000001</v>
      </c>
      <c r="J449" s="145">
        <f>VLOOKUP($A449,'BC.115+260'!$B$13:$X$489,20,0)/1000</f>
        <v>2.1779999999999999</v>
      </c>
      <c r="K449" s="145">
        <f>VLOOKUP($A449,'BC.115+260'!$B$13:$X$489,21,0)/1000</f>
        <v>-0.82199999999999995</v>
      </c>
      <c r="L449" s="143">
        <f t="shared" si="20"/>
        <v>-583</v>
      </c>
      <c r="M449" s="144">
        <f t="shared" si="21"/>
        <v>-669</v>
      </c>
      <c r="N449" s="143">
        <f t="shared" si="22"/>
        <v>-572</v>
      </c>
      <c r="O449" s="143"/>
    </row>
    <row r="450" spans="1:15">
      <c r="A450" s="81">
        <f>'BC.115+260'!B449</f>
        <v>45687</v>
      </c>
      <c r="B450" s="143">
        <f t="shared" si="23"/>
        <v>436</v>
      </c>
      <c r="C450" s="145">
        <f>'BC.115+260'!M449/1000</f>
        <v>3.1139999999999999</v>
      </c>
      <c r="D450" s="145">
        <f>'BC.115+260'!AA449</f>
        <v>3.9130000000000003</v>
      </c>
      <c r="E450" s="146">
        <f>'BC.115+260'!AB449</f>
        <v>2.6579999999999999</v>
      </c>
      <c r="F450" s="145">
        <f>VLOOKUP($A450,'BC.115+260'!$B$13:$X$489,8,0)/1000</f>
        <v>2.2160000000000002</v>
      </c>
      <c r="G450" s="145">
        <f>VLOOKUP($A450,'BC.115+260'!$B$13:$X$489,9,0)/1000</f>
        <v>-0.78400000000000003</v>
      </c>
      <c r="H450" s="145">
        <f>VLOOKUP($A450,'BC.115+260'!$B$13:$X$489,14,0)/1000</f>
        <v>2.1040000000000001</v>
      </c>
      <c r="I450" s="145">
        <f>VLOOKUP($A450,'BC.115+260'!$B$13:$X$489,15,0)/1000</f>
        <v>-0.89600000000000002</v>
      </c>
      <c r="J450" s="145">
        <f>VLOOKUP($A450,'BC.115+260'!$B$13:$X$489,20,0)/1000</f>
        <v>2.1749999999999998</v>
      </c>
      <c r="K450" s="145">
        <f>VLOOKUP($A450,'BC.115+260'!$B$13:$X$489,21,0)/1000</f>
        <v>-0.82499999999999996</v>
      </c>
      <c r="L450" s="143">
        <f t="shared" si="20"/>
        <v>-584.00000000000011</v>
      </c>
      <c r="M450" s="144">
        <f t="shared" si="21"/>
        <v>-676</v>
      </c>
      <c r="N450" s="143">
        <f t="shared" si="22"/>
        <v>-575</v>
      </c>
      <c r="O450" s="143"/>
    </row>
    <row r="451" spans="1:15">
      <c r="A451" s="81">
        <f>'BC.115+260'!B450</f>
        <v>45688</v>
      </c>
      <c r="B451" s="143">
        <f t="shared" si="23"/>
        <v>437</v>
      </c>
      <c r="C451" s="145">
        <f>'BC.115+260'!M450/1000</f>
        <v>3.105</v>
      </c>
      <c r="D451" s="145">
        <f>'BC.115+260'!AA450</f>
        <v>3.9130000000000003</v>
      </c>
      <c r="E451" s="146">
        <f>'BC.115+260'!AB450</f>
        <v>2.64</v>
      </c>
      <c r="F451" s="145">
        <f>VLOOKUP($A451,'BC.115+260'!$B$13:$X$489,8,0)/1000</f>
        <v>2.214</v>
      </c>
      <c r="G451" s="145">
        <f>VLOOKUP($A451,'BC.115+260'!$B$13:$X$489,9,0)/1000</f>
        <v>-0.78600000000000003</v>
      </c>
      <c r="H451" s="145">
        <f>VLOOKUP($A451,'BC.115+260'!$B$13:$X$489,14,0)/1000</f>
        <v>2.0950000000000002</v>
      </c>
      <c r="I451" s="145">
        <f>VLOOKUP($A451,'BC.115+260'!$B$13:$X$489,15,0)/1000</f>
        <v>-0.90500000000000003</v>
      </c>
      <c r="J451" s="145">
        <f>VLOOKUP($A451,'BC.115+260'!$B$13:$X$489,20,0)/1000</f>
        <v>2.1709999999999998</v>
      </c>
      <c r="K451" s="145">
        <f>VLOOKUP($A451,'BC.115+260'!$B$13:$X$489,21,0)/1000</f>
        <v>-0.82899999999999996</v>
      </c>
      <c r="L451" s="143">
        <f t="shared" si="20"/>
        <v>-586.00000000000011</v>
      </c>
      <c r="M451" s="144">
        <f t="shared" si="21"/>
        <v>-685</v>
      </c>
      <c r="N451" s="143">
        <f t="shared" si="22"/>
        <v>-579</v>
      </c>
      <c r="O451" s="143"/>
    </row>
    <row r="452" spans="1:15">
      <c r="A452" s="81">
        <f>'BC.115+260'!B451</f>
        <v>45689</v>
      </c>
      <c r="B452" s="143">
        <f t="shared" si="23"/>
        <v>438</v>
      </c>
      <c r="C452" s="145">
        <f>'BC.115+260'!M451/1000</f>
        <v>3.097</v>
      </c>
      <c r="D452" s="145">
        <f>'BC.115+260'!AA451</f>
        <v>3.9130000000000003</v>
      </c>
      <c r="E452" s="146">
        <f>'BC.115+260'!AB451</f>
        <v>2.6240000000000001</v>
      </c>
      <c r="F452" s="145">
        <f>VLOOKUP($A452,'BC.115+260'!$B$13:$X$489,8,0)/1000</f>
        <v>2.2120000000000002</v>
      </c>
      <c r="G452" s="145">
        <f>VLOOKUP($A452,'BC.115+260'!$B$13:$X$489,9,0)/1000</f>
        <v>-0.78800000000000003</v>
      </c>
      <c r="H452" s="145">
        <f>VLOOKUP($A452,'BC.115+260'!$B$13:$X$489,14,0)/1000</f>
        <v>2.0870000000000002</v>
      </c>
      <c r="I452" s="145">
        <f>VLOOKUP($A452,'BC.115+260'!$B$13:$X$489,15,0)/1000</f>
        <v>-0.91300000000000003</v>
      </c>
      <c r="J452" s="145">
        <f>VLOOKUP($A452,'BC.115+260'!$B$13:$X$489,20,0)/1000</f>
        <v>2.1640000000000001</v>
      </c>
      <c r="K452" s="145">
        <f>VLOOKUP($A452,'BC.115+260'!$B$13:$X$489,21,0)/1000</f>
        <v>-0.83599999999999997</v>
      </c>
      <c r="L452" s="143">
        <f t="shared" si="20"/>
        <v>-588.00000000000011</v>
      </c>
      <c r="M452" s="144">
        <f t="shared" si="21"/>
        <v>-693.00000000000011</v>
      </c>
      <c r="N452" s="143">
        <f t="shared" si="22"/>
        <v>-586</v>
      </c>
      <c r="O452" s="143"/>
    </row>
    <row r="453" spans="1:15">
      <c r="A453" s="81">
        <f>'BC.115+260'!B452</f>
        <v>45690</v>
      </c>
      <c r="B453" s="143">
        <f t="shared" si="23"/>
        <v>439</v>
      </c>
      <c r="C453" s="145">
        <f>'BC.115+260'!M452/1000</f>
        <v>3.0880000000000001</v>
      </c>
      <c r="D453" s="145">
        <f>'BC.115+260'!AA452</f>
        <v>3.9130000000000003</v>
      </c>
      <c r="E453" s="146">
        <f>'BC.115+260'!AB452</f>
        <v>2.6059999999999999</v>
      </c>
      <c r="F453" s="145">
        <f>VLOOKUP($A453,'BC.115+260'!$B$13:$X$489,8,0)/1000</f>
        <v>2.21</v>
      </c>
      <c r="G453" s="145">
        <f>VLOOKUP($A453,'BC.115+260'!$B$13:$X$489,9,0)/1000</f>
        <v>-0.79</v>
      </c>
      <c r="H453" s="145">
        <f>VLOOKUP($A453,'BC.115+260'!$B$13:$X$489,14,0)/1000</f>
        <v>2.0779999999999998</v>
      </c>
      <c r="I453" s="145">
        <f>VLOOKUP($A453,'BC.115+260'!$B$13:$X$489,15,0)/1000</f>
        <v>-0.92200000000000004</v>
      </c>
      <c r="J453" s="145">
        <f>VLOOKUP($A453,'BC.115+260'!$B$13:$X$489,20,0)/1000</f>
        <v>2.1589999999999998</v>
      </c>
      <c r="K453" s="145">
        <f>VLOOKUP($A453,'BC.115+260'!$B$13:$X$489,21,0)/1000</f>
        <v>-0.84099999999999997</v>
      </c>
      <c r="L453" s="143">
        <f t="shared" si="20"/>
        <v>-590.00000000000011</v>
      </c>
      <c r="M453" s="144">
        <f t="shared" si="21"/>
        <v>-702.00000000000011</v>
      </c>
      <c r="N453" s="143">
        <f t="shared" si="22"/>
        <v>-591</v>
      </c>
      <c r="O453" s="143"/>
    </row>
    <row r="454" spans="1:15">
      <c r="A454" s="81">
        <f>'BC.115+260'!B453</f>
        <v>45691</v>
      </c>
      <c r="B454" s="143">
        <f t="shared" si="23"/>
        <v>440</v>
      </c>
      <c r="C454" s="145">
        <f>'BC.115+260'!M453/1000</f>
        <v>3.08</v>
      </c>
      <c r="D454" s="145">
        <f>'BC.115+260'!AA453</f>
        <v>3.9130000000000003</v>
      </c>
      <c r="E454" s="146">
        <f>'BC.115+260'!AB453</f>
        <v>2.59</v>
      </c>
      <c r="F454" s="145">
        <f>VLOOKUP($A454,'BC.115+260'!$B$13:$X$489,8,0)/1000</f>
        <v>2.2080000000000002</v>
      </c>
      <c r="G454" s="145">
        <f>VLOOKUP($A454,'BC.115+260'!$B$13:$X$489,9,0)/1000</f>
        <v>-0.79200000000000004</v>
      </c>
      <c r="H454" s="145">
        <f>VLOOKUP($A454,'BC.115+260'!$B$13:$X$489,14,0)/1000</f>
        <v>2.0699999999999998</v>
      </c>
      <c r="I454" s="145">
        <f>VLOOKUP($A454,'BC.115+260'!$B$13:$X$489,15,0)/1000</f>
        <v>-0.93</v>
      </c>
      <c r="J454" s="145">
        <f>VLOOKUP($A454,'BC.115+260'!$B$13:$X$489,20,0)/1000</f>
        <v>2.1539999999999999</v>
      </c>
      <c r="K454" s="145">
        <f>VLOOKUP($A454,'BC.115+260'!$B$13:$X$489,21,0)/1000</f>
        <v>-0.84599999999999997</v>
      </c>
      <c r="L454" s="143">
        <f t="shared" si="20"/>
        <v>-592.00000000000011</v>
      </c>
      <c r="M454" s="144">
        <f t="shared" si="21"/>
        <v>-710.00000000000011</v>
      </c>
      <c r="N454" s="143">
        <f t="shared" si="22"/>
        <v>-596</v>
      </c>
      <c r="O454" s="143"/>
    </row>
    <row r="455" spans="1:15">
      <c r="A455" s="81">
        <f>'BC.115+260'!B454</f>
        <v>45692</v>
      </c>
      <c r="B455" s="143">
        <f t="shared" si="23"/>
        <v>441</v>
      </c>
      <c r="C455" s="145">
        <f>'BC.115+260'!M454/1000</f>
        <v>3.073</v>
      </c>
      <c r="D455" s="145">
        <f>'BC.115+260'!AA454</f>
        <v>3.9130000000000003</v>
      </c>
      <c r="E455" s="146">
        <f>'BC.115+260'!AB454</f>
        <v>2.5760000000000001</v>
      </c>
      <c r="F455" s="145">
        <f>VLOOKUP($A455,'BC.115+260'!$B$13:$X$489,8,0)/1000</f>
        <v>2.2050000000000001</v>
      </c>
      <c r="G455" s="145">
        <f>VLOOKUP($A455,'BC.115+260'!$B$13:$X$489,9,0)/1000</f>
        <v>-0.79500000000000004</v>
      </c>
      <c r="H455" s="145">
        <f>VLOOKUP($A455,'BC.115+260'!$B$13:$X$489,14,0)/1000</f>
        <v>2.0630000000000002</v>
      </c>
      <c r="I455" s="145">
        <f>VLOOKUP($A455,'BC.115+260'!$B$13:$X$489,15,0)/1000</f>
        <v>-0.93700000000000006</v>
      </c>
      <c r="J455" s="145">
        <f>VLOOKUP($A455,'BC.115+260'!$B$13:$X$489,20,0)/1000</f>
        <v>2.15</v>
      </c>
      <c r="K455" s="145">
        <f>VLOOKUP($A455,'BC.115+260'!$B$13:$X$489,21,0)/1000</f>
        <v>-0.85</v>
      </c>
      <c r="L455" s="143">
        <f t="shared" si="20"/>
        <v>-595</v>
      </c>
      <c r="M455" s="144">
        <f t="shared" si="21"/>
        <v>-717.00000000000011</v>
      </c>
      <c r="N455" s="143">
        <f t="shared" si="22"/>
        <v>-600</v>
      </c>
      <c r="O455" s="143"/>
    </row>
    <row r="456" spans="1:15">
      <c r="A456" s="81">
        <f>'BC.115+260'!B455</f>
        <v>45693</v>
      </c>
      <c r="B456" s="143">
        <f t="shared" si="23"/>
        <v>442</v>
      </c>
      <c r="C456" s="145">
        <f>'BC.115+260'!M455/1000</f>
        <v>3.0659999999999998</v>
      </c>
      <c r="D456" s="145">
        <f>'BC.115+260'!AA455</f>
        <v>3.9130000000000003</v>
      </c>
      <c r="E456" s="146">
        <f>'BC.115+260'!AB455</f>
        <v>2.5619999999999998</v>
      </c>
      <c r="F456" s="145">
        <f>VLOOKUP($A456,'BC.115+260'!$B$13:$X$489,8,0)/1000</f>
        <v>2.2029999999999998</v>
      </c>
      <c r="G456" s="145">
        <f>VLOOKUP($A456,'BC.115+260'!$B$13:$X$489,9,0)/1000</f>
        <v>-0.79700000000000004</v>
      </c>
      <c r="H456" s="145">
        <f>VLOOKUP($A456,'BC.115+260'!$B$13:$X$489,14,0)/1000</f>
        <v>2.056</v>
      </c>
      <c r="I456" s="145">
        <f>VLOOKUP($A456,'BC.115+260'!$B$13:$X$489,15,0)/1000</f>
        <v>-0.94399999999999995</v>
      </c>
      <c r="J456" s="145">
        <f>VLOOKUP($A456,'BC.115+260'!$B$13:$X$489,20,0)/1000</f>
        <v>2.1469999999999998</v>
      </c>
      <c r="K456" s="145">
        <f>VLOOKUP($A456,'BC.115+260'!$B$13:$X$489,21,0)/1000</f>
        <v>-0.85299999999999998</v>
      </c>
      <c r="L456" s="143">
        <f t="shared" si="20"/>
        <v>-597</v>
      </c>
      <c r="M456" s="144">
        <f t="shared" si="21"/>
        <v>-724</v>
      </c>
      <c r="N456" s="143">
        <f t="shared" si="22"/>
        <v>-603</v>
      </c>
      <c r="O456" s="143"/>
    </row>
    <row r="457" spans="1:15">
      <c r="A457" s="81">
        <f>'BC.115+260'!B456</f>
        <v>45694</v>
      </c>
      <c r="B457" s="143">
        <f t="shared" si="23"/>
        <v>443</v>
      </c>
      <c r="C457" s="145">
        <f>'BC.115+260'!M456/1000</f>
        <v>3.0590000000000002</v>
      </c>
      <c r="D457" s="145">
        <f>'BC.115+260'!AA456</f>
        <v>3.9130000000000003</v>
      </c>
      <c r="E457" s="146">
        <f>'BC.115+260'!AB456</f>
        <v>2.548</v>
      </c>
      <c r="F457" s="145">
        <f>VLOOKUP($A457,'BC.115+260'!$B$13:$X$489,8,0)/1000</f>
        <v>2.2000000000000002</v>
      </c>
      <c r="G457" s="145">
        <f>VLOOKUP($A457,'BC.115+260'!$B$13:$X$489,9,0)/1000</f>
        <v>-0.8</v>
      </c>
      <c r="H457" s="145">
        <f>VLOOKUP($A457,'BC.115+260'!$B$13:$X$489,14,0)/1000</f>
        <v>2.0489999999999999</v>
      </c>
      <c r="I457" s="145">
        <f>VLOOKUP($A457,'BC.115+260'!$B$13:$X$489,15,0)/1000</f>
        <v>-0.95099999999999996</v>
      </c>
      <c r="J457" s="145">
        <f>VLOOKUP($A457,'BC.115+260'!$B$13:$X$489,20,0)/1000</f>
        <v>2.145</v>
      </c>
      <c r="K457" s="145">
        <f>VLOOKUP($A457,'BC.115+260'!$B$13:$X$489,21,0)/1000</f>
        <v>-0.85499999999999998</v>
      </c>
      <c r="L457" s="143">
        <f t="shared" si="20"/>
        <v>-600.00000000000011</v>
      </c>
      <c r="M457" s="144">
        <f t="shared" si="21"/>
        <v>-731</v>
      </c>
      <c r="N457" s="143">
        <f t="shared" si="22"/>
        <v>-605</v>
      </c>
      <c r="O457" s="143"/>
    </row>
    <row r="458" spans="1:15">
      <c r="A458" s="81">
        <f>'BC.115+260'!B457</f>
        <v>45695</v>
      </c>
      <c r="B458" s="143">
        <f t="shared" si="23"/>
        <v>444</v>
      </c>
      <c r="C458" s="145">
        <f>'BC.115+260'!M457/1000</f>
        <v>3.0539999999999998</v>
      </c>
      <c r="D458" s="145">
        <f>'BC.115+260'!AA457</f>
        <v>3.9130000000000003</v>
      </c>
      <c r="E458" s="146">
        <f>'BC.115+260'!AB457</f>
        <v>2.5379999999999998</v>
      </c>
      <c r="F458" s="145">
        <f>VLOOKUP($A458,'BC.115+260'!$B$13:$X$489,8,0)/1000</f>
        <v>2.198</v>
      </c>
      <c r="G458" s="145">
        <f>VLOOKUP($A458,'BC.115+260'!$B$13:$X$489,9,0)/1000</f>
        <v>-0.80200000000000005</v>
      </c>
      <c r="H458" s="145">
        <f>VLOOKUP($A458,'BC.115+260'!$B$13:$X$489,14,0)/1000</f>
        <v>2.044</v>
      </c>
      <c r="I458" s="145">
        <f>VLOOKUP($A458,'BC.115+260'!$B$13:$X$489,15,0)/1000</f>
        <v>-0.95599999999999996</v>
      </c>
      <c r="J458" s="145">
        <f>VLOOKUP($A458,'BC.115+260'!$B$13:$X$489,20,0)/1000</f>
        <v>2.141</v>
      </c>
      <c r="K458" s="145">
        <f>VLOOKUP($A458,'BC.115+260'!$B$13:$X$489,21,0)/1000</f>
        <v>-0.85899999999999999</v>
      </c>
      <c r="L458" s="143">
        <f t="shared" si="20"/>
        <v>-602.00000000000011</v>
      </c>
      <c r="M458" s="144">
        <f t="shared" si="21"/>
        <v>-736</v>
      </c>
      <c r="N458" s="143">
        <f t="shared" si="22"/>
        <v>-609</v>
      </c>
      <c r="O458" s="143"/>
    </row>
    <row r="459" spans="1:15">
      <c r="A459" s="81">
        <f>'BC.115+260'!B458</f>
        <v>45696</v>
      </c>
      <c r="B459" s="143">
        <f t="shared" si="23"/>
        <v>445</v>
      </c>
      <c r="C459" s="145">
        <f>'BC.115+260'!M458/1000</f>
        <v>3.0489999999999999</v>
      </c>
      <c r="D459" s="145">
        <f>'BC.115+260'!AA458</f>
        <v>3.9130000000000003</v>
      </c>
      <c r="E459" s="146">
        <f>'BC.115+260'!AB458</f>
        <v>2.528</v>
      </c>
      <c r="F459" s="145">
        <f>VLOOKUP($A459,'BC.115+260'!$B$13:$X$489,8,0)/1000</f>
        <v>2.1970000000000001</v>
      </c>
      <c r="G459" s="145">
        <f>VLOOKUP($A459,'BC.115+260'!$B$13:$X$489,9,0)/1000</f>
        <v>-0.80300000000000005</v>
      </c>
      <c r="H459" s="145">
        <f>VLOOKUP($A459,'BC.115+260'!$B$13:$X$489,14,0)/1000</f>
        <v>2.0390000000000001</v>
      </c>
      <c r="I459" s="145">
        <f>VLOOKUP($A459,'BC.115+260'!$B$13:$X$489,15,0)/1000</f>
        <v>-0.96099999999999997</v>
      </c>
      <c r="J459" s="145">
        <f>VLOOKUP($A459,'BC.115+260'!$B$13:$X$489,20,0)/1000</f>
        <v>2.1379999999999999</v>
      </c>
      <c r="K459" s="145">
        <f>VLOOKUP($A459,'BC.115+260'!$B$13:$X$489,21,0)/1000</f>
        <v>-0.86199999999999999</v>
      </c>
      <c r="L459" s="143">
        <f t="shared" si="20"/>
        <v>-603</v>
      </c>
      <c r="M459" s="144">
        <f t="shared" si="21"/>
        <v>-741</v>
      </c>
      <c r="N459" s="143">
        <f t="shared" si="22"/>
        <v>-612</v>
      </c>
      <c r="O459" s="143"/>
    </row>
    <row r="460" spans="1:15">
      <c r="A460" s="81">
        <f>'BC.115+260'!B459</f>
        <v>45697</v>
      </c>
      <c r="B460" s="143">
        <f t="shared" si="23"/>
        <v>446</v>
      </c>
      <c r="C460" s="145">
        <f>'BC.115+260'!M459/1000</f>
        <v>3.0449999999999999</v>
      </c>
      <c r="D460" s="145">
        <f>'BC.115+260'!AA459</f>
        <v>3.9130000000000003</v>
      </c>
      <c r="E460" s="146">
        <f>'BC.115+260'!AB459</f>
        <v>2.52</v>
      </c>
      <c r="F460" s="145">
        <f>VLOOKUP($A460,'BC.115+260'!$B$13:$X$489,8,0)/1000</f>
        <v>2.194</v>
      </c>
      <c r="G460" s="145">
        <f>VLOOKUP($A460,'BC.115+260'!$B$13:$X$489,9,0)/1000</f>
        <v>-0.80600000000000005</v>
      </c>
      <c r="H460" s="145">
        <f>VLOOKUP($A460,'BC.115+260'!$B$13:$X$489,14,0)/1000</f>
        <v>2.0350000000000001</v>
      </c>
      <c r="I460" s="145">
        <f>VLOOKUP($A460,'BC.115+260'!$B$13:$X$489,15,0)/1000</f>
        <v>-0.96499999999999997</v>
      </c>
      <c r="J460" s="145">
        <f>VLOOKUP($A460,'BC.115+260'!$B$13:$X$489,20,0)/1000</f>
        <v>2.1309999999999998</v>
      </c>
      <c r="K460" s="145">
        <f>VLOOKUP($A460,'BC.115+260'!$B$13:$X$489,21,0)/1000</f>
        <v>-0.86899999999999999</v>
      </c>
      <c r="L460" s="143">
        <f t="shared" si="20"/>
        <v>-606.00000000000011</v>
      </c>
      <c r="M460" s="144">
        <f t="shared" si="21"/>
        <v>-745</v>
      </c>
      <c r="N460" s="143">
        <f t="shared" si="22"/>
        <v>-619</v>
      </c>
      <c r="O460" s="143"/>
    </row>
    <row r="461" spans="1:15">
      <c r="A461" s="81">
        <f>'BC.115+260'!B460</f>
        <v>45698</v>
      </c>
      <c r="B461" s="143">
        <f t="shared" si="23"/>
        <v>447</v>
      </c>
      <c r="C461" s="145">
        <f>'BC.115+260'!M460/1000</f>
        <v>3.0419999999999998</v>
      </c>
      <c r="D461" s="145">
        <f>'BC.115+260'!AA460</f>
        <v>3.9130000000000003</v>
      </c>
      <c r="E461" s="146">
        <f>'BC.115+260'!AB460</f>
        <v>2.5139999999999998</v>
      </c>
      <c r="F461" s="145">
        <f>VLOOKUP($A461,'BC.115+260'!$B$13:$X$489,8,0)/1000</f>
        <v>2.1920000000000002</v>
      </c>
      <c r="G461" s="145">
        <f>VLOOKUP($A461,'BC.115+260'!$B$13:$X$489,9,0)/1000</f>
        <v>-0.80800000000000005</v>
      </c>
      <c r="H461" s="145">
        <f>VLOOKUP($A461,'BC.115+260'!$B$13:$X$489,14,0)/1000</f>
        <v>2.032</v>
      </c>
      <c r="I461" s="145">
        <f>VLOOKUP($A461,'BC.115+260'!$B$13:$X$489,15,0)/1000</f>
        <v>-0.96799999999999997</v>
      </c>
      <c r="J461" s="145">
        <f>VLOOKUP($A461,'BC.115+260'!$B$13:$X$489,20,0)/1000</f>
        <v>2.1259999999999999</v>
      </c>
      <c r="K461" s="145">
        <f>VLOOKUP($A461,'BC.115+260'!$B$13:$X$489,21,0)/1000</f>
        <v>-0.874</v>
      </c>
      <c r="L461" s="143">
        <f t="shared" si="20"/>
        <v>-608.00000000000011</v>
      </c>
      <c r="M461" s="144">
        <f t="shared" si="21"/>
        <v>-748</v>
      </c>
      <c r="N461" s="143">
        <f t="shared" si="22"/>
        <v>-624</v>
      </c>
      <c r="O461" s="143"/>
    </row>
    <row r="462" spans="1:15">
      <c r="A462" s="81">
        <f>'BC.115+260'!B461</f>
        <v>45699</v>
      </c>
      <c r="B462" s="143">
        <f t="shared" si="23"/>
        <v>448</v>
      </c>
      <c r="C462" s="145">
        <f>'BC.115+260'!M461/1000</f>
        <v>3.04</v>
      </c>
      <c r="D462" s="145">
        <f>'BC.115+260'!AA461</f>
        <v>3.9130000000000003</v>
      </c>
      <c r="E462" s="146">
        <f>'BC.115+260'!AB461</f>
        <v>2.5099999999999998</v>
      </c>
      <c r="F462" s="145">
        <f>VLOOKUP($A462,'BC.115+260'!$B$13:$X$489,8,0)/1000</f>
        <v>2.1890000000000001</v>
      </c>
      <c r="G462" s="145">
        <f>VLOOKUP($A462,'BC.115+260'!$B$13:$X$489,9,0)/1000</f>
        <v>-0.81100000000000005</v>
      </c>
      <c r="H462" s="145">
        <f>VLOOKUP($A462,'BC.115+260'!$B$13:$X$489,14,0)/1000</f>
        <v>2.0299999999999998</v>
      </c>
      <c r="I462" s="145">
        <f>VLOOKUP($A462,'BC.115+260'!$B$13:$X$489,15,0)/1000</f>
        <v>-0.97</v>
      </c>
      <c r="J462" s="145">
        <f>VLOOKUP($A462,'BC.115+260'!$B$13:$X$489,20,0)/1000</f>
        <v>2.121</v>
      </c>
      <c r="K462" s="145">
        <f>VLOOKUP($A462,'BC.115+260'!$B$13:$X$489,21,0)/1000</f>
        <v>-0.879</v>
      </c>
      <c r="L462" s="143">
        <f t="shared" ref="L462:L510" si="24">(G462-$G$14)*1000</f>
        <v>-611</v>
      </c>
      <c r="M462" s="144">
        <f t="shared" ref="M462:M510" si="25">(I462-$I$14)*1000</f>
        <v>-750</v>
      </c>
      <c r="N462" s="143">
        <f t="shared" si="22"/>
        <v>-629</v>
      </c>
      <c r="O462" s="143"/>
    </row>
    <row r="463" spans="1:15">
      <c r="A463" s="81">
        <f>'BC.115+260'!B462</f>
        <v>45700</v>
      </c>
      <c r="B463" s="143">
        <f t="shared" si="23"/>
        <v>449</v>
      </c>
      <c r="C463" s="145">
        <f>'BC.115+260'!M462/1000</f>
        <v>3.036</v>
      </c>
      <c r="D463" s="145">
        <f>'BC.115+260'!AA462</f>
        <v>3.9130000000000003</v>
      </c>
      <c r="E463" s="146">
        <f>'BC.115+260'!AB462</f>
        <v>2.5019999999999998</v>
      </c>
      <c r="F463" s="145">
        <f>VLOOKUP($A463,'BC.115+260'!$B$13:$X$489,8,0)/1000</f>
        <v>2.1869999999999998</v>
      </c>
      <c r="G463" s="145">
        <f>VLOOKUP($A463,'BC.115+260'!$B$13:$X$489,9,0)/1000</f>
        <v>-0.81299999999999994</v>
      </c>
      <c r="H463" s="145">
        <f>VLOOKUP($A463,'BC.115+260'!$B$13:$X$489,14,0)/1000</f>
        <v>2.0259999999999998</v>
      </c>
      <c r="I463" s="145">
        <f>VLOOKUP($A463,'BC.115+260'!$B$13:$X$489,15,0)/1000</f>
        <v>-0.97399999999999998</v>
      </c>
      <c r="J463" s="145">
        <f>VLOOKUP($A463,'BC.115+260'!$B$13:$X$489,20,0)/1000</f>
        <v>2.1160000000000001</v>
      </c>
      <c r="K463" s="145">
        <f>VLOOKUP($A463,'BC.115+260'!$B$13:$X$489,21,0)/1000</f>
        <v>-0.88400000000000001</v>
      </c>
      <c r="L463" s="143">
        <f t="shared" si="24"/>
        <v>-613</v>
      </c>
      <c r="M463" s="144">
        <f t="shared" si="25"/>
        <v>-754</v>
      </c>
      <c r="N463" s="143">
        <f t="shared" ref="N463:N510" si="26">(K463-$K$14)*1000</f>
        <v>-634</v>
      </c>
      <c r="O463" s="143"/>
    </row>
    <row r="464" spans="1:15">
      <c r="A464" s="81">
        <f>'BC.115+260'!B463</f>
        <v>45701</v>
      </c>
      <c r="B464" s="143">
        <f t="shared" si="23"/>
        <v>450</v>
      </c>
      <c r="C464" s="145">
        <f>'BC.115+260'!M463/1000</f>
        <v>3.0329999999999999</v>
      </c>
      <c r="D464" s="145">
        <f>'BC.115+260'!AA463</f>
        <v>3.9130000000000003</v>
      </c>
      <c r="E464" s="146">
        <f>'BC.115+260'!AB463</f>
        <v>2.496</v>
      </c>
      <c r="F464" s="145">
        <f>VLOOKUP($A464,'BC.115+260'!$B$13:$X$489,8,0)/1000</f>
        <v>2.1859999999999999</v>
      </c>
      <c r="G464" s="145">
        <f>VLOOKUP($A464,'BC.115+260'!$B$13:$X$489,9,0)/1000</f>
        <v>-0.81399999999999995</v>
      </c>
      <c r="H464" s="145">
        <f>VLOOKUP($A464,'BC.115+260'!$B$13:$X$489,14,0)/1000</f>
        <v>2.0230000000000001</v>
      </c>
      <c r="I464" s="145">
        <f>VLOOKUP($A464,'BC.115+260'!$B$13:$X$489,15,0)/1000</f>
        <v>-0.97699999999999998</v>
      </c>
      <c r="J464" s="145">
        <f>VLOOKUP($A464,'BC.115+260'!$B$13:$X$489,20,0)/1000</f>
        <v>2.1110000000000002</v>
      </c>
      <c r="K464" s="145">
        <f>VLOOKUP($A464,'BC.115+260'!$B$13:$X$489,21,0)/1000</f>
        <v>-0.88900000000000001</v>
      </c>
      <c r="L464" s="143">
        <f t="shared" si="24"/>
        <v>-613.99999999999989</v>
      </c>
      <c r="M464" s="144">
        <f t="shared" si="25"/>
        <v>-757</v>
      </c>
      <c r="N464" s="143">
        <f t="shared" si="26"/>
        <v>-639</v>
      </c>
      <c r="O464" s="143"/>
    </row>
    <row r="465" spans="1:15">
      <c r="A465" s="81">
        <f>'BC.115+260'!B464</f>
        <v>45702</v>
      </c>
      <c r="B465" s="143">
        <f t="shared" si="23"/>
        <v>451</v>
      </c>
      <c r="C465" s="145">
        <f>'BC.115+260'!M464/1000</f>
        <v>3.0259999999999998</v>
      </c>
      <c r="D465" s="145">
        <f>'BC.115+260'!AA464</f>
        <v>3.9130000000000003</v>
      </c>
      <c r="E465" s="146">
        <f>'BC.115+260'!AB464</f>
        <v>2.4820000000000002</v>
      </c>
      <c r="F465" s="145">
        <f>VLOOKUP($A465,'BC.115+260'!$B$13:$X$489,8,0)/1000</f>
        <v>2.1840000000000002</v>
      </c>
      <c r="G465" s="145">
        <f>VLOOKUP($A465,'BC.115+260'!$B$13:$X$489,9,0)/1000</f>
        <v>-0.81599999999999995</v>
      </c>
      <c r="H465" s="145">
        <f>VLOOKUP($A465,'BC.115+260'!$B$13:$X$489,14,0)/1000</f>
        <v>2.016</v>
      </c>
      <c r="I465" s="145">
        <f>VLOOKUP($A465,'BC.115+260'!$B$13:$X$489,15,0)/1000</f>
        <v>-0.98399999999999999</v>
      </c>
      <c r="J465" s="145">
        <f>VLOOKUP($A465,'BC.115+260'!$B$13:$X$489,20,0)/1000</f>
        <v>2.1070000000000002</v>
      </c>
      <c r="K465" s="145">
        <f>VLOOKUP($A465,'BC.115+260'!$B$13:$X$489,21,0)/1000</f>
        <v>-0.89300000000000002</v>
      </c>
      <c r="L465" s="143">
        <f t="shared" si="24"/>
        <v>-615.99999999999989</v>
      </c>
      <c r="M465" s="144">
        <f t="shared" si="25"/>
        <v>-764</v>
      </c>
      <c r="N465" s="143">
        <f t="shared" si="26"/>
        <v>-643</v>
      </c>
      <c r="O465" s="143"/>
    </row>
    <row r="466" spans="1:15">
      <c r="A466" s="81">
        <f>'BC.115+260'!B465</f>
        <v>45703</v>
      </c>
      <c r="B466" s="143">
        <f t="shared" ref="B466:B510" si="27">+B465+1</f>
        <v>452</v>
      </c>
      <c r="C466" s="145">
        <f>'BC.115+260'!M465/1000</f>
        <v>3.0209999999999999</v>
      </c>
      <c r="D466" s="145">
        <f>'BC.115+260'!AA465</f>
        <v>3.9130000000000003</v>
      </c>
      <c r="E466" s="146">
        <f>'BC.115+260'!AB465</f>
        <v>2.472</v>
      </c>
      <c r="F466" s="145">
        <f>VLOOKUP($A466,'BC.115+260'!$B$13:$X$489,8,0)/1000</f>
        <v>2.1819999999999999</v>
      </c>
      <c r="G466" s="145">
        <f>VLOOKUP($A466,'BC.115+260'!$B$13:$X$489,9,0)/1000</f>
        <v>-0.81799999999999995</v>
      </c>
      <c r="H466" s="145">
        <f>VLOOKUP($A466,'BC.115+260'!$B$13:$X$489,14,0)/1000</f>
        <v>2.0110000000000001</v>
      </c>
      <c r="I466" s="145">
        <f>VLOOKUP($A466,'BC.115+260'!$B$13:$X$489,15,0)/1000</f>
        <v>-0.98899999999999999</v>
      </c>
      <c r="J466" s="145">
        <f>VLOOKUP($A466,'BC.115+260'!$B$13:$X$489,20,0)/1000</f>
        <v>2.1040000000000001</v>
      </c>
      <c r="K466" s="145">
        <f>VLOOKUP($A466,'BC.115+260'!$B$13:$X$489,21,0)/1000</f>
        <v>-0.89600000000000002</v>
      </c>
      <c r="L466" s="143">
        <f t="shared" si="24"/>
        <v>-617.99999999999989</v>
      </c>
      <c r="M466" s="144">
        <f t="shared" si="25"/>
        <v>-769</v>
      </c>
      <c r="N466" s="143">
        <f t="shared" si="26"/>
        <v>-646</v>
      </c>
      <c r="O466" s="143"/>
    </row>
    <row r="467" spans="1:15">
      <c r="A467" s="81">
        <f>'BC.115+260'!B466</f>
        <v>45704</v>
      </c>
      <c r="B467" s="143">
        <f t="shared" si="27"/>
        <v>453</v>
      </c>
      <c r="C467" s="145">
        <f>'BC.115+260'!M466/1000</f>
        <v>3.016</v>
      </c>
      <c r="D467" s="145">
        <f>'BC.115+260'!AA466</f>
        <v>3.9130000000000003</v>
      </c>
      <c r="E467" s="146">
        <f>'BC.115+260'!AB466</f>
        <v>2.4620000000000002</v>
      </c>
      <c r="F467" s="145">
        <f>VLOOKUP($A467,'BC.115+260'!$B$13:$X$489,8,0)/1000</f>
        <v>2.1800000000000002</v>
      </c>
      <c r="G467" s="145">
        <f>VLOOKUP($A467,'BC.115+260'!$B$13:$X$489,9,0)/1000</f>
        <v>-0.82</v>
      </c>
      <c r="H467" s="145">
        <f>VLOOKUP($A467,'BC.115+260'!$B$13:$X$489,14,0)/1000</f>
        <v>2.0059999999999998</v>
      </c>
      <c r="I467" s="145">
        <f>VLOOKUP($A467,'BC.115+260'!$B$13:$X$489,15,0)/1000</f>
        <v>-0.99399999999999999</v>
      </c>
      <c r="J467" s="145">
        <f>VLOOKUP($A467,'BC.115+260'!$B$13:$X$489,20,0)/1000</f>
        <v>2.1019999999999999</v>
      </c>
      <c r="K467" s="145">
        <f>VLOOKUP($A467,'BC.115+260'!$B$13:$X$489,21,0)/1000</f>
        <v>-0.89800000000000002</v>
      </c>
      <c r="L467" s="143">
        <f t="shared" si="24"/>
        <v>-619.99999999999989</v>
      </c>
      <c r="M467" s="144">
        <f t="shared" si="25"/>
        <v>-774</v>
      </c>
      <c r="N467" s="143">
        <f t="shared" si="26"/>
        <v>-648</v>
      </c>
      <c r="O467" s="143"/>
    </row>
    <row r="468" spans="1:15">
      <c r="A468" s="81">
        <f>'BC.115+260'!B467</f>
        <v>45705</v>
      </c>
      <c r="B468" s="143">
        <f t="shared" si="27"/>
        <v>454</v>
      </c>
      <c r="C468" s="145">
        <f>'BC.115+260'!M467/1000</f>
        <v>3.012</v>
      </c>
      <c r="D468" s="145">
        <f>'BC.115+260'!AA467</f>
        <v>3.9130000000000003</v>
      </c>
      <c r="E468" s="146">
        <f>'BC.115+260'!AB467</f>
        <v>2.4540000000000002</v>
      </c>
      <c r="F468" s="145">
        <f>VLOOKUP($A468,'BC.115+260'!$B$13:$X$489,8,0)/1000</f>
        <v>2.1779999999999999</v>
      </c>
      <c r="G468" s="145">
        <f>VLOOKUP($A468,'BC.115+260'!$B$13:$X$489,9,0)/1000</f>
        <v>-0.82199999999999995</v>
      </c>
      <c r="H468" s="145">
        <f>VLOOKUP($A468,'BC.115+260'!$B$13:$X$489,14,0)/1000</f>
        <v>2.0019999999999998</v>
      </c>
      <c r="I468" s="145">
        <f>VLOOKUP($A468,'BC.115+260'!$B$13:$X$489,15,0)/1000</f>
        <v>-0.998</v>
      </c>
      <c r="J468" s="145">
        <f>VLOOKUP($A468,'BC.115+260'!$B$13:$X$489,20,0)/1000</f>
        <v>2.0979999999999999</v>
      </c>
      <c r="K468" s="145">
        <f>VLOOKUP($A468,'BC.115+260'!$B$13:$X$489,21,0)/1000</f>
        <v>-0.90200000000000002</v>
      </c>
      <c r="L468" s="143">
        <f t="shared" si="24"/>
        <v>-621.99999999999989</v>
      </c>
      <c r="M468" s="144">
        <f t="shared" si="25"/>
        <v>-778</v>
      </c>
      <c r="N468" s="143">
        <f t="shared" si="26"/>
        <v>-652</v>
      </c>
      <c r="O468" s="143"/>
    </row>
    <row r="469" spans="1:15">
      <c r="A469" s="81">
        <f>'BC.115+260'!B468</f>
        <v>45706</v>
      </c>
      <c r="B469" s="143">
        <f t="shared" si="27"/>
        <v>455</v>
      </c>
      <c r="C469" s="145">
        <f>'BC.115+260'!M468/1000</f>
        <v>3.0089999999999999</v>
      </c>
      <c r="D469" s="145">
        <f>'BC.115+260'!AA468</f>
        <v>3.9130000000000003</v>
      </c>
      <c r="E469" s="146">
        <f>'BC.115+260'!AB468</f>
        <v>2.448</v>
      </c>
      <c r="F469" s="145">
        <f>VLOOKUP($A469,'BC.115+260'!$B$13:$X$489,8,0)/1000</f>
        <v>2.1760000000000002</v>
      </c>
      <c r="G469" s="145">
        <f>VLOOKUP($A469,'BC.115+260'!$B$13:$X$489,9,0)/1000</f>
        <v>-0.82399999999999995</v>
      </c>
      <c r="H469" s="145">
        <f>VLOOKUP($A469,'BC.115+260'!$B$13:$X$489,14,0)/1000</f>
        <v>1.9990000000000001</v>
      </c>
      <c r="I469" s="145">
        <f>VLOOKUP($A469,'BC.115+260'!$B$13:$X$489,15,0)/1000</f>
        <v>-1.0009999999999999</v>
      </c>
      <c r="J469" s="145">
        <f>VLOOKUP($A469,'BC.115+260'!$B$13:$X$489,20,0)/1000</f>
        <v>2.0950000000000002</v>
      </c>
      <c r="K469" s="145">
        <f>VLOOKUP($A469,'BC.115+260'!$B$13:$X$489,21,0)/1000</f>
        <v>-0.90500000000000003</v>
      </c>
      <c r="L469" s="143">
        <f t="shared" si="24"/>
        <v>-623.99999999999989</v>
      </c>
      <c r="M469" s="144">
        <f t="shared" si="25"/>
        <v>-780.99999999999989</v>
      </c>
      <c r="N469" s="143">
        <f t="shared" si="26"/>
        <v>-655</v>
      </c>
      <c r="O469" s="143"/>
    </row>
    <row r="470" spans="1:15">
      <c r="A470" s="81">
        <f>'BC.115+260'!B469</f>
        <v>45707</v>
      </c>
      <c r="B470" s="143">
        <f t="shared" si="27"/>
        <v>456</v>
      </c>
      <c r="C470" s="145">
        <f>'BC.115+260'!M469/1000</f>
        <v>3.0070000000000001</v>
      </c>
      <c r="D470" s="145">
        <f>'BC.115+260'!AA469</f>
        <v>3.9130000000000003</v>
      </c>
      <c r="E470" s="146">
        <f>'BC.115+260'!AB469</f>
        <v>2.444</v>
      </c>
      <c r="F470" s="145">
        <f>VLOOKUP($A470,'BC.115+260'!$B$13:$X$489,8,0)/1000</f>
        <v>2.1739999999999999</v>
      </c>
      <c r="G470" s="145">
        <f>VLOOKUP($A470,'BC.115+260'!$B$13:$X$489,9,0)/1000</f>
        <v>-0.82599999999999996</v>
      </c>
      <c r="H470" s="145">
        <f>VLOOKUP($A470,'BC.115+260'!$B$13:$X$489,14,0)/1000</f>
        <v>1.9970000000000001</v>
      </c>
      <c r="I470" s="145">
        <f>VLOOKUP($A470,'BC.115+260'!$B$13:$X$489,15,0)/1000</f>
        <v>-1.0029999999999999</v>
      </c>
      <c r="J470" s="145">
        <f>VLOOKUP($A470,'BC.115+260'!$B$13:$X$489,20,0)/1000</f>
        <v>2.0880000000000001</v>
      </c>
      <c r="K470" s="145">
        <f>VLOOKUP($A470,'BC.115+260'!$B$13:$X$489,21,0)/1000</f>
        <v>-0.91200000000000003</v>
      </c>
      <c r="L470" s="143">
        <f t="shared" si="24"/>
        <v>-625.99999999999989</v>
      </c>
      <c r="M470" s="144">
        <f t="shared" si="25"/>
        <v>-782.99999999999989</v>
      </c>
      <c r="N470" s="143">
        <f t="shared" si="26"/>
        <v>-662</v>
      </c>
      <c r="O470" s="143"/>
    </row>
    <row r="471" spans="1:15">
      <c r="A471" s="81">
        <f>'BC.115+260'!B470</f>
        <v>45708</v>
      </c>
      <c r="B471" s="143">
        <f t="shared" si="27"/>
        <v>457</v>
      </c>
      <c r="C471" s="145">
        <f>'BC.115+260'!M470/1000</f>
        <v>3.0059999999999998</v>
      </c>
      <c r="D471" s="145">
        <f>'BC.115+260'!AA470</f>
        <v>3.9130000000000003</v>
      </c>
      <c r="E471" s="146">
        <f>'BC.115+260'!AB470</f>
        <v>2.4420000000000002</v>
      </c>
      <c r="F471" s="145">
        <f>VLOOKUP($A471,'BC.115+260'!$B$13:$X$489,8,0)/1000</f>
        <v>2.1709999999999998</v>
      </c>
      <c r="G471" s="145">
        <f>VLOOKUP($A471,'BC.115+260'!$B$13:$X$489,9,0)/1000</f>
        <v>-0.82899999999999996</v>
      </c>
      <c r="H471" s="145">
        <f>VLOOKUP($A471,'BC.115+260'!$B$13:$X$489,14,0)/1000</f>
        <v>1.996</v>
      </c>
      <c r="I471" s="145">
        <f>VLOOKUP($A471,'BC.115+260'!$B$13:$X$489,15,0)/1000</f>
        <v>-1.004</v>
      </c>
      <c r="J471" s="145">
        <f>VLOOKUP($A471,'BC.115+260'!$B$13:$X$489,20,0)/1000</f>
        <v>2.0830000000000002</v>
      </c>
      <c r="K471" s="145">
        <f>VLOOKUP($A471,'BC.115+260'!$B$13:$X$489,21,0)/1000</f>
        <v>-0.91700000000000004</v>
      </c>
      <c r="L471" s="143">
        <f t="shared" si="24"/>
        <v>-629</v>
      </c>
      <c r="M471" s="144">
        <f t="shared" si="25"/>
        <v>-784</v>
      </c>
      <c r="N471" s="143">
        <f t="shared" si="26"/>
        <v>-667</v>
      </c>
      <c r="O471" s="143"/>
    </row>
    <row r="472" spans="1:15">
      <c r="A472" s="81">
        <f>'BC.115+260'!B471</f>
        <v>45709</v>
      </c>
      <c r="B472" s="143">
        <f t="shared" si="27"/>
        <v>458</v>
      </c>
      <c r="C472" s="145">
        <f>'BC.115+260'!M471/1000</f>
        <v>3.004</v>
      </c>
      <c r="D472" s="145">
        <f>'BC.115+260'!AA471</f>
        <v>3.9130000000000003</v>
      </c>
      <c r="E472" s="146">
        <f>'BC.115+260'!AB471</f>
        <v>2.4380000000000002</v>
      </c>
      <c r="F472" s="145">
        <f>VLOOKUP($A472,'BC.115+260'!$B$13:$X$489,8,0)/1000</f>
        <v>2.169</v>
      </c>
      <c r="G472" s="145">
        <f>VLOOKUP($A472,'BC.115+260'!$B$13:$X$489,9,0)/1000</f>
        <v>-0.83099999999999996</v>
      </c>
      <c r="H472" s="145">
        <f>VLOOKUP($A472,'BC.115+260'!$B$13:$X$489,14,0)/1000</f>
        <v>1.994</v>
      </c>
      <c r="I472" s="145">
        <f>VLOOKUP($A472,'BC.115+260'!$B$13:$X$489,15,0)/1000</f>
        <v>-1.006</v>
      </c>
      <c r="J472" s="145">
        <f>VLOOKUP($A472,'BC.115+260'!$B$13:$X$489,20,0)/1000</f>
        <v>2.0779999999999998</v>
      </c>
      <c r="K472" s="145">
        <f>VLOOKUP($A472,'BC.115+260'!$B$13:$X$489,21,0)/1000</f>
        <v>-0.92200000000000004</v>
      </c>
      <c r="L472" s="143">
        <f t="shared" si="24"/>
        <v>-631</v>
      </c>
      <c r="M472" s="144">
        <f t="shared" si="25"/>
        <v>-786</v>
      </c>
      <c r="N472" s="143">
        <f t="shared" si="26"/>
        <v>-672</v>
      </c>
      <c r="O472" s="143"/>
    </row>
    <row r="473" spans="1:15">
      <c r="A473" s="81">
        <f>'BC.115+260'!B472</f>
        <v>45710</v>
      </c>
      <c r="B473" s="143">
        <f t="shared" si="27"/>
        <v>459</v>
      </c>
      <c r="C473" s="145">
        <f>'BC.115+260'!M472/1000</f>
        <v>3.0019999999999998</v>
      </c>
      <c r="D473" s="145">
        <f>'BC.115+260'!AA472</f>
        <v>3.9130000000000003</v>
      </c>
      <c r="E473" s="146">
        <f>'BC.115+260'!AB472</f>
        <v>2.4340000000000002</v>
      </c>
      <c r="F473" s="145">
        <f>VLOOKUP($A473,'BC.115+260'!$B$13:$X$489,8,0)/1000</f>
        <v>2.1659999999999999</v>
      </c>
      <c r="G473" s="145">
        <f>VLOOKUP($A473,'BC.115+260'!$B$13:$X$489,9,0)/1000</f>
        <v>-0.83399999999999996</v>
      </c>
      <c r="H473" s="145">
        <f>VLOOKUP($A473,'BC.115+260'!$B$13:$X$489,14,0)/1000</f>
        <v>1.992</v>
      </c>
      <c r="I473" s="145">
        <f>VLOOKUP($A473,'BC.115+260'!$B$13:$X$489,15,0)/1000</f>
        <v>-1.008</v>
      </c>
      <c r="J473" s="145">
        <f>VLOOKUP($A473,'BC.115+260'!$B$13:$X$489,20,0)/1000</f>
        <v>2.0739999999999998</v>
      </c>
      <c r="K473" s="145">
        <f>VLOOKUP($A473,'BC.115+260'!$B$13:$X$489,21,0)/1000</f>
        <v>-0.92600000000000005</v>
      </c>
      <c r="L473" s="143">
        <f t="shared" si="24"/>
        <v>-633.99999999999989</v>
      </c>
      <c r="M473" s="144">
        <f t="shared" si="25"/>
        <v>-788</v>
      </c>
      <c r="N473" s="143">
        <f t="shared" si="26"/>
        <v>-676</v>
      </c>
      <c r="O473" s="143"/>
    </row>
    <row r="474" spans="1:15">
      <c r="A474" s="81">
        <f>'BC.115+260'!B473</f>
        <v>45711</v>
      </c>
      <c r="B474" s="143">
        <f t="shared" si="27"/>
        <v>460</v>
      </c>
      <c r="C474" s="145">
        <f>'BC.115+260'!M473/1000</f>
        <v>3</v>
      </c>
      <c r="D474" s="145">
        <f>'BC.115+260'!AA473</f>
        <v>3.9130000000000003</v>
      </c>
      <c r="E474" s="146">
        <f>'BC.115+260'!AB473</f>
        <v>2.4300000000000002</v>
      </c>
      <c r="F474" s="145">
        <f>VLOOKUP($A474,'BC.115+260'!$B$13:$X$489,8,0)/1000</f>
        <v>2.1640000000000001</v>
      </c>
      <c r="G474" s="145">
        <f>VLOOKUP($A474,'BC.115+260'!$B$13:$X$489,9,0)/1000</f>
        <v>-0.83599999999999997</v>
      </c>
      <c r="H474" s="145">
        <f>VLOOKUP($A474,'BC.115+260'!$B$13:$X$489,14,0)/1000</f>
        <v>1.99</v>
      </c>
      <c r="I474" s="145">
        <f>VLOOKUP($A474,'BC.115+260'!$B$13:$X$489,15,0)/1000</f>
        <v>-1.01</v>
      </c>
      <c r="J474" s="145">
        <f>VLOOKUP($A474,'BC.115+260'!$B$13:$X$489,20,0)/1000</f>
        <v>2.0710000000000002</v>
      </c>
      <c r="K474" s="145">
        <f>VLOOKUP($A474,'BC.115+260'!$B$13:$X$489,21,0)/1000</f>
        <v>-0.92900000000000005</v>
      </c>
      <c r="L474" s="143">
        <f t="shared" si="24"/>
        <v>-635.99999999999989</v>
      </c>
      <c r="M474" s="144">
        <f t="shared" si="25"/>
        <v>-790</v>
      </c>
      <c r="N474" s="143">
        <f t="shared" si="26"/>
        <v>-679</v>
      </c>
      <c r="O474" s="143"/>
    </row>
    <row r="475" spans="1:15">
      <c r="A475" s="81">
        <f>'BC.115+260'!B474</f>
        <v>45712</v>
      </c>
      <c r="B475" s="143">
        <f t="shared" si="27"/>
        <v>461</v>
      </c>
      <c r="C475" s="145">
        <f>'BC.115+260'!M474/1000</f>
        <v>2.9980000000000002</v>
      </c>
      <c r="D475" s="145">
        <f>'BC.115+260'!AA474</f>
        <v>3.9130000000000003</v>
      </c>
      <c r="E475" s="146">
        <f>'BC.115+260'!AB474</f>
        <v>2.4260000000000002</v>
      </c>
      <c r="F475" s="145">
        <f>VLOOKUP($A475,'BC.115+260'!$B$13:$X$489,8,0)/1000</f>
        <v>2.1629999999999998</v>
      </c>
      <c r="G475" s="145">
        <f>VLOOKUP($A475,'BC.115+260'!$B$13:$X$489,9,0)/1000</f>
        <v>-0.83699999999999997</v>
      </c>
      <c r="H475" s="145">
        <f>VLOOKUP($A475,'BC.115+260'!$B$13:$X$489,14,0)/1000</f>
        <v>1.988</v>
      </c>
      <c r="I475" s="145">
        <f>VLOOKUP($A475,'BC.115+260'!$B$13:$X$489,15,0)/1000</f>
        <v>-1.012</v>
      </c>
      <c r="J475" s="145">
        <f>VLOOKUP($A475,'BC.115+260'!$B$13:$X$489,20,0)/1000</f>
        <v>2.0670000000000002</v>
      </c>
      <c r="K475" s="145">
        <f>VLOOKUP($A475,'BC.115+260'!$B$13:$X$489,21,0)/1000</f>
        <v>-0.93300000000000005</v>
      </c>
      <c r="L475" s="143">
        <f t="shared" si="24"/>
        <v>-637</v>
      </c>
      <c r="M475" s="144">
        <f t="shared" si="25"/>
        <v>-792</v>
      </c>
      <c r="N475" s="143">
        <f t="shared" si="26"/>
        <v>-683</v>
      </c>
      <c r="O475" s="143"/>
    </row>
    <row r="476" spans="1:15">
      <c r="A476" s="81">
        <f>'BC.115+260'!B475</f>
        <v>45713</v>
      </c>
      <c r="B476" s="143">
        <f t="shared" si="27"/>
        <v>462</v>
      </c>
      <c r="C476" s="145">
        <f>'BC.115+260'!M475/1000</f>
        <v>2.9950000000000001</v>
      </c>
      <c r="D476" s="145">
        <f>'BC.115+260'!AA475</f>
        <v>3.9130000000000003</v>
      </c>
      <c r="E476" s="146">
        <f>'BC.115+260'!AB475</f>
        <v>2.42</v>
      </c>
      <c r="F476" s="145">
        <f>VLOOKUP($A476,'BC.115+260'!$B$13:$X$489,8,0)/1000</f>
        <v>2.161</v>
      </c>
      <c r="G476" s="145">
        <f>VLOOKUP($A476,'BC.115+260'!$B$13:$X$489,9,0)/1000</f>
        <v>-0.83899999999999997</v>
      </c>
      <c r="H476" s="145">
        <f>VLOOKUP($A476,'BC.115+260'!$B$13:$X$489,14,0)/1000</f>
        <v>1.9850000000000001</v>
      </c>
      <c r="I476" s="145">
        <f>VLOOKUP($A476,'BC.115+260'!$B$13:$X$489,15,0)/1000</f>
        <v>-1.0149999999999999</v>
      </c>
      <c r="J476" s="145">
        <f>VLOOKUP($A476,'BC.115+260'!$B$13:$X$489,20,0)/1000</f>
        <v>2.06</v>
      </c>
      <c r="K476" s="145">
        <f>VLOOKUP($A476,'BC.115+260'!$B$13:$X$489,21,0)/1000</f>
        <v>-0.94</v>
      </c>
      <c r="L476" s="143">
        <f t="shared" si="24"/>
        <v>-639</v>
      </c>
      <c r="M476" s="144">
        <f t="shared" si="25"/>
        <v>-794.99999999999989</v>
      </c>
      <c r="N476" s="143">
        <f t="shared" si="26"/>
        <v>-690</v>
      </c>
      <c r="O476" s="143"/>
    </row>
    <row r="477" spans="1:15">
      <c r="A477" s="81">
        <f>'BC.115+260'!B476</f>
        <v>45714</v>
      </c>
      <c r="B477" s="143">
        <f t="shared" si="27"/>
        <v>463</v>
      </c>
      <c r="C477" s="145">
        <f>'BC.115+260'!M476/1000</f>
        <v>2.9929999999999999</v>
      </c>
      <c r="D477" s="145">
        <f>'BC.115+260'!AA476</f>
        <v>3.9130000000000003</v>
      </c>
      <c r="E477" s="146">
        <f>'BC.115+260'!AB476</f>
        <v>2.4159999999999999</v>
      </c>
      <c r="F477" s="145">
        <f>VLOOKUP($A477,'BC.115+260'!$B$13:$X$489,8,0)/1000</f>
        <v>2.1589999999999998</v>
      </c>
      <c r="G477" s="145">
        <f>VLOOKUP($A477,'BC.115+260'!$B$13:$X$489,9,0)/1000</f>
        <v>-0.84099999999999997</v>
      </c>
      <c r="H477" s="145">
        <f>VLOOKUP($A477,'BC.115+260'!$B$13:$X$489,14,0)/1000</f>
        <v>1.9830000000000001</v>
      </c>
      <c r="I477" s="145">
        <f>VLOOKUP($A477,'BC.115+260'!$B$13:$X$489,15,0)/1000</f>
        <v>-1.0169999999999999</v>
      </c>
      <c r="J477" s="145">
        <f>VLOOKUP($A477,'BC.115+260'!$B$13:$X$489,20,0)/1000</f>
        <v>2.0550000000000002</v>
      </c>
      <c r="K477" s="145">
        <f>VLOOKUP($A477,'BC.115+260'!$B$13:$X$489,21,0)/1000</f>
        <v>-0.94499999999999995</v>
      </c>
      <c r="L477" s="143">
        <f t="shared" si="24"/>
        <v>-641</v>
      </c>
      <c r="M477" s="144">
        <f t="shared" si="25"/>
        <v>-796.99999999999989</v>
      </c>
      <c r="N477" s="143">
        <f t="shared" si="26"/>
        <v>-695</v>
      </c>
      <c r="O477" s="143"/>
    </row>
    <row r="478" spans="1:15">
      <c r="A478" s="81">
        <f>'BC.115+260'!B477</f>
        <v>45715</v>
      </c>
      <c r="B478" s="143">
        <f t="shared" si="27"/>
        <v>464</v>
      </c>
      <c r="C478" s="145">
        <f>'BC.115+260'!M477/1000</f>
        <v>2.99</v>
      </c>
      <c r="D478" s="145">
        <f>'BC.115+260'!AA477</f>
        <v>3.9130000000000003</v>
      </c>
      <c r="E478" s="146">
        <f>'BC.115+260'!AB477</f>
        <v>2.41</v>
      </c>
      <c r="F478" s="145">
        <f>VLOOKUP($A478,'BC.115+260'!$B$13:$X$489,8,0)/1000</f>
        <v>2.157</v>
      </c>
      <c r="G478" s="145">
        <f>VLOOKUP($A478,'BC.115+260'!$B$13:$X$489,9,0)/1000</f>
        <v>-0.84299999999999997</v>
      </c>
      <c r="H478" s="145">
        <f>VLOOKUP($A478,'BC.115+260'!$B$13:$X$489,14,0)/1000</f>
        <v>1.98</v>
      </c>
      <c r="I478" s="145">
        <f>VLOOKUP($A478,'BC.115+260'!$B$13:$X$489,15,0)/1000</f>
        <v>-1.02</v>
      </c>
      <c r="J478" s="145">
        <f>VLOOKUP($A478,'BC.115+260'!$B$13:$X$489,20,0)/1000</f>
        <v>2.0499999999999998</v>
      </c>
      <c r="K478" s="145">
        <f>VLOOKUP($A478,'BC.115+260'!$B$13:$X$489,21,0)/1000</f>
        <v>-0.95</v>
      </c>
      <c r="L478" s="143">
        <f t="shared" si="24"/>
        <v>-643</v>
      </c>
      <c r="M478" s="144">
        <f t="shared" si="25"/>
        <v>-800</v>
      </c>
      <c r="N478" s="143">
        <f t="shared" si="26"/>
        <v>-700</v>
      </c>
      <c r="O478" s="143"/>
    </row>
    <row r="479" spans="1:15">
      <c r="A479" s="81">
        <f>'BC.115+260'!B478</f>
        <v>45716</v>
      </c>
      <c r="B479" s="143">
        <f t="shared" si="27"/>
        <v>465</v>
      </c>
      <c r="C479" s="145">
        <f>'BC.115+260'!M478/1000</f>
        <v>2.988</v>
      </c>
      <c r="D479" s="145">
        <f>'BC.115+260'!AA478</f>
        <v>3.9130000000000003</v>
      </c>
      <c r="E479" s="146">
        <f>'BC.115+260'!AB478</f>
        <v>2.4060000000000001</v>
      </c>
      <c r="F479" s="145">
        <f>VLOOKUP($A479,'BC.115+260'!$B$13:$X$489,8,0)/1000</f>
        <v>2.1549999999999998</v>
      </c>
      <c r="G479" s="145">
        <f>VLOOKUP($A479,'BC.115+260'!$B$13:$X$489,9,0)/1000</f>
        <v>-0.84499999999999997</v>
      </c>
      <c r="H479" s="145">
        <f>VLOOKUP($A479,'BC.115+260'!$B$13:$X$489,14,0)/1000</f>
        <v>1.978</v>
      </c>
      <c r="I479" s="145">
        <f>VLOOKUP($A479,'BC.115+260'!$B$13:$X$489,15,0)/1000</f>
        <v>-1.022</v>
      </c>
      <c r="J479" s="145">
        <f>VLOOKUP($A479,'BC.115+260'!$B$13:$X$489,20,0)/1000</f>
        <v>2.0459999999999998</v>
      </c>
      <c r="K479" s="145">
        <f>VLOOKUP($A479,'BC.115+260'!$B$13:$X$489,21,0)/1000</f>
        <v>-0.95399999999999996</v>
      </c>
      <c r="L479" s="143">
        <f t="shared" si="24"/>
        <v>-645</v>
      </c>
      <c r="M479" s="144">
        <f t="shared" si="25"/>
        <v>-802</v>
      </c>
      <c r="N479" s="143">
        <f t="shared" si="26"/>
        <v>-704</v>
      </c>
      <c r="O479" s="143"/>
    </row>
    <row r="480" spans="1:15">
      <c r="A480" s="81">
        <f>'BC.115+260'!B479</f>
        <v>45717</v>
      </c>
      <c r="B480" s="143">
        <f t="shared" si="27"/>
        <v>466</v>
      </c>
      <c r="C480" s="145">
        <f>'BC.115+260'!M479/1000</f>
        <v>2.9870000000000001</v>
      </c>
      <c r="D480" s="145">
        <f>'BC.115+260'!AA479</f>
        <v>3.9130000000000003</v>
      </c>
      <c r="E480" s="146">
        <f>'BC.115+260'!AB479</f>
        <v>2.4039999999999999</v>
      </c>
      <c r="F480" s="145">
        <f>VLOOKUP($A480,'BC.115+260'!$B$13:$X$489,8,0)/1000</f>
        <v>2.1520000000000001</v>
      </c>
      <c r="G480" s="145">
        <f>VLOOKUP($A480,'BC.115+260'!$B$13:$X$489,9,0)/1000</f>
        <v>-0.84799999999999998</v>
      </c>
      <c r="H480" s="145">
        <f>VLOOKUP($A480,'BC.115+260'!$B$13:$X$489,14,0)/1000</f>
        <v>1.9770000000000001</v>
      </c>
      <c r="I480" s="145">
        <f>VLOOKUP($A480,'BC.115+260'!$B$13:$X$489,15,0)/1000</f>
        <v>-1.0229999999999999</v>
      </c>
      <c r="J480" s="145">
        <f>VLOOKUP($A480,'BC.115+260'!$B$13:$X$489,20,0)/1000</f>
        <v>2.0430000000000001</v>
      </c>
      <c r="K480" s="145">
        <f>VLOOKUP($A480,'BC.115+260'!$B$13:$X$489,21,0)/1000</f>
        <v>-0.95699999999999996</v>
      </c>
      <c r="L480" s="143">
        <f t="shared" si="24"/>
        <v>-647.99999999999989</v>
      </c>
      <c r="M480" s="144">
        <f t="shared" si="25"/>
        <v>-802.99999999999989</v>
      </c>
      <c r="N480" s="143">
        <f t="shared" si="26"/>
        <v>-707</v>
      </c>
      <c r="O480" s="143"/>
    </row>
    <row r="481" spans="1:15">
      <c r="A481" s="81">
        <f>'BC.115+260'!B480</f>
        <v>45718</v>
      </c>
      <c r="B481" s="143">
        <f t="shared" si="27"/>
        <v>467</v>
      </c>
      <c r="C481" s="145">
        <f>'BC.115+260'!M480/1000</f>
        <v>2.9849999999999999</v>
      </c>
      <c r="D481" s="145">
        <f>'BC.115+260'!AA480</f>
        <v>3.9130000000000003</v>
      </c>
      <c r="E481" s="146">
        <f>'BC.115+260'!AB480</f>
        <v>2.4</v>
      </c>
      <c r="F481" s="145">
        <f>VLOOKUP($A481,'BC.115+260'!$B$13:$X$489,8,0)/1000</f>
        <v>2.15</v>
      </c>
      <c r="G481" s="145">
        <f>VLOOKUP($A481,'BC.115+260'!$B$13:$X$489,9,0)/1000</f>
        <v>-0.85</v>
      </c>
      <c r="H481" s="145">
        <f>VLOOKUP($A481,'BC.115+260'!$B$13:$X$489,14,0)/1000</f>
        <v>1.9750000000000001</v>
      </c>
      <c r="I481" s="145">
        <f>VLOOKUP($A481,'BC.115+260'!$B$13:$X$489,15,0)/1000</f>
        <v>-1.0249999999999999</v>
      </c>
      <c r="J481" s="145">
        <f>VLOOKUP($A481,'BC.115+260'!$B$13:$X$489,20,0)/1000</f>
        <v>2.0409999999999999</v>
      </c>
      <c r="K481" s="145">
        <f>VLOOKUP($A481,'BC.115+260'!$B$13:$X$489,21,0)/1000</f>
        <v>-0.95899999999999996</v>
      </c>
      <c r="L481" s="143">
        <f t="shared" si="24"/>
        <v>-649.99999999999989</v>
      </c>
      <c r="M481" s="144">
        <f t="shared" si="25"/>
        <v>-804.99999999999989</v>
      </c>
      <c r="N481" s="143">
        <f t="shared" si="26"/>
        <v>-709</v>
      </c>
      <c r="O481" s="143"/>
    </row>
    <row r="482" spans="1:15">
      <c r="A482" s="81">
        <f>'BC.115+260'!B481</f>
        <v>45719</v>
      </c>
      <c r="B482" s="143">
        <f t="shared" si="27"/>
        <v>468</v>
      </c>
      <c r="C482" s="145">
        <f>'BC.115+260'!M481/1000</f>
        <v>2.9830000000000001</v>
      </c>
      <c r="D482" s="145">
        <f>'BC.115+260'!AA481</f>
        <v>3.9130000000000003</v>
      </c>
      <c r="E482" s="146">
        <f>'BC.115+260'!AB481</f>
        <v>2.3959999999999999</v>
      </c>
      <c r="F482" s="145">
        <f>VLOOKUP($A482,'BC.115+260'!$B$13:$X$489,8,0)/1000</f>
        <v>2.1469999999999998</v>
      </c>
      <c r="G482" s="145">
        <f>VLOOKUP($A482,'BC.115+260'!$B$13:$X$489,9,0)/1000</f>
        <v>-0.85299999999999998</v>
      </c>
      <c r="H482" s="145">
        <f>VLOOKUP($A482,'BC.115+260'!$B$13:$X$489,14,0)/1000</f>
        <v>1.9730000000000001</v>
      </c>
      <c r="I482" s="145">
        <f>VLOOKUP($A482,'BC.115+260'!$B$13:$X$489,15,0)/1000</f>
        <v>-1.0269999999999999</v>
      </c>
      <c r="J482" s="145">
        <f>VLOOKUP($A482,'BC.115+260'!$B$13:$X$489,20,0)/1000</f>
        <v>2.0369999999999999</v>
      </c>
      <c r="K482" s="145">
        <f>VLOOKUP($A482,'BC.115+260'!$B$13:$X$489,21,0)/1000</f>
        <v>-0.96299999999999997</v>
      </c>
      <c r="L482" s="143">
        <f t="shared" si="24"/>
        <v>-653</v>
      </c>
      <c r="M482" s="144">
        <f t="shared" si="25"/>
        <v>-806.99999999999989</v>
      </c>
      <c r="N482" s="143">
        <f t="shared" si="26"/>
        <v>-713</v>
      </c>
      <c r="O482" s="143"/>
    </row>
    <row r="483" spans="1:15">
      <c r="A483" s="81">
        <f>'BC.115+260'!B482</f>
        <v>45720</v>
      </c>
      <c r="B483" s="143">
        <f t="shared" si="27"/>
        <v>469</v>
      </c>
      <c r="C483" s="145">
        <f>'BC.115+260'!M482/1000</f>
        <v>2.9809999999999999</v>
      </c>
      <c r="D483" s="145">
        <f>'BC.115+260'!AA482</f>
        <v>3.9130000000000003</v>
      </c>
      <c r="E483" s="146">
        <f>'BC.115+260'!AB482</f>
        <v>2.3919999999999999</v>
      </c>
      <c r="F483" s="145">
        <f>VLOOKUP($A483,'BC.115+260'!$B$13:$X$489,8,0)/1000</f>
        <v>2.145</v>
      </c>
      <c r="G483" s="145">
        <f>VLOOKUP($A483,'BC.115+260'!$B$13:$X$489,9,0)/1000</f>
        <v>-0.85499999999999998</v>
      </c>
      <c r="H483" s="145">
        <f>VLOOKUP($A483,'BC.115+260'!$B$13:$X$489,14,0)/1000</f>
        <v>1.9710000000000001</v>
      </c>
      <c r="I483" s="145">
        <f>VLOOKUP($A483,'BC.115+260'!$B$13:$X$489,15,0)/1000</f>
        <v>-1.0289999999999999</v>
      </c>
      <c r="J483" s="145">
        <f>VLOOKUP($A483,'BC.115+260'!$B$13:$X$489,20,0)/1000</f>
        <v>2.0339999999999998</v>
      </c>
      <c r="K483" s="145">
        <f>VLOOKUP($A483,'BC.115+260'!$B$13:$X$489,21,0)/1000</f>
        <v>-0.96599999999999997</v>
      </c>
      <c r="L483" s="143">
        <f t="shared" si="24"/>
        <v>-655</v>
      </c>
      <c r="M483" s="144">
        <f t="shared" si="25"/>
        <v>-808.99999999999989</v>
      </c>
      <c r="N483" s="143">
        <f t="shared" si="26"/>
        <v>-716</v>
      </c>
      <c r="O483" s="143"/>
    </row>
    <row r="484" spans="1:15">
      <c r="A484" s="81">
        <f>'BC.115+260'!B483</f>
        <v>45721</v>
      </c>
      <c r="B484" s="143">
        <f t="shared" si="27"/>
        <v>470</v>
      </c>
      <c r="C484" s="145">
        <f>'BC.115+260'!M483/1000</f>
        <v>2.976</v>
      </c>
      <c r="D484" s="145">
        <f>'BC.115+260'!AA483</f>
        <v>3.9130000000000003</v>
      </c>
      <c r="E484" s="146">
        <f>'BC.115+260'!AB483</f>
        <v>2.3820000000000001</v>
      </c>
      <c r="F484" s="145">
        <f>VLOOKUP($A484,'BC.115+260'!$B$13:$X$489,8,0)/1000</f>
        <v>2.1440000000000001</v>
      </c>
      <c r="G484" s="145">
        <f>VLOOKUP($A484,'BC.115+260'!$B$13:$X$489,9,0)/1000</f>
        <v>-0.85599999999999998</v>
      </c>
      <c r="H484" s="145">
        <f>VLOOKUP($A484,'BC.115+260'!$B$13:$X$489,14,0)/1000</f>
        <v>1.966</v>
      </c>
      <c r="I484" s="145">
        <f>VLOOKUP($A484,'BC.115+260'!$B$13:$X$489,15,0)/1000</f>
        <v>-1.034</v>
      </c>
      <c r="J484" s="145">
        <f>VLOOKUP($A484,'BC.115+260'!$B$13:$X$489,20,0)/1000</f>
        <v>2.0270000000000001</v>
      </c>
      <c r="K484" s="145">
        <f>VLOOKUP($A484,'BC.115+260'!$B$13:$X$489,21,0)/1000</f>
        <v>-0.97299999999999998</v>
      </c>
      <c r="L484" s="143">
        <f t="shared" si="24"/>
        <v>-655.99999999999989</v>
      </c>
      <c r="M484" s="144">
        <f t="shared" si="25"/>
        <v>-814</v>
      </c>
      <c r="N484" s="143">
        <f t="shared" si="26"/>
        <v>-723</v>
      </c>
      <c r="O484" s="143"/>
    </row>
    <row r="485" spans="1:15">
      <c r="A485" s="81">
        <f>'BC.115+260'!B484</f>
        <v>45722</v>
      </c>
      <c r="B485" s="143">
        <f t="shared" si="27"/>
        <v>471</v>
      </c>
      <c r="C485" s="145">
        <f>'BC.115+260'!M484/1000</f>
        <v>2.9710000000000001</v>
      </c>
      <c r="D485" s="145">
        <f>'BC.115+260'!AA484</f>
        <v>3.9130000000000003</v>
      </c>
      <c r="E485" s="146">
        <f>'BC.115+260'!AB484</f>
        <v>2.3719999999999999</v>
      </c>
      <c r="F485" s="145">
        <f>VLOOKUP($A485,'BC.115+260'!$B$13:$X$489,8,0)/1000</f>
        <v>2.1419999999999999</v>
      </c>
      <c r="G485" s="145">
        <f>VLOOKUP($A485,'BC.115+260'!$B$13:$X$489,9,0)/1000</f>
        <v>-0.85799999999999998</v>
      </c>
      <c r="H485" s="145">
        <f>VLOOKUP($A485,'BC.115+260'!$B$13:$X$489,14,0)/1000</f>
        <v>1.9610000000000001</v>
      </c>
      <c r="I485" s="145">
        <f>VLOOKUP($A485,'BC.115+260'!$B$13:$X$489,15,0)/1000</f>
        <v>-1.0389999999999999</v>
      </c>
      <c r="J485" s="145">
        <f>VLOOKUP($A485,'BC.115+260'!$B$13:$X$489,20,0)/1000</f>
        <v>2.0219999999999998</v>
      </c>
      <c r="K485" s="145">
        <f>VLOOKUP($A485,'BC.115+260'!$B$13:$X$489,21,0)/1000</f>
        <v>-0.97799999999999998</v>
      </c>
      <c r="L485" s="143">
        <f t="shared" si="24"/>
        <v>-657.99999999999989</v>
      </c>
      <c r="M485" s="144">
        <f t="shared" si="25"/>
        <v>-819</v>
      </c>
      <c r="N485" s="143">
        <f t="shared" si="26"/>
        <v>-728</v>
      </c>
      <c r="O485" s="143"/>
    </row>
    <row r="486" spans="1:15">
      <c r="A486" s="81">
        <f>'BC.115+260'!B485</f>
        <v>45723</v>
      </c>
      <c r="B486" s="143">
        <f t="shared" si="27"/>
        <v>472</v>
      </c>
      <c r="C486" s="145">
        <f>'BC.115+260'!M485/1000</f>
        <v>2.9670000000000001</v>
      </c>
      <c r="D486" s="145">
        <f>'BC.115+260'!AA485</f>
        <v>3.9130000000000003</v>
      </c>
      <c r="E486" s="146">
        <f>'BC.115+260'!AB485</f>
        <v>2.3639999999999999</v>
      </c>
      <c r="F486" s="145">
        <f>VLOOKUP($A486,'BC.115+260'!$B$13:$X$489,8,0)/1000</f>
        <v>2.14</v>
      </c>
      <c r="G486" s="145">
        <f>VLOOKUP($A486,'BC.115+260'!$B$13:$X$489,9,0)/1000</f>
        <v>-0.86</v>
      </c>
      <c r="H486" s="145">
        <f>VLOOKUP($A486,'BC.115+260'!$B$13:$X$489,14,0)/1000</f>
        <v>1.9570000000000001</v>
      </c>
      <c r="I486" s="145">
        <f>VLOOKUP($A486,'BC.115+260'!$B$13:$X$489,15,0)/1000</f>
        <v>-1.0429999999999999</v>
      </c>
      <c r="J486" s="145">
        <f>VLOOKUP($A486,'BC.115+260'!$B$13:$X$489,20,0)/1000</f>
        <v>2.0169999999999999</v>
      </c>
      <c r="K486" s="145">
        <f>VLOOKUP($A486,'BC.115+260'!$B$13:$X$489,21,0)/1000</f>
        <v>-0.98299999999999998</v>
      </c>
      <c r="L486" s="143">
        <f t="shared" si="24"/>
        <v>-659.99999999999989</v>
      </c>
      <c r="M486" s="144">
        <f t="shared" si="25"/>
        <v>-823</v>
      </c>
      <c r="N486" s="143">
        <f t="shared" si="26"/>
        <v>-733</v>
      </c>
      <c r="O486" s="143"/>
    </row>
    <row r="487" spans="1:15">
      <c r="A487" s="81">
        <f>'BC.115+260'!B486</f>
        <v>45724</v>
      </c>
      <c r="B487" s="143">
        <f t="shared" si="27"/>
        <v>473</v>
      </c>
      <c r="C487" s="145">
        <f>'BC.115+260'!M486/1000</f>
        <v>2.964</v>
      </c>
      <c r="D487" s="145">
        <f>'BC.115+260'!AA486</f>
        <v>3.9130000000000003</v>
      </c>
      <c r="E487" s="146">
        <f>'BC.115+260'!AB486</f>
        <v>2.3580000000000001</v>
      </c>
      <c r="F487" s="145">
        <f>VLOOKUP($A487,'BC.115+260'!$B$13:$X$489,8,0)/1000</f>
        <v>2.1379999999999999</v>
      </c>
      <c r="G487" s="145">
        <f>VLOOKUP($A487,'BC.115+260'!$B$13:$X$489,9,0)/1000</f>
        <v>-0.86199999999999999</v>
      </c>
      <c r="H487" s="145">
        <f>VLOOKUP($A487,'BC.115+260'!$B$13:$X$489,14,0)/1000</f>
        <v>1.954</v>
      </c>
      <c r="I487" s="145">
        <f>VLOOKUP($A487,'BC.115+260'!$B$13:$X$489,15,0)/1000</f>
        <v>-1.046</v>
      </c>
      <c r="J487" s="145">
        <f>VLOOKUP($A487,'BC.115+260'!$B$13:$X$489,20,0)/1000</f>
        <v>2.0129999999999999</v>
      </c>
      <c r="K487" s="145">
        <f>VLOOKUP($A487,'BC.115+260'!$B$13:$X$489,21,0)/1000</f>
        <v>-0.98699999999999999</v>
      </c>
      <c r="L487" s="143">
        <f t="shared" si="24"/>
        <v>-661.99999999999989</v>
      </c>
      <c r="M487" s="144">
        <f t="shared" si="25"/>
        <v>-826.00000000000011</v>
      </c>
      <c r="N487" s="143">
        <f t="shared" si="26"/>
        <v>-737</v>
      </c>
      <c r="O487" s="143"/>
    </row>
    <row r="488" spans="1:15">
      <c r="A488" s="81">
        <f>'BC.115+260'!B487</f>
        <v>45725</v>
      </c>
      <c r="B488" s="143">
        <f t="shared" si="27"/>
        <v>474</v>
      </c>
      <c r="C488" s="145">
        <f>'BC.115+260'!M487/1000</f>
        <v>2.9620000000000002</v>
      </c>
      <c r="D488" s="145">
        <f>'BC.115+260'!AA487</f>
        <v>3.9130000000000003</v>
      </c>
      <c r="E488" s="146">
        <f>'BC.115+260'!AB487</f>
        <v>2.3540000000000001</v>
      </c>
      <c r="F488" s="145">
        <f>VLOOKUP($A488,'BC.115+260'!$B$13:$X$489,8,0)/1000</f>
        <v>2.1349999999999998</v>
      </c>
      <c r="G488" s="145">
        <f>VLOOKUP($A488,'BC.115+260'!$B$13:$X$489,9,0)/1000</f>
        <v>-0.86499999999999999</v>
      </c>
      <c r="H488" s="145">
        <f>VLOOKUP($A488,'BC.115+260'!$B$13:$X$489,14,0)/1000</f>
        <v>1.952</v>
      </c>
      <c r="I488" s="145">
        <f>VLOOKUP($A488,'BC.115+260'!$B$13:$X$489,15,0)/1000</f>
        <v>-1.048</v>
      </c>
      <c r="J488" s="145">
        <f>VLOOKUP($A488,'BC.115+260'!$B$13:$X$489,20,0)/1000</f>
        <v>2.0099999999999998</v>
      </c>
      <c r="K488" s="145">
        <f>VLOOKUP($A488,'BC.115+260'!$B$13:$X$489,21,0)/1000</f>
        <v>-0.99</v>
      </c>
      <c r="L488" s="143">
        <f t="shared" si="24"/>
        <v>-665</v>
      </c>
      <c r="M488" s="144">
        <f t="shared" si="25"/>
        <v>-828.00000000000011</v>
      </c>
      <c r="N488" s="143">
        <f t="shared" si="26"/>
        <v>-740</v>
      </c>
      <c r="O488" s="143"/>
    </row>
    <row r="489" spans="1:15">
      <c r="A489" s="81">
        <f>'BC.115+260'!B488</f>
        <v>45726</v>
      </c>
      <c r="B489" s="143">
        <f t="shared" si="27"/>
        <v>475</v>
      </c>
      <c r="C489" s="145">
        <f>'BC.115+260'!M488/1000</f>
        <v>2.9580000000000002</v>
      </c>
      <c r="D489" s="145">
        <f>'BC.115+260'!AA488</f>
        <v>3.9130000000000003</v>
      </c>
      <c r="E489" s="146">
        <f>'BC.115+260'!AB488</f>
        <v>2.3460000000000001</v>
      </c>
      <c r="F489" s="145">
        <f>VLOOKUP($A489,'BC.115+260'!$B$13:$X$489,8,0)/1000</f>
        <v>2.133</v>
      </c>
      <c r="G489" s="145">
        <f>VLOOKUP($A489,'BC.115+260'!$B$13:$X$489,9,0)/1000</f>
        <v>-0.86699999999999999</v>
      </c>
      <c r="H489" s="145">
        <f>VLOOKUP($A489,'BC.115+260'!$B$13:$X$489,14,0)/1000</f>
        <v>1.948</v>
      </c>
      <c r="I489" s="145">
        <f>VLOOKUP($A489,'BC.115+260'!$B$13:$X$489,15,0)/1000</f>
        <v>-1.052</v>
      </c>
      <c r="J489" s="145">
        <f>VLOOKUP($A489,'BC.115+260'!$B$13:$X$489,20,0)/1000</f>
        <v>2.0059999999999998</v>
      </c>
      <c r="K489" s="145">
        <f>VLOOKUP($A489,'BC.115+260'!$B$13:$X$489,21,0)/1000</f>
        <v>-0.99399999999999999</v>
      </c>
      <c r="L489" s="143">
        <f t="shared" si="24"/>
        <v>-667</v>
      </c>
      <c r="M489" s="144">
        <f t="shared" si="25"/>
        <v>-832.00000000000011</v>
      </c>
      <c r="N489" s="143">
        <f t="shared" si="26"/>
        <v>-744</v>
      </c>
      <c r="O489" s="143"/>
    </row>
    <row r="490" spans="1:15">
      <c r="A490" s="81">
        <f>'BC.115+260'!B489</f>
        <v>45727</v>
      </c>
      <c r="B490" s="143">
        <f t="shared" si="27"/>
        <v>476</v>
      </c>
      <c r="C490" s="145">
        <f>'BC.115+260'!M489/1000</f>
        <v>2.9550000000000001</v>
      </c>
      <c r="D490" s="145">
        <f>'BC.115+260'!AA489</f>
        <v>3.9130000000000003</v>
      </c>
      <c r="E490" s="146">
        <f>'BC.115+260'!AB489</f>
        <v>2.34</v>
      </c>
      <c r="F490" s="145">
        <f>VLOOKUP($A490,'BC.115+260'!$B$13:$X$4809,8,0)/1000</f>
        <v>2.13</v>
      </c>
      <c r="G490" s="145">
        <f>VLOOKUP($A490,'BC.115+260'!$B$13:$X$4809,9,0)/1000</f>
        <v>-0.87</v>
      </c>
      <c r="H490" s="145">
        <f>VLOOKUP($A490,'BC.115+260'!$B$13:$X$4089,14,0)/1000</f>
        <v>1.9450000000000001</v>
      </c>
      <c r="I490" s="145">
        <f>VLOOKUP($A490,'BC.115+260'!$B$13:$X$4089,15,0)/1000</f>
        <v>-1.0549999999999999</v>
      </c>
      <c r="J490" s="145">
        <f>VLOOKUP($A490,'BC.115+260'!$B$13:$X$4089,20,0)/1000</f>
        <v>1.9990000000000001</v>
      </c>
      <c r="K490" s="145">
        <f>VLOOKUP($A490,'BC.115+260'!$B$13:$X$4089,21,0)/1000</f>
        <v>-1.0009999999999999</v>
      </c>
      <c r="L490" s="143">
        <f t="shared" si="24"/>
        <v>-669.99999999999989</v>
      </c>
      <c r="M490" s="144">
        <f t="shared" si="25"/>
        <v>-835</v>
      </c>
      <c r="N490" s="143">
        <f t="shared" si="26"/>
        <v>-750.99999999999989</v>
      </c>
      <c r="O490" s="143"/>
    </row>
    <row r="491" spans="1:15">
      <c r="A491" s="81">
        <f>'BC.115+260'!B490</f>
        <v>45728</v>
      </c>
      <c r="B491" s="143">
        <f t="shared" si="27"/>
        <v>477</v>
      </c>
      <c r="C491" s="145">
        <f>'BC.115+260'!M490/1000</f>
        <v>2.948</v>
      </c>
      <c r="D491" s="145">
        <f>'BC.115+260'!AA490</f>
        <v>3.9130000000000003</v>
      </c>
      <c r="E491" s="146">
        <f>'BC.115+260'!AB490</f>
        <v>2.3260000000000001</v>
      </c>
      <c r="F491" s="145">
        <f>VLOOKUP($A491,'BC.115+260'!$B$13:$X$4809,8,0)/1000</f>
        <v>2.1280000000000001</v>
      </c>
      <c r="G491" s="145">
        <f>VLOOKUP($A491,'BC.115+260'!$B$13:$X$4809,9,0)/1000</f>
        <v>-0.872</v>
      </c>
      <c r="H491" s="145">
        <f>VLOOKUP($A491,'BC.115+260'!$B$13:$X$4089,14,0)/1000</f>
        <v>1.9379999999999999</v>
      </c>
      <c r="I491" s="145">
        <f>VLOOKUP($A491,'BC.115+260'!$B$13:$X$4089,15,0)/1000</f>
        <v>-1.0620000000000001</v>
      </c>
      <c r="J491" s="145">
        <f>VLOOKUP($A491,'BC.115+260'!$B$13:$X$4089,20,0)/1000</f>
        <v>1.994</v>
      </c>
      <c r="K491" s="145">
        <f>VLOOKUP($A491,'BC.115+260'!$B$13:$X$4089,21,0)/1000</f>
        <v>-1.006</v>
      </c>
      <c r="L491" s="143">
        <f t="shared" si="24"/>
        <v>-671.99999999999989</v>
      </c>
      <c r="M491" s="144">
        <f t="shared" si="25"/>
        <v>-842.00000000000011</v>
      </c>
      <c r="N491" s="143">
        <f t="shared" si="26"/>
        <v>-756</v>
      </c>
      <c r="O491" s="143"/>
    </row>
    <row r="492" spans="1:15">
      <c r="A492" s="81">
        <f>'BC.115+260'!B491</f>
        <v>45729</v>
      </c>
      <c r="B492" s="143">
        <f t="shared" si="27"/>
        <v>478</v>
      </c>
      <c r="C492" s="145">
        <f>'BC.115+260'!M491/1000</f>
        <v>2.9430000000000001</v>
      </c>
      <c r="D492" s="145">
        <f>'BC.115+260'!AA491</f>
        <v>3.9130000000000003</v>
      </c>
      <c r="E492" s="146">
        <f>'BC.115+260'!AB491</f>
        <v>2.3159999999999998</v>
      </c>
      <c r="F492" s="145">
        <f>VLOOKUP($A492,'BC.115+260'!$B$13:$X$4809,8,0)/1000</f>
        <v>2.1259999999999999</v>
      </c>
      <c r="G492" s="145">
        <f>VLOOKUP($A492,'BC.115+260'!$B$13:$X$4809,9,0)/1000</f>
        <v>-0.874</v>
      </c>
      <c r="H492" s="145">
        <f>VLOOKUP($A492,'BC.115+260'!$B$13:$X$4089,14,0)/1000</f>
        <v>1.9330000000000001</v>
      </c>
      <c r="I492" s="145">
        <f>VLOOKUP($A492,'BC.115+260'!$B$13:$X$4089,15,0)/1000</f>
        <v>-1.0669999999999999</v>
      </c>
      <c r="J492" s="145">
        <f>VLOOKUP($A492,'BC.115+260'!$B$13:$X$4089,20,0)/1000</f>
        <v>1.9890000000000001</v>
      </c>
      <c r="K492" s="145">
        <f>VLOOKUP($A492,'BC.115+260'!$B$13:$X$4089,21,0)/1000</f>
        <v>-1.0109999999999999</v>
      </c>
      <c r="L492" s="143">
        <f t="shared" si="24"/>
        <v>-673.99999999999989</v>
      </c>
      <c r="M492" s="144">
        <f t="shared" si="25"/>
        <v>-847</v>
      </c>
      <c r="N492" s="143">
        <f t="shared" si="26"/>
        <v>-760.99999999999989</v>
      </c>
      <c r="O492" s="143"/>
    </row>
    <row r="493" spans="1:15">
      <c r="A493" s="81">
        <f>'BC.115+260'!B492</f>
        <v>45730</v>
      </c>
      <c r="B493" s="143">
        <f t="shared" si="27"/>
        <v>479</v>
      </c>
      <c r="C493" s="145">
        <f>'BC.115+260'!M492/1000</f>
        <v>2.9350000000000001</v>
      </c>
      <c r="D493" s="145">
        <f>'BC.115+260'!AA492</f>
        <v>3.9130000000000003</v>
      </c>
      <c r="E493" s="146">
        <f>'BC.115+260'!AB492</f>
        <v>2.2999999999999998</v>
      </c>
      <c r="F493" s="145">
        <f>VLOOKUP($A493,'BC.115+260'!$B$13:$X$4809,8,0)/1000</f>
        <v>2.1240000000000001</v>
      </c>
      <c r="G493" s="145">
        <f>VLOOKUP($A493,'BC.115+260'!$B$13:$X$4809,9,0)/1000</f>
        <v>-0.876</v>
      </c>
      <c r="H493" s="145">
        <f>VLOOKUP($A493,'BC.115+260'!$B$13:$X$4089,14,0)/1000</f>
        <v>1.925</v>
      </c>
      <c r="I493" s="145">
        <f>VLOOKUP($A493,'BC.115+260'!$B$13:$X$4089,15,0)/1000</f>
        <v>-1.075</v>
      </c>
      <c r="J493" s="145">
        <f>VLOOKUP($A493,'BC.115+260'!$B$13:$X$4089,20,0)/1000</f>
        <v>1.986</v>
      </c>
      <c r="K493" s="145">
        <f>VLOOKUP($A493,'BC.115+260'!$B$13:$X$4089,21,0)/1000</f>
        <v>-1.014</v>
      </c>
      <c r="L493" s="143">
        <f t="shared" si="24"/>
        <v>-675.99999999999989</v>
      </c>
      <c r="M493" s="144">
        <f t="shared" si="25"/>
        <v>-855</v>
      </c>
      <c r="N493" s="143">
        <f t="shared" si="26"/>
        <v>-764</v>
      </c>
      <c r="O493" s="143"/>
    </row>
    <row r="494" spans="1:15">
      <c r="A494" s="81">
        <f>'BC.115+260'!B493</f>
        <v>45731</v>
      </c>
      <c r="B494" s="143">
        <f t="shared" si="27"/>
        <v>480</v>
      </c>
      <c r="C494" s="145">
        <f>'BC.115+260'!M493/1000</f>
        <v>2.9260000000000002</v>
      </c>
      <c r="D494" s="145">
        <f>'BC.115+260'!AA493</f>
        <v>3.9130000000000003</v>
      </c>
      <c r="E494" s="146">
        <f>'BC.115+260'!AB493</f>
        <v>2.282</v>
      </c>
      <c r="F494" s="145">
        <f>VLOOKUP($A494,'BC.115+260'!$B$13:$X$4809,8,0)/1000</f>
        <v>2.1219999999999999</v>
      </c>
      <c r="G494" s="145">
        <f>VLOOKUP($A494,'BC.115+260'!$B$13:$X$4809,9,0)/1000</f>
        <v>-0.878</v>
      </c>
      <c r="H494" s="145">
        <f>VLOOKUP($A494,'BC.115+260'!$B$13:$X$4089,14,0)/1000</f>
        <v>1.9159999999999999</v>
      </c>
      <c r="I494" s="145">
        <f>VLOOKUP($A494,'BC.115+260'!$B$13:$X$4089,15,0)/1000</f>
        <v>-1.0840000000000001</v>
      </c>
      <c r="J494" s="145">
        <f>VLOOKUP($A494,'BC.115+260'!$B$13:$X$4089,20,0)/1000</f>
        <v>1.984</v>
      </c>
      <c r="K494" s="145">
        <f>VLOOKUP($A494,'BC.115+260'!$B$13:$X$4089,21,0)/1000</f>
        <v>-1.016</v>
      </c>
      <c r="L494" s="143">
        <f t="shared" si="24"/>
        <v>-677.99999999999989</v>
      </c>
      <c r="M494" s="144">
        <f t="shared" si="25"/>
        <v>-864.00000000000011</v>
      </c>
      <c r="N494" s="143">
        <f t="shared" si="26"/>
        <v>-766</v>
      </c>
      <c r="O494" s="143"/>
    </row>
    <row r="495" spans="1:15">
      <c r="A495" s="81">
        <f>'BC.115+260'!B494</f>
        <v>45732</v>
      </c>
      <c r="B495" s="143">
        <f t="shared" si="27"/>
        <v>481</v>
      </c>
      <c r="C495" s="145">
        <f>'BC.115+260'!M494/1000</f>
        <v>2.92</v>
      </c>
      <c r="D495" s="145">
        <f>'BC.115+260'!AA494</f>
        <v>3.9130000000000003</v>
      </c>
      <c r="E495" s="146">
        <f>'BC.115+260'!AB494</f>
        <v>2.27</v>
      </c>
      <c r="F495" s="145">
        <f>VLOOKUP($A495,'BC.115+260'!$B$13:$X$4809,8,0)/1000</f>
        <v>2.1190000000000002</v>
      </c>
      <c r="G495" s="145">
        <f>VLOOKUP($A495,'BC.115+260'!$B$13:$X$4809,9,0)/1000</f>
        <v>-0.88100000000000001</v>
      </c>
      <c r="H495" s="145">
        <f>VLOOKUP($A495,'BC.115+260'!$B$13:$X$4089,14,0)/1000</f>
        <v>1.91</v>
      </c>
      <c r="I495" s="145">
        <f>VLOOKUP($A495,'BC.115+260'!$B$13:$X$4089,15,0)/1000</f>
        <v>-1.0900000000000001</v>
      </c>
      <c r="J495" s="145">
        <f>VLOOKUP($A495,'BC.115+260'!$B$13:$X$4089,20,0)/1000</f>
        <v>1.98</v>
      </c>
      <c r="K495" s="145">
        <f>VLOOKUP($A495,'BC.115+260'!$B$13:$X$4089,21,0)/1000</f>
        <v>-1.02</v>
      </c>
      <c r="L495" s="143">
        <f t="shared" si="24"/>
        <v>-681</v>
      </c>
      <c r="M495" s="144">
        <f t="shared" si="25"/>
        <v>-870.00000000000011</v>
      </c>
      <c r="N495" s="143">
        <f t="shared" si="26"/>
        <v>-770</v>
      </c>
      <c r="O495" s="143"/>
    </row>
    <row r="496" spans="1:15">
      <c r="A496" s="81">
        <f>'BC.115+260'!B495</f>
        <v>45733</v>
      </c>
      <c r="B496" s="143">
        <f t="shared" si="27"/>
        <v>482</v>
      </c>
      <c r="C496" s="145">
        <f>'BC.115+260'!M495/1000</f>
        <v>2.9159999999999999</v>
      </c>
      <c r="D496" s="145">
        <f>'BC.115+260'!AA495</f>
        <v>3.9130000000000003</v>
      </c>
      <c r="E496" s="146">
        <f>'BC.115+260'!AB495</f>
        <v>2.262</v>
      </c>
      <c r="F496" s="145">
        <f>VLOOKUP($A496,'BC.115+260'!$B$13:$X$4809,8,0)/1000</f>
        <v>2.117</v>
      </c>
      <c r="G496" s="145">
        <f>VLOOKUP($A496,'BC.115+260'!$B$13:$X$4809,9,0)/1000</f>
        <v>-0.88300000000000001</v>
      </c>
      <c r="H496" s="145">
        <f>VLOOKUP($A496,'BC.115+260'!$B$13:$X$4089,14,0)/1000</f>
        <v>1.9059999999999999</v>
      </c>
      <c r="I496" s="145">
        <f>VLOOKUP($A496,'BC.115+260'!$B$13:$X$4089,15,0)/1000</f>
        <v>-1.0940000000000001</v>
      </c>
      <c r="J496" s="145">
        <f>VLOOKUP($A496,'BC.115+260'!$B$13:$X$4089,20,0)/1000</f>
        <v>1.9750000000000001</v>
      </c>
      <c r="K496" s="145">
        <f>VLOOKUP($A496,'BC.115+260'!$B$13:$X$4089,21,0)/1000</f>
        <v>-1.0249999999999999</v>
      </c>
      <c r="L496" s="143">
        <f t="shared" si="24"/>
        <v>-683</v>
      </c>
      <c r="M496" s="144">
        <f t="shared" si="25"/>
        <v>-874.00000000000011</v>
      </c>
      <c r="N496" s="143">
        <f t="shared" si="26"/>
        <v>-774.99999999999989</v>
      </c>
      <c r="O496" s="143"/>
    </row>
    <row r="497" spans="1:15">
      <c r="A497" s="81">
        <f>'BC.115+260'!B496</f>
        <v>45734</v>
      </c>
      <c r="B497" s="143">
        <f t="shared" si="27"/>
        <v>483</v>
      </c>
      <c r="C497" s="145">
        <f>'BC.115+260'!M496/1000</f>
        <v>2.9129999999999998</v>
      </c>
      <c r="D497" s="145">
        <f>'BC.115+260'!AA496</f>
        <v>3.9130000000000003</v>
      </c>
      <c r="E497" s="146">
        <f>'BC.115+260'!AB496</f>
        <v>2.2559999999999998</v>
      </c>
      <c r="F497" s="145">
        <f>VLOOKUP($A497,'BC.115+260'!$B$13:$X$4809,8,0)/1000</f>
        <v>2.1139999999999999</v>
      </c>
      <c r="G497" s="145">
        <f>VLOOKUP($A497,'BC.115+260'!$B$13:$X$4809,9,0)/1000</f>
        <v>-0.88600000000000001</v>
      </c>
      <c r="H497" s="145">
        <f>VLOOKUP($A497,'BC.115+260'!$B$13:$X$4089,14,0)/1000</f>
        <v>1.903</v>
      </c>
      <c r="I497" s="145">
        <f>VLOOKUP($A497,'BC.115+260'!$B$13:$X$4089,15,0)/1000</f>
        <v>-1.097</v>
      </c>
      <c r="J497" s="145">
        <f>VLOOKUP($A497,'BC.115+260'!$B$13:$X$4089,20,0)/1000</f>
        <v>1.9690000000000001</v>
      </c>
      <c r="K497" s="145">
        <f>VLOOKUP($A497,'BC.115+260'!$B$13:$X$4089,21,0)/1000</f>
        <v>-1.0309999999999999</v>
      </c>
      <c r="L497" s="143">
        <f t="shared" si="24"/>
        <v>-686</v>
      </c>
      <c r="M497" s="144">
        <f t="shared" si="25"/>
        <v>-877</v>
      </c>
      <c r="N497" s="143">
        <f t="shared" si="26"/>
        <v>-780.99999999999989</v>
      </c>
      <c r="O497" s="143"/>
    </row>
    <row r="498" spans="1:15">
      <c r="A498" s="81">
        <f>'BC.115+260'!B497</f>
        <v>45735</v>
      </c>
      <c r="B498" s="143">
        <f t="shared" si="27"/>
        <v>484</v>
      </c>
      <c r="C498" s="145">
        <f>'BC.115+260'!M497/1000</f>
        <v>2.9079999999999999</v>
      </c>
      <c r="D498" s="145">
        <f>'BC.115+260'!AA497</f>
        <v>3.9130000000000003</v>
      </c>
      <c r="E498" s="146">
        <f>'BC.115+260'!AB497</f>
        <v>2.246</v>
      </c>
      <c r="F498" s="145">
        <f>VLOOKUP($A498,'BC.115+260'!$B$13:$X$4809,8,0)/1000</f>
        <v>2.1120000000000001</v>
      </c>
      <c r="G498" s="145">
        <f>VLOOKUP($A498,'BC.115+260'!$B$13:$X$4809,9,0)/1000</f>
        <v>-0.88800000000000001</v>
      </c>
      <c r="H498" s="145">
        <f>VLOOKUP($A498,'BC.115+260'!$B$13:$X$4089,14,0)/1000</f>
        <v>1.8979999999999999</v>
      </c>
      <c r="I498" s="145">
        <f>VLOOKUP($A498,'BC.115+260'!$B$13:$X$4089,15,0)/1000</f>
        <v>-1.1020000000000001</v>
      </c>
      <c r="J498" s="145">
        <f>VLOOKUP($A498,'BC.115+260'!$B$13:$X$4089,20,0)/1000</f>
        <v>1.964</v>
      </c>
      <c r="K498" s="145">
        <f>VLOOKUP($A498,'BC.115+260'!$B$13:$X$4089,21,0)/1000</f>
        <v>-1.036</v>
      </c>
      <c r="L498" s="143">
        <f t="shared" si="24"/>
        <v>-688</v>
      </c>
      <c r="M498" s="144">
        <f t="shared" si="25"/>
        <v>-882.00000000000011</v>
      </c>
      <c r="N498" s="143">
        <f t="shared" si="26"/>
        <v>-786</v>
      </c>
      <c r="O498" s="143"/>
    </row>
    <row r="499" spans="1:15">
      <c r="A499" s="81">
        <f>'BC.115+260'!B498</f>
        <v>45736</v>
      </c>
      <c r="B499" s="143">
        <f t="shared" si="27"/>
        <v>485</v>
      </c>
      <c r="C499" s="145">
        <f>'BC.115+260'!M498/1000</f>
        <v>2.903</v>
      </c>
      <c r="D499" s="145">
        <f>'BC.115+260'!AA498</f>
        <v>3.9130000000000003</v>
      </c>
      <c r="E499" s="146">
        <f>'BC.115+260'!AB498</f>
        <v>2.2360000000000002</v>
      </c>
      <c r="F499" s="145">
        <f>VLOOKUP($A499,'BC.115+260'!$B$13:$X$4809,8,0)/1000</f>
        <v>2.1110000000000002</v>
      </c>
      <c r="G499" s="145">
        <f>VLOOKUP($A499,'BC.115+260'!$B$13:$X$4809,9,0)/1000</f>
        <v>-0.88900000000000001</v>
      </c>
      <c r="H499" s="145">
        <f>VLOOKUP($A499,'BC.115+260'!$B$13:$X$4089,14,0)/1000</f>
        <v>1.893</v>
      </c>
      <c r="I499" s="145">
        <f>VLOOKUP($A499,'BC.115+260'!$B$13:$X$4089,15,0)/1000</f>
        <v>-1.107</v>
      </c>
      <c r="J499" s="145">
        <f>VLOOKUP($A499,'BC.115+260'!$B$13:$X$4089,20,0)/1000</f>
        <v>1.96</v>
      </c>
      <c r="K499" s="145">
        <f>VLOOKUP($A499,'BC.115+260'!$B$13:$X$4089,21,0)/1000</f>
        <v>-1.04</v>
      </c>
      <c r="L499" s="143">
        <f t="shared" si="24"/>
        <v>-689</v>
      </c>
      <c r="M499" s="144">
        <f t="shared" si="25"/>
        <v>-887</v>
      </c>
      <c r="N499" s="143">
        <f t="shared" si="26"/>
        <v>-790</v>
      </c>
      <c r="O499" s="143"/>
    </row>
    <row r="500" spans="1:15">
      <c r="A500" s="81">
        <f>'BC.115+260'!B499</f>
        <v>45737</v>
      </c>
      <c r="B500" s="143">
        <f t="shared" si="27"/>
        <v>486</v>
      </c>
      <c r="C500" s="145">
        <f>'BC.115+260'!M499/1000</f>
        <v>2.8929999999999998</v>
      </c>
      <c r="D500" s="145">
        <f>'BC.115+260'!AA499</f>
        <v>3.9130000000000003</v>
      </c>
      <c r="E500" s="146">
        <f>'BC.115+260'!AB499</f>
        <v>2.2160000000000002</v>
      </c>
      <c r="F500" s="145">
        <f>VLOOKUP($A500,'BC.115+260'!$B$13:$X$4809,8,0)/1000</f>
        <v>2.1110000000000002</v>
      </c>
      <c r="G500" s="145">
        <f>VLOOKUP($A500,'BC.115+260'!$B$13:$X$4809,9,0)/1000</f>
        <v>-0.88900000000000001</v>
      </c>
      <c r="H500" s="145">
        <f>VLOOKUP($A500,'BC.115+260'!$B$13:$X$4089,14,0)/1000</f>
        <v>1.883</v>
      </c>
      <c r="I500" s="145">
        <f>VLOOKUP($A500,'BC.115+260'!$B$13:$X$4089,15,0)/1000</f>
        <v>-1.117</v>
      </c>
      <c r="J500" s="145">
        <f>VLOOKUP($A500,'BC.115+260'!$B$13:$X$4089,20,0)/1000</f>
        <v>1.9570000000000001</v>
      </c>
      <c r="K500" s="145">
        <f>VLOOKUP($A500,'BC.115+260'!$B$13:$X$4089,21,0)/1000</f>
        <v>-1.0429999999999999</v>
      </c>
      <c r="L500" s="143">
        <f t="shared" si="24"/>
        <v>-689</v>
      </c>
      <c r="M500" s="144">
        <f t="shared" si="25"/>
        <v>-897</v>
      </c>
      <c r="N500" s="143">
        <f t="shared" si="26"/>
        <v>-792.99999999999989</v>
      </c>
      <c r="O500" s="143"/>
    </row>
    <row r="501" spans="1:15">
      <c r="A501" s="81">
        <f>'BC.115+260'!B500</f>
        <v>45738</v>
      </c>
      <c r="B501" s="143">
        <f t="shared" si="27"/>
        <v>487</v>
      </c>
      <c r="C501" s="145">
        <f>'BC.115+260'!M500/1000</f>
        <v>3.1859999999999999</v>
      </c>
      <c r="D501" s="145">
        <f>'BC.115+260'!AA500</f>
        <v>4.2090000000000005</v>
      </c>
      <c r="E501" s="146">
        <f>'BC.115+260'!AB500</f>
        <v>2.5019999999999998</v>
      </c>
      <c r="F501" s="145">
        <f>VLOOKUP($A501,'BC.115+260'!$B$13:$X$4809,8,0)/1000</f>
        <v>2.1110000000000002</v>
      </c>
      <c r="G501" s="145">
        <f>VLOOKUP($A501,'BC.115+260'!$B$13:$X$4809,9,0)/1000</f>
        <v>-0.88900000000000001</v>
      </c>
      <c r="H501" s="145">
        <f>VLOOKUP($A501,'BC.115+260'!$B$13:$X$4089,14,0)/1000</f>
        <v>1.8759999999999999</v>
      </c>
      <c r="I501" s="145">
        <f>VLOOKUP($A501,'BC.115+260'!$B$13:$X$4089,15,0)/1000</f>
        <v>-1.1240000000000001</v>
      </c>
      <c r="J501" s="145">
        <f>VLOOKUP($A501,'BC.115+260'!$B$13:$X$4089,20,0)/1000</f>
        <v>1.9530000000000001</v>
      </c>
      <c r="K501" s="145">
        <f>VLOOKUP($A501,'BC.115+260'!$B$13:$X$4089,21,0)/1000</f>
        <v>-1.0469999999999999</v>
      </c>
      <c r="L501" s="143">
        <f t="shared" si="24"/>
        <v>-689</v>
      </c>
      <c r="M501" s="144">
        <f t="shared" si="25"/>
        <v>-904.00000000000011</v>
      </c>
      <c r="N501" s="143">
        <f t="shared" si="26"/>
        <v>-796.99999999999989</v>
      </c>
      <c r="O501" s="143"/>
    </row>
    <row r="502" spans="1:15">
      <c r="A502" s="81">
        <f>'BC.115+260'!B501</f>
        <v>45739</v>
      </c>
      <c r="B502" s="143">
        <f t="shared" si="27"/>
        <v>488</v>
      </c>
      <c r="C502" s="145">
        <f>'BC.115+260'!M501/1000</f>
        <v>3.18</v>
      </c>
      <c r="D502" s="145">
        <f>'BC.115+260'!AA501</f>
        <v>4.2090000000000005</v>
      </c>
      <c r="E502" s="146">
        <f>'BC.115+260'!AB501</f>
        <v>2.4900000000000002</v>
      </c>
      <c r="F502" s="145">
        <f>VLOOKUP($A502,'BC.115+260'!$B$13:$X$4809,8,0)/1000</f>
        <v>2.109</v>
      </c>
      <c r="G502" s="145">
        <f>VLOOKUP($A502,'BC.115+260'!$B$13:$X$4809,9,0)/1000</f>
        <v>-0.89100000000000001</v>
      </c>
      <c r="H502" s="145">
        <f>VLOOKUP($A502,'BC.115+260'!$B$13:$X$4089,14,0)/1000</f>
        <v>1.87</v>
      </c>
      <c r="I502" s="145">
        <f>VLOOKUP($A502,'BC.115+260'!$B$13:$X$4089,15,0)/1000</f>
        <v>-1.1299999999999999</v>
      </c>
      <c r="J502" s="145">
        <f>VLOOKUP($A502,'BC.115+260'!$B$13:$X$4089,20,0)/1000</f>
        <v>1.95</v>
      </c>
      <c r="K502" s="145">
        <f>VLOOKUP($A502,'BC.115+260'!$B$13:$X$4089,21,0)/1000</f>
        <v>-1.05</v>
      </c>
      <c r="L502" s="143">
        <f t="shared" si="24"/>
        <v>-691.00000000000011</v>
      </c>
      <c r="M502" s="144">
        <f t="shared" si="25"/>
        <v>-909.99999999999989</v>
      </c>
      <c r="N502" s="143">
        <f t="shared" si="26"/>
        <v>-800</v>
      </c>
      <c r="O502" s="143"/>
    </row>
    <row r="503" spans="1:15">
      <c r="A503" s="81">
        <f>'BC.115+260'!B502</f>
        <v>45740</v>
      </c>
      <c r="B503" s="143">
        <f t="shared" si="27"/>
        <v>489</v>
      </c>
      <c r="C503" s="145">
        <f>'BC.115+260'!M502/1000</f>
        <v>3.17</v>
      </c>
      <c r="D503" s="145">
        <f>'BC.115+260'!AA502</f>
        <v>4.2090000000000005</v>
      </c>
      <c r="E503" s="146">
        <f>'BC.115+260'!AB502</f>
        <v>2.4700000000000002</v>
      </c>
      <c r="F503" s="145">
        <f>VLOOKUP($A503,'BC.115+260'!$B$13:$X$4809,8,0)/1000</f>
        <v>2.109</v>
      </c>
      <c r="G503" s="145">
        <f>VLOOKUP($A503,'BC.115+260'!$B$13:$X$4809,9,0)/1000</f>
        <v>-0.89100000000000001</v>
      </c>
      <c r="H503" s="145">
        <f>VLOOKUP($A503,'BC.115+260'!$B$13:$X$4089,14,0)/1000</f>
        <v>1.86</v>
      </c>
      <c r="I503" s="145">
        <f>VLOOKUP($A503,'BC.115+260'!$B$13:$X$4089,15,0)/1000</f>
        <v>-1.1399999999999999</v>
      </c>
      <c r="J503" s="145">
        <f>VLOOKUP($A503,'BC.115+260'!$B$13:$X$4089,20,0)/1000</f>
        <v>1.948</v>
      </c>
      <c r="K503" s="145">
        <f>VLOOKUP($A503,'BC.115+260'!$B$13:$X$4089,21,0)/1000</f>
        <v>-1.052</v>
      </c>
      <c r="L503" s="143">
        <f t="shared" si="24"/>
        <v>-691.00000000000011</v>
      </c>
      <c r="M503" s="144">
        <f t="shared" si="25"/>
        <v>-919.99999999999989</v>
      </c>
      <c r="N503" s="143">
        <f t="shared" si="26"/>
        <v>-802</v>
      </c>
      <c r="O503" s="143"/>
    </row>
    <row r="504" spans="1:15">
      <c r="A504" s="81">
        <f>'BC.115+260'!B503</f>
        <v>45741</v>
      </c>
      <c r="B504" s="143">
        <f t="shared" si="27"/>
        <v>490</v>
      </c>
      <c r="C504" s="145">
        <f>'BC.115+260'!M503/1000</f>
        <v>3.4630000000000001</v>
      </c>
      <c r="D504" s="145">
        <f>'BC.115+260'!AA503</f>
        <v>4.5060000000000002</v>
      </c>
      <c r="E504" s="146">
        <f>'BC.115+260'!AB503</f>
        <v>2.7559999999999998</v>
      </c>
      <c r="F504" s="145">
        <f>VLOOKUP($A504,'BC.115+260'!$B$13:$X$4809,8,0)/1000</f>
        <v>2.1080000000000001</v>
      </c>
      <c r="G504" s="145">
        <f>VLOOKUP($A504,'BC.115+260'!$B$13:$X$4809,9,0)/1000</f>
        <v>-0.89200000000000002</v>
      </c>
      <c r="H504" s="145">
        <f>VLOOKUP($A504,'BC.115+260'!$B$13:$X$4089,14,0)/1000</f>
        <v>1.853</v>
      </c>
      <c r="I504" s="145">
        <f>VLOOKUP($A504,'BC.115+260'!$B$13:$X$4089,15,0)/1000</f>
        <v>-1.147</v>
      </c>
      <c r="J504" s="145">
        <f>VLOOKUP($A504,'BC.115+260'!$B$13:$X$4089,20,0)/1000</f>
        <v>1.9450000000000001</v>
      </c>
      <c r="K504" s="145">
        <f>VLOOKUP($A504,'BC.115+260'!$B$13:$X$4089,21,0)/1000</f>
        <v>-1.0549999999999999</v>
      </c>
      <c r="L504" s="143">
        <f t="shared" si="24"/>
        <v>-692</v>
      </c>
      <c r="M504" s="144">
        <f t="shared" si="25"/>
        <v>-927</v>
      </c>
      <c r="N504" s="143">
        <f t="shared" si="26"/>
        <v>-804.99999999999989</v>
      </c>
      <c r="O504" s="143"/>
    </row>
    <row r="505" spans="1:15">
      <c r="A505" s="81">
        <f>'BC.115+260'!B504</f>
        <v>45742</v>
      </c>
      <c r="B505" s="143">
        <f t="shared" si="27"/>
        <v>491</v>
      </c>
      <c r="C505" s="145">
        <f>'BC.115+260'!M504/1000</f>
        <v>3.4529999999999998</v>
      </c>
      <c r="D505" s="145">
        <f>'BC.115+260'!AA504</f>
        <v>4.5060000000000002</v>
      </c>
      <c r="E505" s="146">
        <f>'BC.115+260'!AB504</f>
        <v>2.7360000000000002</v>
      </c>
      <c r="F505" s="145">
        <f>VLOOKUP($A505,'BC.115+260'!$B$13:$X$4809,8,0)/1000</f>
        <v>2.1080000000000001</v>
      </c>
      <c r="G505" s="145">
        <f>VLOOKUP($A505,'BC.115+260'!$B$13:$X$4809,9,0)/1000</f>
        <v>-0.89200000000000002</v>
      </c>
      <c r="H505" s="145">
        <f>VLOOKUP($A505,'BC.115+260'!$B$13:$X$4089,14,0)/1000</f>
        <v>1.843</v>
      </c>
      <c r="I505" s="145">
        <f>VLOOKUP($A505,'BC.115+260'!$B$13:$X$4089,15,0)/1000</f>
        <v>-1.157</v>
      </c>
      <c r="J505" s="145">
        <f>VLOOKUP($A505,'BC.115+260'!$B$13:$X$4089,20,0)/1000</f>
        <v>1.9419999999999999</v>
      </c>
      <c r="K505" s="145">
        <f>VLOOKUP($A505,'BC.115+260'!$B$13:$X$4089,21,0)/1000</f>
        <v>-1.0580000000000001</v>
      </c>
      <c r="L505" s="143">
        <f t="shared" si="24"/>
        <v>-692</v>
      </c>
      <c r="M505" s="144">
        <f t="shared" si="25"/>
        <v>-937</v>
      </c>
      <c r="N505" s="143">
        <f t="shared" si="26"/>
        <v>-808</v>
      </c>
      <c r="O505" s="143"/>
    </row>
    <row r="506" spans="1:15">
      <c r="A506" s="81">
        <f>'BC.115+260'!B505</f>
        <v>45743</v>
      </c>
      <c r="B506" s="143">
        <f t="shared" si="27"/>
        <v>492</v>
      </c>
      <c r="C506" s="145">
        <f>'BC.115+260'!M505/1000</f>
        <v>3.4430000000000001</v>
      </c>
      <c r="D506" s="145">
        <f>'BC.115+260'!AA505</f>
        <v>4.5060000000000002</v>
      </c>
      <c r="E506" s="146">
        <f>'BC.115+260'!AB505</f>
        <v>2.7160000000000002</v>
      </c>
      <c r="F506" s="145">
        <f>VLOOKUP($A506,'BC.115+260'!$B$13:$X$4809,8,0)/1000</f>
        <v>2.1080000000000001</v>
      </c>
      <c r="G506" s="145">
        <f>VLOOKUP($A506,'BC.115+260'!$B$13:$X$4809,9,0)/1000</f>
        <v>-0.89200000000000002</v>
      </c>
      <c r="H506" s="145">
        <f>VLOOKUP($A506,'BC.115+260'!$B$13:$X$4089,14,0)/1000</f>
        <v>1.833</v>
      </c>
      <c r="I506" s="145">
        <f>VLOOKUP($A506,'BC.115+260'!$B$13:$X$4089,15,0)/1000</f>
        <v>-1.167</v>
      </c>
      <c r="J506" s="145">
        <f>VLOOKUP($A506,'BC.115+260'!$B$13:$X$4089,20,0)/1000</f>
        <v>1.9390000000000001</v>
      </c>
      <c r="K506" s="145">
        <f>VLOOKUP($A506,'BC.115+260'!$B$13:$X$4089,21,0)/1000</f>
        <v>-1.0609999999999999</v>
      </c>
      <c r="L506" s="143">
        <f t="shared" si="24"/>
        <v>-692</v>
      </c>
      <c r="M506" s="144">
        <f t="shared" si="25"/>
        <v>-947.00000000000011</v>
      </c>
      <c r="N506" s="143">
        <f t="shared" si="26"/>
        <v>-811</v>
      </c>
      <c r="O506" s="143"/>
    </row>
    <row r="507" spans="1:15">
      <c r="A507" s="81">
        <f>'BC.115+260'!B506</f>
        <v>45744</v>
      </c>
      <c r="B507" s="143">
        <f t="shared" si="27"/>
        <v>493</v>
      </c>
      <c r="C507" s="145">
        <f>'BC.115+260'!M506/1000</f>
        <v>3.7330000000000001</v>
      </c>
      <c r="D507" s="145">
        <f>'BC.115+260'!AA506</f>
        <v>4.8020000000000005</v>
      </c>
      <c r="E507" s="146">
        <f>'BC.115+260'!AB506</f>
        <v>2.996</v>
      </c>
      <c r="F507" s="145">
        <f>VLOOKUP($A507,'BC.115+260'!$B$13:$X$4809,8,0)/1000</f>
        <v>2.1019999999999999</v>
      </c>
      <c r="G507" s="145">
        <f>VLOOKUP($A507,'BC.115+260'!$B$13:$X$4809,9,0)/1000</f>
        <v>-0.89800000000000002</v>
      </c>
      <c r="H507" s="145">
        <f>VLOOKUP($A507,'BC.115+260'!$B$13:$X$4089,14,0)/1000</f>
        <v>1.823</v>
      </c>
      <c r="I507" s="145">
        <f>VLOOKUP($A507,'BC.115+260'!$B$13:$X$4089,15,0)/1000</f>
        <v>-1.177</v>
      </c>
      <c r="J507" s="145">
        <f>VLOOKUP($A507,'BC.115+260'!$B$13:$X$4089,20,0)/1000</f>
        <v>1.9350000000000001</v>
      </c>
      <c r="K507" s="145">
        <f>VLOOKUP($A507,'BC.115+260'!$B$13:$X$4089,21,0)/1000</f>
        <v>-1.0649999999999999</v>
      </c>
      <c r="L507" s="143">
        <f t="shared" si="24"/>
        <v>-698</v>
      </c>
      <c r="M507" s="144">
        <f t="shared" si="25"/>
        <v>-957.00000000000011</v>
      </c>
      <c r="N507" s="143">
        <f t="shared" si="26"/>
        <v>-815</v>
      </c>
      <c r="O507" s="143"/>
    </row>
    <row r="508" spans="1:15">
      <c r="A508" s="81">
        <f>'BC.115+260'!B507</f>
        <v>45745</v>
      </c>
      <c r="B508" s="143">
        <f t="shared" si="27"/>
        <v>494</v>
      </c>
      <c r="C508" s="145">
        <f>'BC.115+260'!M507/1000</f>
        <v>3.726</v>
      </c>
      <c r="D508" s="145">
        <f>'BC.115+260'!AA507</f>
        <v>4.8020000000000005</v>
      </c>
      <c r="E508" s="146">
        <f>'BC.115+260'!AB507</f>
        <v>2.9820000000000002</v>
      </c>
      <c r="F508" s="145">
        <f>VLOOKUP($A508,'BC.115+260'!$B$13:$X$4809,8,0)/1000</f>
        <v>2.093</v>
      </c>
      <c r="G508" s="145">
        <f>VLOOKUP($A508,'BC.115+260'!$B$13:$X$4809,9,0)/1000</f>
        <v>-0.90700000000000003</v>
      </c>
      <c r="H508" s="145">
        <f>VLOOKUP($A508,'BC.115+260'!$B$13:$X$4089,14,0)/1000</f>
        <v>1.8160000000000001</v>
      </c>
      <c r="I508" s="145">
        <f>VLOOKUP($A508,'BC.115+260'!$B$13:$X$4089,15,0)/1000</f>
        <v>-1.1839999999999999</v>
      </c>
      <c r="J508" s="145">
        <f>VLOOKUP($A508,'BC.115+260'!$B$13:$X$4089,20,0)/1000</f>
        <v>1.9330000000000001</v>
      </c>
      <c r="K508" s="145">
        <f>VLOOKUP($A508,'BC.115+260'!$B$13:$X$4089,21,0)/1000</f>
        <v>-1.0669999999999999</v>
      </c>
      <c r="L508" s="143">
        <f t="shared" si="24"/>
        <v>-707.00000000000011</v>
      </c>
      <c r="M508" s="144">
        <f t="shared" si="25"/>
        <v>-964</v>
      </c>
      <c r="N508" s="143">
        <f t="shared" si="26"/>
        <v>-817</v>
      </c>
      <c r="O508" s="143"/>
    </row>
    <row r="509" spans="1:15">
      <c r="A509" s="81">
        <f>'BC.115+260'!B508</f>
        <v>45746</v>
      </c>
      <c r="B509" s="143">
        <f t="shared" si="27"/>
        <v>495</v>
      </c>
      <c r="C509" s="145">
        <f>'BC.115+260'!M508/1000</f>
        <v>3.718</v>
      </c>
      <c r="D509" s="145">
        <f>'BC.115+260'!AA508</f>
        <v>4.8020000000000005</v>
      </c>
      <c r="E509" s="146">
        <f>'BC.115+260'!AB508</f>
        <v>2.9660000000000002</v>
      </c>
      <c r="F509" s="145">
        <f>VLOOKUP($A509,'BC.115+260'!$B$13:$X$4809,8,0)/1000</f>
        <v>2.0870000000000002</v>
      </c>
      <c r="G509" s="145">
        <f>VLOOKUP($A509,'BC.115+260'!$B$13:$X$4809,9,0)/1000</f>
        <v>-0.91300000000000003</v>
      </c>
      <c r="H509" s="145">
        <f>VLOOKUP($A509,'BC.115+260'!$B$13:$X$4089,14,0)/1000</f>
        <v>1.8080000000000001</v>
      </c>
      <c r="I509" s="145">
        <f>VLOOKUP($A509,'BC.115+260'!$B$13:$X$4089,15,0)/1000</f>
        <v>-1.1919999999999999</v>
      </c>
      <c r="J509" s="145">
        <f>VLOOKUP($A509,'BC.115+260'!$B$13:$X$4089,20,0)/1000</f>
        <v>1.93</v>
      </c>
      <c r="K509" s="145">
        <f>VLOOKUP($A509,'BC.115+260'!$B$13:$X$4089,21,0)/1000</f>
        <v>-1.07</v>
      </c>
      <c r="L509" s="143">
        <f t="shared" si="24"/>
        <v>-713.00000000000011</v>
      </c>
      <c r="M509" s="144">
        <f t="shared" si="25"/>
        <v>-972</v>
      </c>
      <c r="N509" s="143">
        <f t="shared" si="26"/>
        <v>-820.00000000000011</v>
      </c>
      <c r="O509" s="143"/>
    </row>
    <row r="510" spans="1:15">
      <c r="A510" s="81">
        <f>'BC.115+260'!B509</f>
        <v>45747</v>
      </c>
      <c r="B510" s="143">
        <f t="shared" si="27"/>
        <v>496</v>
      </c>
      <c r="C510" s="145">
        <f>'BC.115+260'!M509/1000</f>
        <v>4.0119999999999996</v>
      </c>
      <c r="D510" s="145">
        <f>'BC.115+260'!AA509</f>
        <v>5.1000000000000005</v>
      </c>
      <c r="E510" s="146">
        <f>'BC.115+260'!AB509</f>
        <v>3.254</v>
      </c>
      <c r="F510" s="145">
        <f>VLOOKUP($A510,'BC.115+260'!$B$13:$X$4809,8,0)/1000</f>
        <v>2.0819999999999999</v>
      </c>
      <c r="G510" s="145">
        <f>VLOOKUP($A510,'BC.115+260'!$B$13:$X$4809,9,0)/1000</f>
        <v>-0.91800000000000004</v>
      </c>
      <c r="H510" s="145">
        <f>VLOOKUP($A510,'BC.115+260'!$B$13:$X$4089,14,0)/1000</f>
        <v>1.802</v>
      </c>
      <c r="I510" s="145">
        <f>VLOOKUP($A510,'BC.115+260'!$B$13:$X$4089,15,0)/1000</f>
        <v>-1.198</v>
      </c>
      <c r="J510" s="145">
        <f>VLOOKUP($A510,'BC.115+260'!$B$13:$X$4089,20,0)/1000</f>
        <v>1.9279999999999999</v>
      </c>
      <c r="K510" s="145">
        <f>VLOOKUP($A510,'BC.115+260'!$B$13:$X$4089,21,0)/1000</f>
        <v>-1.0720000000000001</v>
      </c>
      <c r="L510" s="143">
        <f t="shared" si="24"/>
        <v>-718</v>
      </c>
      <c r="M510" s="144">
        <f t="shared" si="25"/>
        <v>-978</v>
      </c>
      <c r="N510" s="143">
        <f t="shared" si="26"/>
        <v>-822.00000000000011</v>
      </c>
      <c r="O510" s="143"/>
    </row>
    <row r="511" spans="1:15">
      <c r="A511" s="81">
        <f>'BC.115+260'!B510</f>
        <v>45748</v>
      </c>
      <c r="B511" s="143">
        <f t="shared" ref="B511:B536" si="28">+B510+1</f>
        <v>497</v>
      </c>
      <c r="C511" s="145">
        <f>'BC.115+260'!M510/1000</f>
        <v>4.0019999999999998</v>
      </c>
      <c r="D511" s="145">
        <f>'BC.115+260'!AA510</f>
        <v>5.1000000000000005</v>
      </c>
      <c r="E511" s="146">
        <f>'BC.115+260'!AB510</f>
        <v>3.234</v>
      </c>
      <c r="F511" s="145">
        <f>VLOOKUP($A511,'BC.115+260'!$B$13:$X$4809,8,0)/1000</f>
        <v>2.0720000000000001</v>
      </c>
      <c r="G511" s="145">
        <f>VLOOKUP($A511,'BC.115+260'!$B$13:$X$4809,9,0)/1000</f>
        <v>-0.92800000000000005</v>
      </c>
      <c r="H511" s="145">
        <f>VLOOKUP($A511,'BC.115+260'!$B$13:$X$4089,14,0)/1000</f>
        <v>1.792</v>
      </c>
      <c r="I511" s="145">
        <f>VLOOKUP($A511,'BC.115+260'!$B$13:$X$4089,15,0)/1000</f>
        <v>-1.208</v>
      </c>
      <c r="J511" s="145">
        <f>VLOOKUP($A511,'BC.115+260'!$B$13:$X$4089,20,0)/1000</f>
        <v>1.921</v>
      </c>
      <c r="K511" s="145">
        <f>VLOOKUP($A511,'BC.115+260'!$B$13:$X$4089,21,0)/1000</f>
        <v>-1.079</v>
      </c>
      <c r="L511" s="143">
        <f t="shared" ref="L511:L536" si="29">(G511-$G$14)*1000</f>
        <v>-728</v>
      </c>
      <c r="M511" s="144">
        <f t="shared" ref="M511:M536" si="30">(I511-$I$14)*1000</f>
        <v>-988</v>
      </c>
      <c r="N511" s="143">
        <f t="shared" ref="N511:N536" si="31">(K511-$K$14)*1000</f>
        <v>-829</v>
      </c>
      <c r="O511" s="143"/>
    </row>
    <row r="512" spans="1:15">
      <c r="A512" s="81">
        <f>'BC.115+260'!B511</f>
        <v>45749</v>
      </c>
      <c r="B512" s="143">
        <f t="shared" si="28"/>
        <v>498</v>
      </c>
      <c r="C512" s="145">
        <f>'BC.115+260'!M511/1000</f>
        <v>3.992</v>
      </c>
      <c r="D512" s="145">
        <f>'BC.115+260'!AA511</f>
        <v>5.1000000000000005</v>
      </c>
      <c r="E512" s="146">
        <f>'BC.115+260'!AB511</f>
        <v>3.214</v>
      </c>
      <c r="F512" s="145">
        <f>VLOOKUP($A512,'BC.115+260'!$B$13:$X$4809,8,0)/1000</f>
        <v>2.0619999999999998</v>
      </c>
      <c r="G512" s="145">
        <f>VLOOKUP($A512,'BC.115+260'!$B$13:$X$4809,9,0)/1000</f>
        <v>-0.93799999999999994</v>
      </c>
      <c r="H512" s="145">
        <f>VLOOKUP($A512,'BC.115+260'!$B$13:$X$4089,14,0)/1000</f>
        <v>1.782</v>
      </c>
      <c r="I512" s="145">
        <f>VLOOKUP($A512,'BC.115+260'!$B$13:$X$4089,15,0)/1000</f>
        <v>-1.218</v>
      </c>
      <c r="J512" s="145">
        <f>VLOOKUP($A512,'BC.115+260'!$B$13:$X$4089,20,0)/1000</f>
        <v>1.9159999999999999</v>
      </c>
      <c r="K512" s="145">
        <f>VLOOKUP($A512,'BC.115+260'!$B$13:$X$4089,21,0)/1000</f>
        <v>-1.0840000000000001</v>
      </c>
      <c r="L512" s="143">
        <f t="shared" si="29"/>
        <v>-738</v>
      </c>
      <c r="M512" s="144">
        <f t="shared" si="30"/>
        <v>-998</v>
      </c>
      <c r="N512" s="143">
        <f t="shared" si="31"/>
        <v>-834.00000000000011</v>
      </c>
      <c r="O512" s="143"/>
    </row>
    <row r="513" spans="1:16">
      <c r="A513" s="81">
        <f>'BC.115+260'!B512</f>
        <v>45750</v>
      </c>
      <c r="B513" s="143">
        <f t="shared" si="28"/>
        <v>499</v>
      </c>
      <c r="C513" s="145">
        <f>'BC.115+260'!M512/1000</f>
        <v>4.282</v>
      </c>
      <c r="D513" s="145">
        <f>'BC.115+260'!AA512</f>
        <v>5.3940000000000001</v>
      </c>
      <c r="E513" s="146">
        <f>'BC.115+260'!AB512</f>
        <v>3.4940000000000002</v>
      </c>
      <c r="F513" s="145">
        <f>VLOOKUP($A513,'BC.115+260'!$B$13:$X$4809,8,0)/1000</f>
        <v>2.052</v>
      </c>
      <c r="G513" s="145">
        <f>VLOOKUP($A513,'BC.115+260'!$B$13:$X$4809,9,0)/1000</f>
        <v>-0.94799999999999995</v>
      </c>
      <c r="H513" s="145">
        <f>VLOOKUP($A513,'BC.115+260'!$B$13:$X$4089,14,0)/1000</f>
        <v>1.772</v>
      </c>
      <c r="I513" s="145">
        <f>VLOOKUP($A513,'BC.115+260'!$B$13:$X$4089,15,0)/1000</f>
        <v>-1.228</v>
      </c>
      <c r="J513" s="145">
        <f>VLOOKUP($A513,'BC.115+260'!$B$13:$X$4089,20,0)/1000</f>
        <v>1.91</v>
      </c>
      <c r="K513" s="145">
        <f>VLOOKUP($A513,'BC.115+260'!$B$13:$X$4089,21,0)/1000</f>
        <v>-1.0900000000000001</v>
      </c>
      <c r="L513" s="143">
        <f t="shared" si="29"/>
        <v>-748</v>
      </c>
      <c r="M513" s="144">
        <f t="shared" si="30"/>
        <v>-1008</v>
      </c>
      <c r="N513" s="143">
        <f t="shared" si="31"/>
        <v>-840.00000000000011</v>
      </c>
      <c r="O513" s="143"/>
    </row>
    <row r="514" spans="1:16">
      <c r="A514" s="81">
        <f>'BC.115+260'!B513</f>
        <v>45751</v>
      </c>
      <c r="B514" s="143">
        <f t="shared" si="28"/>
        <v>500</v>
      </c>
      <c r="C514" s="145">
        <f>'BC.115+260'!M513/1000</f>
        <v>4.2720000000000002</v>
      </c>
      <c r="D514" s="145">
        <f>'BC.115+260'!AA513</f>
        <v>5.3940000000000001</v>
      </c>
      <c r="E514" s="146">
        <f>'BC.115+260'!AB513</f>
        <v>3.4740000000000002</v>
      </c>
      <c r="F514" s="145">
        <f>VLOOKUP($A514,'BC.115+260'!$B$13:$X$4809,8,0)/1000</f>
        <v>2.0419999999999998</v>
      </c>
      <c r="G514" s="145">
        <f>VLOOKUP($A514,'BC.115+260'!$B$13:$X$4809,9,0)/1000</f>
        <v>-0.95799999999999996</v>
      </c>
      <c r="H514" s="145">
        <f>VLOOKUP($A514,'BC.115+260'!$B$13:$X$4089,14,0)/1000</f>
        <v>1.762</v>
      </c>
      <c r="I514" s="145">
        <f>VLOOKUP($A514,'BC.115+260'!$B$13:$X$4089,15,0)/1000</f>
        <v>-1.238</v>
      </c>
      <c r="J514" s="145">
        <f>VLOOKUP($A514,'BC.115+260'!$B$13:$X$4089,20,0)/1000</f>
        <v>1.905</v>
      </c>
      <c r="K514" s="145">
        <f>VLOOKUP($A514,'BC.115+260'!$B$13:$X$4089,21,0)/1000</f>
        <v>-1.095</v>
      </c>
      <c r="L514" s="143">
        <f t="shared" si="29"/>
        <v>-758</v>
      </c>
      <c r="M514" s="144">
        <f t="shared" si="30"/>
        <v>-1018</v>
      </c>
      <c r="N514" s="143">
        <f t="shared" si="31"/>
        <v>-845</v>
      </c>
      <c r="O514" s="143"/>
    </row>
    <row r="515" spans="1:16">
      <c r="A515" s="81">
        <f>'BC.115+260'!B514</f>
        <v>45752</v>
      </c>
      <c r="B515" s="143">
        <f t="shared" si="28"/>
        <v>501</v>
      </c>
      <c r="C515" s="145">
        <f>'BC.115+260'!M514/1000</f>
        <v>4.2619999999999996</v>
      </c>
      <c r="D515" s="145">
        <f>'BC.115+260'!AA514</f>
        <v>5.3940000000000001</v>
      </c>
      <c r="E515" s="146">
        <f>'BC.115+260'!AB514</f>
        <v>3.4540000000000002</v>
      </c>
      <c r="F515" s="145">
        <f>VLOOKUP($A515,'BC.115+260'!$B$13:$X$4809,8,0)/1000</f>
        <v>2.032</v>
      </c>
      <c r="G515" s="145">
        <f>VLOOKUP($A515,'BC.115+260'!$B$13:$X$4809,9,0)/1000</f>
        <v>-0.96799999999999997</v>
      </c>
      <c r="H515" s="145">
        <f>VLOOKUP($A515,'BC.115+260'!$B$13:$X$4089,14,0)/1000</f>
        <v>1.752</v>
      </c>
      <c r="I515" s="145">
        <f>VLOOKUP($A515,'BC.115+260'!$B$13:$X$4089,15,0)/1000</f>
        <v>-1.248</v>
      </c>
      <c r="J515" s="145">
        <f>VLOOKUP($A515,'BC.115+260'!$B$13:$X$4089,20,0)/1000</f>
        <v>1.8979999999999999</v>
      </c>
      <c r="K515" s="145">
        <f>VLOOKUP($A515,'BC.115+260'!$B$13:$X$4089,21,0)/1000</f>
        <v>-1.1020000000000001</v>
      </c>
      <c r="L515" s="143">
        <f t="shared" si="29"/>
        <v>-768</v>
      </c>
      <c r="M515" s="144">
        <f t="shared" si="30"/>
        <v>-1028</v>
      </c>
      <c r="N515" s="143">
        <f t="shared" si="31"/>
        <v>-852.00000000000011</v>
      </c>
      <c r="O515" s="143"/>
    </row>
    <row r="516" spans="1:16">
      <c r="A516" s="81">
        <f>'BC.115+260'!B515</f>
        <v>45753</v>
      </c>
      <c r="B516" s="143">
        <f t="shared" si="28"/>
        <v>502</v>
      </c>
      <c r="C516" s="145">
        <f>'BC.115+260'!M515/1000</f>
        <v>4.5519999999999996</v>
      </c>
      <c r="D516" s="145">
        <f>'BC.115+260'!AA515</f>
        <v>5.6879999999999997</v>
      </c>
      <c r="E516" s="146">
        <f>'BC.115+260'!AB515</f>
        <v>3.734</v>
      </c>
      <c r="F516" s="145">
        <f>VLOOKUP($A516,'BC.115+260'!$B$13:$X$4809,8,0)/1000</f>
        <v>2.0219999999999998</v>
      </c>
      <c r="G516" s="145">
        <f>VLOOKUP($A516,'BC.115+260'!$B$13:$X$4809,9,0)/1000</f>
        <v>-0.97799999999999998</v>
      </c>
      <c r="H516" s="145">
        <f>VLOOKUP($A516,'BC.115+260'!$B$13:$X$4089,14,0)/1000</f>
        <v>1.742</v>
      </c>
      <c r="I516" s="145">
        <f>VLOOKUP($A516,'BC.115+260'!$B$13:$X$4089,15,0)/1000</f>
        <v>-1.258</v>
      </c>
      <c r="J516" s="145">
        <f>VLOOKUP($A516,'BC.115+260'!$B$13:$X$4089,20,0)/1000</f>
        <v>1.8919999999999999</v>
      </c>
      <c r="K516" s="145">
        <f>VLOOKUP($A516,'BC.115+260'!$B$13:$X$4089,21,0)/1000</f>
        <v>-1.1080000000000001</v>
      </c>
      <c r="L516" s="143">
        <f t="shared" si="29"/>
        <v>-778</v>
      </c>
      <c r="M516" s="144">
        <f t="shared" si="30"/>
        <v>-1038</v>
      </c>
      <c r="N516" s="143">
        <f t="shared" si="31"/>
        <v>-858.00000000000011</v>
      </c>
      <c r="O516" s="143"/>
    </row>
    <row r="517" spans="1:16">
      <c r="A517" s="81">
        <f>'BC.115+260'!B516</f>
        <v>45754</v>
      </c>
      <c r="B517" s="143">
        <f t="shared" si="28"/>
        <v>503</v>
      </c>
      <c r="C517" s="145">
        <f>'BC.115+260'!M516/1000</f>
        <v>4.5419999999999998</v>
      </c>
      <c r="D517" s="145">
        <f>'BC.115+260'!AA516</f>
        <v>5.6879999999999997</v>
      </c>
      <c r="E517" s="146">
        <f>'BC.115+260'!AB516</f>
        <v>3.714</v>
      </c>
      <c r="F517" s="145">
        <f>VLOOKUP($A517,'BC.115+260'!$B$13:$X$4809,8,0)/1000</f>
        <v>2.012</v>
      </c>
      <c r="G517" s="145">
        <f>VLOOKUP($A517,'BC.115+260'!$B$13:$X$4809,9,0)/1000</f>
        <v>-0.98799999999999999</v>
      </c>
      <c r="H517" s="145">
        <f>VLOOKUP($A517,'BC.115+260'!$B$13:$X$4089,14,0)/1000</f>
        <v>1.732</v>
      </c>
      <c r="I517" s="145">
        <f>VLOOKUP($A517,'BC.115+260'!$B$13:$X$4089,15,0)/1000</f>
        <v>-1.268</v>
      </c>
      <c r="J517" s="145">
        <f>VLOOKUP($A517,'BC.115+260'!$B$13:$X$4089,20,0)/1000</f>
        <v>1.885</v>
      </c>
      <c r="K517" s="145">
        <f>VLOOKUP($A517,'BC.115+260'!$B$13:$X$4089,21,0)/1000</f>
        <v>-1.115</v>
      </c>
      <c r="L517" s="143">
        <f t="shared" si="29"/>
        <v>-788</v>
      </c>
      <c r="M517" s="144">
        <f t="shared" si="30"/>
        <v>-1048</v>
      </c>
      <c r="N517" s="143">
        <f t="shared" si="31"/>
        <v>-865</v>
      </c>
      <c r="O517" s="143"/>
    </row>
    <row r="518" spans="1:16">
      <c r="A518" s="81">
        <f>'BC.115+260'!B517</f>
        <v>45755</v>
      </c>
      <c r="B518" s="143">
        <f t="shared" si="28"/>
        <v>504</v>
      </c>
      <c r="C518" s="145">
        <f>'BC.115+260'!M517/1000</f>
        <v>4.532</v>
      </c>
      <c r="D518" s="145">
        <f>'BC.115+260'!AA517</f>
        <v>5.6879999999999997</v>
      </c>
      <c r="E518" s="146">
        <f>'BC.115+260'!AB517</f>
        <v>3.694</v>
      </c>
      <c r="F518" s="145">
        <f>VLOOKUP($A518,'BC.115+260'!$B$13:$X$4809,8,0)/1000</f>
        <v>2.0019999999999998</v>
      </c>
      <c r="G518" s="145">
        <f>VLOOKUP($A518,'BC.115+260'!$B$13:$X$4809,9,0)/1000</f>
        <v>-0.998</v>
      </c>
      <c r="H518" s="145">
        <f>VLOOKUP($A518,'BC.115+260'!$B$13:$X$4089,14,0)/1000</f>
        <v>1.722</v>
      </c>
      <c r="I518" s="145">
        <f>VLOOKUP($A518,'BC.115+260'!$B$13:$X$4089,15,0)/1000</f>
        <v>-1.278</v>
      </c>
      <c r="J518" s="145">
        <f>VLOOKUP($A518,'BC.115+260'!$B$13:$X$4089,20,0)/1000</f>
        <v>1.877</v>
      </c>
      <c r="K518" s="145">
        <f>VLOOKUP($A518,'BC.115+260'!$B$13:$X$4089,21,0)/1000</f>
        <v>-1.123</v>
      </c>
      <c r="L518" s="143">
        <f t="shared" si="29"/>
        <v>-798</v>
      </c>
      <c r="M518" s="144">
        <f t="shared" si="30"/>
        <v>-1058</v>
      </c>
      <c r="N518" s="143">
        <f t="shared" si="31"/>
        <v>-873</v>
      </c>
      <c r="O518" s="143"/>
    </row>
    <row r="519" spans="1:16">
      <c r="A519" s="81">
        <f>'BC.115+260'!B518</f>
        <v>45756</v>
      </c>
      <c r="B519" s="143">
        <f t="shared" si="28"/>
        <v>505</v>
      </c>
      <c r="C519" s="145">
        <f>'BC.115+260'!M518/1000</f>
        <v>4.5220000000000002</v>
      </c>
      <c r="D519" s="145">
        <f>'BC.115+260'!AA518</f>
        <v>5.6879999999999997</v>
      </c>
      <c r="E519" s="146">
        <f>'BC.115+260'!AB518</f>
        <v>3.6739999999999999</v>
      </c>
      <c r="F519" s="145">
        <f>VLOOKUP($A519,'BC.115+260'!$B$13:$X$4809,8,0)/1000</f>
        <v>1.992</v>
      </c>
      <c r="G519" s="145">
        <f>VLOOKUP($A519,'BC.115+260'!$B$13:$X$4809,9,0)/1000</f>
        <v>-1.008</v>
      </c>
      <c r="H519" s="145">
        <f>VLOOKUP($A519,'BC.115+260'!$B$13:$X$4089,14,0)/1000</f>
        <v>1.712</v>
      </c>
      <c r="I519" s="145">
        <f>VLOOKUP($A519,'BC.115+260'!$B$13:$X$4089,15,0)/1000</f>
        <v>-1.288</v>
      </c>
      <c r="J519" s="145">
        <f>VLOOKUP($A519,'BC.115+260'!$B$13:$X$4089,20,0)/1000</f>
        <v>1.87</v>
      </c>
      <c r="K519" s="145">
        <f>VLOOKUP($A519,'BC.115+260'!$B$13:$X$4089,21,0)/1000</f>
        <v>-1.1299999999999999</v>
      </c>
      <c r="L519" s="143">
        <f t="shared" si="29"/>
        <v>-808</v>
      </c>
      <c r="M519" s="144">
        <f t="shared" si="30"/>
        <v>-1068</v>
      </c>
      <c r="N519" s="143">
        <f t="shared" si="31"/>
        <v>-879.99999999999989</v>
      </c>
      <c r="O519" s="143"/>
    </row>
    <row r="520" spans="1:16" ht="15.75">
      <c r="A520" s="181">
        <f>'BC.115+260'!B519</f>
        <v>45757</v>
      </c>
      <c r="B520" s="147">
        <f t="shared" si="28"/>
        <v>506</v>
      </c>
      <c r="C520" s="182">
        <f>'BC.115+260'!M519/1000</f>
        <v>4.8120000000000003</v>
      </c>
      <c r="D520" s="182">
        <f>'BC.115+260'!AA519</f>
        <v>5.9799999999999995</v>
      </c>
      <c r="E520" s="183">
        <f>'BC.115+260'!AB519</f>
        <v>3.9540000000000002</v>
      </c>
      <c r="F520" s="182">
        <f>VLOOKUP($A520,'BC.115+260'!$B$13:$X$4809,8,0)/1000</f>
        <v>1.982</v>
      </c>
      <c r="G520" s="182">
        <f>VLOOKUP($A520,'BC.115+260'!$B$13:$X$4809,9,0)/1000</f>
        <v>-1.018</v>
      </c>
      <c r="H520" s="182">
        <f>VLOOKUP($A520,'BC.115+260'!$B$13:$X$4089,14,0)/1000</f>
        <v>1.702</v>
      </c>
      <c r="I520" s="182">
        <f>VLOOKUP($A520,'BC.115+260'!$B$13:$X$4089,15,0)/1000</f>
        <v>-1.298</v>
      </c>
      <c r="J520" s="182">
        <f>VLOOKUP($A520,'BC.115+260'!$B$13:$X$4089,20,0)/1000</f>
        <v>1.8620000000000001</v>
      </c>
      <c r="K520" s="182">
        <f>VLOOKUP($A520,'BC.115+260'!$B$13:$X$4089,21,0)/1000</f>
        <v>-1.1379999999999999</v>
      </c>
      <c r="L520" s="147">
        <f t="shared" si="29"/>
        <v>-818.00000000000011</v>
      </c>
      <c r="M520" s="184">
        <f t="shared" si="30"/>
        <v>-1078</v>
      </c>
      <c r="N520" s="147">
        <f t="shared" si="31"/>
        <v>-887.99999999999989</v>
      </c>
      <c r="O520" s="172" t="s">
        <v>74</v>
      </c>
      <c r="P520" s="137">
        <f>C520-M520/1000</f>
        <v>5.8900000000000006</v>
      </c>
    </row>
    <row r="521" spans="1:16">
      <c r="A521" s="81">
        <f>'BC.115+260'!B520</f>
        <v>45760</v>
      </c>
      <c r="B521" s="143">
        <f t="shared" si="28"/>
        <v>507</v>
      </c>
      <c r="C521" s="145">
        <f>'BC.115+260'!M520/1000</f>
        <v>4.782</v>
      </c>
      <c r="D521" s="145">
        <f>'BC.115+260'!AA520</f>
        <v>5.9799999999999995</v>
      </c>
      <c r="E521" s="146">
        <f>'BC.115+260'!AB520</f>
        <v>3.8940000000000001</v>
      </c>
      <c r="F521" s="145">
        <f>VLOOKUP($A521,'BC.115+260'!$B$13:$X$4809,8,0)/1000</f>
        <v>1.9550000000000001</v>
      </c>
      <c r="G521" s="145">
        <f>VLOOKUP($A521,'BC.115+260'!$B$13:$X$4809,9,0)/1000</f>
        <v>-1.0449999999999999</v>
      </c>
      <c r="H521" s="145">
        <f>VLOOKUP($A521,'BC.115+260'!$B$13:$X$4089,14,0)/1000</f>
        <v>1.6719999999999999</v>
      </c>
      <c r="I521" s="145">
        <f>VLOOKUP($A521,'BC.115+260'!$B$13:$X$4089,15,0)/1000</f>
        <v>-1.3280000000000001</v>
      </c>
      <c r="J521" s="145">
        <f>VLOOKUP($A521,'BC.115+260'!$B$13:$X$4089,20,0)/1000</f>
        <v>1.8380000000000001</v>
      </c>
      <c r="K521" s="145">
        <f>VLOOKUP($A521,'BC.115+260'!$B$13:$X$4089,21,0)/1000</f>
        <v>-1.1619999999999999</v>
      </c>
      <c r="L521" s="143">
        <f t="shared" si="29"/>
        <v>-845</v>
      </c>
      <c r="M521" s="144">
        <f t="shared" si="30"/>
        <v>-1108</v>
      </c>
      <c r="N521" s="143">
        <f t="shared" si="31"/>
        <v>-911.99999999999989</v>
      </c>
      <c r="O521" s="143"/>
    </row>
    <row r="522" spans="1:16">
      <c r="A522" s="81">
        <f>'BC.115+260'!B521</f>
        <v>45764</v>
      </c>
      <c r="B522" s="143">
        <f t="shared" si="28"/>
        <v>508</v>
      </c>
      <c r="C522" s="145">
        <f>'BC.115+260'!M521/1000</f>
        <v>4.7460000000000004</v>
      </c>
      <c r="D522" s="145">
        <f>'BC.115+260'!AA521</f>
        <v>5.9799999999999995</v>
      </c>
      <c r="E522" s="146">
        <f>'BC.115+260'!AB521</f>
        <v>3.8220000000000001</v>
      </c>
      <c r="F522" s="145">
        <f>VLOOKUP($A522,'BC.115+260'!$B$13:$X$4809,8,0)/1000</f>
        <v>1.925</v>
      </c>
      <c r="G522" s="145">
        <f>VLOOKUP($A522,'BC.115+260'!$B$13:$X$4809,9,0)/1000</f>
        <v>-1.075</v>
      </c>
      <c r="H522" s="145">
        <f>VLOOKUP($A522,'BC.115+260'!$B$13:$X$4089,14,0)/1000</f>
        <v>1.6359999999999999</v>
      </c>
      <c r="I522" s="145">
        <f>VLOOKUP($A522,'BC.115+260'!$B$13:$X$4089,15,0)/1000</f>
        <v>-1.3640000000000001</v>
      </c>
      <c r="J522" s="145">
        <f>VLOOKUP($A522,'BC.115+260'!$B$13:$X$4089,20,0)/1000</f>
        <v>1.8049999999999999</v>
      </c>
      <c r="K522" s="145">
        <f>VLOOKUP($A522,'BC.115+260'!$B$13:$X$4089,21,0)/1000</f>
        <v>-1.1950000000000001</v>
      </c>
      <c r="L522" s="143">
        <f t="shared" si="29"/>
        <v>-875</v>
      </c>
      <c r="M522" s="144">
        <f t="shared" si="30"/>
        <v>-1144.0000000000002</v>
      </c>
      <c r="N522" s="143">
        <f t="shared" si="31"/>
        <v>-945.00000000000011</v>
      </c>
      <c r="O522" s="143"/>
    </row>
    <row r="523" spans="1:16">
      <c r="A523" s="81">
        <f>'BC.115+260'!B522</f>
        <v>45767</v>
      </c>
      <c r="B523" s="143">
        <f t="shared" si="28"/>
        <v>509</v>
      </c>
      <c r="C523" s="145">
        <f>'BC.115+260'!M522/1000</f>
        <v>4.72</v>
      </c>
      <c r="D523" s="145">
        <f>'BC.115+260'!AA522</f>
        <v>5.9799999999999995</v>
      </c>
      <c r="E523" s="146">
        <f>'BC.115+260'!AB522</f>
        <v>3.77</v>
      </c>
      <c r="F523" s="145">
        <f>VLOOKUP($A523,'BC.115+260'!$B$13:$X$4809,8,0)/1000</f>
        <v>1.901</v>
      </c>
      <c r="G523" s="145">
        <f>VLOOKUP($A523,'BC.115+260'!$B$13:$X$4809,9,0)/1000</f>
        <v>-1.099</v>
      </c>
      <c r="H523" s="145">
        <f>VLOOKUP($A523,'BC.115+260'!$B$13:$X$4089,14,0)/1000</f>
        <v>1.61</v>
      </c>
      <c r="I523" s="145">
        <f>VLOOKUP($A523,'BC.115+260'!$B$13:$X$4089,15,0)/1000</f>
        <v>-1.39</v>
      </c>
      <c r="J523" s="145">
        <f>VLOOKUP($A523,'BC.115+260'!$B$13:$X$4089,20,0)/1000</f>
        <v>1.7849999999999999</v>
      </c>
      <c r="K523" s="145">
        <f>VLOOKUP($A523,'BC.115+260'!$B$13:$X$4089,21,0)/1000</f>
        <v>-1.2150000000000001</v>
      </c>
      <c r="L523" s="143">
        <f t="shared" si="29"/>
        <v>-899</v>
      </c>
      <c r="M523" s="144">
        <f t="shared" si="30"/>
        <v>-1170</v>
      </c>
      <c r="N523" s="143">
        <f t="shared" si="31"/>
        <v>-965.00000000000011</v>
      </c>
      <c r="O523" s="143"/>
    </row>
    <row r="524" spans="1:16">
      <c r="A524" s="81">
        <f>'BC.115+260'!B523</f>
        <v>45771</v>
      </c>
      <c r="B524" s="143">
        <f t="shared" si="28"/>
        <v>510</v>
      </c>
      <c r="C524" s="145">
        <f>'BC.115+260'!M523/1000</f>
        <v>4.6900000000000004</v>
      </c>
      <c r="D524" s="145">
        <f>'BC.115+260'!AA523</f>
        <v>5.9799999999999995</v>
      </c>
      <c r="E524" s="146">
        <f>'BC.115+260'!AB523</f>
        <v>3.71</v>
      </c>
      <c r="F524" s="145">
        <f>VLOOKUP($A524,'BC.115+260'!$B$13:$X$4809,8,0)/1000</f>
        <v>1.875</v>
      </c>
      <c r="G524" s="145">
        <f>VLOOKUP($A524,'BC.115+260'!$B$13:$X$4809,9,0)/1000</f>
        <v>-1.125</v>
      </c>
      <c r="H524" s="145">
        <f>VLOOKUP($A524,'BC.115+260'!$B$13:$X$4089,14,0)/1000</f>
        <v>1.58</v>
      </c>
      <c r="I524" s="145">
        <f>VLOOKUP($A524,'BC.115+260'!$B$13:$X$4089,15,0)/1000</f>
        <v>-1.42</v>
      </c>
      <c r="J524" s="145">
        <f>VLOOKUP($A524,'BC.115+260'!$B$13:$X$4089,20,0)/1000</f>
        <v>1.7549999999999999</v>
      </c>
      <c r="K524" s="145">
        <f>VLOOKUP($A524,'BC.115+260'!$B$13:$X$4089,21,0)/1000</f>
        <v>-1.2450000000000001</v>
      </c>
      <c r="L524" s="143">
        <f t="shared" si="29"/>
        <v>-925</v>
      </c>
      <c r="M524" s="144">
        <f t="shared" si="30"/>
        <v>-1200</v>
      </c>
      <c r="N524" s="143">
        <f t="shared" si="31"/>
        <v>-995.00000000000011</v>
      </c>
      <c r="O524" s="143"/>
    </row>
    <row r="525" spans="1:16">
      <c r="A525" s="81">
        <f>'BC.115+260'!B524</f>
        <v>45774</v>
      </c>
      <c r="B525" s="143">
        <f t="shared" si="28"/>
        <v>511</v>
      </c>
      <c r="C525" s="145">
        <f>'BC.115+260'!M524/1000</f>
        <v>4.67</v>
      </c>
      <c r="D525" s="145">
        <f>'BC.115+260'!AA524</f>
        <v>5.9799999999999995</v>
      </c>
      <c r="E525" s="146">
        <f>'BC.115+260'!AB524</f>
        <v>3.67</v>
      </c>
      <c r="F525" s="145">
        <f>VLOOKUP($A525,'BC.115+260'!$B$13:$X$4809,8,0)/1000</f>
        <v>1.853</v>
      </c>
      <c r="G525" s="145">
        <f>VLOOKUP($A525,'BC.115+260'!$B$13:$X$4809,9,0)/1000</f>
        <v>-1.147</v>
      </c>
      <c r="H525" s="145">
        <f>VLOOKUP($A525,'BC.115+260'!$B$13:$X$4089,14,0)/1000</f>
        <v>1.56</v>
      </c>
      <c r="I525" s="145">
        <f>VLOOKUP($A525,'BC.115+260'!$B$13:$X$4089,15,0)/1000</f>
        <v>-1.44</v>
      </c>
      <c r="J525" s="145">
        <f>VLOOKUP($A525,'BC.115+260'!$B$13:$X$4089,20,0)/1000</f>
        <v>1.7370000000000001</v>
      </c>
      <c r="K525" s="145">
        <f>VLOOKUP($A525,'BC.115+260'!$B$13:$X$4089,21,0)/1000</f>
        <v>-1.2629999999999999</v>
      </c>
      <c r="L525" s="143">
        <f t="shared" si="29"/>
        <v>-947.00000000000011</v>
      </c>
      <c r="M525" s="144">
        <f t="shared" si="30"/>
        <v>-1220</v>
      </c>
      <c r="N525" s="143">
        <f t="shared" si="31"/>
        <v>-1012.9999999999999</v>
      </c>
      <c r="O525" s="143"/>
    </row>
    <row r="526" spans="1:16">
      <c r="A526" s="81">
        <f>'BC.115+260'!B525</f>
        <v>45778</v>
      </c>
      <c r="B526" s="143">
        <f t="shared" si="28"/>
        <v>512</v>
      </c>
      <c r="C526" s="145">
        <f>'BC.115+260'!M525/1000</f>
        <v>4.6420000000000003</v>
      </c>
      <c r="D526" s="145">
        <f>'BC.115+260'!AA525</f>
        <v>5.9799999999999995</v>
      </c>
      <c r="E526" s="146">
        <f>'BC.115+260'!AB525</f>
        <v>3.6139999999999999</v>
      </c>
      <c r="F526" s="145">
        <f>VLOOKUP($A526,'BC.115+260'!$B$13:$X$4809,8,0)/1000</f>
        <v>1.827</v>
      </c>
      <c r="G526" s="145">
        <f>VLOOKUP($A526,'BC.115+260'!$B$13:$X$4809,9,0)/1000</f>
        <v>-1.173</v>
      </c>
      <c r="H526" s="145">
        <f>VLOOKUP($A526,'BC.115+260'!$B$13:$X$4089,14,0)/1000</f>
        <v>1.532</v>
      </c>
      <c r="I526" s="145">
        <f>VLOOKUP($A526,'BC.115+260'!$B$13:$X$4089,15,0)/1000</f>
        <v>-1.468</v>
      </c>
      <c r="J526" s="145">
        <f>VLOOKUP($A526,'BC.115+260'!$B$13:$X$4089,20,0)/1000</f>
        <v>1.7110000000000001</v>
      </c>
      <c r="K526" s="145">
        <f>VLOOKUP($A526,'BC.115+260'!$B$13:$X$4089,21,0)/1000</f>
        <v>-1.2889999999999999</v>
      </c>
      <c r="L526" s="143">
        <f t="shared" si="29"/>
        <v>-973.00000000000011</v>
      </c>
      <c r="M526" s="144">
        <f t="shared" si="30"/>
        <v>-1248</v>
      </c>
      <c r="N526" s="143">
        <f t="shared" si="31"/>
        <v>-1039</v>
      </c>
      <c r="O526" s="143"/>
    </row>
    <row r="527" spans="1:16">
      <c r="A527" s="81">
        <f>'BC.115+260'!B526</f>
        <v>45781</v>
      </c>
      <c r="B527" s="143">
        <f t="shared" si="28"/>
        <v>513</v>
      </c>
      <c r="C527" s="145">
        <f>'BC.115+260'!M526/1000</f>
        <v>4.6260000000000003</v>
      </c>
      <c r="D527" s="145">
        <f>'BC.115+260'!AA526</f>
        <v>5.9799999999999995</v>
      </c>
      <c r="E527" s="146">
        <f>'BC.115+260'!AB526</f>
        <v>3.5819999999999999</v>
      </c>
      <c r="F527" s="145">
        <f>VLOOKUP($A527,'BC.115+260'!$B$13:$X$4809,8,0)/1000</f>
        <v>1.8089999999999999</v>
      </c>
      <c r="G527" s="145">
        <f>VLOOKUP($A527,'BC.115+260'!$B$13:$X$4809,9,0)/1000</f>
        <v>-1.1910000000000001</v>
      </c>
      <c r="H527" s="145">
        <f>VLOOKUP($A527,'BC.115+260'!$B$13:$X$4089,14,0)/1000</f>
        <v>1.516</v>
      </c>
      <c r="I527" s="145">
        <f>VLOOKUP($A527,'BC.115+260'!$B$13:$X$4089,15,0)/1000</f>
        <v>-1.484</v>
      </c>
      <c r="J527" s="145">
        <f>VLOOKUP($A527,'BC.115+260'!$B$13:$X$4089,20,0)/1000</f>
        <v>1.6919999999999999</v>
      </c>
      <c r="K527" s="145">
        <f>VLOOKUP($A527,'BC.115+260'!$B$13:$X$4089,21,0)/1000</f>
        <v>-1.3080000000000001</v>
      </c>
      <c r="L527" s="143">
        <f t="shared" si="29"/>
        <v>-991.00000000000011</v>
      </c>
      <c r="M527" s="144">
        <f t="shared" si="30"/>
        <v>-1264</v>
      </c>
      <c r="N527" s="143">
        <f t="shared" si="31"/>
        <v>-1058</v>
      </c>
      <c r="O527" s="143"/>
    </row>
    <row r="528" spans="1:16">
      <c r="A528" s="81">
        <f>'BC.115+260'!B527</f>
        <v>45785</v>
      </c>
      <c r="B528" s="143">
        <f t="shared" si="28"/>
        <v>514</v>
      </c>
      <c r="C528" s="145">
        <f>'BC.115+260'!M527/1000</f>
        <v>4.601</v>
      </c>
      <c r="D528" s="145">
        <f>'BC.115+260'!AA527</f>
        <v>5.9799999999999995</v>
      </c>
      <c r="E528" s="146">
        <f>'BC.115+260'!AB527</f>
        <v>3.532</v>
      </c>
      <c r="F528" s="145">
        <f>VLOOKUP($A528,'BC.115+260'!$B$13:$X$4809,8,0)/1000</f>
        <v>1.7889999999999999</v>
      </c>
      <c r="G528" s="145">
        <f>VLOOKUP($A528,'BC.115+260'!$B$13:$X$4809,9,0)/1000</f>
        <v>-1.2110000000000001</v>
      </c>
      <c r="H528" s="145">
        <f>VLOOKUP($A528,'BC.115+260'!$B$13:$X$4089,14,0)/1000</f>
        <v>1.4910000000000001</v>
      </c>
      <c r="I528" s="145">
        <f>VLOOKUP($A528,'BC.115+260'!$B$13:$X$4089,15,0)/1000</f>
        <v>-1.5089999999999999</v>
      </c>
      <c r="J528" s="145">
        <f>VLOOKUP($A528,'BC.115+260'!$B$13:$X$4089,20,0)/1000</f>
        <v>1.667</v>
      </c>
      <c r="K528" s="145">
        <f>VLOOKUP($A528,'BC.115+260'!$B$13:$X$4089,21,0)/1000</f>
        <v>-1.333</v>
      </c>
      <c r="L528" s="143">
        <f t="shared" si="29"/>
        <v>-1011.0000000000001</v>
      </c>
      <c r="M528" s="144">
        <f t="shared" si="30"/>
        <v>-1289</v>
      </c>
      <c r="N528" s="143">
        <f t="shared" si="31"/>
        <v>-1083</v>
      </c>
      <c r="O528" s="143"/>
    </row>
    <row r="529" spans="1:15">
      <c r="A529" s="81">
        <f>'BC.115+260'!B528</f>
        <v>45792</v>
      </c>
      <c r="B529" s="143">
        <f t="shared" si="28"/>
        <v>515</v>
      </c>
      <c r="C529" s="145">
        <f>'BC.115+260'!M528/1000</f>
        <v>4.5659999999999998</v>
      </c>
      <c r="D529" s="145">
        <f>'BC.115+260'!AA528</f>
        <v>5.9799999999999995</v>
      </c>
      <c r="E529" s="146">
        <f>'BC.115+260'!AB528</f>
        <v>3.4620000000000002</v>
      </c>
      <c r="F529" s="145">
        <f>VLOOKUP($A529,'BC.115+260'!$B$13:$X$4809,8,0)/1000</f>
        <v>1.764</v>
      </c>
      <c r="G529" s="145">
        <f>VLOOKUP($A529,'BC.115+260'!$B$13:$X$4809,9,0)/1000</f>
        <v>-1.236</v>
      </c>
      <c r="H529" s="145">
        <f>VLOOKUP($A529,'BC.115+260'!$B$13:$X$4089,14,0)/1000</f>
        <v>1.456</v>
      </c>
      <c r="I529" s="145">
        <f>VLOOKUP($A529,'BC.115+260'!$B$13:$X$4089,15,0)/1000</f>
        <v>-1.544</v>
      </c>
      <c r="J529" s="145">
        <f>VLOOKUP($A529,'BC.115+260'!$B$13:$X$4089,20,0)/1000</f>
        <v>1.643</v>
      </c>
      <c r="K529" s="145">
        <f>VLOOKUP($A529,'BC.115+260'!$B$13:$X$4089,21,0)/1000</f>
        <v>-1.357</v>
      </c>
      <c r="L529" s="143">
        <f t="shared" si="29"/>
        <v>-1036</v>
      </c>
      <c r="M529" s="144">
        <f t="shared" si="30"/>
        <v>-1324</v>
      </c>
      <c r="N529" s="143">
        <f t="shared" si="31"/>
        <v>-1107</v>
      </c>
      <c r="O529" s="143"/>
    </row>
    <row r="530" spans="1:15">
      <c r="A530" s="81">
        <f>'BC.115+260'!B529</f>
        <v>45799</v>
      </c>
      <c r="B530" s="143">
        <f t="shared" si="28"/>
        <v>516</v>
      </c>
      <c r="C530" s="145">
        <f>'BC.115+260'!M529/1000</f>
        <v>4.5380000000000003</v>
      </c>
      <c r="D530" s="145">
        <f>'BC.115+260'!AA529</f>
        <v>5.9799999999999995</v>
      </c>
      <c r="E530" s="146">
        <f>'BC.115+260'!AB529</f>
        <v>3.4060000000000001</v>
      </c>
      <c r="F530" s="145">
        <f>VLOOKUP($A530,'BC.115+260'!$B$13:$X$4809,8,0)/1000</f>
        <v>1.742</v>
      </c>
      <c r="G530" s="145">
        <f>VLOOKUP($A530,'BC.115+260'!$B$13:$X$4809,9,0)/1000</f>
        <v>-1.258</v>
      </c>
      <c r="H530" s="145">
        <f>VLOOKUP($A530,'BC.115+260'!$B$13:$X$4089,14,0)/1000</f>
        <v>1.4279999999999999</v>
      </c>
      <c r="I530" s="145">
        <f>VLOOKUP($A530,'BC.115+260'!$B$13:$X$4089,15,0)/1000</f>
        <v>-1.5720000000000001</v>
      </c>
      <c r="J530" s="145">
        <f>VLOOKUP($A530,'BC.115+260'!$B$13:$X$4089,20,0)/1000</f>
        <v>1.623</v>
      </c>
      <c r="K530" s="145">
        <f>VLOOKUP($A530,'BC.115+260'!$B$13:$X$4089,21,0)/1000</f>
        <v>-1.377</v>
      </c>
      <c r="L530" s="143">
        <f t="shared" si="29"/>
        <v>-1058</v>
      </c>
      <c r="M530" s="144">
        <f t="shared" si="30"/>
        <v>-1352</v>
      </c>
      <c r="N530" s="143">
        <f t="shared" si="31"/>
        <v>-1127</v>
      </c>
      <c r="O530" s="143"/>
    </row>
    <row r="531" spans="1:15">
      <c r="A531" s="81">
        <f>'BC.115+260'!B530</f>
        <v>45806</v>
      </c>
      <c r="B531" s="143">
        <f t="shared" si="28"/>
        <v>517</v>
      </c>
      <c r="C531" s="145">
        <f>'BC.115+260'!M530/1000</f>
        <v>4.5140000000000002</v>
      </c>
      <c r="D531" s="145">
        <f>'BC.115+260'!AA530</f>
        <v>5.9799999999999995</v>
      </c>
      <c r="E531" s="146">
        <f>'BC.115+260'!AB530</f>
        <v>3.3580000000000001</v>
      </c>
      <c r="F531" s="145">
        <f>VLOOKUP($A531,'BC.115+260'!$B$13:$X$4809,8,0)/1000</f>
        <v>1.722</v>
      </c>
      <c r="G531" s="145">
        <f>VLOOKUP($A531,'BC.115+260'!$B$13:$X$4809,9,0)/1000</f>
        <v>-1.278</v>
      </c>
      <c r="H531" s="145">
        <f>VLOOKUP($A531,'BC.115+260'!$B$13:$X$4089,14,0)/1000</f>
        <v>1.4039999999999999</v>
      </c>
      <c r="I531" s="145">
        <f>VLOOKUP($A531,'BC.115+260'!$B$13:$X$4089,15,0)/1000</f>
        <v>-1.5960000000000001</v>
      </c>
      <c r="J531" s="145">
        <f>VLOOKUP($A531,'BC.115+260'!$B$13:$X$4089,20,0)/1000</f>
        <v>1.6060000000000001</v>
      </c>
      <c r="K531" s="145">
        <f>VLOOKUP($A531,'BC.115+260'!$B$13:$X$4089,21,0)/1000</f>
        <v>-1.3939999999999999</v>
      </c>
      <c r="L531" s="143">
        <f t="shared" si="29"/>
        <v>-1078</v>
      </c>
      <c r="M531" s="144">
        <f t="shared" si="30"/>
        <v>-1376</v>
      </c>
      <c r="N531" s="143">
        <f t="shared" si="31"/>
        <v>-1144</v>
      </c>
      <c r="O531" s="143"/>
    </row>
    <row r="532" spans="1:15">
      <c r="A532" s="81">
        <f>'BC.115+260'!B531</f>
        <v>45813</v>
      </c>
      <c r="B532" s="143">
        <f t="shared" si="28"/>
        <v>518</v>
      </c>
      <c r="C532" s="145">
        <f>'BC.115+260'!M531/1000</f>
        <v>4.492</v>
      </c>
      <c r="D532" s="145">
        <f>'BC.115+260'!AA531</f>
        <v>5.9799999999999995</v>
      </c>
      <c r="E532" s="146">
        <f>'BC.115+260'!AB531</f>
        <v>3.3140000000000001</v>
      </c>
      <c r="F532" s="145">
        <f>VLOOKUP($A532,'BC.115+260'!$B$13:$X$4809,8,0)/1000</f>
        <v>1.704</v>
      </c>
      <c r="G532" s="145">
        <f>VLOOKUP($A532,'BC.115+260'!$B$13:$X$4809,9,0)/1000</f>
        <v>-1.296</v>
      </c>
      <c r="H532" s="145">
        <f>VLOOKUP($A532,'BC.115+260'!$B$13:$X$4089,14,0)/1000</f>
        <v>1.3819999999999999</v>
      </c>
      <c r="I532" s="145">
        <f>VLOOKUP($A532,'BC.115+260'!$B$13:$X$4089,15,0)/1000</f>
        <v>-1.6180000000000001</v>
      </c>
      <c r="J532" s="145">
        <f>VLOOKUP($A532,'BC.115+260'!$B$13:$X$4089,20,0)/1000</f>
        <v>1.589</v>
      </c>
      <c r="K532" s="145">
        <f>VLOOKUP($A532,'BC.115+260'!$B$13:$X$4089,21,0)/1000</f>
        <v>-1.411</v>
      </c>
      <c r="L532" s="143">
        <f t="shared" si="29"/>
        <v>-1096</v>
      </c>
      <c r="M532" s="144">
        <f t="shared" si="30"/>
        <v>-1398.0000000000002</v>
      </c>
      <c r="N532" s="143">
        <f t="shared" si="31"/>
        <v>-1161</v>
      </c>
      <c r="O532" s="143"/>
    </row>
    <row r="533" spans="1:15">
      <c r="A533" s="81">
        <f>'BC.115+260'!B532</f>
        <v>45820</v>
      </c>
      <c r="B533" s="143">
        <f t="shared" si="28"/>
        <v>519</v>
      </c>
      <c r="C533" s="145">
        <f>'BC.115+260'!M532/1000</f>
        <v>4.47</v>
      </c>
      <c r="D533" s="145">
        <f>'BC.115+260'!AA532</f>
        <v>5.9799999999999995</v>
      </c>
      <c r="E533" s="146">
        <f>'BC.115+260'!AB532</f>
        <v>3.27</v>
      </c>
      <c r="F533" s="145">
        <f>VLOOKUP($A533,'BC.115+260'!$B$13:$X$4809,8,0)/1000</f>
        <v>1.6879999999999999</v>
      </c>
      <c r="G533" s="145">
        <f>VLOOKUP($A533,'BC.115+260'!$B$13:$X$4809,9,0)/1000</f>
        <v>-1.3120000000000001</v>
      </c>
      <c r="H533" s="145">
        <f>VLOOKUP($A533,'BC.115+260'!$B$13:$X$4089,14,0)/1000</f>
        <v>1.36</v>
      </c>
      <c r="I533" s="145">
        <f>VLOOKUP($A533,'BC.115+260'!$B$13:$X$4089,15,0)/1000</f>
        <v>-1.64</v>
      </c>
      <c r="J533" s="145">
        <f>VLOOKUP($A533,'BC.115+260'!$B$13:$X$4089,20,0)/1000</f>
        <v>1.573</v>
      </c>
      <c r="K533" s="145">
        <f>VLOOKUP($A533,'BC.115+260'!$B$13:$X$4089,21,0)/1000</f>
        <v>-1.427</v>
      </c>
      <c r="L533" s="143">
        <f t="shared" si="29"/>
        <v>-1112</v>
      </c>
      <c r="M533" s="144">
        <f t="shared" si="30"/>
        <v>-1420</v>
      </c>
      <c r="N533" s="143">
        <f t="shared" si="31"/>
        <v>-1177</v>
      </c>
      <c r="O533" s="143"/>
    </row>
    <row r="534" spans="1:15">
      <c r="A534" s="81">
        <f>'BC.115+260'!B533</f>
        <v>45827</v>
      </c>
      <c r="B534" s="143">
        <f t="shared" si="28"/>
        <v>520</v>
      </c>
      <c r="C534" s="145">
        <f>'BC.115+260'!M533/1000</f>
        <v>4.4489999999999998</v>
      </c>
      <c r="D534" s="145">
        <f>'BC.115+260'!AA533</f>
        <v>5.9799999999999995</v>
      </c>
      <c r="E534" s="146">
        <f>'BC.115+260'!AB533</f>
        <v>3.2280000000000002</v>
      </c>
      <c r="F534" s="145">
        <f>VLOOKUP($A534,'BC.115+260'!$B$13:$X$4809,8,0)/1000</f>
        <v>1.6719999999999999</v>
      </c>
      <c r="G534" s="145">
        <f>VLOOKUP($A534,'BC.115+260'!$B$13:$X$4809,9,0)/1000</f>
        <v>-1.3280000000000001</v>
      </c>
      <c r="H534" s="145">
        <f>VLOOKUP($A534,'BC.115+260'!$B$13:$X$4089,14,0)/1000</f>
        <v>1.339</v>
      </c>
      <c r="I534" s="145">
        <f>VLOOKUP($A534,'BC.115+260'!$B$13:$X$4089,15,0)/1000</f>
        <v>-1.661</v>
      </c>
      <c r="J534" s="145">
        <f>VLOOKUP($A534,'BC.115+260'!$B$13:$X$4089,20,0)/1000</f>
        <v>1.5580000000000001</v>
      </c>
      <c r="K534" s="145">
        <f>VLOOKUP($A534,'BC.115+260'!$B$13:$X$4089,21,0)/1000</f>
        <v>-1.4419999999999999</v>
      </c>
      <c r="L534" s="143">
        <f t="shared" si="29"/>
        <v>-1128</v>
      </c>
      <c r="M534" s="144">
        <f t="shared" si="30"/>
        <v>-1441</v>
      </c>
      <c r="N534" s="143">
        <f t="shared" si="31"/>
        <v>-1192</v>
      </c>
      <c r="O534" s="143"/>
    </row>
    <row r="535" spans="1:15">
      <c r="A535" s="81">
        <f>'BC.115+260'!B534</f>
        <v>45834</v>
      </c>
      <c r="B535" s="143">
        <f t="shared" si="28"/>
        <v>521</v>
      </c>
      <c r="C535" s="145">
        <f>'BC.115+260'!M534/1000</f>
        <v>4.4290000000000003</v>
      </c>
      <c r="D535" s="145">
        <f>'BC.115+260'!AA534</f>
        <v>5.9799999999999995</v>
      </c>
      <c r="E535" s="146">
        <f>'BC.115+260'!AB534</f>
        <v>3.1880000000000002</v>
      </c>
      <c r="F535" s="145">
        <f>VLOOKUP($A535,'BC.115+260'!$B$13:$X$4809,8,0)/1000</f>
        <v>1.6579999999999999</v>
      </c>
      <c r="G535" s="145">
        <f>VLOOKUP($A535,'BC.115+260'!$B$13:$X$4809,9,0)/1000</f>
        <v>-1.3420000000000001</v>
      </c>
      <c r="H535" s="145">
        <f>VLOOKUP($A535,'BC.115+260'!$B$13:$X$4089,14,0)/1000</f>
        <v>1.319</v>
      </c>
      <c r="I535" s="145">
        <f>VLOOKUP($A535,'BC.115+260'!$B$13:$X$4089,15,0)/1000</f>
        <v>-1.681</v>
      </c>
      <c r="J535" s="145">
        <f>VLOOKUP($A535,'BC.115+260'!$B$13:$X$4089,20,0)/1000</f>
        <v>1.544</v>
      </c>
      <c r="K535" s="145">
        <f>VLOOKUP($A535,'BC.115+260'!$B$13:$X$4089,21,0)/1000</f>
        <v>-1.456</v>
      </c>
      <c r="L535" s="143">
        <f t="shared" si="29"/>
        <v>-1142.0000000000002</v>
      </c>
      <c r="M535" s="144">
        <f t="shared" si="30"/>
        <v>-1461</v>
      </c>
      <c r="N535" s="143">
        <f t="shared" si="31"/>
        <v>-1206</v>
      </c>
      <c r="O535" s="143"/>
    </row>
    <row r="536" spans="1:15">
      <c r="A536" s="81">
        <f>'BC.115+260'!B535</f>
        <v>45841</v>
      </c>
      <c r="B536" s="143">
        <f t="shared" si="28"/>
        <v>522</v>
      </c>
      <c r="C536" s="145">
        <f>'BC.115+260'!M535/1000</f>
        <v>4.415</v>
      </c>
      <c r="D536" s="145">
        <f>'BC.115+260'!AA535</f>
        <v>5.9799999999999995</v>
      </c>
      <c r="E536" s="146">
        <f>'BC.115+260'!AB535</f>
        <v>3.16</v>
      </c>
      <c r="F536" s="145">
        <f>VLOOKUP($A536,'BC.115+260'!$B$13:$X$4809,8,0)/1000</f>
        <v>1.6439999999999999</v>
      </c>
      <c r="G536" s="145">
        <f>VLOOKUP($A536,'BC.115+260'!$B$13:$X$4809,9,0)/1000</f>
        <v>-1.3560000000000001</v>
      </c>
      <c r="H536" s="145">
        <f>VLOOKUP($A536,'BC.115+260'!$B$13:$X$4089,14,0)/1000</f>
        <v>1.3049999999999999</v>
      </c>
      <c r="I536" s="145">
        <f>VLOOKUP($A536,'BC.115+260'!$B$13:$X$4089,15,0)/1000</f>
        <v>-1.6950000000000001</v>
      </c>
      <c r="J536" s="145">
        <f>VLOOKUP($A536,'BC.115+260'!$B$13:$X$4089,20,0)/1000</f>
        <v>1.5309999999999999</v>
      </c>
      <c r="K536" s="145">
        <f>VLOOKUP($A536,'BC.115+260'!$B$13:$X$4089,21,0)/1000</f>
        <v>-1.4690000000000001</v>
      </c>
      <c r="L536" s="143">
        <f t="shared" si="29"/>
        <v>-1156.0000000000002</v>
      </c>
      <c r="M536" s="144">
        <f t="shared" si="30"/>
        <v>-1475</v>
      </c>
      <c r="N536" s="143">
        <f t="shared" si="31"/>
        <v>-1219</v>
      </c>
      <c r="O536" s="143"/>
    </row>
    <row r="537" spans="1:15">
      <c r="A537" s="81">
        <f>'BC.115+260'!B536</f>
        <v>45848</v>
      </c>
      <c r="B537" s="143">
        <f t="shared" ref="B537:B540" si="32">+B536+1</f>
        <v>523</v>
      </c>
      <c r="C537" s="145">
        <f>'BC.115+260'!M536/1000</f>
        <v>4.4050000000000002</v>
      </c>
      <c r="D537" s="145">
        <f>'BC.115+260'!AA536</f>
        <v>5.9799999999999995</v>
      </c>
      <c r="E537" s="146">
        <f>'BC.115+260'!AB536</f>
        <v>3.14</v>
      </c>
      <c r="F537" s="145">
        <f>VLOOKUP($A537,'BC.115+260'!$B$13:$X$4809,8,0)/1000</f>
        <v>1.6319999999999999</v>
      </c>
      <c r="G537" s="145">
        <f>VLOOKUP($A537,'BC.115+260'!$B$13:$X$4809,9,0)/1000</f>
        <v>-1.3680000000000001</v>
      </c>
      <c r="H537" s="145">
        <f>VLOOKUP($A537,'BC.115+260'!$B$13:$X$4089,14,0)/1000</f>
        <v>1.2949999999999999</v>
      </c>
      <c r="I537" s="145">
        <f>VLOOKUP($A537,'BC.115+260'!$B$13:$X$4089,15,0)/1000</f>
        <v>-1.7050000000000001</v>
      </c>
      <c r="J537" s="145">
        <f>VLOOKUP($A537,'BC.115+260'!$B$13:$X$4089,20,0)/1000</f>
        <v>1.5189999999999999</v>
      </c>
      <c r="K537" s="145">
        <f>VLOOKUP($A537,'BC.115+260'!$B$13:$X$4089,21,0)/1000</f>
        <v>-1.4810000000000001</v>
      </c>
      <c r="L537" s="143">
        <f t="shared" ref="L537:L538" si="33">(G537-$G$14)*1000</f>
        <v>-1168.0000000000002</v>
      </c>
      <c r="M537" s="144">
        <f t="shared" ref="M537:M538" si="34">(I537-$I$14)*1000</f>
        <v>-1485</v>
      </c>
      <c r="N537" s="143">
        <f t="shared" ref="N537:N538" si="35">(K537-$K$14)*1000</f>
        <v>-1231</v>
      </c>
      <c r="O537" s="143"/>
    </row>
    <row r="538" spans="1:15">
      <c r="A538" s="81">
        <f>'BC.115+260'!B537</f>
        <v>45855</v>
      </c>
      <c r="B538" s="143">
        <f t="shared" si="32"/>
        <v>524</v>
      </c>
      <c r="C538" s="145">
        <f>'BC.115+260'!M537/1000</f>
        <v>4.3949999999999996</v>
      </c>
      <c r="D538" s="145">
        <f>'BC.115+260'!AA537</f>
        <v>5.9799999999999995</v>
      </c>
      <c r="E538" s="146">
        <f>'BC.115+260'!AB537</f>
        <v>3.12</v>
      </c>
      <c r="F538" s="145">
        <f>VLOOKUP($A538,'BC.115+260'!$B$13:$X$4809,8,0)/1000</f>
        <v>1.62</v>
      </c>
      <c r="G538" s="145">
        <f>VLOOKUP($A538,'BC.115+260'!$B$13:$X$4809,9,0)/1000</f>
        <v>-1.38</v>
      </c>
      <c r="H538" s="145">
        <f>VLOOKUP($A538,'BC.115+260'!$B$13:$X$4089,14,0)/1000</f>
        <v>1.2849999999999999</v>
      </c>
      <c r="I538" s="145">
        <f>VLOOKUP($A538,'BC.115+260'!$B$13:$X$4089,15,0)/1000</f>
        <v>-1.7150000000000001</v>
      </c>
      <c r="J538" s="145">
        <f>VLOOKUP($A538,'BC.115+260'!$B$13:$X$4089,20,0)/1000</f>
        <v>1.5069999999999999</v>
      </c>
      <c r="K538" s="145">
        <f>VLOOKUP($A538,'BC.115+260'!$B$13:$X$4089,21,0)/1000</f>
        <v>-1.4930000000000001</v>
      </c>
      <c r="L538" s="143">
        <f t="shared" si="33"/>
        <v>-1180</v>
      </c>
      <c r="M538" s="144">
        <f t="shared" si="34"/>
        <v>-1495</v>
      </c>
      <c r="N538" s="143">
        <f t="shared" si="35"/>
        <v>-1243</v>
      </c>
      <c r="O538" s="143"/>
    </row>
    <row r="539" spans="1:15">
      <c r="A539" s="81">
        <f>'BC.115+260'!B538</f>
        <v>45862</v>
      </c>
      <c r="B539" s="143">
        <f t="shared" si="32"/>
        <v>525</v>
      </c>
      <c r="C539" s="145">
        <f>'BC.115+260'!M538/1000</f>
        <v>4.3860000000000001</v>
      </c>
      <c r="D539" s="145">
        <f>'BC.115+260'!AA538</f>
        <v>5.9799999999999995</v>
      </c>
      <c r="E539" s="146">
        <f>'BC.115+260'!AB538</f>
        <v>3.1019999999999999</v>
      </c>
      <c r="F539" s="145">
        <f>VLOOKUP($A539,'BC.115+260'!$B$13:$X$4809,8,0)/1000</f>
        <v>1.6060000000000001</v>
      </c>
      <c r="G539" s="145">
        <f>VLOOKUP($A539,'BC.115+260'!$B$13:$X$4809,9,0)/1000</f>
        <v>-1.3939999999999999</v>
      </c>
      <c r="H539" s="145">
        <f>VLOOKUP($A539,'BC.115+260'!$B$13:$X$4089,14,0)/1000</f>
        <v>1.276</v>
      </c>
      <c r="I539" s="145">
        <f>VLOOKUP($A539,'BC.115+260'!$B$13:$X$4089,15,0)/1000</f>
        <v>-1.724</v>
      </c>
      <c r="J539" s="145">
        <f>VLOOKUP($A539,'BC.115+260'!$B$13:$X$4089,20,0)/1000</f>
        <v>1.4950000000000001</v>
      </c>
      <c r="K539" s="145">
        <f>VLOOKUP($A539,'BC.115+260'!$B$13:$X$4089,21,0)/1000</f>
        <v>-1.5049999999999999</v>
      </c>
      <c r="L539" s="143">
        <f t="shared" ref="L539:L540" si="36">(G539-$G$14)*1000</f>
        <v>-1194</v>
      </c>
      <c r="M539" s="144">
        <f t="shared" ref="M539:M540" si="37">(I539-$I$14)*1000</f>
        <v>-1504</v>
      </c>
      <c r="N539" s="143">
        <f t="shared" ref="N539:N540" si="38">(K539-$K$14)*1000</f>
        <v>-1255</v>
      </c>
      <c r="O539" s="143"/>
    </row>
    <row r="540" spans="1:15">
      <c r="A540" s="81">
        <f>'BC.115+260'!B539</f>
        <v>45869</v>
      </c>
      <c r="B540" s="143">
        <f t="shared" si="32"/>
        <v>526</v>
      </c>
      <c r="C540" s="145">
        <f>'BC.115+260'!M539/1000</f>
        <v>4.3780000000000001</v>
      </c>
      <c r="D540" s="145">
        <f>'BC.115+260'!AA539</f>
        <v>5.9799999999999995</v>
      </c>
      <c r="E540" s="146">
        <f>'BC.115+260'!AB539</f>
        <v>3.0859999999999999</v>
      </c>
      <c r="F540" s="145">
        <f>VLOOKUP($A540,'BC.115+260'!$B$13:$X$4809,8,0)/1000</f>
        <v>1.593</v>
      </c>
      <c r="G540" s="145">
        <f>VLOOKUP($A540,'BC.115+260'!$B$13:$X$4809,9,0)/1000</f>
        <v>-1.407</v>
      </c>
      <c r="H540" s="145">
        <f>VLOOKUP($A540,'BC.115+260'!$B$13:$X$4089,14,0)/1000</f>
        <v>1.268</v>
      </c>
      <c r="I540" s="145">
        <f>VLOOKUP($A540,'BC.115+260'!$B$13:$X$4089,15,0)/1000</f>
        <v>-1.732</v>
      </c>
      <c r="J540" s="145">
        <f>VLOOKUP($A540,'BC.115+260'!$B$13:$X$4089,20,0)/1000</f>
        <v>1.4850000000000001</v>
      </c>
      <c r="K540" s="145">
        <f>VLOOKUP($A540,'BC.115+260'!$B$13:$X$4089,21,0)/1000</f>
        <v>-1.5149999999999999</v>
      </c>
      <c r="L540" s="143">
        <f t="shared" si="36"/>
        <v>-1207</v>
      </c>
      <c r="M540" s="144">
        <f t="shared" si="37"/>
        <v>-1512</v>
      </c>
      <c r="N540" s="143">
        <f t="shared" si="38"/>
        <v>-1265</v>
      </c>
      <c r="O540" s="143"/>
    </row>
    <row r="541" spans="1:15">
      <c r="A541" s="81"/>
      <c r="B541" s="143"/>
      <c r="C541" s="145"/>
      <c r="D541" s="145"/>
      <c r="E541" s="146"/>
      <c r="F541" s="145"/>
      <c r="G541" s="145"/>
      <c r="H541" s="145"/>
      <c r="I541" s="145"/>
      <c r="J541" s="145"/>
      <c r="K541" s="145"/>
      <c r="L541" s="143"/>
      <c r="M541" s="144"/>
      <c r="N541" s="143"/>
      <c r="O541" s="143"/>
    </row>
    <row r="542" spans="1:15">
      <c r="A542" s="81"/>
      <c r="B542" s="143"/>
      <c r="C542" s="145"/>
      <c r="D542" s="145"/>
      <c r="E542" s="146"/>
      <c r="F542" s="145"/>
      <c r="G542" s="145"/>
      <c r="H542" s="145"/>
      <c r="I542" s="145"/>
      <c r="J542" s="145"/>
      <c r="K542" s="145"/>
      <c r="L542" s="143"/>
      <c r="M542" s="144"/>
      <c r="N542" s="143"/>
      <c r="O542" s="143"/>
    </row>
    <row r="543" spans="1:15">
      <c r="A543" s="81"/>
      <c r="B543" s="143"/>
      <c r="C543" s="145"/>
      <c r="D543" s="145"/>
      <c r="E543" s="146"/>
      <c r="F543" s="145"/>
      <c r="G543" s="145"/>
      <c r="H543" s="145"/>
      <c r="I543" s="145"/>
      <c r="J543" s="145"/>
      <c r="K543" s="145"/>
      <c r="L543" s="143"/>
      <c r="M543" s="144"/>
      <c r="N543" s="143"/>
      <c r="O543" s="143"/>
    </row>
    <row r="544" spans="1:15">
      <c r="A544" s="81"/>
      <c r="B544" s="143"/>
      <c r="C544" s="145"/>
      <c r="D544" s="145"/>
      <c r="E544" s="146"/>
      <c r="F544" s="145"/>
      <c r="G544" s="145"/>
      <c r="H544" s="145"/>
      <c r="I544" s="145"/>
      <c r="J544" s="145"/>
      <c r="K544" s="145"/>
      <c r="L544" s="143"/>
      <c r="M544" s="144"/>
      <c r="N544" s="143"/>
      <c r="O544" s="143"/>
    </row>
    <row r="545" spans="1:15">
      <c r="A545" s="81"/>
      <c r="B545" s="143"/>
      <c r="C545" s="145"/>
      <c r="D545" s="145"/>
      <c r="E545" s="146"/>
      <c r="F545" s="145"/>
      <c r="G545" s="145"/>
      <c r="H545" s="145"/>
      <c r="I545" s="145"/>
      <c r="J545" s="145"/>
      <c r="K545" s="145"/>
      <c r="L545" s="143"/>
      <c r="M545" s="144"/>
      <c r="N545" s="143"/>
      <c r="O545" s="143"/>
    </row>
    <row r="546" spans="1:15">
      <c r="A546" s="81"/>
      <c r="B546" s="143"/>
      <c r="C546" s="145"/>
      <c r="D546" s="145"/>
      <c r="E546" s="146"/>
      <c r="F546" s="145"/>
      <c r="G546" s="145"/>
      <c r="H546" s="145"/>
      <c r="I546" s="145"/>
      <c r="J546" s="145"/>
      <c r="K546" s="145"/>
      <c r="L546" s="143"/>
      <c r="M546" s="144"/>
      <c r="N546" s="143"/>
      <c r="O546" s="143"/>
    </row>
    <row r="547" spans="1:15">
      <c r="A547" s="81"/>
      <c r="B547" s="143"/>
      <c r="C547" s="145"/>
      <c r="D547" s="145"/>
      <c r="E547" s="146"/>
      <c r="F547" s="145"/>
      <c r="G547" s="145"/>
      <c r="H547" s="145"/>
      <c r="I547" s="145"/>
      <c r="J547" s="145"/>
      <c r="K547" s="145"/>
      <c r="L547" s="143"/>
      <c r="M547" s="144"/>
      <c r="N547" s="143"/>
      <c r="O547" s="143"/>
    </row>
    <row r="548" spans="1:15">
      <c r="A548" s="81"/>
      <c r="B548" s="143"/>
      <c r="C548" s="145"/>
      <c r="D548" s="145"/>
      <c r="E548" s="146"/>
      <c r="F548" s="145"/>
      <c r="G548" s="145"/>
      <c r="H548" s="145"/>
      <c r="I548" s="145"/>
      <c r="J548" s="145"/>
      <c r="K548" s="145"/>
      <c r="L548" s="143"/>
      <c r="M548" s="144"/>
      <c r="N548" s="143"/>
      <c r="O548" s="143"/>
    </row>
    <row r="549" spans="1:15">
      <c r="A549" s="81"/>
      <c r="B549" s="143"/>
      <c r="C549" s="145"/>
      <c r="D549" s="145"/>
      <c r="E549" s="146"/>
      <c r="F549" s="145"/>
      <c r="G549" s="145"/>
      <c r="H549" s="145"/>
      <c r="I549" s="145"/>
      <c r="J549" s="145"/>
      <c r="K549" s="145"/>
      <c r="L549" s="143"/>
      <c r="M549" s="144"/>
      <c r="N549" s="143"/>
      <c r="O549" s="143"/>
    </row>
    <row r="550" spans="1:15">
      <c r="A550" s="81"/>
      <c r="B550" s="143"/>
      <c r="C550" s="145"/>
      <c r="D550" s="145"/>
      <c r="E550" s="146"/>
      <c r="F550" s="145"/>
      <c r="G550" s="145"/>
      <c r="H550" s="145"/>
      <c r="I550" s="145"/>
      <c r="J550" s="145"/>
      <c r="K550" s="145"/>
      <c r="L550" s="143"/>
      <c r="M550" s="144"/>
      <c r="N550" s="143"/>
      <c r="O550" s="143"/>
    </row>
    <row r="551" spans="1:15">
      <c r="A551" s="81"/>
      <c r="B551" s="143"/>
      <c r="C551" s="145"/>
      <c r="D551" s="145"/>
      <c r="E551" s="146"/>
      <c r="F551" s="145"/>
      <c r="G551" s="145"/>
      <c r="H551" s="145"/>
      <c r="I551" s="145"/>
      <c r="J551" s="145"/>
      <c r="K551" s="145"/>
      <c r="L551" s="143"/>
      <c r="M551" s="144"/>
      <c r="N551" s="143"/>
      <c r="O551" s="143"/>
    </row>
    <row r="552" spans="1:15">
      <c r="A552" s="81"/>
      <c r="B552" s="143"/>
      <c r="C552" s="145"/>
      <c r="D552" s="145"/>
      <c r="E552" s="146"/>
      <c r="F552" s="145"/>
      <c r="G552" s="145"/>
      <c r="H552" s="145"/>
      <c r="I552" s="145"/>
      <c r="J552" s="145"/>
      <c r="K552" s="145"/>
      <c r="L552" s="143"/>
      <c r="M552" s="144"/>
      <c r="N552" s="143"/>
      <c r="O552" s="143"/>
    </row>
    <row r="553" spans="1:15">
      <c r="A553" s="81"/>
      <c r="B553" s="143"/>
      <c r="C553" s="145"/>
      <c r="D553" s="145"/>
      <c r="E553" s="146"/>
      <c r="F553" s="145"/>
      <c r="G553" s="145"/>
      <c r="H553" s="145"/>
      <c r="I553" s="145"/>
      <c r="J553" s="145"/>
      <c r="K553" s="145"/>
      <c r="L553" s="143"/>
      <c r="M553" s="144"/>
      <c r="N553" s="143"/>
      <c r="O553" s="143"/>
    </row>
    <row r="554" spans="1:15">
      <c r="A554" s="81"/>
      <c r="B554" s="143"/>
      <c r="C554" s="145"/>
      <c r="D554" s="145"/>
      <c r="E554" s="146"/>
      <c r="F554" s="145"/>
      <c r="G554" s="145"/>
      <c r="H554" s="145"/>
      <c r="I554" s="145"/>
      <c r="J554" s="145"/>
      <c r="K554" s="145"/>
      <c r="L554" s="143"/>
      <c r="M554" s="144"/>
      <c r="N554" s="143"/>
      <c r="O554" s="143"/>
    </row>
    <row r="555" spans="1:15">
      <c r="A555" s="81"/>
      <c r="B555" s="143"/>
      <c r="C555" s="145"/>
      <c r="D555" s="145"/>
      <c r="E555" s="146"/>
      <c r="F555" s="145"/>
      <c r="G555" s="145"/>
      <c r="H555" s="145"/>
      <c r="I555" s="145"/>
      <c r="J555" s="145"/>
      <c r="K555" s="145"/>
      <c r="L555" s="143"/>
      <c r="M555" s="144"/>
      <c r="N555" s="143"/>
      <c r="O555" s="143"/>
    </row>
    <row r="556" spans="1:15">
      <c r="A556" s="81"/>
      <c r="B556" s="143"/>
      <c r="C556" s="145"/>
      <c r="D556" s="145"/>
      <c r="E556" s="146"/>
      <c r="F556" s="145"/>
      <c r="G556" s="145"/>
      <c r="H556" s="145"/>
      <c r="I556" s="145"/>
      <c r="J556" s="145"/>
      <c r="K556" s="145"/>
      <c r="L556" s="143"/>
      <c r="M556" s="144"/>
      <c r="N556" s="143"/>
      <c r="O556" s="143"/>
    </row>
    <row r="557" spans="1:15">
      <c r="A557" s="81"/>
      <c r="B557" s="143"/>
      <c r="C557" s="145"/>
      <c r="D557" s="145"/>
      <c r="E557" s="146"/>
      <c r="F557" s="145"/>
      <c r="G557" s="145"/>
      <c r="H557" s="145"/>
      <c r="I557" s="145"/>
      <c r="J557" s="145"/>
      <c r="K557" s="145"/>
      <c r="L557" s="143"/>
      <c r="M557" s="144"/>
      <c r="N557" s="143"/>
      <c r="O557" s="143"/>
    </row>
    <row r="558" spans="1:15">
      <c r="A558" s="81"/>
      <c r="B558" s="143"/>
      <c r="C558" s="145"/>
      <c r="D558" s="145"/>
      <c r="E558" s="146"/>
      <c r="F558" s="145"/>
      <c r="G558" s="145"/>
      <c r="H558" s="145"/>
      <c r="I558" s="145"/>
      <c r="J558" s="145"/>
      <c r="K558" s="145"/>
      <c r="L558" s="143"/>
      <c r="M558" s="144"/>
      <c r="N558" s="143"/>
      <c r="O558" s="143"/>
    </row>
    <row r="559" spans="1:15">
      <c r="A559" s="81"/>
      <c r="B559" s="143"/>
      <c r="C559" s="145"/>
      <c r="D559" s="145"/>
      <c r="E559" s="146"/>
      <c r="F559" s="145"/>
      <c r="G559" s="145"/>
      <c r="H559" s="145"/>
      <c r="I559" s="145"/>
      <c r="J559" s="145"/>
      <c r="K559" s="145"/>
      <c r="L559" s="143"/>
      <c r="M559" s="144"/>
      <c r="N559" s="143"/>
      <c r="O559" s="143"/>
    </row>
    <row r="560" spans="1:15">
      <c r="A560" s="81"/>
      <c r="B560" s="143"/>
      <c r="C560" s="145"/>
      <c r="D560" s="145"/>
      <c r="E560" s="146"/>
      <c r="F560" s="145"/>
      <c r="G560" s="145"/>
      <c r="H560" s="145"/>
      <c r="I560" s="145"/>
      <c r="J560" s="145"/>
      <c r="K560" s="145"/>
      <c r="L560" s="143"/>
      <c r="M560" s="144"/>
      <c r="N560" s="143"/>
      <c r="O560" s="143"/>
    </row>
    <row r="561" spans="1:15">
      <c r="A561" s="81"/>
      <c r="B561" s="143"/>
      <c r="C561" s="145"/>
      <c r="D561" s="145"/>
      <c r="E561" s="146"/>
      <c r="F561" s="145"/>
      <c r="G561" s="145"/>
      <c r="H561" s="145"/>
      <c r="I561" s="145"/>
      <c r="J561" s="145"/>
      <c r="K561" s="145"/>
      <c r="L561" s="143"/>
      <c r="M561" s="144"/>
      <c r="N561" s="143"/>
      <c r="O561" s="143"/>
    </row>
    <row r="562" spans="1:15">
      <c r="A562" s="81"/>
      <c r="B562" s="143"/>
      <c r="C562" s="145"/>
      <c r="D562" s="145"/>
      <c r="E562" s="146"/>
      <c r="F562" s="145"/>
      <c r="G562" s="145"/>
      <c r="H562" s="145"/>
      <c r="I562" s="145"/>
      <c r="J562" s="145"/>
      <c r="K562" s="145"/>
      <c r="L562" s="143"/>
      <c r="M562" s="144"/>
      <c r="N562" s="143"/>
      <c r="O562" s="143"/>
    </row>
    <row r="563" spans="1:15">
      <c r="A563" s="81"/>
      <c r="B563" s="143"/>
      <c r="C563" s="145"/>
      <c r="D563" s="145"/>
      <c r="E563" s="146"/>
      <c r="F563" s="145"/>
      <c r="G563" s="145"/>
      <c r="H563" s="145"/>
      <c r="I563" s="145"/>
      <c r="J563" s="145"/>
      <c r="K563" s="145"/>
      <c r="L563" s="143"/>
      <c r="M563" s="144"/>
      <c r="N563" s="143"/>
      <c r="O563" s="143"/>
    </row>
    <row r="564" spans="1:15">
      <c r="A564" s="81"/>
      <c r="B564" s="143"/>
      <c r="C564" s="145"/>
      <c r="D564" s="145"/>
      <c r="E564" s="146"/>
      <c r="F564" s="145"/>
      <c r="G564" s="145"/>
      <c r="H564" s="145"/>
      <c r="I564" s="145"/>
      <c r="J564" s="145"/>
      <c r="K564" s="145"/>
      <c r="L564" s="143"/>
      <c r="M564" s="144"/>
      <c r="N564" s="143"/>
      <c r="O564" s="143"/>
    </row>
    <row r="565" spans="1:15">
      <c r="A565" s="81"/>
      <c r="B565" s="143"/>
      <c r="C565" s="145"/>
      <c r="D565" s="145"/>
      <c r="E565" s="146"/>
      <c r="F565" s="145"/>
      <c r="G565" s="145"/>
      <c r="H565" s="145"/>
      <c r="I565" s="145"/>
      <c r="J565" s="145"/>
      <c r="K565" s="145"/>
      <c r="L565" s="143"/>
      <c r="M565" s="144"/>
      <c r="N565" s="143"/>
      <c r="O565" s="143"/>
    </row>
    <row r="566" spans="1:15">
      <c r="A566" s="81"/>
      <c r="B566" s="143"/>
      <c r="C566" s="145"/>
      <c r="D566" s="145"/>
      <c r="E566" s="146"/>
      <c r="F566" s="145"/>
      <c r="G566" s="145"/>
      <c r="H566" s="145"/>
      <c r="I566" s="145"/>
      <c r="J566" s="145"/>
      <c r="K566" s="145"/>
      <c r="L566" s="143"/>
      <c r="M566" s="144"/>
      <c r="N566" s="143"/>
      <c r="O566" s="143"/>
    </row>
    <row r="567" spans="1:15">
      <c r="A567" s="81"/>
      <c r="B567" s="143"/>
      <c r="C567" s="145"/>
      <c r="D567" s="145"/>
      <c r="E567" s="146"/>
      <c r="F567" s="145"/>
      <c r="G567" s="145"/>
      <c r="H567" s="145"/>
      <c r="I567" s="145"/>
      <c r="J567" s="145"/>
      <c r="K567" s="145"/>
      <c r="L567" s="143"/>
      <c r="M567" s="144"/>
      <c r="N567" s="143"/>
      <c r="O567" s="143"/>
    </row>
    <row r="568" spans="1:15">
      <c r="A568" s="81"/>
      <c r="B568" s="143"/>
      <c r="C568" s="145"/>
      <c r="D568" s="145"/>
      <c r="E568" s="146"/>
      <c r="F568" s="145"/>
      <c r="G568" s="145"/>
      <c r="H568" s="145"/>
      <c r="I568" s="145"/>
      <c r="J568" s="145"/>
      <c r="K568" s="145"/>
      <c r="L568" s="143"/>
      <c r="M568" s="144"/>
      <c r="N568" s="143"/>
      <c r="O568" s="143"/>
    </row>
    <row r="569" spans="1:15">
      <c r="A569" s="81"/>
      <c r="B569" s="143"/>
      <c r="C569" s="145"/>
      <c r="D569" s="145"/>
      <c r="E569" s="146"/>
      <c r="F569" s="145"/>
      <c r="G569" s="145"/>
      <c r="H569" s="145"/>
      <c r="I569" s="145"/>
      <c r="J569" s="145"/>
      <c r="K569" s="145"/>
      <c r="L569" s="143"/>
      <c r="M569" s="144"/>
      <c r="N569" s="143"/>
      <c r="O569" s="143"/>
    </row>
    <row r="570" spans="1:15">
      <c r="A570" s="81"/>
      <c r="B570" s="143"/>
      <c r="C570" s="145"/>
      <c r="D570" s="145"/>
      <c r="E570" s="146"/>
      <c r="F570" s="145"/>
      <c r="G570" s="145"/>
      <c r="H570" s="145"/>
      <c r="I570" s="145"/>
      <c r="J570" s="145"/>
      <c r="K570" s="145"/>
      <c r="L570" s="143"/>
      <c r="M570" s="144"/>
      <c r="N570" s="143"/>
      <c r="O570" s="143"/>
    </row>
    <row r="571" spans="1:15">
      <c r="A571" s="81"/>
      <c r="B571" s="143"/>
      <c r="C571" s="145"/>
      <c r="D571" s="145"/>
      <c r="E571" s="146"/>
      <c r="F571" s="145"/>
      <c r="G571" s="145"/>
      <c r="H571" s="145"/>
      <c r="I571" s="145"/>
      <c r="J571" s="145"/>
      <c r="K571" s="145"/>
      <c r="L571" s="143"/>
      <c r="M571" s="144"/>
      <c r="N571" s="143"/>
      <c r="O571" s="143"/>
    </row>
    <row r="572" spans="1:15">
      <c r="A572" s="81"/>
      <c r="B572" s="143"/>
      <c r="C572" s="145"/>
      <c r="D572" s="145"/>
      <c r="E572" s="146"/>
      <c r="F572" s="145"/>
      <c r="G572" s="145"/>
      <c r="H572" s="145"/>
      <c r="I572" s="145"/>
      <c r="J572" s="145"/>
      <c r="K572" s="145"/>
      <c r="L572" s="143"/>
      <c r="M572" s="144"/>
      <c r="N572" s="143"/>
      <c r="O572" s="143"/>
    </row>
    <row r="573" spans="1:15">
      <c r="A573" s="81"/>
      <c r="B573" s="143"/>
      <c r="C573" s="145"/>
      <c r="D573" s="145"/>
      <c r="E573" s="146"/>
      <c r="F573" s="145"/>
      <c r="G573" s="145"/>
      <c r="H573" s="145"/>
      <c r="I573" s="145"/>
      <c r="J573" s="145"/>
      <c r="K573" s="145"/>
      <c r="L573" s="143"/>
      <c r="M573" s="144"/>
      <c r="N573" s="143"/>
      <c r="O573" s="143"/>
    </row>
    <row r="574" spans="1:15">
      <c r="A574" s="81"/>
      <c r="B574" s="143"/>
      <c r="C574" s="145"/>
      <c r="D574" s="145"/>
      <c r="E574" s="146"/>
      <c r="F574" s="145"/>
      <c r="G574" s="145"/>
      <c r="H574" s="145"/>
      <c r="I574" s="145"/>
      <c r="J574" s="145"/>
      <c r="K574" s="145"/>
      <c r="L574" s="143"/>
      <c r="M574" s="144"/>
      <c r="N574" s="143"/>
      <c r="O574" s="143"/>
    </row>
    <row r="575" spans="1:15">
      <c r="A575" s="81"/>
      <c r="B575" s="143"/>
      <c r="C575" s="145"/>
      <c r="D575" s="145"/>
      <c r="E575" s="146"/>
      <c r="F575" s="145"/>
      <c r="G575" s="145"/>
      <c r="H575" s="145"/>
      <c r="I575" s="145"/>
      <c r="J575" s="145"/>
      <c r="K575" s="145"/>
      <c r="L575" s="143"/>
      <c r="M575" s="144"/>
      <c r="N575" s="143"/>
      <c r="O575" s="143"/>
    </row>
    <row r="576" spans="1:15">
      <c r="A576" s="81"/>
      <c r="B576" s="143"/>
      <c r="C576" s="145"/>
      <c r="D576" s="145"/>
      <c r="E576" s="146"/>
      <c r="F576" s="145"/>
      <c r="G576" s="145"/>
      <c r="H576" s="145"/>
      <c r="I576" s="145"/>
      <c r="J576" s="145"/>
      <c r="K576" s="145"/>
      <c r="L576" s="143"/>
      <c r="M576" s="144"/>
      <c r="N576" s="143"/>
      <c r="O576" s="143"/>
    </row>
    <row r="577" spans="1:15">
      <c r="A577" s="81"/>
      <c r="B577" s="143"/>
      <c r="C577" s="145"/>
      <c r="D577" s="145"/>
      <c r="E577" s="146"/>
      <c r="F577" s="145"/>
      <c r="G577" s="145"/>
      <c r="H577" s="145"/>
      <c r="I577" s="145"/>
      <c r="J577" s="145"/>
      <c r="K577" s="145"/>
      <c r="L577" s="143"/>
      <c r="M577" s="144"/>
      <c r="N577" s="143"/>
      <c r="O577" s="143"/>
    </row>
    <row r="578" spans="1:15">
      <c r="A578" s="81"/>
      <c r="B578" s="143"/>
      <c r="C578" s="145"/>
      <c r="D578" s="145"/>
      <c r="E578" s="146"/>
      <c r="F578" s="145"/>
      <c r="G578" s="145"/>
      <c r="H578" s="145"/>
      <c r="I578" s="145"/>
      <c r="J578" s="145"/>
      <c r="K578" s="145"/>
      <c r="L578" s="143"/>
      <c r="M578" s="144"/>
      <c r="N578" s="143"/>
      <c r="O578" s="143"/>
    </row>
    <row r="579" spans="1:15">
      <c r="A579" s="81"/>
      <c r="B579" s="143"/>
      <c r="C579" s="145"/>
      <c r="D579" s="145"/>
      <c r="E579" s="146"/>
      <c r="F579" s="145"/>
      <c r="G579" s="145"/>
      <c r="H579" s="145"/>
      <c r="I579" s="145"/>
      <c r="J579" s="145"/>
      <c r="K579" s="145"/>
      <c r="L579" s="143"/>
      <c r="M579" s="144"/>
      <c r="N579" s="143"/>
      <c r="O579" s="143"/>
    </row>
    <row r="580" spans="1:15">
      <c r="A580" s="81"/>
      <c r="B580" s="143"/>
      <c r="C580" s="145"/>
      <c r="D580" s="145"/>
      <c r="E580" s="146"/>
      <c r="F580" s="145"/>
      <c r="G580" s="145"/>
      <c r="H580" s="145"/>
      <c r="I580" s="145"/>
      <c r="J580" s="145"/>
      <c r="K580" s="145"/>
      <c r="L580" s="143"/>
      <c r="M580" s="144"/>
      <c r="N580" s="143"/>
      <c r="O580" s="143"/>
    </row>
    <row r="581" spans="1:15">
      <c r="A581" s="81"/>
      <c r="B581" s="143"/>
      <c r="C581" s="145"/>
      <c r="D581" s="145"/>
      <c r="E581" s="146"/>
      <c r="F581" s="145"/>
      <c r="G581" s="145"/>
      <c r="H581" s="145"/>
      <c r="I581" s="145"/>
      <c r="J581" s="145"/>
      <c r="K581" s="145"/>
      <c r="L581" s="143"/>
      <c r="M581" s="144"/>
      <c r="N581" s="143"/>
      <c r="O581" s="143"/>
    </row>
    <row r="582" spans="1:15">
      <c r="A582" s="81"/>
      <c r="B582" s="143"/>
      <c r="C582" s="145"/>
      <c r="D582" s="145"/>
      <c r="E582" s="146"/>
      <c r="F582" s="145"/>
      <c r="G582" s="145"/>
      <c r="H582" s="145"/>
      <c r="I582" s="145"/>
      <c r="J582" s="145"/>
      <c r="K582" s="145"/>
      <c r="L582" s="143"/>
      <c r="M582" s="144"/>
      <c r="N582" s="143"/>
      <c r="O582" s="143"/>
    </row>
    <row r="583" spans="1:15">
      <c r="A583" s="81"/>
      <c r="B583" s="143"/>
      <c r="C583" s="145"/>
      <c r="D583" s="145"/>
      <c r="E583" s="146"/>
      <c r="F583" s="145"/>
      <c r="G583" s="145"/>
      <c r="H583" s="145"/>
      <c r="I583" s="145"/>
      <c r="J583" s="145"/>
      <c r="K583" s="145"/>
      <c r="L583" s="143"/>
      <c r="M583" s="144"/>
      <c r="N583" s="143"/>
      <c r="O583" s="143"/>
    </row>
    <row r="584" spans="1:15">
      <c r="A584" s="81"/>
      <c r="B584" s="143"/>
      <c r="C584" s="145"/>
      <c r="D584" s="145"/>
      <c r="E584" s="146"/>
      <c r="F584" s="145"/>
      <c r="G584" s="145"/>
      <c r="H584" s="145"/>
      <c r="I584" s="145"/>
      <c r="J584" s="145"/>
      <c r="K584" s="145"/>
      <c r="L584" s="143"/>
      <c r="M584" s="144"/>
      <c r="N584" s="143"/>
      <c r="O584" s="143"/>
    </row>
    <row r="585" spans="1:15">
      <c r="A585" s="81"/>
      <c r="B585" s="143"/>
      <c r="C585" s="145"/>
      <c r="D585" s="145"/>
      <c r="E585" s="146"/>
      <c r="F585" s="145"/>
      <c r="G585" s="145"/>
      <c r="H585" s="145"/>
      <c r="I585" s="145"/>
      <c r="J585" s="145"/>
      <c r="K585" s="145"/>
      <c r="L585" s="143"/>
      <c r="M585" s="144"/>
      <c r="N585" s="143"/>
      <c r="O585" s="143"/>
    </row>
    <row r="586" spans="1:15">
      <c r="A586" s="81"/>
      <c r="B586" s="143"/>
      <c r="C586" s="145"/>
      <c r="D586" s="145"/>
      <c r="E586" s="146"/>
      <c r="F586" s="145"/>
      <c r="G586" s="145"/>
      <c r="H586" s="145"/>
      <c r="I586" s="145"/>
      <c r="J586" s="145"/>
      <c r="K586" s="145"/>
      <c r="L586" s="143"/>
      <c r="M586" s="144"/>
      <c r="N586" s="143"/>
      <c r="O586" s="143"/>
    </row>
    <row r="587" spans="1:15">
      <c r="A587" s="81"/>
      <c r="B587" s="143"/>
      <c r="C587" s="145"/>
      <c r="D587" s="145"/>
      <c r="E587" s="146"/>
      <c r="F587" s="145"/>
      <c r="G587" s="145"/>
      <c r="H587" s="145"/>
      <c r="I587" s="145"/>
      <c r="J587" s="145"/>
      <c r="K587" s="145"/>
      <c r="L587" s="143"/>
      <c r="M587" s="144"/>
      <c r="N587" s="143"/>
      <c r="O587" s="143"/>
    </row>
    <row r="588" spans="1:15">
      <c r="A588" s="81"/>
      <c r="B588" s="143"/>
      <c r="C588" s="145"/>
      <c r="D588" s="145"/>
      <c r="E588" s="146"/>
      <c r="F588" s="145"/>
      <c r="G588" s="145"/>
      <c r="H588" s="145"/>
      <c r="I588" s="145"/>
      <c r="J588" s="145"/>
      <c r="K588" s="145"/>
      <c r="L588" s="143"/>
      <c r="M588" s="144"/>
      <c r="N588" s="143"/>
      <c r="O588" s="143"/>
    </row>
    <row r="589" spans="1:15">
      <c r="A589" s="81"/>
      <c r="B589" s="143"/>
      <c r="C589" s="145"/>
      <c r="D589" s="145"/>
      <c r="E589" s="146"/>
      <c r="F589" s="145"/>
      <c r="G589" s="145"/>
      <c r="H589" s="145"/>
      <c r="I589" s="145"/>
      <c r="J589" s="145"/>
      <c r="K589" s="145"/>
      <c r="L589" s="143"/>
      <c r="M589" s="144"/>
      <c r="N589" s="143"/>
      <c r="O589" s="143"/>
    </row>
    <row r="590" spans="1:15">
      <c r="A590" s="81"/>
      <c r="B590" s="143"/>
      <c r="C590" s="145"/>
      <c r="D590" s="145"/>
      <c r="E590" s="146"/>
      <c r="F590" s="145"/>
      <c r="G590" s="145"/>
      <c r="H590" s="145"/>
      <c r="I590" s="145"/>
      <c r="J590" s="145"/>
      <c r="K590" s="145"/>
      <c r="L590" s="143"/>
      <c r="M590" s="144"/>
      <c r="N590" s="143"/>
      <c r="O590" s="143"/>
    </row>
    <row r="591" spans="1:15">
      <c r="A591" s="81"/>
      <c r="B591" s="143"/>
      <c r="C591" s="145"/>
      <c r="D591" s="145"/>
      <c r="E591" s="146"/>
      <c r="F591" s="145"/>
      <c r="G591" s="145"/>
      <c r="H591" s="145"/>
      <c r="I591" s="145"/>
      <c r="J591" s="145"/>
      <c r="K591" s="145"/>
      <c r="L591" s="143"/>
      <c r="M591" s="144"/>
      <c r="N591" s="143"/>
      <c r="O591" s="143"/>
    </row>
    <row r="592" spans="1:15">
      <c r="A592" s="81"/>
      <c r="B592" s="143"/>
      <c r="C592" s="145"/>
      <c r="D592" s="145"/>
      <c r="E592" s="146"/>
      <c r="F592" s="145"/>
      <c r="G592" s="145"/>
      <c r="H592" s="145"/>
      <c r="I592" s="145"/>
      <c r="J592" s="145"/>
      <c r="K592" s="145"/>
      <c r="L592" s="143"/>
      <c r="M592" s="144"/>
      <c r="N592" s="143"/>
      <c r="O592" s="143"/>
    </row>
    <row r="593" spans="1:15">
      <c r="A593" s="81"/>
      <c r="B593" s="143"/>
      <c r="C593" s="145"/>
      <c r="D593" s="145"/>
      <c r="E593" s="146"/>
      <c r="F593" s="145"/>
      <c r="G593" s="145"/>
      <c r="H593" s="145"/>
      <c r="I593" s="145"/>
      <c r="J593" s="145"/>
      <c r="K593" s="145"/>
      <c r="L593" s="143"/>
      <c r="M593" s="144"/>
      <c r="N593" s="143"/>
      <c r="O593" s="143"/>
    </row>
    <row r="594" spans="1:15">
      <c r="A594" s="81"/>
      <c r="B594" s="143"/>
      <c r="C594" s="145"/>
      <c r="D594" s="145"/>
      <c r="E594" s="146"/>
      <c r="F594" s="145"/>
      <c r="G594" s="145"/>
      <c r="H594" s="145"/>
      <c r="I594" s="145"/>
      <c r="J594" s="145"/>
      <c r="K594" s="145"/>
      <c r="L594" s="143"/>
      <c r="M594" s="144"/>
      <c r="N594" s="143"/>
      <c r="O594" s="143"/>
    </row>
    <row r="595" spans="1:15">
      <c r="A595" s="81"/>
      <c r="B595" s="143"/>
      <c r="C595" s="145"/>
      <c r="D595" s="145"/>
      <c r="E595" s="146"/>
      <c r="F595" s="145"/>
      <c r="G595" s="145"/>
      <c r="H595" s="145"/>
      <c r="I595" s="145"/>
      <c r="J595" s="145"/>
      <c r="K595" s="145"/>
      <c r="L595" s="143"/>
      <c r="M595" s="144"/>
      <c r="N595" s="143"/>
      <c r="O595" s="143"/>
    </row>
    <row r="596" spans="1:15">
      <c r="A596" s="81"/>
      <c r="B596" s="143"/>
      <c r="C596" s="145"/>
      <c r="D596" s="145"/>
      <c r="E596" s="146"/>
      <c r="F596" s="145"/>
      <c r="G596" s="145"/>
      <c r="H596" s="145"/>
      <c r="I596" s="145"/>
      <c r="J596" s="145"/>
      <c r="K596" s="145"/>
      <c r="L596" s="143"/>
      <c r="M596" s="144"/>
      <c r="N596" s="143"/>
      <c r="O596" s="143"/>
    </row>
    <row r="597" spans="1:15">
      <c r="A597" s="81"/>
      <c r="B597" s="143"/>
      <c r="C597" s="145"/>
      <c r="D597" s="145"/>
      <c r="E597" s="146"/>
      <c r="F597" s="145"/>
      <c r="G597" s="145"/>
      <c r="H597" s="145"/>
      <c r="I597" s="145"/>
      <c r="J597" s="145"/>
      <c r="K597" s="145"/>
      <c r="L597" s="143"/>
      <c r="M597" s="144"/>
      <c r="N597" s="143"/>
      <c r="O597" s="143"/>
    </row>
    <row r="598" spans="1:15">
      <c r="A598" s="81"/>
      <c r="B598" s="143"/>
      <c r="C598" s="145"/>
      <c r="D598" s="145"/>
      <c r="E598" s="146"/>
      <c r="F598" s="145"/>
      <c r="G598" s="145"/>
      <c r="H598" s="145"/>
      <c r="I598" s="145"/>
      <c r="J598" s="145"/>
      <c r="K598" s="145"/>
      <c r="L598" s="143"/>
      <c r="M598" s="144"/>
      <c r="N598" s="143"/>
      <c r="O598" s="143"/>
    </row>
    <row r="599" spans="1:15">
      <c r="A599" s="81"/>
      <c r="B599" s="143"/>
      <c r="C599" s="145"/>
      <c r="D599" s="145"/>
      <c r="E599" s="146"/>
      <c r="F599" s="145"/>
      <c r="G599" s="145"/>
      <c r="H599" s="145"/>
      <c r="I599" s="145"/>
      <c r="J599" s="145"/>
      <c r="K599" s="145"/>
      <c r="L599" s="143"/>
      <c r="M599" s="144"/>
      <c r="N599" s="143"/>
      <c r="O599" s="143"/>
    </row>
    <row r="600" spans="1:15">
      <c r="A600" s="81"/>
      <c r="B600" s="143"/>
      <c r="C600" s="145"/>
      <c r="D600" s="145"/>
      <c r="E600" s="146"/>
      <c r="F600" s="145"/>
      <c r="G600" s="145"/>
      <c r="H600" s="145"/>
      <c r="I600" s="145"/>
      <c r="J600" s="145"/>
      <c r="K600" s="145"/>
      <c r="L600" s="143"/>
      <c r="M600" s="144"/>
      <c r="N600" s="143"/>
      <c r="O600" s="143"/>
    </row>
    <row r="601" spans="1:15">
      <c r="A601" s="81"/>
      <c r="B601" s="143"/>
      <c r="C601" s="145"/>
      <c r="D601" s="145"/>
      <c r="E601" s="146"/>
      <c r="F601" s="145"/>
      <c r="G601" s="145"/>
      <c r="H601" s="145"/>
      <c r="I601" s="145"/>
      <c r="J601" s="145"/>
      <c r="K601" s="145"/>
      <c r="L601" s="143"/>
      <c r="M601" s="144"/>
      <c r="N601" s="143"/>
      <c r="O601" s="143"/>
    </row>
    <row r="602" spans="1:15">
      <c r="A602" s="81"/>
      <c r="B602" s="143"/>
      <c r="C602" s="145"/>
      <c r="D602" s="145"/>
      <c r="E602" s="146"/>
      <c r="F602" s="145"/>
      <c r="G602" s="145"/>
      <c r="H602" s="145"/>
      <c r="I602" s="145"/>
      <c r="J602" s="145"/>
      <c r="K602" s="145"/>
      <c r="L602" s="143"/>
      <c r="M602" s="144"/>
      <c r="N602" s="143"/>
      <c r="O602" s="143"/>
    </row>
    <row r="603" spans="1:15">
      <c r="A603" s="81"/>
      <c r="B603" s="143"/>
      <c r="C603" s="145"/>
      <c r="D603" s="145"/>
      <c r="E603" s="146"/>
      <c r="F603" s="145"/>
      <c r="G603" s="145"/>
      <c r="H603" s="145"/>
      <c r="I603" s="145"/>
      <c r="J603" s="145"/>
      <c r="K603" s="145"/>
      <c r="L603" s="143"/>
      <c r="M603" s="144"/>
      <c r="N603" s="143"/>
      <c r="O603" s="143"/>
    </row>
    <row r="604" spans="1:15">
      <c r="A604" s="81"/>
      <c r="B604" s="143"/>
      <c r="C604" s="145"/>
      <c r="D604" s="145"/>
      <c r="E604" s="146"/>
      <c r="F604" s="145"/>
      <c r="G604" s="145"/>
      <c r="H604" s="145"/>
      <c r="I604" s="145"/>
      <c r="J604" s="145"/>
      <c r="K604" s="145"/>
      <c r="L604" s="143"/>
      <c r="M604" s="144"/>
      <c r="N604" s="143"/>
      <c r="O604" s="143"/>
    </row>
    <row r="605" spans="1:15">
      <c r="A605" s="81"/>
      <c r="B605" s="143"/>
      <c r="C605" s="145"/>
      <c r="D605" s="145"/>
      <c r="E605" s="146"/>
      <c r="F605" s="145"/>
      <c r="G605" s="145"/>
      <c r="H605" s="145"/>
      <c r="I605" s="145"/>
      <c r="J605" s="145"/>
      <c r="K605" s="145"/>
      <c r="L605" s="143"/>
      <c r="M605" s="144"/>
      <c r="N605" s="143"/>
      <c r="O605" s="143"/>
    </row>
    <row r="606" spans="1:15">
      <c r="A606" s="81"/>
      <c r="B606" s="143"/>
      <c r="C606" s="145"/>
      <c r="D606" s="145"/>
      <c r="E606" s="146"/>
      <c r="F606" s="145"/>
      <c r="G606" s="145"/>
      <c r="H606" s="145"/>
      <c r="I606" s="145"/>
      <c r="J606" s="145"/>
      <c r="K606" s="145"/>
      <c r="L606" s="143"/>
      <c r="M606" s="144"/>
      <c r="N606" s="143"/>
      <c r="O606" s="143"/>
    </row>
    <row r="607" spans="1:15">
      <c r="A607" s="81"/>
      <c r="B607" s="143"/>
      <c r="C607" s="145"/>
      <c r="D607" s="145"/>
      <c r="E607" s="146"/>
      <c r="F607" s="145"/>
      <c r="G607" s="145"/>
      <c r="H607" s="145"/>
      <c r="I607" s="145"/>
      <c r="J607" s="145"/>
      <c r="K607" s="145"/>
      <c r="L607" s="143"/>
      <c r="M607" s="144"/>
      <c r="N607" s="143"/>
      <c r="O607" s="143"/>
    </row>
    <row r="608" spans="1:15">
      <c r="A608" s="81"/>
      <c r="B608" s="143"/>
      <c r="C608" s="145"/>
      <c r="D608" s="145"/>
      <c r="E608" s="146"/>
      <c r="F608" s="145"/>
      <c r="G608" s="145"/>
      <c r="H608" s="145"/>
      <c r="I608" s="145"/>
      <c r="J608" s="145"/>
      <c r="K608" s="145"/>
      <c r="L608" s="143"/>
      <c r="M608" s="144"/>
      <c r="N608" s="143"/>
      <c r="O608" s="143"/>
    </row>
    <row r="609" spans="1:15">
      <c r="A609" s="81"/>
      <c r="B609" s="143"/>
      <c r="C609" s="145"/>
      <c r="D609" s="145"/>
      <c r="E609" s="146"/>
      <c r="F609" s="145"/>
      <c r="G609" s="145"/>
      <c r="H609" s="145"/>
      <c r="I609" s="145"/>
      <c r="J609" s="145"/>
      <c r="K609" s="145"/>
      <c r="L609" s="143"/>
      <c r="M609" s="144"/>
      <c r="N609" s="143"/>
      <c r="O609" s="143"/>
    </row>
    <row r="610" spans="1:15">
      <c r="A610" s="81"/>
      <c r="B610" s="143"/>
      <c r="C610" s="145"/>
      <c r="D610" s="145"/>
      <c r="E610" s="146"/>
      <c r="F610" s="145"/>
      <c r="G610" s="145"/>
      <c r="H610" s="145"/>
      <c r="I610" s="145"/>
      <c r="J610" s="145"/>
      <c r="K610" s="145"/>
      <c r="L610" s="143"/>
      <c r="M610" s="144"/>
      <c r="N610" s="143"/>
      <c r="O610" s="143"/>
    </row>
    <row r="611" spans="1:15">
      <c r="A611" s="81"/>
      <c r="B611" s="143"/>
      <c r="C611" s="145"/>
      <c r="D611" s="145"/>
      <c r="E611" s="146"/>
      <c r="F611" s="145"/>
      <c r="G611" s="145"/>
      <c r="H611" s="145"/>
      <c r="I611" s="145"/>
      <c r="J611" s="145"/>
      <c r="K611" s="145"/>
      <c r="L611" s="143"/>
      <c r="M611" s="144"/>
      <c r="N611" s="143"/>
      <c r="O611" s="143"/>
    </row>
    <row r="612" spans="1:15">
      <c r="A612" s="81"/>
      <c r="B612" s="143"/>
      <c r="C612" s="145"/>
      <c r="D612" s="145"/>
      <c r="E612" s="146"/>
      <c r="F612" s="145"/>
      <c r="G612" s="145"/>
      <c r="H612" s="145"/>
      <c r="I612" s="145"/>
      <c r="J612" s="145"/>
      <c r="K612" s="145"/>
      <c r="L612" s="143"/>
      <c r="M612" s="144"/>
      <c r="N612" s="143"/>
      <c r="O612" s="143"/>
    </row>
    <row r="613" spans="1:15">
      <c r="A613" s="81"/>
      <c r="B613" s="143"/>
      <c r="C613" s="145"/>
      <c r="D613" s="145"/>
      <c r="E613" s="146"/>
      <c r="F613" s="145"/>
      <c r="G613" s="145"/>
      <c r="H613" s="145"/>
      <c r="I613" s="145"/>
      <c r="J613" s="145"/>
      <c r="K613" s="145"/>
      <c r="L613" s="143"/>
      <c r="M613" s="144"/>
      <c r="N613" s="143"/>
      <c r="O613" s="143"/>
    </row>
    <row r="614" spans="1:15">
      <c r="A614" s="81"/>
      <c r="B614" s="143"/>
      <c r="C614" s="145"/>
      <c r="D614" s="145"/>
      <c r="E614" s="146"/>
      <c r="F614" s="145"/>
      <c r="G614" s="145"/>
      <c r="H614" s="145"/>
      <c r="I614" s="145"/>
      <c r="J614" s="145"/>
      <c r="K614" s="145"/>
      <c r="L614" s="143"/>
      <c r="M614" s="144"/>
      <c r="N614" s="143"/>
      <c r="O614" s="143"/>
    </row>
    <row r="615" spans="1:15">
      <c r="A615" s="81"/>
      <c r="B615" s="143"/>
      <c r="C615" s="145"/>
      <c r="D615" s="145"/>
      <c r="E615" s="146"/>
      <c r="F615" s="145"/>
      <c r="G615" s="145"/>
      <c r="H615" s="145"/>
      <c r="I615" s="145"/>
      <c r="J615" s="145"/>
      <c r="K615" s="145"/>
      <c r="L615" s="143"/>
      <c r="M615" s="144"/>
      <c r="N615" s="143"/>
      <c r="O615" s="143"/>
    </row>
    <row r="616" spans="1:15">
      <c r="A616" s="81"/>
      <c r="B616" s="143"/>
      <c r="C616" s="145"/>
      <c r="D616" s="145"/>
      <c r="E616" s="146"/>
      <c r="F616" s="145"/>
      <c r="G616" s="145"/>
      <c r="H616" s="145"/>
      <c r="I616" s="145"/>
      <c r="J616" s="145"/>
      <c r="K616" s="145"/>
      <c r="L616" s="143"/>
      <c r="M616" s="144"/>
      <c r="N616" s="143"/>
      <c r="O616" s="143"/>
    </row>
    <row r="617" spans="1:15">
      <c r="A617" s="81"/>
      <c r="B617" s="143"/>
      <c r="C617" s="145"/>
      <c r="D617" s="145"/>
      <c r="E617" s="146"/>
      <c r="F617" s="145"/>
      <c r="G617" s="145"/>
      <c r="H617" s="145"/>
      <c r="I617" s="145"/>
      <c r="J617" s="145"/>
      <c r="K617" s="145"/>
      <c r="L617" s="143"/>
      <c r="M617" s="144"/>
      <c r="N617" s="143"/>
      <c r="O617" s="143"/>
    </row>
    <row r="618" spans="1:15">
      <c r="A618" s="81"/>
      <c r="B618" s="143"/>
      <c r="C618" s="145"/>
      <c r="D618" s="145"/>
      <c r="E618" s="146"/>
      <c r="F618" s="145"/>
      <c r="G618" s="145"/>
      <c r="H618" s="145"/>
      <c r="I618" s="145"/>
      <c r="J618" s="145"/>
      <c r="K618" s="145"/>
      <c r="L618" s="143"/>
      <c r="M618" s="144"/>
      <c r="N618" s="143"/>
      <c r="O618" s="143"/>
    </row>
    <row r="619" spans="1:15">
      <c r="A619" s="81"/>
      <c r="B619" s="143"/>
      <c r="C619" s="145"/>
      <c r="D619" s="145"/>
      <c r="E619" s="146"/>
      <c r="F619" s="145"/>
      <c r="G619" s="145"/>
      <c r="H619" s="145"/>
      <c r="I619" s="145"/>
      <c r="J619" s="145"/>
      <c r="K619" s="145"/>
      <c r="L619" s="143"/>
      <c r="M619" s="144"/>
      <c r="N619" s="143"/>
      <c r="O619" s="143"/>
    </row>
    <row r="620" spans="1:15">
      <c r="A620" s="81"/>
      <c r="B620" s="143"/>
      <c r="C620" s="145"/>
      <c r="D620" s="145"/>
      <c r="E620" s="146"/>
      <c r="F620" s="145"/>
      <c r="G620" s="145"/>
      <c r="H620" s="145"/>
      <c r="I620" s="145"/>
      <c r="J620" s="145"/>
      <c r="K620" s="145"/>
      <c r="L620" s="143"/>
      <c r="M620" s="144"/>
      <c r="N620" s="143"/>
      <c r="O620" s="143"/>
    </row>
    <row r="621" spans="1:15">
      <c r="A621" s="81"/>
      <c r="B621" s="143"/>
      <c r="C621" s="145"/>
      <c r="D621" s="145"/>
      <c r="E621" s="146"/>
      <c r="F621" s="145"/>
      <c r="G621" s="145"/>
      <c r="H621" s="145"/>
      <c r="I621" s="145"/>
      <c r="J621" s="145"/>
      <c r="K621" s="145"/>
      <c r="L621" s="143"/>
      <c r="M621" s="144"/>
      <c r="N621" s="143"/>
      <c r="O621" s="143"/>
    </row>
    <row r="622" spans="1:15">
      <c r="A622" s="81"/>
      <c r="B622" s="143"/>
      <c r="C622" s="145"/>
      <c r="D622" s="145"/>
      <c r="E622" s="146"/>
      <c r="F622" s="145"/>
      <c r="G622" s="145"/>
      <c r="H622" s="145"/>
      <c r="I622" s="145"/>
      <c r="J622" s="145"/>
      <c r="K622" s="145"/>
      <c r="L622" s="143"/>
      <c r="M622" s="144"/>
      <c r="N622" s="143"/>
      <c r="O622" s="143"/>
    </row>
    <row r="623" spans="1:15">
      <c r="A623" s="81"/>
      <c r="B623" s="143"/>
      <c r="C623" s="145"/>
      <c r="D623" s="145"/>
      <c r="E623" s="146"/>
      <c r="F623" s="145"/>
      <c r="G623" s="145"/>
      <c r="H623" s="145"/>
      <c r="I623" s="145"/>
      <c r="J623" s="145"/>
      <c r="K623" s="145"/>
      <c r="L623" s="143"/>
      <c r="M623" s="144"/>
      <c r="N623" s="143"/>
      <c r="O623" s="143"/>
    </row>
    <row r="624" spans="1:15">
      <c r="A624" s="81"/>
      <c r="B624" s="143"/>
      <c r="C624" s="145"/>
      <c r="D624" s="145"/>
      <c r="E624" s="146"/>
      <c r="F624" s="145"/>
      <c r="G624" s="145"/>
      <c r="H624" s="145"/>
      <c r="I624" s="145"/>
      <c r="J624" s="145"/>
      <c r="K624" s="145"/>
      <c r="L624" s="143"/>
      <c r="M624" s="144"/>
      <c r="N624" s="143"/>
      <c r="O624" s="143"/>
    </row>
    <row r="625" spans="1:15">
      <c r="A625" s="81"/>
      <c r="B625" s="143"/>
      <c r="C625" s="145"/>
      <c r="D625" s="145"/>
      <c r="E625" s="146"/>
      <c r="F625" s="145"/>
      <c r="G625" s="145"/>
      <c r="H625" s="145"/>
      <c r="I625" s="145"/>
      <c r="J625" s="145"/>
      <c r="K625" s="145"/>
      <c r="L625" s="143"/>
      <c r="M625" s="144"/>
      <c r="N625" s="143"/>
      <c r="O625" s="143"/>
    </row>
    <row r="626" spans="1:15">
      <c r="A626" s="81"/>
      <c r="B626" s="143"/>
      <c r="C626" s="145"/>
      <c r="D626" s="145"/>
      <c r="E626" s="146"/>
      <c r="F626" s="145"/>
      <c r="G626" s="145"/>
      <c r="H626" s="145"/>
      <c r="I626" s="145"/>
      <c r="J626" s="145"/>
      <c r="K626" s="145"/>
      <c r="L626" s="143"/>
      <c r="M626" s="144"/>
      <c r="N626" s="143"/>
      <c r="O626" s="143"/>
    </row>
    <row r="627" spans="1:15">
      <c r="A627" s="81"/>
      <c r="B627" s="143"/>
      <c r="C627" s="145"/>
      <c r="D627" s="145"/>
      <c r="E627" s="146"/>
      <c r="F627" s="145"/>
      <c r="G627" s="145"/>
      <c r="H627" s="145"/>
      <c r="I627" s="145"/>
      <c r="J627" s="145"/>
      <c r="K627" s="145"/>
      <c r="L627" s="143"/>
      <c r="M627" s="144"/>
      <c r="N627" s="143"/>
      <c r="O627" s="143"/>
    </row>
    <row r="628" spans="1:15">
      <c r="A628" s="81"/>
      <c r="B628" s="143"/>
      <c r="C628" s="145"/>
      <c r="D628" s="145"/>
      <c r="E628" s="146"/>
      <c r="F628" s="145"/>
      <c r="G628" s="145"/>
      <c r="H628" s="145"/>
      <c r="I628" s="145"/>
      <c r="J628" s="145"/>
      <c r="K628" s="145"/>
      <c r="L628" s="143"/>
      <c r="M628" s="144"/>
      <c r="N628" s="143"/>
      <c r="O628" s="143"/>
    </row>
    <row r="629" spans="1:15">
      <c r="A629" s="81"/>
      <c r="B629" s="143"/>
      <c r="C629" s="145"/>
      <c r="D629" s="145"/>
      <c r="E629" s="146"/>
      <c r="F629" s="145"/>
      <c r="G629" s="145"/>
      <c r="H629" s="145"/>
      <c r="I629" s="145"/>
      <c r="J629" s="145"/>
      <c r="K629" s="145"/>
      <c r="L629" s="143"/>
      <c r="M629" s="144"/>
      <c r="N629" s="143"/>
      <c r="O629" s="143"/>
    </row>
    <row r="630" spans="1:15">
      <c r="A630" s="81"/>
      <c r="B630" s="143"/>
      <c r="C630" s="145"/>
      <c r="D630" s="145"/>
      <c r="E630" s="146"/>
      <c r="F630" s="145"/>
      <c r="G630" s="145"/>
      <c r="H630" s="145"/>
      <c r="I630" s="145"/>
      <c r="J630" s="145"/>
      <c r="K630" s="145"/>
      <c r="L630" s="143"/>
      <c r="M630" s="144"/>
      <c r="N630" s="143"/>
      <c r="O630" s="143"/>
    </row>
    <row r="631" spans="1:15">
      <c r="A631" s="81"/>
      <c r="B631" s="143"/>
      <c r="C631" s="145"/>
      <c r="D631" s="145"/>
      <c r="E631" s="146"/>
      <c r="F631" s="145"/>
      <c r="G631" s="145"/>
      <c r="H631" s="145"/>
      <c r="I631" s="145"/>
      <c r="J631" s="145"/>
      <c r="K631" s="145"/>
      <c r="L631" s="143"/>
      <c r="M631" s="144"/>
      <c r="N631" s="143"/>
      <c r="O631" s="143"/>
    </row>
    <row r="632" spans="1:15">
      <c r="A632" s="81"/>
      <c r="B632" s="143"/>
      <c r="C632" s="145"/>
      <c r="D632" s="145"/>
      <c r="E632" s="146"/>
      <c r="F632" s="145"/>
      <c r="G632" s="145"/>
      <c r="H632" s="145"/>
      <c r="I632" s="145"/>
      <c r="J632" s="145"/>
      <c r="K632" s="145"/>
      <c r="L632" s="143"/>
      <c r="M632" s="144"/>
      <c r="N632" s="143"/>
      <c r="O632" s="143"/>
    </row>
    <row r="633" spans="1:15">
      <c r="A633" s="81"/>
      <c r="B633" s="143"/>
      <c r="C633" s="145"/>
      <c r="D633" s="145"/>
      <c r="E633" s="146"/>
      <c r="F633" s="145"/>
      <c r="G633" s="145"/>
      <c r="H633" s="145"/>
      <c r="I633" s="145"/>
      <c r="J633" s="145"/>
      <c r="K633" s="145"/>
      <c r="L633" s="143"/>
      <c r="M633" s="144"/>
      <c r="N633" s="143"/>
      <c r="O633" s="143"/>
    </row>
    <row r="634" spans="1:15">
      <c r="A634" s="81"/>
      <c r="B634" s="143"/>
      <c r="C634" s="145"/>
      <c r="D634" s="145"/>
      <c r="E634" s="146"/>
      <c r="F634" s="145"/>
      <c r="G634" s="145"/>
      <c r="H634" s="145"/>
      <c r="I634" s="145"/>
      <c r="J634" s="145"/>
      <c r="K634" s="145"/>
      <c r="L634" s="143"/>
      <c r="M634" s="144"/>
      <c r="N634" s="143"/>
      <c r="O634" s="143"/>
    </row>
    <row r="635" spans="1:15">
      <c r="A635" s="81"/>
      <c r="B635" s="143"/>
      <c r="C635" s="145"/>
      <c r="D635" s="145"/>
      <c r="E635" s="146"/>
      <c r="F635" s="145"/>
      <c r="G635" s="145"/>
      <c r="H635" s="145"/>
      <c r="I635" s="145"/>
      <c r="J635" s="145"/>
      <c r="K635" s="145"/>
      <c r="L635" s="143"/>
      <c r="M635" s="144"/>
      <c r="N635" s="143"/>
      <c r="O635" s="143"/>
    </row>
    <row r="636" spans="1:15">
      <c r="A636" s="81"/>
      <c r="B636" s="143"/>
      <c r="C636" s="145"/>
      <c r="D636" s="145"/>
      <c r="E636" s="146"/>
      <c r="F636" s="145"/>
      <c r="G636" s="145"/>
      <c r="H636" s="145"/>
      <c r="I636" s="145"/>
      <c r="J636" s="145"/>
      <c r="K636" s="145"/>
      <c r="L636" s="143"/>
      <c r="M636" s="144"/>
      <c r="N636" s="143"/>
      <c r="O636" s="143"/>
    </row>
    <row r="637" spans="1:15">
      <c r="A637" s="81"/>
      <c r="B637" s="143"/>
      <c r="C637" s="145"/>
      <c r="D637" s="145"/>
      <c r="E637" s="146"/>
      <c r="F637" s="145"/>
      <c r="G637" s="145"/>
      <c r="H637" s="145"/>
      <c r="I637" s="145"/>
      <c r="J637" s="145"/>
      <c r="K637" s="145"/>
      <c r="L637" s="143"/>
      <c r="M637" s="144"/>
      <c r="N637" s="143"/>
      <c r="O637" s="143"/>
    </row>
    <row r="638" spans="1:15">
      <c r="A638" s="81"/>
      <c r="B638" s="143"/>
      <c r="C638" s="145"/>
      <c r="D638" s="145"/>
      <c r="E638" s="146"/>
      <c r="F638" s="145"/>
      <c r="G638" s="145"/>
      <c r="H638" s="145"/>
      <c r="I638" s="145"/>
      <c r="J638" s="145"/>
      <c r="K638" s="145"/>
      <c r="L638" s="143"/>
      <c r="M638" s="144"/>
      <c r="N638" s="143"/>
      <c r="O638" s="143"/>
    </row>
    <row r="639" spans="1:15">
      <c r="A639" s="81"/>
      <c r="B639" s="143"/>
      <c r="C639" s="145"/>
      <c r="D639" s="145"/>
      <c r="E639" s="146"/>
      <c r="F639" s="145"/>
      <c r="G639" s="145"/>
      <c r="H639" s="145"/>
      <c r="I639" s="145"/>
      <c r="J639" s="145"/>
      <c r="K639" s="145"/>
      <c r="L639" s="143"/>
      <c r="M639" s="144"/>
      <c r="N639" s="143"/>
      <c r="O639" s="143"/>
    </row>
    <row r="640" spans="1:15">
      <c r="A640" s="81"/>
      <c r="B640" s="143"/>
      <c r="C640" s="145"/>
      <c r="D640" s="145"/>
      <c r="E640" s="146"/>
      <c r="F640" s="145"/>
      <c r="G640" s="145"/>
      <c r="H640" s="145"/>
      <c r="I640" s="145"/>
      <c r="J640" s="145"/>
      <c r="K640" s="145"/>
      <c r="L640" s="143"/>
      <c r="M640" s="144"/>
      <c r="N640" s="143"/>
      <c r="O640" s="143"/>
    </row>
    <row r="641" spans="1:15">
      <c r="A641" s="81"/>
      <c r="B641" s="143"/>
      <c r="C641" s="145"/>
      <c r="D641" s="145"/>
      <c r="E641" s="146"/>
      <c r="F641" s="145"/>
      <c r="G641" s="145"/>
      <c r="H641" s="145"/>
      <c r="I641" s="145"/>
      <c r="J641" s="145"/>
      <c r="K641" s="145"/>
      <c r="L641" s="143"/>
      <c r="M641" s="144"/>
      <c r="N641" s="143"/>
      <c r="O641" s="143"/>
    </row>
    <row r="642" spans="1:15">
      <c r="A642" s="81"/>
      <c r="B642" s="143"/>
      <c r="C642" s="145"/>
      <c r="D642" s="145"/>
      <c r="E642" s="146"/>
      <c r="F642" s="145"/>
      <c r="G642" s="145"/>
      <c r="H642" s="145"/>
      <c r="I642" s="145"/>
      <c r="J642" s="145"/>
      <c r="K642" s="145"/>
      <c r="L642" s="143"/>
      <c r="M642" s="144"/>
      <c r="N642" s="143"/>
      <c r="O642" s="143"/>
    </row>
    <row r="643" spans="1:15">
      <c r="A643" s="81"/>
      <c r="B643" s="143"/>
      <c r="C643" s="145"/>
      <c r="D643" s="145"/>
      <c r="E643" s="146"/>
      <c r="F643" s="145"/>
      <c r="G643" s="145"/>
      <c r="H643" s="145"/>
      <c r="I643" s="145"/>
      <c r="J643" s="145"/>
      <c r="K643" s="145"/>
      <c r="L643" s="143"/>
      <c r="M643" s="144"/>
      <c r="N643" s="143"/>
      <c r="O643" s="143"/>
    </row>
    <row r="644" spans="1:15">
      <c r="A644" s="81"/>
      <c r="B644" s="143"/>
      <c r="C644" s="145"/>
      <c r="D644" s="145"/>
      <c r="E644" s="146"/>
      <c r="F644" s="145"/>
      <c r="G644" s="145"/>
      <c r="H644" s="145"/>
      <c r="I644" s="145"/>
      <c r="J644" s="145"/>
      <c r="K644" s="145"/>
      <c r="L644" s="143"/>
      <c r="M644" s="144"/>
      <c r="N644" s="143"/>
      <c r="O644" s="143"/>
    </row>
    <row r="645" spans="1:15">
      <c r="A645" s="81"/>
      <c r="B645" s="143"/>
      <c r="C645" s="145"/>
      <c r="D645" s="145"/>
      <c r="E645" s="146"/>
      <c r="F645" s="145"/>
      <c r="G645" s="145"/>
      <c r="H645" s="145"/>
      <c r="I645" s="145"/>
      <c r="J645" s="145"/>
      <c r="K645" s="145"/>
      <c r="L645" s="143"/>
      <c r="M645" s="144"/>
      <c r="N645" s="143"/>
      <c r="O645" s="143"/>
    </row>
    <row r="646" spans="1:15">
      <c r="A646" s="81"/>
      <c r="B646" s="143"/>
      <c r="C646" s="145"/>
      <c r="D646" s="145"/>
      <c r="E646" s="146"/>
      <c r="F646" s="145"/>
      <c r="G646" s="145"/>
      <c r="H646" s="145"/>
      <c r="I646" s="145"/>
      <c r="J646" s="145"/>
      <c r="K646" s="145"/>
      <c r="L646" s="143"/>
      <c r="M646" s="144"/>
      <c r="N646" s="143"/>
      <c r="O646" s="143"/>
    </row>
    <row r="647" spans="1:15">
      <c r="A647" s="81"/>
      <c r="B647" s="143"/>
      <c r="C647" s="145"/>
      <c r="D647" s="145"/>
      <c r="E647" s="146"/>
      <c r="F647" s="145"/>
      <c r="G647" s="145"/>
      <c r="H647" s="145"/>
      <c r="I647" s="145"/>
      <c r="J647" s="145"/>
      <c r="K647" s="145"/>
      <c r="L647" s="143"/>
      <c r="M647" s="144"/>
      <c r="N647" s="143"/>
      <c r="O647" s="143"/>
    </row>
    <row r="648" spans="1:15">
      <c r="A648" s="81"/>
      <c r="B648" s="143"/>
      <c r="C648" s="145"/>
      <c r="D648" s="145"/>
      <c r="E648" s="146"/>
      <c r="F648" s="145"/>
      <c r="G648" s="145"/>
      <c r="H648" s="145"/>
      <c r="I648" s="145"/>
      <c r="J648" s="145"/>
      <c r="K648" s="145"/>
      <c r="L648" s="143"/>
      <c r="M648" s="144"/>
      <c r="N648" s="143"/>
      <c r="O648" s="143"/>
    </row>
    <row r="649" spans="1:15">
      <c r="A649" s="81"/>
      <c r="B649" s="143"/>
      <c r="C649" s="145"/>
      <c r="D649" s="145"/>
      <c r="E649" s="146"/>
      <c r="F649" s="145"/>
      <c r="G649" s="145"/>
      <c r="H649" s="145"/>
      <c r="I649" s="145"/>
      <c r="J649" s="145"/>
      <c r="K649" s="145"/>
      <c r="L649" s="143"/>
      <c r="M649" s="144"/>
      <c r="N649" s="143"/>
      <c r="O649" s="143"/>
    </row>
    <row r="650" spans="1:15">
      <c r="A650" s="81"/>
      <c r="B650" s="143"/>
      <c r="C650" s="145"/>
      <c r="D650" s="145"/>
      <c r="E650" s="146"/>
      <c r="F650" s="145"/>
      <c r="G650" s="145"/>
      <c r="H650" s="145"/>
      <c r="I650" s="145"/>
      <c r="J650" s="145"/>
      <c r="K650" s="145"/>
      <c r="L650" s="143"/>
      <c r="M650" s="144"/>
      <c r="N650" s="143"/>
      <c r="O650" s="143"/>
    </row>
    <row r="651" spans="1:15">
      <c r="A651" s="81"/>
      <c r="B651" s="143"/>
      <c r="C651" s="145"/>
      <c r="D651" s="145"/>
      <c r="E651" s="146"/>
      <c r="F651" s="145"/>
      <c r="G651" s="145"/>
      <c r="H651" s="145"/>
      <c r="I651" s="145"/>
      <c r="J651" s="145"/>
      <c r="K651" s="145"/>
      <c r="L651" s="143"/>
      <c r="M651" s="144"/>
      <c r="N651" s="143"/>
      <c r="O651" s="143"/>
    </row>
    <row r="652" spans="1:15">
      <c r="A652" s="81"/>
      <c r="B652" s="143"/>
      <c r="C652" s="145"/>
      <c r="D652" s="145"/>
      <c r="E652" s="146"/>
      <c r="F652" s="145"/>
      <c r="G652" s="145"/>
      <c r="H652" s="145"/>
      <c r="I652" s="145"/>
      <c r="J652" s="145"/>
      <c r="K652" s="145"/>
      <c r="L652" s="143"/>
      <c r="M652" s="144"/>
      <c r="N652" s="143"/>
      <c r="O652" s="143"/>
    </row>
    <row r="653" spans="1:15">
      <c r="A653" s="81"/>
      <c r="B653" s="143"/>
      <c r="C653" s="145"/>
      <c r="D653" s="145"/>
      <c r="E653" s="146"/>
      <c r="F653" s="145"/>
      <c r="G653" s="145"/>
      <c r="H653" s="145"/>
      <c r="I653" s="145"/>
      <c r="J653" s="145"/>
      <c r="K653" s="145"/>
      <c r="L653" s="143"/>
      <c r="M653" s="144"/>
      <c r="N653" s="143"/>
      <c r="O653" s="143"/>
    </row>
    <row r="654" spans="1:15">
      <c r="A654" s="81"/>
      <c r="B654" s="143"/>
      <c r="C654" s="145"/>
      <c r="D654" s="145"/>
      <c r="E654" s="146"/>
      <c r="F654" s="145"/>
      <c r="G654" s="145"/>
      <c r="H654" s="145"/>
      <c r="I654" s="145"/>
      <c r="J654" s="145"/>
      <c r="K654" s="145"/>
      <c r="L654" s="143"/>
      <c r="M654" s="144"/>
      <c r="N654" s="143"/>
      <c r="O654" s="143"/>
    </row>
    <row r="655" spans="1:15">
      <c r="A655" s="81"/>
      <c r="B655" s="143"/>
      <c r="C655" s="145"/>
      <c r="D655" s="145"/>
      <c r="E655" s="146"/>
      <c r="F655" s="145"/>
      <c r="G655" s="145"/>
      <c r="H655" s="145"/>
      <c r="I655" s="145"/>
      <c r="J655" s="145"/>
      <c r="K655" s="145"/>
      <c r="L655" s="143"/>
      <c r="M655" s="144"/>
      <c r="N655" s="143"/>
      <c r="O655" s="143"/>
    </row>
    <row r="656" spans="1:15">
      <c r="A656" s="81"/>
      <c r="B656" s="143"/>
      <c r="C656" s="145"/>
      <c r="D656" s="145"/>
      <c r="E656" s="146"/>
      <c r="F656" s="145"/>
      <c r="G656" s="145"/>
      <c r="H656" s="145"/>
      <c r="I656" s="145"/>
      <c r="J656" s="145"/>
      <c r="K656" s="145"/>
      <c r="L656" s="143"/>
      <c r="M656" s="144"/>
      <c r="N656" s="143"/>
      <c r="O656" s="143"/>
    </row>
    <row r="657" spans="1:15">
      <c r="A657" s="81"/>
      <c r="B657" s="143"/>
      <c r="C657" s="145"/>
      <c r="D657" s="145"/>
      <c r="E657" s="146"/>
      <c r="F657" s="145"/>
      <c r="G657" s="145"/>
      <c r="H657" s="145"/>
      <c r="I657" s="145"/>
      <c r="J657" s="145"/>
      <c r="K657" s="145"/>
      <c r="L657" s="143"/>
      <c r="M657" s="144"/>
      <c r="N657" s="143"/>
      <c r="O657" s="143"/>
    </row>
    <row r="658" spans="1:15">
      <c r="A658" s="81"/>
      <c r="B658" s="143"/>
      <c r="C658" s="145"/>
      <c r="D658" s="145"/>
      <c r="E658" s="146"/>
      <c r="F658" s="145"/>
      <c r="G658" s="145"/>
      <c r="H658" s="145"/>
      <c r="I658" s="145"/>
      <c r="J658" s="145"/>
      <c r="K658" s="145"/>
      <c r="L658" s="143"/>
      <c r="M658" s="144"/>
      <c r="N658" s="143"/>
      <c r="O658" s="143"/>
    </row>
    <row r="659" spans="1:15">
      <c r="A659" s="81"/>
      <c r="B659" s="143"/>
      <c r="C659" s="145"/>
      <c r="D659" s="145"/>
      <c r="E659" s="146"/>
      <c r="F659" s="145"/>
      <c r="G659" s="145"/>
      <c r="H659" s="145"/>
      <c r="I659" s="145"/>
      <c r="J659" s="145"/>
      <c r="K659" s="145"/>
      <c r="L659" s="143"/>
      <c r="M659" s="144"/>
      <c r="N659" s="143"/>
      <c r="O659" s="143"/>
    </row>
    <row r="660" spans="1:15">
      <c r="A660" s="81"/>
      <c r="B660" s="143"/>
      <c r="C660" s="145"/>
      <c r="D660" s="145"/>
      <c r="E660" s="146"/>
      <c r="F660" s="145"/>
      <c r="G660" s="145"/>
      <c r="H660" s="145"/>
      <c r="I660" s="145"/>
      <c r="J660" s="145"/>
      <c r="K660" s="145"/>
      <c r="L660" s="143"/>
      <c r="M660" s="144"/>
      <c r="N660" s="143"/>
      <c r="O660" s="143"/>
    </row>
    <row r="661" spans="1:15">
      <c r="A661" s="81"/>
      <c r="B661" s="143"/>
      <c r="C661" s="145"/>
      <c r="D661" s="145"/>
      <c r="E661" s="146"/>
      <c r="F661" s="145"/>
      <c r="G661" s="145"/>
      <c r="H661" s="145"/>
      <c r="I661" s="145"/>
      <c r="J661" s="145"/>
      <c r="K661" s="145"/>
      <c r="L661" s="143"/>
      <c r="M661" s="144"/>
      <c r="N661" s="143"/>
      <c r="O661" s="143"/>
    </row>
    <row r="662" spans="1:15">
      <c r="A662" s="81"/>
      <c r="B662" s="143"/>
      <c r="C662" s="145"/>
      <c r="D662" s="145"/>
      <c r="E662" s="146"/>
      <c r="F662" s="145"/>
      <c r="G662" s="145"/>
      <c r="H662" s="145"/>
      <c r="I662" s="145"/>
      <c r="J662" s="145"/>
      <c r="K662" s="145"/>
      <c r="L662" s="143"/>
      <c r="M662" s="144"/>
      <c r="N662" s="143"/>
      <c r="O662" s="143"/>
    </row>
    <row r="663" spans="1:15">
      <c r="A663" s="81"/>
      <c r="B663" s="143"/>
      <c r="C663" s="145"/>
      <c r="D663" s="145"/>
      <c r="E663" s="146"/>
      <c r="F663" s="145"/>
      <c r="G663" s="145"/>
      <c r="H663" s="145"/>
      <c r="I663" s="145"/>
      <c r="J663" s="145"/>
      <c r="K663" s="145"/>
      <c r="L663" s="143"/>
      <c r="M663" s="144"/>
      <c r="N663" s="143"/>
      <c r="O663" s="143"/>
    </row>
    <row r="664" spans="1:15">
      <c r="A664" s="81"/>
      <c r="B664" s="143"/>
      <c r="C664" s="145"/>
      <c r="D664" s="145"/>
      <c r="E664" s="146"/>
      <c r="F664" s="145"/>
      <c r="G664" s="145"/>
      <c r="H664" s="145"/>
      <c r="I664" s="145"/>
      <c r="J664" s="145"/>
      <c r="K664" s="145"/>
      <c r="L664" s="143"/>
      <c r="M664" s="144"/>
      <c r="N664" s="143"/>
      <c r="O664" s="143"/>
    </row>
    <row r="665" spans="1:15">
      <c r="A665" s="81"/>
      <c r="B665" s="143"/>
      <c r="C665" s="145"/>
      <c r="D665" s="145"/>
      <c r="E665" s="146"/>
      <c r="F665" s="145"/>
      <c r="G665" s="145"/>
      <c r="H665" s="145"/>
      <c r="I665" s="145"/>
      <c r="J665" s="145"/>
      <c r="K665" s="145"/>
      <c r="L665" s="143"/>
      <c r="M665" s="144"/>
      <c r="N665" s="143"/>
      <c r="O665" s="143"/>
    </row>
    <row r="666" spans="1:15">
      <c r="A666" s="81"/>
      <c r="B666" s="143"/>
      <c r="C666" s="145"/>
      <c r="D666" s="145"/>
      <c r="E666" s="146"/>
      <c r="F666" s="145"/>
      <c r="G666" s="145"/>
      <c r="H666" s="145"/>
      <c r="I666" s="145"/>
      <c r="J666" s="145"/>
      <c r="K666" s="145"/>
      <c r="L666" s="143"/>
      <c r="M666" s="144"/>
      <c r="N666" s="143"/>
      <c r="O666" s="143"/>
    </row>
    <row r="667" spans="1:15">
      <c r="A667" s="81"/>
      <c r="B667" s="143"/>
      <c r="C667" s="145"/>
      <c r="D667" s="145"/>
      <c r="E667" s="146"/>
      <c r="F667" s="145"/>
      <c r="G667" s="145"/>
      <c r="H667" s="145"/>
      <c r="I667" s="145"/>
      <c r="J667" s="145"/>
      <c r="K667" s="145"/>
      <c r="L667" s="143"/>
      <c r="M667" s="144"/>
      <c r="N667" s="143"/>
      <c r="O667" s="143"/>
    </row>
    <row r="668" spans="1:15">
      <c r="A668" s="81"/>
      <c r="B668" s="143"/>
      <c r="C668" s="145"/>
      <c r="D668" s="145"/>
      <c r="E668" s="146"/>
      <c r="F668" s="145"/>
      <c r="G668" s="145"/>
      <c r="H668" s="145"/>
      <c r="I668" s="145"/>
      <c r="J668" s="145"/>
      <c r="K668" s="145"/>
      <c r="L668" s="143"/>
      <c r="M668" s="144"/>
      <c r="N668" s="143"/>
      <c r="O668" s="143"/>
    </row>
    <row r="669" spans="1:15">
      <c r="A669" s="81"/>
      <c r="B669" s="143"/>
      <c r="C669" s="145"/>
      <c r="D669" s="145"/>
      <c r="E669" s="146"/>
      <c r="F669" s="145"/>
      <c r="G669" s="145"/>
      <c r="H669" s="145"/>
      <c r="I669" s="145"/>
      <c r="J669" s="145"/>
      <c r="K669" s="145"/>
      <c r="L669" s="143"/>
      <c r="M669" s="144"/>
      <c r="N669" s="143"/>
      <c r="O669" s="143"/>
    </row>
    <row r="670" spans="1:15">
      <c r="A670" s="81"/>
      <c r="B670" s="143"/>
      <c r="C670" s="145"/>
      <c r="D670" s="145"/>
      <c r="E670" s="146"/>
      <c r="F670" s="145"/>
      <c r="G670" s="145"/>
      <c r="H670" s="145"/>
      <c r="I670" s="145"/>
      <c r="J670" s="145"/>
      <c r="K670" s="145"/>
      <c r="L670" s="143"/>
      <c r="M670" s="144"/>
      <c r="N670" s="143"/>
      <c r="O670" s="143"/>
    </row>
    <row r="671" spans="1:15">
      <c r="A671" s="81"/>
      <c r="B671" s="143"/>
      <c r="C671" s="145"/>
      <c r="D671" s="145"/>
      <c r="E671" s="146"/>
      <c r="F671" s="145"/>
      <c r="G671" s="145"/>
      <c r="H671" s="145"/>
      <c r="I671" s="145"/>
      <c r="J671" s="145"/>
      <c r="K671" s="145"/>
      <c r="L671" s="143"/>
      <c r="M671" s="144"/>
      <c r="N671" s="143"/>
      <c r="O671" s="143"/>
    </row>
    <row r="672" spans="1:15">
      <c r="A672" s="81"/>
      <c r="B672" s="143"/>
      <c r="C672" s="145"/>
      <c r="D672" s="145"/>
      <c r="E672" s="146"/>
      <c r="F672" s="145"/>
      <c r="G672" s="145"/>
      <c r="H672" s="145"/>
      <c r="I672" s="145"/>
      <c r="J672" s="145"/>
      <c r="K672" s="145"/>
      <c r="L672" s="143"/>
      <c r="M672" s="144"/>
      <c r="N672" s="143"/>
      <c r="O672" s="143"/>
    </row>
    <row r="673" spans="1:15">
      <c r="A673" s="81"/>
      <c r="B673" s="143"/>
      <c r="C673" s="145"/>
      <c r="D673" s="145"/>
      <c r="E673" s="146"/>
      <c r="F673" s="145"/>
      <c r="G673" s="145"/>
      <c r="H673" s="145"/>
      <c r="I673" s="145"/>
      <c r="J673" s="145"/>
      <c r="K673" s="145"/>
      <c r="L673" s="143"/>
      <c r="M673" s="144"/>
      <c r="N673" s="143"/>
      <c r="O673" s="143"/>
    </row>
    <row r="674" spans="1:15">
      <c r="A674" s="81"/>
      <c r="B674" s="143"/>
      <c r="C674" s="145"/>
      <c r="D674" s="145"/>
      <c r="E674" s="146"/>
      <c r="F674" s="145"/>
      <c r="G674" s="145"/>
      <c r="H674" s="145"/>
      <c r="I674" s="145"/>
      <c r="J674" s="145"/>
      <c r="K674" s="145"/>
      <c r="L674" s="143"/>
      <c r="M674" s="144"/>
      <c r="N674" s="143"/>
      <c r="O674" s="143"/>
    </row>
    <row r="675" spans="1:15">
      <c r="A675" s="81"/>
      <c r="B675" s="143"/>
      <c r="C675" s="145"/>
      <c r="D675" s="145"/>
      <c r="E675" s="146"/>
      <c r="F675" s="145"/>
      <c r="G675" s="145"/>
      <c r="H675" s="145"/>
      <c r="I675" s="145"/>
      <c r="J675" s="145"/>
      <c r="K675" s="145"/>
      <c r="L675" s="143"/>
      <c r="M675" s="144"/>
      <c r="N675" s="143"/>
      <c r="O675" s="143"/>
    </row>
    <row r="676" spans="1:15">
      <c r="A676" s="81"/>
      <c r="B676" s="143"/>
      <c r="C676" s="145"/>
      <c r="D676" s="145"/>
      <c r="E676" s="146"/>
      <c r="F676" s="145"/>
      <c r="G676" s="145"/>
      <c r="H676" s="145"/>
      <c r="I676" s="145"/>
      <c r="J676" s="145"/>
      <c r="K676" s="145"/>
      <c r="L676" s="143"/>
      <c r="M676" s="144"/>
      <c r="N676" s="143"/>
      <c r="O676" s="143"/>
    </row>
    <row r="677" spans="1:15">
      <c r="A677" s="81"/>
      <c r="B677" s="143"/>
      <c r="C677" s="145"/>
      <c r="D677" s="145"/>
      <c r="E677" s="146"/>
      <c r="F677" s="145"/>
      <c r="G677" s="145"/>
      <c r="H677" s="145"/>
      <c r="I677" s="145"/>
      <c r="J677" s="145"/>
      <c r="K677" s="145"/>
      <c r="L677" s="143"/>
      <c r="M677" s="144"/>
      <c r="N677" s="143"/>
      <c r="O677" s="143"/>
    </row>
    <row r="678" spans="1:15">
      <c r="A678" s="81"/>
      <c r="B678" s="143"/>
      <c r="C678" s="145"/>
      <c r="D678" s="145"/>
      <c r="E678" s="146"/>
      <c r="F678" s="145"/>
      <c r="G678" s="145"/>
      <c r="H678" s="145"/>
      <c r="I678" s="145"/>
      <c r="J678" s="145"/>
      <c r="K678" s="145"/>
      <c r="L678" s="143"/>
      <c r="M678" s="144"/>
      <c r="N678" s="143"/>
      <c r="O678" s="143"/>
    </row>
    <row r="679" spans="1:15">
      <c r="A679" s="81"/>
      <c r="B679" s="143"/>
      <c r="C679" s="145"/>
      <c r="D679" s="145"/>
      <c r="E679" s="146"/>
      <c r="F679" s="145"/>
      <c r="G679" s="145"/>
      <c r="H679" s="145"/>
      <c r="I679" s="145"/>
      <c r="J679" s="145"/>
      <c r="K679" s="145"/>
      <c r="L679" s="143"/>
      <c r="M679" s="144"/>
      <c r="N679" s="143"/>
      <c r="O679" s="143"/>
    </row>
    <row r="680" spans="1:15">
      <c r="A680" s="81"/>
      <c r="B680" s="143"/>
      <c r="C680" s="145"/>
      <c r="D680" s="145"/>
      <c r="E680" s="146"/>
      <c r="F680" s="145"/>
      <c r="G680" s="145"/>
      <c r="H680" s="145"/>
      <c r="I680" s="145"/>
      <c r="J680" s="145"/>
      <c r="K680" s="145"/>
      <c r="L680" s="143"/>
      <c r="M680" s="144"/>
      <c r="N680" s="143"/>
      <c r="O680" s="143"/>
    </row>
    <row r="681" spans="1:15">
      <c r="A681" s="81"/>
      <c r="B681" s="143"/>
      <c r="C681" s="145"/>
      <c r="D681" s="145"/>
      <c r="E681" s="146"/>
      <c r="F681" s="145"/>
      <c r="G681" s="145"/>
      <c r="H681" s="145"/>
      <c r="I681" s="145"/>
      <c r="J681" s="145"/>
      <c r="K681" s="145"/>
      <c r="L681" s="143"/>
      <c r="M681" s="144"/>
      <c r="N681" s="143"/>
      <c r="O681" s="143"/>
    </row>
    <row r="682" spans="1:15">
      <c r="A682" s="81"/>
      <c r="B682" s="143"/>
      <c r="C682" s="145"/>
      <c r="D682" s="145"/>
      <c r="E682" s="146"/>
      <c r="F682" s="145"/>
      <c r="G682" s="145"/>
      <c r="H682" s="145"/>
      <c r="I682" s="145"/>
      <c r="J682" s="145"/>
      <c r="K682" s="145"/>
      <c r="L682" s="143"/>
      <c r="M682" s="144"/>
      <c r="N682" s="143"/>
      <c r="O682" s="143"/>
    </row>
    <row r="683" spans="1:15">
      <c r="A683" s="81"/>
      <c r="B683" s="143"/>
      <c r="C683" s="145"/>
      <c r="D683" s="145"/>
      <c r="E683" s="146"/>
      <c r="F683" s="145"/>
      <c r="G683" s="145"/>
      <c r="H683" s="145"/>
      <c r="I683" s="145"/>
      <c r="J683" s="145"/>
      <c r="K683" s="145"/>
      <c r="L683" s="143"/>
      <c r="M683" s="144"/>
      <c r="N683" s="143"/>
      <c r="O683" s="143"/>
    </row>
    <row r="684" spans="1:15">
      <c r="A684" s="81"/>
      <c r="B684" s="143"/>
      <c r="C684" s="145"/>
      <c r="D684" s="145"/>
      <c r="E684" s="146"/>
      <c r="F684" s="145"/>
      <c r="G684" s="145"/>
      <c r="H684" s="145"/>
      <c r="I684" s="145"/>
      <c r="J684" s="145"/>
      <c r="K684" s="145"/>
      <c r="L684" s="143"/>
      <c r="M684" s="144"/>
      <c r="N684" s="143"/>
      <c r="O684" s="143"/>
    </row>
    <row r="685" spans="1:15">
      <c r="A685" s="81"/>
      <c r="B685" s="143"/>
      <c r="C685" s="145"/>
      <c r="D685" s="145"/>
      <c r="E685" s="146"/>
      <c r="F685" s="145"/>
      <c r="G685" s="145"/>
      <c r="H685" s="145"/>
      <c r="I685" s="145"/>
      <c r="J685" s="145"/>
      <c r="K685" s="145"/>
      <c r="L685" s="143"/>
      <c r="M685" s="144"/>
      <c r="N685" s="143"/>
      <c r="O685" s="143"/>
    </row>
    <row r="686" spans="1:15">
      <c r="A686" s="81"/>
      <c r="B686" s="143"/>
      <c r="C686" s="145"/>
      <c r="D686" s="145"/>
      <c r="E686" s="146"/>
      <c r="F686" s="145"/>
      <c r="G686" s="145"/>
      <c r="H686" s="145"/>
      <c r="I686" s="145"/>
      <c r="J686" s="145"/>
      <c r="K686" s="145"/>
      <c r="L686" s="143"/>
      <c r="M686" s="144"/>
      <c r="N686" s="143"/>
      <c r="O686" s="143"/>
    </row>
    <row r="687" spans="1:15">
      <c r="A687" s="81"/>
      <c r="B687" s="143"/>
      <c r="C687" s="145"/>
      <c r="D687" s="145"/>
      <c r="E687" s="146"/>
      <c r="F687" s="145"/>
      <c r="G687" s="145"/>
      <c r="H687" s="145"/>
      <c r="I687" s="145"/>
      <c r="J687" s="145"/>
      <c r="K687" s="145"/>
      <c r="L687" s="143"/>
      <c r="M687" s="144"/>
      <c r="N687" s="143"/>
      <c r="O687" s="143"/>
    </row>
    <row r="688" spans="1:15">
      <c r="A688" s="81"/>
      <c r="B688" s="143"/>
      <c r="C688" s="145"/>
      <c r="D688" s="145"/>
      <c r="E688" s="146"/>
      <c r="F688" s="145"/>
      <c r="G688" s="145"/>
      <c r="H688" s="145"/>
      <c r="I688" s="145"/>
      <c r="J688" s="145"/>
      <c r="K688" s="145"/>
      <c r="L688" s="143"/>
      <c r="M688" s="144"/>
      <c r="N688" s="143"/>
      <c r="O688" s="143"/>
    </row>
    <row r="689" spans="1:15">
      <c r="A689" s="81"/>
      <c r="B689" s="143"/>
      <c r="C689" s="145"/>
      <c r="D689" s="145"/>
      <c r="E689" s="146"/>
      <c r="F689" s="145"/>
      <c r="G689" s="145"/>
      <c r="H689" s="145"/>
      <c r="I689" s="145"/>
      <c r="J689" s="145"/>
      <c r="K689" s="145"/>
      <c r="L689" s="143"/>
      <c r="M689" s="144"/>
      <c r="N689" s="143"/>
      <c r="O689" s="143"/>
    </row>
    <row r="690" spans="1:15">
      <c r="A690" s="81"/>
      <c r="B690" s="143"/>
      <c r="C690" s="145"/>
      <c r="D690" s="145"/>
      <c r="E690" s="146"/>
      <c r="F690" s="145"/>
      <c r="G690" s="145"/>
      <c r="H690" s="145"/>
      <c r="I690" s="145"/>
      <c r="J690" s="145"/>
      <c r="K690" s="145"/>
      <c r="L690" s="143"/>
      <c r="M690" s="144"/>
      <c r="N690" s="143"/>
      <c r="O690" s="143"/>
    </row>
    <row r="691" spans="1:15">
      <c r="A691" s="81"/>
      <c r="B691" s="143"/>
      <c r="C691" s="145"/>
      <c r="D691" s="145"/>
      <c r="E691" s="146"/>
      <c r="F691" s="145"/>
      <c r="G691" s="145"/>
      <c r="H691" s="145"/>
      <c r="I691" s="145"/>
      <c r="J691" s="145"/>
      <c r="K691" s="145"/>
      <c r="L691" s="143"/>
      <c r="M691" s="144"/>
      <c r="N691" s="143"/>
      <c r="O691" s="143"/>
    </row>
    <row r="692" spans="1:15">
      <c r="A692" s="81"/>
      <c r="B692" s="143"/>
      <c r="C692" s="145"/>
      <c r="D692" s="145"/>
      <c r="E692" s="146"/>
      <c r="F692" s="145"/>
      <c r="G692" s="145"/>
      <c r="H692" s="145"/>
      <c r="I692" s="145"/>
      <c r="J692" s="145"/>
      <c r="K692" s="145"/>
      <c r="L692" s="143"/>
      <c r="M692" s="144"/>
      <c r="N692" s="143"/>
      <c r="O692" s="143"/>
    </row>
    <row r="693" spans="1:15">
      <c r="A693" s="81"/>
      <c r="B693" s="143"/>
      <c r="C693" s="145"/>
      <c r="D693" s="145"/>
      <c r="E693" s="146"/>
      <c r="F693" s="145"/>
      <c r="G693" s="145"/>
      <c r="H693" s="145"/>
      <c r="I693" s="145"/>
      <c r="J693" s="145"/>
      <c r="K693" s="145"/>
      <c r="L693" s="143"/>
      <c r="M693" s="144"/>
      <c r="N693" s="143"/>
      <c r="O693" s="143"/>
    </row>
    <row r="694" spans="1:15">
      <c r="A694" s="81"/>
      <c r="B694" s="143"/>
      <c r="C694" s="145"/>
      <c r="D694" s="145"/>
      <c r="E694" s="146"/>
      <c r="F694" s="145"/>
      <c r="G694" s="145"/>
      <c r="H694" s="145"/>
      <c r="I694" s="145"/>
      <c r="J694" s="145"/>
      <c r="K694" s="145"/>
      <c r="L694" s="143"/>
      <c r="M694" s="144"/>
      <c r="N694" s="143"/>
      <c r="O694" s="143"/>
    </row>
    <row r="695" spans="1:15">
      <c r="A695" s="81"/>
      <c r="B695" s="143"/>
      <c r="C695" s="145"/>
      <c r="D695" s="145"/>
      <c r="E695" s="146"/>
      <c r="F695" s="145"/>
      <c r="G695" s="145"/>
      <c r="H695" s="145"/>
      <c r="I695" s="145"/>
      <c r="J695" s="145"/>
      <c r="K695" s="145"/>
      <c r="L695" s="143"/>
      <c r="M695" s="144"/>
      <c r="N695" s="143"/>
      <c r="O695" s="143"/>
    </row>
    <row r="696" spans="1:15">
      <c r="A696" s="81"/>
      <c r="B696" s="143"/>
      <c r="C696" s="145"/>
      <c r="D696" s="145"/>
      <c r="E696" s="146"/>
      <c r="F696" s="145"/>
      <c r="G696" s="145"/>
      <c r="H696" s="145"/>
      <c r="I696" s="145"/>
      <c r="J696" s="145"/>
      <c r="K696" s="145"/>
      <c r="L696" s="143"/>
      <c r="M696" s="144"/>
      <c r="N696" s="143"/>
      <c r="O696" s="143"/>
    </row>
    <row r="697" spans="1:15">
      <c r="A697" s="81"/>
      <c r="B697" s="143"/>
      <c r="C697" s="145"/>
      <c r="D697" s="145"/>
      <c r="E697" s="146"/>
      <c r="F697" s="145"/>
      <c r="G697" s="145"/>
      <c r="H697" s="145"/>
      <c r="I697" s="145"/>
      <c r="J697" s="145"/>
      <c r="K697" s="145"/>
      <c r="L697" s="143"/>
      <c r="M697" s="144"/>
      <c r="N697" s="143"/>
      <c r="O697" s="143"/>
    </row>
    <row r="698" spans="1:15">
      <c r="A698" s="81"/>
      <c r="B698" s="143"/>
      <c r="C698" s="145"/>
      <c r="D698" s="145"/>
      <c r="E698" s="146"/>
      <c r="F698" s="145"/>
      <c r="G698" s="145"/>
      <c r="H698" s="145"/>
      <c r="I698" s="145"/>
      <c r="J698" s="145"/>
      <c r="K698" s="145"/>
      <c r="L698" s="143"/>
      <c r="M698" s="144"/>
      <c r="N698" s="143"/>
      <c r="O698" s="143"/>
    </row>
    <row r="699" spans="1:15">
      <c r="A699" s="81"/>
      <c r="B699" s="143"/>
      <c r="C699" s="145"/>
      <c r="D699" s="145"/>
      <c r="E699" s="146"/>
      <c r="F699" s="145"/>
      <c r="G699" s="145"/>
      <c r="H699" s="145"/>
      <c r="I699" s="145"/>
      <c r="J699" s="145"/>
      <c r="K699" s="145"/>
      <c r="L699" s="143"/>
      <c r="M699" s="144"/>
      <c r="N699" s="143"/>
      <c r="O699" s="143"/>
    </row>
    <row r="700" spans="1:15">
      <c r="A700" s="81"/>
      <c r="B700" s="143"/>
      <c r="C700" s="145"/>
      <c r="D700" s="145"/>
      <c r="E700" s="146"/>
      <c r="F700" s="145"/>
      <c r="G700" s="145"/>
      <c r="H700" s="145"/>
      <c r="I700" s="145"/>
      <c r="J700" s="145"/>
      <c r="K700" s="145"/>
      <c r="L700" s="143"/>
      <c r="M700" s="144"/>
      <c r="N700" s="143"/>
      <c r="O700" s="143"/>
    </row>
    <row r="701" spans="1:15">
      <c r="A701" s="81"/>
      <c r="B701" s="143"/>
      <c r="C701" s="145"/>
      <c r="D701" s="145"/>
      <c r="E701" s="146"/>
      <c r="F701" s="145"/>
      <c r="G701" s="145"/>
      <c r="H701" s="145"/>
      <c r="I701" s="145"/>
      <c r="J701" s="145"/>
      <c r="K701" s="145"/>
      <c r="L701" s="143"/>
      <c r="M701" s="144"/>
      <c r="N701" s="143"/>
      <c r="O701" s="143"/>
    </row>
    <row r="702" spans="1:15">
      <c r="A702" s="81"/>
      <c r="B702" s="143"/>
      <c r="C702" s="145"/>
      <c r="D702" s="145"/>
      <c r="E702" s="146"/>
      <c r="F702" s="145"/>
      <c r="G702" s="145"/>
      <c r="H702" s="145"/>
      <c r="I702" s="145"/>
      <c r="J702" s="145"/>
      <c r="K702" s="145"/>
      <c r="L702" s="143"/>
      <c r="M702" s="144"/>
      <c r="N702" s="143"/>
      <c r="O702" s="143"/>
    </row>
    <row r="703" spans="1:15">
      <c r="A703" s="81"/>
      <c r="B703" s="143"/>
      <c r="C703" s="145"/>
      <c r="D703" s="145"/>
      <c r="E703" s="146"/>
      <c r="F703" s="145"/>
      <c r="G703" s="145"/>
      <c r="H703" s="145"/>
      <c r="I703" s="145"/>
      <c r="J703" s="145"/>
      <c r="K703" s="145"/>
      <c r="L703" s="143"/>
      <c r="M703" s="144"/>
      <c r="N703" s="143"/>
      <c r="O703" s="143"/>
    </row>
    <row r="704" spans="1:15">
      <c r="A704" s="81"/>
      <c r="B704" s="143"/>
      <c r="C704" s="145"/>
      <c r="D704" s="145"/>
      <c r="E704" s="146"/>
      <c r="F704" s="145"/>
      <c r="G704" s="145"/>
      <c r="H704" s="145"/>
      <c r="I704" s="145"/>
      <c r="J704" s="145"/>
      <c r="K704" s="145"/>
      <c r="L704" s="143"/>
      <c r="M704" s="144"/>
      <c r="N704" s="143"/>
      <c r="O704" s="143"/>
    </row>
    <row r="705" spans="1:15">
      <c r="A705" s="81"/>
      <c r="B705" s="143"/>
      <c r="C705" s="145"/>
      <c r="D705" s="145"/>
      <c r="E705" s="146"/>
      <c r="F705" s="145"/>
      <c r="G705" s="145"/>
      <c r="H705" s="145"/>
      <c r="I705" s="145"/>
      <c r="J705" s="145"/>
      <c r="K705" s="145"/>
      <c r="L705" s="143"/>
      <c r="M705" s="144"/>
      <c r="N705" s="143"/>
      <c r="O705" s="143"/>
    </row>
    <row r="706" spans="1:15">
      <c r="A706" s="81"/>
      <c r="B706" s="143"/>
      <c r="C706" s="145"/>
      <c r="D706" s="145"/>
      <c r="E706" s="146"/>
      <c r="F706" s="145"/>
      <c r="G706" s="145"/>
      <c r="H706" s="145"/>
      <c r="I706" s="145"/>
      <c r="J706" s="145"/>
      <c r="K706" s="145"/>
      <c r="L706" s="143"/>
      <c r="M706" s="144"/>
      <c r="N706" s="143"/>
      <c r="O706" s="143"/>
    </row>
    <row r="707" spans="1:15">
      <c r="A707" s="81"/>
      <c r="B707" s="143"/>
      <c r="C707" s="145"/>
      <c r="D707" s="145"/>
      <c r="E707" s="146"/>
      <c r="F707" s="145"/>
      <c r="G707" s="145"/>
      <c r="H707" s="145"/>
      <c r="I707" s="145"/>
      <c r="J707" s="145"/>
      <c r="K707" s="145"/>
      <c r="L707" s="143"/>
      <c r="M707" s="144"/>
      <c r="N707" s="143"/>
      <c r="O707" s="143"/>
    </row>
    <row r="708" spans="1:15">
      <c r="A708" s="81"/>
      <c r="B708" s="143"/>
      <c r="C708" s="145"/>
      <c r="D708" s="145"/>
      <c r="E708" s="146"/>
      <c r="F708" s="145"/>
      <c r="G708" s="145"/>
      <c r="H708" s="145"/>
      <c r="I708" s="145"/>
      <c r="J708" s="145"/>
      <c r="K708" s="145"/>
      <c r="L708" s="143"/>
      <c r="M708" s="144"/>
      <c r="N708" s="143"/>
      <c r="O708" s="143"/>
    </row>
    <row r="709" spans="1:15">
      <c r="A709" s="81"/>
      <c r="B709" s="143"/>
      <c r="C709" s="145"/>
      <c r="D709" s="145"/>
      <c r="E709" s="146"/>
      <c r="F709" s="145"/>
      <c r="G709" s="145"/>
      <c r="H709" s="145"/>
      <c r="I709" s="145"/>
      <c r="J709" s="145"/>
      <c r="K709" s="145"/>
      <c r="L709" s="143"/>
      <c r="M709" s="144"/>
      <c r="N709" s="143"/>
      <c r="O709" s="143"/>
    </row>
    <row r="710" spans="1:15">
      <c r="A710" s="81"/>
      <c r="B710" s="143"/>
      <c r="C710" s="145"/>
      <c r="D710" s="145"/>
      <c r="E710" s="146"/>
      <c r="F710" s="145"/>
      <c r="G710" s="145"/>
      <c r="H710" s="145"/>
      <c r="I710" s="145"/>
      <c r="J710" s="145"/>
      <c r="K710" s="145"/>
      <c r="L710" s="143"/>
      <c r="M710" s="144"/>
      <c r="N710" s="143"/>
      <c r="O710" s="143"/>
    </row>
    <row r="711" spans="1:15">
      <c r="A711" s="81"/>
      <c r="B711" s="143"/>
      <c r="C711" s="145"/>
      <c r="D711" s="145"/>
      <c r="E711" s="146"/>
      <c r="F711" s="145"/>
      <c r="G711" s="145"/>
      <c r="H711" s="145"/>
      <c r="I711" s="145"/>
      <c r="J711" s="145"/>
      <c r="K711" s="145"/>
      <c r="L711" s="143"/>
      <c r="M711" s="144"/>
      <c r="N711" s="143"/>
      <c r="O711" s="143"/>
    </row>
    <row r="712" spans="1:15">
      <c r="A712" s="81"/>
      <c r="B712" s="143"/>
      <c r="C712" s="145"/>
      <c r="D712" s="145"/>
      <c r="E712" s="146"/>
      <c r="F712" s="145"/>
      <c r="G712" s="145"/>
      <c r="H712" s="145"/>
      <c r="I712" s="145"/>
      <c r="J712" s="145"/>
      <c r="K712" s="145"/>
      <c r="L712" s="143"/>
      <c r="M712" s="144"/>
      <c r="N712" s="143"/>
      <c r="O712" s="143"/>
    </row>
    <row r="713" spans="1:15">
      <c r="A713" s="81"/>
      <c r="B713" s="143"/>
      <c r="C713" s="145"/>
      <c r="D713" s="145"/>
      <c r="E713" s="146"/>
      <c r="F713" s="145"/>
      <c r="G713" s="145"/>
      <c r="H713" s="145"/>
      <c r="I713" s="145"/>
      <c r="J713" s="145"/>
      <c r="K713" s="145"/>
      <c r="L713" s="143"/>
      <c r="M713" s="144"/>
      <c r="N713" s="143"/>
      <c r="O713" s="143"/>
    </row>
    <row r="714" spans="1:15">
      <c r="A714" s="81"/>
      <c r="B714" s="143"/>
      <c r="C714" s="145"/>
      <c r="D714" s="145"/>
      <c r="E714" s="146"/>
      <c r="F714" s="145"/>
      <c r="G714" s="145"/>
      <c r="H714" s="145"/>
      <c r="I714" s="145"/>
      <c r="J714" s="145"/>
      <c r="K714" s="145"/>
      <c r="L714" s="143"/>
      <c r="M714" s="144"/>
      <c r="N714" s="143"/>
      <c r="O714" s="143"/>
    </row>
    <row r="715" spans="1:15">
      <c r="A715" s="81"/>
      <c r="B715" s="143"/>
      <c r="C715" s="145"/>
      <c r="D715" s="145"/>
      <c r="E715" s="146"/>
      <c r="F715" s="145"/>
      <c r="G715" s="145"/>
      <c r="H715" s="145"/>
      <c r="I715" s="145"/>
      <c r="J715" s="145"/>
      <c r="K715" s="145"/>
      <c r="L715" s="143"/>
      <c r="M715" s="144"/>
      <c r="N715" s="143"/>
      <c r="O715" s="143"/>
    </row>
    <row r="716" spans="1:15">
      <c r="A716" s="81"/>
      <c r="B716" s="143"/>
      <c r="C716" s="145"/>
      <c r="D716" s="145"/>
      <c r="E716" s="146"/>
      <c r="F716" s="145"/>
      <c r="G716" s="145"/>
      <c r="H716" s="145"/>
      <c r="I716" s="145"/>
      <c r="J716" s="145"/>
      <c r="K716" s="145"/>
      <c r="L716" s="143"/>
      <c r="M716" s="144"/>
      <c r="N716" s="143"/>
      <c r="O716" s="143"/>
    </row>
    <row r="717" spans="1:15">
      <c r="A717" s="81"/>
      <c r="B717" s="143"/>
      <c r="C717" s="145"/>
      <c r="D717" s="145"/>
      <c r="E717" s="146"/>
      <c r="F717" s="145"/>
      <c r="G717" s="145"/>
      <c r="H717" s="145"/>
      <c r="I717" s="145"/>
      <c r="J717" s="145"/>
      <c r="K717" s="145"/>
      <c r="L717" s="143"/>
      <c r="M717" s="144"/>
      <c r="N717" s="143"/>
      <c r="O717" s="143"/>
    </row>
    <row r="718" spans="1:15">
      <c r="A718" s="81"/>
      <c r="B718" s="143"/>
      <c r="C718" s="145"/>
      <c r="D718" s="145"/>
      <c r="E718" s="146"/>
      <c r="F718" s="145"/>
      <c r="G718" s="145"/>
      <c r="H718" s="145"/>
      <c r="I718" s="145"/>
      <c r="J718" s="145"/>
      <c r="K718" s="145"/>
      <c r="L718" s="143"/>
      <c r="M718" s="144"/>
      <c r="N718" s="143"/>
      <c r="O718" s="143"/>
    </row>
    <row r="719" spans="1:15">
      <c r="A719" s="81"/>
      <c r="B719" s="143"/>
      <c r="C719" s="145"/>
      <c r="D719" s="145"/>
      <c r="E719" s="146"/>
      <c r="F719" s="145"/>
      <c r="G719" s="145"/>
      <c r="H719" s="145"/>
      <c r="I719" s="145"/>
      <c r="J719" s="145"/>
      <c r="K719" s="145"/>
      <c r="L719" s="143"/>
      <c r="M719" s="144"/>
      <c r="N719" s="143"/>
      <c r="O719" s="143"/>
    </row>
    <row r="720" spans="1:15">
      <c r="A720" s="81"/>
      <c r="B720" s="143"/>
      <c r="C720" s="145"/>
      <c r="D720" s="145"/>
      <c r="E720" s="146"/>
      <c r="F720" s="145"/>
      <c r="G720" s="145"/>
      <c r="H720" s="145"/>
      <c r="I720" s="145"/>
      <c r="J720" s="145"/>
      <c r="K720" s="145"/>
      <c r="L720" s="143"/>
      <c r="M720" s="144"/>
      <c r="N720" s="143"/>
      <c r="O720" s="143"/>
    </row>
    <row r="721" spans="1:15">
      <c r="A721" s="81"/>
      <c r="B721" s="143"/>
      <c r="C721" s="145"/>
      <c r="D721" s="145"/>
      <c r="E721" s="146"/>
      <c r="F721" s="145"/>
      <c r="G721" s="145"/>
      <c r="H721" s="145"/>
      <c r="I721" s="145"/>
      <c r="J721" s="145"/>
      <c r="K721" s="145"/>
      <c r="L721" s="143"/>
      <c r="M721" s="144"/>
      <c r="N721" s="143"/>
      <c r="O721" s="143"/>
    </row>
    <row r="722" spans="1:15">
      <c r="A722" s="81"/>
      <c r="B722" s="143"/>
      <c r="C722" s="145"/>
      <c r="D722" s="145"/>
      <c r="E722" s="146"/>
      <c r="F722" s="145"/>
      <c r="G722" s="145"/>
      <c r="H722" s="145"/>
      <c r="I722" s="145"/>
      <c r="J722" s="145"/>
      <c r="K722" s="145"/>
      <c r="L722" s="143"/>
      <c r="M722" s="144"/>
      <c r="N722" s="143"/>
      <c r="O722" s="143"/>
    </row>
    <row r="723" spans="1:15">
      <c r="A723" s="81"/>
      <c r="B723" s="143"/>
      <c r="C723" s="145"/>
      <c r="D723" s="145"/>
      <c r="E723" s="146"/>
      <c r="F723" s="145"/>
      <c r="G723" s="145"/>
      <c r="H723" s="145"/>
      <c r="I723" s="145"/>
      <c r="J723" s="145"/>
      <c r="K723" s="145"/>
      <c r="L723" s="143"/>
      <c r="M723" s="144"/>
      <c r="N723" s="143"/>
      <c r="O723" s="143"/>
    </row>
    <row r="724" spans="1:15">
      <c r="A724" s="81"/>
      <c r="B724" s="143"/>
      <c r="C724" s="145"/>
      <c r="D724" s="145"/>
      <c r="E724" s="146"/>
      <c r="F724" s="145"/>
      <c r="G724" s="145"/>
      <c r="H724" s="145"/>
      <c r="I724" s="145"/>
      <c r="J724" s="145"/>
      <c r="K724" s="145"/>
      <c r="L724" s="143"/>
      <c r="M724" s="144"/>
      <c r="N724" s="143"/>
      <c r="O724" s="143"/>
    </row>
    <row r="725" spans="1:15">
      <c r="A725" s="81"/>
      <c r="B725" s="143"/>
      <c r="C725" s="145"/>
      <c r="D725" s="145"/>
      <c r="E725" s="146"/>
      <c r="F725" s="145"/>
      <c r="G725" s="145"/>
      <c r="H725" s="145"/>
      <c r="I725" s="145"/>
      <c r="J725" s="145"/>
      <c r="K725" s="145"/>
      <c r="L725" s="143"/>
      <c r="M725" s="144"/>
      <c r="N725" s="143"/>
      <c r="O725" s="143"/>
    </row>
    <row r="726" spans="1:15">
      <c r="A726" s="81"/>
      <c r="B726" s="143"/>
      <c r="C726" s="145"/>
      <c r="D726" s="145"/>
      <c r="E726" s="146"/>
      <c r="F726" s="145"/>
      <c r="G726" s="145"/>
      <c r="H726" s="145"/>
      <c r="I726" s="145"/>
      <c r="J726" s="145"/>
      <c r="K726" s="145"/>
      <c r="L726" s="143"/>
      <c r="M726" s="144"/>
      <c r="N726" s="143"/>
      <c r="O726" s="143"/>
    </row>
    <row r="727" spans="1:15">
      <c r="A727" s="81"/>
      <c r="B727" s="143"/>
      <c r="C727" s="145"/>
      <c r="D727" s="145"/>
      <c r="E727" s="146"/>
      <c r="F727" s="145"/>
      <c r="G727" s="145"/>
      <c r="H727" s="145"/>
      <c r="I727" s="145"/>
      <c r="J727" s="145"/>
      <c r="K727" s="145"/>
      <c r="L727" s="143"/>
      <c r="M727" s="144"/>
      <c r="N727" s="143"/>
      <c r="O727" s="143"/>
    </row>
    <row r="728" spans="1:15">
      <c r="A728" s="81"/>
      <c r="B728" s="143"/>
      <c r="C728" s="145"/>
      <c r="D728" s="145"/>
      <c r="E728" s="146"/>
      <c r="F728" s="145"/>
      <c r="G728" s="145"/>
      <c r="H728" s="145"/>
      <c r="I728" s="145"/>
      <c r="J728" s="145"/>
      <c r="K728" s="145"/>
      <c r="L728" s="143"/>
      <c r="M728" s="144"/>
      <c r="N728" s="143"/>
      <c r="O728" s="143"/>
    </row>
    <row r="729" spans="1:15">
      <c r="A729" s="81"/>
      <c r="B729" s="143"/>
      <c r="C729" s="145"/>
      <c r="D729" s="145"/>
      <c r="E729" s="146"/>
      <c r="F729" s="145"/>
      <c r="G729" s="145"/>
      <c r="H729" s="145"/>
      <c r="I729" s="145"/>
      <c r="J729" s="145"/>
      <c r="K729" s="145"/>
      <c r="L729" s="143"/>
      <c r="M729" s="144"/>
      <c r="N729" s="143"/>
      <c r="O729" s="143"/>
    </row>
    <row r="730" spans="1:15">
      <c r="A730" s="81"/>
      <c r="B730" s="143"/>
      <c r="C730" s="145"/>
      <c r="D730" s="145"/>
      <c r="E730" s="146"/>
      <c r="F730" s="145"/>
      <c r="G730" s="145"/>
      <c r="H730" s="145"/>
      <c r="I730" s="145"/>
      <c r="J730" s="145"/>
      <c r="K730" s="145"/>
      <c r="L730" s="143"/>
      <c r="M730" s="144"/>
      <c r="N730" s="143"/>
      <c r="O730" s="143"/>
    </row>
    <row r="731" spans="1:15">
      <c r="A731" s="81"/>
      <c r="B731" s="143"/>
      <c r="C731" s="145"/>
      <c r="D731" s="145"/>
      <c r="E731" s="146"/>
      <c r="F731" s="145"/>
      <c r="G731" s="145"/>
      <c r="H731" s="145"/>
      <c r="I731" s="145"/>
      <c r="J731" s="145"/>
      <c r="K731" s="145"/>
      <c r="L731" s="143"/>
      <c r="M731" s="144"/>
      <c r="N731" s="143"/>
      <c r="O731" s="143"/>
    </row>
    <row r="732" spans="1:15">
      <c r="A732" s="81"/>
      <c r="B732" s="143"/>
      <c r="C732" s="145"/>
      <c r="D732" s="145"/>
      <c r="E732" s="146"/>
      <c r="F732" s="145"/>
      <c r="G732" s="145"/>
      <c r="H732" s="145"/>
      <c r="I732" s="145"/>
      <c r="J732" s="145"/>
      <c r="K732" s="145"/>
      <c r="L732" s="143"/>
      <c r="M732" s="144"/>
      <c r="N732" s="143"/>
      <c r="O732" s="143"/>
    </row>
    <row r="733" spans="1:15">
      <c r="A733" s="81"/>
      <c r="B733" s="143"/>
      <c r="C733" s="145"/>
      <c r="D733" s="145"/>
      <c r="E733" s="146"/>
      <c r="F733" s="145"/>
      <c r="G733" s="145"/>
      <c r="H733" s="145"/>
      <c r="I733" s="145"/>
      <c r="J733" s="145"/>
      <c r="K733" s="145"/>
      <c r="L733" s="143"/>
      <c r="M733" s="144"/>
      <c r="N733" s="143"/>
      <c r="O733" s="143"/>
    </row>
    <row r="734" spans="1:15">
      <c r="A734" s="81"/>
      <c r="B734" s="143"/>
      <c r="C734" s="145"/>
      <c r="D734" s="145"/>
      <c r="E734" s="146"/>
      <c r="F734" s="145"/>
      <c r="G734" s="145"/>
      <c r="H734" s="145"/>
      <c r="I734" s="145"/>
      <c r="J734" s="145"/>
      <c r="K734" s="145"/>
      <c r="L734" s="143"/>
      <c r="M734" s="144"/>
      <c r="N734" s="143"/>
      <c r="O734" s="143"/>
    </row>
    <row r="735" spans="1:15">
      <c r="A735" s="81"/>
      <c r="B735" s="143"/>
      <c r="C735" s="145"/>
      <c r="D735" s="145"/>
      <c r="E735" s="146"/>
      <c r="F735" s="145"/>
      <c r="G735" s="145"/>
      <c r="H735" s="145"/>
      <c r="I735" s="145"/>
      <c r="J735" s="145"/>
      <c r="K735" s="145"/>
      <c r="L735" s="143"/>
      <c r="M735" s="144"/>
      <c r="N735" s="143"/>
      <c r="O735" s="143"/>
    </row>
    <row r="736" spans="1:15">
      <c r="A736" s="81"/>
      <c r="B736" s="143"/>
      <c r="C736" s="145"/>
      <c r="D736" s="145"/>
      <c r="E736" s="146"/>
      <c r="F736" s="145"/>
      <c r="G736" s="145"/>
      <c r="H736" s="145"/>
      <c r="I736" s="145"/>
      <c r="J736" s="145"/>
      <c r="K736" s="145"/>
      <c r="L736" s="143"/>
      <c r="M736" s="144"/>
      <c r="N736" s="143"/>
      <c r="O736" s="143"/>
    </row>
    <row r="737" spans="1:15">
      <c r="A737" s="81"/>
      <c r="B737" s="143"/>
      <c r="C737" s="145"/>
      <c r="D737" s="145"/>
      <c r="E737" s="146"/>
      <c r="F737" s="145"/>
      <c r="G737" s="145"/>
      <c r="H737" s="145"/>
      <c r="I737" s="145"/>
      <c r="J737" s="145"/>
      <c r="K737" s="145"/>
      <c r="L737" s="143"/>
      <c r="M737" s="144"/>
      <c r="N737" s="143"/>
      <c r="O737" s="143"/>
    </row>
    <row r="738" spans="1:15">
      <c r="A738" s="81"/>
      <c r="B738" s="143"/>
      <c r="C738" s="145"/>
      <c r="D738" s="145"/>
      <c r="E738" s="146"/>
      <c r="F738" s="145"/>
      <c r="G738" s="145"/>
      <c r="H738" s="145"/>
      <c r="I738" s="145"/>
      <c r="J738" s="145"/>
      <c r="K738" s="145"/>
      <c r="L738" s="143"/>
      <c r="M738" s="144"/>
      <c r="N738" s="143"/>
      <c r="O738" s="143"/>
    </row>
    <row r="739" spans="1:15">
      <c r="A739" s="81"/>
      <c r="B739" s="143"/>
      <c r="C739" s="145"/>
      <c r="D739" s="145"/>
      <c r="E739" s="146"/>
      <c r="F739" s="145"/>
      <c r="G739" s="145"/>
      <c r="H739" s="145"/>
      <c r="I739" s="145"/>
      <c r="J739" s="145"/>
      <c r="K739" s="145"/>
      <c r="L739" s="143"/>
      <c r="M739" s="144"/>
      <c r="N739" s="143"/>
      <c r="O739" s="143"/>
    </row>
    <row r="740" spans="1:15">
      <c r="A740" s="81"/>
      <c r="B740" s="143"/>
      <c r="C740" s="145"/>
      <c r="D740" s="145"/>
      <c r="E740" s="146"/>
      <c r="F740" s="145"/>
      <c r="G740" s="145"/>
      <c r="H740" s="145"/>
      <c r="I740" s="145"/>
      <c r="J740" s="145"/>
      <c r="K740" s="145"/>
      <c r="L740" s="143"/>
      <c r="M740" s="144"/>
      <c r="N740" s="143"/>
      <c r="O740" s="143"/>
    </row>
    <row r="741" spans="1:15">
      <c r="A741" s="81"/>
      <c r="B741" s="143"/>
      <c r="C741" s="145"/>
      <c r="D741" s="145"/>
      <c r="E741" s="146"/>
      <c r="F741" s="145"/>
      <c r="G741" s="145"/>
      <c r="H741" s="145"/>
      <c r="I741" s="145"/>
      <c r="J741" s="145"/>
      <c r="K741" s="145"/>
      <c r="L741" s="143"/>
      <c r="M741" s="144"/>
      <c r="N741" s="143"/>
      <c r="O741" s="143"/>
    </row>
    <row r="742" spans="1:15">
      <c r="A742" s="81"/>
      <c r="B742" s="143"/>
      <c r="C742" s="145"/>
      <c r="D742" s="145"/>
      <c r="E742" s="146"/>
      <c r="F742" s="145"/>
      <c r="G742" s="145"/>
      <c r="H742" s="145"/>
      <c r="I742" s="145"/>
      <c r="J742" s="145"/>
      <c r="K742" s="145"/>
      <c r="L742" s="143"/>
      <c r="M742" s="144"/>
      <c r="N742" s="143"/>
      <c r="O742" s="143"/>
    </row>
    <row r="743" spans="1:15">
      <c r="A743" s="81"/>
      <c r="B743" s="143"/>
      <c r="C743" s="145"/>
      <c r="D743" s="145"/>
      <c r="E743" s="146"/>
      <c r="F743" s="145"/>
      <c r="G743" s="145"/>
      <c r="H743" s="145"/>
      <c r="I743" s="145"/>
      <c r="J743" s="145"/>
      <c r="K743" s="145"/>
      <c r="L743" s="143"/>
      <c r="M743" s="144"/>
      <c r="N743" s="143"/>
      <c r="O743" s="143"/>
    </row>
    <row r="744" spans="1:15">
      <c r="A744" s="81"/>
      <c r="B744" s="143"/>
      <c r="C744" s="145"/>
      <c r="D744" s="145"/>
      <c r="E744" s="146"/>
      <c r="F744" s="145"/>
      <c r="G744" s="145"/>
      <c r="H744" s="145"/>
      <c r="I744" s="145"/>
      <c r="J744" s="145"/>
      <c r="K744" s="145"/>
      <c r="L744" s="143"/>
      <c r="M744" s="144"/>
      <c r="N744" s="143"/>
      <c r="O744" s="143"/>
    </row>
    <row r="745" spans="1:15">
      <c r="A745" s="81"/>
      <c r="B745" s="143"/>
      <c r="C745" s="145"/>
      <c r="D745" s="145"/>
      <c r="E745" s="146"/>
      <c r="F745" s="145"/>
      <c r="G745" s="145"/>
      <c r="H745" s="145"/>
      <c r="I745" s="145"/>
      <c r="J745" s="145"/>
      <c r="K745" s="145"/>
      <c r="L745" s="143"/>
      <c r="M745" s="144"/>
      <c r="N745" s="143"/>
      <c r="O745" s="143"/>
    </row>
    <row r="746" spans="1:15">
      <c r="A746" s="81"/>
      <c r="B746" s="143"/>
      <c r="C746" s="145"/>
      <c r="D746" s="145"/>
      <c r="E746" s="146"/>
      <c r="F746" s="145"/>
      <c r="G746" s="145"/>
      <c r="H746" s="145"/>
      <c r="I746" s="145"/>
      <c r="J746" s="145"/>
      <c r="K746" s="145"/>
      <c r="L746" s="143"/>
      <c r="M746" s="144"/>
      <c r="N746" s="143"/>
      <c r="O746" s="143"/>
    </row>
    <row r="747" spans="1:15">
      <c r="A747" s="81"/>
      <c r="B747" s="143"/>
      <c r="C747" s="145"/>
      <c r="D747" s="145"/>
      <c r="E747" s="146"/>
      <c r="F747" s="145"/>
      <c r="G747" s="145"/>
      <c r="H747" s="145"/>
      <c r="I747" s="145"/>
      <c r="J747" s="145"/>
      <c r="K747" s="145"/>
      <c r="L747" s="143"/>
      <c r="M747" s="144"/>
      <c r="N747" s="143"/>
      <c r="O747" s="143"/>
    </row>
    <row r="748" spans="1:15">
      <c r="A748" s="81"/>
      <c r="B748" s="143"/>
      <c r="C748" s="145"/>
      <c r="D748" s="145"/>
      <c r="E748" s="146"/>
      <c r="F748" s="145"/>
      <c r="G748" s="145"/>
      <c r="H748" s="145"/>
      <c r="I748" s="145"/>
      <c r="J748" s="145"/>
      <c r="K748" s="145"/>
      <c r="L748" s="143"/>
      <c r="M748" s="144"/>
      <c r="N748" s="143"/>
      <c r="O748" s="143"/>
    </row>
    <row r="749" spans="1:15">
      <c r="A749" s="81"/>
      <c r="B749" s="143"/>
      <c r="C749" s="145"/>
      <c r="D749" s="145"/>
      <c r="E749" s="146"/>
      <c r="F749" s="145"/>
      <c r="G749" s="145"/>
      <c r="H749" s="145"/>
      <c r="I749" s="145"/>
      <c r="J749" s="145"/>
      <c r="K749" s="145"/>
      <c r="L749" s="143"/>
      <c r="M749" s="144"/>
      <c r="N749" s="143"/>
      <c r="O749" s="143"/>
    </row>
    <row r="750" spans="1:15">
      <c r="A750" s="81"/>
      <c r="B750" s="143"/>
      <c r="C750" s="145"/>
      <c r="D750" s="145"/>
      <c r="E750" s="146"/>
      <c r="F750" s="145"/>
      <c r="G750" s="145"/>
      <c r="H750" s="145"/>
      <c r="I750" s="145"/>
      <c r="J750" s="145"/>
      <c r="K750" s="145"/>
      <c r="L750" s="143"/>
      <c r="M750" s="144"/>
      <c r="N750" s="143"/>
      <c r="O750" s="143"/>
    </row>
    <row r="751" spans="1:15">
      <c r="A751" s="81"/>
      <c r="B751" s="143"/>
      <c r="C751" s="145"/>
      <c r="D751" s="145"/>
      <c r="E751" s="146"/>
      <c r="F751" s="145"/>
      <c r="G751" s="145"/>
      <c r="H751" s="145"/>
      <c r="I751" s="145"/>
      <c r="J751" s="145"/>
      <c r="K751" s="145"/>
      <c r="L751" s="143"/>
      <c r="M751" s="144"/>
      <c r="N751" s="143"/>
      <c r="O751" s="143"/>
    </row>
    <row r="752" spans="1:15">
      <c r="A752" s="81"/>
      <c r="B752" s="143"/>
      <c r="C752" s="145"/>
      <c r="D752" s="145"/>
      <c r="E752" s="146"/>
      <c r="F752" s="145"/>
      <c r="G752" s="145"/>
      <c r="H752" s="145"/>
      <c r="I752" s="145"/>
      <c r="J752" s="145"/>
      <c r="K752" s="145"/>
      <c r="L752" s="143"/>
      <c r="M752" s="144"/>
      <c r="N752" s="143"/>
      <c r="O752" s="143"/>
    </row>
    <row r="753" spans="1:15">
      <c r="A753" s="81"/>
      <c r="B753" s="143"/>
      <c r="C753" s="145"/>
      <c r="D753" s="145"/>
      <c r="E753" s="146"/>
      <c r="F753" s="145"/>
      <c r="G753" s="145"/>
      <c r="H753" s="145"/>
      <c r="I753" s="145"/>
      <c r="J753" s="145"/>
      <c r="K753" s="145"/>
      <c r="L753" s="143"/>
      <c r="M753" s="144"/>
      <c r="N753" s="143"/>
      <c r="O753" s="143"/>
    </row>
    <row r="754" spans="1:15">
      <c r="A754" s="81"/>
      <c r="B754" s="143"/>
      <c r="C754" s="145"/>
      <c r="D754" s="145"/>
      <c r="E754" s="146"/>
      <c r="F754" s="145"/>
      <c r="G754" s="145"/>
      <c r="H754" s="145"/>
      <c r="I754" s="145"/>
      <c r="J754" s="145"/>
      <c r="K754" s="145"/>
      <c r="L754" s="143"/>
      <c r="M754" s="144"/>
      <c r="N754" s="143"/>
      <c r="O754" s="143"/>
    </row>
    <row r="755" spans="1:15">
      <c r="A755" s="81"/>
      <c r="B755" s="143"/>
      <c r="C755" s="145"/>
      <c r="D755" s="145"/>
      <c r="E755" s="146"/>
      <c r="F755" s="145"/>
      <c r="G755" s="145"/>
      <c r="H755" s="145"/>
      <c r="I755" s="145"/>
      <c r="J755" s="145"/>
      <c r="K755" s="145"/>
      <c r="L755" s="143"/>
      <c r="M755" s="144"/>
      <c r="N755" s="143"/>
      <c r="O755" s="143"/>
    </row>
    <row r="756" spans="1:15">
      <c r="A756" s="81"/>
      <c r="B756" s="143"/>
      <c r="C756" s="145"/>
      <c r="D756" s="145"/>
      <c r="E756" s="146"/>
      <c r="F756" s="145"/>
      <c r="G756" s="145"/>
      <c r="H756" s="145"/>
      <c r="I756" s="145"/>
      <c r="J756" s="145"/>
      <c r="K756" s="145"/>
      <c r="L756" s="143"/>
      <c r="M756" s="144"/>
      <c r="N756" s="143"/>
      <c r="O756" s="143"/>
    </row>
    <row r="757" spans="1:15">
      <c r="A757" s="81"/>
      <c r="B757" s="143"/>
      <c r="C757" s="145"/>
      <c r="D757" s="145"/>
      <c r="E757" s="146"/>
      <c r="F757" s="145"/>
      <c r="G757" s="145"/>
      <c r="H757" s="145"/>
      <c r="I757" s="145"/>
      <c r="J757" s="145"/>
      <c r="K757" s="145"/>
      <c r="L757" s="143"/>
      <c r="M757" s="144"/>
      <c r="N757" s="143"/>
      <c r="O757" s="143"/>
    </row>
    <row r="758" spans="1:15">
      <c r="A758" s="81"/>
      <c r="B758" s="143"/>
      <c r="C758" s="145"/>
      <c r="D758" s="145"/>
      <c r="E758" s="146"/>
      <c r="F758" s="145"/>
      <c r="G758" s="145"/>
      <c r="H758" s="145"/>
      <c r="I758" s="145"/>
      <c r="J758" s="145"/>
      <c r="K758" s="145"/>
      <c r="L758" s="143"/>
      <c r="M758" s="144"/>
      <c r="N758" s="143"/>
      <c r="O758" s="143"/>
    </row>
    <row r="759" spans="1:15">
      <c r="A759" s="81"/>
      <c r="B759" s="143"/>
      <c r="C759" s="145"/>
      <c r="D759" s="145"/>
      <c r="E759" s="146"/>
      <c r="F759" s="145"/>
      <c r="G759" s="145"/>
      <c r="H759" s="145"/>
      <c r="I759" s="145"/>
      <c r="J759" s="145"/>
      <c r="K759" s="145"/>
      <c r="L759" s="143"/>
      <c r="M759" s="144"/>
      <c r="N759" s="143"/>
      <c r="O759" s="143"/>
    </row>
    <row r="760" spans="1:15">
      <c r="A760" s="81"/>
      <c r="B760" s="143"/>
      <c r="C760" s="145"/>
      <c r="D760" s="145"/>
      <c r="E760" s="146"/>
      <c r="F760" s="145"/>
      <c r="G760" s="145"/>
      <c r="H760" s="145"/>
      <c r="I760" s="145"/>
      <c r="J760" s="145"/>
      <c r="K760" s="145"/>
      <c r="L760" s="143"/>
      <c r="M760" s="144"/>
      <c r="N760" s="143"/>
      <c r="O760" s="143"/>
    </row>
    <row r="761" spans="1:15">
      <c r="A761" s="81"/>
      <c r="B761" s="143"/>
      <c r="C761" s="145"/>
      <c r="D761" s="145"/>
      <c r="E761" s="146"/>
      <c r="F761" s="145"/>
      <c r="G761" s="145"/>
      <c r="H761" s="145"/>
      <c r="I761" s="145"/>
      <c r="J761" s="145"/>
      <c r="K761" s="145"/>
      <c r="L761" s="143"/>
      <c r="M761" s="144"/>
      <c r="N761" s="143"/>
      <c r="O761" s="143"/>
    </row>
    <row r="762" spans="1:15">
      <c r="A762" s="81"/>
      <c r="B762" s="143"/>
      <c r="C762" s="145"/>
      <c r="D762" s="145"/>
      <c r="E762" s="146"/>
      <c r="F762" s="145"/>
      <c r="G762" s="145"/>
      <c r="H762" s="145"/>
      <c r="I762" s="145"/>
      <c r="J762" s="145"/>
      <c r="K762" s="145"/>
      <c r="L762" s="143"/>
      <c r="M762" s="144"/>
      <c r="N762" s="143"/>
      <c r="O762" s="143"/>
    </row>
    <row r="763" spans="1:15">
      <c r="A763" s="81"/>
      <c r="B763" s="143"/>
      <c r="C763" s="145"/>
      <c r="D763" s="145"/>
      <c r="E763" s="146"/>
      <c r="F763" s="145"/>
      <c r="G763" s="145"/>
      <c r="H763" s="145"/>
      <c r="I763" s="145"/>
      <c r="J763" s="145"/>
      <c r="K763" s="145"/>
      <c r="L763" s="143"/>
      <c r="M763" s="144"/>
      <c r="N763" s="143"/>
      <c r="O763" s="143"/>
    </row>
    <row r="764" spans="1:15">
      <c r="A764" s="81"/>
      <c r="B764" s="143"/>
      <c r="C764" s="145"/>
      <c r="D764" s="145"/>
      <c r="E764" s="146"/>
      <c r="F764" s="145"/>
      <c r="G764" s="145"/>
      <c r="H764" s="145"/>
      <c r="I764" s="145"/>
      <c r="J764" s="145"/>
      <c r="K764" s="145"/>
      <c r="L764" s="143"/>
      <c r="M764" s="144"/>
      <c r="N764" s="143"/>
      <c r="O764" s="143"/>
    </row>
    <row r="765" spans="1:15">
      <c r="A765" s="81"/>
      <c r="B765" s="143"/>
      <c r="C765" s="145"/>
      <c r="D765" s="145"/>
      <c r="E765" s="146"/>
      <c r="F765" s="145"/>
      <c r="G765" s="145"/>
      <c r="H765" s="145"/>
      <c r="I765" s="145"/>
      <c r="J765" s="145"/>
      <c r="K765" s="145"/>
      <c r="L765" s="143"/>
      <c r="M765" s="144"/>
      <c r="N765" s="143"/>
      <c r="O765" s="143"/>
    </row>
    <row r="766" spans="1:15">
      <c r="A766" s="81"/>
      <c r="B766" s="143"/>
      <c r="C766" s="145"/>
      <c r="D766" s="145"/>
      <c r="E766" s="146"/>
      <c r="F766" s="145"/>
      <c r="G766" s="145"/>
      <c r="H766" s="145"/>
      <c r="I766" s="145"/>
      <c r="J766" s="145"/>
      <c r="K766" s="145"/>
      <c r="L766" s="143"/>
      <c r="M766" s="144"/>
      <c r="N766" s="143"/>
      <c r="O766" s="143"/>
    </row>
    <row r="767" spans="1:15">
      <c r="A767" s="81"/>
      <c r="B767" s="143"/>
      <c r="C767" s="145"/>
      <c r="D767" s="145"/>
      <c r="E767" s="146"/>
      <c r="F767" s="145"/>
      <c r="G767" s="145"/>
      <c r="H767" s="145"/>
      <c r="I767" s="145"/>
      <c r="J767" s="145"/>
      <c r="K767" s="145"/>
      <c r="L767" s="143"/>
      <c r="M767" s="144"/>
      <c r="N767" s="143"/>
      <c r="O767" s="143"/>
    </row>
    <row r="768" spans="1:15">
      <c r="A768" s="81"/>
      <c r="B768" s="143"/>
      <c r="C768" s="145"/>
      <c r="D768" s="145"/>
      <c r="E768" s="146"/>
      <c r="F768" s="145"/>
      <c r="G768" s="145"/>
      <c r="H768" s="145"/>
      <c r="I768" s="145"/>
      <c r="J768" s="145"/>
      <c r="K768" s="145"/>
      <c r="L768" s="143"/>
      <c r="M768" s="144"/>
      <c r="N768" s="143"/>
      <c r="O768" s="143"/>
    </row>
    <row r="769" spans="1:15">
      <c r="A769" s="81"/>
      <c r="B769" s="143"/>
      <c r="C769" s="145"/>
      <c r="D769" s="145"/>
      <c r="E769" s="146"/>
      <c r="F769" s="145"/>
      <c r="G769" s="145"/>
      <c r="H769" s="145"/>
      <c r="I769" s="145"/>
      <c r="J769" s="145"/>
      <c r="K769" s="145"/>
      <c r="L769" s="143"/>
      <c r="M769" s="144"/>
      <c r="N769" s="143"/>
      <c r="O769" s="143"/>
    </row>
    <row r="770" spans="1:15">
      <c r="A770" s="81"/>
      <c r="B770" s="143"/>
      <c r="C770" s="145"/>
      <c r="D770" s="145"/>
      <c r="E770" s="146"/>
      <c r="F770" s="145"/>
      <c r="G770" s="145"/>
      <c r="H770" s="145"/>
      <c r="I770" s="145"/>
      <c r="J770" s="145"/>
      <c r="K770" s="145"/>
      <c r="L770" s="143"/>
      <c r="M770" s="144"/>
      <c r="N770" s="143"/>
      <c r="O770" s="143"/>
    </row>
    <row r="771" spans="1:15">
      <c r="A771" s="81"/>
      <c r="B771" s="143"/>
      <c r="C771" s="145"/>
      <c r="D771" s="145"/>
      <c r="E771" s="146"/>
      <c r="F771" s="145"/>
      <c r="G771" s="145"/>
      <c r="H771" s="145"/>
      <c r="I771" s="145"/>
      <c r="J771" s="145"/>
      <c r="K771" s="145"/>
      <c r="L771" s="143"/>
      <c r="M771" s="144"/>
      <c r="N771" s="143"/>
      <c r="O771" s="143"/>
    </row>
    <row r="772" spans="1:15">
      <c r="A772" s="81"/>
      <c r="B772" s="143"/>
      <c r="C772" s="145"/>
      <c r="D772" s="145"/>
      <c r="E772" s="146"/>
      <c r="F772" s="145"/>
      <c r="G772" s="145"/>
      <c r="H772" s="145"/>
      <c r="I772" s="145"/>
      <c r="J772" s="145"/>
      <c r="K772" s="145"/>
      <c r="L772" s="143"/>
      <c r="M772" s="144"/>
      <c r="N772" s="143"/>
      <c r="O772" s="143"/>
    </row>
    <row r="773" spans="1:15">
      <c r="A773" s="81"/>
      <c r="B773" s="143"/>
      <c r="C773" s="145"/>
      <c r="D773" s="145"/>
      <c r="E773" s="146"/>
      <c r="F773" s="145"/>
      <c r="G773" s="145"/>
      <c r="H773" s="145"/>
      <c r="I773" s="145"/>
      <c r="J773" s="145"/>
      <c r="K773" s="145"/>
      <c r="L773" s="143"/>
      <c r="M773" s="144"/>
      <c r="N773" s="143"/>
      <c r="O773" s="143"/>
    </row>
    <row r="774" spans="1:15">
      <c r="A774" s="81"/>
      <c r="B774" s="143"/>
      <c r="C774" s="145"/>
      <c r="D774" s="145"/>
      <c r="E774" s="146"/>
      <c r="F774" s="145"/>
      <c r="G774" s="145"/>
      <c r="H774" s="145"/>
      <c r="I774" s="145"/>
      <c r="J774" s="145"/>
      <c r="K774" s="145"/>
      <c r="L774" s="143"/>
      <c r="M774" s="144"/>
      <c r="N774" s="143"/>
      <c r="O774" s="143"/>
    </row>
    <row r="775" spans="1:15">
      <c r="A775" s="81"/>
      <c r="B775" s="143"/>
      <c r="C775" s="145"/>
      <c r="D775" s="145"/>
      <c r="E775" s="146"/>
      <c r="F775" s="145"/>
      <c r="G775" s="145"/>
      <c r="H775" s="145"/>
      <c r="I775" s="145"/>
      <c r="J775" s="145"/>
      <c r="K775" s="145"/>
      <c r="L775" s="143"/>
      <c r="M775" s="144"/>
      <c r="N775" s="143"/>
      <c r="O775" s="143"/>
    </row>
    <row r="776" spans="1:15">
      <c r="A776" s="81"/>
      <c r="B776" s="143"/>
      <c r="C776" s="145"/>
      <c r="D776" s="145"/>
      <c r="E776" s="146"/>
      <c r="F776" s="145"/>
      <c r="G776" s="145"/>
      <c r="H776" s="145"/>
      <c r="I776" s="145"/>
      <c r="J776" s="145"/>
      <c r="K776" s="145"/>
      <c r="L776" s="143"/>
      <c r="M776" s="144"/>
      <c r="N776" s="143"/>
      <c r="O776" s="143"/>
    </row>
    <row r="777" spans="1:15">
      <c r="A777" s="81"/>
      <c r="B777" s="143"/>
      <c r="C777" s="145"/>
      <c r="D777" s="145"/>
      <c r="E777" s="146"/>
      <c r="F777" s="145"/>
      <c r="G777" s="145"/>
      <c r="H777" s="145"/>
      <c r="I777" s="145"/>
      <c r="J777" s="145"/>
      <c r="K777" s="145"/>
      <c r="L777" s="143"/>
      <c r="M777" s="144"/>
      <c r="N777" s="143"/>
      <c r="O777" s="143"/>
    </row>
    <row r="778" spans="1:15">
      <c r="A778" s="81"/>
      <c r="B778" s="143"/>
      <c r="C778" s="145"/>
      <c r="D778" s="145"/>
      <c r="E778" s="146"/>
      <c r="F778" s="145"/>
      <c r="G778" s="145"/>
      <c r="H778" s="145"/>
      <c r="I778" s="145"/>
      <c r="J778" s="145"/>
      <c r="K778" s="145"/>
      <c r="L778" s="143"/>
      <c r="M778" s="144"/>
      <c r="N778" s="143"/>
      <c r="O778" s="143"/>
    </row>
    <row r="779" spans="1:15">
      <c r="A779" s="81"/>
      <c r="B779" s="143"/>
      <c r="C779" s="145"/>
      <c r="D779" s="145"/>
      <c r="E779" s="146"/>
      <c r="F779" s="145"/>
      <c r="G779" s="145"/>
      <c r="H779" s="145"/>
      <c r="I779" s="145"/>
      <c r="J779" s="145"/>
      <c r="K779" s="145"/>
      <c r="L779" s="143"/>
      <c r="M779" s="144"/>
      <c r="N779" s="143"/>
      <c r="O779" s="143"/>
    </row>
    <row r="780" spans="1:15">
      <c r="A780" s="81"/>
      <c r="B780" s="143"/>
      <c r="C780" s="145"/>
      <c r="D780" s="145"/>
      <c r="E780" s="146"/>
      <c r="F780" s="145"/>
      <c r="G780" s="145"/>
      <c r="H780" s="145"/>
      <c r="I780" s="145"/>
      <c r="J780" s="145"/>
      <c r="K780" s="145"/>
      <c r="L780" s="143"/>
      <c r="M780" s="144"/>
      <c r="N780" s="143"/>
      <c r="O780" s="143"/>
    </row>
    <row r="781" spans="1:15">
      <c r="A781" s="81"/>
      <c r="B781" s="143"/>
      <c r="C781" s="145"/>
      <c r="D781" s="145"/>
      <c r="E781" s="146"/>
      <c r="F781" s="145"/>
      <c r="G781" s="145"/>
      <c r="H781" s="145"/>
      <c r="I781" s="145"/>
      <c r="J781" s="145"/>
      <c r="K781" s="145"/>
      <c r="L781" s="143"/>
      <c r="M781" s="144"/>
      <c r="N781" s="143"/>
      <c r="O781" s="143"/>
    </row>
    <row r="782" spans="1:15">
      <c r="A782" s="81"/>
      <c r="B782" s="143"/>
      <c r="C782" s="145"/>
      <c r="D782" s="145"/>
      <c r="E782" s="146"/>
      <c r="F782" s="145"/>
      <c r="G782" s="145"/>
      <c r="H782" s="145"/>
      <c r="I782" s="145"/>
      <c r="J782" s="145"/>
      <c r="K782" s="145"/>
      <c r="L782" s="143"/>
      <c r="M782" s="144"/>
      <c r="N782" s="143"/>
      <c r="O782" s="143"/>
    </row>
    <row r="783" spans="1:15">
      <c r="A783" s="81"/>
      <c r="B783" s="143"/>
      <c r="C783" s="145"/>
      <c r="D783" s="145"/>
      <c r="E783" s="146"/>
      <c r="F783" s="145"/>
      <c r="G783" s="145"/>
      <c r="H783" s="145"/>
      <c r="I783" s="145"/>
      <c r="J783" s="145"/>
      <c r="K783" s="145"/>
      <c r="L783" s="143"/>
      <c r="M783" s="144"/>
      <c r="N783" s="143"/>
      <c r="O783" s="143"/>
    </row>
    <row r="784" spans="1:15">
      <c r="A784" s="81"/>
      <c r="B784" s="143"/>
      <c r="C784" s="145"/>
      <c r="D784" s="145"/>
      <c r="E784" s="146"/>
      <c r="F784" s="145"/>
      <c r="G784" s="145"/>
      <c r="H784" s="145"/>
      <c r="I784" s="145"/>
      <c r="J784" s="145"/>
      <c r="K784" s="145"/>
      <c r="L784" s="143"/>
      <c r="M784" s="144"/>
      <c r="N784" s="143"/>
      <c r="O784" s="143"/>
    </row>
    <row r="785" spans="1:15">
      <c r="A785" s="81"/>
      <c r="B785" s="143"/>
      <c r="C785" s="145"/>
      <c r="D785" s="145"/>
      <c r="E785" s="146"/>
      <c r="F785" s="145"/>
      <c r="G785" s="145"/>
      <c r="H785" s="145"/>
      <c r="I785" s="145"/>
      <c r="J785" s="145"/>
      <c r="K785" s="145"/>
      <c r="L785" s="143"/>
      <c r="M785" s="144"/>
      <c r="N785" s="143"/>
      <c r="O785" s="143"/>
    </row>
    <row r="786" spans="1:15">
      <c r="A786" s="81"/>
      <c r="B786" s="143"/>
      <c r="C786" s="145"/>
      <c r="D786" s="145"/>
      <c r="E786" s="146"/>
      <c r="F786" s="145"/>
      <c r="G786" s="145"/>
      <c r="H786" s="145"/>
      <c r="I786" s="145"/>
      <c r="J786" s="145"/>
      <c r="K786" s="145"/>
      <c r="L786" s="143"/>
      <c r="M786" s="144"/>
      <c r="N786" s="143"/>
      <c r="O786" s="143"/>
    </row>
    <row r="787" spans="1:15">
      <c r="A787" s="81"/>
      <c r="B787" s="143"/>
      <c r="C787" s="145"/>
      <c r="D787" s="145"/>
      <c r="E787" s="146"/>
      <c r="F787" s="145"/>
      <c r="G787" s="145"/>
      <c r="H787" s="145"/>
      <c r="I787" s="145"/>
      <c r="J787" s="145"/>
      <c r="K787" s="145"/>
      <c r="L787" s="143"/>
      <c r="M787" s="144"/>
      <c r="N787" s="143"/>
      <c r="O787" s="143"/>
    </row>
    <row r="788" spans="1:15">
      <c r="A788" s="81"/>
      <c r="B788" s="143"/>
      <c r="C788" s="145"/>
      <c r="D788" s="145"/>
      <c r="E788" s="146"/>
      <c r="F788" s="145"/>
      <c r="G788" s="145"/>
      <c r="H788" s="145"/>
      <c r="I788" s="145"/>
      <c r="J788" s="145"/>
      <c r="K788" s="145"/>
      <c r="L788" s="143"/>
      <c r="M788" s="144"/>
      <c r="N788" s="143"/>
      <c r="O788" s="143"/>
    </row>
    <row r="789" spans="1:15">
      <c r="A789" s="81"/>
      <c r="B789" s="143"/>
      <c r="C789" s="145"/>
      <c r="D789" s="145"/>
      <c r="E789" s="146"/>
      <c r="F789" s="145"/>
      <c r="G789" s="145"/>
      <c r="H789" s="145"/>
      <c r="I789" s="145"/>
      <c r="J789" s="145"/>
      <c r="K789" s="145"/>
      <c r="L789" s="143"/>
      <c r="M789" s="144"/>
      <c r="N789" s="143"/>
      <c r="O789" s="143"/>
    </row>
    <row r="790" spans="1:15">
      <c r="A790" s="81"/>
      <c r="B790" s="143"/>
      <c r="C790" s="145"/>
      <c r="D790" s="145"/>
      <c r="E790" s="146"/>
      <c r="F790" s="145"/>
      <c r="G790" s="145"/>
      <c r="H790" s="145"/>
      <c r="I790" s="145"/>
      <c r="J790" s="145"/>
      <c r="K790" s="145"/>
      <c r="L790" s="143"/>
      <c r="M790" s="144"/>
      <c r="N790" s="143"/>
      <c r="O790" s="143"/>
    </row>
    <row r="791" spans="1:15">
      <c r="A791" s="81"/>
      <c r="B791" s="143"/>
      <c r="C791" s="145"/>
      <c r="D791" s="145"/>
      <c r="E791" s="146"/>
      <c r="F791" s="145"/>
      <c r="G791" s="145"/>
      <c r="H791" s="145"/>
      <c r="I791" s="145"/>
      <c r="J791" s="145"/>
      <c r="K791" s="145"/>
      <c r="L791" s="143"/>
      <c r="M791" s="144"/>
      <c r="N791" s="143"/>
      <c r="O791" s="143"/>
    </row>
    <row r="792" spans="1:15">
      <c r="A792" s="81"/>
      <c r="B792" s="143"/>
      <c r="C792" s="145"/>
      <c r="D792" s="145"/>
      <c r="E792" s="146"/>
      <c r="F792" s="145"/>
      <c r="G792" s="145"/>
      <c r="H792" s="145"/>
      <c r="I792" s="145"/>
      <c r="J792" s="145"/>
      <c r="K792" s="145"/>
      <c r="L792" s="143"/>
      <c r="M792" s="144"/>
      <c r="N792" s="143"/>
      <c r="O792" s="143"/>
    </row>
    <row r="793" spans="1:15">
      <c r="A793" s="81"/>
      <c r="B793" s="143"/>
      <c r="C793" s="145"/>
      <c r="D793" s="145"/>
      <c r="E793" s="146"/>
      <c r="F793" s="145"/>
      <c r="G793" s="145"/>
      <c r="H793" s="145"/>
      <c r="I793" s="145"/>
      <c r="J793" s="145"/>
      <c r="K793" s="145"/>
      <c r="L793" s="143"/>
      <c r="M793" s="144"/>
      <c r="N793" s="143"/>
      <c r="O793" s="143"/>
    </row>
    <row r="794" spans="1:15">
      <c r="A794" s="81"/>
      <c r="B794" s="143"/>
      <c r="C794" s="145"/>
      <c r="D794" s="145"/>
      <c r="E794" s="146"/>
      <c r="F794" s="145"/>
      <c r="G794" s="145"/>
      <c r="H794" s="145"/>
      <c r="I794" s="145"/>
      <c r="J794" s="145"/>
      <c r="K794" s="145"/>
      <c r="L794" s="143"/>
      <c r="M794" s="144"/>
      <c r="N794" s="143"/>
      <c r="O794" s="143"/>
    </row>
    <row r="795" spans="1:15">
      <c r="A795" s="81"/>
      <c r="B795" s="143"/>
      <c r="C795" s="145"/>
      <c r="D795" s="145"/>
      <c r="E795" s="146"/>
      <c r="F795" s="145"/>
      <c r="G795" s="145"/>
      <c r="H795" s="145"/>
      <c r="I795" s="145"/>
      <c r="J795" s="145"/>
      <c r="K795" s="145"/>
      <c r="L795" s="143"/>
      <c r="M795" s="144"/>
      <c r="N795" s="143"/>
      <c r="O795" s="143"/>
    </row>
    <row r="796" spans="1:15">
      <c r="A796" s="81"/>
      <c r="B796" s="143"/>
      <c r="C796" s="145"/>
      <c r="D796" s="145"/>
      <c r="E796" s="146"/>
      <c r="F796" s="145"/>
      <c r="G796" s="145"/>
      <c r="H796" s="145"/>
      <c r="I796" s="145"/>
      <c r="J796" s="145"/>
      <c r="K796" s="145"/>
      <c r="L796" s="143"/>
      <c r="M796" s="144"/>
      <c r="N796" s="143"/>
      <c r="O796" s="143"/>
    </row>
    <row r="797" spans="1:15">
      <c r="A797" s="81"/>
      <c r="B797" s="143"/>
      <c r="C797" s="145"/>
      <c r="D797" s="145"/>
      <c r="E797" s="146"/>
      <c r="F797" s="145"/>
      <c r="G797" s="145"/>
      <c r="H797" s="145"/>
      <c r="I797" s="145"/>
      <c r="J797" s="145"/>
      <c r="K797" s="145"/>
      <c r="L797" s="143"/>
      <c r="M797" s="144"/>
      <c r="N797" s="143"/>
      <c r="O797" s="143"/>
    </row>
    <row r="798" spans="1:15">
      <c r="A798" s="81"/>
      <c r="B798" s="143"/>
      <c r="C798" s="145"/>
      <c r="D798" s="145"/>
      <c r="E798" s="146"/>
      <c r="F798" s="145"/>
      <c r="G798" s="145"/>
      <c r="H798" s="145"/>
      <c r="I798" s="145"/>
      <c r="J798" s="145"/>
      <c r="K798" s="145"/>
      <c r="L798" s="143"/>
      <c r="M798" s="144"/>
      <c r="N798" s="143"/>
      <c r="O798" s="143"/>
    </row>
    <row r="799" spans="1:15">
      <c r="A799" s="81"/>
      <c r="B799" s="143"/>
      <c r="C799" s="145"/>
      <c r="D799" s="145"/>
      <c r="E799" s="146"/>
      <c r="F799" s="145"/>
      <c r="G799" s="145"/>
      <c r="H799" s="145"/>
      <c r="I799" s="145"/>
      <c r="J799" s="145"/>
      <c r="K799" s="145"/>
      <c r="L799" s="143"/>
      <c r="M799" s="144"/>
      <c r="N799" s="143"/>
      <c r="O799" s="143"/>
    </row>
    <row r="800" spans="1:15">
      <c r="A800" s="81"/>
      <c r="B800" s="143"/>
      <c r="C800" s="145"/>
      <c r="D800" s="145"/>
      <c r="E800" s="146"/>
      <c r="F800" s="145"/>
      <c r="G800" s="145"/>
      <c r="H800" s="145"/>
      <c r="I800" s="145"/>
      <c r="J800" s="145"/>
      <c r="K800" s="145"/>
      <c r="L800" s="143"/>
      <c r="M800" s="144"/>
      <c r="N800" s="143"/>
      <c r="O800" s="143"/>
    </row>
    <row r="801" spans="1:15">
      <c r="A801" s="81"/>
      <c r="B801" s="143"/>
      <c r="C801" s="145"/>
      <c r="D801" s="145"/>
      <c r="E801" s="146"/>
      <c r="F801" s="145"/>
      <c r="G801" s="145"/>
      <c r="H801" s="145"/>
      <c r="I801" s="145"/>
      <c r="J801" s="145"/>
      <c r="K801" s="145"/>
      <c r="L801" s="143"/>
      <c r="M801" s="144"/>
      <c r="N801" s="143"/>
      <c r="O801" s="143"/>
    </row>
    <row r="802" spans="1:15">
      <c r="A802" s="81"/>
      <c r="B802" s="143"/>
      <c r="C802" s="145"/>
      <c r="D802" s="145"/>
      <c r="E802" s="146"/>
      <c r="F802" s="145"/>
      <c r="G802" s="145"/>
      <c r="H802" s="145"/>
      <c r="I802" s="145"/>
      <c r="J802" s="145"/>
      <c r="K802" s="145"/>
      <c r="L802" s="143"/>
      <c r="M802" s="144"/>
      <c r="N802" s="143"/>
      <c r="O802" s="143"/>
    </row>
    <row r="803" spans="1:15">
      <c r="A803" s="81"/>
      <c r="B803" s="143"/>
      <c r="C803" s="145"/>
      <c r="D803" s="145"/>
      <c r="E803" s="146"/>
      <c r="F803" s="145"/>
      <c r="G803" s="145"/>
      <c r="H803" s="145"/>
      <c r="I803" s="145"/>
      <c r="J803" s="145"/>
      <c r="K803" s="145"/>
      <c r="L803" s="143"/>
      <c r="M803" s="144"/>
      <c r="N803" s="143"/>
      <c r="O803" s="143"/>
    </row>
    <row r="804" spans="1:15">
      <c r="A804" s="81"/>
      <c r="B804" s="143"/>
      <c r="C804" s="145"/>
      <c r="D804" s="145"/>
      <c r="E804" s="146"/>
      <c r="F804" s="145"/>
      <c r="G804" s="145"/>
      <c r="H804" s="145"/>
      <c r="I804" s="145"/>
      <c r="J804" s="145"/>
      <c r="K804" s="145"/>
      <c r="L804" s="143"/>
      <c r="M804" s="144"/>
      <c r="N804" s="143"/>
      <c r="O804" s="143"/>
    </row>
    <row r="805" spans="1:15">
      <c r="A805" s="81"/>
      <c r="B805" s="143"/>
      <c r="C805" s="145"/>
      <c r="D805" s="145"/>
      <c r="E805" s="146"/>
      <c r="F805" s="145"/>
      <c r="G805" s="145"/>
      <c r="H805" s="145"/>
      <c r="I805" s="145"/>
      <c r="J805" s="145"/>
      <c r="K805" s="145"/>
      <c r="L805" s="143"/>
      <c r="M805" s="144"/>
      <c r="N805" s="143"/>
      <c r="O805" s="143"/>
    </row>
    <row r="806" spans="1:15">
      <c r="A806" s="81"/>
      <c r="B806" s="143"/>
      <c r="C806" s="145"/>
      <c r="D806" s="145"/>
      <c r="E806" s="146"/>
      <c r="F806" s="145"/>
      <c r="G806" s="145"/>
      <c r="H806" s="145"/>
      <c r="I806" s="145"/>
      <c r="J806" s="145"/>
      <c r="K806" s="145"/>
      <c r="L806" s="143"/>
      <c r="M806" s="144"/>
      <c r="N806" s="143"/>
      <c r="O806" s="143"/>
    </row>
    <row r="807" spans="1:15">
      <c r="A807" s="81"/>
      <c r="B807" s="143"/>
      <c r="C807" s="145"/>
      <c r="D807" s="145"/>
      <c r="E807" s="146"/>
      <c r="F807" s="145"/>
      <c r="G807" s="145"/>
      <c r="H807" s="145"/>
      <c r="I807" s="145"/>
      <c r="J807" s="145"/>
      <c r="K807" s="145"/>
      <c r="L807" s="143"/>
      <c r="M807" s="144"/>
      <c r="N807" s="143"/>
      <c r="O807" s="143"/>
    </row>
    <row r="808" spans="1:15">
      <c r="A808" s="81"/>
      <c r="B808" s="143"/>
      <c r="C808" s="145"/>
      <c r="D808" s="145"/>
      <c r="E808" s="146"/>
      <c r="F808" s="145"/>
      <c r="G808" s="145"/>
      <c r="H808" s="145"/>
      <c r="I808" s="145"/>
      <c r="J808" s="145"/>
      <c r="K808" s="145"/>
      <c r="L808" s="143"/>
      <c r="M808" s="144"/>
      <c r="N808" s="143"/>
      <c r="O808" s="143"/>
    </row>
    <row r="809" spans="1:15">
      <c r="A809" s="81"/>
      <c r="B809" s="143"/>
      <c r="C809" s="145"/>
      <c r="D809" s="145"/>
      <c r="E809" s="146"/>
      <c r="F809" s="145"/>
      <c r="G809" s="145"/>
      <c r="H809" s="145"/>
      <c r="I809" s="145"/>
      <c r="J809" s="145"/>
      <c r="K809" s="145"/>
      <c r="L809" s="143"/>
      <c r="M809" s="144"/>
      <c r="N809" s="143"/>
      <c r="O809" s="143"/>
    </row>
    <row r="810" spans="1:15">
      <c r="A810" s="81"/>
      <c r="B810" s="143"/>
      <c r="C810" s="145"/>
      <c r="D810" s="145"/>
      <c r="E810" s="146"/>
      <c r="F810" s="145"/>
      <c r="G810" s="145"/>
      <c r="H810" s="145"/>
      <c r="I810" s="145"/>
      <c r="J810" s="145"/>
      <c r="K810" s="145"/>
      <c r="L810" s="143"/>
      <c r="M810" s="144"/>
      <c r="N810" s="143"/>
      <c r="O810" s="143"/>
    </row>
    <row r="811" spans="1:15">
      <c r="A811" s="81"/>
      <c r="B811" s="143"/>
      <c r="C811" s="145"/>
      <c r="D811" s="145"/>
      <c r="E811" s="146"/>
      <c r="F811" s="145"/>
      <c r="G811" s="145"/>
      <c r="H811" s="145"/>
      <c r="I811" s="145"/>
      <c r="J811" s="145"/>
      <c r="K811" s="145"/>
      <c r="L811" s="143"/>
      <c r="M811" s="144"/>
      <c r="N811" s="143"/>
      <c r="O811" s="143"/>
    </row>
    <row r="812" spans="1:15">
      <c r="A812" s="81"/>
      <c r="B812" s="143"/>
      <c r="C812" s="145"/>
      <c r="D812" s="145"/>
      <c r="E812" s="146"/>
      <c r="F812" s="145"/>
      <c r="G812" s="145"/>
      <c r="H812" s="145"/>
      <c r="I812" s="145"/>
      <c r="J812" s="145"/>
      <c r="K812" s="145"/>
      <c r="L812" s="143"/>
      <c r="M812" s="144"/>
      <c r="N812" s="143"/>
      <c r="O812" s="143"/>
    </row>
    <row r="813" spans="1:15">
      <c r="A813" s="81"/>
      <c r="B813" s="143"/>
      <c r="C813" s="145"/>
      <c r="D813" s="145"/>
      <c r="E813" s="146"/>
      <c r="F813" s="145"/>
      <c r="G813" s="145"/>
      <c r="H813" s="145"/>
      <c r="I813" s="145"/>
      <c r="J813" s="145"/>
      <c r="K813" s="145"/>
      <c r="L813" s="143"/>
      <c r="M813" s="144"/>
      <c r="N813" s="143"/>
      <c r="O813" s="143"/>
    </row>
    <row r="814" spans="1:15">
      <c r="A814" s="81"/>
      <c r="B814" s="143"/>
      <c r="C814" s="145"/>
      <c r="D814" s="145"/>
      <c r="E814" s="146"/>
      <c r="F814" s="145"/>
      <c r="G814" s="145"/>
      <c r="H814" s="145"/>
      <c r="I814" s="145"/>
      <c r="J814" s="145"/>
      <c r="K814" s="145"/>
      <c r="L814" s="143"/>
      <c r="M814" s="144"/>
      <c r="N814" s="143"/>
      <c r="O814" s="143"/>
    </row>
    <row r="815" spans="1:15">
      <c r="A815" s="81"/>
      <c r="B815" s="143"/>
      <c r="C815" s="145"/>
      <c r="D815" s="145"/>
      <c r="E815" s="146"/>
      <c r="F815" s="145"/>
      <c r="G815" s="145"/>
      <c r="H815" s="145"/>
      <c r="I815" s="145"/>
      <c r="J815" s="145"/>
      <c r="K815" s="145"/>
      <c r="L815" s="143"/>
      <c r="M815" s="144"/>
      <c r="N815" s="143"/>
      <c r="O815" s="143"/>
    </row>
    <row r="816" spans="1:15">
      <c r="A816" s="81"/>
      <c r="B816" s="143"/>
      <c r="C816" s="145"/>
      <c r="D816" s="145"/>
      <c r="E816" s="146"/>
      <c r="F816" s="145"/>
      <c r="G816" s="145"/>
      <c r="H816" s="145"/>
      <c r="I816" s="145"/>
      <c r="J816" s="145"/>
      <c r="K816" s="145"/>
      <c r="L816" s="143"/>
      <c r="M816" s="144"/>
      <c r="N816" s="143"/>
      <c r="O816" s="143"/>
    </row>
    <row r="817" spans="1:15">
      <c r="A817" s="81"/>
      <c r="B817" s="143"/>
      <c r="C817" s="145"/>
      <c r="D817" s="145"/>
      <c r="E817" s="146"/>
      <c r="F817" s="145"/>
      <c r="G817" s="145"/>
      <c r="H817" s="145"/>
      <c r="I817" s="145"/>
      <c r="J817" s="145"/>
      <c r="K817" s="145"/>
      <c r="L817" s="143"/>
      <c r="M817" s="144"/>
      <c r="N817" s="143"/>
      <c r="O817" s="143"/>
    </row>
    <row r="818" spans="1:15">
      <c r="A818" s="81"/>
      <c r="B818" s="143"/>
      <c r="C818" s="145"/>
      <c r="D818" s="145"/>
      <c r="E818" s="146"/>
      <c r="F818" s="145"/>
      <c r="G818" s="145"/>
      <c r="H818" s="145"/>
      <c r="I818" s="145"/>
      <c r="J818" s="145"/>
      <c r="K818" s="145"/>
      <c r="L818" s="143"/>
      <c r="M818" s="144"/>
      <c r="N818" s="143"/>
      <c r="O818" s="143"/>
    </row>
    <row r="819" spans="1:15">
      <c r="A819" s="81"/>
      <c r="B819" s="143"/>
      <c r="C819" s="145"/>
      <c r="D819" s="145"/>
      <c r="E819" s="146"/>
      <c r="F819" s="145"/>
      <c r="G819" s="145"/>
      <c r="H819" s="145"/>
      <c r="I819" s="145"/>
      <c r="J819" s="145"/>
      <c r="K819" s="145"/>
      <c r="L819" s="143"/>
      <c r="M819" s="144"/>
      <c r="N819" s="143"/>
      <c r="O819" s="143"/>
    </row>
    <row r="820" spans="1:15">
      <c r="A820" s="81"/>
      <c r="B820" s="143"/>
      <c r="C820" s="145"/>
      <c r="D820" s="145"/>
      <c r="E820" s="146"/>
      <c r="F820" s="145"/>
      <c r="G820" s="145"/>
      <c r="H820" s="145"/>
      <c r="I820" s="145"/>
      <c r="J820" s="145"/>
      <c r="K820" s="145"/>
      <c r="L820" s="143"/>
      <c r="M820" s="144"/>
      <c r="N820" s="143"/>
      <c r="O820" s="143"/>
    </row>
    <row r="821" spans="1:15">
      <c r="A821" s="81"/>
      <c r="B821" s="143"/>
      <c r="C821" s="145"/>
      <c r="D821" s="145"/>
      <c r="E821" s="146"/>
      <c r="F821" s="145"/>
      <c r="G821" s="145"/>
      <c r="H821" s="145"/>
      <c r="I821" s="145"/>
      <c r="J821" s="145"/>
      <c r="K821" s="145"/>
      <c r="L821" s="143"/>
      <c r="M821" s="144"/>
      <c r="N821" s="143"/>
      <c r="O821" s="143"/>
    </row>
    <row r="822" spans="1:15">
      <c r="A822" s="81"/>
      <c r="B822" s="143"/>
      <c r="C822" s="145"/>
      <c r="D822" s="145"/>
      <c r="E822" s="146"/>
      <c r="F822" s="145"/>
      <c r="G822" s="145"/>
      <c r="H822" s="145"/>
      <c r="I822" s="145"/>
      <c r="J822" s="145"/>
      <c r="K822" s="145"/>
      <c r="L822" s="143"/>
      <c r="M822" s="144"/>
      <c r="N822" s="143"/>
      <c r="O822" s="143"/>
    </row>
    <row r="823" spans="1:15">
      <c r="A823" s="81"/>
      <c r="B823" s="143"/>
      <c r="C823" s="145"/>
      <c r="D823" s="145"/>
      <c r="E823" s="146"/>
      <c r="F823" s="145"/>
      <c r="G823" s="145"/>
      <c r="H823" s="145"/>
      <c r="I823" s="145"/>
      <c r="J823" s="145"/>
      <c r="K823" s="145"/>
      <c r="L823" s="143"/>
      <c r="M823" s="144"/>
      <c r="N823" s="143"/>
      <c r="O823" s="143"/>
    </row>
    <row r="824" spans="1:15">
      <c r="A824" s="81"/>
      <c r="B824" s="143"/>
      <c r="C824" s="145"/>
      <c r="D824" s="145"/>
      <c r="E824" s="146"/>
      <c r="F824" s="145"/>
      <c r="G824" s="145"/>
      <c r="H824" s="145"/>
      <c r="I824" s="145"/>
      <c r="J824" s="145"/>
      <c r="K824" s="145"/>
      <c r="L824" s="143"/>
      <c r="M824" s="144"/>
      <c r="N824" s="143"/>
      <c r="O824" s="143"/>
    </row>
    <row r="825" spans="1:15">
      <c r="A825" s="81"/>
      <c r="B825" s="143"/>
      <c r="C825" s="145"/>
      <c r="D825" s="145"/>
      <c r="E825" s="146"/>
      <c r="F825" s="145"/>
      <c r="G825" s="145"/>
      <c r="H825" s="145"/>
      <c r="I825" s="145"/>
      <c r="J825" s="145"/>
      <c r="K825" s="145"/>
      <c r="L825" s="143"/>
      <c r="M825" s="144"/>
      <c r="N825" s="143"/>
      <c r="O825" s="143"/>
    </row>
    <row r="826" spans="1:15">
      <c r="A826" s="81"/>
      <c r="B826" s="143"/>
      <c r="C826" s="145"/>
      <c r="D826" s="145"/>
      <c r="E826" s="146"/>
      <c r="F826" s="145"/>
      <c r="G826" s="145"/>
      <c r="H826" s="145"/>
      <c r="I826" s="145"/>
      <c r="J826" s="145"/>
      <c r="K826" s="145"/>
      <c r="L826" s="143"/>
      <c r="M826" s="144"/>
      <c r="N826" s="143"/>
      <c r="O826" s="143"/>
    </row>
    <row r="827" spans="1:15">
      <c r="A827" s="81"/>
      <c r="B827" s="143"/>
      <c r="C827" s="145"/>
      <c r="D827" s="145"/>
      <c r="E827" s="146"/>
      <c r="F827" s="145"/>
      <c r="G827" s="145"/>
      <c r="H827" s="145"/>
      <c r="I827" s="145"/>
      <c r="J827" s="145"/>
      <c r="K827" s="145"/>
      <c r="L827" s="143"/>
      <c r="M827" s="144"/>
      <c r="N827" s="143"/>
      <c r="O827" s="143"/>
    </row>
    <row r="828" spans="1:15">
      <c r="A828" s="81"/>
      <c r="B828" s="143"/>
      <c r="C828" s="145"/>
      <c r="D828" s="145"/>
      <c r="E828" s="146"/>
      <c r="F828" s="145"/>
      <c r="G828" s="145"/>
      <c r="H828" s="145"/>
      <c r="I828" s="145"/>
      <c r="J828" s="145"/>
      <c r="K828" s="145"/>
      <c r="L828" s="143"/>
      <c r="M828" s="144"/>
      <c r="N828" s="143"/>
      <c r="O828" s="143"/>
    </row>
    <row r="829" spans="1:15">
      <c r="A829" s="81"/>
      <c r="B829" s="143"/>
      <c r="C829" s="145"/>
      <c r="D829" s="145"/>
      <c r="E829" s="146"/>
      <c r="F829" s="145"/>
      <c r="G829" s="145"/>
      <c r="H829" s="145"/>
      <c r="I829" s="145"/>
      <c r="J829" s="145"/>
      <c r="K829" s="145"/>
      <c r="L829" s="143"/>
      <c r="M829" s="144"/>
      <c r="N829" s="143"/>
      <c r="O829" s="143"/>
    </row>
    <row r="830" spans="1:15">
      <c r="A830" s="81"/>
      <c r="B830" s="143"/>
      <c r="C830" s="145"/>
      <c r="D830" s="145"/>
      <c r="E830" s="146"/>
      <c r="F830" s="145"/>
      <c r="G830" s="145"/>
      <c r="H830" s="145"/>
      <c r="I830" s="145"/>
      <c r="J830" s="145"/>
      <c r="K830" s="145"/>
      <c r="L830" s="143"/>
      <c r="M830" s="144"/>
      <c r="N830" s="143"/>
      <c r="O830" s="143"/>
    </row>
    <row r="831" spans="1:15">
      <c r="A831" s="81"/>
      <c r="B831" s="143"/>
      <c r="C831" s="145"/>
      <c r="D831" s="145"/>
      <c r="E831" s="146"/>
      <c r="F831" s="145"/>
      <c r="G831" s="145"/>
      <c r="H831" s="145"/>
      <c r="I831" s="145"/>
      <c r="J831" s="145"/>
      <c r="K831" s="145"/>
      <c r="L831" s="143"/>
      <c r="M831" s="144"/>
      <c r="N831" s="143"/>
      <c r="O831" s="143"/>
    </row>
    <row r="832" spans="1:15">
      <c r="A832" s="81"/>
      <c r="B832" s="143"/>
      <c r="C832" s="145"/>
      <c r="D832" s="145"/>
      <c r="E832" s="146"/>
      <c r="F832" s="145"/>
      <c r="G832" s="145"/>
      <c r="H832" s="145"/>
      <c r="I832" s="145"/>
      <c r="J832" s="145"/>
      <c r="K832" s="145"/>
      <c r="L832" s="143"/>
      <c r="M832" s="144"/>
      <c r="N832" s="143"/>
      <c r="O832" s="143"/>
    </row>
    <row r="833" spans="1:15">
      <c r="A833" s="81"/>
      <c r="B833" s="143"/>
      <c r="C833" s="145"/>
      <c r="D833" s="145"/>
      <c r="E833" s="146"/>
      <c r="F833" s="145"/>
      <c r="G833" s="145"/>
      <c r="H833" s="145"/>
      <c r="I833" s="145"/>
      <c r="J833" s="145"/>
      <c r="K833" s="145"/>
      <c r="L833" s="143"/>
      <c r="M833" s="144"/>
      <c r="N833" s="143"/>
      <c r="O833" s="143"/>
    </row>
    <row r="834" spans="1:15">
      <c r="A834" s="81"/>
      <c r="B834" s="143"/>
      <c r="C834" s="145"/>
      <c r="D834" s="145"/>
      <c r="E834" s="146"/>
      <c r="F834" s="145"/>
      <c r="G834" s="145"/>
      <c r="H834" s="145"/>
      <c r="I834" s="145"/>
      <c r="J834" s="145"/>
      <c r="K834" s="145"/>
      <c r="L834" s="143"/>
      <c r="M834" s="144"/>
      <c r="N834" s="143"/>
      <c r="O834" s="143"/>
    </row>
    <row r="835" spans="1:15">
      <c r="A835" s="81"/>
      <c r="B835" s="143"/>
      <c r="C835" s="145"/>
      <c r="D835" s="145"/>
      <c r="E835" s="146"/>
      <c r="F835" s="145"/>
      <c r="G835" s="145"/>
      <c r="H835" s="145"/>
      <c r="I835" s="145"/>
      <c r="J835" s="145"/>
      <c r="K835" s="145"/>
      <c r="L835" s="143"/>
      <c r="M835" s="144"/>
      <c r="N835" s="143"/>
      <c r="O835" s="143"/>
    </row>
    <row r="836" spans="1:15">
      <c r="A836" s="81"/>
      <c r="B836" s="143"/>
      <c r="C836" s="145"/>
      <c r="D836" s="145"/>
      <c r="E836" s="146"/>
      <c r="F836" s="145"/>
      <c r="G836" s="145"/>
      <c r="H836" s="145"/>
      <c r="I836" s="145"/>
      <c r="J836" s="145"/>
      <c r="K836" s="145"/>
      <c r="L836" s="143"/>
      <c r="M836" s="144"/>
      <c r="N836" s="143"/>
      <c r="O836" s="143"/>
    </row>
    <row r="837" spans="1:15">
      <c r="A837" s="81"/>
      <c r="B837" s="143"/>
      <c r="C837" s="145"/>
      <c r="D837" s="145"/>
      <c r="E837" s="146"/>
      <c r="F837" s="145"/>
      <c r="G837" s="145"/>
      <c r="H837" s="145"/>
      <c r="I837" s="145"/>
      <c r="J837" s="145"/>
      <c r="K837" s="145"/>
      <c r="L837" s="143"/>
      <c r="M837" s="144"/>
      <c r="N837" s="143"/>
      <c r="O837" s="143"/>
    </row>
    <row r="838" spans="1:15">
      <c r="A838" s="81"/>
      <c r="B838" s="143"/>
      <c r="C838" s="145"/>
      <c r="D838" s="145"/>
      <c r="E838" s="146"/>
      <c r="F838" s="145"/>
      <c r="G838" s="145"/>
      <c r="H838" s="145"/>
      <c r="I838" s="145"/>
      <c r="J838" s="145"/>
      <c r="K838" s="145"/>
      <c r="L838" s="143"/>
      <c r="M838" s="144"/>
      <c r="N838" s="143"/>
      <c r="O838" s="143"/>
    </row>
    <row r="839" spans="1:15">
      <c r="A839" s="81"/>
      <c r="B839" s="143"/>
      <c r="C839" s="145"/>
      <c r="D839" s="145"/>
      <c r="E839" s="146"/>
      <c r="F839" s="145"/>
      <c r="G839" s="145"/>
      <c r="H839" s="145"/>
      <c r="I839" s="145"/>
      <c r="J839" s="145"/>
      <c r="K839" s="145"/>
      <c r="L839" s="143"/>
      <c r="M839" s="144"/>
      <c r="N839" s="143"/>
      <c r="O839" s="143"/>
    </row>
    <row r="840" spans="1:15">
      <c r="A840" s="81"/>
      <c r="B840" s="143"/>
      <c r="C840" s="145"/>
      <c r="D840" s="145"/>
      <c r="E840" s="146"/>
      <c r="F840" s="145"/>
      <c r="G840" s="145"/>
      <c r="H840" s="145"/>
      <c r="I840" s="145"/>
      <c r="J840" s="145"/>
      <c r="K840" s="145"/>
      <c r="L840" s="143"/>
      <c r="M840" s="144"/>
      <c r="N840" s="143"/>
      <c r="O840" s="143"/>
    </row>
    <row r="841" spans="1:15">
      <c r="A841" s="81"/>
      <c r="B841" s="143"/>
      <c r="C841" s="145"/>
      <c r="D841" s="145"/>
      <c r="E841" s="146"/>
      <c r="F841" s="145"/>
      <c r="G841" s="145"/>
      <c r="H841" s="145"/>
      <c r="I841" s="145"/>
      <c r="J841" s="145"/>
      <c r="K841" s="145"/>
      <c r="L841" s="143"/>
      <c r="M841" s="144"/>
      <c r="N841" s="143"/>
      <c r="O841" s="143"/>
    </row>
    <row r="842" spans="1:15">
      <c r="A842" s="81"/>
      <c r="B842" s="143"/>
      <c r="C842" s="145"/>
      <c r="D842" s="145"/>
      <c r="E842" s="146"/>
      <c r="F842" s="145"/>
      <c r="G842" s="145"/>
      <c r="H842" s="145"/>
      <c r="I842" s="145"/>
      <c r="J842" s="145"/>
      <c r="K842" s="145"/>
      <c r="L842" s="143"/>
      <c r="M842" s="144"/>
      <c r="N842" s="143"/>
      <c r="O842" s="143"/>
    </row>
    <row r="843" spans="1:15">
      <c r="A843" s="81"/>
      <c r="B843" s="143"/>
      <c r="C843" s="145"/>
      <c r="D843" s="145"/>
      <c r="E843" s="146"/>
      <c r="F843" s="145"/>
      <c r="G843" s="145"/>
      <c r="H843" s="145"/>
      <c r="I843" s="145"/>
      <c r="J843" s="145"/>
      <c r="K843" s="145"/>
      <c r="L843" s="143"/>
      <c r="M843" s="144"/>
      <c r="N843" s="143"/>
      <c r="O843" s="143"/>
    </row>
    <row r="844" spans="1:15">
      <c r="A844" s="81"/>
      <c r="B844" s="143"/>
      <c r="C844" s="145"/>
      <c r="D844" s="145"/>
      <c r="E844" s="146"/>
      <c r="F844" s="145"/>
      <c r="G844" s="145"/>
      <c r="H844" s="145"/>
      <c r="I844" s="145"/>
      <c r="J844" s="145"/>
      <c r="K844" s="145"/>
      <c r="L844" s="143"/>
      <c r="M844" s="144"/>
      <c r="N844" s="143"/>
      <c r="O844" s="143"/>
    </row>
    <row r="845" spans="1:15">
      <c r="A845" s="81"/>
      <c r="B845" s="143"/>
      <c r="C845" s="145"/>
      <c r="D845" s="145"/>
      <c r="E845" s="146"/>
      <c r="F845" s="145"/>
      <c r="G845" s="145"/>
      <c r="H845" s="145"/>
      <c r="I845" s="145"/>
      <c r="J845" s="145"/>
      <c r="K845" s="145"/>
      <c r="L845" s="143"/>
      <c r="M845" s="144"/>
      <c r="N845" s="143"/>
      <c r="O845" s="143"/>
    </row>
    <row r="846" spans="1:15">
      <c r="A846" s="81"/>
      <c r="B846" s="143"/>
      <c r="C846" s="145"/>
      <c r="D846" s="145"/>
      <c r="E846" s="146"/>
      <c r="F846" s="145"/>
      <c r="G846" s="145"/>
      <c r="H846" s="145"/>
      <c r="I846" s="145"/>
      <c r="J846" s="145"/>
      <c r="K846" s="145"/>
      <c r="L846" s="143"/>
      <c r="M846" s="144"/>
      <c r="N846" s="143"/>
      <c r="O846" s="143"/>
    </row>
    <row r="847" spans="1:15">
      <c r="A847" s="81"/>
      <c r="B847" s="143"/>
      <c r="C847" s="145"/>
      <c r="D847" s="145"/>
      <c r="E847" s="146"/>
      <c r="F847" s="145"/>
      <c r="G847" s="145"/>
      <c r="H847" s="145"/>
      <c r="I847" s="145"/>
      <c r="J847" s="145"/>
      <c r="K847" s="145"/>
      <c r="L847" s="143"/>
      <c r="M847" s="144"/>
      <c r="N847" s="143"/>
      <c r="O847" s="143"/>
    </row>
    <row r="848" spans="1:15">
      <c r="A848" s="81"/>
      <c r="B848" s="143"/>
      <c r="C848" s="145"/>
      <c r="D848" s="145"/>
      <c r="E848" s="146"/>
      <c r="F848" s="145"/>
      <c r="G848" s="145"/>
      <c r="H848" s="145"/>
      <c r="I848" s="145"/>
      <c r="J848" s="145"/>
      <c r="K848" s="145"/>
      <c r="L848" s="143"/>
      <c r="M848" s="144"/>
      <c r="N848" s="143"/>
      <c r="O848" s="143"/>
    </row>
    <row r="849" spans="1:15">
      <c r="A849" s="81"/>
      <c r="B849" s="143"/>
      <c r="C849" s="145"/>
      <c r="D849" s="145"/>
      <c r="E849" s="146"/>
      <c r="F849" s="145"/>
      <c r="G849" s="145"/>
      <c r="H849" s="145"/>
      <c r="I849" s="145"/>
      <c r="J849" s="145"/>
      <c r="K849" s="145"/>
      <c r="L849" s="143"/>
      <c r="M849" s="144"/>
      <c r="N849" s="143"/>
      <c r="O849" s="143"/>
    </row>
    <row r="850" spans="1:15">
      <c r="A850" s="81"/>
      <c r="B850" s="143"/>
      <c r="C850" s="145"/>
      <c r="D850" s="145"/>
      <c r="E850" s="146"/>
      <c r="F850" s="145"/>
      <c r="G850" s="145"/>
      <c r="H850" s="145"/>
      <c r="I850" s="145"/>
      <c r="J850" s="145"/>
      <c r="K850" s="145"/>
      <c r="L850" s="143"/>
      <c r="M850" s="144"/>
      <c r="N850" s="143"/>
      <c r="O850" s="143"/>
    </row>
    <row r="851" spans="1:15">
      <c r="A851" s="81"/>
      <c r="B851" s="143"/>
      <c r="C851" s="145"/>
      <c r="D851" s="145"/>
      <c r="E851" s="146"/>
      <c r="F851" s="145"/>
      <c r="G851" s="145"/>
      <c r="H851" s="145"/>
      <c r="I851" s="145"/>
      <c r="J851" s="145"/>
      <c r="K851" s="145"/>
      <c r="L851" s="143"/>
      <c r="M851" s="144"/>
      <c r="N851" s="143"/>
      <c r="O851" s="143"/>
    </row>
    <row r="852" spans="1:15">
      <c r="A852" s="81"/>
      <c r="B852" s="143"/>
      <c r="C852" s="145"/>
      <c r="D852" s="145"/>
      <c r="E852" s="146"/>
      <c r="F852" s="145"/>
      <c r="G852" s="145"/>
      <c r="H852" s="145"/>
      <c r="I852" s="145"/>
      <c r="J852" s="145"/>
      <c r="K852" s="145"/>
      <c r="L852" s="143"/>
      <c r="M852" s="144"/>
      <c r="N852" s="143"/>
      <c r="O852" s="143"/>
    </row>
    <row r="853" spans="1:15">
      <c r="A853" s="81"/>
      <c r="B853" s="143"/>
      <c r="C853" s="145"/>
      <c r="D853" s="145"/>
      <c r="E853" s="146"/>
      <c r="F853" s="145"/>
      <c r="G853" s="145"/>
      <c r="H853" s="145"/>
      <c r="I853" s="145"/>
      <c r="J853" s="145"/>
      <c r="K853" s="145"/>
      <c r="L853" s="143"/>
      <c r="M853" s="144"/>
      <c r="N853" s="143"/>
      <c r="O853" s="143"/>
    </row>
    <row r="854" spans="1:15">
      <c r="A854" s="81"/>
      <c r="B854" s="143"/>
      <c r="C854" s="145"/>
      <c r="D854" s="145"/>
      <c r="E854" s="146"/>
      <c r="F854" s="145"/>
      <c r="G854" s="145"/>
      <c r="H854" s="145"/>
      <c r="I854" s="145"/>
      <c r="J854" s="145"/>
      <c r="K854" s="145"/>
      <c r="L854" s="143"/>
      <c r="M854" s="144"/>
      <c r="N854" s="143"/>
      <c r="O854" s="143"/>
    </row>
    <row r="855" spans="1:15">
      <c r="A855" s="81"/>
      <c r="B855" s="143"/>
      <c r="C855" s="145"/>
      <c r="D855" s="145"/>
      <c r="E855" s="146"/>
      <c r="F855" s="145"/>
      <c r="G855" s="145"/>
      <c r="H855" s="145"/>
      <c r="I855" s="145"/>
      <c r="J855" s="145"/>
      <c r="K855" s="145"/>
      <c r="L855" s="143"/>
      <c r="M855" s="144"/>
      <c r="N855" s="143"/>
      <c r="O855" s="143"/>
    </row>
    <row r="856" spans="1:15">
      <c r="A856" s="81"/>
      <c r="B856" s="143"/>
      <c r="C856" s="145"/>
      <c r="D856" s="145"/>
      <c r="E856" s="146"/>
      <c r="F856" s="145"/>
      <c r="G856" s="145"/>
      <c r="H856" s="145"/>
      <c r="I856" s="145"/>
      <c r="J856" s="145"/>
      <c r="K856" s="145"/>
      <c r="L856" s="143"/>
      <c r="M856" s="144"/>
      <c r="N856" s="143"/>
      <c r="O856" s="143"/>
    </row>
    <row r="857" spans="1:15">
      <c r="A857" s="81"/>
      <c r="B857" s="143"/>
      <c r="C857" s="145"/>
      <c r="D857" s="145"/>
      <c r="E857" s="146"/>
      <c r="F857" s="145"/>
      <c r="G857" s="145"/>
      <c r="H857" s="145"/>
      <c r="I857" s="145"/>
      <c r="J857" s="145"/>
      <c r="K857" s="145"/>
      <c r="L857" s="143"/>
      <c r="M857" s="144"/>
      <c r="N857" s="143"/>
      <c r="O857" s="143"/>
    </row>
    <row r="858" spans="1:15">
      <c r="A858" s="81"/>
      <c r="B858" s="143"/>
      <c r="C858" s="145"/>
      <c r="D858" s="145"/>
      <c r="E858" s="146"/>
      <c r="F858" s="145"/>
      <c r="G858" s="145"/>
      <c r="H858" s="145"/>
      <c r="I858" s="145"/>
      <c r="J858" s="145"/>
      <c r="K858" s="145"/>
      <c r="L858" s="143"/>
      <c r="M858" s="144"/>
      <c r="N858" s="143"/>
      <c r="O858" s="143"/>
    </row>
    <row r="859" spans="1:15">
      <c r="A859" s="81"/>
      <c r="B859" s="143"/>
      <c r="C859" s="145"/>
      <c r="D859" s="145"/>
      <c r="E859" s="146"/>
      <c r="F859" s="145"/>
      <c r="G859" s="145"/>
      <c r="H859" s="145"/>
      <c r="I859" s="145"/>
      <c r="J859" s="145"/>
      <c r="K859" s="145"/>
      <c r="L859" s="143"/>
      <c r="M859" s="144"/>
      <c r="N859" s="143"/>
      <c r="O859" s="143"/>
    </row>
    <row r="860" spans="1:15">
      <c r="A860" s="81"/>
      <c r="B860" s="143"/>
      <c r="C860" s="145"/>
      <c r="D860" s="145"/>
      <c r="E860" s="146"/>
      <c r="F860" s="145"/>
      <c r="G860" s="145"/>
      <c r="H860" s="145"/>
      <c r="I860" s="145"/>
      <c r="J860" s="145"/>
      <c r="K860" s="145"/>
      <c r="L860" s="143"/>
      <c r="M860" s="144"/>
      <c r="N860" s="143"/>
      <c r="O860" s="143"/>
    </row>
    <row r="861" spans="1:15">
      <c r="A861" s="81"/>
      <c r="B861" s="143"/>
      <c r="C861" s="145"/>
      <c r="D861" s="145"/>
      <c r="E861" s="146"/>
      <c r="F861" s="145"/>
      <c r="G861" s="145"/>
      <c r="H861" s="145"/>
      <c r="I861" s="145"/>
      <c r="J861" s="145"/>
      <c r="K861" s="145"/>
      <c r="L861" s="143"/>
      <c r="M861" s="144"/>
      <c r="N861" s="143"/>
      <c r="O861" s="143"/>
    </row>
    <row r="862" spans="1:15">
      <c r="A862" s="81"/>
      <c r="B862" s="143"/>
      <c r="C862" s="145"/>
      <c r="D862" s="145"/>
      <c r="E862" s="146"/>
      <c r="F862" s="145"/>
      <c r="G862" s="145"/>
      <c r="H862" s="145"/>
      <c r="I862" s="145"/>
      <c r="J862" s="145"/>
      <c r="K862" s="145"/>
      <c r="L862" s="143"/>
      <c r="M862" s="144"/>
      <c r="N862" s="143"/>
      <c r="O862" s="143"/>
    </row>
    <row r="863" spans="1:15">
      <c r="A863" s="81"/>
      <c r="B863" s="143"/>
      <c r="C863" s="145"/>
      <c r="D863" s="145"/>
      <c r="E863" s="146"/>
      <c r="F863" s="145"/>
      <c r="G863" s="145"/>
      <c r="H863" s="145"/>
      <c r="I863" s="145"/>
      <c r="J863" s="145"/>
      <c r="K863" s="145"/>
      <c r="L863" s="143"/>
      <c r="M863" s="144"/>
      <c r="N863" s="143"/>
      <c r="O863" s="143"/>
    </row>
    <row r="864" spans="1:15">
      <c r="A864" s="81"/>
      <c r="B864" s="143"/>
      <c r="C864" s="145"/>
      <c r="D864" s="145"/>
      <c r="E864" s="146"/>
      <c r="F864" s="145"/>
      <c r="G864" s="145"/>
      <c r="H864" s="145"/>
      <c r="I864" s="145"/>
      <c r="J864" s="145"/>
      <c r="K864" s="145"/>
      <c r="L864" s="143"/>
      <c r="M864" s="144"/>
      <c r="N864" s="143"/>
      <c r="O864" s="143"/>
    </row>
    <row r="865" spans="1:15">
      <c r="A865" s="81"/>
      <c r="B865" s="143"/>
      <c r="C865" s="145"/>
      <c r="D865" s="145"/>
      <c r="E865" s="146"/>
      <c r="F865" s="145"/>
      <c r="G865" s="145"/>
      <c r="H865" s="145"/>
      <c r="I865" s="145"/>
      <c r="J865" s="145"/>
      <c r="K865" s="145"/>
      <c r="L865" s="143"/>
      <c r="M865" s="144"/>
      <c r="N865" s="143"/>
      <c r="O865" s="143"/>
    </row>
    <row r="866" spans="1:15">
      <c r="A866" s="81"/>
      <c r="B866" s="143"/>
      <c r="C866" s="145"/>
      <c r="D866" s="145"/>
      <c r="E866" s="146"/>
      <c r="F866" s="145"/>
      <c r="G866" s="145"/>
      <c r="H866" s="145"/>
      <c r="I866" s="145"/>
      <c r="J866" s="145"/>
      <c r="K866" s="145"/>
      <c r="L866" s="143"/>
      <c r="M866" s="144"/>
      <c r="N866" s="143"/>
      <c r="O866" s="143"/>
    </row>
    <row r="867" spans="1:15">
      <c r="A867" s="81"/>
      <c r="B867" s="143"/>
      <c r="C867" s="145"/>
      <c r="D867" s="145"/>
      <c r="E867" s="146"/>
      <c r="F867" s="145"/>
      <c r="G867" s="145"/>
      <c r="H867" s="145"/>
      <c r="I867" s="145"/>
      <c r="J867" s="145"/>
      <c r="K867" s="145"/>
      <c r="L867" s="143"/>
      <c r="M867" s="144"/>
      <c r="N867" s="143"/>
      <c r="O867" s="143"/>
    </row>
    <row r="868" spans="1:15">
      <c r="A868" s="81"/>
      <c r="B868" s="143"/>
      <c r="C868" s="145"/>
      <c r="D868" s="145"/>
      <c r="E868" s="146"/>
      <c r="F868" s="145"/>
      <c r="G868" s="145"/>
      <c r="H868" s="145"/>
      <c r="I868" s="145"/>
      <c r="J868" s="145"/>
      <c r="K868" s="145"/>
      <c r="L868" s="143"/>
      <c r="M868" s="144"/>
      <c r="N868" s="143"/>
      <c r="O868" s="143"/>
    </row>
    <row r="869" spans="1:15">
      <c r="A869" s="81"/>
      <c r="B869" s="143"/>
      <c r="C869" s="145"/>
      <c r="D869" s="145"/>
      <c r="E869" s="146"/>
      <c r="F869" s="145"/>
      <c r="G869" s="145"/>
      <c r="H869" s="145"/>
      <c r="I869" s="145"/>
      <c r="J869" s="145"/>
      <c r="K869" s="145"/>
      <c r="L869" s="143"/>
      <c r="M869" s="144"/>
      <c r="N869" s="143"/>
      <c r="O869" s="143"/>
    </row>
    <row r="870" spans="1:15">
      <c r="A870" s="81"/>
      <c r="B870" s="143"/>
      <c r="C870" s="145"/>
      <c r="D870" s="145"/>
      <c r="E870" s="146"/>
      <c r="F870" s="145"/>
      <c r="G870" s="145"/>
      <c r="H870" s="145"/>
      <c r="I870" s="145"/>
      <c r="J870" s="145"/>
      <c r="K870" s="145"/>
      <c r="L870" s="143"/>
      <c r="M870" s="144"/>
      <c r="N870" s="143"/>
      <c r="O870" s="143"/>
    </row>
    <row r="871" spans="1:15">
      <c r="A871" s="81"/>
      <c r="B871" s="143"/>
      <c r="C871" s="145"/>
      <c r="D871" s="145"/>
      <c r="E871" s="146"/>
      <c r="F871" s="145"/>
      <c r="G871" s="145"/>
      <c r="H871" s="145"/>
      <c r="I871" s="145"/>
      <c r="J871" s="145"/>
      <c r="K871" s="145"/>
      <c r="L871" s="143"/>
      <c r="M871" s="144"/>
      <c r="N871" s="143"/>
      <c r="O871" s="143"/>
    </row>
    <row r="872" spans="1:15">
      <c r="A872" s="81"/>
      <c r="B872" s="143"/>
      <c r="C872" s="145"/>
      <c r="D872" s="145"/>
      <c r="E872" s="146"/>
      <c r="F872" s="145"/>
      <c r="G872" s="145"/>
      <c r="H872" s="145"/>
      <c r="I872" s="145"/>
      <c r="J872" s="145"/>
      <c r="K872" s="145"/>
      <c r="L872" s="143"/>
      <c r="M872" s="144"/>
      <c r="N872" s="143"/>
      <c r="O872" s="143"/>
    </row>
    <row r="873" spans="1:15">
      <c r="A873" s="81"/>
      <c r="B873" s="143"/>
      <c r="C873" s="145"/>
      <c r="D873" s="145"/>
      <c r="E873" s="146"/>
      <c r="F873" s="145"/>
      <c r="G873" s="145"/>
      <c r="H873" s="145"/>
      <c r="I873" s="145"/>
      <c r="J873" s="145"/>
      <c r="K873" s="145"/>
      <c r="L873" s="143"/>
      <c r="M873" s="144"/>
      <c r="N873" s="143"/>
      <c r="O873" s="143"/>
    </row>
    <row r="874" spans="1:15">
      <c r="A874" s="81"/>
      <c r="B874" s="143"/>
      <c r="C874" s="145"/>
      <c r="D874" s="145"/>
      <c r="E874" s="146"/>
      <c r="F874" s="145"/>
      <c r="G874" s="145"/>
      <c r="H874" s="145"/>
      <c r="I874" s="145"/>
      <c r="J874" s="145"/>
      <c r="K874" s="145"/>
      <c r="L874" s="143"/>
      <c r="M874" s="144"/>
      <c r="N874" s="143"/>
      <c r="O874" s="143"/>
    </row>
    <row r="875" spans="1:15">
      <c r="A875" s="81"/>
      <c r="B875" s="143"/>
      <c r="C875" s="145"/>
      <c r="D875" s="145"/>
      <c r="E875" s="146"/>
      <c r="F875" s="145"/>
      <c r="G875" s="145"/>
      <c r="H875" s="145"/>
      <c r="I875" s="145"/>
      <c r="J875" s="145"/>
      <c r="K875" s="145"/>
      <c r="L875" s="143"/>
      <c r="M875" s="144"/>
      <c r="N875" s="143"/>
      <c r="O875" s="143"/>
    </row>
    <row r="876" spans="1:15">
      <c r="A876" s="81"/>
      <c r="B876" s="143"/>
      <c r="C876" s="145"/>
      <c r="D876" s="145"/>
      <c r="E876" s="146"/>
      <c r="F876" s="145"/>
      <c r="G876" s="145"/>
      <c r="H876" s="145"/>
      <c r="I876" s="145"/>
      <c r="J876" s="145"/>
      <c r="K876" s="145"/>
      <c r="L876" s="143"/>
      <c r="M876" s="144"/>
      <c r="N876" s="143"/>
      <c r="O876" s="143"/>
    </row>
    <row r="877" spans="1:15">
      <c r="A877" s="81"/>
      <c r="B877" s="143"/>
      <c r="C877" s="145"/>
      <c r="D877" s="145"/>
      <c r="E877" s="146"/>
      <c r="F877" s="145"/>
      <c r="G877" s="145"/>
      <c r="H877" s="145"/>
      <c r="I877" s="145"/>
      <c r="J877" s="145"/>
      <c r="K877" s="145"/>
      <c r="L877" s="143"/>
      <c r="M877" s="144"/>
      <c r="N877" s="143"/>
      <c r="O877" s="143"/>
    </row>
    <row r="878" spans="1:15">
      <c r="A878" s="81"/>
      <c r="B878" s="143"/>
      <c r="C878" s="145"/>
      <c r="D878" s="145"/>
      <c r="E878" s="146"/>
      <c r="F878" s="145"/>
      <c r="G878" s="145"/>
      <c r="H878" s="145"/>
      <c r="I878" s="145"/>
      <c r="J878" s="145"/>
      <c r="K878" s="145"/>
      <c r="L878" s="143"/>
      <c r="M878" s="144"/>
      <c r="N878" s="143"/>
      <c r="O878" s="143"/>
    </row>
    <row r="879" spans="1:15">
      <c r="A879" s="81"/>
      <c r="B879" s="143"/>
      <c r="C879" s="145"/>
      <c r="D879" s="145"/>
      <c r="E879" s="146"/>
      <c r="F879" s="145"/>
      <c r="G879" s="145"/>
      <c r="H879" s="145"/>
      <c r="I879" s="145"/>
      <c r="J879" s="145"/>
      <c r="K879" s="145"/>
      <c r="L879" s="143"/>
      <c r="M879" s="144"/>
      <c r="N879" s="143"/>
      <c r="O879" s="143"/>
    </row>
    <row r="880" spans="1:15">
      <c r="A880" s="81"/>
      <c r="B880" s="143"/>
      <c r="C880" s="145"/>
      <c r="D880" s="145"/>
      <c r="E880" s="146"/>
      <c r="F880" s="145"/>
      <c r="G880" s="145"/>
      <c r="H880" s="145"/>
      <c r="I880" s="145"/>
      <c r="J880" s="145"/>
      <c r="K880" s="145"/>
      <c r="L880" s="143"/>
      <c r="M880" s="144"/>
      <c r="N880" s="143"/>
      <c r="O880" s="143"/>
    </row>
    <row r="881" spans="1:15">
      <c r="A881" s="81"/>
      <c r="B881" s="143"/>
      <c r="C881" s="145"/>
      <c r="D881" s="145"/>
      <c r="E881" s="146"/>
      <c r="F881" s="145"/>
      <c r="G881" s="145"/>
      <c r="H881" s="145"/>
      <c r="I881" s="145"/>
      <c r="J881" s="145"/>
      <c r="K881" s="145"/>
      <c r="L881" s="143"/>
      <c r="M881" s="144"/>
      <c r="N881" s="143"/>
      <c r="O881" s="143"/>
    </row>
    <row r="882" spans="1:15">
      <c r="A882" s="81"/>
      <c r="B882" s="143"/>
      <c r="C882" s="145"/>
      <c r="D882" s="145"/>
      <c r="E882" s="146"/>
      <c r="F882" s="145"/>
      <c r="G882" s="145"/>
      <c r="H882" s="145"/>
      <c r="I882" s="145"/>
      <c r="J882" s="145"/>
      <c r="K882" s="145"/>
      <c r="L882" s="143"/>
      <c r="M882" s="144"/>
      <c r="N882" s="143"/>
      <c r="O882" s="143"/>
    </row>
    <row r="883" spans="1:15">
      <c r="A883" s="81"/>
      <c r="B883" s="143"/>
      <c r="C883" s="145"/>
      <c r="D883" s="145"/>
      <c r="E883" s="146"/>
      <c r="F883" s="145"/>
      <c r="G883" s="145"/>
      <c r="H883" s="145"/>
      <c r="I883" s="145"/>
      <c r="J883" s="145"/>
      <c r="K883" s="145"/>
      <c r="L883" s="143"/>
      <c r="M883" s="144"/>
      <c r="N883" s="143"/>
      <c r="O883" s="143"/>
    </row>
    <row r="884" spans="1:15">
      <c r="A884" s="81"/>
      <c r="B884" s="143"/>
      <c r="C884" s="145"/>
      <c r="D884" s="145"/>
      <c r="E884" s="146"/>
      <c r="F884" s="145"/>
      <c r="G884" s="145"/>
      <c r="H884" s="145"/>
      <c r="I884" s="145"/>
      <c r="J884" s="145"/>
      <c r="K884" s="145"/>
      <c r="L884" s="143"/>
      <c r="M884" s="144"/>
      <c r="N884" s="143"/>
      <c r="O884" s="143"/>
    </row>
    <row r="885" spans="1:15">
      <c r="A885" s="81"/>
      <c r="B885" s="143"/>
      <c r="C885" s="145"/>
      <c r="D885" s="145"/>
      <c r="E885" s="146"/>
      <c r="F885" s="145"/>
      <c r="G885" s="145"/>
      <c r="H885" s="145"/>
      <c r="I885" s="145"/>
      <c r="J885" s="145"/>
      <c r="K885" s="145"/>
      <c r="L885" s="143"/>
      <c r="M885" s="144"/>
      <c r="N885" s="143"/>
      <c r="O885" s="143"/>
    </row>
    <row r="886" spans="1:15">
      <c r="A886" s="81"/>
      <c r="B886" s="143"/>
      <c r="C886" s="145"/>
      <c r="D886" s="145"/>
      <c r="E886" s="146"/>
      <c r="F886" s="145"/>
      <c r="G886" s="145"/>
      <c r="H886" s="145"/>
      <c r="I886" s="145"/>
      <c r="J886" s="145"/>
      <c r="K886" s="145"/>
      <c r="L886" s="143"/>
      <c r="M886" s="144"/>
      <c r="N886" s="143"/>
      <c r="O886" s="143"/>
    </row>
    <row r="887" spans="1:15">
      <c r="A887" s="81"/>
      <c r="B887" s="143"/>
      <c r="C887" s="145"/>
      <c r="D887" s="145"/>
      <c r="E887" s="146"/>
      <c r="F887" s="145"/>
      <c r="G887" s="145"/>
      <c r="H887" s="145"/>
      <c r="I887" s="145"/>
      <c r="J887" s="145"/>
      <c r="K887" s="145"/>
      <c r="L887" s="143"/>
      <c r="M887" s="144"/>
      <c r="N887" s="143"/>
      <c r="O887" s="143"/>
    </row>
    <row r="888" spans="1:15">
      <c r="A888" s="81"/>
      <c r="B888" s="143"/>
      <c r="C888" s="145"/>
      <c r="D888" s="145"/>
      <c r="E888" s="146"/>
      <c r="F888" s="145"/>
      <c r="G888" s="145"/>
      <c r="H888" s="145"/>
      <c r="I888" s="145"/>
      <c r="J888" s="145"/>
      <c r="K888" s="145"/>
      <c r="L888" s="143"/>
      <c r="M888" s="144"/>
      <c r="N888" s="143"/>
      <c r="O888" s="143"/>
    </row>
    <row r="889" spans="1:15">
      <c r="A889" s="81"/>
      <c r="B889" s="143"/>
      <c r="C889" s="145"/>
      <c r="D889" s="145"/>
      <c r="E889" s="146"/>
      <c r="F889" s="145"/>
      <c r="G889" s="145"/>
      <c r="H889" s="145"/>
      <c r="I889" s="145"/>
      <c r="J889" s="145"/>
      <c r="K889" s="145"/>
      <c r="L889" s="143"/>
      <c r="M889" s="144"/>
      <c r="N889" s="143"/>
      <c r="O889" s="143"/>
    </row>
    <row r="890" spans="1:15">
      <c r="A890" s="81"/>
      <c r="B890" s="143"/>
      <c r="C890" s="145"/>
      <c r="D890" s="145"/>
      <c r="E890" s="146"/>
      <c r="F890" s="145"/>
      <c r="G890" s="145"/>
      <c r="H890" s="145"/>
      <c r="I890" s="145"/>
      <c r="J890" s="145"/>
      <c r="K890" s="145"/>
      <c r="L890" s="143"/>
      <c r="M890" s="144"/>
      <c r="N890" s="143"/>
      <c r="O890" s="143"/>
    </row>
    <row r="891" spans="1:15">
      <c r="A891" s="81"/>
      <c r="B891" s="143"/>
      <c r="C891" s="145"/>
      <c r="D891" s="145"/>
      <c r="E891" s="146"/>
      <c r="F891" s="145"/>
      <c r="G891" s="145"/>
      <c r="H891" s="145"/>
      <c r="I891" s="145"/>
      <c r="J891" s="145"/>
      <c r="K891" s="145"/>
      <c r="L891" s="143"/>
      <c r="M891" s="144"/>
      <c r="N891" s="143"/>
      <c r="O891" s="143"/>
    </row>
    <row r="892" spans="1:15">
      <c r="A892" s="81"/>
      <c r="B892" s="143"/>
      <c r="C892" s="145"/>
      <c r="D892" s="145"/>
      <c r="E892" s="146"/>
      <c r="F892" s="145"/>
      <c r="G892" s="145"/>
      <c r="H892" s="145"/>
      <c r="I892" s="145"/>
      <c r="J892" s="145"/>
      <c r="K892" s="145"/>
      <c r="L892" s="143"/>
      <c r="M892" s="144"/>
      <c r="N892" s="143"/>
      <c r="O892" s="143"/>
    </row>
    <row r="893" spans="1:15">
      <c r="A893" s="81"/>
      <c r="B893" s="143"/>
      <c r="C893" s="145"/>
      <c r="D893" s="145"/>
      <c r="E893" s="146"/>
      <c r="F893" s="145"/>
      <c r="G893" s="145"/>
      <c r="H893" s="145"/>
      <c r="I893" s="145"/>
      <c r="J893" s="145"/>
      <c r="K893" s="145"/>
      <c r="L893" s="143"/>
      <c r="M893" s="144"/>
      <c r="N893" s="143"/>
      <c r="O893" s="143"/>
    </row>
    <row r="894" spans="1:15">
      <c r="A894" s="81"/>
      <c r="B894" s="143"/>
      <c r="C894" s="145"/>
      <c r="D894" s="145"/>
      <c r="E894" s="146"/>
      <c r="F894" s="145"/>
      <c r="G894" s="145"/>
      <c r="H894" s="145"/>
      <c r="I894" s="145"/>
      <c r="J894" s="145"/>
      <c r="K894" s="145"/>
      <c r="L894" s="143"/>
      <c r="M894" s="144"/>
      <c r="N894" s="143"/>
      <c r="O894" s="143"/>
    </row>
    <row r="895" spans="1:15">
      <c r="A895" s="81"/>
      <c r="B895" s="143"/>
      <c r="C895" s="145"/>
      <c r="D895" s="145"/>
      <c r="E895" s="146"/>
      <c r="F895" s="145"/>
      <c r="G895" s="145"/>
      <c r="H895" s="145"/>
      <c r="I895" s="145"/>
      <c r="J895" s="145"/>
      <c r="K895" s="145"/>
      <c r="L895" s="143"/>
      <c r="M895" s="144"/>
      <c r="N895" s="143"/>
      <c r="O895" s="143"/>
    </row>
    <row r="896" spans="1:15">
      <c r="A896" s="81"/>
      <c r="B896" s="143"/>
      <c r="C896" s="145"/>
      <c r="D896" s="145"/>
      <c r="E896" s="146"/>
      <c r="F896" s="145"/>
      <c r="G896" s="145"/>
      <c r="H896" s="145"/>
      <c r="I896" s="145"/>
      <c r="J896" s="145"/>
      <c r="K896" s="145"/>
      <c r="L896" s="143"/>
      <c r="M896" s="144"/>
      <c r="N896" s="143"/>
      <c r="O896" s="143"/>
    </row>
    <row r="897" spans="1:15">
      <c r="A897" s="81"/>
      <c r="B897" s="143"/>
      <c r="C897" s="145"/>
      <c r="D897" s="145"/>
      <c r="E897" s="146"/>
      <c r="F897" s="145"/>
      <c r="G897" s="145"/>
      <c r="H897" s="145"/>
      <c r="I897" s="145"/>
      <c r="J897" s="145"/>
      <c r="K897" s="145"/>
      <c r="L897" s="143"/>
      <c r="M897" s="144"/>
      <c r="N897" s="143"/>
      <c r="O897" s="143"/>
    </row>
    <row r="898" spans="1:15">
      <c r="A898" s="81"/>
      <c r="B898" s="143"/>
      <c r="C898" s="145"/>
      <c r="D898" s="145"/>
      <c r="E898" s="146"/>
      <c r="F898" s="145"/>
      <c r="G898" s="145"/>
      <c r="H898" s="145"/>
      <c r="I898" s="145"/>
      <c r="J898" s="145"/>
      <c r="K898" s="145"/>
      <c r="L898" s="143"/>
      <c r="M898" s="144"/>
      <c r="N898" s="143"/>
      <c r="O898" s="143"/>
    </row>
    <row r="899" spans="1:15">
      <c r="A899" s="81"/>
      <c r="B899" s="143"/>
      <c r="C899" s="145"/>
      <c r="D899" s="145"/>
      <c r="E899" s="146"/>
      <c r="F899" s="145"/>
      <c r="G899" s="145"/>
      <c r="H899" s="145"/>
      <c r="I899" s="145"/>
      <c r="J899" s="145"/>
      <c r="K899" s="145"/>
      <c r="L899" s="143"/>
      <c r="M899" s="144"/>
      <c r="N899" s="143"/>
      <c r="O899" s="143"/>
    </row>
    <row r="900" spans="1:15">
      <c r="A900" s="81"/>
      <c r="B900" s="143"/>
      <c r="C900" s="145"/>
      <c r="D900" s="145"/>
      <c r="E900" s="146"/>
      <c r="F900" s="145"/>
      <c r="G900" s="145"/>
      <c r="H900" s="145"/>
      <c r="I900" s="145"/>
      <c r="J900" s="145"/>
      <c r="K900" s="145"/>
      <c r="L900" s="143"/>
      <c r="M900" s="144"/>
      <c r="N900" s="143"/>
      <c r="O900" s="143"/>
    </row>
    <row r="901" spans="1:15">
      <c r="A901" s="81"/>
      <c r="B901" s="143"/>
      <c r="C901" s="145"/>
      <c r="D901" s="145"/>
      <c r="E901" s="146"/>
      <c r="F901" s="145"/>
      <c r="G901" s="145"/>
      <c r="H901" s="145"/>
      <c r="I901" s="145"/>
      <c r="J901" s="145"/>
      <c r="K901" s="145"/>
      <c r="L901" s="143"/>
      <c r="M901" s="144"/>
      <c r="N901" s="143"/>
      <c r="O901" s="143"/>
    </row>
    <row r="902" spans="1:15">
      <c r="A902" s="81"/>
      <c r="B902" s="143"/>
      <c r="C902" s="145"/>
      <c r="D902" s="145"/>
      <c r="E902" s="146"/>
      <c r="F902" s="145"/>
      <c r="G902" s="145"/>
      <c r="H902" s="145"/>
      <c r="I902" s="145"/>
      <c r="J902" s="145"/>
      <c r="K902" s="145"/>
      <c r="L902" s="143"/>
      <c r="M902" s="144"/>
      <c r="N902" s="143"/>
      <c r="O902" s="143"/>
    </row>
    <row r="903" spans="1:15">
      <c r="A903" s="81"/>
      <c r="B903" s="143"/>
      <c r="C903" s="145"/>
      <c r="D903" s="145"/>
      <c r="E903" s="146"/>
      <c r="F903" s="145"/>
      <c r="G903" s="145"/>
      <c r="H903" s="145"/>
      <c r="I903" s="145"/>
      <c r="J903" s="145"/>
      <c r="K903" s="145"/>
      <c r="L903" s="143"/>
      <c r="M903" s="144"/>
      <c r="N903" s="143"/>
      <c r="O903" s="143"/>
    </row>
    <row r="904" spans="1:15">
      <c r="A904" s="81"/>
      <c r="B904" s="143"/>
      <c r="C904" s="145"/>
      <c r="D904" s="145"/>
      <c r="E904" s="146"/>
      <c r="F904" s="145"/>
      <c r="G904" s="145"/>
      <c r="H904" s="145"/>
      <c r="I904" s="145"/>
      <c r="J904" s="145"/>
      <c r="K904" s="145"/>
      <c r="L904" s="143"/>
      <c r="M904" s="144"/>
      <c r="N904" s="143"/>
      <c r="O904" s="143"/>
    </row>
    <row r="905" spans="1:15">
      <c r="A905" s="81"/>
      <c r="B905" s="143"/>
      <c r="C905" s="145"/>
      <c r="D905" s="145"/>
      <c r="E905" s="146"/>
      <c r="F905" s="145"/>
      <c r="G905" s="145"/>
      <c r="H905" s="145"/>
      <c r="I905" s="145"/>
      <c r="J905" s="145"/>
      <c r="K905" s="145"/>
      <c r="L905" s="143"/>
      <c r="M905" s="144"/>
      <c r="N905" s="143"/>
      <c r="O905" s="143"/>
    </row>
    <row r="906" spans="1:15">
      <c r="A906" s="81"/>
      <c r="B906" s="143"/>
      <c r="C906" s="145"/>
      <c r="D906" s="145"/>
      <c r="E906" s="146"/>
      <c r="F906" s="145"/>
      <c r="G906" s="145"/>
      <c r="H906" s="145"/>
      <c r="I906" s="145"/>
      <c r="J906" s="145"/>
      <c r="K906" s="145"/>
      <c r="L906" s="143"/>
      <c r="M906" s="144"/>
      <c r="N906" s="143"/>
      <c r="O906" s="143"/>
    </row>
    <row r="907" spans="1:15">
      <c r="A907" s="81"/>
      <c r="B907" s="143"/>
      <c r="C907" s="145"/>
      <c r="D907" s="145"/>
      <c r="E907" s="146"/>
      <c r="F907" s="145"/>
      <c r="G907" s="145"/>
      <c r="H907" s="145"/>
      <c r="I907" s="145"/>
      <c r="J907" s="145"/>
      <c r="K907" s="145"/>
      <c r="L907" s="143"/>
      <c r="M907" s="144"/>
      <c r="N907" s="143"/>
      <c r="O907" s="143"/>
    </row>
    <row r="908" spans="1:15">
      <c r="A908" s="81"/>
      <c r="B908" s="143"/>
      <c r="C908" s="145"/>
      <c r="D908" s="145"/>
      <c r="E908" s="146"/>
      <c r="F908" s="145"/>
      <c r="G908" s="145"/>
      <c r="H908" s="145"/>
      <c r="I908" s="145"/>
      <c r="J908" s="145"/>
      <c r="K908" s="145"/>
      <c r="L908" s="143"/>
      <c r="M908" s="144"/>
      <c r="N908" s="143"/>
      <c r="O908" s="143"/>
    </row>
    <row r="909" spans="1:15">
      <c r="A909" s="81"/>
      <c r="B909" s="143"/>
      <c r="C909" s="145"/>
      <c r="D909" s="145"/>
      <c r="E909" s="146"/>
      <c r="F909" s="145"/>
      <c r="G909" s="145"/>
      <c r="H909" s="145"/>
      <c r="I909" s="145"/>
      <c r="J909" s="145"/>
      <c r="K909" s="145"/>
      <c r="L909" s="143"/>
      <c r="M909" s="144"/>
      <c r="N909" s="143"/>
      <c r="O909" s="143"/>
    </row>
    <row r="910" spans="1:15">
      <c r="A910" s="81"/>
      <c r="B910" s="143"/>
      <c r="C910" s="145"/>
      <c r="D910" s="145"/>
      <c r="E910" s="146"/>
      <c r="F910" s="145"/>
      <c r="G910" s="145"/>
      <c r="H910" s="145"/>
      <c r="I910" s="145"/>
      <c r="J910" s="145"/>
      <c r="K910" s="145"/>
      <c r="L910" s="143"/>
      <c r="M910" s="144"/>
      <c r="N910" s="143"/>
      <c r="O910" s="143"/>
    </row>
    <row r="911" spans="1:15">
      <c r="A911" s="81"/>
      <c r="B911" s="143"/>
      <c r="C911" s="145"/>
      <c r="D911" s="145"/>
      <c r="E911" s="146"/>
      <c r="F911" s="145"/>
      <c r="G911" s="145"/>
      <c r="H911" s="145"/>
      <c r="I911" s="145"/>
      <c r="J911" s="145"/>
      <c r="K911" s="145"/>
      <c r="L911" s="143"/>
      <c r="M911" s="144"/>
      <c r="N911" s="143"/>
      <c r="O911" s="143"/>
    </row>
    <row r="912" spans="1:15">
      <c r="A912" s="81"/>
      <c r="B912" s="143"/>
      <c r="C912" s="145"/>
      <c r="D912" s="145"/>
      <c r="E912" s="146"/>
      <c r="F912" s="145"/>
      <c r="G912" s="145"/>
      <c r="H912" s="145"/>
      <c r="I912" s="145"/>
      <c r="J912" s="145"/>
      <c r="K912" s="145"/>
      <c r="L912" s="143"/>
      <c r="M912" s="144"/>
      <c r="N912" s="143"/>
      <c r="O912" s="143"/>
    </row>
    <row r="913" spans="1:15">
      <c r="A913" s="81"/>
      <c r="B913" s="143"/>
      <c r="C913" s="145"/>
      <c r="D913" s="145"/>
      <c r="E913" s="146"/>
      <c r="F913" s="145"/>
      <c r="G913" s="145"/>
      <c r="H913" s="145"/>
      <c r="I913" s="145"/>
      <c r="J913" s="145"/>
      <c r="K913" s="145"/>
      <c r="L913" s="143"/>
      <c r="M913" s="144"/>
      <c r="N913" s="143"/>
      <c r="O913" s="143"/>
    </row>
    <row r="914" spans="1:15">
      <c r="A914" s="81"/>
      <c r="B914" s="143"/>
      <c r="C914" s="145"/>
      <c r="D914" s="145"/>
      <c r="E914" s="146"/>
      <c r="F914" s="145"/>
      <c r="G914" s="145"/>
      <c r="H914" s="145"/>
      <c r="I914" s="145"/>
      <c r="J914" s="145"/>
      <c r="K914" s="145"/>
      <c r="L914" s="143"/>
      <c r="M914" s="144"/>
      <c r="N914" s="143"/>
      <c r="O914" s="143"/>
    </row>
    <row r="915" spans="1:15">
      <c r="A915" s="81"/>
      <c r="B915" s="143"/>
      <c r="C915" s="145"/>
      <c r="D915" s="145"/>
      <c r="E915" s="146"/>
      <c r="F915" s="145"/>
      <c r="G915" s="145"/>
      <c r="H915" s="145"/>
      <c r="I915" s="145"/>
      <c r="J915" s="145"/>
      <c r="K915" s="145"/>
      <c r="L915" s="143"/>
      <c r="M915" s="144"/>
      <c r="N915" s="143"/>
      <c r="O915" s="143"/>
    </row>
    <row r="916" spans="1:15">
      <c r="A916" s="81"/>
      <c r="B916" s="143"/>
      <c r="C916" s="145"/>
      <c r="D916" s="145"/>
      <c r="E916" s="146"/>
      <c r="F916" s="145"/>
      <c r="G916" s="145"/>
      <c r="H916" s="145"/>
      <c r="I916" s="145"/>
      <c r="J916" s="145"/>
      <c r="K916" s="145"/>
      <c r="L916" s="143"/>
      <c r="M916" s="144"/>
      <c r="N916" s="143"/>
      <c r="O916" s="143"/>
    </row>
    <row r="917" spans="1:15">
      <c r="A917" s="81"/>
      <c r="B917" s="143"/>
      <c r="C917" s="145"/>
      <c r="D917" s="145"/>
      <c r="E917" s="146"/>
      <c r="F917" s="145"/>
      <c r="G917" s="145"/>
      <c r="H917" s="145"/>
      <c r="I917" s="145"/>
      <c r="J917" s="145"/>
      <c r="K917" s="145"/>
      <c r="L917" s="143"/>
      <c r="M917" s="144"/>
      <c r="N917" s="143"/>
      <c r="O917" s="143"/>
    </row>
    <row r="918" spans="1:15">
      <c r="A918" s="81"/>
      <c r="B918" s="143"/>
      <c r="C918" s="145"/>
      <c r="D918" s="145"/>
      <c r="E918" s="146"/>
      <c r="F918" s="145"/>
      <c r="G918" s="145"/>
      <c r="H918" s="145"/>
      <c r="I918" s="145"/>
      <c r="J918" s="145"/>
      <c r="K918" s="145"/>
      <c r="L918" s="143"/>
      <c r="M918" s="144"/>
      <c r="N918" s="143"/>
      <c r="O918" s="143"/>
    </row>
    <row r="919" spans="1:15">
      <c r="A919" s="81"/>
      <c r="B919" s="143"/>
      <c r="C919" s="145"/>
      <c r="D919" s="145"/>
      <c r="E919" s="146"/>
      <c r="F919" s="145"/>
      <c r="G919" s="145"/>
      <c r="H919" s="145"/>
      <c r="I919" s="145"/>
      <c r="J919" s="145"/>
      <c r="K919" s="145"/>
      <c r="L919" s="143"/>
      <c r="M919" s="144"/>
      <c r="N919" s="143"/>
      <c r="O919" s="143"/>
    </row>
    <row r="920" spans="1:15">
      <c r="A920" s="81"/>
      <c r="B920" s="143"/>
      <c r="C920" s="145"/>
      <c r="D920" s="145"/>
      <c r="E920" s="146"/>
      <c r="F920" s="145"/>
      <c r="G920" s="145"/>
      <c r="H920" s="145"/>
      <c r="I920" s="145"/>
      <c r="J920" s="145"/>
      <c r="K920" s="145"/>
      <c r="L920" s="143"/>
      <c r="M920" s="144"/>
      <c r="N920" s="143"/>
      <c r="O920" s="143"/>
    </row>
    <row r="921" spans="1:15">
      <c r="A921" s="81"/>
      <c r="B921" s="143"/>
      <c r="C921" s="145"/>
      <c r="D921" s="145"/>
      <c r="E921" s="146"/>
      <c r="F921" s="145"/>
      <c r="G921" s="145"/>
      <c r="H921" s="145"/>
      <c r="I921" s="145"/>
      <c r="J921" s="145"/>
      <c r="K921" s="145"/>
      <c r="L921" s="143"/>
      <c r="M921" s="144"/>
      <c r="N921" s="143"/>
      <c r="O921" s="143"/>
    </row>
    <row r="922" spans="1:15">
      <c r="A922" s="81"/>
      <c r="B922" s="143"/>
      <c r="C922" s="145"/>
      <c r="D922" s="145"/>
      <c r="E922" s="146"/>
      <c r="F922" s="145"/>
      <c r="G922" s="145"/>
      <c r="H922" s="145"/>
      <c r="I922" s="145"/>
      <c r="J922" s="145"/>
      <c r="K922" s="145"/>
      <c r="L922" s="143"/>
      <c r="M922" s="144"/>
      <c r="N922" s="143"/>
      <c r="O922" s="143"/>
    </row>
    <row r="923" spans="1:15">
      <c r="A923" s="81"/>
      <c r="B923" s="143"/>
      <c r="C923" s="145"/>
      <c r="D923" s="145"/>
      <c r="E923" s="146"/>
      <c r="F923" s="145"/>
      <c r="G923" s="145"/>
      <c r="H923" s="145"/>
      <c r="I923" s="145"/>
      <c r="J923" s="145"/>
      <c r="K923" s="145"/>
      <c r="L923" s="143"/>
      <c r="M923" s="144"/>
      <c r="N923" s="143"/>
      <c r="O923" s="143"/>
    </row>
    <row r="924" spans="1:15">
      <c r="A924" s="81"/>
      <c r="B924" s="143"/>
      <c r="C924" s="145"/>
      <c r="D924" s="145"/>
      <c r="E924" s="146"/>
      <c r="F924" s="145"/>
      <c r="G924" s="145"/>
      <c r="H924" s="145"/>
      <c r="I924" s="145"/>
      <c r="J924" s="145"/>
      <c r="K924" s="145"/>
      <c r="L924" s="143"/>
      <c r="M924" s="144"/>
      <c r="N924" s="143"/>
      <c r="O924" s="143"/>
    </row>
    <row r="925" spans="1:15">
      <c r="A925" s="81"/>
      <c r="B925" s="143"/>
      <c r="C925" s="145"/>
      <c r="D925" s="145"/>
      <c r="E925" s="146"/>
      <c r="F925" s="145"/>
      <c r="G925" s="145"/>
      <c r="H925" s="145"/>
      <c r="I925" s="145"/>
      <c r="J925" s="145"/>
      <c r="K925" s="145"/>
      <c r="L925" s="143"/>
      <c r="M925" s="144"/>
      <c r="N925" s="143"/>
      <c r="O925" s="143"/>
    </row>
    <row r="926" spans="1:15">
      <c r="A926" s="81"/>
      <c r="B926" s="143"/>
      <c r="C926" s="145"/>
      <c r="D926" s="145"/>
      <c r="E926" s="146"/>
      <c r="F926" s="145"/>
      <c r="G926" s="145"/>
      <c r="H926" s="145"/>
      <c r="I926" s="145"/>
      <c r="J926" s="145"/>
      <c r="K926" s="145"/>
      <c r="L926" s="143"/>
      <c r="M926" s="144"/>
      <c r="N926" s="143"/>
      <c r="O926" s="143"/>
    </row>
    <row r="927" spans="1:15">
      <c r="A927" s="81"/>
      <c r="B927" s="143"/>
      <c r="C927" s="145"/>
      <c r="D927" s="145"/>
      <c r="E927" s="146"/>
      <c r="F927" s="145"/>
      <c r="G927" s="145"/>
      <c r="H927" s="145"/>
      <c r="I927" s="145"/>
      <c r="J927" s="145"/>
      <c r="K927" s="145"/>
      <c r="L927" s="143"/>
      <c r="M927" s="144"/>
      <c r="N927" s="143"/>
      <c r="O927" s="143"/>
    </row>
    <row r="928" spans="1:15">
      <c r="A928" s="81"/>
      <c r="B928" s="143"/>
      <c r="C928" s="145"/>
      <c r="D928" s="145"/>
      <c r="E928" s="146"/>
      <c r="F928" s="145"/>
      <c r="G928" s="145"/>
      <c r="H928" s="145"/>
      <c r="I928" s="145"/>
      <c r="J928" s="145"/>
      <c r="K928" s="145"/>
      <c r="L928" s="143"/>
      <c r="M928" s="144"/>
      <c r="N928" s="143"/>
      <c r="O928" s="143"/>
    </row>
    <row r="929" spans="1:15">
      <c r="A929" s="81"/>
      <c r="B929" s="143"/>
      <c r="C929" s="145"/>
      <c r="D929" s="145"/>
      <c r="E929" s="146"/>
      <c r="F929" s="145"/>
      <c r="G929" s="145"/>
      <c r="H929" s="145"/>
      <c r="I929" s="145"/>
      <c r="J929" s="145"/>
      <c r="K929" s="145"/>
      <c r="L929" s="143"/>
      <c r="M929" s="144"/>
      <c r="N929" s="143"/>
      <c r="O929" s="143"/>
    </row>
    <row r="930" spans="1:15">
      <c r="A930" s="81"/>
      <c r="B930" s="143"/>
      <c r="C930" s="145"/>
      <c r="D930" s="145"/>
      <c r="E930" s="146"/>
      <c r="F930" s="145"/>
      <c r="G930" s="145"/>
      <c r="H930" s="145"/>
      <c r="I930" s="145"/>
      <c r="J930" s="145"/>
      <c r="K930" s="145"/>
      <c r="L930" s="143"/>
      <c r="M930" s="144"/>
      <c r="N930" s="143"/>
      <c r="O930" s="143"/>
    </row>
    <row r="931" spans="1:15">
      <c r="A931" s="81"/>
      <c r="B931" s="143"/>
      <c r="C931" s="145"/>
      <c r="D931" s="145"/>
      <c r="E931" s="146"/>
      <c r="F931" s="145"/>
      <c r="G931" s="145"/>
      <c r="H931" s="145"/>
      <c r="I931" s="145"/>
      <c r="J931" s="145"/>
      <c r="K931" s="145"/>
      <c r="L931" s="143"/>
      <c r="M931" s="144"/>
      <c r="N931" s="143"/>
      <c r="O931" s="143"/>
    </row>
    <row r="932" spans="1:15">
      <c r="A932" s="81"/>
      <c r="B932" s="143"/>
      <c r="C932" s="145"/>
      <c r="D932" s="145"/>
      <c r="E932" s="146"/>
      <c r="F932" s="145"/>
      <c r="G932" s="145"/>
      <c r="H932" s="145"/>
      <c r="I932" s="145"/>
      <c r="J932" s="145"/>
      <c r="K932" s="145"/>
      <c r="L932" s="143"/>
      <c r="M932" s="144"/>
      <c r="N932" s="143"/>
      <c r="O932" s="143"/>
    </row>
    <row r="933" spans="1:15">
      <c r="A933" s="81"/>
      <c r="B933" s="143"/>
      <c r="C933" s="145"/>
      <c r="D933" s="145"/>
      <c r="E933" s="146"/>
      <c r="F933" s="145"/>
      <c r="G933" s="145"/>
      <c r="H933" s="145"/>
      <c r="I933" s="145"/>
      <c r="J933" s="145"/>
      <c r="K933" s="145"/>
      <c r="L933" s="143"/>
      <c r="M933" s="144"/>
      <c r="N933" s="143"/>
      <c r="O933" s="143"/>
    </row>
    <row r="934" spans="1:15">
      <c r="A934" s="81"/>
      <c r="B934" s="143"/>
      <c r="C934" s="145"/>
      <c r="D934" s="145"/>
      <c r="E934" s="146"/>
      <c r="F934" s="145"/>
      <c r="G934" s="145"/>
      <c r="H934" s="145"/>
      <c r="I934" s="145"/>
      <c r="J934" s="145"/>
      <c r="K934" s="145"/>
      <c r="L934" s="143"/>
      <c r="M934" s="144"/>
      <c r="N934" s="143"/>
      <c r="O934" s="143"/>
    </row>
    <row r="935" spans="1:15">
      <c r="A935" s="81"/>
      <c r="B935" s="143"/>
      <c r="C935" s="145"/>
      <c r="D935" s="145"/>
      <c r="E935" s="146"/>
      <c r="F935" s="145"/>
      <c r="G935" s="145"/>
      <c r="H935" s="145"/>
      <c r="I935" s="145"/>
      <c r="J935" s="145"/>
      <c r="K935" s="145"/>
      <c r="L935" s="143"/>
      <c r="M935" s="144"/>
      <c r="N935" s="143"/>
      <c r="O935" s="143"/>
    </row>
    <row r="936" spans="1:15">
      <c r="A936" s="81"/>
      <c r="B936" s="143"/>
      <c r="C936" s="145"/>
      <c r="D936" s="145"/>
      <c r="E936" s="146"/>
      <c r="F936" s="145"/>
      <c r="G936" s="145"/>
      <c r="H936" s="145"/>
      <c r="I936" s="145"/>
      <c r="J936" s="145"/>
      <c r="K936" s="145"/>
      <c r="L936" s="143"/>
      <c r="M936" s="144"/>
      <c r="N936" s="143"/>
      <c r="O936" s="143"/>
    </row>
    <row r="937" spans="1:15">
      <c r="A937" s="81"/>
      <c r="B937" s="143"/>
      <c r="C937" s="145"/>
      <c r="D937" s="145"/>
      <c r="E937" s="146"/>
      <c r="F937" s="145"/>
      <c r="G937" s="145"/>
      <c r="H937" s="145"/>
      <c r="I937" s="145"/>
      <c r="J937" s="145"/>
      <c r="K937" s="145"/>
      <c r="L937" s="143"/>
      <c r="M937" s="144"/>
      <c r="N937" s="143"/>
      <c r="O937" s="143"/>
    </row>
    <row r="938" spans="1:15">
      <c r="A938" s="81"/>
      <c r="B938" s="143"/>
      <c r="C938" s="145"/>
      <c r="D938" s="145"/>
      <c r="E938" s="146"/>
      <c r="F938" s="145"/>
      <c r="G938" s="145"/>
      <c r="H938" s="145"/>
      <c r="I938" s="145"/>
      <c r="J938" s="145"/>
      <c r="K938" s="145"/>
      <c r="L938" s="143"/>
      <c r="M938" s="144"/>
      <c r="N938" s="143"/>
      <c r="O938" s="143"/>
    </row>
    <row r="939" spans="1:15">
      <c r="A939" s="81"/>
      <c r="B939" s="143"/>
      <c r="C939" s="145"/>
      <c r="D939" s="145"/>
      <c r="E939" s="146"/>
      <c r="F939" s="145"/>
      <c r="G939" s="145"/>
      <c r="H939" s="145"/>
      <c r="I939" s="145"/>
      <c r="J939" s="145"/>
      <c r="K939" s="145"/>
      <c r="L939" s="143"/>
      <c r="M939" s="144"/>
      <c r="N939" s="143"/>
      <c r="O939" s="143"/>
    </row>
  </sheetData>
  <mergeCells count="24">
    <mergeCell ref="H12:I12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BB9D-5219-4191-BAE9-1C9332ECFA6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115+260</vt:lpstr>
      <vt:lpstr>BC.115+260</vt:lpstr>
      <vt:lpstr>SL.115+260</vt:lpstr>
      <vt:lpstr>Sheet1</vt:lpstr>
      <vt:lpstr>'115+260'!Print_Area</vt:lpstr>
      <vt:lpstr>'BC.115+260'!Print_Area</vt:lpstr>
      <vt:lpstr>'SL.115+260'!Print_Area</vt:lpstr>
      <vt:lpstr>'115+260'!Print_Titles</vt:lpstr>
      <vt:lpstr>'BC.115+260'!Print_Titles</vt:lpstr>
      <vt:lpstr>'SL.115+260'!Print_Titles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2025-07-22T03:07:01Z</dcterms:created>
  <dcterms:modified xsi:type="dcterms:W3CDTF">2025-07-28T12:57:59Z</dcterms:modified>
</cp:coreProperties>
</file>